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_Input" sheetId="1" r:id="rId5"/>
    <sheet state="visible" name="Lenso_Input" sheetId="2" r:id="rId6"/>
    <sheet state="visible" name="Patient_Input_Master" sheetId="3" r:id="rId7"/>
    <sheet state="visible" name="Patient_Input_Data" sheetId="4" r:id="rId8"/>
    <sheet state="visible" name="Derived_Variables" sheetId="5" r:id="rId9"/>
    <sheet state="visible" name="FSM_Simulator" sheetId="6" r:id="rId10"/>
    <sheet state="visible" name="Calibration" sheetId="7" r:id="rId11"/>
    <sheet state="visible" name="Derived Variables Master Table" sheetId="8" r:id="rId12"/>
    <sheet state="visible" name="FSM_Transition_Table" sheetId="9" r:id="rId13"/>
    <sheet state="visible" name="Phase_UI_Map" sheetId="10" r:id="rId14"/>
    <sheet state="visible" name="FSM_State_Map" sheetId="11" r:id="rId15"/>
    <sheet state="visible" name="Chart_Scale_Distance" sheetId="12" r:id="rId16"/>
    <sheet state="visible" name="Lists" sheetId="13" r:id="rId17"/>
    <sheet state="visible" name="Response_Lists" sheetId="14" r:id="rId18"/>
  </sheets>
  <definedNames/>
  <calcPr/>
</workbook>
</file>

<file path=xl/sharedStrings.xml><?xml version="1.0" encoding="utf-8"?>
<sst xmlns="http://schemas.openxmlformats.org/spreadsheetml/2006/main" count="1833" uniqueCount="806">
  <si>
    <t>RIGHT EYE</t>
  </si>
  <si>
    <t>LEFT EYE</t>
  </si>
  <si>
    <t>S</t>
  </si>
  <si>
    <t>C</t>
  </si>
  <si>
    <t>A</t>
  </si>
  <si>
    <t>visit_id</t>
  </si>
  <si>
    <t>S_r_AR</t>
  </si>
  <si>
    <t>C_r_AR</t>
  </si>
  <si>
    <t>A_r_AR</t>
  </si>
  <si>
    <t>S_l_AR</t>
  </si>
  <si>
    <t>C_l_AR</t>
  </si>
  <si>
    <t>A_l_AR</t>
  </si>
  <si>
    <t>Add</t>
  </si>
  <si>
    <t>S_r_Lenso</t>
  </si>
  <si>
    <t>C_r_Lenso</t>
  </si>
  <si>
    <t>A_r_Lenso</t>
  </si>
  <si>
    <t>Add_r_Lenso</t>
  </si>
  <si>
    <t>S_l_Lenso</t>
  </si>
  <si>
    <t>C_l_Lenso</t>
  </si>
  <si>
    <t>A_l_Lenso</t>
  </si>
  <si>
    <t>Add_l_Lenso</t>
  </si>
  <si>
    <t>Section</t>
  </si>
  <si>
    <t>Field Name</t>
  </si>
  <si>
    <t>Value (enter here)</t>
  </si>
  <si>
    <t>Data Type</t>
  </si>
  <si>
    <t>Allowed Values / Format</t>
  </si>
  <si>
    <t>Required</t>
  </si>
  <si>
    <t>Notes</t>
  </si>
  <si>
    <t>A) IDENTIFIERS &amp; SESSION CONTEXT</t>
  </si>
  <si>
    <t>patient_id</t>
  </si>
  <si>
    <t>String</t>
  </si>
  <si>
    <t>Unique ID</t>
  </si>
  <si>
    <t>Yes</t>
  </si>
  <si>
    <t>Persistent across visits</t>
  </si>
  <si>
    <t>Unique per test session</t>
  </si>
  <si>
    <t>test_date_time</t>
  </si>
  <si>
    <t>Datetime</t>
  </si>
  <si>
    <t>ISO 8601</t>
  </si>
  <si>
    <t>Timestamp of exam</t>
  </si>
  <si>
    <t>B) DEMOGRAPHICS &amp; USAGE PROFILE</t>
  </si>
  <si>
    <t>age_years</t>
  </si>
  <si>
    <t>Integer</t>
  </si>
  <si>
    <t>≥ 3</t>
  </si>
  <si>
    <t>Drives presbyopia logic</t>
  </si>
  <si>
    <t>gender</t>
  </si>
  <si>
    <t>Enum</t>
  </si>
  <si>
    <t>See dropdown</t>
  </si>
  <si>
    <t/>
  </si>
  <si>
    <t>lifestyle</t>
  </si>
  <si>
    <t>Influences endpoint bias</t>
  </si>
  <si>
    <t>occupation_type</t>
  </si>
  <si>
    <t>Determines visual priority</t>
  </si>
  <si>
    <t>screen_time_hours</t>
  </si>
  <si>
    <t>Float</t>
  </si>
  <si>
    <t>0–24</t>
  </si>
  <si>
    <t>Daily average</t>
  </si>
  <si>
    <t>driving_time_hours</t>
  </si>
  <si>
    <t>C) REASON FOR VISIT &amp; SYMPTOMS</t>
  </si>
  <si>
    <t>primary_reason</t>
  </si>
  <si>
    <t>Single select</t>
  </si>
  <si>
    <t>symptoms_multi</t>
  </si>
  <si>
    <t>Multi-Enum</t>
  </si>
  <si>
    <t>Comma-separated OR pick one</t>
  </si>
  <si>
    <t>No</t>
  </si>
  <si>
    <t>Excel dropdown enforces single choice; for multi-select enter comma-separated values</t>
  </si>
  <si>
    <t>D) CURRENT EYEWEAR &amp; ADAPTATION</t>
  </si>
  <si>
    <t>currently_wearing_glasses</t>
  </si>
  <si>
    <t>Boolean</t>
  </si>
  <si>
    <t>True / False</t>
  </si>
  <si>
    <t>wear_type</t>
  </si>
  <si>
    <t>wear_duration_months</t>
  </si>
  <si>
    <t>≥ 0</t>
  </si>
  <si>
    <t>Duration of current RX</t>
  </si>
  <si>
    <t>satisfaction_with_current_rx</t>
  </si>
  <si>
    <t>Drives start policy</t>
  </si>
  <si>
    <t>main_complaint_current_rx</t>
  </si>
  <si>
    <t>E) RECENCY &amp; STABILITY INDICATORS</t>
  </si>
  <si>
    <t>last_eye_test_months_ago</t>
  </si>
  <si>
    <t>rx_change_last_time_known</t>
  </si>
  <si>
    <t>rx_change_was_large</t>
  </si>
  <si>
    <t>Define threshold internally</t>
  </si>
  <si>
    <t>fluctuating_vision_reported</t>
  </si>
  <si>
    <t>Anomaly trigger</t>
  </si>
  <si>
    <t>F) MEDICAL &amp; OCULAR HISTORY</t>
  </si>
  <si>
    <t>diabetes</t>
  </si>
  <si>
    <t>Stability impact</t>
  </si>
  <si>
    <t>hypertension</t>
  </si>
  <si>
    <t>thyroid_disorder</t>
  </si>
  <si>
    <t>prior_eye_surgery</t>
  </si>
  <si>
    <t>known_keratoconus</t>
  </si>
  <si>
    <t>known_amblyopia</t>
  </si>
  <si>
    <t>current_eye_infection_or_inflammation</t>
  </si>
  <si>
    <t>Safety flag</t>
  </si>
  <si>
    <t>G) PATIENT PREFERENCE &amp; OUTCOME TARGET</t>
  </si>
  <si>
    <t>priority</t>
  </si>
  <si>
    <t>Endpoint bias</t>
  </si>
  <si>
    <t>distance_target</t>
  </si>
  <si>
    <t>Target acuity</t>
  </si>
  <si>
    <t>near_priority</t>
  </si>
  <si>
    <t>Near workflow</t>
  </si>
  <si>
    <t xml:space="preserve">IDENTIFIERS &amp; SESSION CONTEXT                                                </t>
  </si>
  <si>
    <t xml:space="preserve">DEMOGRAPHICS &amp; USAGE PROFILE                                                </t>
  </si>
  <si>
    <t xml:space="preserve">REASON FOR VISIT &amp; SYMPTOMS						</t>
  </si>
  <si>
    <t xml:space="preserve">CURRENT EYEWEAR &amp; ADAPTATION                                                </t>
  </si>
  <si>
    <t xml:space="preserve">RECENCY &amp; STABILITY INDICATORS                                                </t>
  </si>
  <si>
    <t xml:space="preserve">MEDICAL &amp; OCULAR HISTORY                                                </t>
  </si>
  <si>
    <t xml:space="preserve">PATIENT PREFERENCE &amp; OUTCOME TARGET						</t>
  </si>
  <si>
    <t>Male</t>
  </si>
  <si>
    <t>Outdoor</t>
  </si>
  <si>
    <t>Desk-job</t>
  </si>
  <si>
    <t>Blurred distance</t>
  </si>
  <si>
    <t>Night driving difficulty, Double vision, Watering</t>
  </si>
  <si>
    <t>None</t>
  </si>
  <si>
    <t>Not applicable</t>
  </si>
  <si>
    <t>Sharpest vision</t>
  </si>
  <si>
    <t>Aim 6/6 if possible</t>
  </si>
  <si>
    <t>High</t>
  </si>
  <si>
    <t>Female</t>
  </si>
  <si>
    <t>Indoor</t>
  </si>
  <si>
    <t>Routine check</t>
  </si>
  <si>
    <t>Hybrid</t>
  </si>
  <si>
    <t>Headache</t>
  </si>
  <si>
    <t>Single Vision</t>
  </si>
  <si>
    <t>Satisfied</t>
  </si>
  <si>
    <t>Comfort-first</t>
  </si>
  <si>
    <t>Low</t>
  </si>
  <si>
    <t>09.03.2026</t>
  </si>
  <si>
    <t>Student</t>
  </si>
  <si>
    <t>Balanced</t>
  </si>
  <si>
    <t>Watering</t>
  </si>
  <si>
    <t>Not satisfied</t>
  </si>
  <si>
    <t>Progressive</t>
  </si>
  <si>
    <t>dv_age_bucket</t>
  </si>
  <si>
    <t>dv_distance_priority</t>
  </si>
  <si>
    <t>dv_near_priority</t>
  </si>
  <si>
    <t>dv_symptom_risk_level</t>
  </si>
  <si>
    <t>dv_medical_risk_level</t>
  </si>
  <si>
    <t>dv_stability_level</t>
  </si>
  <si>
    <t>dv_ar_lenso_mismatch_level_RE</t>
  </si>
  <si>
    <t>dv_ar_lenso_mismatch_level_LE</t>
  </si>
  <si>
    <t>dv_start_source_policy</t>
  </si>
  <si>
    <t>dv_start_rx_RE_sph</t>
  </si>
  <si>
    <t>dv_start_rx_RE_cyl</t>
  </si>
  <si>
    <t>dv_start_rx_RE_axis</t>
  </si>
  <si>
    <t>dv_start_rx_LE_sph</t>
  </si>
  <si>
    <t>dv_start_rx_LE_cyl</t>
  </si>
  <si>
    <t>dv_start_rx_LE_axis</t>
  </si>
  <si>
    <t>dv_add_expected</t>
  </si>
  <si>
    <t>dv_target_distance_va</t>
  </si>
  <si>
    <t>dv_endpoint_bias_policy</t>
  </si>
  <si>
    <t>dv_step_size_policy</t>
  </si>
  <si>
    <t>dv_max_delta_from_start_sph</t>
  </si>
  <si>
    <t>dv_max_delta_from_ar_sph</t>
  </si>
  <si>
    <t>dv_axis_tolerance_deg</t>
  </si>
  <si>
    <t>dv_cyl_tolerance_D</t>
  </si>
  <si>
    <t>dv_requires_optom_review</t>
  </si>
  <si>
    <t>dv_anomaly_watch</t>
  </si>
  <si>
    <t>dv_expected_convergence_time</t>
  </si>
  <si>
    <t>dv_branching_guardrails</t>
  </si>
  <si>
    <t>dv_confidence_requirement</t>
  </si>
  <si>
    <t>dv_fogging_policy</t>
  </si>
  <si>
    <t>dv_fogging_amount_D</t>
  </si>
  <si>
    <t>dv_fogging_clearance_mode</t>
  </si>
  <si>
    <t>dv_fogging_required_confirmation</t>
  </si>
  <si>
    <t>dv_axis_step_policy</t>
  </si>
  <si>
    <t>dv_duochrome_max_flips</t>
  </si>
  <si>
    <t>dv_near_test_required</t>
  </si>
  <si>
    <t>step</t>
  </si>
  <si>
    <t>state</t>
  </si>
  <si>
    <t>phase_name</t>
  </si>
  <si>
    <t>phase_type</t>
  </si>
  <si>
    <t>stimulus_type</t>
  </si>
  <si>
    <t>chart_type</t>
  </si>
  <si>
    <t>response_type</t>
  </si>
  <si>
    <t>response_value</t>
  </si>
  <si>
    <t>opt_1</t>
  </si>
  <si>
    <t>opt_2</t>
  </si>
  <si>
    <t>opt_3</t>
  </si>
  <si>
    <t>opt_4</t>
  </si>
  <si>
    <t>opt_5</t>
  </si>
  <si>
    <t>opt_6</t>
  </si>
  <si>
    <t>question</t>
  </si>
  <si>
    <t>eye</t>
  </si>
  <si>
    <t>chart_param</t>
  </si>
  <si>
    <t>RE_sph</t>
  </si>
  <si>
    <t>RE_cyl</t>
  </si>
  <si>
    <t>RE_axis</t>
  </si>
  <si>
    <t>LE_sph</t>
  </si>
  <si>
    <t>LE_cyl</t>
  </si>
  <si>
    <t>LE_axis</t>
  </si>
  <si>
    <t>ADD_R</t>
  </si>
  <si>
    <t>ADD_L</t>
  </si>
  <si>
    <t>target_line</t>
  </si>
  <si>
    <t>sph_step</t>
  </si>
  <si>
    <t>cyl_step</t>
  </si>
  <si>
    <t>axis_step</t>
  </si>
  <si>
    <t>fog_policy</t>
  </si>
  <si>
    <t>fog_amount</t>
  </si>
  <si>
    <t>fog_clearance_mode</t>
  </si>
  <si>
    <t>fog_confirm_required</t>
  </si>
  <si>
    <t>dS_RE</t>
  </si>
  <si>
    <t>dC_RE</t>
  </si>
  <si>
    <t>dA_RE</t>
  </si>
  <si>
    <t>dS_LE</t>
  </si>
  <si>
    <t>dC_LE</t>
  </si>
  <si>
    <t>dA_LE</t>
  </si>
  <si>
    <t>dADD_R</t>
  </si>
  <si>
    <t>dADD_L</t>
  </si>
  <si>
    <t>next_chart_param</t>
  </si>
  <si>
    <t>chart_idx</t>
  </si>
  <si>
    <t>target_chart_idx</t>
  </si>
  <si>
    <t>same_streak</t>
  </si>
  <si>
    <t>phase_step_count</t>
  </si>
  <si>
    <t>prev_axis_response</t>
  </si>
  <si>
    <t>duo_iter</t>
  </si>
  <si>
    <t>duo_flip</t>
  </si>
  <si>
    <t>next_state</t>
  </si>
  <si>
    <t>row_active</t>
  </si>
  <si>
    <t>READABLE</t>
  </si>
  <si>
    <t>BLURRY</t>
  </si>
  <si>
    <t>BETTER_2</t>
  </si>
  <si>
    <t>BETTER_1</t>
  </si>
  <si>
    <t>SAME</t>
  </si>
  <si>
    <t>RED_CLEARER</t>
  </si>
  <si>
    <t>GREEN_CLEARER</t>
  </si>
  <si>
    <t>TOP_CLEARER</t>
  </si>
  <si>
    <t>TARGET_OK</t>
  </si>
  <si>
    <t>Parameter_Key</t>
  </si>
  <si>
    <t>Value</t>
  </si>
  <si>
    <t>Unit_or_Type</t>
  </si>
  <si>
    <t>Allowed_Values</t>
  </si>
  <si>
    <t>Notes_Used_By</t>
  </si>
  <si>
    <t>Parameter_Explanation</t>
  </si>
  <si>
    <t>SYSTEM</t>
  </si>
  <si>
    <t>system_version</t>
  </si>
  <si>
    <t>text</t>
  </si>
  <si>
    <t>any</t>
  </si>
  <si>
    <t>Version tracking</t>
  </si>
  <si>
    <t>Version number of the calibration setup</t>
  </si>
  <si>
    <t>active_profile</t>
  </si>
  <si>
    <t>Default</t>
  </si>
  <si>
    <t>Calibration profile name</t>
  </si>
  <si>
    <t>Name of the currently active calibration profile</t>
  </si>
  <si>
    <t>PATIENT_TO_DV</t>
  </si>
  <si>
    <t>age_child_max</t>
  </si>
  <si>
    <t>years</t>
  </si>
  <si>
    <t>integer</t>
  </si>
  <si>
    <t>Maximum age classified as Child</t>
  </si>
  <si>
    <t>age_presbyope_min</t>
  </si>
  <si>
    <t>Minimum age classified as Presbyope</t>
  </si>
  <si>
    <t>driving_hours_high</t>
  </si>
  <si>
    <t>hours</t>
  </si>
  <si>
    <t>float/int</t>
  </si>
  <si>
    <t>Driving time threshold above which distance priority becomes high</t>
  </si>
  <si>
    <t>screen_time_high</t>
  </si>
  <si>
    <t>Screen-time threshold above which near priority becomes high</t>
  </si>
  <si>
    <t>near_work_hours_high</t>
  </si>
  <si>
    <t>Near-work threshold above which near priority becomes high</t>
  </si>
  <si>
    <t>last_eye_test_uncertain_months</t>
  </si>
  <si>
    <t>months</t>
  </si>
  <si>
    <t>Months after which refraction history is considered uncertain</t>
  </si>
  <si>
    <t>add_possible_min_age</t>
  </si>
  <si>
    <t>Minimum age at which ADD can become possible</t>
  </si>
  <si>
    <t>add_likely_min_age</t>
  </si>
  <si>
    <t>Minimum age at which ADD is likely</t>
  </si>
  <si>
    <t>allow_high_near_priority_to_force_near</t>
  </si>
  <si>
    <t>boolean</t>
  </si>
  <si>
    <t>TRUE/FALSE</t>
  </si>
  <si>
    <t>dv_add_expected / near workflow trigger</t>
  </si>
  <si>
    <t>If TRUE, high near priority can trigger near workflow even without strong age evidence</t>
  </si>
  <si>
    <t>MISMATCH_THRESHOLDS</t>
  </si>
  <si>
    <t>mismatch_re_sph_medium</t>
  </si>
  <si>
    <t>D</t>
  </si>
  <si>
    <t>float</t>
  </si>
  <si>
    <t>Medium mismatch threshold for RE sphere difference between AR and Lenso</t>
  </si>
  <si>
    <t>mismatch_re_sph_large</t>
  </si>
  <si>
    <t>Large mismatch threshold for RE sphere difference between AR and Lenso</t>
  </si>
  <si>
    <t>mismatch_re_cyl_medium</t>
  </si>
  <si>
    <t>Medium mismatch threshold for RE cylinder difference between AR and Lenso</t>
  </si>
  <si>
    <t>mismatch_re_cyl_large</t>
  </si>
  <si>
    <t>Large mismatch threshold for RE cylinder difference between AR and Lenso</t>
  </si>
  <si>
    <t>mismatch_re_axis_medium</t>
  </si>
  <si>
    <t>deg</t>
  </si>
  <si>
    <t>Medium mismatch threshold for RE axis difference between AR and Lenso</t>
  </si>
  <si>
    <t>mismatch_re_axis_large</t>
  </si>
  <si>
    <t>Large mismatch threshold for RE axis difference between AR and Lenso</t>
  </si>
  <si>
    <t>mismatch_le_sph_medium</t>
  </si>
  <si>
    <t>Medium mismatch threshold for LE sphere difference between AR and Lenso</t>
  </si>
  <si>
    <t>mismatch_le_sph_large</t>
  </si>
  <si>
    <t>Large mismatch threshold for LE sphere difference between AR and Lenso</t>
  </si>
  <si>
    <t>mismatch_le_cyl_medium</t>
  </si>
  <si>
    <t>Medium mismatch threshold for LE cylinder difference between AR and Lenso</t>
  </si>
  <si>
    <t>mismatch_le_cyl_large</t>
  </si>
  <si>
    <t>Large mismatch threshold for LE cylinder difference between AR and Lenso</t>
  </si>
  <si>
    <t>mismatch_le_axis_medium</t>
  </si>
  <si>
    <t>Medium mismatch threshold for LE axis difference between AR and Lenso</t>
  </si>
  <si>
    <t>mismatch_le_axis_large</t>
  </si>
  <si>
    <t>Large mismatch threshold for LE axis difference between AR and Lenso</t>
  </si>
  <si>
    <t>START_POLICY</t>
  </si>
  <si>
    <t>start_policy_if_only_ar</t>
  </si>
  <si>
    <t>Start_AR</t>
  </si>
  <si>
    <t>Start_AR/Start_Lenso/Hybrid</t>
  </si>
  <si>
    <t>Start policy when only AR data exists</t>
  </si>
  <si>
    <t>start_policy_if_only_lenso</t>
  </si>
  <si>
    <t>Start_Lenso</t>
  </si>
  <si>
    <t>Start policy when only Lenso data exists</t>
  </si>
  <si>
    <t>start_policy_if_satisfied_small_mismatch</t>
  </si>
  <si>
    <t>Start policy when current prescription is satisfactory and mismatch is small</t>
  </si>
  <si>
    <t>start_policy_if_unsatisfied_or_blur</t>
  </si>
  <si>
    <t>Start policy when patient is unsatisfied or reports blur</t>
  </si>
  <si>
    <t>start_policy_if_large_mismatch_or_unstable</t>
  </si>
  <si>
    <t>Start policy when mismatch is large or stability is poor</t>
  </si>
  <si>
    <t>hybrid_rounding_step</t>
  </si>
  <si>
    <t>dv_start_rx_* hybrid averaging</t>
  </si>
  <si>
    <t>Rounding step used when averaging AR and Lenso values in Hybrid mode</t>
  </si>
  <si>
    <t>DISTANCE_TARGET</t>
  </si>
  <si>
    <t>default_distance_target</t>
  </si>
  <si>
    <t>6/6_target</t>
  </si>
  <si>
    <t>6/6_target/6/9_acceptable</t>
  </si>
  <si>
    <t>Default target for distance acuity</t>
  </si>
  <si>
    <t>high_risk_distance_target</t>
  </si>
  <si>
    <t>6/9_acceptable</t>
  </si>
  <si>
    <t>Distance acuity target used when risk or instability is high</t>
  </si>
  <si>
    <t>distance_target_6_6_chart</t>
  </si>
  <si>
    <t>20_20_20</t>
  </si>
  <si>
    <t>chart label</t>
  </si>
  <si>
    <t>FSM target_line</t>
  </si>
  <si>
    <t>Chart group used to represent 6/6 endpoint</t>
  </si>
  <si>
    <t>distance_target_6_9_chart</t>
  </si>
  <si>
    <t>40_30_25</t>
  </si>
  <si>
    <t>Chart group used to represent 6/9 acceptable endpoint</t>
  </si>
  <si>
    <t>ENDPOINT_BIAS</t>
  </si>
  <si>
    <t>comfort_presbyope_high_near_bias</t>
  </si>
  <si>
    <t>Undercorrect</t>
  </si>
  <si>
    <t>Neutral/Undercorrect/Overcorrect</t>
  </si>
  <si>
    <t>Bias used when patient prioritizes comfort and near vision</t>
  </si>
  <si>
    <t>driver_night_issue_bias</t>
  </si>
  <si>
    <t>Overcorrect</t>
  </si>
  <si>
    <t>Bias used for drivers or patients with night vision demands</t>
  </si>
  <si>
    <t>high_symptom_bias</t>
  </si>
  <si>
    <t>Neutral</t>
  </si>
  <si>
    <t>Bias used when symptom risk is high</t>
  </si>
  <si>
    <t>undercorrect_step</t>
  </si>
  <si>
    <t>duochrome/final sphere</t>
  </si>
  <si>
    <t>Amount of plus bias used for undercorrection</t>
  </si>
  <si>
    <t>overcorrect_step</t>
  </si>
  <si>
    <t>Amount of minus bias used for overcorrection</t>
  </si>
  <si>
    <t>STEP_POLICY</t>
  </si>
  <si>
    <t>conservative_sph_step</t>
  </si>
  <si>
    <t>FSM sph_step</t>
  </si>
  <si>
    <t>Sphere step used in Conservative mode</t>
  </si>
  <si>
    <t>standard_sph_step</t>
  </si>
  <si>
    <t>Sphere step used in Standard mode</t>
  </si>
  <si>
    <t>aggressive_sph_step</t>
  </si>
  <si>
    <t>Sphere step used in Aggressive mode</t>
  </si>
  <si>
    <t>conservative_cyl_step</t>
  </si>
  <si>
    <t>FSM cyl_step</t>
  </si>
  <si>
    <t>Cylinder step used in Conservative mode</t>
  </si>
  <si>
    <t>standard_cyl_step</t>
  </si>
  <si>
    <t>Cylinder step used in Standard mode</t>
  </si>
  <si>
    <t>aggressive_cyl_step</t>
  </si>
  <si>
    <t>Cylinder step used in Aggressive mode</t>
  </si>
  <si>
    <t>AXIS_POLICY</t>
  </si>
  <si>
    <t>axis_start_step</t>
  </si>
  <si>
    <t>FSM axis_step initialization</t>
  </si>
  <si>
    <t>Initial JCC axis refinement step</t>
  </si>
  <si>
    <t>axis_reversal_step_1</t>
  </si>
  <si>
    <t>FSM axis_step after first reversal</t>
  </si>
  <si>
    <t>Axis step after first preference reversal</t>
  </si>
  <si>
    <t>axis_reversal_step_2</t>
  </si>
  <si>
    <t>FSM axis_step after second reversal</t>
  </si>
  <si>
    <t>Axis step after second preference reversal</t>
  </si>
  <si>
    <t>axis_fine_allowed_policy</t>
  </si>
  <si>
    <t>Fine</t>
  </si>
  <si>
    <t>Normal/Fine</t>
  </si>
  <si>
    <t>dv_axis_step_policy interpretation</t>
  </si>
  <si>
    <t>Policy that allows 1 degree refinement</t>
  </si>
  <si>
    <t>axis_tol_strict</t>
  </si>
  <si>
    <t>Axis tolerance used when branching guardrails are strict</t>
  </si>
  <si>
    <t>axis_tol_normal</t>
  </si>
  <si>
    <t>Axis tolerance used when branching guardrails are normal</t>
  </si>
  <si>
    <t>axis_tol_relaxed</t>
  </si>
  <si>
    <t>Axis tolerance used when branching guardrails are relaxed</t>
  </si>
  <si>
    <t>CYL_POLICY</t>
  </si>
  <si>
    <t>cyl_tol_conservative</t>
  </si>
  <si>
    <t>Cylinder tolerance used in Conservative mode</t>
  </si>
  <si>
    <t>cyl_tol_standard</t>
  </si>
  <si>
    <t>Cylinder tolerance used in Standard mode</t>
  </si>
  <si>
    <t>cyl_tol_aggressive</t>
  </si>
  <si>
    <t>Cylinder tolerance used in Aggressive mode</t>
  </si>
  <si>
    <t>jcc_power_same_low</t>
  </si>
  <si>
    <t>count</t>
  </si>
  <si>
    <t>FSM JCC power convergence</t>
  </si>
  <si>
    <t>Number of SAME confirmations required in low confidence cases</t>
  </si>
  <si>
    <t>jcc_power_same_medium</t>
  </si>
  <si>
    <t>Number of SAME confirmations required in medium confidence cases</t>
  </si>
  <si>
    <t>jcc_power_same_high</t>
  </si>
  <si>
    <t>Number of SAME confirmations required in high confidence cases</t>
  </si>
  <si>
    <t>FOGGING</t>
  </si>
  <si>
    <t>no_fog_amount</t>
  </si>
  <si>
    <t>Sphere shift added when no fogging is applied</t>
  </si>
  <si>
    <t>standard_fog_amount</t>
  </si>
  <si>
    <t>Sphere fog amount used for standard fogging</t>
  </si>
  <si>
    <t>strong_fog_amount</t>
  </si>
  <si>
    <t>Sphere fog amount used for strong fogging</t>
  </si>
  <si>
    <t>strong_fog_if_presbyope</t>
  </si>
  <si>
    <t>If TRUE, presbyopes receive strong fogging</t>
  </si>
  <si>
    <t>strong_fog_if_unstable</t>
  </si>
  <si>
    <t>If TRUE, unstable cases receive strong fogging</t>
  </si>
  <si>
    <t>strong_fog_if_high_medical</t>
  </si>
  <si>
    <t>If TRUE, high medical risk cases receive strong fogging</t>
  </si>
  <si>
    <t>strong_fog_if_high_symptom</t>
  </si>
  <si>
    <t>If TRUE, high symptom risk cases receive strong fogging</t>
  </si>
  <si>
    <t>standard_fog_if_adult_stable_moderate_risk</t>
  </si>
  <si>
    <t>If TRUE, moderate-risk stable adults receive standard fogging</t>
  </si>
  <si>
    <t>stepdown_mode_strong_6_9</t>
  </si>
  <si>
    <t>Early_Stop_if_Risk</t>
  </si>
  <si>
    <t>mode</t>
  </si>
  <si>
    <t>Fog clearance mode used when strong fog and 6/9 endpoint is acceptable</t>
  </si>
  <si>
    <t>stepdown_mode_strong_6_6</t>
  </si>
  <si>
    <t>StepDown_0.25</t>
  </si>
  <si>
    <t>Fog clearance mode used when strong fog but full 6/6 target is desired</t>
  </si>
  <si>
    <t>stepdown_mode_standard</t>
  </si>
  <si>
    <t>StepDown_0.50_then_0.25</t>
  </si>
  <si>
    <t>Fog clearance mode used for standard fogging</t>
  </si>
  <si>
    <t>fog_confirm_low</t>
  </si>
  <si>
    <t>Number of confirmations required before fog is considered cleared in low confidence cases</t>
  </si>
  <si>
    <t>fog_confirm_medium</t>
  </si>
  <si>
    <t>Number of confirmations required before fog is considered cleared in medium confidence cases</t>
  </si>
  <si>
    <t>fog_confirm_high</t>
  </si>
  <si>
    <t>Number of confirmations required before fog is considered cleared in high confidence cases</t>
  </si>
  <si>
    <t>DUOCHROME</t>
  </si>
  <si>
    <t>duochrome_red_step</t>
  </si>
  <si>
    <t>FSM dS in duochrome</t>
  </si>
  <si>
    <t>Sphere adjustment applied when red is clearer</t>
  </si>
  <si>
    <t>duochrome_green_step</t>
  </si>
  <si>
    <t>Sphere adjustment applied when green is clearer</t>
  </si>
  <si>
    <t>duochrome_equal_confirmations</t>
  </si>
  <si>
    <t>FSM duochrome convergence</t>
  </si>
  <si>
    <t>Number of consecutive equal responses needed for duochrome convergence</t>
  </si>
  <si>
    <t>duochrome_max_flips_strict</t>
  </si>
  <si>
    <t>Maximum red-green flips allowed in strict cases</t>
  </si>
  <si>
    <t>duochrome_max_flips_normal</t>
  </si>
  <si>
    <t>Maximum red-green flips allowed in normal cases</t>
  </si>
  <si>
    <t>duochrome_max_flips_relaxed</t>
  </si>
  <si>
    <t>Maximum red-green flips allowed in relaxed cases</t>
  </si>
  <si>
    <t>BINOC_BALANCE</t>
  </si>
  <si>
    <t>bino_balance_step</t>
  </si>
  <si>
    <t>FSM K phase</t>
  </si>
  <si>
    <t>Sphere adjustment used during binocular balance</t>
  </si>
  <si>
    <t>bino_balance_same_required</t>
  </si>
  <si>
    <t>FSM K convergence</t>
  </si>
  <si>
    <t>Number of SAME confirmations needed before leaving binocular balance</t>
  </si>
  <si>
    <t>NEAR_WORKFLOW</t>
  </si>
  <si>
    <t>trigger_near_if_dv_add_expected_possible</t>
  </si>
  <si>
    <t>FSM K -&gt; P decision</t>
  </si>
  <si>
    <t>If TRUE, a Possible ADD expectation is enough to trigger near workflow</t>
  </si>
  <si>
    <t>trigger_near_if_dv_add_expected_likely</t>
  </si>
  <si>
    <t>If TRUE, a Likely ADD expectation is enough to trigger near workflow</t>
  </si>
  <si>
    <t>near_add_step</t>
  </si>
  <si>
    <t>FSM P/Q/R phases</t>
  </si>
  <si>
    <t>Sphere ADD increment used during near add workflow</t>
  </si>
  <si>
    <t>near_binoc_target_response</t>
  </si>
  <si>
    <t>response label</t>
  </si>
  <si>
    <t>FSM R convergence</t>
  </si>
  <si>
    <t>Response that indicates binocular near endpoint has been reached</t>
  </si>
  <si>
    <t>ESCALATION</t>
  </si>
  <si>
    <t>max_delta_start_conservative</t>
  </si>
  <si>
    <t>Maximum allowed drift from start sphere in conservative mode</t>
  </si>
  <si>
    <t>max_delta_start_standard</t>
  </si>
  <si>
    <t>Maximum allowed drift from start sphere in standard mode</t>
  </si>
  <si>
    <t>max_delta_start_aggressive</t>
  </si>
  <si>
    <t>Maximum allowed drift from start sphere in aggressive mode</t>
  </si>
  <si>
    <t>max_delta_ar_standard</t>
  </si>
  <si>
    <t>Maximum allowed drift from AR sphere in standard cases</t>
  </si>
  <si>
    <t>max_delta_ar_high_medical</t>
  </si>
  <si>
    <t>Maximum allowed drift from AR sphere in high medical risk cases</t>
  </si>
  <si>
    <t>immediate_review_if_high_symptom</t>
  </si>
  <si>
    <t>If TRUE, high symptom risk immediately triggers optometrist review</t>
  </si>
  <si>
    <t>immediate_review_if_high_medical</t>
  </si>
  <si>
    <t>If TRUE, high medical risk immediately triggers optometrist review</t>
  </si>
  <si>
    <t>anomaly_watch_if_hybrid</t>
  </si>
  <si>
    <t>If TRUE, hybrid start policy automatically enables anomaly watch</t>
  </si>
  <si>
    <t>anomaly_watch_if_unstable</t>
  </si>
  <si>
    <t>If TRUE, unstable cases automatically enable anomaly watch</t>
  </si>
  <si>
    <t>anomaly_watch_if_large_mismatch</t>
  </si>
  <si>
    <t>If TRUE, large AR-Lenso mismatch enables anomaly watch</t>
  </si>
  <si>
    <t>PHASE_TIMEOUTS</t>
  </si>
  <si>
    <t>timeout_coarse_fast</t>
  </si>
  <si>
    <t>steps</t>
  </si>
  <si>
    <t>FSM phaseMax</t>
  </si>
  <si>
    <t>Maximum allowed coarse sphere iterations in fast cases</t>
  </si>
  <si>
    <t>timeout_coarse_normal</t>
  </si>
  <si>
    <t>Maximum allowed coarse sphere iterations in normal cases</t>
  </si>
  <si>
    <t>timeout_coarse_slow</t>
  </si>
  <si>
    <t>Maximum allowed coarse sphere iterations in slow cases</t>
  </si>
  <si>
    <t>timeout_jcc_fast</t>
  </si>
  <si>
    <t>Maximum allowed JCC axis/power iterations in fast cases</t>
  </si>
  <si>
    <t>timeout_jcc_normal</t>
  </si>
  <si>
    <t>Maximum allowed JCC axis/power iterations in normal cases</t>
  </si>
  <si>
    <t>timeout_jcc_slow</t>
  </si>
  <si>
    <t>Maximum allowed JCC axis/power iterations in slow cases</t>
  </si>
  <si>
    <t>timeout_duochrome_fast</t>
  </si>
  <si>
    <t>Maximum allowed duochrome iterations in fast cases</t>
  </si>
  <si>
    <t>timeout_duochrome_normal</t>
  </si>
  <si>
    <t>Maximum allowed duochrome iterations in normal cases</t>
  </si>
  <si>
    <t>timeout_duochrome_slow</t>
  </si>
  <si>
    <t>Maximum allowed duochrome iterations in slow cases</t>
  </si>
  <si>
    <t>timeout_bino_fast</t>
  </si>
  <si>
    <t>Maximum allowed binocular balance iterations in fast cases</t>
  </si>
  <si>
    <t>timeout_bino_normal</t>
  </si>
  <si>
    <t>Maximum allowed binocular balance iterations in normal cases</t>
  </si>
  <si>
    <t>timeout_bino_slow</t>
  </si>
  <si>
    <t>Maximum allowed binocular balance iterations in slow cases</t>
  </si>
  <si>
    <t>timeout_near_fast</t>
  </si>
  <si>
    <t>Maximum allowed near workflow iterations in fast cases</t>
  </si>
  <si>
    <t>timeout_near_normal</t>
  </si>
  <si>
    <t>Maximum allowed near workflow iterations in normal cases</t>
  </si>
  <si>
    <t>timeout_near_slow</t>
  </si>
  <si>
    <t>Maximum allowed near workflow iterations in slow cases</t>
  </si>
  <si>
    <t>CHARTS</t>
  </si>
  <si>
    <t>dist_chart_1</t>
  </si>
  <si>
    <t>Distance chart ladder</t>
  </si>
  <si>
    <t>First / easiest distance chart group</t>
  </si>
  <si>
    <t>dist_chart_2</t>
  </si>
  <si>
    <t>200_150</t>
  </si>
  <si>
    <t>Second distance chart group</t>
  </si>
  <si>
    <t>dist_chart_3</t>
  </si>
  <si>
    <t>100_80</t>
  </si>
  <si>
    <t>Third distance chart group</t>
  </si>
  <si>
    <t>dist_chart_4</t>
  </si>
  <si>
    <t>70_60_50</t>
  </si>
  <si>
    <t>Fourth distance chart group</t>
  </si>
  <si>
    <t>dist_chart_5</t>
  </si>
  <si>
    <t>Fifth distance chart group</t>
  </si>
  <si>
    <t>dist_chart_6</t>
  </si>
  <si>
    <t>Final / hardest distance chart group</t>
  </si>
  <si>
    <t>Derived Variable</t>
  </si>
  <si>
    <t>Type</t>
  </si>
  <si>
    <t>Derived From</t>
  </si>
  <si>
    <t>Deterministic Derivation Logic</t>
  </si>
  <si>
    <t>Used By FSM For</t>
  </si>
  <si>
    <t>Child / Adult / Presbyope</t>
  </si>
  <si>
    <t>Patient.age_years</t>
  </si>
  <si>
    <t>Child if &lt;18; Presbyope if ≥40; else Adult</t>
  </si>
  <si>
    <t>Near workflow gating, ADD likelihood</t>
  </si>
  <si>
    <t>High / Medium / Low</t>
  </si>
  <si>
    <t>occupation_type, driving_time_hours</t>
  </si>
  <si>
    <t>High if driving ≥2h/day OR occupation=Driver; else Medium; reduce to Low if comfort-first</t>
  </si>
  <si>
    <t>Endpoint bias and target VA</t>
  </si>
  <si>
    <t>screen_time_hours, near_work_hours, near_priority</t>
  </si>
  <si>
    <t>Use patient input if present; else High if screen≥6h OR near work≥4h</t>
  </si>
  <si>
    <t>Near workflow weighting</t>
  </si>
  <si>
    <t>None / Moderate / High</t>
  </si>
  <si>
    <t>High if sudden vision change OR diplopia; Moderate if glare/halos/night difficulty/fluctuation; else None</t>
  </si>
  <si>
    <t>Escalation logic and safety overrides</t>
  </si>
  <si>
    <t>diabetes, surgery, keratoconus, amblyopia, infection</t>
  </si>
  <si>
    <t>High if keratoconus OR infection; Moderate if diabetes/surgery/amblyopia</t>
  </si>
  <si>
    <t>Tightens thresholds and convergence rules</t>
  </si>
  <si>
    <t>Stable / Uncertain / Unstable</t>
  </si>
  <si>
    <t>fluctuating_vision, rx_change, last_eye_test</t>
  </si>
  <si>
    <t>Unstable if fluctuating or large RX change; Uncertain if last test &gt;24m; else Stable</t>
  </si>
  <si>
    <t>Step policy and confirmation requirements</t>
  </si>
  <si>
    <t>Small / Medium / Large</t>
  </si>
  <si>
    <t>AR_RE vs Lenso_RE</t>
  </si>
  <si>
    <t>Large if ΔSPH ≥1.50 OR ΔCYL ≥1.00 OR axis diff ≥30°; Medium if moderate difference; else Small</t>
  </si>
  <si>
    <t>Determines start policy and anomaly watch</t>
  </si>
  <si>
    <t>AR_LE vs Lenso_LE</t>
  </si>
  <si>
    <t>Same logic as RE</t>
  </si>
  <si>
    <t>Same</t>
  </si>
  <si>
    <t>Start_AR / Start_Lenso / Hybrid</t>
  </si>
  <si>
    <t>satisfaction_with_current_rx, mismatch levels, stability</t>
  </si>
  <si>
    <t>Start_Lenso if satisfied and mismatch small; Start_AR if unsatisfied or blur complaint; Hybrid if mismatch large or unstable</t>
  </si>
  <si>
    <t>Determines starting refraction</t>
  </si>
  <si>
    <t>Diopters</t>
  </si>
  <si>
    <t>AR_RE / Lenso_RE / Hybrid</t>
  </si>
  <si>
    <t>Start_AR → AR value; Start_Lenso → Lenso value; Hybrid → mean(AR,Lenso) rounded to 0.25</t>
  </si>
  <si>
    <t>Initial RE sphere</t>
  </si>
  <si>
    <t>AR_RE / Lenso_RE</t>
  </si>
  <si>
    <t>Same logic</t>
  </si>
  <si>
    <t>Initial RE cylinder</t>
  </si>
  <si>
    <t>Int</t>
  </si>
  <si>
    <t>Degrees</t>
  </si>
  <si>
    <t>Initial RE axis</t>
  </si>
  <si>
    <t>AR_LE / Lenso_LE</t>
  </si>
  <si>
    <t>Initial LE sphere</t>
  </si>
  <si>
    <t>Initial LE cylinder</t>
  </si>
  <si>
    <t>Initial LE axis</t>
  </si>
  <si>
    <t>None / Possible / Likely</t>
  </si>
  <si>
    <t>age_years, wear_type, Lenso_ADD</t>
  </si>
  <si>
    <t>Likely if ≥42 or progressive/bifocal or ADD present; Possible if 38–41 with high near priority</t>
  </si>
  <si>
    <t>Triggers near workflow</t>
  </si>
  <si>
    <t>6/6_target / 6/9_acceptable</t>
  </si>
  <si>
    <t>patient target + risk levels</t>
  </si>
  <si>
    <t>If patient target specified use it; else 6/9 acceptable if risk high or unstable; else 6/6</t>
  </si>
  <si>
    <t>Determines endpoint</t>
  </si>
  <si>
    <t>Neutral / Undercorrect / Overcorrect</t>
  </si>
  <si>
    <t>distance_priority, near_priority, age_bucket</t>
  </si>
  <si>
    <t>Near priority + presbyope → undercorrect slightly; driver/night difficulty → cautious overcorrect; otherwise neutral</t>
  </si>
  <si>
    <t>Final sphere bias</t>
  </si>
  <si>
    <t>Conservative / Standard / Aggressive</t>
  </si>
  <si>
    <t>stability + risk levels</t>
  </si>
  <si>
    <t>Conservative if unstable/high risk; Aggressive only if stable adult no risk</t>
  </si>
  <si>
    <t>Controls sphere step increments</t>
  </si>
  <si>
    <t>step policy</t>
  </si>
  <si>
    <t>Conservative 1.25D; Standard 2.00D; Aggressive 2.50D</t>
  </si>
  <si>
    <t>Drift anomaly detection</t>
  </si>
  <si>
    <t>medical risk</t>
  </si>
  <si>
    <t>Standard 3.00D; reduced to 2.00D for keratoconus/surgery</t>
  </si>
  <si>
    <t>Pathology detection</t>
  </si>
  <si>
    <t>1 / 3 / 5</t>
  </si>
  <si>
    <t>branching guardrails</t>
  </si>
  <si>
    <t>Strict →1°, Normal →3°, Relaxed →5°</t>
  </si>
  <si>
    <t>JCC axis convergence</t>
  </si>
  <si>
    <t>0.25 / 0.50</t>
  </si>
  <si>
    <t>Conservative/Standard →0.25; Aggressive →0.50</t>
  </si>
  <si>
    <t>Cylinder convergence</t>
  </si>
  <si>
    <t>symptom risk + medical risk</t>
  </si>
  <si>
    <t>TRUE if High symptom OR High medical risk OR infection</t>
  </si>
  <si>
    <t>Immediate escalation</t>
  </si>
  <si>
    <t>stability + mismatch</t>
  </si>
  <si>
    <t>TRUE if unstable OR hybrid start OR mismatch large</t>
  </si>
  <si>
    <t>Enables drift monitoring</t>
  </si>
  <si>
    <t>Fast / Normal / Slow</t>
  </si>
  <si>
    <t>age + stability + risk</t>
  </si>
  <si>
    <t>Fast only if stable adult; Slow if presbyope or unstable</t>
  </si>
  <si>
    <t>Phase timeout limits</t>
  </si>
  <si>
    <t>Strict / Normal / Relaxed</t>
  </si>
  <si>
    <t>risk + stability</t>
  </si>
  <si>
    <t>Strict if high risk/unstable; Relaxed if stable and low risk</t>
  </si>
  <si>
    <t>Limits branching decisions</t>
  </si>
  <si>
    <t>Low / Medium / High</t>
  </si>
  <si>
    <t>stability + symptom risk</t>
  </si>
  <si>
    <t>High if unstable/high risk; Medium if uncertain/moderate; Low if stable</t>
  </si>
  <si>
    <t>Confirmation thresholds</t>
  </si>
  <si>
    <t>No_Fog / Standard_Fog / Strong_Fog</t>
  </si>
  <si>
    <t>age_bucket + risk</t>
  </si>
  <si>
    <t>Strong for presbyope/high risk; Standard for adult stable moderate risk; else No_Fog</t>
  </si>
  <si>
    <t>Determines fog phase</t>
  </si>
  <si>
    <t>0 / 0.75 / 1.00</t>
  </si>
  <si>
    <t>fogging policy</t>
  </si>
  <si>
    <t>Strong →1.00D; Standard →0.75D; No fog →0</t>
  </si>
  <si>
    <t>Initial fog shift</t>
  </si>
  <si>
    <t>StepDown_0.25 / StepDown_0.50_then_0.25 / Early_Stop_if_Risk</t>
  </si>
  <si>
    <t>fog policy + VA target</t>
  </si>
  <si>
    <t>Strong fog + 6/9 target → early stop; else step-down strategy</t>
  </si>
  <si>
    <t>Fog clearing logic</t>
  </si>
  <si>
    <t>High if unstable/high risk; Medium moderate risk; Low stable</t>
  </si>
  <si>
    <t>Confirmation count</t>
  </si>
  <si>
    <t>Normal / Fine</t>
  </si>
  <si>
    <t>symptom risk + stability</t>
  </si>
  <si>
    <t>Fine if unstable or high risk; otherwise Normal</t>
  </si>
  <si>
    <t>Allows 1° axis refinement</t>
  </si>
  <si>
    <t>2–4</t>
  </si>
  <si>
    <t>stability + risk</t>
  </si>
  <si>
    <t>Stable →2 flips; Normal →3; Unstable →4</t>
  </si>
  <si>
    <t>Duochrome convergence guard</t>
  </si>
  <si>
    <t>description</t>
  </si>
  <si>
    <t>entry_actions</t>
  </si>
  <si>
    <t>guard_condition</t>
  </si>
  <si>
    <t>timeout_bucket</t>
  </si>
  <si>
    <t>timeout_action</t>
  </si>
  <si>
    <t>Distance Vision Baseline</t>
  </si>
  <si>
    <t>Initialize binocular chart and capture baseline VA</t>
  </si>
  <si>
    <t>dv_requires_optom_review=FALSE</t>
  </si>
  <si>
    <t>B</t>
  </si>
  <si>
    <t>Fast</t>
  </si>
  <si>
    <t>ESCALATE</t>
  </si>
  <si>
    <t>dv_requires_optom_review=TRUE</t>
  </si>
  <si>
    <t>Right Eye Coarse Refraction</t>
  </si>
  <si>
    <t>Occlude LE and load dv_start_rx_RE values</t>
  </si>
  <si>
    <t>VA_RE&gt;=target_va</t>
  </si>
  <si>
    <t>E</t>
  </si>
  <si>
    <t>Normal</t>
  </si>
  <si>
    <t>ACCEPT_BEST</t>
  </si>
  <si>
    <t>comparisons&gt;limit</t>
  </si>
  <si>
    <t>JCC Axis Right</t>
  </si>
  <si>
    <t>Start axis refinement</t>
  </si>
  <si>
    <t>axis_converged</t>
  </si>
  <si>
    <t>F</t>
  </si>
  <si>
    <t>JCC Power Right</t>
  </si>
  <si>
    <t>Refine cylinder power</t>
  </si>
  <si>
    <t>cyl_converged</t>
  </si>
  <si>
    <t>G</t>
  </si>
  <si>
    <t>Duochrome Right</t>
  </si>
  <si>
    <t>Perform red-green balance</t>
  </si>
  <si>
    <t>duochrome_balanced</t>
  </si>
  <si>
    <t>Left Eye Coarse Refraction</t>
  </si>
  <si>
    <t>Occlude RE and load dv_start_rx_LE values</t>
  </si>
  <si>
    <t>VA_LE&gt;=target_va</t>
  </si>
  <si>
    <t>H</t>
  </si>
  <si>
    <t>JCC Axis Left</t>
  </si>
  <si>
    <t>I</t>
  </si>
  <si>
    <t>JCC Power Left</t>
  </si>
  <si>
    <t>J</t>
  </si>
  <si>
    <t>Duochrome Left</t>
  </si>
  <si>
    <t>K</t>
  </si>
  <si>
    <t>Binocular Balance</t>
  </si>
  <si>
    <t>Perform binocular sphere balance</t>
  </si>
  <si>
    <t>dv_add_expected="None"</t>
  </si>
  <si>
    <t>END</t>
  </si>
  <si>
    <t>dv_add_expected&lt;&gt;"None"</t>
  </si>
  <si>
    <t>P</t>
  </si>
  <si>
    <t>Near ADD Right</t>
  </si>
  <si>
    <t>Determine ADD for right eye</t>
  </si>
  <si>
    <t>add_converged</t>
  </si>
  <si>
    <t>Q</t>
  </si>
  <si>
    <t>Near ADD Left</t>
  </si>
  <si>
    <t>Determine ADD for left eye</t>
  </si>
  <si>
    <t>R</t>
  </si>
  <si>
    <t>Near ADD Binocular</t>
  </si>
  <si>
    <t>Binocular near verification</t>
  </si>
  <si>
    <t>complete</t>
  </si>
  <si>
    <t>allowed_values</t>
  </si>
  <si>
    <t>DIST_BASELINE</t>
  </si>
  <si>
    <t>DIST_VA</t>
  </si>
  <si>
    <t>SNELLEN_FEET</t>
  </si>
  <si>
    <t>READABILITY</t>
  </si>
  <si>
    <t>READABLE;NOT_READABLE;BLURRY</t>
  </si>
  <si>
    <t>COARSE_SPHERE</t>
  </si>
  <si>
    <t>COARSE_SPH</t>
  </si>
  <si>
    <t>JCC_AXIS</t>
  </si>
  <si>
    <t>DOT_CHART_JCC</t>
  </si>
  <si>
    <t>COMPARE_1_2</t>
  </si>
  <si>
    <t>BETTER_1;BETTER_2;SAME;CANT_TELL</t>
  </si>
  <si>
    <t>JCC_POWER</t>
  </si>
  <si>
    <t>RED_GREEN_DUOCHROME</t>
  </si>
  <si>
    <t>COLOR_CHOICE</t>
  </si>
  <si>
    <t>RED_CLEARER;GREEN_CLEARER;EQUAL;CANT_TELL</t>
  </si>
  <si>
    <t>POLARIZED_BALANCE</t>
  </si>
  <si>
    <t>TOP_BOTTOM</t>
  </si>
  <si>
    <t>TOP_CLEARER;BOTTOM_CLEARER;SAME;CANT_TELL</t>
  </si>
  <si>
    <t>NEAR_ADD</t>
  </si>
  <si>
    <t>NEAR_VA</t>
  </si>
  <si>
    <t>NEAR_TEXT</t>
  </si>
  <si>
    <t>NEAR_READABILITY</t>
  </si>
  <si>
    <t>READABLE;NOT_READABLE;BLURRY;SAME;CANT_TELL</t>
  </si>
  <si>
    <t>NEAR_BINOC</t>
  </si>
  <si>
    <t>TARGET_OK;NOT_CLEAR;SAME;CANT_TELL</t>
  </si>
  <si>
    <t>Distance Baseline</t>
  </si>
  <si>
    <t>BIN</t>
  </si>
  <si>
    <t>Coarse Sphere RE</t>
  </si>
  <si>
    <t>RE</t>
  </si>
  <si>
    <t>JCC Axis RE</t>
  </si>
  <si>
    <t>JCC Power RE</t>
  </si>
  <si>
    <t>Duochrome RE</t>
  </si>
  <si>
    <t>Coarse Sphere LE</t>
  </si>
  <si>
    <t>LE</t>
  </si>
  <si>
    <t>JCC Axis LE</t>
  </si>
  <si>
    <t>JCC Power LE</t>
  </si>
  <si>
    <t>Duochrome LE</t>
  </si>
  <si>
    <t>Near ADD RE</t>
  </si>
  <si>
    <t>Near ADD LE</t>
  </si>
  <si>
    <t>Near Binocular Verify</t>
  </si>
  <si>
    <t>End</t>
  </si>
  <si>
    <t>Escalation</t>
  </si>
  <si>
    <t>idx</t>
  </si>
  <si>
    <t>line</t>
  </si>
  <si>
    <t>List Name</t>
  </si>
  <si>
    <t>Values</t>
  </si>
  <si>
    <t>True</t>
  </si>
  <si>
    <t>False</t>
  </si>
  <si>
    <t>Other</t>
  </si>
  <si>
    <t>Prefer not to say</t>
  </si>
  <si>
    <t>Field-job</t>
  </si>
  <si>
    <t>Driver</t>
  </si>
  <si>
    <t>Homemaker</t>
  </si>
  <si>
    <t>Retired</t>
  </si>
  <si>
    <t>primary_device</t>
  </si>
  <si>
    <t>Mobile</t>
  </si>
  <si>
    <t>Laptop</t>
  </si>
  <si>
    <t>Desktop</t>
  </si>
  <si>
    <t>Mixed</t>
  </si>
  <si>
    <t>Blurred near</t>
  </si>
  <si>
    <t>Eye strain</t>
  </si>
  <si>
    <t>Current eyewear fitting issue</t>
  </si>
  <si>
    <t>New eyewear desired</t>
  </si>
  <si>
    <t>Glare/halos (night)</t>
  </si>
  <si>
    <t>Night driving difficulty</t>
  </si>
  <si>
    <t>Fluctuating vision</t>
  </si>
  <si>
    <t>Double vision</t>
  </si>
  <si>
    <t>Dryness/burning</t>
  </si>
  <si>
    <t>Sudden vision change</t>
  </si>
  <si>
    <t>Dizziness</t>
  </si>
  <si>
    <t>Distortion</t>
  </si>
  <si>
    <t>Bifocal</t>
  </si>
  <si>
    <t>Contact Lens</t>
  </si>
  <si>
    <t>Unknown</t>
  </si>
  <si>
    <t>Partially satisfied</t>
  </si>
  <si>
    <t>Blur distance</t>
  </si>
  <si>
    <t>Blur near</t>
  </si>
  <si>
    <t>Discomfort</t>
  </si>
  <si>
    <t>Poor night vision</t>
  </si>
  <si>
    <t>LASIK</t>
  </si>
  <si>
    <t>Cataract</t>
  </si>
  <si>
    <t>Accept 6/9 if needed</t>
  </si>
  <si>
    <t>Medium</t>
  </si>
  <si>
    <t>adaptation_tolerance</t>
  </si>
  <si>
    <t>Moderate</t>
  </si>
  <si>
    <t>A (response_type)</t>
  </si>
  <si>
    <t>B (value)</t>
  </si>
  <si>
    <t>NOT_READABLE</t>
  </si>
  <si>
    <t>CANT_TELL</t>
  </si>
  <si>
    <t>EQUAL</t>
  </si>
  <si>
    <t>BOTTOM_CLEARER</t>
  </si>
  <si>
    <t>NOT_CLEAR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</si>
</sst>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</font>
    <font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sz val="12.0"/>
      <color rgb="FF000000"/>
      <name val="Calibri"/>
    </font>
    <font>
      <b/>
      <color rgb="FFFFFFFF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000000"/>
      <name val="Calibri"/>
    </font>
    <font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1F4E79"/>
        <bgColor rgb="FF1F4E79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1" fillId="4" fontId="2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center" readingOrder="0"/>
    </xf>
    <xf borderId="1" fillId="5" fontId="3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2" fontId="5" numFmtId="0" xfId="0" applyAlignment="1" applyFont="1">
      <alignment horizontal="center" shrinkToFit="0" vertical="top" wrapText="1"/>
    </xf>
    <xf borderId="0" fillId="6" fontId="5" numFmtId="0" xfId="0" applyAlignment="1" applyFill="1" applyFont="1">
      <alignment horizontal="center" shrinkToFit="0" vertical="top" wrapText="1"/>
    </xf>
    <xf borderId="0" fillId="3" fontId="6" numFmtId="0" xfId="0" applyAlignment="1" applyFont="1">
      <alignment horizontal="center" shrinkToFit="0" wrapText="1"/>
    </xf>
    <xf borderId="0" fillId="7" fontId="6" numFmtId="0" xfId="0" applyAlignment="1" applyFill="1" applyFont="1">
      <alignment horizontal="center" shrinkToFit="0" wrapText="1"/>
    </xf>
    <xf borderId="0" fillId="8" fontId="6" numFmtId="0" xfId="0" applyAlignment="1" applyFill="1" applyFont="1">
      <alignment horizontal="center" shrinkToFit="0" wrapText="1"/>
    </xf>
    <xf borderId="0" fillId="9" fontId="6" numFmtId="0" xfId="0" applyAlignment="1" applyFill="1" applyFont="1">
      <alignment horizontal="center" shrinkToFit="0" wrapText="1"/>
    </xf>
    <xf borderId="0" fillId="10" fontId="6" numFmtId="0" xfId="0" applyAlignment="1" applyFill="1" applyFont="1">
      <alignment horizontal="center" shrinkToFit="0" wrapText="1"/>
    </xf>
    <xf borderId="1" fillId="2" fontId="5" numFmtId="0" xfId="0" applyAlignment="1" applyBorder="1" applyFont="1">
      <alignment shrinkToFit="0" vertical="top" wrapText="1"/>
    </xf>
    <xf borderId="1" fillId="6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7" fontId="5" numFmtId="0" xfId="0" applyAlignment="1" applyBorder="1" applyFont="1">
      <alignment shrinkToFit="0" vertical="top" wrapText="1"/>
    </xf>
    <xf borderId="1" fillId="8" fontId="5" numFmtId="0" xfId="0" applyAlignment="1" applyBorder="1" applyFont="1">
      <alignment shrinkToFit="0" vertical="top" wrapText="1"/>
    </xf>
    <xf borderId="1" fillId="9" fontId="5" numFmtId="0" xfId="0" applyAlignment="1" applyBorder="1" applyFont="1">
      <alignment shrinkToFit="0" vertical="top" wrapText="1"/>
    </xf>
    <xf borderId="1" fillId="10" fontId="5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/>
    </xf>
    <xf borderId="0" fillId="11" fontId="8" numFmtId="0" xfId="0" applyAlignment="1" applyFill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shrinkToFit="0" wrapText="1"/>
    </xf>
    <xf borderId="0" fillId="2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shrinkToFit="0" wrapText="1"/>
    </xf>
    <xf borderId="0" fillId="6" fontId="11" numFmtId="0" xfId="0" applyAlignment="1" applyFont="1">
      <alignment horizontal="left" readingOrder="0" shrinkToFit="0" wrapText="1"/>
    </xf>
    <xf borderId="0" fillId="3" fontId="11" numFmtId="0" xfId="0" applyAlignment="1" applyFont="1">
      <alignment horizontal="left" readingOrder="0" shrinkToFit="0" wrapText="1"/>
    </xf>
    <xf borderId="0" fillId="7" fontId="11" numFmtId="0" xfId="0" applyAlignment="1" applyFont="1">
      <alignment horizontal="left" readingOrder="0" shrinkToFit="0" wrapText="1"/>
    </xf>
    <xf borderId="0" fillId="8" fontId="11" numFmtId="0" xfId="0" applyAlignment="1" applyFont="1">
      <alignment horizontal="left" readingOrder="0" shrinkToFit="0" wrapText="1"/>
    </xf>
    <xf borderId="0" fillId="12" fontId="11" numFmtId="0" xfId="0" applyAlignment="1" applyFill="1" applyFont="1">
      <alignment horizontal="left" readingOrder="0" shrinkToFit="0" wrapText="1"/>
    </xf>
    <xf borderId="0" fillId="9" fontId="11" numFmtId="0" xfId="0" applyAlignment="1" applyFont="1">
      <alignment horizontal="left" readingOrder="0" shrinkToFit="0" wrapText="1"/>
    </xf>
    <xf borderId="0" fillId="10" fontId="11" numFmtId="0" xfId="0" applyAlignment="1" applyFont="1">
      <alignment horizontal="left" readingOrder="0" shrinkToFit="0" wrapText="1"/>
    </xf>
    <xf borderId="0" fillId="13" fontId="11" numFmtId="0" xfId="0" applyAlignment="1" applyFill="1" applyFont="1">
      <alignment horizontal="left" readingOrder="0" shrinkToFit="0" wrapText="1"/>
    </xf>
    <xf borderId="0" fillId="14" fontId="11" numFmtId="0" xfId="0" applyAlignment="1" applyFill="1" applyFont="1">
      <alignment horizontal="left" readingOrder="0" shrinkToFit="0" wrapText="1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Font="1"/>
    <xf borderId="0" fillId="0" fontId="1" numFmtId="0" xfId="0" applyFont="1"/>
    <xf borderId="0" fillId="0" fontId="1" numFmtId="0" xfId="0" applyAlignment="1" applyFont="1">
      <alignment horizontal="left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31</xdr:row>
      <xdr:rowOff>28575</xdr:rowOff>
    </xdr:from>
    <xdr:ext cx="9458325" cy="504825"/>
    <xdr:sp>
      <xdr:nvSpPr>
        <xdr:cNvPr id="3" name="Shape 3"/>
        <xdr:cNvSpPr/>
      </xdr:nvSpPr>
      <xdr:spPr>
        <a:xfrm>
          <a:off x="621600" y="3532350"/>
          <a:ext cx="9448800" cy="495300"/>
        </a:xfrm>
        <a:prstGeom prst="roundRect">
          <a:avLst>
            <a:gd fmla="val 16667" name="adj"/>
          </a:avLst>
        </a:prstGeom>
        <a:solidFill>
          <a:srgbClr val="1C4587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2200"/>
            <a:buFont typeface="Arial"/>
            <a:buNone/>
          </a:pPr>
          <a:r>
            <a:rPr b="1" lang="en-US" sz="2200">
              <a:solidFill>
                <a:srgbClr val="FFFFFF"/>
              </a:solidFill>
            </a:rPr>
            <a:t>SAVE DATA</a:t>
          </a:r>
          <a:endParaRPr b="1" sz="2200">
            <a:solidFill>
              <a:srgbClr val="FFFFFF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/>
      <c r="B1" s="2" t="s">
        <v>0</v>
      </c>
      <c r="E1" s="3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</v>
      </c>
      <c r="C2" s="2" t="s">
        <v>3</v>
      </c>
      <c r="D2" s="2" t="s">
        <v>4</v>
      </c>
      <c r="E2" s="3" t="s">
        <v>2</v>
      </c>
      <c r="F2" s="3" t="s">
        <v>3</v>
      </c>
      <c r="G2" s="3" t="s">
        <v>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5</v>
      </c>
      <c r="B3" s="2" t="s">
        <v>6</v>
      </c>
      <c r="C3" s="2" t="s">
        <v>7</v>
      </c>
      <c r="D3" s="2" t="s">
        <v>8</v>
      </c>
      <c r="E3" s="3" t="s">
        <v>9</v>
      </c>
      <c r="F3" s="3" t="s">
        <v>10</v>
      </c>
      <c r="G3" s="3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v>1.0</v>
      </c>
      <c r="B4" s="1">
        <v>-2.5</v>
      </c>
      <c r="C4" s="1">
        <v>-1.75</v>
      </c>
      <c r="D4" s="1">
        <v>90.0</v>
      </c>
      <c r="E4" s="1">
        <v>-2.5</v>
      </c>
      <c r="F4" s="1">
        <v>-3.75</v>
      </c>
      <c r="G4" s="1">
        <v>70.0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v>2.0</v>
      </c>
      <c r="B5" s="1">
        <v>-0.5</v>
      </c>
      <c r="C5" s="1">
        <v>-0.75</v>
      </c>
      <c r="D5" s="1">
        <v>50.0</v>
      </c>
      <c r="E5" s="1">
        <v>-0.25</v>
      </c>
      <c r="F5" s="1">
        <v>-1.0</v>
      </c>
      <c r="G5" s="1">
        <v>60.0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3.0</v>
      </c>
      <c r="B6" s="5">
        <v>-2.5</v>
      </c>
      <c r="C6" s="5">
        <v>-1.0</v>
      </c>
      <c r="D6" s="5">
        <v>80.0</v>
      </c>
      <c r="E6" s="5">
        <v>-4.0</v>
      </c>
      <c r="F6" s="5">
        <v>-0.5</v>
      </c>
      <c r="G6" s="5">
        <v>40.0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4.0</v>
      </c>
      <c r="B7" s="5">
        <v>-4.0</v>
      </c>
      <c r="C7" s="5">
        <v>-2.5</v>
      </c>
      <c r="D7" s="5">
        <v>20.0</v>
      </c>
      <c r="E7" s="5">
        <v>-3.75</v>
      </c>
      <c r="F7" s="5">
        <v>-2.5</v>
      </c>
      <c r="G7" s="5">
        <v>160.0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v>5.0</v>
      </c>
      <c r="B8" s="5">
        <v>-2.75</v>
      </c>
      <c r="C8" s="5">
        <v>-0.75</v>
      </c>
      <c r="D8" s="1"/>
      <c r="E8" s="5">
        <v>-3.0</v>
      </c>
      <c r="F8" s="5">
        <v>-0.5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v>6.0</v>
      </c>
      <c r="B9" s="5">
        <v>-1.5</v>
      </c>
      <c r="C9" s="5">
        <v>-0.5</v>
      </c>
      <c r="D9" s="1"/>
      <c r="E9" s="5">
        <v>-1.0</v>
      </c>
      <c r="F9" s="5">
        <v>0.0</v>
      </c>
      <c r="G9" s="5">
        <v>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E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/>
      <c r="B1" s="2" t="s">
        <v>0</v>
      </c>
      <c r="F1" s="3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</v>
      </c>
      <c r="C2" s="2" t="s">
        <v>3</v>
      </c>
      <c r="D2" s="2" t="s">
        <v>4</v>
      </c>
      <c r="E2" s="2" t="s">
        <v>12</v>
      </c>
      <c r="F2" s="3" t="s">
        <v>2</v>
      </c>
      <c r="G2" s="3" t="s">
        <v>3</v>
      </c>
      <c r="H2" s="3" t="s">
        <v>4</v>
      </c>
      <c r="I2" s="3" t="s">
        <v>12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5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>
        <v>1.0</v>
      </c>
      <c r="B4" s="1">
        <v>-3.0</v>
      </c>
      <c r="C4" s="1">
        <v>-2.0</v>
      </c>
      <c r="D4" s="1">
        <v>70.0</v>
      </c>
      <c r="E4" s="1">
        <v>2.5</v>
      </c>
      <c r="F4" s="1">
        <v>-2.5</v>
      </c>
      <c r="G4" s="1">
        <v>-1.5</v>
      </c>
      <c r="H4" s="1">
        <v>90.0</v>
      </c>
      <c r="I4" s="1">
        <v>-2.0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>
        <v>2.0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3.0</v>
      </c>
      <c r="B6" s="5">
        <v>-2.0</v>
      </c>
      <c r="C6" s="5">
        <v>-0.75</v>
      </c>
      <c r="D6" s="5">
        <v>70.0</v>
      </c>
      <c r="E6" s="1"/>
      <c r="F6" s="5">
        <v>-3.25</v>
      </c>
      <c r="G6" s="5">
        <v>0.0</v>
      </c>
      <c r="H6" s="5">
        <v>0.0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4.0</v>
      </c>
      <c r="B7" s="5">
        <v>-3.5</v>
      </c>
      <c r="C7" s="5">
        <v>-2.0</v>
      </c>
      <c r="D7" s="5">
        <v>10.0</v>
      </c>
      <c r="E7" s="1"/>
      <c r="F7" s="5">
        <v>-3.25</v>
      </c>
      <c r="G7" s="5">
        <v>-2.0</v>
      </c>
      <c r="H7" s="5">
        <v>170.0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v>5.0</v>
      </c>
      <c r="B8" s="5">
        <v>-2.5</v>
      </c>
      <c r="C8" s="5">
        <v>-0.5</v>
      </c>
      <c r="D8" s="1"/>
      <c r="E8" s="1"/>
      <c r="F8" s="5">
        <v>-2.75</v>
      </c>
      <c r="G8" s="5">
        <v>-0.25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E1"/>
    <mergeCell ref="F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0"/>
    <col customWidth="1" min="2" max="2" width="32.0"/>
    <col customWidth="1" min="3" max="3" width="26.0"/>
    <col customWidth="1" min="4" max="4" width="14.0"/>
    <col customWidth="1" min="5" max="5" width="30.14"/>
    <col customWidth="1" min="6" max="6" width="10.0"/>
    <col customWidth="1" min="7" max="7" width="43.14"/>
  </cols>
  <sheetData>
    <row r="1" ht="21.75" customHeight="1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</row>
    <row r="2" ht="21.75" customHeight="1">
      <c r="A2" s="7" t="s">
        <v>28</v>
      </c>
      <c r="B2" s="7" t="s">
        <v>29</v>
      </c>
      <c r="C2" s="8"/>
      <c r="D2" s="7" t="s">
        <v>30</v>
      </c>
      <c r="E2" s="7" t="s">
        <v>31</v>
      </c>
      <c r="F2" s="7" t="s">
        <v>32</v>
      </c>
      <c r="G2" s="7" t="s">
        <v>33</v>
      </c>
    </row>
    <row r="3" ht="21.75" customHeight="1">
      <c r="A3" s="7" t="s">
        <v>28</v>
      </c>
      <c r="B3" s="7" t="s">
        <v>5</v>
      </c>
      <c r="C3" s="8"/>
      <c r="D3" s="7" t="s">
        <v>30</v>
      </c>
      <c r="E3" s="7" t="s">
        <v>31</v>
      </c>
      <c r="F3" s="7" t="s">
        <v>32</v>
      </c>
      <c r="G3" s="7" t="s">
        <v>34</v>
      </c>
    </row>
    <row r="4" ht="21.75" customHeight="1">
      <c r="A4" s="7" t="s">
        <v>28</v>
      </c>
      <c r="B4" s="7" t="s">
        <v>35</v>
      </c>
      <c r="C4" s="8"/>
      <c r="D4" s="7" t="s">
        <v>36</v>
      </c>
      <c r="E4" s="7" t="s">
        <v>37</v>
      </c>
      <c r="F4" s="7" t="s">
        <v>32</v>
      </c>
      <c r="G4" s="7" t="s">
        <v>38</v>
      </c>
    </row>
    <row r="5" ht="21.75" customHeight="1">
      <c r="A5" s="7" t="s">
        <v>39</v>
      </c>
      <c r="B5" s="7" t="s">
        <v>40</v>
      </c>
      <c r="C5" s="8"/>
      <c r="D5" s="7" t="s">
        <v>41</v>
      </c>
      <c r="E5" s="7" t="s">
        <v>42</v>
      </c>
      <c r="F5" s="7" t="s">
        <v>32</v>
      </c>
      <c r="G5" s="7" t="s">
        <v>43</v>
      </c>
    </row>
    <row r="6" ht="21.75" customHeight="1">
      <c r="A6" s="7" t="s">
        <v>39</v>
      </c>
      <c r="B6" s="7" t="s">
        <v>44</v>
      </c>
      <c r="C6" s="8"/>
      <c r="D6" s="7" t="s">
        <v>45</v>
      </c>
      <c r="E6" s="7" t="s">
        <v>46</v>
      </c>
      <c r="F6" s="7" t="s">
        <v>32</v>
      </c>
      <c r="G6" s="7" t="s">
        <v>47</v>
      </c>
    </row>
    <row r="7" ht="21.75" customHeight="1">
      <c r="A7" s="7" t="s">
        <v>39</v>
      </c>
      <c r="B7" s="7" t="s">
        <v>48</v>
      </c>
      <c r="C7" s="8"/>
      <c r="D7" s="7" t="s">
        <v>45</v>
      </c>
      <c r="E7" s="7" t="s">
        <v>46</v>
      </c>
      <c r="F7" s="7" t="s">
        <v>32</v>
      </c>
      <c r="G7" s="7" t="s">
        <v>49</v>
      </c>
    </row>
    <row r="8" ht="21.75" customHeight="1">
      <c r="A8" s="7" t="s">
        <v>39</v>
      </c>
      <c r="B8" s="7" t="s">
        <v>50</v>
      </c>
      <c r="C8" s="8"/>
      <c r="D8" s="7" t="s">
        <v>45</v>
      </c>
      <c r="E8" s="7"/>
      <c r="F8" s="7" t="s">
        <v>32</v>
      </c>
      <c r="G8" s="7" t="s">
        <v>51</v>
      </c>
    </row>
    <row r="9" ht="21.75" customHeight="1">
      <c r="A9" s="7" t="s">
        <v>39</v>
      </c>
      <c r="B9" s="7" t="s">
        <v>52</v>
      </c>
      <c r="C9" s="8"/>
      <c r="D9" s="7" t="s">
        <v>53</v>
      </c>
      <c r="E9" s="7" t="s">
        <v>54</v>
      </c>
      <c r="F9" s="7" t="s">
        <v>32</v>
      </c>
      <c r="G9" s="7" t="s">
        <v>55</v>
      </c>
    </row>
    <row r="10" ht="21.75" customHeight="1">
      <c r="A10" s="7" t="s">
        <v>39</v>
      </c>
      <c r="B10" s="7" t="s">
        <v>56</v>
      </c>
      <c r="C10" s="8"/>
      <c r="D10" s="7" t="s">
        <v>53</v>
      </c>
      <c r="E10" s="7" t="s">
        <v>54</v>
      </c>
      <c r="F10" s="7" t="s">
        <v>32</v>
      </c>
      <c r="G10" s="7" t="s">
        <v>55</v>
      </c>
    </row>
    <row r="11" ht="21.75" customHeight="1">
      <c r="A11" s="7" t="s">
        <v>57</v>
      </c>
      <c r="B11" s="7" t="s">
        <v>58</v>
      </c>
      <c r="C11" s="8"/>
      <c r="D11" s="7" t="s">
        <v>45</v>
      </c>
      <c r="E11" s="7" t="s">
        <v>46</v>
      </c>
      <c r="F11" s="7" t="s">
        <v>32</v>
      </c>
      <c r="G11" s="7" t="s">
        <v>59</v>
      </c>
    </row>
    <row r="12" ht="48.75" customHeight="1">
      <c r="A12" s="7" t="s">
        <v>57</v>
      </c>
      <c r="B12" s="7" t="s">
        <v>60</v>
      </c>
      <c r="C12" s="8"/>
      <c r="D12" s="7" t="s">
        <v>61</v>
      </c>
      <c r="E12" s="7" t="s">
        <v>62</v>
      </c>
      <c r="F12" s="7" t="s">
        <v>63</v>
      </c>
      <c r="G12" s="7" t="s">
        <v>64</v>
      </c>
    </row>
    <row r="13" ht="21.75" customHeight="1">
      <c r="A13" s="7" t="s">
        <v>65</v>
      </c>
      <c r="B13" s="7" t="s">
        <v>66</v>
      </c>
      <c r="C13" s="8"/>
      <c r="D13" s="7" t="s">
        <v>67</v>
      </c>
      <c r="E13" s="7" t="s">
        <v>68</v>
      </c>
      <c r="F13" s="7" t="s">
        <v>32</v>
      </c>
      <c r="G13" s="7" t="s">
        <v>47</v>
      </c>
    </row>
    <row r="14" ht="21.75" customHeight="1">
      <c r="A14" s="7" t="s">
        <v>65</v>
      </c>
      <c r="B14" s="7" t="s">
        <v>69</v>
      </c>
      <c r="C14" s="8"/>
      <c r="D14" s="7" t="s">
        <v>45</v>
      </c>
      <c r="E14" s="7" t="s">
        <v>46</v>
      </c>
      <c r="F14" s="7" t="s">
        <v>32</v>
      </c>
      <c r="G14" s="7" t="s">
        <v>47</v>
      </c>
    </row>
    <row r="15" ht="21.75" customHeight="1">
      <c r="A15" s="7" t="s">
        <v>65</v>
      </c>
      <c r="B15" s="7" t="s">
        <v>70</v>
      </c>
      <c r="C15" s="8"/>
      <c r="D15" s="7" t="s">
        <v>41</v>
      </c>
      <c r="E15" s="7" t="s">
        <v>71</v>
      </c>
      <c r="F15" s="7" t="s">
        <v>63</v>
      </c>
      <c r="G15" s="7" t="s">
        <v>72</v>
      </c>
    </row>
    <row r="16" ht="21.75" customHeight="1">
      <c r="A16" s="7" t="s">
        <v>65</v>
      </c>
      <c r="B16" s="7" t="s">
        <v>73</v>
      </c>
      <c r="C16" s="8"/>
      <c r="D16" s="7" t="s">
        <v>45</v>
      </c>
      <c r="E16" s="7" t="s">
        <v>46</v>
      </c>
      <c r="F16" s="7" t="s">
        <v>32</v>
      </c>
      <c r="G16" s="7" t="s">
        <v>74</v>
      </c>
    </row>
    <row r="17" ht="30.75" customHeight="1">
      <c r="A17" s="7" t="s">
        <v>65</v>
      </c>
      <c r="B17" s="7" t="s">
        <v>75</v>
      </c>
      <c r="C17" s="8"/>
      <c r="D17" s="7" t="s">
        <v>61</v>
      </c>
      <c r="E17" s="7" t="s">
        <v>62</v>
      </c>
      <c r="F17" s="7" t="s">
        <v>63</v>
      </c>
      <c r="G17" s="7" t="s">
        <v>64</v>
      </c>
    </row>
    <row r="18" ht="21.75" customHeight="1">
      <c r="A18" s="7" t="s">
        <v>76</v>
      </c>
      <c r="B18" s="7" t="s">
        <v>77</v>
      </c>
      <c r="C18" s="8"/>
      <c r="D18" s="7" t="s">
        <v>41</v>
      </c>
      <c r="E18" s="7" t="s">
        <v>71</v>
      </c>
      <c r="F18" s="7" t="s">
        <v>63</v>
      </c>
      <c r="G18" s="7" t="s">
        <v>47</v>
      </c>
    </row>
    <row r="19" ht="21.75" customHeight="1">
      <c r="A19" s="7" t="s">
        <v>76</v>
      </c>
      <c r="B19" s="7" t="s">
        <v>78</v>
      </c>
      <c r="C19" s="8"/>
      <c r="D19" s="7" t="s">
        <v>67</v>
      </c>
      <c r="E19" s="7" t="s">
        <v>68</v>
      </c>
      <c r="F19" s="7" t="s">
        <v>63</v>
      </c>
      <c r="G19" s="7" t="s">
        <v>47</v>
      </c>
    </row>
    <row r="20" ht="21.75" customHeight="1">
      <c r="A20" s="7" t="s">
        <v>76</v>
      </c>
      <c r="B20" s="7" t="s">
        <v>79</v>
      </c>
      <c r="C20" s="8"/>
      <c r="D20" s="7" t="s">
        <v>67</v>
      </c>
      <c r="E20" s="7" t="s">
        <v>68</v>
      </c>
      <c r="F20" s="7" t="s">
        <v>63</v>
      </c>
      <c r="G20" s="7" t="s">
        <v>80</v>
      </c>
    </row>
    <row r="21" ht="21.75" customHeight="1">
      <c r="A21" s="7" t="s">
        <v>76</v>
      </c>
      <c r="B21" s="7" t="s">
        <v>81</v>
      </c>
      <c r="C21" s="8"/>
      <c r="D21" s="7" t="s">
        <v>67</v>
      </c>
      <c r="E21" s="7" t="s">
        <v>68</v>
      </c>
      <c r="F21" s="7" t="s">
        <v>63</v>
      </c>
      <c r="G21" s="7" t="s">
        <v>82</v>
      </c>
    </row>
    <row r="22" ht="21.75" customHeight="1">
      <c r="A22" s="7" t="s">
        <v>83</v>
      </c>
      <c r="B22" s="7" t="s">
        <v>84</v>
      </c>
      <c r="C22" s="8"/>
      <c r="D22" s="7" t="s">
        <v>67</v>
      </c>
      <c r="E22" s="7" t="s">
        <v>68</v>
      </c>
      <c r="F22" s="7" t="s">
        <v>32</v>
      </c>
      <c r="G22" s="7" t="s">
        <v>85</v>
      </c>
    </row>
    <row r="23" ht="21.75" customHeight="1">
      <c r="A23" s="7" t="s">
        <v>83</v>
      </c>
      <c r="B23" s="7" t="s">
        <v>86</v>
      </c>
      <c r="C23" s="8"/>
      <c r="D23" s="7" t="s">
        <v>67</v>
      </c>
      <c r="E23" s="7" t="s">
        <v>68</v>
      </c>
      <c r="F23" s="7" t="s">
        <v>63</v>
      </c>
      <c r="G23" s="7" t="s">
        <v>47</v>
      </c>
    </row>
    <row r="24" ht="21.75" customHeight="1">
      <c r="A24" s="7" t="s">
        <v>83</v>
      </c>
      <c r="B24" s="7" t="s">
        <v>87</v>
      </c>
      <c r="C24" s="8"/>
      <c r="D24" s="7" t="s">
        <v>67</v>
      </c>
      <c r="E24" s="7" t="s">
        <v>68</v>
      </c>
      <c r="F24" s="7" t="s">
        <v>63</v>
      </c>
      <c r="G24" s="7" t="s">
        <v>47</v>
      </c>
    </row>
    <row r="25" ht="21.75" customHeight="1">
      <c r="A25" s="7" t="s">
        <v>83</v>
      </c>
      <c r="B25" s="7" t="s">
        <v>88</v>
      </c>
      <c r="C25" s="8"/>
      <c r="D25" s="7" t="s">
        <v>45</v>
      </c>
      <c r="E25" s="7" t="s">
        <v>46</v>
      </c>
      <c r="F25" s="7" t="s">
        <v>32</v>
      </c>
      <c r="G25" s="7" t="s">
        <v>47</v>
      </c>
    </row>
    <row r="26" ht="21.75" customHeight="1">
      <c r="A26" s="7" t="s">
        <v>83</v>
      </c>
      <c r="B26" s="7" t="s">
        <v>89</v>
      </c>
      <c r="C26" s="8"/>
      <c r="D26" s="7" t="s">
        <v>67</v>
      </c>
      <c r="E26" s="7" t="s">
        <v>68</v>
      </c>
      <c r="F26" s="7" t="s">
        <v>32</v>
      </c>
      <c r="G26" s="7" t="s">
        <v>47</v>
      </c>
    </row>
    <row r="27" ht="21.75" customHeight="1">
      <c r="A27" s="7" t="s">
        <v>83</v>
      </c>
      <c r="B27" s="7" t="s">
        <v>90</v>
      </c>
      <c r="C27" s="8"/>
      <c r="D27" s="7" t="s">
        <v>67</v>
      </c>
      <c r="E27" s="7" t="s">
        <v>68</v>
      </c>
      <c r="F27" s="7" t="s">
        <v>32</v>
      </c>
      <c r="G27" s="7" t="s">
        <v>47</v>
      </c>
    </row>
    <row r="28" ht="28.5" customHeight="1">
      <c r="A28" s="7" t="s">
        <v>83</v>
      </c>
      <c r="B28" s="7" t="s">
        <v>91</v>
      </c>
      <c r="C28" s="8"/>
      <c r="D28" s="7" t="s">
        <v>67</v>
      </c>
      <c r="E28" s="7" t="s">
        <v>68</v>
      </c>
      <c r="F28" s="7" t="s">
        <v>32</v>
      </c>
      <c r="G28" s="7" t="s">
        <v>92</v>
      </c>
    </row>
    <row r="29" ht="21.75" customHeight="1">
      <c r="A29" s="7" t="s">
        <v>93</v>
      </c>
      <c r="B29" s="7" t="s">
        <v>94</v>
      </c>
      <c r="C29" s="8"/>
      <c r="D29" s="7" t="s">
        <v>45</v>
      </c>
      <c r="E29" s="7" t="s">
        <v>46</v>
      </c>
      <c r="F29" s="7" t="s">
        <v>32</v>
      </c>
      <c r="G29" s="7" t="s">
        <v>95</v>
      </c>
    </row>
    <row r="30" ht="21.75" customHeight="1">
      <c r="A30" s="7" t="s">
        <v>93</v>
      </c>
      <c r="B30" s="7" t="s">
        <v>96</v>
      </c>
      <c r="C30" s="8"/>
      <c r="D30" s="7" t="s">
        <v>45</v>
      </c>
      <c r="E30" s="7" t="s">
        <v>46</v>
      </c>
      <c r="F30" s="7" t="s">
        <v>32</v>
      </c>
      <c r="G30" s="7" t="s">
        <v>97</v>
      </c>
    </row>
    <row r="31" ht="24.75" customHeight="1">
      <c r="A31" s="7" t="s">
        <v>93</v>
      </c>
      <c r="B31" s="7" t="s">
        <v>98</v>
      </c>
      <c r="C31" s="8"/>
      <c r="D31" s="7" t="s">
        <v>45</v>
      </c>
      <c r="E31" s="7" t="s">
        <v>46</v>
      </c>
      <c r="F31" s="7" t="s">
        <v>32</v>
      </c>
      <c r="G31" s="7" t="s">
        <v>99</v>
      </c>
    </row>
    <row r="32" ht="24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13 C19:C24 C26:C28">
      <formula1>"true,false"</formula1>
    </dataValidation>
    <dataValidation type="list" allowBlank="1" showErrorMessage="1" sqref="C16">
      <formula1>Lists!$B$53:$B$56</formula1>
    </dataValidation>
    <dataValidation type="list" allowBlank="1" showErrorMessage="1" sqref="C8">
      <formula1>Lists!$B$14:$B$20</formula1>
    </dataValidation>
    <dataValidation type="list" allowBlank="1" showErrorMessage="1" sqref="C30">
      <formula1>Lists!$B$75:$B$76</formula1>
    </dataValidation>
    <dataValidation type="list" allowBlank="1" showErrorMessage="1" sqref="C6">
      <formula1>Lists!$B$5:$B$8</formula1>
    </dataValidation>
    <dataValidation type="list" allowBlank="1" showErrorMessage="1" sqref="C7">
      <formula1>Lists!$B$10:$B$12</formula1>
    </dataValidation>
    <dataValidation type="list" allowBlank="1" showErrorMessage="1" sqref="C11">
      <formula1>Lists!$B$28:$B$34</formula1>
    </dataValidation>
    <dataValidation type="list" allowBlank="1" showErrorMessage="1" sqref="C25">
      <formula1>Lists!$B$66:$B$69</formula1>
    </dataValidation>
    <dataValidation type="list" allowBlank="1" showErrorMessage="1" sqref="C12">
      <formula1>Lists!$B$36:$B$44</formula1>
    </dataValidation>
    <dataValidation type="list" allowBlank="1" showErrorMessage="1" sqref="C17">
      <formula1>Lists!$B$58:$B$64</formula1>
    </dataValidation>
    <dataValidation type="list" allowBlank="1" showErrorMessage="1" sqref="C31">
      <formula1>Lists!$B$78:$B$80</formula1>
    </dataValidation>
    <dataValidation type="list" allowBlank="1" showErrorMessage="1" sqref="C14">
      <formula1>Lists!$B$46:$B$51</formula1>
    </dataValidation>
    <dataValidation type="list" allowBlank="1" showErrorMessage="1" sqref="C29">
      <formula1>Lists!$B$71:$B$73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86"/>
    <col customWidth="1" min="3" max="3" width="14.43"/>
    <col customWidth="1" min="4" max="4" width="10.29"/>
    <col customWidth="1" min="5" max="5" width="7.71"/>
    <col customWidth="1" min="6" max="6" width="9.0"/>
    <col customWidth="1" min="7" max="7" width="15.86"/>
    <col customWidth="1" min="8" max="8" width="17.71"/>
    <col customWidth="1" min="9" max="9" width="18.0"/>
    <col customWidth="1" min="10" max="10" width="15.0"/>
    <col customWidth="1" min="11" max="11" width="15.71"/>
  </cols>
  <sheetData>
    <row r="1">
      <c r="A1" s="9" t="s">
        <v>100</v>
      </c>
      <c r="D1" s="10" t="s">
        <v>101</v>
      </c>
      <c r="J1" s="11" t="s">
        <v>102</v>
      </c>
      <c r="L1" s="12" t="s">
        <v>103</v>
      </c>
      <c r="Q1" s="13" t="s">
        <v>104</v>
      </c>
      <c r="U1" s="14" t="s">
        <v>105</v>
      </c>
      <c r="AB1" s="15" t="s">
        <v>106</v>
      </c>
    </row>
    <row r="2">
      <c r="A2" s="16" t="s">
        <v>29</v>
      </c>
      <c r="B2" s="16" t="s">
        <v>5</v>
      </c>
      <c r="C2" s="16" t="s">
        <v>35</v>
      </c>
      <c r="D2" s="17" t="s">
        <v>40</v>
      </c>
      <c r="E2" s="17" t="s">
        <v>44</v>
      </c>
      <c r="F2" s="17" t="s">
        <v>48</v>
      </c>
      <c r="G2" s="17" t="s">
        <v>50</v>
      </c>
      <c r="H2" s="17" t="s">
        <v>52</v>
      </c>
      <c r="I2" s="17" t="s">
        <v>56</v>
      </c>
      <c r="J2" s="18" t="s">
        <v>58</v>
      </c>
      <c r="K2" s="18" t="s">
        <v>60</v>
      </c>
      <c r="L2" s="19" t="s">
        <v>66</v>
      </c>
      <c r="M2" s="19" t="s">
        <v>69</v>
      </c>
      <c r="N2" s="19" t="s">
        <v>70</v>
      </c>
      <c r="O2" s="19" t="s">
        <v>73</v>
      </c>
      <c r="P2" s="19" t="s">
        <v>75</v>
      </c>
      <c r="Q2" s="20" t="s">
        <v>77</v>
      </c>
      <c r="R2" s="20" t="s">
        <v>78</v>
      </c>
      <c r="S2" s="20" t="s">
        <v>79</v>
      </c>
      <c r="T2" s="20" t="s">
        <v>81</v>
      </c>
      <c r="U2" s="21" t="s">
        <v>84</v>
      </c>
      <c r="V2" s="21" t="s">
        <v>86</v>
      </c>
      <c r="W2" s="21" t="s">
        <v>87</v>
      </c>
      <c r="X2" s="21" t="s">
        <v>88</v>
      </c>
      <c r="Y2" s="21" t="s">
        <v>89</v>
      </c>
      <c r="Z2" s="21" t="s">
        <v>90</v>
      </c>
      <c r="AA2" s="21" t="s">
        <v>91</v>
      </c>
      <c r="AB2" s="22" t="s">
        <v>94</v>
      </c>
      <c r="AC2" s="22" t="s">
        <v>96</v>
      </c>
      <c r="AD2" s="22" t="s">
        <v>98</v>
      </c>
    </row>
    <row r="3">
      <c r="A3" s="23">
        <v>1.0</v>
      </c>
      <c r="B3" s="23">
        <v>1.0</v>
      </c>
      <c r="C3" s="23"/>
      <c r="D3" s="23">
        <v>33.0</v>
      </c>
      <c r="E3" s="23" t="s">
        <v>107</v>
      </c>
      <c r="F3" s="23" t="s">
        <v>108</v>
      </c>
      <c r="G3" s="23" t="s">
        <v>109</v>
      </c>
      <c r="H3" s="23">
        <v>8.0</v>
      </c>
      <c r="I3" s="23">
        <v>4.0</v>
      </c>
      <c r="J3" s="23" t="s">
        <v>110</v>
      </c>
      <c r="K3" s="23" t="s">
        <v>111</v>
      </c>
      <c r="L3" s="23" t="b">
        <v>0</v>
      </c>
      <c r="M3" s="23" t="s">
        <v>112</v>
      </c>
      <c r="N3" s="23">
        <v>0.0</v>
      </c>
      <c r="O3" s="23" t="s">
        <v>113</v>
      </c>
      <c r="P3" s="23"/>
      <c r="Q3" s="23">
        <v>12.0</v>
      </c>
      <c r="R3" s="23" t="b">
        <v>0</v>
      </c>
      <c r="S3" s="23" t="b">
        <v>0</v>
      </c>
      <c r="T3" s="23" t="b">
        <v>0</v>
      </c>
      <c r="U3" s="23" t="b">
        <v>0</v>
      </c>
      <c r="V3" s="23" t="b">
        <v>0</v>
      </c>
      <c r="W3" s="23" t="b">
        <v>0</v>
      </c>
      <c r="X3" s="23" t="s">
        <v>112</v>
      </c>
      <c r="Y3" s="23" t="b">
        <v>0</v>
      </c>
      <c r="Z3" s="23" t="b">
        <v>0</v>
      </c>
      <c r="AA3" s="23" t="b">
        <v>0</v>
      </c>
      <c r="AB3" s="23" t="s">
        <v>114</v>
      </c>
      <c r="AC3" s="23" t="s">
        <v>115</v>
      </c>
      <c r="AD3" s="23" t="s">
        <v>116</v>
      </c>
    </row>
    <row r="4">
      <c r="A4" s="23">
        <v>2.0</v>
      </c>
      <c r="B4" s="23">
        <v>2.0</v>
      </c>
      <c r="C4" s="23">
        <v>222.0</v>
      </c>
      <c r="D4" s="24">
        <v>65.0</v>
      </c>
      <c r="E4" s="23" t="s">
        <v>117</v>
      </c>
      <c r="F4" s="23" t="s">
        <v>118</v>
      </c>
      <c r="G4" s="23" t="s">
        <v>109</v>
      </c>
      <c r="H4" s="23">
        <v>8.0</v>
      </c>
      <c r="I4" s="23">
        <v>2.0</v>
      </c>
      <c r="J4" s="23" t="s">
        <v>119</v>
      </c>
      <c r="K4" s="23"/>
      <c r="L4" s="23" t="b">
        <v>0</v>
      </c>
      <c r="M4" s="23" t="s">
        <v>112</v>
      </c>
      <c r="N4" s="23"/>
      <c r="O4" s="23" t="s">
        <v>113</v>
      </c>
      <c r="P4" s="23"/>
      <c r="Q4" s="23"/>
      <c r="R4" s="23" t="b">
        <v>0</v>
      </c>
      <c r="S4" s="23" t="b">
        <v>0</v>
      </c>
      <c r="T4" s="23" t="b">
        <v>0</v>
      </c>
      <c r="U4" s="23" t="b">
        <v>0</v>
      </c>
      <c r="V4" s="23" t="b">
        <v>0</v>
      </c>
      <c r="W4" s="23" t="b">
        <v>0</v>
      </c>
      <c r="X4" s="23" t="s">
        <v>112</v>
      </c>
      <c r="Y4" s="23" t="b">
        <v>0</v>
      </c>
      <c r="Z4" s="23" t="b">
        <v>0</v>
      </c>
      <c r="AA4" s="23" t="b">
        <v>0</v>
      </c>
      <c r="AB4" s="23" t="s">
        <v>114</v>
      </c>
      <c r="AC4" s="23" t="s">
        <v>115</v>
      </c>
      <c r="AD4" s="23" t="s">
        <v>116</v>
      </c>
    </row>
    <row r="5">
      <c r="A5" s="25">
        <v>3.0</v>
      </c>
      <c r="B5" s="25">
        <v>3.0</v>
      </c>
      <c r="C5" s="25">
        <v>3232.0</v>
      </c>
      <c r="D5" s="25">
        <v>35.0</v>
      </c>
      <c r="E5" s="24" t="s">
        <v>107</v>
      </c>
      <c r="F5" s="24" t="s">
        <v>120</v>
      </c>
      <c r="G5" s="24" t="s">
        <v>109</v>
      </c>
      <c r="H5" s="25">
        <v>12.0</v>
      </c>
      <c r="I5" s="25">
        <v>2.0</v>
      </c>
      <c r="J5" s="24" t="s">
        <v>121</v>
      </c>
      <c r="K5" s="23"/>
      <c r="L5" s="24" t="b">
        <v>1</v>
      </c>
      <c r="M5" s="24" t="s">
        <v>122</v>
      </c>
      <c r="N5" s="25">
        <v>12.0</v>
      </c>
      <c r="O5" s="24" t="s">
        <v>123</v>
      </c>
      <c r="P5" s="23"/>
      <c r="Q5" s="25">
        <v>12.0</v>
      </c>
      <c r="R5" s="24" t="b">
        <v>1</v>
      </c>
      <c r="S5" s="24" t="b">
        <v>0</v>
      </c>
      <c r="T5" s="24" t="b">
        <v>0</v>
      </c>
      <c r="U5" s="24" t="b">
        <v>0</v>
      </c>
      <c r="V5" s="24" t="b">
        <v>0</v>
      </c>
      <c r="W5" s="24" t="b">
        <v>0</v>
      </c>
      <c r="X5" s="24" t="s">
        <v>112</v>
      </c>
      <c r="Y5" s="24" t="b">
        <v>0</v>
      </c>
      <c r="Z5" s="24" t="b">
        <v>0</v>
      </c>
      <c r="AA5" s="24" t="b">
        <v>0</v>
      </c>
      <c r="AB5" s="24" t="s">
        <v>124</v>
      </c>
      <c r="AC5" s="24" t="s">
        <v>115</v>
      </c>
      <c r="AD5" s="24" t="s">
        <v>125</v>
      </c>
    </row>
    <row r="6">
      <c r="A6" s="25">
        <v>4.0</v>
      </c>
      <c r="B6" s="25">
        <v>4.0</v>
      </c>
      <c r="C6" s="24" t="s">
        <v>126</v>
      </c>
      <c r="D6" s="25">
        <v>22.0</v>
      </c>
      <c r="E6" s="24" t="s">
        <v>107</v>
      </c>
      <c r="F6" s="24" t="s">
        <v>120</v>
      </c>
      <c r="G6" s="24" t="s">
        <v>127</v>
      </c>
      <c r="H6" s="25">
        <v>10.0</v>
      </c>
      <c r="I6" s="25">
        <v>0.0</v>
      </c>
      <c r="J6" s="24" t="s">
        <v>110</v>
      </c>
      <c r="K6" s="23"/>
      <c r="L6" s="24" t="b">
        <v>1</v>
      </c>
      <c r="M6" s="24" t="s">
        <v>122</v>
      </c>
      <c r="N6" s="25">
        <v>4.0</v>
      </c>
      <c r="O6" s="24" t="s">
        <v>123</v>
      </c>
      <c r="P6" s="23"/>
      <c r="Q6" s="25">
        <v>4.0</v>
      </c>
      <c r="R6" s="24" t="b">
        <v>1</v>
      </c>
      <c r="S6" s="24" t="b">
        <v>0</v>
      </c>
      <c r="T6" s="24" t="b">
        <v>0</v>
      </c>
      <c r="U6" s="24" t="b">
        <v>0</v>
      </c>
      <c r="V6" s="24" t="b">
        <v>0</v>
      </c>
      <c r="W6" s="24" t="b">
        <v>0</v>
      </c>
      <c r="X6" s="24" t="s">
        <v>112</v>
      </c>
      <c r="Y6" s="24" t="b">
        <v>0</v>
      </c>
      <c r="Z6" s="24" t="b">
        <v>0</v>
      </c>
      <c r="AA6" s="24" t="b">
        <v>0</v>
      </c>
      <c r="AB6" s="24" t="s">
        <v>128</v>
      </c>
      <c r="AC6" s="24" t="s">
        <v>115</v>
      </c>
      <c r="AD6" s="24" t="s">
        <v>116</v>
      </c>
    </row>
    <row r="7">
      <c r="A7" s="25">
        <v>5.0</v>
      </c>
      <c r="B7" s="25">
        <v>5.0</v>
      </c>
      <c r="C7" s="24" t="s">
        <v>126</v>
      </c>
      <c r="D7" s="25">
        <v>23.0</v>
      </c>
      <c r="E7" s="24" t="s">
        <v>117</v>
      </c>
      <c r="F7" s="24" t="s">
        <v>118</v>
      </c>
      <c r="G7" s="24" t="s">
        <v>109</v>
      </c>
      <c r="H7" s="25">
        <v>12.0</v>
      </c>
      <c r="I7" s="25">
        <v>0.0</v>
      </c>
      <c r="J7" s="24" t="s">
        <v>121</v>
      </c>
      <c r="K7" s="24" t="s">
        <v>129</v>
      </c>
      <c r="L7" s="24" t="b">
        <v>1</v>
      </c>
      <c r="M7" s="24" t="s">
        <v>122</v>
      </c>
      <c r="N7" s="25">
        <v>18.0</v>
      </c>
      <c r="O7" s="24" t="s">
        <v>130</v>
      </c>
      <c r="P7" s="24" t="s">
        <v>121</v>
      </c>
      <c r="Q7" s="25">
        <v>6.0</v>
      </c>
      <c r="R7" s="24" t="b">
        <v>1</v>
      </c>
      <c r="S7" s="24" t="b">
        <v>0</v>
      </c>
      <c r="T7" s="24" t="b">
        <v>1</v>
      </c>
      <c r="U7" s="24" t="b">
        <v>0</v>
      </c>
      <c r="V7" s="24" t="b">
        <v>1</v>
      </c>
      <c r="W7" s="24" t="b">
        <v>0</v>
      </c>
      <c r="X7" s="24" t="s">
        <v>112</v>
      </c>
      <c r="Y7" s="24" t="b">
        <v>0</v>
      </c>
      <c r="Z7" s="24" t="b">
        <v>0</v>
      </c>
      <c r="AA7" s="24" t="b">
        <v>0</v>
      </c>
      <c r="AB7" s="24" t="s">
        <v>124</v>
      </c>
      <c r="AC7" s="24" t="s">
        <v>115</v>
      </c>
      <c r="AD7" s="24" t="s">
        <v>125</v>
      </c>
    </row>
    <row r="8">
      <c r="A8" s="25">
        <v>6.0</v>
      </c>
      <c r="B8" s="25">
        <v>6.0</v>
      </c>
      <c r="C8" s="24" t="s">
        <v>126</v>
      </c>
      <c r="D8" s="25">
        <v>45.0</v>
      </c>
      <c r="E8" s="24" t="s">
        <v>107</v>
      </c>
      <c r="F8" s="24" t="s">
        <v>118</v>
      </c>
      <c r="G8" s="24" t="s">
        <v>109</v>
      </c>
      <c r="H8" s="25">
        <v>8.0</v>
      </c>
      <c r="I8" s="25">
        <v>0.0</v>
      </c>
      <c r="J8" s="24" t="s">
        <v>119</v>
      </c>
      <c r="K8" s="23"/>
      <c r="L8" s="24" t="b">
        <v>1</v>
      </c>
      <c r="M8" s="24" t="s">
        <v>131</v>
      </c>
      <c r="N8" s="25">
        <v>12.0</v>
      </c>
      <c r="O8" s="24" t="s">
        <v>123</v>
      </c>
      <c r="P8" s="23"/>
      <c r="Q8" s="25">
        <v>12.0</v>
      </c>
      <c r="R8" s="24" t="b">
        <v>0</v>
      </c>
      <c r="S8" s="23"/>
      <c r="T8" s="24" t="b">
        <v>0</v>
      </c>
      <c r="U8" s="24" t="b">
        <v>0</v>
      </c>
      <c r="V8" s="24" t="b">
        <v>0</v>
      </c>
      <c r="W8" s="24" t="b">
        <v>0</v>
      </c>
      <c r="X8" s="24" t="s">
        <v>112</v>
      </c>
      <c r="Y8" s="24" t="b">
        <v>0</v>
      </c>
      <c r="Z8" s="24" t="b">
        <v>0</v>
      </c>
      <c r="AA8" s="24" t="b">
        <v>0</v>
      </c>
      <c r="AB8" s="24" t="s">
        <v>124</v>
      </c>
      <c r="AC8" s="24" t="s">
        <v>115</v>
      </c>
      <c r="AD8" s="24" t="s">
        <v>116</v>
      </c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I1"/>
    <mergeCell ref="J1:K1"/>
    <mergeCell ref="L1:P1"/>
    <mergeCell ref="Q1:T1"/>
    <mergeCell ref="U1:AA1"/>
    <mergeCell ref="AB1:A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32" max="32" width="15.86"/>
  </cols>
  <sheetData>
    <row r="1">
      <c r="A1" s="26" t="s">
        <v>5</v>
      </c>
      <c r="B1" s="26" t="s">
        <v>132</v>
      </c>
      <c r="C1" s="26" t="s">
        <v>133</v>
      </c>
      <c r="D1" s="26" t="s">
        <v>134</v>
      </c>
      <c r="E1" s="26" t="s">
        <v>135</v>
      </c>
      <c r="F1" s="26" t="s">
        <v>136</v>
      </c>
      <c r="G1" s="26" t="s">
        <v>137</v>
      </c>
      <c r="H1" s="26" t="s">
        <v>138</v>
      </c>
      <c r="I1" s="26" t="s">
        <v>139</v>
      </c>
      <c r="J1" s="26" t="s">
        <v>140</v>
      </c>
      <c r="K1" s="26" t="s">
        <v>141</v>
      </c>
      <c r="L1" s="26" t="s">
        <v>142</v>
      </c>
      <c r="M1" s="26" t="s">
        <v>143</v>
      </c>
      <c r="N1" s="26" t="s">
        <v>144</v>
      </c>
      <c r="O1" s="26" t="s">
        <v>145</v>
      </c>
      <c r="P1" s="26" t="s">
        <v>146</v>
      </c>
      <c r="Q1" s="26" t="s">
        <v>147</v>
      </c>
      <c r="R1" s="26" t="s">
        <v>148</v>
      </c>
      <c r="S1" s="26" t="s">
        <v>149</v>
      </c>
      <c r="T1" s="26" t="s">
        <v>150</v>
      </c>
      <c r="U1" s="26" t="s">
        <v>151</v>
      </c>
      <c r="V1" s="26" t="s">
        <v>152</v>
      </c>
      <c r="W1" s="26" t="s">
        <v>153</v>
      </c>
      <c r="X1" s="26" t="s">
        <v>154</v>
      </c>
      <c r="Y1" s="26" t="s">
        <v>155</v>
      </c>
      <c r="Z1" s="26" t="s">
        <v>156</v>
      </c>
      <c r="AA1" s="26" t="s">
        <v>157</v>
      </c>
      <c r="AB1" s="26" t="s">
        <v>158</v>
      </c>
      <c r="AC1" s="26" t="s">
        <v>159</v>
      </c>
      <c r="AD1" s="26" t="s">
        <v>160</v>
      </c>
      <c r="AE1" s="26" t="s">
        <v>161</v>
      </c>
      <c r="AF1" s="26" t="s">
        <v>162</v>
      </c>
      <c r="AG1" s="26" t="s">
        <v>163</v>
      </c>
      <c r="AH1" s="26" t="s">
        <v>164</v>
      </c>
      <c r="AI1" s="26" t="s">
        <v>165</v>
      </c>
      <c r="AJ1" s="27" t="s">
        <v>166</v>
      </c>
    </row>
    <row r="2">
      <c r="A2" s="28">
        <v>1.0</v>
      </c>
      <c r="B2" s="28" t="str">
        <f t="array" ref="B2">LET(age,XLOOKUP($A2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Adult</v>
      </c>
      <c r="C2" s="28" t="str">
        <f t="array" ref="C2">LET(drive,XLOOKUP($A2,Patient_Input_Data!$B:$B,Patient_Input_Data!$I:$I,""),occ,XLOOKUP($A2,Patient_Input_Data!$B:$B,Patient_Input_Data!$G:$G,""),pri,XLOOKUP($A2,Patient_Input_Data!$B:$B,Patient_Input_Data!$AB:$AB,""),driveHigh,XLOOKUP("driving_hours_high",Calibration!$B:$B,Calibration!$C:$C),base,IF(OR(drive&gt;=driveHigh,occ="Driver"),"High","Medium"),IF(pri="Comfort-first",IF(base="High","Medium","Low"),base))</f>
        <v>High</v>
      </c>
      <c r="D2" s="28" t="str">
        <f t="array" ref="D2">LET(np,XLOOKUP($A2,Patient_Input_Data!$B:$B,Patient_Input_Data!$AD:$AD,""),st,XLOOKUP($A2,Patient_Input_Data!$B:$B,Patient_Input_Data!$H:$H,""),rs,XLOOKUP($A2,Patient_Input_Data!$B:$B,Patient_Input_Data!$J:$J,""),screenHigh,XLOOKUP("screen_time_high",Calibration!$B:$B,Calibration!$C:$C),IF(np&lt;&gt;"",np,IF(OR(st&gt;=screenHigh,rs="Blurred near"),"High","Medium")))</f>
        <v>High</v>
      </c>
      <c r="E2" s="28" t="str">
        <f>IFERROR(__xludf.DUMMYFUNCTION("LET(s,XLOOKUP($A2,Patient_Input_Data!$B:$B,Patient_Input_Data!$K:$K,""""),IF(OR(REGEXMATCH(s,""Sudden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vision"")),""Moderate"",""None"")))"),"High")</f>
        <v>High</v>
      </c>
      <c r="F2" s="28" t="str">
        <f t="array" ref="F2">LET(di,(XLOOKUP($A2,Patient_Input_Data!$B:$B,Patient_Input_Data!$U:$U,"")="True"),surg,XLOOKUP($A2,Patient_Input_Data!$B:$B,Patient_Input_Data!$X:$X,"")&lt;&gt;"None",ker,(XLOOKUP($A2,Patient_Input_Data!$B:$B,Patient_Input_Data!$Y:$Y,"")="True"),amb,(XLOOKUP($A2,Patient_Input_Data!$B:$B,Patient_Input_Data!$Z:$Z,"")="True"),inf,(XLOOKUP($A2,Patient_Input_Data!$B:$B,Patient_Input_Data!$AA:$AA,"")="True"),IF(OR(ker,inf),"High",IF(OR(di,surg,amb),"Moderate","None")))</f>
        <v>None</v>
      </c>
      <c r="G2" s="28" t="str">
        <f t="array" ref="G2">LET(last,XLOOKUP($A2,Patient_Input_Data!$B:$B,Patient_Input_Data!$Q:$Q,""),fl,(XLOOKUP($A2,Patient_Input_Data!$B:$B,Patient_Input_Data!$T:$T,"")="True"),chg,(XLOOKUP($A2,Patient_Input_Data!$B:$B,Patient_Input_Data!$S:$S,"")="True"),di,(XLOOKUP($A2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2" s="28" t="str">
        <f t="array" ref="H2">LET(
arS,XLOOKUP($A2,AR_Input!$A:$A,AR_Input!$B:$B,""),
arC,XLOOKUP($A2,AR_Input!$A:$A,AR_Input!$C:$C,""),
arA,XLOOKUP($A2,AR_Input!$A:$A,AR_Input!$D:$D,""),
lnS,XLOOKUP($A2,Lenso_Input!$A:$A,Lenso_Input!$B:$B,""),
lnC,XLOOKUP($A2,Lenso_Input!$A:$A,Lenso_Input!$C:$C,""),
lnA,XLOOKUP($A2,Lenso_Input!$A:$A,Lenso_Input!$D:$D,""),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Medium</v>
      </c>
      <c r="I2" s="28" t="str">
        <f t="array" ref="I2">LET(
arS,XLOOKUP($A2,AR_Input!$A:$A,AR_Input!$E:$E,""),
arC,XLOOKUP($A2,AR_Input!$A:$A,AR_Input!$F:$F,""),
arA,XLOOKUP($A2,AR_Input!$A:$A,AR_Input!$G:$G,""),
lnS,XLOOKUP($A2,Lenso_Input!$A:$A,Lenso_Input!$F:$F,""),
lnC,XLOOKUP($A2,Lenso_Input!$A:$A,Lenso_Input!$G:$G,""),
lnA,XLOOKUP($A2,Lenso_Input!$A:$A,Lenso_Input!$H:$H,""),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Large</v>
      </c>
      <c r="J2" s="28" t="str">
        <f t="array" ref="J2">LET(sat,XLOOKUP($A2,Patient_Input_Data!$B:$B,Patient_Input_Data!$O:$O,""),rs,XLOOKUP($A2,Patient_Input_Data!$B:$B,Patient_Input_Data!$J:$J,""),stab,$G2,misR,$H2,misL,$I2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2,AR_Input!$A:$A,AR_Input!$B:$B,""),arL,XLOOKUP($A2,AR_Input!$A:$A,AR_Input!$E:$E,""),lenR,XLOOKUP($A2,Lenso_Input!$A:$A,Lenso_Input!$B:$B,""),lenL,XLOOKUP($A2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Start_AR</v>
      </c>
      <c r="K2" s="28">
        <f t="array" ref="K2">LET(ar,XLOOKUP($A2,AR_Input!$A:$A,AR_Input!$B:$B,""),ln,XLOOKUP($A2,Lenso_Input!$A:$A,Lenso_Input!$B:$B,""),pol,$J2,step,XLOOKUP("hybrid_rounding_step",Calibration!$B:$B,Calibration!$C:$C),IF(pol="Start_AR",ar,IF(pol="Start_Lenso",IF(ln&lt;&gt;"",ln,ar),IF(AND(ar&lt;&gt;"",ln&lt;&gt;""),ROUND(((ar+ln)/2)/step,0)*step,IF(ar&lt;&gt;"",ar,ln)))))</f>
        <v>-2.5</v>
      </c>
      <c r="L2" s="28">
        <f t="array" ref="L2">LET(ar,XLOOKUP($A2,AR_Input!$A:$A,AR_Input!$C:$C,""),ln,XLOOKUP($A2,Lenso_Input!$A:$A,Lenso_Input!$C:$C,""),pol,$J2,step,XLOOKUP("hybrid_rounding_step",Calibration!$B:$B,Calibration!$C:$C),IF(pol="Start_AR",ar,IF(pol="Start_Lenso",IF(ln&lt;&gt;"",ln,ar),IF(AND(ar&lt;&gt;"",ln&lt;&gt;""),ROUND(((ar+ln)/2)/step,0)*step,IF(ar&lt;&gt;"",ar,ln)))))</f>
        <v>-1.75</v>
      </c>
      <c r="M2" s="28">
        <f t="array" ref="M2">LET(ar,XLOOKUP($A2,AR_Input!$A:$A,AR_Input!$D:$D,""),ln,XLOOKUP($A2,Lenso_Input!$A:$A,Lenso_Input!$D:$D,""),pol,$J2,IF(pol="Start_AR",ar,IF(pol="Start_Lenso",IF(ln&lt;&gt;"",ln,ar),IF(ar&lt;&gt;"",ar,ln))))</f>
        <v>90</v>
      </c>
      <c r="N2" s="28">
        <f t="array" ref="N2">LET(ar,XLOOKUP($A2,AR_Input!$A:$A,AR_Input!$E:$E,""),ln,XLOOKUP($A2,Lenso_Input!$A:$A,Lenso_Input!$F:$F,""),pol,$J2,step,XLOOKUP("hybrid_rounding_step",Calibration!$B:$B,Calibration!$C:$C),IF(pol="Start_AR",ar,IF(pol="Start_Lenso",IF(ln&lt;&gt;"",ln,ar),IF(AND(ar&lt;&gt;"",ln&lt;&gt;""),ROUND(((ar+ln)/2)/step,0)*step,IF(ar&lt;&gt;"",ar,ln)))))</f>
        <v>-2.5</v>
      </c>
      <c r="O2" s="28">
        <f t="array" ref="O2">LET(ar,XLOOKUP($A2,AR_Input!$A:$A,AR_Input!$F:$F,""),ln,XLOOKUP($A2,Lenso_Input!$A:$A,Lenso_Input!$G:$G,""),pol,$J2,step,XLOOKUP("hybrid_rounding_step",Calibration!$B:$B,Calibration!$C:$C),IF(pol="Start_AR",ar,IF(pol="Start_Lenso",IF(ln&lt;&gt;"",ln,ar),IF(AND(ar&lt;&gt;"",ln&lt;&gt;""),ROUND(((ar+ln)/2)/step,0)*step,IF(ar&lt;&gt;"",ar,ln)))))</f>
        <v>-3.75</v>
      </c>
      <c r="P2" s="28">
        <f t="array" ref="P2">LET(ar,XLOOKUP($A2,AR_Input!$A:$A,AR_Input!$G:$G,""),ln,XLOOKUP($A2,Lenso_Input!$A:$A,Lenso_Input!$H:$H,""),pol,$J2,IF(pol="Start_AR",ar,IF(pol="Start_Lenso",IF(ln&lt;&gt;"",ln,ar),IF(ar&lt;&gt;"",ar,ln))))</f>
        <v>70</v>
      </c>
      <c r="Q2" s="28" t="str">
        <f t="array" ref="Q2">LET(a,XLOOKUP($A2,Patient_Input_Data!$B:$B,Patient_Input_Data!$D:$D,""),wt,XLOOKUP($A2,Patient_Input_Data!$B:$B,Patient_Input_Data!$M:$M,""),addR,XLOOKUP($A2,Lenso_Input!$A:$A,Lenso_Input!$E:$E,""),addL,XLOOKUP($A2,Lenso_Input!$A:$A,Lenso_Input!$I:$I,""),near,D2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Likely</v>
      </c>
      <c r="R2" s="28" t="str">
        <f t="array" ref="R2">LET(dt,XLOOKUP($A2,Patient_Input_Data!$B:$B,Patient_Input_Data!$AC:$AC,""),sym,E2,med,F2,stab,G2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2" s="28" t="str">
        <f>IFERROR(__xludf.DUMMYFUNCTION("LET(pri,XLOOKUP($A2,Patient_Input_Data!$B:$B,Patient_Input_Data!$AB:$AB,""""),ageB,B2,near,D2,oc,XLOOKUP($A2,Patient_Input_Data!$B:$B,Patient_Input_Data!$G:$G,""""),sym,E2,s,XLOOKUP($A2,Patient_Input_Data!$B:$B,Patient_Input_Data!$K:$K,""""),IF(sym=""High"&amp;""",""Neutral"",IF(AND(pri=""Comfort-first"",ageB=""Presbyope"",near=""High""),""Undercorrect"",IF(AND(oc=""Driver"",OR(REGEXMATCH(s,""Night driving difficulty""),REGEXMATCH(s,""Glare/halos""))),""Overcorrect"",""Neutral""))))"),"Neutral")</f>
        <v>Neutral</v>
      </c>
      <c r="T2" s="28" t="str">
        <f t="shared" ref="T2:T7" si="1">LET(stab,G2,med,F2,sym,E2,IF(OR(stab="Unstable",med="High",sym="High"),"Conservative",IF(AND(stab="Stable",med="None",sym="None"),"Aggressive","Standard")))</f>
        <v>Conservative</v>
      </c>
      <c r="U2" s="28">
        <f t="array" ref="U2">IF(T2="Conservative",XLOOKUP("max_delta_start_conservative",Calibration!B:B,Calibration!C:C),IF(T2="Standard",XLOOKUP("max_delta_start_standard",Calibration!B:B,Calibration!C:C),XLOOKUP("max_delta_start_aggressive",Calibration!B:B,Calibration!C:C)))</f>
        <v>1.25</v>
      </c>
      <c r="V2" s="28">
        <f t="array" ref="V2">XLOOKUP("max_delta_ar_standard",Calibration!B:B,Calibration!C:C)</f>
        <v>3</v>
      </c>
      <c r="W2" s="28">
        <f t="array" ref="W2">IF(AB2="Strict",
XLOOKUP("axis_tol_strict",Calibration!$B:$B,Calibration!$C:$C),
IF(AB2="Normal",
XLOOKUP("axis_tol_normal",Calibration!$B:$B,Calibration!$C:$C),
XLOOKUP("axis_tol_relaxed",Calibration!$B:$B,Calibration!$C:$C)))</f>
        <v>1</v>
      </c>
      <c r="X2" s="28">
        <f t="array" ref="X2">IF(T2="Aggressive",
XLOOKUP("cyl_tol_aggressive",Calibration!$B:$B,Calibration!$C:$C),
XLOOKUP("cyl_tol_standard",Calibration!$B:$B,Calibration!$C:$C))</f>
        <v>0.25</v>
      </c>
      <c r="Y2" s="28" t="b">
        <f t="array" ref="Y2">IF(OR(E2="High",F2="High",XLOOKUP($A2,Patient_Input_Data!$B:$B,Patient_Input_Data!$AA:$AA,"")="True"),TRUE,FALSE)</f>
        <v>1</v>
      </c>
      <c r="Z2" s="28" t="b">
        <f t="shared" ref="Z2:Z7" si="2">IF(OR(G2&lt;&gt;"Stable",J2="Hybrid",H2="Large",I2="Large"),TRUE,FALSE)</f>
        <v>1</v>
      </c>
      <c r="AA2" s="28" t="str">
        <f t="shared" ref="AA2:AA7" si="3">IF(AND(B2="Adult",G2="Stable",E2="None",F2="None"),"Fast",IF(OR(B2="Presbyope",G2&lt;&gt;"Stable",E2="High",F2="High"),"Slow","Normal"))</f>
        <v>Slow</v>
      </c>
      <c r="AB2" s="28" t="str">
        <f t="shared" ref="AB2:AB7" si="4">IF(OR(E2="High",F2="High",G2="Unstable"),"Strict",IF(OR(E2="Moderate",F2="Moderate",G2="Uncertain"),"Normal","Relaxed"))</f>
        <v>Strict</v>
      </c>
      <c r="AC2" s="28" t="str">
        <f t="shared" ref="AC2:AC7" si="5">IF(OR(G2&lt;&gt;"Stable",E2="High",F2="High"),"High",IF(OR(E2="Moderate",F2="Moderate"),"Medium","Low"))</f>
        <v>High</v>
      </c>
      <c r="AD2" s="28" t="str">
        <f t="shared" ref="AD2:AD7" si="6">IF(OR(B2="Presbyope",G2="Unstable",F2="High",E2="High"),"Strong_Fog",IF(AND(B2="Adult",G2="Stable",OR(F2="Moderate",E2="Moderate")),"Standard_Fog","No_Fog"))</f>
        <v>Strong_Fog</v>
      </c>
      <c r="AE2" s="28">
        <f t="array" ref="AE2">IF(AD2="Strong_Fog",XLOOKUP("strong_fog_amount",Calibration!B:B,Calibration!C:C),IF(AD2="Standard_Fog",XLOOKUP("standard_fog_amount",Calibration!B:B,Calibration!C:C),XLOOKUP("no_fog_amount",Calibration!B:B,Calibration!C:C)))</f>
        <v>1</v>
      </c>
      <c r="AF2" s="28" t="str">
        <f t="shared" ref="AF2:AF7" si="7">IF(AND(AD2="Strong_Fog",R2="6/9_acceptable"),"Early_Stop_if_Risk",IF(AD2="Strong_Fog","StepDown_0.25","StepDown_0.50_then_0.25"))</f>
        <v>StepDown_0.25</v>
      </c>
      <c r="AG2" s="28" t="str">
        <f t="shared" ref="AG2:AG7" si="8">IF(OR(G2="Unstable",E2="High"),"High",IF(OR(E2="Moderate",F2="Moderate"),"Medium","Low"))</f>
        <v>High</v>
      </c>
      <c r="AH2" s="28" t="str">
        <f t="shared" ref="AH2:AH7" si="9">IF(OR(E2="High",F2="High",G2="Unstable"),"Fine","Normal")</f>
        <v>Fine</v>
      </c>
      <c r="AI2" s="28">
        <f t="array" ref="AI2">IF(AB2="Strict",
XLOOKUP("duochrome_max_flips_strict",Calibration!$B:$B,Calibration!$C:$C),
IF(AB2="Normal",
XLOOKUP("duochrome_max_flips_normal",Calibration!$B:$B,Calibration!$C:$C),
XLOOKUP("duochrome_max_flips_relaxed",Calibration!$B:$B,Calibration!$C:$C)))</f>
        <v>3</v>
      </c>
      <c r="AJ2" s="28" t="b">
        <f t="array" ref="AJ2">LET(
nearPr,D2,
addExp,Q2,
ageB,B2,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1</v>
      </c>
    </row>
    <row r="3">
      <c r="A3" s="29">
        <v>2.0</v>
      </c>
      <c r="B3" s="28" t="str">
        <f t="array" ref="B3">LET(age,XLOOKUP($A3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Presbyope</v>
      </c>
      <c r="C3" s="28" t="str">
        <f t="array" ref="C3">LET(drive,XLOOKUP($A3,Patient_Input_Data!$B:$B,Patient_Input_Data!$I:$I,""),occ,XLOOKUP($A3,Patient_Input_Data!$B:$B,Patient_Input_Data!$G:$G,""),pri,XLOOKUP($A3,Patient_Input_Data!$B:$B,Patient_Input_Data!$AB:$AB,""),driveHigh,XLOOKUP("driving_hours_high",Calibration!$B:$B,Calibration!$C:$C),base,IF(OR(drive&gt;=driveHigh,occ="Driver"),"High","Medium"),IF(pri="Comfort-first",IF(base="High","Medium","Low"),base))</f>
        <v>High</v>
      </c>
      <c r="D3" s="28" t="str">
        <f t="array" ref="D3">LET(np,XLOOKUP($A3,Patient_Input_Data!$B:$B,Patient_Input_Data!$AD:$AD,""),st,XLOOKUP($A3,Patient_Input_Data!$B:$B,Patient_Input_Data!$H:$H,""),rs,XLOOKUP($A3,Patient_Input_Data!$B:$B,Patient_Input_Data!$J:$J,""),screenHigh,XLOOKUP("screen_time_high",Calibration!$B:$B,Calibration!$C:$C),IF(np&lt;&gt;"",np,IF(OR(st&gt;=screenHigh,rs="Blurred near"),"High","Medium")))</f>
        <v>High</v>
      </c>
      <c r="E3" s="28" t="str">
        <f>IFERROR(__xludf.DUMMYFUNCTION("LET(s,XLOOKUP($A3,Patient_Input_Data!$B:$B,Patient_Input_Data!$K:$K,""""),IF(OR(REGEXMATCH(s,""Sudden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3" s="28" t="str">
        <f t="array" ref="F3">LET(di,(XLOOKUP($A3,Patient_Input_Data!$B:$B,Patient_Input_Data!$U:$U,"")="True"),surg,XLOOKUP($A3,Patient_Input_Data!$B:$B,Patient_Input_Data!$X:$X,"")&lt;&gt;"None",ker,(XLOOKUP($A3,Patient_Input_Data!$B:$B,Patient_Input_Data!$Y:$Y,"")="True"),amb,(XLOOKUP($A3,Patient_Input_Data!$B:$B,Patient_Input_Data!$Z:$Z,"")="True"),inf,(XLOOKUP($A3,Patient_Input_Data!$B:$B,Patient_Input_Data!$AA:$AA,"")="True"),IF(OR(ker,inf),"High",IF(OR(di,surg,amb),"Moderate","None")))</f>
        <v>None</v>
      </c>
      <c r="G3" s="28" t="str">
        <f t="array" ref="G3">LET(last,XLOOKUP($A3,Patient_Input_Data!$B:$B,Patient_Input_Data!$Q:$Q,""),fl,(XLOOKUP($A3,Patient_Input_Data!$B:$B,Patient_Input_Data!$T:$T,"")="True"),chg,(XLOOKUP($A3,Patient_Input_Data!$B:$B,Patient_Input_Data!$S:$S,"")="True"),di,(XLOOKUP($A3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3" s="28" t="str">
        <f t="array" ref="H3">LET(
arS,XLOOKUP($A3,AR_Input!$A:$A,AR_Input!$B:$B,""),
arC,XLOOKUP($A3,AR_Input!$A:$A,AR_Input!$C:$C,""),
arA,XLOOKUP($A3,AR_Input!$A:$A,AR_Input!$D:$D,""),
lnS,XLOOKUP($A3,Lenso_Input!$A:$A,Lenso_Input!$B:$B,""),
lnC,XLOOKUP($A3,Lenso_Input!$A:$A,Lenso_Input!$C:$C,""),
lnA,XLOOKUP($A3,Lenso_Input!$A:$A,Lenso_Input!$D:$D,""),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3" s="28" t="str">
        <f t="array" ref="I3">LET(
arS,XLOOKUP($A3,AR_Input!$A:$A,AR_Input!$E:$E,""),
arC,XLOOKUP($A3,AR_Input!$A:$A,AR_Input!$F:$F,""),
arA,XLOOKUP($A3,AR_Input!$A:$A,AR_Input!$G:$G,""),
lnS,XLOOKUP($A3,Lenso_Input!$A:$A,Lenso_Input!$F:$F,""),
lnC,XLOOKUP($A3,Lenso_Input!$A:$A,Lenso_Input!$G:$G,""),
lnA,XLOOKUP($A3,Lenso_Input!$A:$A,Lenso_Input!$H:$H,""),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J3" s="28" t="str">
        <f t="array" ref="J3">LET(sat,XLOOKUP($A3,Patient_Input_Data!$B:$B,Patient_Input_Data!$O:$O,""),rs,XLOOKUP($A3,Patient_Input_Data!$B:$B,Patient_Input_Data!$J:$J,""),stab,$G3,misR,$H3,misL,$I3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3,AR_Input!$A:$A,AR_Input!$B:$B,""),arL,XLOOKUP($A3,AR_Input!$A:$A,AR_Input!$E:$E,""),lenR,XLOOKUP($A3,Lenso_Input!$A:$A,Lenso_Input!$B:$B,""),lenL,XLOOKUP($A3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Start_AR</v>
      </c>
      <c r="K3" s="28">
        <f t="array" ref="K3">LET(ar,XLOOKUP($A3,AR_Input!$A:$A,AR_Input!$B:$B,""),ln,XLOOKUP($A3,Lenso_Input!$A:$A,Lenso_Input!$B:$B,""),pol,$J3,step,XLOOKUP("hybrid_rounding_step",Calibration!$B:$B,Calibration!$C:$C),IF(pol="Start_AR",ar,IF(pol="Start_Lenso",IF(ln&lt;&gt;"",ln,ar),IF(AND(ar&lt;&gt;"",ln&lt;&gt;""),ROUND(((ar+ln)/2)/step,0)*step,IF(ar&lt;&gt;"",ar,ln)))))</f>
        <v>-0.5</v>
      </c>
      <c r="L3" s="28">
        <f t="array" ref="L3">LET(ar,XLOOKUP($A3,AR_Input!$A:$A,AR_Input!$C:$C,""),ln,XLOOKUP($A3,Lenso_Input!$A:$A,Lenso_Input!$C:$C,""),pol,$J3,step,XLOOKUP("hybrid_rounding_step",Calibration!$B:$B,Calibration!$C:$C),IF(pol="Start_AR",ar,IF(pol="Start_Lenso",IF(ln&lt;&gt;"",ln,ar),IF(AND(ar&lt;&gt;"",ln&lt;&gt;""),ROUND(((ar+ln)/2)/step,0)*step,IF(ar&lt;&gt;"",ar,ln)))))</f>
        <v>-0.75</v>
      </c>
      <c r="M3" s="28">
        <f t="array" ref="M3">LET(ar,XLOOKUP($A3,AR_Input!$A:$A,AR_Input!$D:$D,""),ln,XLOOKUP($A3,Lenso_Input!$A:$A,Lenso_Input!$D:$D,""),pol,$J3,IF(pol="Start_AR",ar,IF(pol="Start_Lenso",IF(ln&lt;&gt;"",ln,ar),IF(ar&lt;&gt;"",ar,ln))))</f>
        <v>50</v>
      </c>
      <c r="N3" s="28">
        <f t="array" ref="N3">LET(ar,XLOOKUP($A3,AR_Input!$A:$A,AR_Input!$E:$E,""),ln,XLOOKUP($A3,Lenso_Input!$A:$A,Lenso_Input!$F:$F,""),pol,$J3,step,XLOOKUP("hybrid_rounding_step",Calibration!$B:$B,Calibration!$C:$C),IF(pol="Start_AR",ar,IF(pol="Start_Lenso",IF(ln&lt;&gt;"",ln,ar),IF(AND(ar&lt;&gt;"",ln&lt;&gt;""),ROUND(((ar+ln)/2)/step,0)*step,IF(ar&lt;&gt;"",ar,ln)))))</f>
        <v>-0.25</v>
      </c>
      <c r="O3" s="28">
        <f t="array" ref="O3">LET(ar,XLOOKUP($A3,AR_Input!$A:$A,AR_Input!$F:$F,""),ln,XLOOKUP($A3,Lenso_Input!$A:$A,Lenso_Input!$G:$G,""),pol,$J3,step,XLOOKUP("hybrid_rounding_step",Calibration!$B:$B,Calibration!$C:$C),IF(pol="Start_AR",ar,IF(pol="Start_Lenso",IF(ln&lt;&gt;"",ln,ar),IF(AND(ar&lt;&gt;"",ln&lt;&gt;""),ROUND(((ar+ln)/2)/step,0)*step,IF(ar&lt;&gt;"",ar,ln)))))</f>
        <v>-1</v>
      </c>
      <c r="P3" s="28">
        <f t="array" ref="P3">LET(ar,XLOOKUP($A3,AR_Input!$A:$A,AR_Input!$G:$G,""),ln,XLOOKUP($A3,Lenso_Input!$A:$A,Lenso_Input!$H:$H,""),pol,$J3,IF(pol="Start_AR",ar,IF(pol="Start_Lenso",IF(ln&lt;&gt;"",ln,ar),IF(ar&lt;&gt;"",ar,ln))))</f>
        <v>60</v>
      </c>
      <c r="Q3" s="28" t="str">
        <f t="array" ref="Q3">LET(a,XLOOKUP($A3,Patient_Input_Data!$B:$B,Patient_Input_Data!$D:$D,""),wt,XLOOKUP($A3,Patient_Input_Data!$B:$B,Patient_Input_Data!$M:$M,""),addR,XLOOKUP($A3,Lenso_Input!$A:$A,Lenso_Input!$E:$E,""),addL,XLOOKUP($A3,Lenso_Input!$A:$A,Lenso_Input!$I:$I,""),near,D3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Likely</v>
      </c>
      <c r="R3" s="28" t="str">
        <f t="array" ref="R3">LET(dt,XLOOKUP($A3,Patient_Input_Data!$B:$B,Patient_Input_Data!$AC:$AC,""),sym,E3,med,F3,stab,G3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3" s="28" t="str">
        <f>IFERROR(__xludf.DUMMYFUNCTION("LET(pri,XLOOKUP($A3,Patient_Input_Data!$B:$B,Patient_Input_Data!$AB:$AB,""""),ageB,B3,near,D3,oc,XLOOKUP($A3,Patient_Input_Data!$B:$B,Patient_Input_Data!$G:$G,""""),sym,E3,s,XLOOKUP($A3,Patient_Input_Data!$B:$B,Patient_Input_Data!$K:$K,""""),IF(sym=""High"&amp;""",""Neutral"",IF(AND(pri=""Comfort-first"",ageB=""Presbyope"",near=""High""),""Undercorrect"",IF(AND(oc=""Driver"",OR(REGEXMATCH(s,""Night driving difficulty""),REGEXMATCH(s,""Glare/halos""))),""Overcorrect"",""Neutral""))))"),"Neutral")</f>
        <v>Neutral</v>
      </c>
      <c r="T3" s="28" t="str">
        <f t="shared" si="1"/>
        <v>Aggressive</v>
      </c>
      <c r="U3" s="28">
        <f t="array" ref="U3">IF(T3="Conservative",XLOOKUP("max_delta_start_conservative",Calibration!B:B,Calibration!C:C),IF(T3="Standard",XLOOKUP("max_delta_start_standard",Calibration!B:B,Calibration!C:C),XLOOKUP("max_delta_start_aggressive",Calibration!B:B,Calibration!C:C)))</f>
        <v>2.5</v>
      </c>
      <c r="V3" s="28">
        <f t="array" ref="V3">XLOOKUP("max_delta_ar_standard",Calibration!B:B,Calibration!C:C)</f>
        <v>3</v>
      </c>
      <c r="W3" s="28">
        <f t="array" ref="W3">IF(AB3="Strict",
XLOOKUP("axis_tol_strict",Calibration!$B:$B,Calibration!$C:$C),
IF(AB3="Normal",
XLOOKUP("axis_tol_normal",Calibration!$B:$B,Calibration!$C:$C),
XLOOKUP("axis_tol_relaxed",Calibration!$B:$B,Calibration!$C:$C)))</f>
        <v>5</v>
      </c>
      <c r="X3" s="28">
        <f t="array" ref="X3">IF(T3="Aggressive",
XLOOKUP("cyl_tol_aggressive",Calibration!$B:$B,Calibration!$C:$C),
XLOOKUP("cyl_tol_standard",Calibration!$B:$B,Calibration!$C:$C))</f>
        <v>0.5</v>
      </c>
      <c r="Y3" s="28" t="b">
        <f t="array" ref="Y3">IF(OR(E3="High",F3="High",XLOOKUP($A3,Patient_Input_Data!$B:$B,Patient_Input_Data!$AA:$AA,"")="True"),TRUE,FALSE)</f>
        <v>0</v>
      </c>
      <c r="Z3" s="28" t="b">
        <f t="shared" si="2"/>
        <v>0</v>
      </c>
      <c r="AA3" s="28" t="str">
        <f t="shared" si="3"/>
        <v>Slow</v>
      </c>
      <c r="AB3" s="28" t="str">
        <f t="shared" si="4"/>
        <v>Relaxed</v>
      </c>
      <c r="AC3" s="28" t="str">
        <f t="shared" si="5"/>
        <v>Low</v>
      </c>
      <c r="AD3" s="28" t="str">
        <f t="shared" si="6"/>
        <v>Strong_Fog</v>
      </c>
      <c r="AE3" s="28">
        <f t="array" ref="AE3">IF(AD3="Strong_Fog",XLOOKUP("strong_fog_amount",Calibration!B:B,Calibration!C:C),IF(AD3="Standard_Fog",XLOOKUP("standard_fog_amount",Calibration!B:B,Calibration!C:C),XLOOKUP("no_fog_amount",Calibration!B:B,Calibration!C:C)))</f>
        <v>1</v>
      </c>
      <c r="AF3" s="28" t="str">
        <f t="shared" si="7"/>
        <v>StepDown_0.25</v>
      </c>
      <c r="AG3" s="28" t="str">
        <f t="shared" si="8"/>
        <v>Low</v>
      </c>
      <c r="AH3" s="28" t="str">
        <f t="shared" si="9"/>
        <v>Normal</v>
      </c>
      <c r="AI3" s="28">
        <f t="array" ref="AI3">IF(AB3="Strict",
XLOOKUP("duochrome_max_flips_strict",Calibration!$B:$B,Calibration!$C:$C),
IF(AB3="Normal",
XLOOKUP("duochrome_max_flips_normal",Calibration!$B:$B,Calibration!$C:$C),
XLOOKUP("duochrome_max_flips_relaxed",Calibration!$B:$B,Calibration!$C:$C)))</f>
        <v>5</v>
      </c>
      <c r="AJ3" s="28" t="b">
        <f t="array" ref="AJ3">LET(
nearPr,D3,
addExp,Q3,
ageB,B3,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1</v>
      </c>
    </row>
    <row r="4">
      <c r="A4" s="29">
        <v>3.0</v>
      </c>
      <c r="B4" s="28" t="str">
        <f t="array" ref="B4">LET(age,XLOOKUP($A4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Adult</v>
      </c>
      <c r="C4" s="28" t="str">
        <f t="array" ref="C4">LET(drive,XLOOKUP($A4,Patient_Input_Data!$B:$B,Patient_Input_Data!$I:$I,""),occ,XLOOKUP($A4,Patient_Input_Data!$B:$B,Patient_Input_Data!$G:$G,""),pri,XLOOKUP($A4,Patient_Input_Data!$B:$B,Patient_Input_Data!$AB:$AB,""),driveHigh,XLOOKUP("driving_hours_high",Calibration!$B:$B,Calibration!$C:$C),base,IF(OR(drive&gt;=driveHigh,occ="Driver"),"High","Medium"),IF(pri="Comfort-first",IF(base="High","Medium","Low"),base))</f>
        <v>Medium</v>
      </c>
      <c r="D4" s="28" t="str">
        <f t="array" ref="D4">LET(np,XLOOKUP($A4,Patient_Input_Data!$B:$B,Patient_Input_Data!$AD:$AD,""),st,XLOOKUP($A4,Patient_Input_Data!$B:$B,Patient_Input_Data!$H:$H,""),rs,XLOOKUP($A4,Patient_Input_Data!$B:$B,Patient_Input_Data!$J:$J,""),screenHigh,XLOOKUP("screen_time_high",Calibration!$B:$B,Calibration!$C:$C),IF(np&lt;&gt;"",np,IF(OR(st&gt;=screenHigh,rs="Blurred near"),"High","Medium")))</f>
        <v>Low</v>
      </c>
      <c r="E4" s="28" t="str">
        <f>IFERROR(__xludf.DUMMYFUNCTION("LET(s,XLOOKUP($A4,Patient_Input_Data!$B:$B,Patient_Input_Data!$K:$K,""""),IF(OR(REGEXMATCH(s,""Sudden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4" s="28" t="str">
        <f t="array" ref="F4">LET(di,(XLOOKUP($A4,Patient_Input_Data!$B:$B,Patient_Input_Data!$U:$U,"")="True"),surg,XLOOKUP($A4,Patient_Input_Data!$B:$B,Patient_Input_Data!$X:$X,"")&lt;&gt;"None",ker,(XLOOKUP($A4,Patient_Input_Data!$B:$B,Patient_Input_Data!$Y:$Y,"")="True"),amb,(XLOOKUP($A4,Patient_Input_Data!$B:$B,Patient_Input_Data!$Z:$Z,"")="True"),inf,(XLOOKUP($A4,Patient_Input_Data!$B:$B,Patient_Input_Data!$AA:$AA,"")="True"),IF(OR(ker,inf),"High",IF(OR(di,surg,amb),"Moderate","None")))</f>
        <v>None</v>
      </c>
      <c r="G4" s="28" t="str">
        <f t="array" ref="G4">LET(last,XLOOKUP($A4,Patient_Input_Data!$B:$B,Patient_Input_Data!$Q:$Q,""),fl,(XLOOKUP($A4,Patient_Input_Data!$B:$B,Patient_Input_Data!$T:$T,"")="True"),chg,(XLOOKUP($A4,Patient_Input_Data!$B:$B,Patient_Input_Data!$S:$S,"")="True"),di,(XLOOKUP($A4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4" s="28" t="str">
        <f t="array" ref="H4">LET(
arS,XLOOKUP($A4,AR_Input!$A:$A,AR_Input!$B:$B,""),
arC,XLOOKUP($A4,AR_Input!$A:$A,AR_Input!$C:$C,""),
arA,XLOOKUP($A4,AR_Input!$A:$A,AR_Input!$D:$D,""),
lnS,XLOOKUP($A4,Lenso_Input!$A:$A,Lenso_Input!$B:$B,""),
lnC,XLOOKUP($A4,Lenso_Input!$A:$A,Lenso_Input!$C:$C,""),
lnA,XLOOKUP($A4,Lenso_Input!$A:$A,Lenso_Input!$D:$D,""),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4" s="28" t="str">
        <f t="array" ref="I4">LET(
arS,XLOOKUP($A4,AR_Input!$A:$A,AR_Input!$E:$E,""),
arC,XLOOKUP($A4,AR_Input!$A:$A,AR_Input!$F:$F,""),
arA,XLOOKUP($A4,AR_Input!$A:$A,AR_Input!$G:$G,""),
lnS,XLOOKUP($A4,Lenso_Input!$A:$A,Lenso_Input!$F:$F,""),
lnC,XLOOKUP($A4,Lenso_Input!$A:$A,Lenso_Input!$G:$G,""),
lnA,XLOOKUP($A4,Lenso_Input!$A:$A,Lenso_Input!$H:$H,""),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Large</v>
      </c>
      <c r="J4" s="28" t="str">
        <f t="array" ref="J4">LET(sat,XLOOKUP($A4,Patient_Input_Data!$B:$B,Patient_Input_Data!$O:$O,""),rs,XLOOKUP($A4,Patient_Input_Data!$B:$B,Patient_Input_Data!$J:$J,""),stab,$G4,misR,$H4,misL,$I4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4,AR_Input!$A:$A,AR_Input!$B:$B,""),arL,XLOOKUP($A4,AR_Input!$A:$A,AR_Input!$E:$E,""),lenR,XLOOKUP($A4,Lenso_Input!$A:$A,Lenso_Input!$B:$B,""),lenL,XLOOKUP($A4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Hybrid</v>
      </c>
      <c r="K4" s="28">
        <f t="array" ref="K4">LET(ar,XLOOKUP($A4,AR_Input!$A:$A,AR_Input!$B:$B,""),ln,XLOOKUP($A4,Lenso_Input!$A:$A,Lenso_Input!$B:$B,""),pol,$J4,step,XLOOKUP("hybrid_rounding_step",Calibration!$B:$B,Calibration!$C:$C),IF(pol="Start_AR",ar,IF(pol="Start_Lenso",IF(ln&lt;&gt;"",ln,ar),IF(AND(ar&lt;&gt;"",ln&lt;&gt;""),ROUND(((ar+ln)/2)/step,0)*step,IF(ar&lt;&gt;"",ar,ln)))))</f>
        <v>-2.25</v>
      </c>
      <c r="L4" s="28">
        <f t="array" ref="L4">LET(ar,XLOOKUP($A4,AR_Input!$A:$A,AR_Input!$C:$C,""),ln,XLOOKUP($A4,Lenso_Input!$A:$A,Lenso_Input!$C:$C,""),pol,$J4,step,XLOOKUP("hybrid_rounding_step",Calibration!$B:$B,Calibration!$C:$C),IF(pol="Start_AR",ar,IF(pol="Start_Lenso",IF(ln&lt;&gt;"",ln,ar),IF(AND(ar&lt;&gt;"",ln&lt;&gt;""),ROUND(((ar+ln)/2)/step,0)*step,IF(ar&lt;&gt;"",ar,ln)))))</f>
        <v>-1</v>
      </c>
      <c r="M4" s="28">
        <f t="array" ref="M4">LET(ar,XLOOKUP($A4,AR_Input!$A:$A,AR_Input!$D:$D,""),ln,XLOOKUP($A4,Lenso_Input!$A:$A,Lenso_Input!$D:$D,""),pol,$J4,IF(pol="Start_AR",ar,IF(pol="Start_Lenso",IF(ln&lt;&gt;"",ln,ar),IF(ar&lt;&gt;"",ar,ln))))</f>
        <v>80</v>
      </c>
      <c r="N4" s="28">
        <f t="array" ref="N4">LET(ar,XLOOKUP($A4,AR_Input!$A:$A,AR_Input!$E:$E,""),ln,XLOOKUP($A4,Lenso_Input!$A:$A,Lenso_Input!$F:$F,""),pol,$J4,step,XLOOKUP("hybrid_rounding_step",Calibration!$B:$B,Calibration!$C:$C),IF(pol="Start_AR",ar,IF(pol="Start_Lenso",IF(ln&lt;&gt;"",ln,ar),IF(AND(ar&lt;&gt;"",ln&lt;&gt;""),ROUND(((ar+ln)/2)/step,0)*step,IF(ar&lt;&gt;"",ar,ln)))))</f>
        <v>-3.75</v>
      </c>
      <c r="O4" s="28">
        <f t="array" ref="O4">LET(ar,XLOOKUP($A4,AR_Input!$A:$A,AR_Input!$F:$F,""),ln,XLOOKUP($A4,Lenso_Input!$A:$A,Lenso_Input!$G:$G,""),pol,$J4,step,XLOOKUP("hybrid_rounding_step",Calibration!$B:$B,Calibration!$C:$C),IF(pol="Start_AR",ar,IF(pol="Start_Lenso",IF(ln&lt;&gt;"",ln,ar),IF(AND(ar&lt;&gt;"",ln&lt;&gt;""),ROUND(((ar+ln)/2)/step,0)*step,IF(ar&lt;&gt;"",ar,ln)))))</f>
        <v>-0.25</v>
      </c>
      <c r="P4" s="28">
        <f t="array" ref="P4">LET(ar,XLOOKUP($A4,AR_Input!$A:$A,AR_Input!$G:$G,""),ln,XLOOKUP($A4,Lenso_Input!$A:$A,Lenso_Input!$H:$H,""),pol,$J4,IF(pol="Start_AR",ar,IF(pol="Start_Lenso",IF(ln&lt;&gt;"",ln,ar),IF(ar&lt;&gt;"",ar,ln))))</f>
        <v>40</v>
      </c>
      <c r="Q4" s="28" t="str">
        <f t="array" ref="Q4">LET(a,XLOOKUP($A4,Patient_Input_Data!$B:$B,Patient_Input_Data!$D:$D,""),wt,XLOOKUP($A4,Patient_Input_Data!$B:$B,Patient_Input_Data!$M:$M,""),addR,XLOOKUP($A4,Lenso_Input!$A:$A,Lenso_Input!$E:$E,""),addL,XLOOKUP($A4,Lenso_Input!$A:$A,Lenso_Input!$I:$I,""),near,D4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None</v>
      </c>
      <c r="R4" s="28" t="str">
        <f t="array" ref="R4">LET(dt,XLOOKUP($A4,Patient_Input_Data!$B:$B,Patient_Input_Data!$AC:$AC,""),sym,E4,med,F4,stab,G4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4" s="28" t="str">
        <f>IFERROR(__xludf.DUMMYFUNCTION("LET(pri,XLOOKUP($A4,Patient_Input_Data!$B:$B,Patient_Input_Data!$AB:$AB,""""),ageB,B4,near,D4,oc,XLOOKUP($A4,Patient_Input_Data!$B:$B,Patient_Input_Data!$G:$G,""""),sym,E4,s,XLOOKUP($A4,Patient_Input_Data!$B:$B,Patient_Input_Data!$K:$K,""""),IF(sym=""High"&amp;""",""Neutral"",IF(AND(pri=""Comfort-first"",ageB=""Presbyope"",near=""High""),""Undercorrect"",IF(AND(oc=""Driver"",OR(REGEXMATCH(s,""Night driving difficulty""),REGEXMATCH(s,""Glare/halos""))),""Overcorrect"",""Neutral""))))"),"Neutral")</f>
        <v>Neutral</v>
      </c>
      <c r="T4" s="28" t="str">
        <f t="shared" si="1"/>
        <v>Aggressive</v>
      </c>
      <c r="U4" s="28">
        <f t="array" ref="U4">IF(T4="Conservative",XLOOKUP("max_delta_start_conservative",Calibration!B:B,Calibration!C:C),IF(T4="Standard",XLOOKUP("max_delta_start_standard",Calibration!B:B,Calibration!C:C),XLOOKUP("max_delta_start_aggressive",Calibration!B:B,Calibration!C:C)))</f>
        <v>2.5</v>
      </c>
      <c r="V4" s="28">
        <f t="array" ref="V4">XLOOKUP("max_delta_ar_standard",Calibration!B:B,Calibration!C:C)</f>
        <v>3</v>
      </c>
      <c r="W4" s="28">
        <f t="array" ref="W4">IF(AB4="Strict",
XLOOKUP("axis_tol_strict",Calibration!$B:$B,Calibration!$C:$C),
IF(AB4="Normal",
XLOOKUP("axis_tol_normal",Calibration!$B:$B,Calibration!$C:$C),
XLOOKUP("axis_tol_relaxed",Calibration!$B:$B,Calibration!$C:$C)))</f>
        <v>5</v>
      </c>
      <c r="X4" s="28">
        <f t="array" ref="X4">IF(T4="Aggressive",
XLOOKUP("cyl_tol_aggressive",Calibration!$B:$B,Calibration!$C:$C),
XLOOKUP("cyl_tol_standard",Calibration!$B:$B,Calibration!$C:$C))</f>
        <v>0.5</v>
      </c>
      <c r="Y4" s="28" t="b">
        <f t="array" ref="Y4">IF(OR(E4="High",F4="High",XLOOKUP($A4,Patient_Input_Data!$B:$B,Patient_Input_Data!$AA:$AA,"")="True"),TRUE,FALSE)</f>
        <v>0</v>
      </c>
      <c r="Z4" s="28" t="b">
        <f t="shared" si="2"/>
        <v>1</v>
      </c>
      <c r="AA4" s="28" t="str">
        <f t="shared" si="3"/>
        <v>Fast</v>
      </c>
      <c r="AB4" s="28" t="str">
        <f t="shared" si="4"/>
        <v>Relaxed</v>
      </c>
      <c r="AC4" s="28" t="str">
        <f t="shared" si="5"/>
        <v>Low</v>
      </c>
      <c r="AD4" s="28" t="str">
        <f t="shared" si="6"/>
        <v>No_Fog</v>
      </c>
      <c r="AE4" s="28">
        <f t="array" ref="AE4">IF(AD4="Strong_Fog",XLOOKUP("strong_fog_amount",Calibration!B:B,Calibration!C:C),IF(AD4="Standard_Fog",XLOOKUP("standard_fog_amount",Calibration!B:B,Calibration!C:C),XLOOKUP("no_fog_amount",Calibration!B:B,Calibration!C:C)))</f>
        <v>0.25</v>
      </c>
      <c r="AF4" s="28" t="str">
        <f t="shared" si="7"/>
        <v>StepDown_0.50_then_0.25</v>
      </c>
      <c r="AG4" s="28" t="str">
        <f t="shared" si="8"/>
        <v>Low</v>
      </c>
      <c r="AH4" s="28" t="str">
        <f t="shared" si="9"/>
        <v>Normal</v>
      </c>
      <c r="AI4" s="28">
        <f t="array" ref="AI4">IF(AB4="Strict",
XLOOKUP("duochrome_max_flips_strict",Calibration!$B:$B,Calibration!$C:$C),
IF(AB4="Normal",
XLOOKUP("duochrome_max_flips_normal",Calibration!$B:$B,Calibration!$C:$C),
XLOOKUP("duochrome_max_flips_relaxed",Calibration!$B:$B,Calibration!$C:$C)))</f>
        <v>5</v>
      </c>
      <c r="AJ4" s="28" t="b">
        <f t="array" ref="AJ4">LET(
nearPr,D4,
addExp,Q4,
ageB,B4,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0</v>
      </c>
    </row>
    <row r="5">
      <c r="A5" s="29">
        <v>4.0</v>
      </c>
      <c r="B5" s="28" t="str">
        <f t="array" ref="B5">LET(age,XLOOKUP($A5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Adult</v>
      </c>
      <c r="C5" s="28" t="str">
        <f t="array" ref="C5">LET(drive,XLOOKUP($A5,Patient_Input_Data!$B:$B,Patient_Input_Data!$I:$I,""),occ,XLOOKUP($A5,Patient_Input_Data!$B:$B,Patient_Input_Data!$G:$G,""),pri,XLOOKUP($A5,Patient_Input_Data!$B:$B,Patient_Input_Data!$AB:$AB,""),driveHigh,XLOOKUP("driving_hours_high",Calibration!$B:$B,Calibration!$C:$C),base,IF(OR(drive&gt;=driveHigh,occ="Driver"),"High","Medium"),IF(pri="Comfort-first",IF(base="High","Medium","Low"),base))</f>
        <v>Medium</v>
      </c>
      <c r="D5" s="28" t="str">
        <f t="array" ref="D5">LET(np,XLOOKUP($A5,Patient_Input_Data!$B:$B,Patient_Input_Data!$AD:$AD,""),st,XLOOKUP($A5,Patient_Input_Data!$B:$B,Patient_Input_Data!$H:$H,""),rs,XLOOKUP($A5,Patient_Input_Data!$B:$B,Patient_Input_Data!$J:$J,""),screenHigh,XLOOKUP("screen_time_high",Calibration!$B:$B,Calibration!$C:$C),IF(np&lt;&gt;"",np,IF(OR(st&gt;=screenHigh,rs="Blurred near"),"High","Medium")))</f>
        <v>High</v>
      </c>
      <c r="E5" s="28" t="str">
        <f>IFERROR(__xludf.DUMMYFUNCTION("LET(s,XLOOKUP($A5,Patient_Input_Data!$B:$B,Patient_Input_Data!$K:$K,""""),IF(OR(REGEXMATCH(s,""Sudden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5" s="28" t="str">
        <f t="array" ref="F5">LET(di,(XLOOKUP($A5,Patient_Input_Data!$B:$B,Patient_Input_Data!$U:$U,"")="True"),surg,XLOOKUP($A5,Patient_Input_Data!$B:$B,Patient_Input_Data!$X:$X,"")&lt;&gt;"None",ker,(XLOOKUP($A5,Patient_Input_Data!$B:$B,Patient_Input_Data!$Y:$Y,"")="True"),amb,(XLOOKUP($A5,Patient_Input_Data!$B:$B,Patient_Input_Data!$Z:$Z,"")="True"),inf,(XLOOKUP($A5,Patient_Input_Data!$B:$B,Patient_Input_Data!$AA:$AA,"")="True"),IF(OR(ker,inf),"High",IF(OR(di,surg,amb),"Moderate","None")))</f>
        <v>None</v>
      </c>
      <c r="G5" s="28" t="str">
        <f t="array" ref="G5">LET(last,XLOOKUP($A5,Patient_Input_Data!$B:$B,Patient_Input_Data!$Q:$Q,""),fl,(XLOOKUP($A5,Patient_Input_Data!$B:$B,Patient_Input_Data!$T:$T,"")="True"),chg,(XLOOKUP($A5,Patient_Input_Data!$B:$B,Patient_Input_Data!$S:$S,"")="True"),di,(XLOOKUP($A5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5" s="28" t="str">
        <f t="array" ref="H5">LET(
arS,XLOOKUP($A5,AR_Input!$A:$A,AR_Input!$B:$B,""),
arC,XLOOKUP($A5,AR_Input!$A:$A,AR_Input!$C:$C,""),
arA,XLOOKUP($A5,AR_Input!$A:$A,AR_Input!$D:$D,""),
lnS,XLOOKUP($A5,Lenso_Input!$A:$A,Lenso_Input!$B:$B,""),
lnC,XLOOKUP($A5,Lenso_Input!$A:$A,Lenso_Input!$C:$C,""),
lnA,XLOOKUP($A5,Lenso_Input!$A:$A,Lenso_Input!$D:$D,""),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5" s="28" t="str">
        <f t="array" ref="I5">LET(
arS,XLOOKUP($A5,AR_Input!$A:$A,AR_Input!$E:$E,""),
arC,XLOOKUP($A5,AR_Input!$A:$A,AR_Input!$F:$F,""),
arA,XLOOKUP($A5,AR_Input!$A:$A,AR_Input!$G:$G,""),
lnS,XLOOKUP($A5,Lenso_Input!$A:$A,Lenso_Input!$F:$F,""),
lnC,XLOOKUP($A5,Lenso_Input!$A:$A,Lenso_Input!$G:$G,""),
lnA,XLOOKUP($A5,Lenso_Input!$A:$A,Lenso_Input!$H:$H,""),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J5" s="28" t="str">
        <f t="array" ref="J5">LET(sat,XLOOKUP($A5,Patient_Input_Data!$B:$B,Patient_Input_Data!$O:$O,""),rs,XLOOKUP($A5,Patient_Input_Data!$B:$B,Patient_Input_Data!$J:$J,""),stab,$G5,misR,$H5,misL,$I5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5,AR_Input!$A:$A,AR_Input!$B:$B,""),arL,XLOOKUP($A5,AR_Input!$A:$A,AR_Input!$E:$E,""),lenR,XLOOKUP($A5,Lenso_Input!$A:$A,Lenso_Input!$B:$B,""),lenL,XLOOKUP($A5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Start_Lenso</v>
      </c>
      <c r="K5" s="28">
        <f t="array" ref="K5">LET(ar,XLOOKUP($A5,AR_Input!$A:$A,AR_Input!$B:$B,""),ln,XLOOKUP($A5,Lenso_Input!$A:$A,Lenso_Input!$B:$B,""),pol,$J5,step,XLOOKUP("hybrid_rounding_step",Calibration!$B:$B,Calibration!$C:$C),IF(pol="Start_AR",ar,IF(pol="Start_Lenso",IF(ln&lt;&gt;"",ln,ar),IF(AND(ar&lt;&gt;"",ln&lt;&gt;""),ROUND(((ar+ln)/2)/step,0)*step,IF(ar&lt;&gt;"",ar,ln)))))</f>
        <v>-3.5</v>
      </c>
      <c r="L5" s="28">
        <f t="array" ref="L5">LET(ar,XLOOKUP($A5,AR_Input!$A:$A,AR_Input!$C:$C,""),ln,XLOOKUP($A5,Lenso_Input!$A:$A,Lenso_Input!$C:$C,""),pol,$J5,step,XLOOKUP("hybrid_rounding_step",Calibration!$B:$B,Calibration!$C:$C),IF(pol="Start_AR",ar,IF(pol="Start_Lenso",IF(ln&lt;&gt;"",ln,ar),IF(AND(ar&lt;&gt;"",ln&lt;&gt;""),ROUND(((ar+ln)/2)/step,0)*step,IF(ar&lt;&gt;"",ar,ln)))))</f>
        <v>-2</v>
      </c>
      <c r="M5" s="28">
        <f t="array" ref="M5">LET(ar,XLOOKUP($A5,AR_Input!$A:$A,AR_Input!$D:$D,""),ln,XLOOKUP($A5,Lenso_Input!$A:$A,Lenso_Input!$D:$D,""),pol,$J5,IF(pol="Start_AR",ar,IF(pol="Start_Lenso",IF(ln&lt;&gt;"",ln,ar),IF(ar&lt;&gt;"",ar,ln))))</f>
        <v>10</v>
      </c>
      <c r="N5" s="28">
        <f t="array" ref="N5">LET(ar,XLOOKUP($A5,AR_Input!$A:$A,AR_Input!$E:$E,""),ln,XLOOKUP($A5,Lenso_Input!$A:$A,Lenso_Input!$F:$F,""),pol,$J5,step,XLOOKUP("hybrid_rounding_step",Calibration!$B:$B,Calibration!$C:$C),IF(pol="Start_AR",ar,IF(pol="Start_Lenso",IF(ln&lt;&gt;"",ln,ar),IF(AND(ar&lt;&gt;"",ln&lt;&gt;""),ROUND(((ar+ln)/2)/step,0)*step,IF(ar&lt;&gt;"",ar,ln)))))</f>
        <v>-3.25</v>
      </c>
      <c r="O5" s="28">
        <f t="array" ref="O5">LET(ar,XLOOKUP($A5,AR_Input!$A:$A,AR_Input!$F:$F,""),ln,XLOOKUP($A5,Lenso_Input!$A:$A,Lenso_Input!$G:$G,""),pol,$J5,step,XLOOKUP("hybrid_rounding_step",Calibration!$B:$B,Calibration!$C:$C),IF(pol="Start_AR",ar,IF(pol="Start_Lenso",IF(ln&lt;&gt;"",ln,ar),IF(AND(ar&lt;&gt;"",ln&lt;&gt;""),ROUND(((ar+ln)/2)/step,0)*step,IF(ar&lt;&gt;"",ar,ln)))))</f>
        <v>-2</v>
      </c>
      <c r="P5" s="28">
        <f t="array" ref="P5">LET(ar,XLOOKUP($A5,AR_Input!$A:$A,AR_Input!$G:$G,""),ln,XLOOKUP($A5,Lenso_Input!$A:$A,Lenso_Input!$H:$H,""),pol,$J5,IF(pol="Start_AR",ar,IF(pol="Start_Lenso",IF(ln&lt;&gt;"",ln,ar),IF(ar&lt;&gt;"",ar,ln))))</f>
        <v>170</v>
      </c>
      <c r="Q5" s="28" t="str">
        <f t="array" ref="Q5">LET(a,XLOOKUP($A5,Patient_Input_Data!$B:$B,Patient_Input_Data!$D:$D,""),wt,XLOOKUP($A5,Patient_Input_Data!$B:$B,Patient_Input_Data!$M:$M,""),addR,XLOOKUP($A5,Lenso_Input!$A:$A,Lenso_Input!$E:$E,""),addL,XLOOKUP($A5,Lenso_Input!$A:$A,Lenso_Input!$I:$I,""),near,D5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None</v>
      </c>
      <c r="R5" s="28" t="str">
        <f t="array" ref="R5">LET(dt,XLOOKUP($A5,Patient_Input_Data!$B:$B,Patient_Input_Data!$AC:$AC,""),sym,E5,med,F5,stab,G5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5" s="28" t="str">
        <f>IFERROR(__xludf.DUMMYFUNCTION("LET(pri,XLOOKUP($A5,Patient_Input_Data!$B:$B,Patient_Input_Data!$AB:$AB,""""),ageB,B5,near,D5,oc,XLOOKUP($A5,Patient_Input_Data!$B:$B,Patient_Input_Data!$G:$G,""""),sym,E5,s,XLOOKUP($A5,Patient_Input_Data!$B:$B,Patient_Input_Data!$K:$K,""""),IF(sym=""High"&amp;""",""Neutral"",IF(AND(pri=""Comfort-first"",ageB=""Presbyope"",near=""High""),""Undercorrect"",IF(AND(oc=""Driver"",OR(REGEXMATCH(s,""Night driving difficulty""),REGEXMATCH(s,""Glare/halos""))),""Overcorrect"",""Neutral""))))"),"Neutral")</f>
        <v>Neutral</v>
      </c>
      <c r="T5" s="28" t="str">
        <f t="shared" si="1"/>
        <v>Aggressive</v>
      </c>
      <c r="U5" s="28">
        <f t="array" ref="U5">IF(T5="Conservative",XLOOKUP("max_delta_start_conservative",Calibration!B:B,Calibration!C:C),IF(T5="Standard",XLOOKUP("max_delta_start_standard",Calibration!B:B,Calibration!C:C),XLOOKUP("max_delta_start_aggressive",Calibration!B:B,Calibration!C:C)))</f>
        <v>2.5</v>
      </c>
      <c r="V5" s="28">
        <f t="array" ref="V5">XLOOKUP("max_delta_ar_standard",Calibration!B:B,Calibration!C:C)</f>
        <v>3</v>
      </c>
      <c r="W5" s="28">
        <f t="array" ref="W5">IF(AB5="Strict",
XLOOKUP("axis_tol_strict",Calibration!$B:$B,Calibration!$C:$C),
IF(AB5="Normal",
XLOOKUP("axis_tol_normal",Calibration!$B:$B,Calibration!$C:$C),
XLOOKUP("axis_tol_relaxed",Calibration!$B:$B,Calibration!$C:$C)))</f>
        <v>5</v>
      </c>
      <c r="X5" s="28">
        <f t="array" ref="X5">IF(T5="Aggressive",
XLOOKUP("cyl_tol_aggressive",Calibration!$B:$B,Calibration!$C:$C),
XLOOKUP("cyl_tol_standard",Calibration!$B:$B,Calibration!$C:$C))</f>
        <v>0.5</v>
      </c>
      <c r="Y5" s="28" t="b">
        <f t="array" ref="Y5">IF(OR(E5="High",F5="High",XLOOKUP($A5,Patient_Input_Data!$B:$B,Patient_Input_Data!$AA:$AA,"")="True"),TRUE,FALSE)</f>
        <v>0</v>
      </c>
      <c r="Z5" s="28" t="b">
        <f t="shared" si="2"/>
        <v>0</v>
      </c>
      <c r="AA5" s="28" t="str">
        <f t="shared" si="3"/>
        <v>Fast</v>
      </c>
      <c r="AB5" s="28" t="str">
        <f t="shared" si="4"/>
        <v>Relaxed</v>
      </c>
      <c r="AC5" s="28" t="str">
        <f t="shared" si="5"/>
        <v>Low</v>
      </c>
      <c r="AD5" s="28" t="str">
        <f t="shared" si="6"/>
        <v>No_Fog</v>
      </c>
      <c r="AE5" s="28">
        <f t="array" ref="AE5">IF(AD5="Strong_Fog",XLOOKUP("strong_fog_amount",Calibration!B:B,Calibration!C:C),IF(AD5="Standard_Fog",XLOOKUP("standard_fog_amount",Calibration!B:B,Calibration!C:C),XLOOKUP("no_fog_amount",Calibration!B:B,Calibration!C:C)))</f>
        <v>0.25</v>
      </c>
      <c r="AF5" s="28" t="str">
        <f t="shared" si="7"/>
        <v>StepDown_0.50_then_0.25</v>
      </c>
      <c r="AG5" s="28" t="str">
        <f t="shared" si="8"/>
        <v>Low</v>
      </c>
      <c r="AH5" s="28" t="str">
        <f t="shared" si="9"/>
        <v>Normal</v>
      </c>
      <c r="AI5" s="28">
        <f t="array" ref="AI5">IF(AB5="Strict",
XLOOKUP("duochrome_max_flips_strict",Calibration!$B:$B,Calibration!$C:$C),
IF(AB5="Normal",
XLOOKUP("duochrome_max_flips_normal",Calibration!$B:$B,Calibration!$C:$C),
XLOOKUP("duochrome_max_flips_relaxed",Calibration!$B:$B,Calibration!$C:$C)))</f>
        <v>5</v>
      </c>
      <c r="AJ5" s="28" t="b">
        <f t="array" ref="AJ5">LET(
nearPr,D5,
addExp,Q5,
ageB,B5,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1</v>
      </c>
    </row>
    <row r="6">
      <c r="A6" s="29">
        <v>5.0</v>
      </c>
      <c r="B6" s="28" t="str">
        <f t="array" ref="B6">LET(age,XLOOKUP($A6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Adult</v>
      </c>
      <c r="C6" s="28" t="str">
        <f t="array" ref="C6">LET(drive,XLOOKUP($A6,Patient_Input_Data!$B:$B,Patient_Input_Data!$I:$I,""),occ,XLOOKUP($A6,Patient_Input_Data!$B:$B,Patient_Input_Data!$G:$G,""),pri,XLOOKUP($A6,Patient_Input_Data!$B:$B,Patient_Input_Data!$AB:$AB,""),driveHigh,XLOOKUP("driving_hours_high",Calibration!$B:$B,Calibration!$C:$C),base,IF(OR(drive&gt;=driveHigh,occ="Driver"),"High","Medium"),IF(pri="Comfort-first",IF(base="High","Medium","Low"),base))</f>
        <v>Low</v>
      </c>
      <c r="D6" s="28" t="str">
        <f t="array" ref="D6">LET(np,XLOOKUP($A6,Patient_Input_Data!$B:$B,Patient_Input_Data!$AD:$AD,""),st,XLOOKUP($A6,Patient_Input_Data!$B:$B,Patient_Input_Data!$H:$H,""),rs,XLOOKUP($A6,Patient_Input_Data!$B:$B,Patient_Input_Data!$J:$J,""),screenHigh,XLOOKUP("screen_time_high",Calibration!$B:$B,Calibration!$C:$C),IF(np&lt;&gt;"",np,IF(OR(st&gt;=screenHigh,rs="Blurred near"),"High","Medium")))</f>
        <v>Low</v>
      </c>
      <c r="E6" s="28" t="str">
        <f>IFERROR(__xludf.DUMMYFUNCTION("LET(s,XLOOKUP($A6,Patient_Input_Data!$B:$B,Patient_Input_Data!$K:$K,""""),IF(OR(REGEXMATCH(s,""Sudden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6" s="28" t="str">
        <f t="array" ref="F6">LET(di,(XLOOKUP($A6,Patient_Input_Data!$B:$B,Patient_Input_Data!$U:$U,"")="True"),surg,XLOOKUP($A6,Patient_Input_Data!$B:$B,Patient_Input_Data!$X:$X,"")&lt;&gt;"None",ker,(XLOOKUP($A6,Patient_Input_Data!$B:$B,Patient_Input_Data!$Y:$Y,"")="True"),amb,(XLOOKUP($A6,Patient_Input_Data!$B:$B,Patient_Input_Data!$Z:$Z,"")="True"),inf,(XLOOKUP($A6,Patient_Input_Data!$B:$B,Patient_Input_Data!$AA:$AA,"")="True"),IF(OR(ker,inf),"High",IF(OR(di,surg,amb),"Moderate","None")))</f>
        <v>None</v>
      </c>
      <c r="G6" s="28" t="str">
        <f t="array" ref="G6">LET(last,XLOOKUP($A6,Patient_Input_Data!$B:$B,Patient_Input_Data!$Q:$Q,""),fl,(XLOOKUP($A6,Patient_Input_Data!$B:$B,Patient_Input_Data!$T:$T,"")="True"),chg,(XLOOKUP($A6,Patient_Input_Data!$B:$B,Patient_Input_Data!$S:$S,"")="True"),di,(XLOOKUP($A6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6" s="28" t="str">
        <f t="array" ref="H6">LET(
arS,XLOOKUP($A6,AR_Input!$A:$A,AR_Input!$B:$B,""),
arC,XLOOKUP($A6,AR_Input!$A:$A,AR_Input!$C:$C,""),
arA,XLOOKUP($A6,AR_Input!$A:$A,AR_Input!$D:$D,""),
lnS,XLOOKUP($A6,Lenso_Input!$A:$A,Lenso_Input!$B:$B,""),
lnC,XLOOKUP($A6,Lenso_Input!$A:$A,Lenso_Input!$C:$C,""),
lnA,XLOOKUP($A6,Lenso_Input!$A:$A,Lenso_Input!$D:$D,""),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6" s="28" t="str">
        <f t="array" ref="I6">LET(
arS,XLOOKUP($A6,AR_Input!$A:$A,AR_Input!$E:$E,""),
arC,XLOOKUP($A6,AR_Input!$A:$A,AR_Input!$F:$F,""),
arA,XLOOKUP($A6,AR_Input!$A:$A,AR_Input!$G:$G,""),
lnS,XLOOKUP($A6,Lenso_Input!$A:$A,Lenso_Input!$F:$F,""),
lnC,XLOOKUP($A6,Lenso_Input!$A:$A,Lenso_Input!$G:$G,""),
lnA,XLOOKUP($A6,Lenso_Input!$A:$A,Lenso_Input!$H:$H,""),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J6" s="28" t="str">
        <f t="array" ref="J6">LET(sat,XLOOKUP($A6,Patient_Input_Data!$B:$B,Patient_Input_Data!$O:$O,""),rs,XLOOKUP($A6,Patient_Input_Data!$B:$B,Patient_Input_Data!$J:$J,""),stab,$G6,misR,$H6,misL,$I6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6,AR_Input!$A:$A,AR_Input!$B:$B,""),arL,XLOOKUP($A6,AR_Input!$A:$A,AR_Input!$E:$E,""),lenR,XLOOKUP($A6,Lenso_Input!$A:$A,Lenso_Input!$B:$B,""),lenL,XLOOKUP($A6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Start_AR</v>
      </c>
      <c r="K6" s="28">
        <f t="array" ref="K6">LET(ar,XLOOKUP($A6,AR_Input!$A:$A,AR_Input!$B:$B,""),ln,XLOOKUP($A6,Lenso_Input!$A:$A,Lenso_Input!$B:$B,""),pol,$J6,step,XLOOKUP("hybrid_rounding_step",Calibration!$B:$B,Calibration!$C:$C),IF(pol="Start_AR",ar,IF(pol="Start_Lenso",IF(ln&lt;&gt;"",ln,ar),IF(AND(ar&lt;&gt;"",ln&lt;&gt;""),ROUND(((ar+ln)/2)/step,0)*step,IF(ar&lt;&gt;"",ar,ln)))))</f>
        <v>-2.75</v>
      </c>
      <c r="L6" s="28">
        <f t="array" ref="L6">LET(ar,XLOOKUP($A6,AR_Input!$A:$A,AR_Input!$C:$C,""),ln,XLOOKUP($A6,Lenso_Input!$A:$A,Lenso_Input!$C:$C,""),pol,$J6,step,XLOOKUP("hybrid_rounding_step",Calibration!$B:$B,Calibration!$C:$C),IF(pol="Start_AR",ar,IF(pol="Start_Lenso",IF(ln&lt;&gt;"",ln,ar),IF(AND(ar&lt;&gt;"",ln&lt;&gt;""),ROUND(((ar+ln)/2)/step,0)*step,IF(ar&lt;&gt;"",ar,ln)))))</f>
        <v>-0.75</v>
      </c>
      <c r="M6" s="28" t="str">
        <f t="array" ref="M6">LET(ar,XLOOKUP($A6,AR_Input!$A:$A,AR_Input!$D:$D,""),ln,XLOOKUP($A6,Lenso_Input!$A:$A,Lenso_Input!$D:$D,""),pol,$J6,IF(pol="Start_AR",ar,IF(pol="Start_Lenso",IF(ln&lt;&gt;"",ln,ar),IF(ar&lt;&gt;"",ar,ln))))</f>
        <v/>
      </c>
      <c r="N6" s="28">
        <f t="array" ref="N6">LET(ar,XLOOKUP($A6,AR_Input!$A:$A,AR_Input!$E:$E,""),ln,XLOOKUP($A6,Lenso_Input!$A:$A,Lenso_Input!$F:$F,""),pol,$J6,step,XLOOKUP("hybrid_rounding_step",Calibration!$B:$B,Calibration!$C:$C),IF(pol="Start_AR",ar,IF(pol="Start_Lenso",IF(ln&lt;&gt;"",ln,ar),IF(AND(ar&lt;&gt;"",ln&lt;&gt;""),ROUND(((ar+ln)/2)/step,0)*step,IF(ar&lt;&gt;"",ar,ln)))))</f>
        <v>-3</v>
      </c>
      <c r="O6" s="28">
        <f t="array" ref="O6">LET(ar,XLOOKUP($A6,AR_Input!$A:$A,AR_Input!$F:$F,""),ln,XLOOKUP($A6,Lenso_Input!$A:$A,Lenso_Input!$G:$G,""),pol,$J6,step,XLOOKUP("hybrid_rounding_step",Calibration!$B:$B,Calibration!$C:$C),IF(pol="Start_AR",ar,IF(pol="Start_Lenso",IF(ln&lt;&gt;"",ln,ar),IF(AND(ar&lt;&gt;"",ln&lt;&gt;""),ROUND(((ar+ln)/2)/step,0)*step,IF(ar&lt;&gt;"",ar,ln)))))</f>
        <v>-0.5</v>
      </c>
      <c r="P6" s="28" t="str">
        <f t="array" ref="P6">LET(ar,XLOOKUP($A6,AR_Input!$A:$A,AR_Input!$G:$G,""),ln,XLOOKUP($A6,Lenso_Input!$A:$A,Lenso_Input!$H:$H,""),pol,$J6,IF(pol="Start_AR",ar,IF(pol="Start_Lenso",IF(ln&lt;&gt;"",ln,ar),IF(ar&lt;&gt;"",ar,ln))))</f>
        <v/>
      </c>
      <c r="Q6" s="28" t="str">
        <f t="array" ref="Q6">LET(a,XLOOKUP($A6,Patient_Input_Data!$B:$B,Patient_Input_Data!$D:$D,""),wt,XLOOKUP($A6,Patient_Input_Data!$B:$B,Patient_Input_Data!$M:$M,""),addR,XLOOKUP($A6,Lenso_Input!$A:$A,Lenso_Input!$E:$E,""),addL,XLOOKUP($A6,Lenso_Input!$A:$A,Lenso_Input!$I:$I,""),near,D6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None</v>
      </c>
      <c r="R6" s="28" t="str">
        <f t="array" ref="R6">LET(dt,XLOOKUP($A6,Patient_Input_Data!$B:$B,Patient_Input_Data!$AC:$AC,""),sym,E6,med,F6,stab,G6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6" s="28" t="str">
        <f>IFERROR(__xludf.DUMMYFUNCTION("LET(pri,XLOOKUP($A6,Patient_Input_Data!$B:$B,Patient_Input_Data!$AB:$AB,""""),ageB,B6,near,D6,oc,XLOOKUP($A6,Patient_Input_Data!$B:$B,Patient_Input_Data!$G:$G,""""),sym,E6,s,XLOOKUP($A6,Patient_Input_Data!$B:$B,Patient_Input_Data!$K:$K,""""),IF(sym=""High"&amp;""",""Neutral"",IF(AND(pri=""Comfort-first"",ageB=""Presbyope"",near=""High""),""Undercorrect"",IF(AND(oc=""Driver"",OR(REGEXMATCH(s,""Night driving difficulty""),REGEXMATCH(s,""Glare/halos""))),""Overcorrect"",""Neutral""))))"),"Neutral")</f>
        <v>Neutral</v>
      </c>
      <c r="T6" s="28" t="str">
        <f t="shared" si="1"/>
        <v>Aggressive</v>
      </c>
      <c r="U6" s="28">
        <f t="array" ref="U6">IF(T6="Conservative",XLOOKUP("max_delta_start_conservative",Calibration!B:B,Calibration!C:C),IF(T6="Standard",XLOOKUP("max_delta_start_standard",Calibration!B:B,Calibration!C:C),XLOOKUP("max_delta_start_aggressive",Calibration!B:B,Calibration!C:C)))</f>
        <v>2.5</v>
      </c>
      <c r="V6" s="28">
        <f t="array" ref="V6">XLOOKUP("max_delta_ar_standard",Calibration!B:B,Calibration!C:C)</f>
        <v>3</v>
      </c>
      <c r="W6" s="28">
        <f t="array" ref="W6">IF(AB6="Strict",
XLOOKUP("axis_tol_strict",Calibration!$B:$B,Calibration!$C:$C),
IF(AB6="Normal",
XLOOKUP("axis_tol_normal",Calibration!$B:$B,Calibration!$C:$C),
XLOOKUP("axis_tol_relaxed",Calibration!$B:$B,Calibration!$C:$C)))</f>
        <v>5</v>
      </c>
      <c r="X6" s="28">
        <f t="array" ref="X6">IF(T6="Aggressive",
XLOOKUP("cyl_tol_aggressive",Calibration!$B:$B,Calibration!$C:$C),
XLOOKUP("cyl_tol_standard",Calibration!$B:$B,Calibration!$C:$C))</f>
        <v>0.5</v>
      </c>
      <c r="Y6" s="28" t="b">
        <f t="array" ref="Y6">IF(OR(E6="High",F6="High",XLOOKUP($A6,Patient_Input_Data!$B:$B,Patient_Input_Data!$AA:$AA,"")="True"),TRUE,FALSE)</f>
        <v>0</v>
      </c>
      <c r="Z6" s="28" t="b">
        <f t="shared" si="2"/>
        <v>0</v>
      </c>
      <c r="AA6" s="28" t="str">
        <f t="shared" si="3"/>
        <v>Fast</v>
      </c>
      <c r="AB6" s="28" t="str">
        <f t="shared" si="4"/>
        <v>Relaxed</v>
      </c>
      <c r="AC6" s="28" t="str">
        <f t="shared" si="5"/>
        <v>Low</v>
      </c>
      <c r="AD6" s="28" t="str">
        <f t="shared" si="6"/>
        <v>No_Fog</v>
      </c>
      <c r="AE6" s="28">
        <f t="array" ref="AE6">IF(AD6="Strong_Fog",XLOOKUP("strong_fog_amount",Calibration!B:B,Calibration!C:C),IF(AD6="Standard_Fog",XLOOKUP("standard_fog_amount",Calibration!B:B,Calibration!C:C),XLOOKUP("no_fog_amount",Calibration!B:B,Calibration!C:C)))</f>
        <v>0.25</v>
      </c>
      <c r="AF6" s="28" t="str">
        <f t="shared" si="7"/>
        <v>StepDown_0.50_then_0.25</v>
      </c>
      <c r="AG6" s="28" t="str">
        <f t="shared" si="8"/>
        <v>Low</v>
      </c>
      <c r="AH6" s="28" t="str">
        <f t="shared" si="9"/>
        <v>Normal</v>
      </c>
      <c r="AI6" s="28">
        <f t="array" ref="AI6">IF(AB6="Strict",
XLOOKUP("duochrome_max_flips_strict",Calibration!$B:$B,Calibration!$C:$C),
IF(AB6="Normal",
XLOOKUP("duochrome_max_flips_normal",Calibration!$B:$B,Calibration!$C:$C),
XLOOKUP("duochrome_max_flips_relaxed",Calibration!$B:$B,Calibration!$C:$C)))</f>
        <v>5</v>
      </c>
      <c r="AJ6" s="28" t="b">
        <f t="array" ref="AJ6">LET(
nearPr,D6,
addExp,Q6,
ageB,B6,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0</v>
      </c>
    </row>
    <row r="7">
      <c r="A7" s="29">
        <v>6.0</v>
      </c>
      <c r="B7" s="28" t="str">
        <f t="array" ref="B7">LET(age,XLOOKUP($A7,Patient_Input_Data!$B:$B,Patient_Input_Data!$D:$D,""),childMax,XLOOKUP("age_child_max",Calibration!$B:$B,Calibration!$C:$C),presMin,XLOOKUP("age_presbyope_min",Calibration!$B:$B,Calibration!$C:$C),IF(age&lt;childMax,"Child",IF(age&gt;=presMin,"Presbyope","Adult")))</f>
        <v>Presbyope</v>
      </c>
      <c r="C7" s="28" t="str">
        <f t="array" ref="C7">LET(drive,XLOOKUP($A7,Patient_Input_Data!$B:$B,Patient_Input_Data!$I:$I,""),occ,XLOOKUP($A7,Patient_Input_Data!$B:$B,Patient_Input_Data!$G:$G,""),pri,XLOOKUP($A7,Patient_Input_Data!$B:$B,Patient_Input_Data!$AB:$AB,""),driveHigh,XLOOKUP("driving_hours_high",Calibration!$B:$B,Calibration!$C:$C),base,IF(OR(drive&gt;=driveHigh,occ="Driver"),"High","Medium"),IF(pri="Comfort-first",IF(base="High","Medium","Low"),base))</f>
        <v>Low</v>
      </c>
      <c r="D7" s="28" t="str">
        <f t="array" ref="D7">LET(np,XLOOKUP($A7,Patient_Input_Data!$B:$B,Patient_Input_Data!$AD:$AD,""),st,XLOOKUP($A7,Patient_Input_Data!$B:$B,Patient_Input_Data!$H:$H,""),rs,XLOOKUP($A7,Patient_Input_Data!$B:$B,Patient_Input_Data!$J:$J,""),screenHigh,XLOOKUP("screen_time_high",Calibration!$B:$B,Calibration!$C:$C),IF(np&lt;&gt;"",np,IF(OR(st&gt;=screenHigh,rs="Blurred near"),"High","Medium")))</f>
        <v>High</v>
      </c>
      <c r="E7" s="28" t="str">
        <f>IFERROR(__xludf.DUMMYFUNCTION("LET(s,XLOOKUP($A7,Patient_Input_Data!$B:$B,Patient_Input_Data!$K:$K,""""),IF(OR(REGEXMATCH(s,""Sudden vision change""),REGEXMATCH(s,""Double vision"")),""High"",IF(OR(REGEXMATCH(s,""Glare/halos""),REGEXMATCH(s,""Night driving difficulty""),REGEXMATCH(s,"""&amp;"Fluctuating vision"")),""Moderate"",""None"")))"),"None")</f>
        <v>None</v>
      </c>
      <c r="F7" s="28" t="str">
        <f t="array" ref="F7">LET(di,(XLOOKUP($A7,Patient_Input_Data!$B:$B,Patient_Input_Data!$U:$U,"")="True"),surg,XLOOKUP($A7,Patient_Input_Data!$B:$B,Patient_Input_Data!$X:$X,"")&lt;&gt;"None",ker,(XLOOKUP($A7,Patient_Input_Data!$B:$B,Patient_Input_Data!$Y:$Y,"")="True"),amb,(XLOOKUP($A7,Patient_Input_Data!$B:$B,Patient_Input_Data!$Z:$Z,"")="True"),inf,(XLOOKUP($A7,Patient_Input_Data!$B:$B,Patient_Input_Data!$AA:$AA,"")="True"),IF(OR(ker,inf),"High",IF(OR(di,surg,amb),"Moderate","None")))</f>
        <v>None</v>
      </c>
      <c r="G7" s="28" t="str">
        <f t="array" ref="G7">LET(last,XLOOKUP($A7,Patient_Input_Data!$B:$B,Patient_Input_Data!$Q:$Q,""),fl,(XLOOKUP($A7,Patient_Input_Data!$B:$B,Patient_Input_Data!$T:$T,"")="True"),chg,(XLOOKUP($A7,Patient_Input_Data!$B:$B,Patient_Input_Data!$S:$S,"")="True"),di,(XLOOKUP($A7,Patient_Input_Data!$B:$B,Patient_Input_Data!$U:$U,"")="True"),uncertainMonths,XLOOKUP("last_eye_test_uncertain_months",Calibration!$B:$B,Calibration!$C:$C),IF(OR(fl,chg),"Unstable",IF(OR(di,last&gt;uncertainMonths),"Uncertain","Stable")))</f>
        <v>Stable</v>
      </c>
      <c r="H7" s="28" t="str">
        <f t="array" ref="H7">LET(
arS,XLOOKUP($A7,AR_Input!$A:$A,AR_Input!$B:$B,""),
arC,XLOOKUP($A7,AR_Input!$A:$A,AR_Input!$C:$C,""),
arA,XLOOKUP($A7,AR_Input!$A:$A,AR_Input!$D:$D,""),
lnS,XLOOKUP($A7,Lenso_Input!$A:$A,Lenso_Input!$B:$B,""),
lnC,XLOOKUP($A7,Lenso_Input!$A:$A,Lenso_Input!$C:$C,""),
lnA,XLOOKUP($A7,Lenso_Input!$A:$A,Lenso_Input!$D:$D,""),
hasAR,AND(arS&lt;&gt;"",arC&lt;&gt;"",arA&lt;&gt;""),
hasLenso,AND(lnS&lt;&gt;"",lnC&lt;&gt;"",lnA&lt;&gt;""),
sMed,XLOOKUP("mismatch_re_sph_medium",Calibration!$B:$B,Calibration!$C:$C),
sLarge,XLOOKUP("mismatch_re_sph_large",Calibration!$B:$B,Calibration!$C:$C),
cMed,XLOOKUP("mismatch_re_cyl_medium",Calibration!$B:$B,Calibration!$C:$C),
cLarge,XLOOKUP("mismatch_re_cyl_large",Calibration!$B:$B,Calibration!$C:$C),
aMed,XLOOKUP("mismatch_re_axis_medium",Calibration!$B:$B,Calibration!$C:$C),
aLarge,XLOOKUP("mismatch_re_axis_large",Calibration!$B:$B,Calibration!$C:$C),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I7" s="28" t="str">
        <f t="array" ref="I7">LET(
arS,XLOOKUP($A7,AR_Input!$A:$A,AR_Input!$E:$E,""),
arC,XLOOKUP($A7,AR_Input!$A:$A,AR_Input!$F:$F,""),
arA,XLOOKUP($A7,AR_Input!$A:$A,AR_Input!$G:$G,""),
lnS,XLOOKUP($A7,Lenso_Input!$A:$A,Lenso_Input!$F:$F,""),
lnC,XLOOKUP($A7,Lenso_Input!$A:$A,Lenso_Input!$G:$G,""),
lnA,XLOOKUP($A7,Lenso_Input!$A:$A,Lenso_Input!$H:$H,""),
hasAR,AND(arS&lt;&gt;"",arC&lt;&gt;"",arA&lt;&gt;""),
hasLenso,AND(lnS&lt;&gt;"",lnC&lt;&gt;"",lnA&lt;&gt;""),
sMed,XLOOKUP("mismatch_le_sph_medium",Calibration!$B:$B,Calibration!$C:$C),
sLarge,XLOOKUP("mismatch_le_sph_large",Calibration!$B:$B,Calibration!$C:$C),
cMed,XLOOKUP("mismatch_le_cyl_medium",Calibration!$B:$B,Calibration!$C:$C),
cLarge,XLOOKUP("mismatch_le_cyl_large",Calibration!$B:$B,Calibration!$C:$C),
aMed,XLOOKUP("mismatch_le_axis_medium",Calibration!$B:$B,Calibration!$C:$C),
aLarge,XLOOKUP("mismatch_le_axis_large",Calibration!$B:$B,Calibration!$C:$C),
IF(
  NOT(AND(hasAR,hasLenso)),
  "Small",
  LET(
    dS,ABS(VALUE(arS)-VALUE(lnS)),
    dC,ABS(VALUE(arC)-VALUE(lnC)),
    dA,MIN(ABS(VALUE(arA)-VALUE(lnA)),180-ABS(VALUE(arA)-VALUE(lnA))),
    IF(OR(dS&gt;sLarge,dC&gt;cLarge,dA&gt;aLarge),"Large",IF(OR(dS&gt;sMed,dC&gt;cMed,dA&gt;aMed),"Medium","Small"))
  )
))</f>
        <v>Small</v>
      </c>
      <c r="J7" s="28" t="str">
        <f t="array" ref="J7">LET(sat,XLOOKUP($A7,Patient_Input_Data!$B:$B,Patient_Input_Data!$O:$O,""),rs,XLOOKUP($A7,Patient_Input_Data!$B:$B,Patient_Input_Data!$J:$J,""),stab,$G7,misR,$H7,misL,$I7,startAR,XLOOKUP("start_policy_if_only_ar",Calibration!$B:$B,Calibration!$C:$C),startL,XLOOKUP("start_policy_if_only_lenso",Calibration!$B:$B,Calibration!$C:$C),startSat,XLOOKUP("start_policy_if_satisfied_small_mismatch",Calibration!$B:$B,Calibration!$C:$C),startUnsat,XLOOKUP("start_policy_if_unsatisfied_or_blur",Calibration!$B:$B,Calibration!$C:$C),startHybrid,XLOOKUP("start_policy_if_large_mismatch_or_unstable",Calibration!$B:$B,Calibration!$C:$C),arR,XLOOKUP($A7,AR_Input!$A:$A,AR_Input!$B:$B,""),arL,XLOOKUP($A7,AR_Input!$A:$A,AR_Input!$E:$E,""),lenR,XLOOKUP($A7,Lenso_Input!$A:$A,Lenso_Input!$B:$B,""),lenL,XLOOKUP($A7,Lenso_Input!$A:$A,Lenso_Input!$F:$F,""),hasAR,OR(arR&lt;&gt;"",arL&lt;&gt;""),hasLenso,OR(lenR&lt;&gt;"",lenL&lt;&gt;""),IF(AND(hasAR,NOT(hasLenso)),startAR,IF(AND(hasLenso,NOT(hasAR)),startL,IF(AND(sat="Satisfied",misR="Small",misL="Small"),startSat,IF(OR(sat="Not satisfied",rs="Blurred distance",rs="Blurred near"),startUnsat,IF(OR(misR="Large",misL="Large",stab="Unstable"),startHybrid,startAR))))))</f>
        <v>Start_AR</v>
      </c>
      <c r="K7" s="28">
        <f t="array" ref="K7">LET(ar,XLOOKUP($A7,AR_Input!$A:$A,AR_Input!$B:$B,""),ln,XLOOKUP($A7,Lenso_Input!$A:$A,Lenso_Input!$B:$B,""),pol,$J7,step,XLOOKUP("hybrid_rounding_step",Calibration!$B:$B,Calibration!$C:$C),IF(pol="Start_AR",ar,IF(pol="Start_Lenso",IF(ln&lt;&gt;"",ln,ar),IF(AND(ar&lt;&gt;"",ln&lt;&gt;""),ROUND(((ar+ln)/2)/step,0)*step,IF(ar&lt;&gt;"",ar,ln)))))</f>
        <v>-1.5</v>
      </c>
      <c r="L7" s="28">
        <f t="array" ref="L7">LET(ar,XLOOKUP($A7,AR_Input!$A:$A,AR_Input!$C:$C,""),ln,XLOOKUP($A7,Lenso_Input!$A:$A,Lenso_Input!$C:$C,""),pol,$J7,step,XLOOKUP("hybrid_rounding_step",Calibration!$B:$B,Calibration!$C:$C),IF(pol="Start_AR",ar,IF(pol="Start_Lenso",IF(ln&lt;&gt;"",ln,ar),IF(AND(ar&lt;&gt;"",ln&lt;&gt;""),ROUND(((ar+ln)/2)/step,0)*step,IF(ar&lt;&gt;"",ar,ln)))))</f>
        <v>-0.5</v>
      </c>
      <c r="M7" s="28" t="str">
        <f t="array" ref="M7">LET(ar,XLOOKUP($A7,AR_Input!$A:$A,AR_Input!$D:$D,""),ln,XLOOKUP($A7,Lenso_Input!$A:$A,Lenso_Input!$D:$D,""),pol,$J7,IF(pol="Start_AR",ar,IF(pol="Start_Lenso",IF(ln&lt;&gt;"",ln,ar),IF(ar&lt;&gt;"",ar,ln))))</f>
        <v/>
      </c>
      <c r="N7" s="28">
        <f t="array" ref="N7">LET(ar,XLOOKUP($A7,AR_Input!$A:$A,AR_Input!$E:$E,""),ln,XLOOKUP($A7,Lenso_Input!$A:$A,Lenso_Input!$F:$F,""),pol,$J7,step,XLOOKUP("hybrid_rounding_step",Calibration!$B:$B,Calibration!$C:$C),IF(pol="Start_AR",ar,IF(pol="Start_Lenso",IF(ln&lt;&gt;"",ln,ar),IF(AND(ar&lt;&gt;"",ln&lt;&gt;""),ROUND(((ar+ln)/2)/step,0)*step,IF(ar&lt;&gt;"",ar,ln)))))</f>
        <v>-1</v>
      </c>
      <c r="O7" s="28">
        <f t="array" ref="O7">LET(ar,XLOOKUP($A7,AR_Input!$A:$A,AR_Input!$F:$F,""),ln,XLOOKUP($A7,Lenso_Input!$A:$A,Lenso_Input!$G:$G,""),pol,$J7,step,XLOOKUP("hybrid_rounding_step",Calibration!$B:$B,Calibration!$C:$C),IF(pol="Start_AR",ar,IF(pol="Start_Lenso",IF(ln&lt;&gt;"",ln,ar),IF(AND(ar&lt;&gt;"",ln&lt;&gt;""),ROUND(((ar+ln)/2)/step,0)*step,IF(ar&lt;&gt;"",ar,ln)))))</f>
        <v>0</v>
      </c>
      <c r="P7" s="28">
        <f t="array" ref="P7">LET(ar,XLOOKUP($A7,AR_Input!$A:$A,AR_Input!$G:$G,""),ln,XLOOKUP($A7,Lenso_Input!$A:$A,Lenso_Input!$H:$H,""),pol,$J7,IF(pol="Start_AR",ar,IF(pol="Start_Lenso",IF(ln&lt;&gt;"",ln,ar),IF(ar&lt;&gt;"",ar,ln))))</f>
        <v>0</v>
      </c>
      <c r="Q7" s="28" t="str">
        <f t="array" ref="Q7">LET(a,XLOOKUP($A7,Patient_Input_Data!$B:$B,Patient_Input_Data!$D:$D,""),wt,XLOOKUP($A7,Patient_Input_Data!$B:$B,Patient_Input_Data!$M:$M,""),addR,XLOOKUP($A7,Lenso_Input!$A:$A,Lenso_Input!$E:$E,""),addL,XLOOKUP($A7,Lenso_Input!$A:$A,Lenso_Input!$I:$I,""),near,D7,likelyAge,XLOOKUP("add_likely_min_age",Calibration!$B:$B,Calibration!$C:$C),possibleAge,XLOOKUP("add_possible_min_age",Calibration!$B:$B,Calibration!$C:$C),IF(OR(a&gt;=likelyAge,wt="Progressive",wt="Bifocal",addR&lt;&gt;"",addL&lt;&gt;""),"Likely",IF(AND(a&gt;=possibleAge,a&lt;=likelyAge-1,near="High"),"Possible","None")))</f>
        <v>Likely</v>
      </c>
      <c r="R7" s="28" t="str">
        <f t="array" ref="R7">LET(dt,XLOOKUP($A7,Patient_Input_Data!$B:$B,Patient_Input_Data!$AC:$AC,""),sym,E7,med,F7,stab,G7,target66,XLOOKUP("default_distance_target",Calibration!$B:$B,Calibration!$C:$C),target69,XLOOKUP("high_risk_distance_target",Calibration!$B:$B,Calibration!$C:$C),IF(dt&lt;&gt;"",IF(OR(dt="Accept 6/9 if needed",dt="6/9 acceptable",dt="6/9_acceptable"),target69,target66),IF(OR(sym="High",med="High",stab="Unstable"),target69,target66)))</f>
        <v>6/6_target</v>
      </c>
      <c r="S7" s="28" t="str">
        <f>IFERROR(__xludf.DUMMYFUNCTION("LET(pri,XLOOKUP($A7,Patient_Input_Data!$B:$B,Patient_Input_Data!$AB:$AB,""""),ageB,B7,near,D7,oc,XLOOKUP($A7,Patient_Input_Data!$B:$B,Patient_Input_Data!$G:$G,""""),sym,E7,s,XLOOKUP($A7,Patient_Input_Data!$B:$B,Patient_Input_Data!$K:$K,""""),IF(sym=""High"&amp;""",""Neutral"",IF(AND(pri=""Comfort-first"",ageB=""Presbyope"",near=""High""),""Undercorrect"",IF(AND(oc=""Driver"",OR(REGEXMATCH(s,""Night driving difficulty""),REGEXMATCH(s,""Glare/halos""))),""Overcorrect"",""Neutral""))))"),"Undercorrect")</f>
        <v>Undercorrect</v>
      </c>
      <c r="T7" s="28" t="str">
        <f t="shared" si="1"/>
        <v>Aggressive</v>
      </c>
      <c r="U7" s="28">
        <f t="array" ref="U7">IF(T7="Conservative",XLOOKUP("max_delta_start_conservative",Calibration!B:B,Calibration!C:C),IF(T7="Standard",XLOOKUP("max_delta_start_standard",Calibration!B:B,Calibration!C:C),XLOOKUP("max_delta_start_aggressive",Calibration!B:B,Calibration!C:C)))</f>
        <v>2.5</v>
      </c>
      <c r="V7" s="28">
        <f t="array" ref="V7">XLOOKUP("max_delta_ar_standard",Calibration!B:B,Calibration!C:C)</f>
        <v>3</v>
      </c>
      <c r="W7" s="28">
        <f t="array" ref="W7">IF(AB7="Strict",
XLOOKUP("axis_tol_strict",Calibration!$B:$B,Calibration!$C:$C),
IF(AB7="Normal",
XLOOKUP("axis_tol_normal",Calibration!$B:$B,Calibration!$C:$C),
XLOOKUP("axis_tol_relaxed",Calibration!$B:$B,Calibration!$C:$C)))</f>
        <v>5</v>
      </c>
      <c r="X7" s="28">
        <f t="array" ref="X7">IF(T7="Aggressive",
XLOOKUP("cyl_tol_aggressive",Calibration!$B:$B,Calibration!$C:$C),
XLOOKUP("cyl_tol_standard",Calibration!$B:$B,Calibration!$C:$C))</f>
        <v>0.5</v>
      </c>
      <c r="Y7" s="28" t="b">
        <f t="array" ref="Y7">IF(OR(E7="High",F7="High",XLOOKUP($A7,Patient_Input_Data!$B:$B,Patient_Input_Data!$AA:$AA,"")="True"),TRUE,FALSE)</f>
        <v>0</v>
      </c>
      <c r="Z7" s="28" t="b">
        <f t="shared" si="2"/>
        <v>0</v>
      </c>
      <c r="AA7" s="28" t="str">
        <f t="shared" si="3"/>
        <v>Slow</v>
      </c>
      <c r="AB7" s="28" t="str">
        <f t="shared" si="4"/>
        <v>Relaxed</v>
      </c>
      <c r="AC7" s="28" t="str">
        <f t="shared" si="5"/>
        <v>Low</v>
      </c>
      <c r="AD7" s="28" t="str">
        <f t="shared" si="6"/>
        <v>Strong_Fog</v>
      </c>
      <c r="AE7" s="28">
        <f t="array" ref="AE7">IF(AD7="Strong_Fog",XLOOKUP("strong_fog_amount",Calibration!B:B,Calibration!C:C),IF(AD7="Standard_Fog",XLOOKUP("standard_fog_amount",Calibration!B:B,Calibration!C:C),XLOOKUP("no_fog_amount",Calibration!B:B,Calibration!C:C)))</f>
        <v>1</v>
      </c>
      <c r="AF7" s="28" t="str">
        <f t="shared" si="7"/>
        <v>StepDown_0.25</v>
      </c>
      <c r="AG7" s="28" t="str">
        <f t="shared" si="8"/>
        <v>Low</v>
      </c>
      <c r="AH7" s="28" t="str">
        <f t="shared" si="9"/>
        <v>Normal</v>
      </c>
      <c r="AI7" s="28">
        <f t="array" ref="AI7">IF(AB7="Strict",
XLOOKUP("duochrome_max_flips_strict",Calibration!$B:$B,Calibration!$C:$C),
IF(AB7="Normal",
XLOOKUP("duochrome_max_flips_normal",Calibration!$B:$B,Calibration!$C:$C),
XLOOKUP("duochrome_max_flips_relaxed",Calibration!$B:$B,Calibration!$C:$C)))</f>
        <v>5</v>
      </c>
      <c r="AJ7" s="28" t="b">
        <f t="array" ref="AJ7">LET(
nearPr,D7,
addExp,Q7,
ageB,B7,
forceHighNear,XLOOKUP("allow_high_near_priority_to_force_near",Calibration!$B:$B,Calibration!$C:$C),
allowPossible,XLOOKUP("trigger_near_if_dv_add_expected_possible",Calibration!$B:$B,Calibration!$C:$C),
allowLikely,XLOOKUP("trigger_near_if_dv_add_expected_likely",Calibration!$B:$B,Calibration!$C:$C),
IF(
 OR(
   AND(addExp="Likely",allowLikely=TRUE),
   AND(addExp="Possible",allowPossible=TRUE),
   AND(nearPr="High",forceHighNear=TRUE)
 ),
 TRUE,
 FALSE
))</f>
        <v>1</v>
      </c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7.71"/>
    <col customWidth="1" min="3" max="3" width="5.57"/>
    <col customWidth="1" min="4" max="4" width="12.71"/>
    <col customWidth="1" min="5" max="5" width="15.71"/>
    <col customWidth="1" min="6" max="6" width="14.29"/>
    <col customWidth="1" min="7" max="7" width="17.0"/>
    <col customWidth="1" min="8" max="8" width="19.86"/>
    <col customWidth="1" min="9" max="9" width="27.0"/>
    <col customWidth="1" hidden="1" min="10" max="15" width="16.0"/>
    <col customWidth="1" min="16" max="16" width="28.29"/>
    <col customWidth="1" min="17" max="17" width="6.43"/>
    <col customWidth="1" min="18" max="18" width="12.86"/>
    <col customWidth="1" min="19" max="26" width="8.57"/>
    <col customWidth="1" min="27" max="31" width="11.57"/>
    <col customWidth="1" min="32" max="39" width="13.14"/>
  </cols>
  <sheetData>
    <row r="1">
      <c r="A1" s="30" t="s">
        <v>167</v>
      </c>
      <c r="B1" s="30" t="s">
        <v>5</v>
      </c>
      <c r="C1" s="30" t="s">
        <v>168</v>
      </c>
      <c r="D1" s="30" t="s">
        <v>169</v>
      </c>
      <c r="E1" s="30" t="s">
        <v>170</v>
      </c>
      <c r="F1" s="30" t="s">
        <v>171</v>
      </c>
      <c r="G1" s="30" t="s">
        <v>172</v>
      </c>
      <c r="H1" s="30" t="s">
        <v>173</v>
      </c>
      <c r="I1" s="30" t="s">
        <v>174</v>
      </c>
      <c r="J1" s="30" t="s">
        <v>175</v>
      </c>
      <c r="K1" s="30" t="s">
        <v>176</v>
      </c>
      <c r="L1" s="30" t="s">
        <v>177</v>
      </c>
      <c r="M1" s="30" t="s">
        <v>178</v>
      </c>
      <c r="N1" s="30" t="s">
        <v>179</v>
      </c>
      <c r="O1" s="30" t="s">
        <v>180</v>
      </c>
      <c r="P1" s="30" t="s">
        <v>181</v>
      </c>
      <c r="Q1" s="30" t="s">
        <v>182</v>
      </c>
      <c r="R1" s="30" t="s">
        <v>183</v>
      </c>
      <c r="S1" s="30" t="s">
        <v>184</v>
      </c>
      <c r="T1" s="30" t="s">
        <v>185</v>
      </c>
      <c r="U1" s="30" t="s">
        <v>186</v>
      </c>
      <c r="V1" s="30" t="s">
        <v>187</v>
      </c>
      <c r="W1" s="30" t="s">
        <v>188</v>
      </c>
      <c r="X1" s="30" t="s">
        <v>189</v>
      </c>
      <c r="Y1" s="30" t="s">
        <v>190</v>
      </c>
      <c r="Z1" s="30" t="s">
        <v>191</v>
      </c>
      <c r="AA1" s="30" t="s">
        <v>192</v>
      </c>
      <c r="AB1" s="30" t="s">
        <v>193</v>
      </c>
      <c r="AC1" s="30" t="s">
        <v>194</v>
      </c>
      <c r="AD1" s="30" t="s">
        <v>195</v>
      </c>
      <c r="AE1" s="30" t="s">
        <v>196</v>
      </c>
      <c r="AF1" s="30" t="s">
        <v>197</v>
      </c>
      <c r="AG1" s="30" t="s">
        <v>198</v>
      </c>
      <c r="AH1" s="30" t="s">
        <v>199</v>
      </c>
      <c r="AI1" s="30" t="s">
        <v>159</v>
      </c>
      <c r="AJ1" s="30" t="s">
        <v>155</v>
      </c>
      <c r="AK1" s="30" t="s">
        <v>157</v>
      </c>
      <c r="AL1" s="30" t="s">
        <v>158</v>
      </c>
      <c r="AM1" s="30" t="s">
        <v>200</v>
      </c>
      <c r="AN1" s="30" t="s">
        <v>201</v>
      </c>
      <c r="AO1" s="30" t="s">
        <v>202</v>
      </c>
      <c r="AP1" s="30" t="s">
        <v>203</v>
      </c>
      <c r="AQ1" s="30" t="s">
        <v>204</v>
      </c>
      <c r="AR1" s="30" t="s">
        <v>205</v>
      </c>
      <c r="AS1" s="30" t="s">
        <v>206</v>
      </c>
      <c r="AT1" s="30" t="s">
        <v>207</v>
      </c>
      <c r="AU1" s="30" t="s">
        <v>208</v>
      </c>
      <c r="AV1" s="30" t="s">
        <v>209</v>
      </c>
      <c r="AW1" s="30" t="s">
        <v>210</v>
      </c>
      <c r="AX1" s="30" t="s">
        <v>211</v>
      </c>
      <c r="AY1" s="30" t="s">
        <v>212</v>
      </c>
      <c r="AZ1" s="30" t="s">
        <v>213</v>
      </c>
      <c r="BA1" s="30" t="s">
        <v>214</v>
      </c>
      <c r="BB1" s="30" t="s">
        <v>215</v>
      </c>
      <c r="BC1" s="30" t="s">
        <v>216</v>
      </c>
      <c r="BD1" s="30" t="s">
        <v>217</v>
      </c>
    </row>
    <row r="2">
      <c r="A2" s="29">
        <v>1.0</v>
      </c>
      <c r="B2" s="29">
        <v>6.0</v>
      </c>
      <c r="C2" s="29" t="s">
        <v>4</v>
      </c>
      <c r="D2" s="28" t="str">
        <f t="array" ref="D2">XLOOKUP(C2,FSM_State_Map!A:A,FSM_State_Map!B:B,"")</f>
        <v>Distance Baseline</v>
      </c>
      <c r="E2" s="28" t="str">
        <f t="array" ref="E2">XLOOKUP(C2,FSM_State_Map!A:A,FSM_State_Map!C:C,"")</f>
        <v>DIST_BASELINE</v>
      </c>
      <c r="F2" s="28" t="str">
        <f t="array" ref="F2">XLOOKUP(E2,Phase_UI_Map!A:A,Phase_UI_Map!B:B,"")</f>
        <v>DIST_VA</v>
      </c>
      <c r="G2" s="28" t="str">
        <f t="array" ref="G2">XLOOKUP(E2,Phase_UI_Map!A:A,Phase_UI_Map!C:C,"")</f>
        <v>SNELLEN_FEET</v>
      </c>
      <c r="H2" s="28" t="str">
        <f t="array" ref="H2">XLOOKUP(E2,Phase_UI_Map!A:A,Phase_UI_Map!D:D,"")</f>
        <v>READABILITY</v>
      </c>
      <c r="I2" s="29" t="s">
        <v>218</v>
      </c>
      <c r="J2" s="28" t="str">
        <f>IFERROR(__xludf.DUMMYFUNCTION("IF($I1="""","""",IFERROR(INDEX(FILTER(Response_Lists!$B:$B,Response_Lists!$A:$A=$H2),1),""""))"),"READABLE")</f>
        <v>READABLE</v>
      </c>
      <c r="K2" s="28" t="str">
        <f>IFERROR(__xludf.DUMMYFUNCTION("IF($I1="""","""",IFERROR(INDEX(FILTER(Response_Lists!$B:$B,Response_Lists!$A:$A=$H2),2),""""))"),"NOT_READABLE")</f>
        <v>NOT_READABLE</v>
      </c>
      <c r="L2" s="28" t="str">
        <f>IFERROR(__xludf.DUMMYFUNCTION("IF($I1="""","""",IFERROR(INDEX(FILTER(Response_Lists!$B:$B,Response_Lists!$A:$A=$H2),3),""""))"),"BLURRY")</f>
        <v>BLURRY</v>
      </c>
      <c r="M2" s="28" t="str">
        <f>IFERROR(__xludf.DUMMYFUNCTION("IF($I1="""","""",IFERROR(INDEX(FILTER(Response_Lists!$B:$B,Response_Lists!$A:$A=$H2),4),""""))"),"")</f>
        <v/>
      </c>
      <c r="N2" s="28" t="str">
        <f>IFERROR(__xludf.DUMMYFUNCTION("IF($I1="""","""",IFERROR(INDEX(FILTER(Response_Lists!$B:$B,Response_Lists!$A:$A=$H2),5),""""))"),"")</f>
        <v/>
      </c>
      <c r="O2" s="28" t="str">
        <f>IFERROR(__xludf.DUMMYFUNCTION("IF($I1="""","""",IFERROR(INDEX(FILTER(Response_Lists!$B:$B,Response_Lists!$A:$A=$H2),6),""""))"),"")</f>
        <v/>
      </c>
      <c r="P2" s="28" t="str">
        <f>IFS(H2="READABILITY","Can you read this clearly?",H2="COMPARE_1_2","Which is clearer: 1 or 2?",H2="COLOR_CHOICE","Which is clearer: RED or GREEN?",H2="TOP_BOTTOM","Which is clearer: TOP or BOTTOM?",H2="NEAR_READABILITY","Can you read the near target clearly?",H2="NEAR_BINOC","Is near clear and comfortable? (TARGET_OK/NOT_CLEAR)",TRUE,"")</f>
        <v>Can you read this clearly?</v>
      </c>
      <c r="Q2" s="28" t="str">
        <f t="array" ref="Q2">XLOOKUP(C2,FSM_State_Map!A:A,FSM_State_Map!D:D,"")</f>
        <v>BIN</v>
      </c>
      <c r="R2" s="29">
        <v>400.0</v>
      </c>
      <c r="S2" s="28">
        <f t="array" ref="S2">XLOOKUP($B2,Derived_Variables!$A:$A,Derived_Variables!$K:$K,0)</f>
        <v>-1.5</v>
      </c>
      <c r="T2" s="31">
        <f t="array" ref="T2">XLOOKUP($B2,Derived_Variables!$A:$A,Derived_Variables!$L:$L,0)</f>
        <v>-0.5</v>
      </c>
      <c r="U2" s="28" t="str">
        <f t="array" ref="U2">XLOOKUP($B2,Derived_Variables!$A:$A,Derived_Variables!$M:$M,0)</f>
        <v/>
      </c>
      <c r="V2" s="28">
        <f t="array" ref="V2">XLOOKUP($B2,Derived_Variables!$A:$A,Derived_Variables!$N:$N,0)</f>
        <v>-1</v>
      </c>
      <c r="W2" s="28">
        <f t="array" ref="W2">XLOOKUP($B2,Derived_Variables!$A:$A,Derived_Variables!$O:$O,0)</f>
        <v>0</v>
      </c>
      <c r="X2" s="28">
        <f t="array" ref="X2">XLOOKUP($B2,Derived_Variables!$A:$A,Derived_Variables!$P:$P,0)</f>
        <v>0</v>
      </c>
      <c r="Y2" s="29">
        <v>0.0</v>
      </c>
      <c r="Z2" s="29">
        <v>0.0</v>
      </c>
      <c r="AA2" s="28" t="str">
        <f t="array" ref="AA2">IF(XLOOKUP($B2,Derived_Variables!$A:$A,Derived_Variables!$R:$R,"6/6_target")="6/6_target","20_20_20","40_30_25")</f>
        <v>20_20_20</v>
      </c>
      <c r="AB2" s="28">
        <f t="array" ref="AB2">XLOOKUP(LOWER(XLOOKUP($B2,Derived_Variables!$A:$A,Derived_Variables!$T:$T,"Standard"))&amp;"_sph_step",Calibration!$B:$B,Calibration!$C:$C,0.25)</f>
        <v>0.25</v>
      </c>
      <c r="AC2" s="28">
        <f t="array" ref="AC2">XLOOKUP(LOWER(XLOOKUP($B2,Derived_Variables!$A:$A,Derived_Variables!$T:$T,"Standard"))&amp;"_cyl_step",Calibration!$B:$B,Calibration!$C:$C,0.25)</f>
        <v>0.25</v>
      </c>
      <c r="AD2" s="28">
        <f t="array" ref="AD2">XLOOKUP("axis_start_step",Calibration!$B:$B,Calibration!$C:$C,5)</f>
        <v>5</v>
      </c>
      <c r="AE2" s="28" t="str">
        <f t="array" ref="AE2">XLOOKUP($B2,Derived_Variables!$A:$A,Derived_Variables!$AD:$AD,"No_Fog")</f>
        <v>Strong_Fog</v>
      </c>
      <c r="AF2" s="28">
        <f t="array" ref="AF2">XLOOKUP($B2,Derived_Variables!$A:$A,Derived_Variables!$AE:$AE,0)</f>
        <v>1</v>
      </c>
      <c r="AG2" s="28" t="str">
        <f t="array" ref="AG2">XLOOKUP($B2,Derived_Variables!$A:$A,Derived_Variables!$AF:$AF,"")</f>
        <v>StepDown_0.25</v>
      </c>
      <c r="AH2" s="28" t="str">
        <f t="array" ref="AH2">XLOOKUP($B2,Derived_Variables!$A:$A,Derived_Variables!$AG:$AG,"")</f>
        <v>Low</v>
      </c>
      <c r="AI2" s="28" t="str">
        <f t="array" ref="AI2">XLOOKUP($B2,Derived_Variables!$A:$A,Derived_Variables!$AC:$AC,"Medium")</f>
        <v>Low</v>
      </c>
      <c r="AJ2" s="28" t="b">
        <f t="array" ref="AJ2">XLOOKUP($B2,Derived_Variables!$A:$A,Derived_Variables!$Y:$Y,FALSE)</f>
        <v>0</v>
      </c>
      <c r="AK2" s="28" t="str">
        <f t="array" ref="AK2">XLOOKUP($B2,Derived_Variables!$A:$A,Derived_Variables!$AA:$AA,"Normal")</f>
        <v>Slow</v>
      </c>
      <c r="AL2" s="28" t="str">
        <f t="array" ref="AL2">XLOOKUP($B2,Derived_Variables!$A:$A,Derived_Variables!$AB:$AB,"Normal")</f>
        <v>Relaxed</v>
      </c>
      <c r="AM2" s="29">
        <v>0.0</v>
      </c>
      <c r="AN2" s="29">
        <v>0.0</v>
      </c>
      <c r="AO2" s="29">
        <v>0.0</v>
      </c>
      <c r="AP2" s="29">
        <v>0.0</v>
      </c>
      <c r="AQ2" s="29">
        <v>0.0</v>
      </c>
      <c r="AR2" s="29">
        <v>0.0</v>
      </c>
      <c r="AS2" s="29">
        <v>0.0</v>
      </c>
      <c r="AT2" s="29">
        <v>0.0</v>
      </c>
      <c r="AU2" s="28" t="str">
        <f t="array" ref="AU2">IF(G2="SNELLEN_FEET",IF(I2="READABLE",IFERROR(XLOOKUP(XLOOKUP(R2,Chart_Scale_Distance!B:B,Chart_Scale_Distance!A:A)+1,Chart_Scale_Distance!A:A,Chart_Scale_Distance!B:B),R2),R2),R2)</f>
        <v>200_150</v>
      </c>
      <c r="AV2" s="28">
        <f t="array" ref="AV2">IFERROR(XLOOKUP(R2,Chart_Scale_Distance!$B:$B,Chart_Scale_Distance!$A:$A,""),"")</f>
        <v>1</v>
      </c>
      <c r="AW2" s="28">
        <f t="array" ref="AW2">IFERROR(XLOOKUP(AA2,Chart_Scale_Distance!$B:$B,Chart_Scale_Distance!$A:$A,""),"")</f>
        <v>6</v>
      </c>
      <c r="AX2" s="29">
        <v>0.0</v>
      </c>
      <c r="AY2" s="29">
        <v>0.0</v>
      </c>
      <c r="AZ2" s="28"/>
      <c r="BA2" s="29">
        <v>0.0</v>
      </c>
      <c r="BB2" s="28"/>
      <c r="BC2" s="28" t="str">
        <f>IF(AJ2=TRUE,"ESCALATE",IF(C2="A",IF(OR(I2="NOT_READABLE",I2="BLURRY",AND(R2="20_20_20",I2="READABLE")),"B","A"),"A"))</f>
        <v>A</v>
      </c>
      <c r="BD2" s="29" t="b">
        <v>1</v>
      </c>
    </row>
    <row r="3">
      <c r="A3" s="28">
        <f t="shared" ref="A3:A484" si="3">A2+1</f>
        <v>2</v>
      </c>
      <c r="B3" s="28">
        <f t="shared" ref="B3:B484" si="4">B2</f>
        <v>6</v>
      </c>
      <c r="C3" s="28" t="str">
        <f t="shared" ref="C3:C484" si="5">IF($I2="","",BC2)</f>
        <v>A</v>
      </c>
      <c r="D3" s="28" t="str">
        <f t="array" ref="D3">IF($I2="","",XLOOKUP(C3,FSM_State_Map!A:A,FSM_State_Map!B:B,""))</f>
        <v>Distance Baseline</v>
      </c>
      <c r="E3" s="28" t="str">
        <f t="array" ref="E3">IF($I2="","",XLOOKUP(C3,FSM_State_Map!A:A,FSM_State_Map!C:C,""))</f>
        <v>DIST_BASELINE</v>
      </c>
      <c r="F3" s="28" t="str">
        <f t="array" ref="F3">IF($I2="","",XLOOKUP(E3,Phase_UI_Map!A:A,Phase_UI_Map!B:B,""))</f>
        <v>DIST_VA</v>
      </c>
      <c r="G3" s="28" t="str">
        <f t="array" ref="G3">IF($I2="","",XLOOKUP(E3,Phase_UI_Map!A:A,Phase_UI_Map!C:C,""))</f>
        <v>SNELLEN_FEET</v>
      </c>
      <c r="H3" s="28" t="str">
        <f t="array" ref="H3">IF($I2="","",XLOOKUP(E3,Phase_UI_Map!A:A,Phase_UI_Map!D:D,""))</f>
        <v>READABILITY</v>
      </c>
      <c r="I3" s="29" t="s">
        <v>218</v>
      </c>
      <c r="J3" s="28" t="str">
        <f>IFERROR(__xludf.DUMMYFUNCTION("IF($I2="""","""",IFERROR(INDEX(FILTER(Response_Lists!$B:$B,Response_Lists!$A:$A=$H3),1),""""))"),"READABLE")</f>
        <v>READABLE</v>
      </c>
      <c r="K3" s="28" t="str">
        <f>IFERROR(__xludf.DUMMYFUNCTION("IF($I2="""","""",IFERROR(INDEX(FILTER(Response_Lists!$B:$B,Response_Lists!$A:$A=$H3),2),""""))"),"NOT_READABLE")</f>
        <v>NOT_READABLE</v>
      </c>
      <c r="L3" s="28" t="str">
        <f>IFERROR(__xludf.DUMMYFUNCTION("IF($I2="""","""",IFERROR(INDEX(FILTER(Response_Lists!$B:$B,Response_Lists!$A:$A=$H3),3),""""))"),"BLURRY")</f>
        <v>BLURRY</v>
      </c>
      <c r="M3" s="28" t="str">
        <f>IFERROR(__xludf.DUMMYFUNCTION("IF($I2="""","""",IFERROR(INDEX(FILTER(Response_Lists!$B:$B,Response_Lists!$A:$A=$H3),4),""""))"),"")</f>
        <v/>
      </c>
      <c r="N3" s="28" t="str">
        <f>IFERROR(__xludf.DUMMYFUNCTION("IF($I2="""","""",IFERROR(INDEX(FILTER(Response_Lists!$B:$B,Response_Lists!$A:$A=$H3),5),""""))"),"")</f>
        <v/>
      </c>
      <c r="O3" s="28" t="str">
        <f>IFERROR(__xludf.DUMMYFUNCTION("IF($I2="""","""",IFERROR(INDEX(FILTER(Response_Lists!$B:$B,Response_Lists!$A:$A=$H3),6),""""))"),"")</f>
        <v/>
      </c>
      <c r="P3" s="28" t="str">
        <f t="shared" ref="P3:P484" si="6">IF($I2="","",IFS(H3="READABILITY","Can you read this clearly?",H3="COMPARE_1_2","Which is clearer: 1 or 2?",H3="COLOR_CHOICE","Which is clearer: RED or GREEN?",H3="TOP_BOTTOM","Which is clearer: TOP or BOTTOM?",H3="NEAR_READABILITY","Can you read the near target clearly?",H3="NEAR_BINOC","Is near clear and comfortable? (TARGET_OK/NOT_CLEAR)",TRUE,""))</f>
        <v>Can you read this clearly?</v>
      </c>
      <c r="Q3" s="28" t="str">
        <f t="array" ref="Q3">IF($I2="","",XLOOKUP(C3,FSM_State_Map!A:A,FSM_State_Map!D:D,""))</f>
        <v>BIN</v>
      </c>
      <c r="R3" s="28" t="str">
        <f t="shared" ref="R3:R484" si="7">IF($I2="","",IF(AND(C3="D",C2&lt;&gt;"D"),INDEX($R$2:R2,MATCH("B",$C$2:C2,0)),AU2))</f>
        <v>200_150</v>
      </c>
      <c r="S3" s="28">
        <f t="array" ref="S3">IF($I2="","",
IF(
  AND(C3="B",C2&lt;&gt;"B"),
  XLOOKUP($B3,Derived_Variables!$A:$A,Derived_Variables!$K:$K,0)
  + XLOOKUP($B3,Derived_Variables!$A:$A,Derived_Variables!$AE:$AE,0),
  S2+AM2
))</f>
        <v>-1.5</v>
      </c>
      <c r="T3" s="28">
        <f t="shared" ref="T3:U3" si="1">IF($I2="","",T2+AN2)</f>
        <v>-0.5</v>
      </c>
      <c r="U3" s="28">
        <f t="shared" si="1"/>
        <v>0</v>
      </c>
      <c r="V3" s="28">
        <f t="array" ref="V3">IF($I2="","",
IF(
  AND(C3="D",C2&lt;&gt;"D"),
  XLOOKUP($B3,Derived_Variables!$A:$A,Derived_Variables!$N:$N,0)
  + XLOOKUP($B3,Derived_Variables!$A:$A,Derived_Variables!$AE:$AE,0),
  V2+AP2
))</f>
        <v>-1</v>
      </c>
      <c r="W3" s="28">
        <f t="shared" ref="W3:X3" si="2">IF($I2="","",W2+AQ2)</f>
        <v>0</v>
      </c>
      <c r="X3" s="28">
        <f t="shared" si="2"/>
        <v>0</v>
      </c>
      <c r="Y3" s="28">
        <f t="array" ref="Y3">IF($I2="","",IF(AND(C3="P",C2&lt;&gt;"P"),IFERROR(XLOOKUP($B3,Lenso_Input!$A:$A,Lenso_Input!$E:$E,0),0),Y2+AS2))</f>
        <v>0</v>
      </c>
      <c r="Z3" s="28">
        <f t="array" ref="Z3">IF($I2="","",IF(AND(C3="Q",C2&lt;&gt;"Q"),IFERROR(XLOOKUP($B3,Lenso_Input!$A:$A,Lenso_Input!$I:$I,0),0),Z2+AT2))</f>
        <v>0</v>
      </c>
      <c r="AA3" s="28" t="str">
        <f t="array" ref="AA3">IF($I2="","",IF(XLOOKUP($B3,Derived_Variables!$A:$A,Derived_Variables!$R:$R,"6/6_target")="6/6_target","20_20_20","40_30_25"))</f>
        <v>20_20_20</v>
      </c>
      <c r="AB3" s="28">
        <f t="array" ref="AB3">IF($I2="","",XLOOKUP(LOWER(XLOOKUP($B3,Derived_Variables!$A:$A,Derived_Variables!$T:$T,"Standard"))&amp;"_sph_step",Calibration!$B:$B,Calibration!$C:$C,0.25))</f>
        <v>0.25</v>
      </c>
      <c r="AC3" s="28">
        <f t="array" ref="AC3">IF($I2="","",XLOOKUP(LOWER(XLOOKUP($B3,Derived_Variables!$A:$A,Derived_Variables!$T:$T,"Standard"))&amp;"_cyl_step",Calibration!$B:$B,Calibration!$C:$C,0.25))</f>
        <v>0.25</v>
      </c>
      <c r="AD3" s="28">
        <f t="array" ref="AD3">IF($I2="","",IF(OR(C3="E",C3="H"),LET(startStep,XLOOKUP("axis_start_step",Calibration!$B:$B,Calibration!$C:$C,5),step1,XLOOKUP("axis_reversal_step_1",Calibration!$B:$B,Calibration!$C:$C,3),step2,XLOOKUP("axis_reversal_step_2",Calibration!$B:$B,Calibration!$C:$C,1),IF(OR(C2&lt;&gt;C3,AZ3="",AZ3="SAME",AZ3="CANT_TELL",I3="",I3="SAME",I3="CANT_TELL"),startStep,IF(OR(AND(AZ3="BETTER_1",I3="BETTER_2"),AND(AZ3="BETTER_2",I3="BETTER_1")),IF(AD2&gt;step1,step1,step2),AD2))),0))</f>
        <v>0</v>
      </c>
      <c r="AE3" s="28" t="str">
        <f t="array" ref="AE3">IF($I2="","",XLOOKUP($B3,Derived_Variables!$A:$A,Derived_Variables!$AD:$AD,"No_Fog"))</f>
        <v>Strong_Fog</v>
      </c>
      <c r="AF3" s="28">
        <f t="array" ref="AF3">IF($I2="","",XLOOKUP($B3,Derived_Variables!$A:$A,Derived_Variables!$AE:$AE,0))</f>
        <v>1</v>
      </c>
      <c r="AG3" s="28" t="str">
        <f t="array" ref="AG3">IF($I2="","",XLOOKUP($B3,Derived_Variables!$A:$A,Derived_Variables!$AF:$AF,""))</f>
        <v>StepDown_0.25</v>
      </c>
      <c r="AH3" s="28" t="str">
        <f t="array" ref="AH3">IF($I2="","",XLOOKUP($B3,Derived_Variables!$A:$A,Derived_Variables!$AG:$AG,""))</f>
        <v>Low</v>
      </c>
      <c r="AI3" s="28" t="str">
        <f t="array" ref="AI3">IF($I2="","",XLOOKUP($B3,Derived_Variables!$A:$A,Derived_Variables!$AC:$AC,"Medium"))</f>
        <v>Low</v>
      </c>
      <c r="AJ3" s="28" t="b">
        <f t="array" ref="AJ3">IF($I2="","",XLOOKUP($B3,Derived_Variables!$A:$A,Derived_Variables!$Y:$Y,FALSE))</f>
        <v>0</v>
      </c>
      <c r="AK3" s="28" t="str">
        <f t="array" ref="AK3">IF($I2="","",XLOOKUP($B3,Derived_Variables!$A:$A,Derived_Variables!$AA:$AA,"Normal"))</f>
        <v>Slow</v>
      </c>
      <c r="AL3" s="28" t="str">
        <f t="array" ref="AL3">IF($I2="","",XLOOKUP($B3,Derived_Variables!$A:$A,Derived_Variables!$AB:$AB,"Normal"))</f>
        <v>Relaxed</v>
      </c>
      <c r="AM3" s="28">
        <f t="array" ref="AM3">IF($I3="","",IFS(C3="B",IF(OR(I3="NOT_READABLE",I3="BLURRY"),-AB3,0),C3="G",IFS(I3="RED_CLEARER",XLOOKUP("duochrome_red_step",Calibration!$B:$B,Calibration!$C:$C,-0.25),I3="GREEN_CLEARER",XLOOKUP("duochrome_green_step",Calibration!$B:$B,Calibration!$C:$C,0.25),I3="EQUAL",IF(XLOOKUP($B3,Derived_Variables!$A:$A,Derived_Variables!$S:$S,"Neutral")="Undercorrect",XLOOKUP("undercorrect_step",Calibration!$B:$B,Calibration!$C:$C,0.25),IF(XLOOKUP($B3,Derived_Variables!$A:$A,Derived_Variables!$S:$S,"Neutral")="Overcorrect",-XLOOKUP("overcorrect_step",Calibration!$B:$B,Calibration!$C:$C,0.25),0)),TRUE,0),C3="K",IF(I3="TOP_CLEARER",XLOOKUP("bino_balance_step",Calibration!$B:$B,Calibration!$C:$C,0.25),0),TRUE,0))</f>
        <v>0</v>
      </c>
      <c r="AN3" s="28">
        <f t="shared" ref="AN3:AN484" si="10">IF($I3="","",IF(C3="F",IFS(I3="BETTER_1",AC3,I3="BETTER_2",-AC3,TRUE,0),0))</f>
        <v>0</v>
      </c>
      <c r="AO3" s="28">
        <f t="shared" ref="AO3:AO484" si="11">IF($I3="","",IF(C3="E",IFS(I3="BETTER_1",-AD3,I3="BETTER_2",AD3,TRUE,0),0))</f>
        <v>0</v>
      </c>
      <c r="AP3" s="28">
        <f t="array" ref="AP3">IF($I3="","",IFS(C3="D",IF(OR(I3="NOT_READABLE",I3="BLURRY"),-AB3,0),C3="J",IFS(I3="RED_CLEARER",XLOOKUP("duochrome_red_step",Calibration!$B:$B,Calibration!$C:$C,-0.25),I3="GREEN_CLEARER",XLOOKUP("duochrome_green_step",Calibration!$B:$B,Calibration!$C:$C,0.25),I3="EQUAL",IF(XLOOKUP($B3,Derived_Variables!$A:$A,Derived_Variables!$S:$S,"Neutral")="Undercorrect",XLOOKUP("undercorrect_step",Calibration!$B:$B,Calibration!$C:$C,0.25),IF(XLOOKUP($B3,Derived_Variables!$A:$A,Derived_Variables!$S:$S,"Neutral")="Overcorrect",-XLOOKUP("overcorrect_step",Calibration!$B:$B,Calibration!$C:$C,0.25),0)),TRUE,0),C3="K",IF(I3="BOTTOM_CLEARER",XLOOKUP("bino_balance_step",Calibration!$B:$B,Calibration!$C:$C,0.25),0),TRUE,0))</f>
        <v>0</v>
      </c>
      <c r="AQ3" s="28">
        <f t="shared" ref="AQ3:AQ484" si="12">IF($I3="","",IF(C3="I",IFS(I3="BETTER_1",AC3,I3="BETTER_2",-AC3,TRUE,0),0))</f>
        <v>0</v>
      </c>
      <c r="AR3" s="28">
        <f t="shared" ref="AR3:AR484" si="13">IF($I3="","",IF(C3="H",IFS(I3="BETTER_1",-AD3,I3="BETTER_2",AD3,TRUE,0),0))</f>
        <v>0</v>
      </c>
      <c r="AS3" s="28">
        <f t="array" ref="AS3">IF($I3="","",IF(C3="P",IF(OR(I3="NOT_READABLE",I3="BLURRY"),XLOOKUP("near_add_step",Calibration!$B:$B,Calibration!$C:$C,0.25),0),IF(C3="R",IF(I3="NOT_CLEAR",XLOOKUP("near_add_step",Calibration!$B:$B,Calibration!$C:$C,0.25),0),0)))</f>
        <v>0</v>
      </c>
      <c r="AT3" s="28">
        <f t="array" ref="AT3">IF($I3="","",IF(C3="Q",IF(OR(I3="NOT_READABLE",I3="BLURRY"),XLOOKUP("near_add_step",Calibration!$B:$B,Calibration!$C:$C,0.25),0),IF(C3="R",IF(I3="NOT_CLEAR",XLOOKUP("near_add_step",Calibration!$B:$B,Calibration!$C:$C,0.25),0),0)))</f>
        <v>0</v>
      </c>
      <c r="AU3" s="28" t="str">
        <f t="array" ref="AU3">IF($I3="","",IF(G3="SNELLEN_FEET",IF(I3="READABLE",IFERROR(XLOOKUP(XLOOKUP(R3,Chart_Scale_Distance!B:B,Chart_Scale_Distance!A:A)+1,Chart_Scale_Distance!A:A,Chart_Scale_Distance!B:B),R3),R3),R3))</f>
        <v>100_80</v>
      </c>
      <c r="AV3" s="28">
        <f t="array" ref="AV3">IF($I2="","",IFERROR(XLOOKUP(R3,Chart_Scale_Distance!$B:$B,Chart_Scale_Distance!$A:$A,""),""))</f>
        <v>2</v>
      </c>
      <c r="AW3" s="28">
        <f t="array" ref="AW3">IF($I2="","",IFERROR(XLOOKUP(AA3,Chart_Scale_Distance!$B:$B,Chart_Scale_Distance!$A:$A,""),""))</f>
        <v>6</v>
      </c>
      <c r="AX3" s="28">
        <f t="shared" ref="AX3:AX484" si="14">IF($I3="","",
 IF(
  OR(C3="G",C3="J"),
  IF(
   AND(C2=C3,I3="EQUAL",I2="EQUAL"),
   AX2+1,
   IF(I3="EQUAL",1,0)
  ),
  IF(I3&lt;&gt;"SAME",0,IF(C3=C2,AX2+1,1))
 )
)</f>
        <v>0</v>
      </c>
      <c r="AY3" s="28">
        <f t="shared" ref="AY3:AY484" si="15">IF($I3="","",COUNTIFS($B$2:B3,$B3,$C$2:C3,$C3))</f>
        <v>2</v>
      </c>
      <c r="AZ3" s="28" t="str">
        <f t="shared" ref="AZ3:AZ484" si="16">IF($I2="","",IF(AND(OR(C3="E",C3="H"),OR(C2="E",C2="H")),I2,""))</f>
        <v/>
      </c>
      <c r="BA3" s="28">
        <f t="shared" ref="BA3:BA484" si="17">IF($I3="","",IF(OR(C3="G",C3="J"),BA2+1,0))</f>
        <v>0</v>
      </c>
      <c r="BB3" s="28">
        <f t="shared" ref="BB3:BB484" si="18">IF($I3="","",
 IF(
  OR(C3="G",C3="J"),
  IF(
   C2&lt;&gt;C3,
   0,
   IF(
    OR(
     AND(I3="RED_CLEARER",I2="GREEN_CLEARER"),
     AND(I3="GREEN_CLEARER",I2="RED_CLEARER")
    ),
    BB2+1,
    BB2
   )
  ),
  0
 )
)</f>
        <v>0</v>
      </c>
      <c r="BC3" s="28" t="str">
        <f t="array" ref="BC3">IF($I3="","",LET(
conf,AI3,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duoMax,XLOOKUP($B3,Derived_Variables!$A:$A,Derived_Variables!$AI:$AI,4),
axisTol,XLOOKUP($B3,Derived_Variables!$A:$A,Derived_Variables!$W:$W,1),
maxStart,XLOOKUP($B3,Derived_Variables!$A:$A,Derived_Variables!$U:$U,1.25),
maxAR,XLOOKUP($B3,Derived_Variables!$A:$A,Derived_Variables!$V:$V,3),
anom,XLOOKUP($B3,Derived_Variables!$A:$A,Derived_Variables!$Z:$Z,FALSE),
reStart,XLOOKUP($B3,Derived_Variables!$A:$A,Derived_Variables!$K:$K,0),
leStart,XLOOKUP($B3,Derived_Variables!$A:$A,Derived_Variables!$N:$N,0),
reAR,XLOOKUP($B3,AR_Input!$A:$A,AR_Input!$B:$B,reStart),
leAR,XLOOKUP($B3,AR_Input!$A:$A,AR_Input!$E:$E,leStart),
reEsc,AND(anom,OR(ABS((S3+AM3)-reStart)&gt;maxStart,ABS((S3+AM3)-reAR)&gt;maxAR)),
leEsc,AND(anom,OR(ABS((V3+AP3)-leStart)&gt;maxStart,ABS((V3+AP3)-leAR)&gt;maxAR)),
phaseMax,IFS(
 AK3="Fast",
   IFS(
     OR(C3="B",C3="D"),XLOOKUP("timeout_coarse_fast",Calibration!$B:$B,Calibration!$C:$C,24),
     OR(C3="E",C3="F",C3="H",C3="I"),XLOOKUP("timeout_jcc_fast",Calibration!$B:$B,Calibration!$C:$C,10),
     OR(C3="G",C3="J"),XLOOKUP("timeout_duochrome_fast",Calibration!$B:$B,Calibration!$C:$C,8),
     C3="K",XLOOKUP("timeout_bino_fast",Calibration!$B:$B,Calibration!$C:$C,10),
     OR(C3="P",C3="Q",C3="R"),XLOOKUP("timeout_near_fast",Calibration!$B:$B,Calibration!$C:$C,16),
     TRUE,XLOOKUP("timeout_coarse_fast",Calibration!$B:$B,Calibration!$C:$C,24)
   ),
 AK3="Normal",
   IFS(
     OR(C3="B",C3="D"),XLOOKUP("timeout_coarse_normal",Calibration!$B:$B,Calibration!$C:$C,36),
     OR(C3="E",C3="F",C3="H",C3="I"),XLOOKUP("timeout_jcc_normal",Calibration!$B:$B,Calibration!$C:$C,14),
     OR(C3="G",C3="J"),XLOOKUP("timeout_duochrome_normal",Calibration!$B:$B,Calibration!$C:$C,10),
     C3="K",XLOOKUP("timeout_bino_normal",Calibration!$B:$B,Calibration!$C:$C,14),
     OR(C3="P",C3="Q",C3="R"),XLOOKUP("timeout_near_normal",Calibration!$B:$B,Calibration!$C:$C,22),
     TRUE,XLOOKUP("timeout_coarse_normal",Calibration!$B:$B,Calibration!$C:$C,36)
   ),
 TRUE,
   IFS(
     OR(C3="B",C3="D"),XLOOKUP("timeout_coarse_slow",Calibration!$B:$B,Calibration!$C:$C,48),
     OR(C3="E",C3="F",C3="H",C3="I"),XLOOKUP("timeout_jcc_slow",Calibration!$B:$B,Calibration!$C:$C,18),
     OR(C3="G",C3="J"),XLOOKUP("timeout_duochrome_slow",Calibration!$B:$B,Calibration!$C:$C,12),
     C3="K",XLOOKUP("timeout_bino_slow",Calibration!$B:$B,Calibration!$C:$C,18),
     OR(C3="P",C3="Q",C3="R"),XLOOKUP("timeout_near_slow",Calibration!$B:$B,Calibration!$C:$C,28),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AJ3=TRUE,"ESCALATE",
C3="A",
IF(OR(I3="NOT_READABLE",I3="BLURRY",AND(R3="20_20_20",I3="READABLE")),"B","A"),
C3="B",
IF(reEsc,"ESCALATE",IF(AY3&gt;=phaseMax,"ESCALATE",IF(AND(AV3&gt;=AW3,I3="READABLE"),"E","B"))),
C3="E",
IF(AY3&gt;=phaseMax,"ESCALATE",IF(OR(I3="SAME",I3="CANT_TELL",AD3&lt;axisTol),"F","E")),
C3="F",
IF(AY3&gt;=phaseMax,"ESCALATE",IF(AX3&gt;=powerSameN,"G","F")),
C3="G",
IF(AY3&gt;=phaseMax,"ESCALATE",IF(OR(AX3&gt;=duoEqualN,BB3&gt;=duoMax),"D","G")),
C3="D",
IF(leEsc,"ESCALATE",IF(AY3&gt;=phaseMax,"ESCALATE",IF(AND(AV3&gt;=AW3,I3="READABLE"),"H","D"))),
C3="H",
IF(AY3&gt;=phaseMax,"ESCALATE",IF(OR(I3="SAME",I3="CANT_TELL",AD3&lt;axisTol),"I","H")),
C3="I",
IF(AY3&gt;=phaseMax,"ESCALATE",IF(AX3&gt;=powerSameN,"J","I")),
C3="J",
IF(AY3&gt;=phaseMax,"ESCALATE",IF(OR(AX3&gt;=duoEqualN,BB3&gt;=duoMax),"K","J")),
C3="K",
IF(AY3&gt;=phaseMax,"ESCALATE",IF(AX3&gt;=binoSameN,IF(XLOOKUP($B3,Derived_Variables!$A:$A,Derived_Variables!$AJ:$AJ,FALSE)=TRUE,"P","END"),"K")),
C3="P",
IF(AY3&gt;=phaseMax,"ESCALATE",IF(OR(I3="READABLE",I3="SAME"),"Q","P")),
C3="Q",
IF(AY3&gt;=phaseMax,"ESCALATE",IF(OR(I3="READABLE",I3="SAME"),"R","Q")),
C3="R",
IF(AY3&gt;=phaseMax,"ESCALATE",IF(OR(I3=nearTarget,I3="SAME"),"END","R")),
TRUE,"END"
)))</f>
        <v>A</v>
      </c>
      <c r="BD3" s="28" t="b">
        <f t="shared" ref="BD3:BD484" si="19">IF($I2="",FALSE,TRUE)</f>
        <v>1</v>
      </c>
    </row>
    <row r="4">
      <c r="A4" s="28">
        <f t="shared" si="3"/>
        <v>3</v>
      </c>
      <c r="B4" s="28">
        <f t="shared" si="4"/>
        <v>6</v>
      </c>
      <c r="C4" s="28" t="str">
        <f t="shared" si="5"/>
        <v>A</v>
      </c>
      <c r="D4" s="28" t="str">
        <f t="array" ref="D4">IF($I3="","",XLOOKUP(C4,FSM_State_Map!A:A,FSM_State_Map!B:B,""))</f>
        <v>Distance Baseline</v>
      </c>
      <c r="E4" s="28" t="str">
        <f t="array" ref="E4">IF($I3="","",XLOOKUP(C4,FSM_State_Map!A:A,FSM_State_Map!C:C,""))</f>
        <v>DIST_BASELINE</v>
      </c>
      <c r="F4" s="28" t="str">
        <f t="array" ref="F4">IF($I3="","",XLOOKUP(E4,Phase_UI_Map!A:A,Phase_UI_Map!B:B,""))</f>
        <v>DIST_VA</v>
      </c>
      <c r="G4" s="28" t="str">
        <f t="array" ref="G4">IF($I3="","",XLOOKUP(E4,Phase_UI_Map!A:A,Phase_UI_Map!C:C,""))</f>
        <v>SNELLEN_FEET</v>
      </c>
      <c r="H4" s="28" t="str">
        <f t="array" ref="H4">IF($I3="","",XLOOKUP(E4,Phase_UI_Map!A:A,Phase_UI_Map!D:D,""))</f>
        <v>READABILITY</v>
      </c>
      <c r="I4" s="29" t="s">
        <v>218</v>
      </c>
      <c r="J4" s="28" t="str">
        <f>IFERROR(__xludf.DUMMYFUNCTION("IF($I3="""","""",IFERROR(INDEX(FILTER(Response_Lists!$B:$B,Response_Lists!$A:$A=$H4),1),""""))"),"READABLE")</f>
        <v>READABLE</v>
      </c>
      <c r="K4" s="28" t="str">
        <f>IFERROR(__xludf.DUMMYFUNCTION("IF($I3="""","""",IFERROR(INDEX(FILTER(Response_Lists!$B:$B,Response_Lists!$A:$A=$H4),2),""""))"),"NOT_READABLE")</f>
        <v>NOT_READABLE</v>
      </c>
      <c r="L4" s="28" t="str">
        <f>IFERROR(__xludf.DUMMYFUNCTION("IF($I3="""","""",IFERROR(INDEX(FILTER(Response_Lists!$B:$B,Response_Lists!$A:$A=$H4),3),""""))"),"BLURRY")</f>
        <v>BLURRY</v>
      </c>
      <c r="M4" s="28" t="str">
        <f>IFERROR(__xludf.DUMMYFUNCTION("IF($I3="""","""",IFERROR(INDEX(FILTER(Response_Lists!$B:$B,Response_Lists!$A:$A=$H4),4),""""))"),"")</f>
        <v/>
      </c>
      <c r="N4" s="28" t="str">
        <f>IFERROR(__xludf.DUMMYFUNCTION("IF($I3="""","""",IFERROR(INDEX(FILTER(Response_Lists!$B:$B,Response_Lists!$A:$A=$H4),5),""""))"),"")</f>
        <v/>
      </c>
      <c r="O4" s="28" t="str">
        <f>IFERROR(__xludf.DUMMYFUNCTION("IF($I3="""","""",IFERROR(INDEX(FILTER(Response_Lists!$B:$B,Response_Lists!$A:$A=$H4),6),""""))"),"")</f>
        <v/>
      </c>
      <c r="P4" s="28" t="str">
        <f t="shared" si="6"/>
        <v>Can you read this clearly?</v>
      </c>
      <c r="Q4" s="28" t="str">
        <f t="array" ref="Q4">IF($I3="","",XLOOKUP(C4,FSM_State_Map!A:A,FSM_State_Map!D:D,""))</f>
        <v>BIN</v>
      </c>
      <c r="R4" s="28" t="str">
        <f t="shared" si="7"/>
        <v>100_80</v>
      </c>
      <c r="S4" s="28">
        <f t="array" ref="S4">IF($I3="","",
IF(
  AND(C4="B",C3&lt;&gt;"B"),
  XLOOKUP($B4,Derived_Variables!$A:$A,Derived_Variables!$K:$K,0)
  + XLOOKUP($B4,Derived_Variables!$A:$A,Derived_Variables!$AE:$AE,0),
  S3+AM3
))</f>
        <v>-1.5</v>
      </c>
      <c r="T4" s="28">
        <f t="shared" ref="T4:U4" si="8">IF($I3="","",T3+AN3)</f>
        <v>-0.5</v>
      </c>
      <c r="U4" s="28">
        <f t="shared" si="8"/>
        <v>0</v>
      </c>
      <c r="V4" s="28">
        <f t="array" ref="V4">IF($I3="","",
IF(
  AND(C4="D",C3&lt;&gt;"D"),
  XLOOKUP($B4,Derived_Variables!$A:$A,Derived_Variables!$N:$N,0)
  + XLOOKUP($B4,Derived_Variables!$A:$A,Derived_Variables!$AE:$AE,0),
  V3+AP3
))</f>
        <v>-1</v>
      </c>
      <c r="W4" s="28">
        <f t="shared" ref="W4:X4" si="9">IF($I3="","",W3+AQ3)</f>
        <v>0</v>
      </c>
      <c r="X4" s="28">
        <f t="shared" si="9"/>
        <v>0</v>
      </c>
      <c r="Y4" s="28">
        <f t="array" ref="Y4">IF($I3="","",IF(AND(C4="P",C3&lt;&gt;"P"),IFERROR(XLOOKUP($B4,Lenso_Input!$A:$A,Lenso_Input!$E:$E,0),0),Y3+AS3))</f>
        <v>0</v>
      </c>
      <c r="Z4" s="28">
        <f t="array" ref="Z4">IF($I3="","",IF(AND(C4="Q",C3&lt;&gt;"Q"),IFERROR(XLOOKUP($B4,Lenso_Input!$A:$A,Lenso_Input!$I:$I,0),0),Z3+AT3))</f>
        <v>0</v>
      </c>
      <c r="AA4" s="28" t="str">
        <f t="array" ref="AA4">IF($I3="","",IF(XLOOKUP($B4,Derived_Variables!$A:$A,Derived_Variables!$R:$R,"6/6_target")="6/6_target","20_20_20","40_30_25"))</f>
        <v>20_20_20</v>
      </c>
      <c r="AB4" s="28">
        <f t="array" ref="AB4">IF($I3="","",XLOOKUP(LOWER(XLOOKUP($B4,Derived_Variables!$A:$A,Derived_Variables!$T:$T,"Standard"))&amp;"_sph_step",Calibration!$B:$B,Calibration!$C:$C,0.25))</f>
        <v>0.25</v>
      </c>
      <c r="AC4" s="28">
        <f t="array" ref="AC4">IF($I3="","",XLOOKUP(LOWER(XLOOKUP($B4,Derived_Variables!$A:$A,Derived_Variables!$T:$T,"Standard"))&amp;"_cyl_step",Calibration!$B:$B,Calibration!$C:$C,0.25))</f>
        <v>0.25</v>
      </c>
      <c r="AD4" s="28">
        <f t="array" ref="AD4">IF($I3="","",IF(OR(C4="E",C4="H"),LET(startStep,XLOOKUP("axis_start_step",Calibration!$B:$B,Calibration!$C:$C,5),step1,XLOOKUP("axis_reversal_step_1",Calibration!$B:$B,Calibration!$C:$C,3),step2,XLOOKUP("axis_reversal_step_2",Calibration!$B:$B,Calibration!$C:$C,1),IF(OR(C3&lt;&gt;C4,AZ4="",AZ4="SAME",AZ4="CANT_TELL",I4="",I4="SAME",I4="CANT_TELL"),startStep,IF(OR(AND(AZ4="BETTER_1",I4="BETTER_2"),AND(AZ4="BETTER_2",I4="BETTER_1")),IF(AD3&gt;step1,step1,step2),AD3))),0))</f>
        <v>0</v>
      </c>
      <c r="AE4" s="28" t="str">
        <f t="array" ref="AE4">IF($I3="","",XLOOKUP($B4,Derived_Variables!$A:$A,Derived_Variables!$AD:$AD,"No_Fog"))</f>
        <v>Strong_Fog</v>
      </c>
      <c r="AF4" s="28">
        <f t="array" ref="AF4">IF($I3="","",XLOOKUP($B4,Derived_Variables!$A:$A,Derived_Variables!$AE:$AE,0))</f>
        <v>1</v>
      </c>
      <c r="AG4" s="28" t="str">
        <f t="array" ref="AG4">IF($I3="","",XLOOKUP($B4,Derived_Variables!$A:$A,Derived_Variables!$AF:$AF,""))</f>
        <v>StepDown_0.25</v>
      </c>
      <c r="AH4" s="28" t="str">
        <f t="array" ref="AH4">IF($I3="","",XLOOKUP($B4,Derived_Variables!$A:$A,Derived_Variables!$AG:$AG,""))</f>
        <v>Low</v>
      </c>
      <c r="AI4" s="28" t="str">
        <f t="array" ref="AI4">IF($I3="","",XLOOKUP($B4,Derived_Variables!$A:$A,Derived_Variables!$AC:$AC,"Medium"))</f>
        <v>Low</v>
      </c>
      <c r="AJ4" s="28" t="b">
        <f t="array" ref="AJ4">IF($I3="","",XLOOKUP($B4,Derived_Variables!$A:$A,Derived_Variables!$Y:$Y,FALSE))</f>
        <v>0</v>
      </c>
      <c r="AK4" s="28" t="str">
        <f t="array" ref="AK4">IF($I3="","",XLOOKUP($B4,Derived_Variables!$A:$A,Derived_Variables!$AA:$AA,"Normal"))</f>
        <v>Slow</v>
      </c>
      <c r="AL4" s="28" t="str">
        <f t="array" ref="AL4">IF($I3="","",XLOOKUP($B4,Derived_Variables!$A:$A,Derived_Variables!$AB:$AB,"Normal"))</f>
        <v>Relaxed</v>
      </c>
      <c r="AM4" s="28">
        <f t="array" ref="AM4">IF($I4="","",IFS(C4="B",IF(OR(I4="NOT_READABLE",I4="BLURRY"),-AB4,0),C4="G",IFS(I4="RED_CLEARER",XLOOKUP("duochrome_red_step",Calibration!$B:$B,Calibration!$C:$C,-0.25),I4="GREEN_CLEARER",XLOOKUP("duochrome_green_step",Calibration!$B:$B,Calibration!$C:$C,0.25),I4="EQUAL",IF(XLOOKUP($B4,Derived_Variables!$A:$A,Derived_Variables!$S:$S,"Neutral")="Undercorrect",XLOOKUP("undercorrect_step",Calibration!$B:$B,Calibration!$C:$C,0.25),IF(XLOOKUP($B4,Derived_Variables!$A:$A,Derived_Variables!$S:$S,"Neutral")="Overcorrect",-XLOOKUP("overcorrect_step",Calibration!$B:$B,Calibration!$C:$C,0.25),0)),TRUE,0),C4="K",IF(I4="TOP_CLEARER",XLOOKUP("bino_balance_step",Calibration!$B:$B,Calibration!$C:$C,0.25),0),TRUE,0))</f>
        <v>0</v>
      </c>
      <c r="AN4" s="28">
        <f t="shared" si="10"/>
        <v>0</v>
      </c>
      <c r="AO4" s="28">
        <f t="shared" si="11"/>
        <v>0</v>
      </c>
      <c r="AP4" s="28">
        <f t="array" ref="AP4">IF($I4="","",IFS(C4="D",IF(OR(I4="NOT_READABLE",I4="BLURRY"),-AB4,0),C4="J",IFS(I4="RED_CLEARER",XLOOKUP("duochrome_red_step",Calibration!$B:$B,Calibration!$C:$C,-0.25),I4="GREEN_CLEARER",XLOOKUP("duochrome_green_step",Calibration!$B:$B,Calibration!$C:$C,0.25),I4="EQUAL",IF(XLOOKUP($B4,Derived_Variables!$A:$A,Derived_Variables!$S:$S,"Neutral")="Undercorrect",XLOOKUP("undercorrect_step",Calibration!$B:$B,Calibration!$C:$C,0.25),IF(XLOOKUP($B4,Derived_Variables!$A:$A,Derived_Variables!$S:$S,"Neutral")="Overcorrect",-XLOOKUP("overcorrect_step",Calibration!$B:$B,Calibration!$C:$C,0.25),0)),TRUE,0),C4="K",IF(I4="BOTTOM_CLEARER",XLOOKUP("bino_balance_step",Calibration!$B:$B,Calibration!$C:$C,0.25),0),TRUE,0))</f>
        <v>0</v>
      </c>
      <c r="AQ4" s="28">
        <f t="shared" si="12"/>
        <v>0</v>
      </c>
      <c r="AR4" s="28">
        <f t="shared" si="13"/>
        <v>0</v>
      </c>
      <c r="AS4" s="28">
        <f t="array" ref="AS4">IF($I4="","",IF(C4="P",IF(OR(I4="NOT_READABLE",I4="BLURRY"),XLOOKUP("near_add_step",Calibration!$B:$B,Calibration!$C:$C,0.25),0),IF(C4="R",IF(I4="NOT_CLEAR",XLOOKUP("near_add_step",Calibration!$B:$B,Calibration!$C:$C,0.25),0),0)))</f>
        <v>0</v>
      </c>
      <c r="AT4" s="28">
        <f t="array" ref="AT4">IF($I4="","",IF(C4="Q",IF(OR(I4="NOT_READABLE",I4="BLURRY"),XLOOKUP("near_add_step",Calibration!$B:$B,Calibration!$C:$C,0.25),0),IF(C4="R",IF(I4="NOT_CLEAR",XLOOKUP("near_add_step",Calibration!$B:$B,Calibration!$C:$C,0.25),0),0)))</f>
        <v>0</v>
      </c>
      <c r="AU4" s="28" t="str">
        <f t="array" ref="AU4">IF($I4="","",IF(G4="SNELLEN_FEET",IF(I4="READABLE",IFERROR(XLOOKUP(XLOOKUP(R4,Chart_Scale_Distance!B:B,Chart_Scale_Distance!A:A)+1,Chart_Scale_Distance!A:A,Chart_Scale_Distance!B:B),R4),R4),R4))</f>
        <v>70_60_50</v>
      </c>
      <c r="AV4" s="28">
        <f t="array" ref="AV4">IF($I3="","",IFERROR(XLOOKUP(R4,Chart_Scale_Distance!$B:$B,Chart_Scale_Distance!$A:$A,""),""))</f>
        <v>3</v>
      </c>
      <c r="AW4" s="28">
        <f t="array" ref="AW4">IF($I3="","",IFERROR(XLOOKUP(AA4,Chart_Scale_Distance!$B:$B,Chart_Scale_Distance!$A:$A,""),""))</f>
        <v>6</v>
      </c>
      <c r="AX4" s="28">
        <f t="shared" si="14"/>
        <v>0</v>
      </c>
      <c r="AY4" s="28">
        <f t="shared" si="15"/>
        <v>3</v>
      </c>
      <c r="AZ4" s="28" t="str">
        <f t="shared" si="16"/>
        <v/>
      </c>
      <c r="BA4" s="28">
        <f t="shared" si="17"/>
        <v>0</v>
      </c>
      <c r="BB4" s="28">
        <f t="shared" si="18"/>
        <v>0</v>
      </c>
      <c r="BC4" s="28" t="str">
        <f t="array" ref="BC4">IF($I4="","",LET(
conf,AI4,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duoMax,XLOOKUP($B4,Derived_Variables!$A:$A,Derived_Variables!$AI:$AI,4),
axisTol,XLOOKUP($B4,Derived_Variables!$A:$A,Derived_Variables!$W:$W,1),
maxStart,XLOOKUP($B4,Derived_Variables!$A:$A,Derived_Variables!$U:$U,1.25),
maxAR,XLOOKUP($B4,Derived_Variables!$A:$A,Derived_Variables!$V:$V,3),
anom,XLOOKUP($B4,Derived_Variables!$A:$A,Derived_Variables!$Z:$Z,FALSE),
reStart,XLOOKUP($B4,Derived_Variables!$A:$A,Derived_Variables!$K:$K,0),
leStart,XLOOKUP($B4,Derived_Variables!$A:$A,Derived_Variables!$N:$N,0),
reAR,XLOOKUP($B4,AR_Input!$A:$A,AR_Input!$B:$B,reStart),
leAR,XLOOKUP($B4,AR_Input!$A:$A,AR_Input!$E:$E,leStart),
reEsc,AND(anom,OR(ABS((S4+AM4)-reStart)&gt;maxStart,ABS((S4+AM4)-reAR)&gt;maxAR)),
leEsc,AND(anom,OR(ABS((V4+AP4)-leStart)&gt;maxStart,ABS((V4+AP4)-leAR)&gt;maxAR)),
phaseMax,IFS(
 AK4="Fast",
   IFS(
     OR(C4="B",C4="D"),XLOOKUP("timeout_coarse_fast",Calibration!$B:$B,Calibration!$C:$C,24),
     OR(C4="E",C4="F",C4="H",C4="I"),XLOOKUP("timeout_jcc_fast",Calibration!$B:$B,Calibration!$C:$C,10),
     OR(C4="G",C4="J"),XLOOKUP("timeout_duochrome_fast",Calibration!$B:$B,Calibration!$C:$C,8),
     C4="K",XLOOKUP("timeout_bino_fast",Calibration!$B:$B,Calibration!$C:$C,10),
     OR(C4="P",C4="Q",C4="R"),XLOOKUP("timeout_near_fast",Calibration!$B:$B,Calibration!$C:$C,16),
     TRUE,XLOOKUP("timeout_coarse_fast",Calibration!$B:$B,Calibration!$C:$C,24)
   ),
 AK4="Normal",
   IFS(
     OR(C4="B",C4="D"),XLOOKUP("timeout_coarse_normal",Calibration!$B:$B,Calibration!$C:$C,36),
     OR(C4="E",C4="F",C4="H",C4="I"),XLOOKUP("timeout_jcc_normal",Calibration!$B:$B,Calibration!$C:$C,14),
     OR(C4="G",C4="J"),XLOOKUP("timeout_duochrome_normal",Calibration!$B:$B,Calibration!$C:$C,10),
     C4="K",XLOOKUP("timeout_bino_normal",Calibration!$B:$B,Calibration!$C:$C,14),
     OR(C4="P",C4="Q",C4="R"),XLOOKUP("timeout_near_normal",Calibration!$B:$B,Calibration!$C:$C,22),
     TRUE,XLOOKUP("timeout_coarse_normal",Calibration!$B:$B,Calibration!$C:$C,36)
   ),
 TRUE,
   IFS(
     OR(C4="B",C4="D"),XLOOKUP("timeout_coarse_slow",Calibration!$B:$B,Calibration!$C:$C,48),
     OR(C4="E",C4="F",C4="H",C4="I"),XLOOKUP("timeout_jcc_slow",Calibration!$B:$B,Calibration!$C:$C,18),
     OR(C4="G",C4="J"),XLOOKUP("timeout_duochrome_slow",Calibration!$B:$B,Calibration!$C:$C,12),
     C4="K",XLOOKUP("timeout_bino_slow",Calibration!$B:$B,Calibration!$C:$C,18),
     OR(C4="P",C4="Q",C4="R"),XLOOKUP("timeout_near_slow",Calibration!$B:$B,Calibration!$C:$C,28),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AJ4=TRUE,"ESCALATE",
C4="A",
IF(OR(I4="NOT_READABLE",I4="BLURRY",AND(R4="20_20_20",I4="READABLE")),"B","A"),
C4="B",
IF(reEsc,"ESCALATE",IF(AY4&gt;=phaseMax,"ESCALATE",IF(AND(AV4&gt;=AW4,I4="READABLE"),"E","B"))),
C4="E",
IF(AY4&gt;=phaseMax,"ESCALATE",IF(OR(I4="SAME",I4="CANT_TELL",AD4&lt;axisTol),"F","E")),
C4="F",
IF(AY4&gt;=phaseMax,"ESCALATE",IF(AX4&gt;=powerSameN,"G","F")),
C4="G",
IF(AY4&gt;=phaseMax,"ESCALATE",IF(OR(AX4&gt;=duoEqualN,BB4&gt;=duoMax),"D","G")),
C4="D",
IF(leEsc,"ESCALATE",IF(AY4&gt;=phaseMax,"ESCALATE",IF(AND(AV4&gt;=AW4,I4="READABLE"),"H","D"))),
C4="H",
IF(AY4&gt;=phaseMax,"ESCALATE",IF(OR(I4="SAME",I4="CANT_TELL",AD4&lt;axisTol),"I","H")),
C4="I",
IF(AY4&gt;=phaseMax,"ESCALATE",IF(AX4&gt;=powerSameN,"J","I")),
C4="J",
IF(AY4&gt;=phaseMax,"ESCALATE",IF(OR(AX4&gt;=duoEqualN,BB4&gt;=duoMax),"K","J")),
C4="K",
IF(AY4&gt;=phaseMax,"ESCALATE",IF(AX4&gt;=binoSameN,IF(XLOOKUP($B4,Derived_Variables!$A:$A,Derived_Variables!$AJ:$AJ,FALSE)=TRUE,"P","END"),"K")),
C4="P",
IF(AY4&gt;=phaseMax,"ESCALATE",IF(OR(I4="READABLE",I4="SAME"),"Q","P")),
C4="Q",
IF(AY4&gt;=phaseMax,"ESCALATE",IF(OR(I4="READABLE",I4="SAME"),"R","Q")),
C4="R",
IF(AY4&gt;=phaseMax,"ESCALATE",IF(OR(I4=nearTarget,I4="SAME"),"END","R")),
TRUE,"END"
)))</f>
        <v>A</v>
      </c>
      <c r="BD4" s="28" t="b">
        <f t="shared" si="19"/>
        <v>1</v>
      </c>
    </row>
    <row r="5">
      <c r="A5" s="28">
        <f t="shared" si="3"/>
        <v>4</v>
      </c>
      <c r="B5" s="28">
        <f t="shared" si="4"/>
        <v>6</v>
      </c>
      <c r="C5" s="28" t="str">
        <f t="shared" si="5"/>
        <v>A</v>
      </c>
      <c r="D5" s="28" t="str">
        <f t="array" ref="D5">IF($I4="","",XLOOKUP(C5,FSM_State_Map!A:A,FSM_State_Map!B:B,""))</f>
        <v>Distance Baseline</v>
      </c>
      <c r="E5" s="28" t="str">
        <f t="array" ref="E5">IF($I4="","",XLOOKUP(C5,FSM_State_Map!A:A,FSM_State_Map!C:C,""))</f>
        <v>DIST_BASELINE</v>
      </c>
      <c r="F5" s="28" t="str">
        <f t="array" ref="F5">IF($I4="","",XLOOKUP(E5,Phase_UI_Map!A:A,Phase_UI_Map!B:B,""))</f>
        <v>DIST_VA</v>
      </c>
      <c r="G5" s="28" t="str">
        <f t="array" ref="G5">IF($I4="","",XLOOKUP(E5,Phase_UI_Map!A:A,Phase_UI_Map!C:C,""))</f>
        <v>SNELLEN_FEET</v>
      </c>
      <c r="H5" s="28" t="str">
        <f t="array" ref="H5">IF($I4="","",XLOOKUP(E5,Phase_UI_Map!A:A,Phase_UI_Map!D:D,""))</f>
        <v>READABILITY</v>
      </c>
      <c r="I5" s="29" t="s">
        <v>218</v>
      </c>
      <c r="J5" s="28" t="str">
        <f>IFERROR(__xludf.DUMMYFUNCTION("IF($I4="""","""",IFERROR(INDEX(FILTER(Response_Lists!$B:$B,Response_Lists!$A:$A=$H5),1),""""))"),"READABLE")</f>
        <v>READABLE</v>
      </c>
      <c r="K5" s="28" t="str">
        <f>IFERROR(__xludf.DUMMYFUNCTION("IF($I4="""","""",IFERROR(INDEX(FILTER(Response_Lists!$B:$B,Response_Lists!$A:$A=$H5),2),""""))"),"NOT_READABLE")</f>
        <v>NOT_READABLE</v>
      </c>
      <c r="L5" s="28" t="str">
        <f>IFERROR(__xludf.DUMMYFUNCTION("IF($I4="""","""",IFERROR(INDEX(FILTER(Response_Lists!$B:$B,Response_Lists!$A:$A=$H5),3),""""))"),"BLURRY")</f>
        <v>BLURRY</v>
      </c>
      <c r="M5" s="28" t="str">
        <f>IFERROR(__xludf.DUMMYFUNCTION("IF($I4="""","""",IFERROR(INDEX(FILTER(Response_Lists!$B:$B,Response_Lists!$A:$A=$H5),4),""""))"),"")</f>
        <v/>
      </c>
      <c r="N5" s="28" t="str">
        <f>IFERROR(__xludf.DUMMYFUNCTION("IF($I4="""","""",IFERROR(INDEX(FILTER(Response_Lists!$B:$B,Response_Lists!$A:$A=$H5),5),""""))"),"")</f>
        <v/>
      </c>
      <c r="O5" s="28" t="str">
        <f>IFERROR(__xludf.DUMMYFUNCTION("IF($I4="""","""",IFERROR(INDEX(FILTER(Response_Lists!$B:$B,Response_Lists!$A:$A=$H5),6),""""))"),"")</f>
        <v/>
      </c>
      <c r="P5" s="28" t="str">
        <f t="shared" si="6"/>
        <v>Can you read this clearly?</v>
      </c>
      <c r="Q5" s="28" t="str">
        <f t="array" ref="Q5">IF($I4="","",XLOOKUP(C5,FSM_State_Map!A:A,FSM_State_Map!D:D,""))</f>
        <v>BIN</v>
      </c>
      <c r="R5" s="28" t="str">
        <f t="shared" si="7"/>
        <v>70_60_50</v>
      </c>
      <c r="S5" s="28">
        <f t="array" ref="S5">IF($I4="","",
IF(
  AND(C5="B",C4&lt;&gt;"B"),
  XLOOKUP($B5,Derived_Variables!$A:$A,Derived_Variables!$K:$K,0)
  + XLOOKUP($B5,Derived_Variables!$A:$A,Derived_Variables!$AE:$AE,0),
  S4+AM4
))</f>
        <v>-1.5</v>
      </c>
      <c r="T5" s="28">
        <f t="shared" ref="T5:U5" si="20">IF($I4="","",T4+AN4)</f>
        <v>-0.5</v>
      </c>
      <c r="U5" s="28">
        <f t="shared" si="20"/>
        <v>0</v>
      </c>
      <c r="V5" s="28">
        <f t="array" ref="V5">IF($I4="","",
IF(
  AND(C5="D",C4&lt;&gt;"D"),
  XLOOKUP($B5,Derived_Variables!$A:$A,Derived_Variables!$N:$N,0)
  + XLOOKUP($B5,Derived_Variables!$A:$A,Derived_Variables!$AE:$AE,0),
  V4+AP4
))</f>
        <v>-1</v>
      </c>
      <c r="W5" s="28">
        <f t="shared" ref="W5:X5" si="21">IF($I4="","",W4+AQ4)</f>
        <v>0</v>
      </c>
      <c r="X5" s="28">
        <f t="shared" si="21"/>
        <v>0</v>
      </c>
      <c r="Y5" s="28">
        <f t="array" ref="Y5">IF($I4="","",IF(AND(C5="P",C4&lt;&gt;"P"),IFERROR(XLOOKUP($B5,Lenso_Input!$A:$A,Lenso_Input!$E:$E,0),0),Y4+AS4))</f>
        <v>0</v>
      </c>
      <c r="Z5" s="28">
        <f t="array" ref="Z5">IF($I4="","",IF(AND(C5="Q",C4&lt;&gt;"Q"),IFERROR(XLOOKUP($B5,Lenso_Input!$A:$A,Lenso_Input!$I:$I,0),0),Z4+AT4))</f>
        <v>0</v>
      </c>
      <c r="AA5" s="28" t="str">
        <f t="array" ref="AA5">IF($I4="","",IF(XLOOKUP($B5,Derived_Variables!$A:$A,Derived_Variables!$R:$R,"6/6_target")="6/6_target","20_20_20","40_30_25"))</f>
        <v>20_20_20</v>
      </c>
      <c r="AB5" s="28">
        <f t="array" ref="AB5">IF($I4="","",XLOOKUP(LOWER(XLOOKUP($B5,Derived_Variables!$A:$A,Derived_Variables!$T:$T,"Standard"))&amp;"_sph_step",Calibration!$B:$B,Calibration!$C:$C,0.25))</f>
        <v>0.25</v>
      </c>
      <c r="AC5" s="28">
        <f t="array" ref="AC5">IF($I4="","",XLOOKUP(LOWER(XLOOKUP($B5,Derived_Variables!$A:$A,Derived_Variables!$T:$T,"Standard"))&amp;"_cyl_step",Calibration!$B:$B,Calibration!$C:$C,0.25))</f>
        <v>0.25</v>
      </c>
      <c r="AD5" s="28">
        <f t="array" ref="AD5">IF($I4="","",IF(OR(C5="E",C5="H"),LET(startStep,XLOOKUP("axis_start_step",Calibration!$B:$B,Calibration!$C:$C,5),step1,XLOOKUP("axis_reversal_step_1",Calibration!$B:$B,Calibration!$C:$C,3),step2,XLOOKUP("axis_reversal_step_2",Calibration!$B:$B,Calibration!$C:$C,1),IF(OR(C4&lt;&gt;C5,AZ5="",AZ5="SAME",AZ5="CANT_TELL",I5="",I5="SAME",I5="CANT_TELL"),startStep,IF(OR(AND(AZ5="BETTER_1",I5="BETTER_2"),AND(AZ5="BETTER_2",I5="BETTER_1")),IF(AD4&gt;step1,step1,step2),AD4))),0))</f>
        <v>0</v>
      </c>
      <c r="AE5" s="28" t="str">
        <f t="array" ref="AE5">IF($I4="","",XLOOKUP($B5,Derived_Variables!$A:$A,Derived_Variables!$AD:$AD,"No_Fog"))</f>
        <v>Strong_Fog</v>
      </c>
      <c r="AF5" s="28">
        <f t="array" ref="AF5">IF($I4="","",XLOOKUP($B5,Derived_Variables!$A:$A,Derived_Variables!$AE:$AE,0))</f>
        <v>1</v>
      </c>
      <c r="AG5" s="28" t="str">
        <f t="array" ref="AG5">IF($I4="","",XLOOKUP($B5,Derived_Variables!$A:$A,Derived_Variables!$AF:$AF,""))</f>
        <v>StepDown_0.25</v>
      </c>
      <c r="AH5" s="28" t="str">
        <f t="array" ref="AH5">IF($I4="","",XLOOKUP($B5,Derived_Variables!$A:$A,Derived_Variables!$AG:$AG,""))</f>
        <v>Low</v>
      </c>
      <c r="AI5" s="28" t="str">
        <f t="array" ref="AI5">IF($I4="","",XLOOKUP($B5,Derived_Variables!$A:$A,Derived_Variables!$AC:$AC,"Medium"))</f>
        <v>Low</v>
      </c>
      <c r="AJ5" s="28" t="b">
        <f t="array" ref="AJ5">IF($I4="","",XLOOKUP($B5,Derived_Variables!$A:$A,Derived_Variables!$Y:$Y,FALSE))</f>
        <v>0</v>
      </c>
      <c r="AK5" s="28" t="str">
        <f t="array" ref="AK5">IF($I4="","",XLOOKUP($B5,Derived_Variables!$A:$A,Derived_Variables!$AA:$AA,"Normal"))</f>
        <v>Slow</v>
      </c>
      <c r="AL5" s="28" t="str">
        <f t="array" ref="AL5">IF($I4="","",XLOOKUP($B5,Derived_Variables!$A:$A,Derived_Variables!$AB:$AB,"Normal"))</f>
        <v>Relaxed</v>
      </c>
      <c r="AM5" s="28">
        <f t="array" ref="AM5">IF($I5="","",IFS(C5="B",IF(OR(I5="NOT_READABLE",I5="BLURRY"),-AB5,0),C5="G",IFS(I5="RED_CLEARER",XLOOKUP("duochrome_red_step",Calibration!$B:$B,Calibration!$C:$C,-0.25),I5="GREEN_CLEARER",XLOOKUP("duochrome_green_step",Calibration!$B:$B,Calibration!$C:$C,0.25),I5="EQUAL",IF(XLOOKUP($B5,Derived_Variables!$A:$A,Derived_Variables!$S:$S,"Neutral")="Undercorrect",XLOOKUP("undercorrect_step",Calibration!$B:$B,Calibration!$C:$C,0.25),IF(XLOOKUP($B5,Derived_Variables!$A:$A,Derived_Variables!$S:$S,"Neutral")="Overcorrect",-XLOOKUP("overcorrect_step",Calibration!$B:$B,Calibration!$C:$C,0.25),0)),TRUE,0),C5="K",IF(I5="TOP_CLEARER",XLOOKUP("bino_balance_step",Calibration!$B:$B,Calibration!$C:$C,0.25),0),TRUE,0))</f>
        <v>0</v>
      </c>
      <c r="AN5" s="28">
        <f t="shared" si="10"/>
        <v>0</v>
      </c>
      <c r="AO5" s="28">
        <f t="shared" si="11"/>
        <v>0</v>
      </c>
      <c r="AP5" s="28">
        <f t="array" ref="AP5">IF($I5="","",IFS(C5="D",IF(OR(I5="NOT_READABLE",I5="BLURRY"),-AB5,0),C5="J",IFS(I5="RED_CLEARER",XLOOKUP("duochrome_red_step",Calibration!$B:$B,Calibration!$C:$C,-0.25),I5="GREEN_CLEARER",XLOOKUP("duochrome_green_step",Calibration!$B:$B,Calibration!$C:$C,0.25),I5="EQUAL",IF(XLOOKUP($B5,Derived_Variables!$A:$A,Derived_Variables!$S:$S,"Neutral")="Undercorrect",XLOOKUP("undercorrect_step",Calibration!$B:$B,Calibration!$C:$C,0.25),IF(XLOOKUP($B5,Derived_Variables!$A:$A,Derived_Variables!$S:$S,"Neutral")="Overcorrect",-XLOOKUP("overcorrect_step",Calibration!$B:$B,Calibration!$C:$C,0.25),0)),TRUE,0),C5="K",IF(I5="BOTTOM_CLEARER",XLOOKUP("bino_balance_step",Calibration!$B:$B,Calibration!$C:$C,0.25),0),TRUE,0))</f>
        <v>0</v>
      </c>
      <c r="AQ5" s="28">
        <f t="shared" si="12"/>
        <v>0</v>
      </c>
      <c r="AR5" s="28">
        <f t="shared" si="13"/>
        <v>0</v>
      </c>
      <c r="AS5" s="28">
        <f t="array" ref="AS5">IF($I5="","",IF(C5="P",IF(OR(I5="NOT_READABLE",I5="BLURRY"),XLOOKUP("near_add_step",Calibration!$B:$B,Calibration!$C:$C,0.25),0),IF(C5="R",IF(I5="NOT_CLEAR",XLOOKUP("near_add_step",Calibration!$B:$B,Calibration!$C:$C,0.25),0),0)))</f>
        <v>0</v>
      </c>
      <c r="AT5" s="28">
        <f t="array" ref="AT5">IF($I5="","",IF(C5="Q",IF(OR(I5="NOT_READABLE",I5="BLURRY"),XLOOKUP("near_add_step",Calibration!$B:$B,Calibration!$C:$C,0.25),0),IF(C5="R",IF(I5="NOT_CLEAR",XLOOKUP("near_add_step",Calibration!$B:$B,Calibration!$C:$C,0.25),0),0)))</f>
        <v>0</v>
      </c>
      <c r="AU5" s="28" t="str">
        <f t="array" ref="AU5">IF($I5="","",IF(G5="SNELLEN_FEET",IF(I5="READABLE",IFERROR(XLOOKUP(XLOOKUP(R5,Chart_Scale_Distance!B:B,Chart_Scale_Distance!A:A)+1,Chart_Scale_Distance!A:A,Chart_Scale_Distance!B:B),R5),R5),R5))</f>
        <v>40_30_25</v>
      </c>
      <c r="AV5" s="28">
        <f t="array" ref="AV5">IF($I4="","",IFERROR(XLOOKUP(R5,Chart_Scale_Distance!$B:$B,Chart_Scale_Distance!$A:$A,""),""))</f>
        <v>4</v>
      </c>
      <c r="AW5" s="28">
        <f t="array" ref="AW5">IF($I4="","",IFERROR(XLOOKUP(AA5,Chart_Scale_Distance!$B:$B,Chart_Scale_Distance!$A:$A,""),""))</f>
        <v>6</v>
      </c>
      <c r="AX5" s="28">
        <f t="shared" si="14"/>
        <v>0</v>
      </c>
      <c r="AY5" s="28">
        <f t="shared" si="15"/>
        <v>4</v>
      </c>
      <c r="AZ5" s="28" t="str">
        <f t="shared" si="16"/>
        <v/>
      </c>
      <c r="BA5" s="28">
        <f t="shared" si="17"/>
        <v>0</v>
      </c>
      <c r="BB5" s="28">
        <f t="shared" si="18"/>
        <v>0</v>
      </c>
      <c r="BC5" s="28" t="str">
        <f t="array" ref="BC5">IF($I5="","",LET(
conf,AI5,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duoMax,XLOOKUP($B5,Derived_Variables!$A:$A,Derived_Variables!$AI:$AI,4),
axisTol,XLOOKUP($B5,Derived_Variables!$A:$A,Derived_Variables!$W:$W,1),
maxStart,XLOOKUP($B5,Derived_Variables!$A:$A,Derived_Variables!$U:$U,1.25),
maxAR,XLOOKUP($B5,Derived_Variables!$A:$A,Derived_Variables!$V:$V,3),
anom,XLOOKUP($B5,Derived_Variables!$A:$A,Derived_Variables!$Z:$Z,FALSE),
reStart,XLOOKUP($B5,Derived_Variables!$A:$A,Derived_Variables!$K:$K,0),
leStart,XLOOKUP($B5,Derived_Variables!$A:$A,Derived_Variables!$N:$N,0),
reAR,XLOOKUP($B5,AR_Input!$A:$A,AR_Input!$B:$B,reStart),
leAR,XLOOKUP($B5,AR_Input!$A:$A,AR_Input!$E:$E,leStart),
reEsc,AND(anom,OR(ABS((S5+AM5)-reStart)&gt;maxStart,ABS((S5+AM5)-reAR)&gt;maxAR)),
leEsc,AND(anom,OR(ABS((V5+AP5)-leStart)&gt;maxStart,ABS((V5+AP5)-leAR)&gt;maxAR)),
phaseMax,IFS(
 AK5="Fast",
   IFS(
     OR(C5="B",C5="D"),XLOOKUP("timeout_coarse_fast",Calibration!$B:$B,Calibration!$C:$C,24),
     OR(C5="E",C5="F",C5="H",C5="I"),XLOOKUP("timeout_jcc_fast",Calibration!$B:$B,Calibration!$C:$C,10),
     OR(C5="G",C5="J"),XLOOKUP("timeout_duochrome_fast",Calibration!$B:$B,Calibration!$C:$C,8),
     C5="K",XLOOKUP("timeout_bino_fast",Calibration!$B:$B,Calibration!$C:$C,10),
     OR(C5="P",C5="Q",C5="R"),XLOOKUP("timeout_near_fast",Calibration!$B:$B,Calibration!$C:$C,16),
     TRUE,XLOOKUP("timeout_coarse_fast",Calibration!$B:$B,Calibration!$C:$C,24)
   ),
 AK5="Normal",
   IFS(
     OR(C5="B",C5="D"),XLOOKUP("timeout_coarse_normal",Calibration!$B:$B,Calibration!$C:$C,36),
     OR(C5="E",C5="F",C5="H",C5="I"),XLOOKUP("timeout_jcc_normal",Calibration!$B:$B,Calibration!$C:$C,14),
     OR(C5="G",C5="J"),XLOOKUP("timeout_duochrome_normal",Calibration!$B:$B,Calibration!$C:$C,10),
     C5="K",XLOOKUP("timeout_bino_normal",Calibration!$B:$B,Calibration!$C:$C,14),
     OR(C5="P",C5="Q",C5="R"),XLOOKUP("timeout_near_normal",Calibration!$B:$B,Calibration!$C:$C,22),
     TRUE,XLOOKUP("timeout_coarse_normal",Calibration!$B:$B,Calibration!$C:$C,36)
   ),
 TRUE,
   IFS(
     OR(C5="B",C5="D"),XLOOKUP("timeout_coarse_slow",Calibration!$B:$B,Calibration!$C:$C,48),
     OR(C5="E",C5="F",C5="H",C5="I"),XLOOKUP("timeout_jcc_slow",Calibration!$B:$B,Calibration!$C:$C,18),
     OR(C5="G",C5="J"),XLOOKUP("timeout_duochrome_slow",Calibration!$B:$B,Calibration!$C:$C,12),
     C5="K",XLOOKUP("timeout_bino_slow",Calibration!$B:$B,Calibration!$C:$C,18),
     OR(C5="P",C5="Q",C5="R"),XLOOKUP("timeout_near_slow",Calibration!$B:$B,Calibration!$C:$C,28),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AJ5=TRUE,"ESCALATE",
C5="A",
IF(OR(I5="NOT_READABLE",I5="BLURRY",AND(R5="20_20_20",I5="READABLE")),"B","A"),
C5="B",
IF(reEsc,"ESCALATE",IF(AY5&gt;=phaseMax,"ESCALATE",IF(AND(AV5&gt;=AW5,I5="READABLE"),"E","B"))),
C5="E",
IF(AY5&gt;=phaseMax,"ESCALATE",IF(OR(I5="SAME",I5="CANT_TELL",AD5&lt;axisTol),"F","E")),
C5="F",
IF(AY5&gt;=phaseMax,"ESCALATE",IF(AX5&gt;=powerSameN,"G","F")),
C5="G",
IF(AY5&gt;=phaseMax,"ESCALATE",IF(OR(AX5&gt;=duoEqualN,BB5&gt;=duoMax),"D","G")),
C5="D",
IF(leEsc,"ESCALATE",IF(AY5&gt;=phaseMax,"ESCALATE",IF(AND(AV5&gt;=AW5,I5="READABLE"),"H","D"))),
C5="H",
IF(AY5&gt;=phaseMax,"ESCALATE",IF(OR(I5="SAME",I5="CANT_TELL",AD5&lt;axisTol),"I","H")),
C5="I",
IF(AY5&gt;=phaseMax,"ESCALATE",IF(AX5&gt;=powerSameN,"J","I")),
C5="J",
IF(AY5&gt;=phaseMax,"ESCALATE",IF(OR(AX5&gt;=duoEqualN,BB5&gt;=duoMax),"K","J")),
C5="K",
IF(AY5&gt;=phaseMax,"ESCALATE",IF(AX5&gt;=binoSameN,IF(XLOOKUP($B5,Derived_Variables!$A:$A,Derived_Variables!$AJ:$AJ,FALSE)=TRUE,"P","END"),"K")),
C5="P",
IF(AY5&gt;=phaseMax,"ESCALATE",IF(OR(I5="READABLE",I5="SAME"),"Q","P")),
C5="Q",
IF(AY5&gt;=phaseMax,"ESCALATE",IF(OR(I5="READABLE",I5="SAME"),"R","Q")),
C5="R",
IF(AY5&gt;=phaseMax,"ESCALATE",IF(OR(I5=nearTarget,I5="SAME"),"END","R")),
TRUE,"END"
)))</f>
        <v>A</v>
      </c>
      <c r="BD5" s="28" t="b">
        <f t="shared" si="19"/>
        <v>1</v>
      </c>
    </row>
    <row r="6">
      <c r="A6" s="28">
        <f t="shared" si="3"/>
        <v>5</v>
      </c>
      <c r="B6" s="28">
        <f t="shared" si="4"/>
        <v>6</v>
      </c>
      <c r="C6" s="28" t="str">
        <f t="shared" si="5"/>
        <v>A</v>
      </c>
      <c r="D6" s="28" t="str">
        <f t="array" ref="D6">IF($I5="","",XLOOKUP(C6,FSM_State_Map!A:A,FSM_State_Map!B:B,""))</f>
        <v>Distance Baseline</v>
      </c>
      <c r="E6" s="28" t="str">
        <f t="array" ref="E6">IF($I5="","",XLOOKUP(C6,FSM_State_Map!A:A,FSM_State_Map!C:C,""))</f>
        <v>DIST_BASELINE</v>
      </c>
      <c r="F6" s="28" t="str">
        <f t="array" ref="F6">IF($I5="","",XLOOKUP(E6,Phase_UI_Map!A:A,Phase_UI_Map!B:B,""))</f>
        <v>DIST_VA</v>
      </c>
      <c r="G6" s="28" t="str">
        <f t="array" ref="G6">IF($I5="","",XLOOKUP(E6,Phase_UI_Map!A:A,Phase_UI_Map!C:C,""))</f>
        <v>SNELLEN_FEET</v>
      </c>
      <c r="H6" s="28" t="str">
        <f t="array" ref="H6">IF($I5="","",XLOOKUP(E6,Phase_UI_Map!A:A,Phase_UI_Map!D:D,""))</f>
        <v>READABILITY</v>
      </c>
      <c r="I6" s="29" t="s">
        <v>218</v>
      </c>
      <c r="J6" s="28" t="str">
        <f>IFERROR(__xludf.DUMMYFUNCTION("IF($I5="""","""",IFERROR(INDEX(FILTER(Response_Lists!$B:$B,Response_Lists!$A:$A=$H6),1),""""))"),"READABLE")</f>
        <v>READABLE</v>
      </c>
      <c r="K6" s="28" t="str">
        <f>IFERROR(__xludf.DUMMYFUNCTION("IF($I5="""","""",IFERROR(INDEX(FILTER(Response_Lists!$B:$B,Response_Lists!$A:$A=$H6),2),""""))"),"NOT_READABLE")</f>
        <v>NOT_READABLE</v>
      </c>
      <c r="L6" s="28" t="str">
        <f>IFERROR(__xludf.DUMMYFUNCTION("IF($I5="""","""",IFERROR(INDEX(FILTER(Response_Lists!$B:$B,Response_Lists!$A:$A=$H6),3),""""))"),"BLURRY")</f>
        <v>BLURRY</v>
      </c>
      <c r="M6" s="28" t="str">
        <f>IFERROR(__xludf.DUMMYFUNCTION("IF($I5="""","""",IFERROR(INDEX(FILTER(Response_Lists!$B:$B,Response_Lists!$A:$A=$H6),4),""""))"),"")</f>
        <v/>
      </c>
      <c r="N6" s="28" t="str">
        <f>IFERROR(__xludf.DUMMYFUNCTION("IF($I5="""","""",IFERROR(INDEX(FILTER(Response_Lists!$B:$B,Response_Lists!$A:$A=$H6),5),""""))"),"")</f>
        <v/>
      </c>
      <c r="O6" s="28" t="str">
        <f>IFERROR(__xludf.DUMMYFUNCTION("IF($I5="""","""",IFERROR(INDEX(FILTER(Response_Lists!$B:$B,Response_Lists!$A:$A=$H6),6),""""))"),"")</f>
        <v/>
      </c>
      <c r="P6" s="28" t="str">
        <f t="shared" si="6"/>
        <v>Can you read this clearly?</v>
      </c>
      <c r="Q6" s="28" t="str">
        <f t="array" ref="Q6">IF($I5="","",XLOOKUP(C6,FSM_State_Map!A:A,FSM_State_Map!D:D,""))</f>
        <v>BIN</v>
      </c>
      <c r="R6" s="28" t="str">
        <f t="shared" si="7"/>
        <v>40_30_25</v>
      </c>
      <c r="S6" s="28">
        <f t="array" ref="S6">IF($I5="","",
IF(
  AND(C6="B",C5&lt;&gt;"B"),
  XLOOKUP($B6,Derived_Variables!$A:$A,Derived_Variables!$K:$K,0)
  + XLOOKUP($B6,Derived_Variables!$A:$A,Derived_Variables!$AE:$AE,0),
  S5+AM5
))</f>
        <v>-1.5</v>
      </c>
      <c r="T6" s="28">
        <f t="shared" ref="T6:U6" si="22">IF($I5="","",T5+AN5)</f>
        <v>-0.5</v>
      </c>
      <c r="U6" s="28">
        <f t="shared" si="22"/>
        <v>0</v>
      </c>
      <c r="V6" s="28">
        <f t="array" ref="V6">IF($I5="","",
IF(
  AND(C6="D",C5&lt;&gt;"D"),
  XLOOKUP($B6,Derived_Variables!$A:$A,Derived_Variables!$N:$N,0)
  + XLOOKUP($B6,Derived_Variables!$A:$A,Derived_Variables!$AE:$AE,0),
  V5+AP5
))</f>
        <v>-1</v>
      </c>
      <c r="W6" s="28">
        <f t="shared" ref="W6:X6" si="23">IF($I5="","",W5+AQ5)</f>
        <v>0</v>
      </c>
      <c r="X6" s="28">
        <f t="shared" si="23"/>
        <v>0</v>
      </c>
      <c r="Y6" s="28">
        <f t="array" ref="Y6">IF($I5="","",IF(AND(C6="P",C5&lt;&gt;"P"),IFERROR(XLOOKUP($B6,Lenso_Input!$A:$A,Lenso_Input!$E:$E,0),0),Y5+AS5))</f>
        <v>0</v>
      </c>
      <c r="Z6" s="28">
        <f t="array" ref="Z6">IF($I5="","",IF(AND(C6="Q",C5&lt;&gt;"Q"),IFERROR(XLOOKUP($B6,Lenso_Input!$A:$A,Lenso_Input!$I:$I,0),0),Z5+AT5))</f>
        <v>0</v>
      </c>
      <c r="AA6" s="28" t="str">
        <f t="array" ref="AA6">IF($I5="","",IF(XLOOKUP($B6,Derived_Variables!$A:$A,Derived_Variables!$R:$R,"6/6_target")="6/6_target","20_20_20","40_30_25"))</f>
        <v>20_20_20</v>
      </c>
      <c r="AB6" s="28">
        <f t="array" ref="AB6">IF($I5="","",XLOOKUP(LOWER(XLOOKUP($B6,Derived_Variables!$A:$A,Derived_Variables!$T:$T,"Standard"))&amp;"_sph_step",Calibration!$B:$B,Calibration!$C:$C,0.25))</f>
        <v>0.25</v>
      </c>
      <c r="AC6" s="28">
        <f t="array" ref="AC6">IF($I5="","",XLOOKUP(LOWER(XLOOKUP($B6,Derived_Variables!$A:$A,Derived_Variables!$T:$T,"Standard"))&amp;"_cyl_step",Calibration!$B:$B,Calibration!$C:$C,0.25))</f>
        <v>0.25</v>
      </c>
      <c r="AD6" s="28">
        <f t="array" ref="AD6">IF($I5="","",IF(OR(C6="E",C6="H"),LET(startStep,XLOOKUP("axis_start_step",Calibration!$B:$B,Calibration!$C:$C,5),step1,XLOOKUP("axis_reversal_step_1",Calibration!$B:$B,Calibration!$C:$C,3),step2,XLOOKUP("axis_reversal_step_2",Calibration!$B:$B,Calibration!$C:$C,1),IF(OR(C5&lt;&gt;C6,AZ6="",AZ6="SAME",AZ6="CANT_TELL",I6="",I6="SAME",I6="CANT_TELL"),startStep,IF(OR(AND(AZ6="BETTER_1",I6="BETTER_2"),AND(AZ6="BETTER_2",I6="BETTER_1")),IF(AD5&gt;step1,step1,step2),AD5))),0))</f>
        <v>0</v>
      </c>
      <c r="AE6" s="28" t="str">
        <f t="array" ref="AE6">IF($I5="","",XLOOKUP($B6,Derived_Variables!$A:$A,Derived_Variables!$AD:$AD,"No_Fog"))</f>
        <v>Strong_Fog</v>
      </c>
      <c r="AF6" s="28">
        <f t="array" ref="AF6">IF($I5="","",XLOOKUP($B6,Derived_Variables!$A:$A,Derived_Variables!$AE:$AE,0))</f>
        <v>1</v>
      </c>
      <c r="AG6" s="28" t="str">
        <f t="array" ref="AG6">IF($I5="","",XLOOKUP($B6,Derived_Variables!$A:$A,Derived_Variables!$AF:$AF,""))</f>
        <v>StepDown_0.25</v>
      </c>
      <c r="AH6" s="28" t="str">
        <f t="array" ref="AH6">IF($I5="","",XLOOKUP($B6,Derived_Variables!$A:$A,Derived_Variables!$AG:$AG,""))</f>
        <v>Low</v>
      </c>
      <c r="AI6" s="28" t="str">
        <f t="array" ref="AI6">IF($I5="","",XLOOKUP($B6,Derived_Variables!$A:$A,Derived_Variables!$AC:$AC,"Medium"))</f>
        <v>Low</v>
      </c>
      <c r="AJ6" s="28" t="b">
        <f t="array" ref="AJ6">IF($I5="","",XLOOKUP($B6,Derived_Variables!$A:$A,Derived_Variables!$Y:$Y,FALSE))</f>
        <v>0</v>
      </c>
      <c r="AK6" s="28" t="str">
        <f t="array" ref="AK6">IF($I5="","",XLOOKUP($B6,Derived_Variables!$A:$A,Derived_Variables!$AA:$AA,"Normal"))</f>
        <v>Slow</v>
      </c>
      <c r="AL6" s="28" t="str">
        <f t="array" ref="AL6">IF($I5="","",XLOOKUP($B6,Derived_Variables!$A:$A,Derived_Variables!$AB:$AB,"Normal"))</f>
        <v>Relaxed</v>
      </c>
      <c r="AM6" s="28">
        <f t="array" ref="AM6">IF($I6="","",IFS(C6="B",IF(OR(I6="NOT_READABLE",I6="BLURRY"),-AB6,0),C6="G",IFS(I6="RED_CLEARER",XLOOKUP("duochrome_red_step",Calibration!$B:$B,Calibration!$C:$C,-0.25),I6="GREEN_CLEARER",XLOOKUP("duochrome_green_step",Calibration!$B:$B,Calibration!$C:$C,0.25),I6="EQUAL",IF(XLOOKUP($B6,Derived_Variables!$A:$A,Derived_Variables!$S:$S,"Neutral")="Undercorrect",XLOOKUP("undercorrect_step",Calibration!$B:$B,Calibration!$C:$C,0.25),IF(XLOOKUP($B6,Derived_Variables!$A:$A,Derived_Variables!$S:$S,"Neutral")="Overcorrect",-XLOOKUP("overcorrect_step",Calibration!$B:$B,Calibration!$C:$C,0.25),0)),TRUE,0),C6="K",IF(I6="TOP_CLEARER",XLOOKUP("bino_balance_step",Calibration!$B:$B,Calibration!$C:$C,0.25),0),TRUE,0))</f>
        <v>0</v>
      </c>
      <c r="AN6" s="28">
        <f t="shared" si="10"/>
        <v>0</v>
      </c>
      <c r="AO6" s="28">
        <f t="shared" si="11"/>
        <v>0</v>
      </c>
      <c r="AP6" s="28">
        <f t="array" ref="AP6">IF($I6="","",IFS(C6="D",IF(OR(I6="NOT_READABLE",I6="BLURRY"),-AB6,0),C6="J",IFS(I6="RED_CLEARER",XLOOKUP("duochrome_red_step",Calibration!$B:$B,Calibration!$C:$C,-0.25),I6="GREEN_CLEARER",XLOOKUP("duochrome_green_step",Calibration!$B:$B,Calibration!$C:$C,0.25),I6="EQUAL",IF(XLOOKUP($B6,Derived_Variables!$A:$A,Derived_Variables!$S:$S,"Neutral")="Undercorrect",XLOOKUP("undercorrect_step",Calibration!$B:$B,Calibration!$C:$C,0.25),IF(XLOOKUP($B6,Derived_Variables!$A:$A,Derived_Variables!$S:$S,"Neutral")="Overcorrect",-XLOOKUP("overcorrect_step",Calibration!$B:$B,Calibration!$C:$C,0.25),0)),TRUE,0),C6="K",IF(I6="BOTTOM_CLEARER",XLOOKUP("bino_balance_step",Calibration!$B:$B,Calibration!$C:$C,0.25),0),TRUE,0))</f>
        <v>0</v>
      </c>
      <c r="AQ6" s="28">
        <f t="shared" si="12"/>
        <v>0</v>
      </c>
      <c r="AR6" s="28">
        <f t="shared" si="13"/>
        <v>0</v>
      </c>
      <c r="AS6" s="28">
        <f t="array" ref="AS6">IF($I6="","",IF(C6="P",IF(OR(I6="NOT_READABLE",I6="BLURRY"),XLOOKUP("near_add_step",Calibration!$B:$B,Calibration!$C:$C,0.25),0),IF(C6="R",IF(I6="NOT_CLEAR",XLOOKUP("near_add_step",Calibration!$B:$B,Calibration!$C:$C,0.25),0),0)))</f>
        <v>0</v>
      </c>
      <c r="AT6" s="28">
        <f t="array" ref="AT6">IF($I6="","",IF(C6="Q",IF(OR(I6="NOT_READABLE",I6="BLURRY"),XLOOKUP("near_add_step",Calibration!$B:$B,Calibration!$C:$C,0.25),0),IF(C6="R",IF(I6="NOT_CLEAR",XLOOKUP("near_add_step",Calibration!$B:$B,Calibration!$C:$C,0.25),0),0)))</f>
        <v>0</v>
      </c>
      <c r="AU6" s="28" t="str">
        <f t="array" ref="AU6">IF($I6="","",IF(G6="SNELLEN_FEET",IF(I6="READABLE",IFERROR(XLOOKUP(XLOOKUP(R6,Chart_Scale_Distance!B:B,Chart_Scale_Distance!A:A)+1,Chart_Scale_Distance!A:A,Chart_Scale_Distance!B:B),R6),R6),R6))</f>
        <v>20_20_20</v>
      </c>
      <c r="AV6" s="28">
        <f t="array" ref="AV6">IF($I5="","",IFERROR(XLOOKUP(R6,Chart_Scale_Distance!$B:$B,Chart_Scale_Distance!$A:$A,""),""))</f>
        <v>5</v>
      </c>
      <c r="AW6" s="28">
        <f t="array" ref="AW6">IF($I5="","",IFERROR(XLOOKUP(AA6,Chart_Scale_Distance!$B:$B,Chart_Scale_Distance!$A:$A,""),""))</f>
        <v>6</v>
      </c>
      <c r="AX6" s="28">
        <f t="shared" si="14"/>
        <v>0</v>
      </c>
      <c r="AY6" s="28">
        <f t="shared" si="15"/>
        <v>5</v>
      </c>
      <c r="AZ6" s="28" t="str">
        <f t="shared" si="16"/>
        <v/>
      </c>
      <c r="BA6" s="28">
        <f t="shared" si="17"/>
        <v>0</v>
      </c>
      <c r="BB6" s="28">
        <f t="shared" si="18"/>
        <v>0</v>
      </c>
      <c r="BC6" s="28" t="str">
        <f t="array" ref="BC6">IF($I6="","",LET(
conf,AI6,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duoMax,XLOOKUP($B6,Derived_Variables!$A:$A,Derived_Variables!$AI:$AI,4),
axisTol,XLOOKUP($B6,Derived_Variables!$A:$A,Derived_Variables!$W:$W,1),
maxStart,XLOOKUP($B6,Derived_Variables!$A:$A,Derived_Variables!$U:$U,1.25),
maxAR,XLOOKUP($B6,Derived_Variables!$A:$A,Derived_Variables!$V:$V,3),
anom,XLOOKUP($B6,Derived_Variables!$A:$A,Derived_Variables!$Z:$Z,FALSE),
reStart,XLOOKUP($B6,Derived_Variables!$A:$A,Derived_Variables!$K:$K,0),
leStart,XLOOKUP($B6,Derived_Variables!$A:$A,Derived_Variables!$N:$N,0),
reAR,XLOOKUP($B6,AR_Input!$A:$A,AR_Input!$B:$B,reStart),
leAR,XLOOKUP($B6,AR_Input!$A:$A,AR_Input!$E:$E,leStart),
reEsc,AND(anom,OR(ABS((S6+AM6)-reStart)&gt;maxStart,ABS((S6+AM6)-reAR)&gt;maxAR)),
leEsc,AND(anom,OR(ABS((V6+AP6)-leStart)&gt;maxStart,ABS((V6+AP6)-leAR)&gt;maxAR)),
phaseMax,IFS(
 AK6="Fast",
   IFS(
     OR(C6="B",C6="D"),XLOOKUP("timeout_coarse_fast",Calibration!$B:$B,Calibration!$C:$C,24),
     OR(C6="E",C6="F",C6="H",C6="I"),XLOOKUP("timeout_jcc_fast",Calibration!$B:$B,Calibration!$C:$C,10),
     OR(C6="G",C6="J"),XLOOKUP("timeout_duochrome_fast",Calibration!$B:$B,Calibration!$C:$C,8),
     C6="K",XLOOKUP("timeout_bino_fast",Calibration!$B:$B,Calibration!$C:$C,10),
     OR(C6="P",C6="Q",C6="R"),XLOOKUP("timeout_near_fast",Calibration!$B:$B,Calibration!$C:$C,16),
     TRUE,XLOOKUP("timeout_coarse_fast",Calibration!$B:$B,Calibration!$C:$C,24)
   ),
 AK6="Normal",
   IFS(
     OR(C6="B",C6="D"),XLOOKUP("timeout_coarse_normal",Calibration!$B:$B,Calibration!$C:$C,36),
     OR(C6="E",C6="F",C6="H",C6="I"),XLOOKUP("timeout_jcc_normal",Calibration!$B:$B,Calibration!$C:$C,14),
     OR(C6="G",C6="J"),XLOOKUP("timeout_duochrome_normal",Calibration!$B:$B,Calibration!$C:$C,10),
     C6="K",XLOOKUP("timeout_bino_normal",Calibration!$B:$B,Calibration!$C:$C,14),
     OR(C6="P",C6="Q",C6="R"),XLOOKUP("timeout_near_normal",Calibration!$B:$B,Calibration!$C:$C,22),
     TRUE,XLOOKUP("timeout_coarse_normal",Calibration!$B:$B,Calibration!$C:$C,36)
   ),
 TRUE,
   IFS(
     OR(C6="B",C6="D"),XLOOKUP("timeout_coarse_slow",Calibration!$B:$B,Calibration!$C:$C,48),
     OR(C6="E",C6="F",C6="H",C6="I"),XLOOKUP("timeout_jcc_slow",Calibration!$B:$B,Calibration!$C:$C,18),
     OR(C6="G",C6="J"),XLOOKUP("timeout_duochrome_slow",Calibration!$B:$B,Calibration!$C:$C,12),
     C6="K",XLOOKUP("timeout_bino_slow",Calibration!$B:$B,Calibration!$C:$C,18),
     OR(C6="P",C6="Q",C6="R"),XLOOKUP("timeout_near_slow",Calibration!$B:$B,Calibration!$C:$C,28),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AJ6=TRUE,"ESCALATE",
C6="A",
IF(OR(I6="NOT_READABLE",I6="BLURRY",AND(R6="20_20_20",I6="READABLE")),"B","A"),
C6="B",
IF(reEsc,"ESCALATE",IF(AY6&gt;=phaseMax,"ESCALATE",IF(AND(AV6&gt;=AW6,I6="READABLE"),"E","B"))),
C6="E",
IF(AY6&gt;=phaseMax,"ESCALATE",IF(OR(I6="SAME",I6="CANT_TELL",AD6&lt;axisTol),"F","E")),
C6="F",
IF(AY6&gt;=phaseMax,"ESCALATE",IF(AX6&gt;=powerSameN,"G","F")),
C6="G",
IF(AY6&gt;=phaseMax,"ESCALATE",IF(OR(AX6&gt;=duoEqualN,BB6&gt;=duoMax),"D","G")),
C6="D",
IF(leEsc,"ESCALATE",IF(AY6&gt;=phaseMax,"ESCALATE",IF(AND(AV6&gt;=AW6,I6="READABLE"),"H","D"))),
C6="H",
IF(AY6&gt;=phaseMax,"ESCALATE",IF(OR(I6="SAME",I6="CANT_TELL",AD6&lt;axisTol),"I","H")),
C6="I",
IF(AY6&gt;=phaseMax,"ESCALATE",IF(AX6&gt;=powerSameN,"J","I")),
C6="J",
IF(AY6&gt;=phaseMax,"ESCALATE",IF(OR(AX6&gt;=duoEqualN,BB6&gt;=duoMax),"K","J")),
C6="K",
IF(AY6&gt;=phaseMax,"ESCALATE",IF(AX6&gt;=binoSameN,IF(XLOOKUP($B6,Derived_Variables!$A:$A,Derived_Variables!$AJ:$AJ,FALSE)=TRUE,"P","END"),"K")),
C6="P",
IF(AY6&gt;=phaseMax,"ESCALATE",IF(OR(I6="READABLE",I6="SAME"),"Q","P")),
C6="Q",
IF(AY6&gt;=phaseMax,"ESCALATE",IF(OR(I6="READABLE",I6="SAME"),"R","Q")),
C6="R",
IF(AY6&gt;=phaseMax,"ESCALATE",IF(OR(I6=nearTarget,I6="SAME"),"END","R")),
TRUE,"END"
)))</f>
        <v>A</v>
      </c>
      <c r="BD6" s="28" t="b">
        <f t="shared" si="19"/>
        <v>1</v>
      </c>
    </row>
    <row r="7">
      <c r="A7" s="28">
        <f t="shared" si="3"/>
        <v>6</v>
      </c>
      <c r="B7" s="28">
        <f t="shared" si="4"/>
        <v>6</v>
      </c>
      <c r="C7" s="28" t="str">
        <f t="shared" si="5"/>
        <v>A</v>
      </c>
      <c r="D7" s="28" t="str">
        <f t="array" ref="D7">IF($I6="","",XLOOKUP(C7,FSM_State_Map!A:A,FSM_State_Map!B:B,""))</f>
        <v>Distance Baseline</v>
      </c>
      <c r="E7" s="28" t="str">
        <f t="array" ref="E7">IF($I6="","",XLOOKUP(C7,FSM_State_Map!A:A,FSM_State_Map!C:C,""))</f>
        <v>DIST_BASELINE</v>
      </c>
      <c r="F7" s="28" t="str">
        <f t="array" ref="F7">IF($I6="","",XLOOKUP(E7,Phase_UI_Map!A:A,Phase_UI_Map!B:B,""))</f>
        <v>DIST_VA</v>
      </c>
      <c r="G7" s="28" t="str">
        <f t="array" ref="G7">IF($I6="","",XLOOKUP(E7,Phase_UI_Map!A:A,Phase_UI_Map!C:C,""))</f>
        <v>SNELLEN_FEET</v>
      </c>
      <c r="H7" s="28" t="str">
        <f t="array" ref="H7">IF($I6="","",XLOOKUP(E7,Phase_UI_Map!A:A,Phase_UI_Map!D:D,""))</f>
        <v>READABILITY</v>
      </c>
      <c r="I7" s="29" t="s">
        <v>218</v>
      </c>
      <c r="J7" s="28" t="str">
        <f>IFERROR(__xludf.DUMMYFUNCTION("IF($I6="""","""",IFERROR(INDEX(FILTER(Response_Lists!$B:$B,Response_Lists!$A:$A=$H7),1),""""))"),"READABLE")</f>
        <v>READABLE</v>
      </c>
      <c r="K7" s="28" t="str">
        <f>IFERROR(__xludf.DUMMYFUNCTION("IF($I6="""","""",IFERROR(INDEX(FILTER(Response_Lists!$B:$B,Response_Lists!$A:$A=$H7),2),""""))"),"NOT_READABLE")</f>
        <v>NOT_READABLE</v>
      </c>
      <c r="L7" s="28" t="str">
        <f>IFERROR(__xludf.DUMMYFUNCTION("IF($I6="""","""",IFERROR(INDEX(FILTER(Response_Lists!$B:$B,Response_Lists!$A:$A=$H7),3),""""))"),"BLURRY")</f>
        <v>BLURRY</v>
      </c>
      <c r="M7" s="28" t="str">
        <f>IFERROR(__xludf.DUMMYFUNCTION("IF($I6="""","""",IFERROR(INDEX(FILTER(Response_Lists!$B:$B,Response_Lists!$A:$A=$H7),4),""""))"),"")</f>
        <v/>
      </c>
      <c r="N7" s="28" t="str">
        <f>IFERROR(__xludf.DUMMYFUNCTION("IF($I6="""","""",IFERROR(INDEX(FILTER(Response_Lists!$B:$B,Response_Lists!$A:$A=$H7),5),""""))"),"")</f>
        <v/>
      </c>
      <c r="O7" s="28" t="str">
        <f>IFERROR(__xludf.DUMMYFUNCTION("IF($I6="""","""",IFERROR(INDEX(FILTER(Response_Lists!$B:$B,Response_Lists!$A:$A=$H7),6),""""))"),"")</f>
        <v/>
      </c>
      <c r="P7" s="28" t="str">
        <f t="shared" si="6"/>
        <v>Can you read this clearly?</v>
      </c>
      <c r="Q7" s="28" t="str">
        <f t="array" ref="Q7">IF($I6="","",XLOOKUP(C7,FSM_State_Map!A:A,FSM_State_Map!D:D,""))</f>
        <v>BIN</v>
      </c>
      <c r="R7" s="28" t="str">
        <f t="shared" si="7"/>
        <v>20_20_20</v>
      </c>
      <c r="S7" s="28">
        <f t="array" ref="S7">IF($I6="","",
IF(
  AND(C7="B",C6&lt;&gt;"B"),
  XLOOKUP($B7,Derived_Variables!$A:$A,Derived_Variables!$K:$K,0)
  + XLOOKUP($B7,Derived_Variables!$A:$A,Derived_Variables!$AE:$AE,0),
  S6+AM6
))</f>
        <v>-1.5</v>
      </c>
      <c r="T7" s="28">
        <f t="shared" ref="T7:U7" si="24">IF($I6="","",T6+AN6)</f>
        <v>-0.5</v>
      </c>
      <c r="U7" s="28">
        <f t="shared" si="24"/>
        <v>0</v>
      </c>
      <c r="V7" s="28">
        <f t="array" ref="V7">IF($I6="","",
IF(
  AND(C7="D",C6&lt;&gt;"D"),
  XLOOKUP($B7,Derived_Variables!$A:$A,Derived_Variables!$N:$N,0)
  + XLOOKUP($B7,Derived_Variables!$A:$A,Derived_Variables!$AE:$AE,0),
  V6+AP6
))</f>
        <v>-1</v>
      </c>
      <c r="W7" s="28">
        <f t="shared" ref="W7:X7" si="25">IF($I6="","",W6+AQ6)</f>
        <v>0</v>
      </c>
      <c r="X7" s="28">
        <f t="shared" si="25"/>
        <v>0</v>
      </c>
      <c r="Y7" s="28">
        <f t="array" ref="Y7">IF($I6="","",IF(AND(C7="P",C6&lt;&gt;"P"),IFERROR(XLOOKUP($B7,Lenso_Input!$A:$A,Lenso_Input!$E:$E,0),0),Y6+AS6))</f>
        <v>0</v>
      </c>
      <c r="Z7" s="28">
        <f t="array" ref="Z7">IF($I6="","",IF(AND(C7="Q",C6&lt;&gt;"Q"),IFERROR(XLOOKUP($B7,Lenso_Input!$A:$A,Lenso_Input!$I:$I,0),0),Z6+AT6))</f>
        <v>0</v>
      </c>
      <c r="AA7" s="28" t="str">
        <f t="array" ref="AA7">IF($I6="","",IF(XLOOKUP($B7,Derived_Variables!$A:$A,Derived_Variables!$R:$R,"6/6_target")="6/6_target","20_20_20","40_30_25"))</f>
        <v>20_20_20</v>
      </c>
      <c r="AB7" s="28">
        <f t="array" ref="AB7">IF($I6="","",XLOOKUP(LOWER(XLOOKUP($B7,Derived_Variables!$A:$A,Derived_Variables!$T:$T,"Standard"))&amp;"_sph_step",Calibration!$B:$B,Calibration!$C:$C,0.25))</f>
        <v>0.25</v>
      </c>
      <c r="AC7" s="28">
        <f t="array" ref="AC7">IF($I6="","",XLOOKUP(LOWER(XLOOKUP($B7,Derived_Variables!$A:$A,Derived_Variables!$T:$T,"Standard"))&amp;"_cyl_step",Calibration!$B:$B,Calibration!$C:$C,0.25))</f>
        <v>0.25</v>
      </c>
      <c r="AD7" s="28">
        <f t="array" ref="AD7">IF($I6="","",IF(OR(C7="E",C7="H"),LET(startStep,XLOOKUP("axis_start_step",Calibration!$B:$B,Calibration!$C:$C,5),step1,XLOOKUP("axis_reversal_step_1",Calibration!$B:$B,Calibration!$C:$C,3),step2,XLOOKUP("axis_reversal_step_2",Calibration!$B:$B,Calibration!$C:$C,1),IF(OR(C6&lt;&gt;C7,AZ7="",AZ7="SAME",AZ7="CANT_TELL",I7="",I7="SAME",I7="CANT_TELL"),startStep,IF(OR(AND(AZ7="BETTER_1",I7="BETTER_2"),AND(AZ7="BETTER_2",I7="BETTER_1")),IF(AD6&gt;step1,step1,step2),AD6))),0))</f>
        <v>0</v>
      </c>
      <c r="AE7" s="28" t="str">
        <f t="array" ref="AE7">IF($I6="","",XLOOKUP($B7,Derived_Variables!$A:$A,Derived_Variables!$AD:$AD,"No_Fog"))</f>
        <v>Strong_Fog</v>
      </c>
      <c r="AF7" s="28">
        <f t="array" ref="AF7">IF($I6="","",XLOOKUP($B7,Derived_Variables!$A:$A,Derived_Variables!$AE:$AE,0))</f>
        <v>1</v>
      </c>
      <c r="AG7" s="28" t="str">
        <f t="array" ref="AG7">IF($I6="","",XLOOKUP($B7,Derived_Variables!$A:$A,Derived_Variables!$AF:$AF,""))</f>
        <v>StepDown_0.25</v>
      </c>
      <c r="AH7" s="28" t="str">
        <f t="array" ref="AH7">IF($I6="","",XLOOKUP($B7,Derived_Variables!$A:$A,Derived_Variables!$AG:$AG,""))</f>
        <v>Low</v>
      </c>
      <c r="AI7" s="28" t="str">
        <f t="array" ref="AI7">IF($I6="","",XLOOKUP($B7,Derived_Variables!$A:$A,Derived_Variables!$AC:$AC,"Medium"))</f>
        <v>Low</v>
      </c>
      <c r="AJ7" s="28" t="b">
        <f t="array" ref="AJ7">IF($I6="","",XLOOKUP($B7,Derived_Variables!$A:$A,Derived_Variables!$Y:$Y,FALSE))</f>
        <v>0</v>
      </c>
      <c r="AK7" s="28" t="str">
        <f t="array" ref="AK7">IF($I6="","",XLOOKUP($B7,Derived_Variables!$A:$A,Derived_Variables!$AA:$AA,"Normal"))</f>
        <v>Slow</v>
      </c>
      <c r="AL7" s="28" t="str">
        <f t="array" ref="AL7">IF($I6="","",XLOOKUP($B7,Derived_Variables!$A:$A,Derived_Variables!$AB:$AB,"Normal"))</f>
        <v>Relaxed</v>
      </c>
      <c r="AM7" s="28">
        <f t="array" ref="AM7">IF($I7="","",IFS(C7="B",IF(OR(I7="NOT_READABLE",I7="BLURRY"),-AB7,0),C7="G",IFS(I7="RED_CLEARER",XLOOKUP("duochrome_red_step",Calibration!$B:$B,Calibration!$C:$C,-0.25),I7="GREEN_CLEARER",XLOOKUP("duochrome_green_step",Calibration!$B:$B,Calibration!$C:$C,0.25),I7="EQUAL",IF(XLOOKUP($B7,Derived_Variables!$A:$A,Derived_Variables!$S:$S,"Neutral")="Undercorrect",XLOOKUP("undercorrect_step",Calibration!$B:$B,Calibration!$C:$C,0.25),IF(XLOOKUP($B7,Derived_Variables!$A:$A,Derived_Variables!$S:$S,"Neutral")="Overcorrect",-XLOOKUP("overcorrect_step",Calibration!$B:$B,Calibration!$C:$C,0.25),0)),TRUE,0),C7="K",IF(I7="TOP_CLEARER",XLOOKUP("bino_balance_step",Calibration!$B:$B,Calibration!$C:$C,0.25),0),TRUE,0))</f>
        <v>0</v>
      </c>
      <c r="AN7" s="28">
        <f t="shared" si="10"/>
        <v>0</v>
      </c>
      <c r="AO7" s="28">
        <f t="shared" si="11"/>
        <v>0</v>
      </c>
      <c r="AP7" s="28">
        <f t="array" ref="AP7">IF($I7="","",IFS(C7="D",IF(OR(I7="NOT_READABLE",I7="BLURRY"),-AB7,0),C7="J",IFS(I7="RED_CLEARER",XLOOKUP("duochrome_red_step",Calibration!$B:$B,Calibration!$C:$C,-0.25),I7="GREEN_CLEARER",XLOOKUP("duochrome_green_step",Calibration!$B:$B,Calibration!$C:$C,0.25),I7="EQUAL",IF(XLOOKUP($B7,Derived_Variables!$A:$A,Derived_Variables!$S:$S,"Neutral")="Undercorrect",XLOOKUP("undercorrect_step",Calibration!$B:$B,Calibration!$C:$C,0.25),IF(XLOOKUP($B7,Derived_Variables!$A:$A,Derived_Variables!$S:$S,"Neutral")="Overcorrect",-XLOOKUP("overcorrect_step",Calibration!$B:$B,Calibration!$C:$C,0.25),0)),TRUE,0),C7="K",IF(I7="BOTTOM_CLEARER",XLOOKUP("bino_balance_step",Calibration!$B:$B,Calibration!$C:$C,0.25),0),TRUE,0))</f>
        <v>0</v>
      </c>
      <c r="AQ7" s="28">
        <f t="shared" si="12"/>
        <v>0</v>
      </c>
      <c r="AR7" s="28">
        <f t="shared" si="13"/>
        <v>0</v>
      </c>
      <c r="AS7" s="28">
        <f t="array" ref="AS7">IF($I7="","",IF(C7="P",IF(OR(I7="NOT_READABLE",I7="BLURRY"),XLOOKUP("near_add_step",Calibration!$B:$B,Calibration!$C:$C,0.25),0),IF(C7="R",IF(I7="NOT_CLEAR",XLOOKUP("near_add_step",Calibration!$B:$B,Calibration!$C:$C,0.25),0),0)))</f>
        <v>0</v>
      </c>
      <c r="AT7" s="28">
        <f t="array" ref="AT7">IF($I7="","",IF(C7="Q",IF(OR(I7="NOT_READABLE",I7="BLURRY"),XLOOKUP("near_add_step",Calibration!$B:$B,Calibration!$C:$C,0.25),0),IF(C7="R",IF(I7="NOT_CLEAR",XLOOKUP("near_add_step",Calibration!$B:$B,Calibration!$C:$C,0.25),0),0)))</f>
        <v>0</v>
      </c>
      <c r="AU7" s="28" t="str">
        <f t="array" ref="AU7">IF($I7="","",IF(G7="SNELLEN_FEET",IF(I7="READABLE",IFERROR(XLOOKUP(XLOOKUP(R7,Chart_Scale_Distance!B:B,Chart_Scale_Distance!A:A)+1,Chart_Scale_Distance!A:A,Chart_Scale_Distance!B:B),R7),R7),R7))</f>
        <v>20_20_20</v>
      </c>
      <c r="AV7" s="28">
        <f t="array" ref="AV7">IF($I6="","",IFERROR(XLOOKUP(R7,Chart_Scale_Distance!$B:$B,Chart_Scale_Distance!$A:$A,""),""))</f>
        <v>6</v>
      </c>
      <c r="AW7" s="28">
        <f t="array" ref="AW7">IF($I6="","",IFERROR(XLOOKUP(AA7,Chart_Scale_Distance!$B:$B,Chart_Scale_Distance!$A:$A,""),""))</f>
        <v>6</v>
      </c>
      <c r="AX7" s="28">
        <f t="shared" si="14"/>
        <v>0</v>
      </c>
      <c r="AY7" s="28">
        <f t="shared" si="15"/>
        <v>6</v>
      </c>
      <c r="AZ7" s="28" t="str">
        <f t="shared" si="16"/>
        <v/>
      </c>
      <c r="BA7" s="28">
        <f t="shared" si="17"/>
        <v>0</v>
      </c>
      <c r="BB7" s="28">
        <f t="shared" si="18"/>
        <v>0</v>
      </c>
      <c r="BC7" s="28" t="str">
        <f t="array" ref="BC7">IF($I7="","",LET(
conf,AI7,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duoMax,XLOOKUP($B7,Derived_Variables!$A:$A,Derived_Variables!$AI:$AI,4),
axisTol,XLOOKUP($B7,Derived_Variables!$A:$A,Derived_Variables!$W:$W,1),
maxStart,XLOOKUP($B7,Derived_Variables!$A:$A,Derived_Variables!$U:$U,1.25),
maxAR,XLOOKUP($B7,Derived_Variables!$A:$A,Derived_Variables!$V:$V,3),
anom,XLOOKUP($B7,Derived_Variables!$A:$A,Derived_Variables!$Z:$Z,FALSE),
reStart,XLOOKUP($B7,Derived_Variables!$A:$A,Derived_Variables!$K:$K,0),
leStart,XLOOKUP($B7,Derived_Variables!$A:$A,Derived_Variables!$N:$N,0),
reAR,XLOOKUP($B7,AR_Input!$A:$A,AR_Input!$B:$B,reStart),
leAR,XLOOKUP($B7,AR_Input!$A:$A,AR_Input!$E:$E,leStart),
reEsc,AND(anom,OR(ABS((S7+AM7)-reStart)&gt;maxStart,ABS((S7+AM7)-reAR)&gt;maxAR)),
leEsc,AND(anom,OR(ABS((V7+AP7)-leStart)&gt;maxStart,ABS((V7+AP7)-leAR)&gt;maxAR)),
phaseMax,IFS(
 AK7="Fast",
   IFS(
     OR(C7="B",C7="D"),XLOOKUP("timeout_coarse_fast",Calibration!$B:$B,Calibration!$C:$C,24),
     OR(C7="E",C7="F",C7="H",C7="I"),XLOOKUP("timeout_jcc_fast",Calibration!$B:$B,Calibration!$C:$C,10),
     OR(C7="G",C7="J"),XLOOKUP("timeout_duochrome_fast",Calibration!$B:$B,Calibration!$C:$C,8),
     C7="K",XLOOKUP("timeout_bino_fast",Calibration!$B:$B,Calibration!$C:$C,10),
     OR(C7="P",C7="Q",C7="R"),XLOOKUP("timeout_near_fast",Calibration!$B:$B,Calibration!$C:$C,16),
     TRUE,XLOOKUP("timeout_coarse_fast",Calibration!$B:$B,Calibration!$C:$C,24)
   ),
 AK7="Normal",
   IFS(
     OR(C7="B",C7="D"),XLOOKUP("timeout_coarse_normal",Calibration!$B:$B,Calibration!$C:$C,36),
     OR(C7="E",C7="F",C7="H",C7="I"),XLOOKUP("timeout_jcc_normal",Calibration!$B:$B,Calibration!$C:$C,14),
     OR(C7="G",C7="J"),XLOOKUP("timeout_duochrome_normal",Calibration!$B:$B,Calibration!$C:$C,10),
     C7="K",XLOOKUP("timeout_bino_normal",Calibration!$B:$B,Calibration!$C:$C,14),
     OR(C7="P",C7="Q",C7="R"),XLOOKUP("timeout_near_normal",Calibration!$B:$B,Calibration!$C:$C,22),
     TRUE,XLOOKUP("timeout_coarse_normal",Calibration!$B:$B,Calibration!$C:$C,36)
   ),
 TRUE,
   IFS(
     OR(C7="B",C7="D"),XLOOKUP("timeout_coarse_slow",Calibration!$B:$B,Calibration!$C:$C,48),
     OR(C7="E",C7="F",C7="H",C7="I"),XLOOKUP("timeout_jcc_slow",Calibration!$B:$B,Calibration!$C:$C,18),
     OR(C7="G",C7="J"),XLOOKUP("timeout_duochrome_slow",Calibration!$B:$B,Calibration!$C:$C,12),
     C7="K",XLOOKUP("timeout_bino_slow",Calibration!$B:$B,Calibration!$C:$C,18),
     OR(C7="P",C7="Q",C7="R"),XLOOKUP("timeout_near_slow",Calibration!$B:$B,Calibration!$C:$C,28),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AJ7=TRUE,"ESCALATE",
C7="A",
IF(OR(I7="NOT_READABLE",I7="BLURRY",AND(R7="20_20_20",I7="READABLE")),"B","A"),
C7="B",
IF(reEsc,"ESCALATE",IF(AY7&gt;=phaseMax,"ESCALATE",IF(AND(AV7&gt;=AW7,I7="READABLE"),"E","B"))),
C7="E",
IF(AY7&gt;=phaseMax,"ESCALATE",IF(OR(I7="SAME",I7="CANT_TELL",AD7&lt;axisTol),"F","E")),
C7="F",
IF(AY7&gt;=phaseMax,"ESCALATE",IF(AX7&gt;=powerSameN,"G","F")),
C7="G",
IF(AY7&gt;=phaseMax,"ESCALATE",IF(OR(AX7&gt;=duoEqualN,BB7&gt;=duoMax),"D","G")),
C7="D",
IF(leEsc,"ESCALATE",IF(AY7&gt;=phaseMax,"ESCALATE",IF(AND(AV7&gt;=AW7,I7="READABLE"),"H","D"))),
C7="H",
IF(AY7&gt;=phaseMax,"ESCALATE",IF(OR(I7="SAME",I7="CANT_TELL",AD7&lt;axisTol),"I","H")),
C7="I",
IF(AY7&gt;=phaseMax,"ESCALATE",IF(AX7&gt;=powerSameN,"J","I")),
C7="J",
IF(AY7&gt;=phaseMax,"ESCALATE",IF(OR(AX7&gt;=duoEqualN,BB7&gt;=duoMax),"K","J")),
C7="K",
IF(AY7&gt;=phaseMax,"ESCALATE",IF(AX7&gt;=binoSameN,IF(XLOOKUP($B7,Derived_Variables!$A:$A,Derived_Variables!$AJ:$AJ,FALSE)=TRUE,"P","END"),"K")),
C7="P",
IF(AY7&gt;=phaseMax,"ESCALATE",IF(OR(I7="READABLE",I7="SAME"),"Q","P")),
C7="Q",
IF(AY7&gt;=phaseMax,"ESCALATE",IF(OR(I7="READABLE",I7="SAME"),"R","Q")),
C7="R",
IF(AY7&gt;=phaseMax,"ESCALATE",IF(OR(I7=nearTarget,I7="SAME"),"END","R")),
TRUE,"END"
)))</f>
        <v>B</v>
      </c>
      <c r="BD7" s="28" t="b">
        <f t="shared" si="19"/>
        <v>1</v>
      </c>
    </row>
    <row r="8">
      <c r="A8" s="28">
        <f t="shared" si="3"/>
        <v>7</v>
      </c>
      <c r="B8" s="28">
        <f t="shared" si="4"/>
        <v>6</v>
      </c>
      <c r="C8" s="28" t="str">
        <f t="shared" si="5"/>
        <v>B</v>
      </c>
      <c r="D8" s="28" t="str">
        <f t="array" ref="D8">IF($I7="","",XLOOKUP(C8,FSM_State_Map!A:A,FSM_State_Map!B:B,""))</f>
        <v>Coarse Sphere RE</v>
      </c>
      <c r="E8" s="28" t="str">
        <f t="array" ref="E8">IF($I7="","",XLOOKUP(C8,FSM_State_Map!A:A,FSM_State_Map!C:C,""))</f>
        <v>COARSE_SPHERE</v>
      </c>
      <c r="F8" s="28" t="str">
        <f t="array" ref="F8">IF($I7="","",XLOOKUP(E8,Phase_UI_Map!A:A,Phase_UI_Map!B:B,""))</f>
        <v>COARSE_SPH</v>
      </c>
      <c r="G8" s="28" t="str">
        <f t="array" ref="G8">IF($I7="","",XLOOKUP(E8,Phase_UI_Map!A:A,Phase_UI_Map!C:C,""))</f>
        <v>SNELLEN_FEET</v>
      </c>
      <c r="H8" s="28" t="str">
        <f t="array" ref="H8">IF($I7="","",XLOOKUP(E8,Phase_UI_Map!A:A,Phase_UI_Map!D:D,""))</f>
        <v>READABILITY</v>
      </c>
      <c r="I8" s="29" t="s">
        <v>219</v>
      </c>
      <c r="J8" s="28" t="str">
        <f>IFERROR(__xludf.DUMMYFUNCTION("IF($I7="""","""",IFERROR(INDEX(FILTER(Response_Lists!$B:$B,Response_Lists!$A:$A=$H8),1),""""))"),"READABLE")</f>
        <v>READABLE</v>
      </c>
      <c r="K8" s="28" t="str">
        <f>IFERROR(__xludf.DUMMYFUNCTION("IF($I7="""","""",IFERROR(INDEX(FILTER(Response_Lists!$B:$B,Response_Lists!$A:$A=$H8),2),""""))"),"NOT_READABLE")</f>
        <v>NOT_READABLE</v>
      </c>
      <c r="L8" s="28" t="str">
        <f>IFERROR(__xludf.DUMMYFUNCTION("IF($I7="""","""",IFERROR(INDEX(FILTER(Response_Lists!$B:$B,Response_Lists!$A:$A=$H8),3),""""))"),"BLURRY")</f>
        <v>BLURRY</v>
      </c>
      <c r="M8" s="28" t="str">
        <f>IFERROR(__xludf.DUMMYFUNCTION("IF($I7="""","""",IFERROR(INDEX(FILTER(Response_Lists!$B:$B,Response_Lists!$A:$A=$H8),4),""""))"),"")</f>
        <v/>
      </c>
      <c r="N8" s="28" t="str">
        <f>IFERROR(__xludf.DUMMYFUNCTION("IF($I7="""","""",IFERROR(INDEX(FILTER(Response_Lists!$B:$B,Response_Lists!$A:$A=$H8),5),""""))"),"")</f>
        <v/>
      </c>
      <c r="O8" s="28" t="str">
        <f>IFERROR(__xludf.DUMMYFUNCTION("IF($I7="""","""",IFERROR(INDEX(FILTER(Response_Lists!$B:$B,Response_Lists!$A:$A=$H8),6),""""))"),"")</f>
        <v/>
      </c>
      <c r="P8" s="28" t="str">
        <f t="shared" si="6"/>
        <v>Can you read this clearly?</v>
      </c>
      <c r="Q8" s="28" t="str">
        <f t="array" ref="Q8">IF($I7="","",XLOOKUP(C8,FSM_State_Map!A:A,FSM_State_Map!D:D,""))</f>
        <v>RE</v>
      </c>
      <c r="R8" s="28" t="str">
        <f t="shared" si="7"/>
        <v>20_20_20</v>
      </c>
      <c r="S8" s="28">
        <f t="array" ref="S8">IF($I7="","",
IF(
  AND(C8="B",C7&lt;&gt;"B"),
  XLOOKUP($B8,Derived_Variables!$A:$A,Derived_Variables!$K:$K,0)
  + XLOOKUP($B8,Derived_Variables!$A:$A,Derived_Variables!$AE:$AE,0),
  S7+AM7
))</f>
        <v>-0.5</v>
      </c>
      <c r="T8" s="28">
        <f t="shared" ref="T8:U8" si="26">IF($I7="","",T7+AN7)</f>
        <v>-0.5</v>
      </c>
      <c r="U8" s="28">
        <f t="shared" si="26"/>
        <v>0</v>
      </c>
      <c r="V8" s="28">
        <f t="array" ref="V8">IF($I7="","",
IF(
  AND(C8="D",C7&lt;&gt;"D"),
  XLOOKUP($B8,Derived_Variables!$A:$A,Derived_Variables!$N:$N,0)
  + XLOOKUP($B8,Derived_Variables!$A:$A,Derived_Variables!$AE:$AE,0),
  V7+AP7
))</f>
        <v>-1</v>
      </c>
      <c r="W8" s="28">
        <f t="shared" ref="W8:X8" si="27">IF($I7="","",W7+AQ7)</f>
        <v>0</v>
      </c>
      <c r="X8" s="28">
        <f t="shared" si="27"/>
        <v>0</v>
      </c>
      <c r="Y8" s="28">
        <f t="array" ref="Y8">IF($I7="","",IF(AND(C8="P",C7&lt;&gt;"P"),IFERROR(XLOOKUP($B8,Lenso_Input!$A:$A,Lenso_Input!$E:$E,0),0),Y7+AS7))</f>
        <v>0</v>
      </c>
      <c r="Z8" s="28">
        <f t="array" ref="Z8">IF($I7="","",IF(AND(C8="Q",C7&lt;&gt;"Q"),IFERROR(XLOOKUP($B8,Lenso_Input!$A:$A,Lenso_Input!$I:$I,0),0),Z7+AT7))</f>
        <v>0</v>
      </c>
      <c r="AA8" s="28" t="str">
        <f t="array" ref="AA8">IF($I7="","",IF(XLOOKUP($B8,Derived_Variables!$A:$A,Derived_Variables!$R:$R,"6/6_target")="6/6_target","20_20_20","40_30_25"))</f>
        <v>20_20_20</v>
      </c>
      <c r="AB8" s="28">
        <f t="array" ref="AB8">IF($I7="","",XLOOKUP(LOWER(XLOOKUP($B8,Derived_Variables!$A:$A,Derived_Variables!$T:$T,"Standard"))&amp;"_sph_step",Calibration!$B:$B,Calibration!$C:$C,0.25))</f>
        <v>0.25</v>
      </c>
      <c r="AC8" s="28">
        <f t="array" ref="AC8">IF($I7="","",XLOOKUP(LOWER(XLOOKUP($B8,Derived_Variables!$A:$A,Derived_Variables!$T:$T,"Standard"))&amp;"_cyl_step",Calibration!$B:$B,Calibration!$C:$C,0.25))</f>
        <v>0.25</v>
      </c>
      <c r="AD8" s="28">
        <f t="array" ref="AD8">IF($I7="","",IF(OR(C8="E",C8="H"),LET(startStep,XLOOKUP("axis_start_step",Calibration!$B:$B,Calibration!$C:$C,5),step1,XLOOKUP("axis_reversal_step_1",Calibration!$B:$B,Calibration!$C:$C,3),step2,XLOOKUP("axis_reversal_step_2",Calibration!$B:$B,Calibration!$C:$C,1),IF(OR(C7&lt;&gt;C8,AZ8="",AZ8="SAME",AZ8="CANT_TELL",I8="",I8="SAME",I8="CANT_TELL"),startStep,IF(OR(AND(AZ8="BETTER_1",I8="BETTER_2"),AND(AZ8="BETTER_2",I8="BETTER_1")),IF(AD7&gt;step1,step1,step2),AD7))),0))</f>
        <v>0</v>
      </c>
      <c r="AE8" s="28" t="str">
        <f t="array" ref="AE8">IF($I7="","",XLOOKUP($B8,Derived_Variables!$A:$A,Derived_Variables!$AD:$AD,"No_Fog"))</f>
        <v>Strong_Fog</v>
      </c>
      <c r="AF8" s="28">
        <f t="array" ref="AF8">IF($I7="","",XLOOKUP($B8,Derived_Variables!$A:$A,Derived_Variables!$AE:$AE,0))</f>
        <v>1</v>
      </c>
      <c r="AG8" s="28" t="str">
        <f t="array" ref="AG8">IF($I7="","",XLOOKUP($B8,Derived_Variables!$A:$A,Derived_Variables!$AF:$AF,""))</f>
        <v>StepDown_0.25</v>
      </c>
      <c r="AH8" s="28" t="str">
        <f t="array" ref="AH8">IF($I7="","",XLOOKUP($B8,Derived_Variables!$A:$A,Derived_Variables!$AG:$AG,""))</f>
        <v>Low</v>
      </c>
      <c r="AI8" s="28" t="str">
        <f t="array" ref="AI8">IF($I7="","",XLOOKUP($B8,Derived_Variables!$A:$A,Derived_Variables!$AC:$AC,"Medium"))</f>
        <v>Low</v>
      </c>
      <c r="AJ8" s="28" t="b">
        <f t="array" ref="AJ8">IF($I7="","",XLOOKUP($B8,Derived_Variables!$A:$A,Derived_Variables!$Y:$Y,FALSE))</f>
        <v>0</v>
      </c>
      <c r="AK8" s="28" t="str">
        <f t="array" ref="AK8">IF($I7="","",XLOOKUP($B8,Derived_Variables!$A:$A,Derived_Variables!$AA:$AA,"Normal"))</f>
        <v>Slow</v>
      </c>
      <c r="AL8" s="28" t="str">
        <f t="array" ref="AL8">IF($I7="","",XLOOKUP($B8,Derived_Variables!$A:$A,Derived_Variables!$AB:$AB,"Normal"))</f>
        <v>Relaxed</v>
      </c>
      <c r="AM8" s="28">
        <f t="array" ref="AM8">IF($I8="","",IFS(C8="B",IF(OR(I8="NOT_READABLE",I8="BLURRY"),-AB8,0),C8="G",IFS(I8="RED_CLEARER",XLOOKUP("duochrome_red_step",Calibration!$B:$B,Calibration!$C:$C,-0.25),I8="GREEN_CLEARER",XLOOKUP("duochrome_green_step",Calibration!$B:$B,Calibration!$C:$C,0.25),I8="EQUAL",IF(XLOOKUP($B8,Derived_Variables!$A:$A,Derived_Variables!$S:$S,"Neutral")="Undercorrect",XLOOKUP("undercorrect_step",Calibration!$B:$B,Calibration!$C:$C,0.25),IF(XLOOKUP($B8,Derived_Variables!$A:$A,Derived_Variables!$S:$S,"Neutral")="Overcorrect",-XLOOKUP("overcorrect_step",Calibration!$B:$B,Calibration!$C:$C,0.25),0)),TRUE,0),C8="K",IF(I8="TOP_CLEARER",XLOOKUP("bino_balance_step",Calibration!$B:$B,Calibration!$C:$C,0.25),0),TRUE,0))</f>
        <v>-0.25</v>
      </c>
      <c r="AN8" s="28">
        <f t="shared" si="10"/>
        <v>0</v>
      </c>
      <c r="AO8" s="28">
        <f t="shared" si="11"/>
        <v>0</v>
      </c>
      <c r="AP8" s="28">
        <f t="array" ref="AP8">IF($I8="","",IFS(C8="D",IF(OR(I8="NOT_READABLE",I8="BLURRY"),-AB8,0),C8="J",IFS(I8="RED_CLEARER",XLOOKUP("duochrome_red_step",Calibration!$B:$B,Calibration!$C:$C,-0.25),I8="GREEN_CLEARER",XLOOKUP("duochrome_green_step",Calibration!$B:$B,Calibration!$C:$C,0.25),I8="EQUAL",IF(XLOOKUP($B8,Derived_Variables!$A:$A,Derived_Variables!$S:$S,"Neutral")="Undercorrect",XLOOKUP("undercorrect_step",Calibration!$B:$B,Calibration!$C:$C,0.25),IF(XLOOKUP($B8,Derived_Variables!$A:$A,Derived_Variables!$S:$S,"Neutral")="Overcorrect",-XLOOKUP("overcorrect_step",Calibration!$B:$B,Calibration!$C:$C,0.25),0)),TRUE,0),C8="K",IF(I8="BOTTOM_CLEARER",XLOOKUP("bino_balance_step",Calibration!$B:$B,Calibration!$C:$C,0.25),0),TRUE,0))</f>
        <v>0</v>
      </c>
      <c r="AQ8" s="28">
        <f t="shared" si="12"/>
        <v>0</v>
      </c>
      <c r="AR8" s="28">
        <f t="shared" si="13"/>
        <v>0</v>
      </c>
      <c r="AS8" s="28">
        <f t="array" ref="AS8">IF($I8="","",IF(C8="P",IF(OR(I8="NOT_READABLE",I8="BLURRY"),XLOOKUP("near_add_step",Calibration!$B:$B,Calibration!$C:$C,0.25),0),IF(C8="R",IF(I8="NOT_CLEAR",XLOOKUP("near_add_step",Calibration!$B:$B,Calibration!$C:$C,0.25),0),0)))</f>
        <v>0</v>
      </c>
      <c r="AT8" s="28">
        <f t="array" ref="AT8">IF($I8="","",IF(C8="Q",IF(OR(I8="NOT_READABLE",I8="BLURRY"),XLOOKUP("near_add_step",Calibration!$B:$B,Calibration!$C:$C,0.25),0),IF(C8="R",IF(I8="NOT_CLEAR",XLOOKUP("near_add_step",Calibration!$B:$B,Calibration!$C:$C,0.25),0),0)))</f>
        <v>0</v>
      </c>
      <c r="AU8" s="28" t="str">
        <f t="array" ref="AU8">IF($I8="","",IF(G8="SNELLEN_FEET",IF(I8="READABLE",IFERROR(XLOOKUP(XLOOKUP(R8,Chart_Scale_Distance!B:B,Chart_Scale_Distance!A:A)+1,Chart_Scale_Distance!A:A,Chart_Scale_Distance!B:B),R8),R8),R8))</f>
        <v>20_20_20</v>
      </c>
      <c r="AV8" s="28">
        <f t="array" ref="AV8">IF($I7="","",IFERROR(XLOOKUP(R8,Chart_Scale_Distance!$B:$B,Chart_Scale_Distance!$A:$A,""),""))</f>
        <v>6</v>
      </c>
      <c r="AW8" s="28">
        <f t="array" ref="AW8">IF($I7="","",IFERROR(XLOOKUP(AA8,Chart_Scale_Distance!$B:$B,Chart_Scale_Distance!$A:$A,""),""))</f>
        <v>6</v>
      </c>
      <c r="AX8" s="28">
        <f t="shared" si="14"/>
        <v>0</v>
      </c>
      <c r="AY8" s="28">
        <f t="shared" si="15"/>
        <v>1</v>
      </c>
      <c r="AZ8" s="28" t="str">
        <f t="shared" si="16"/>
        <v/>
      </c>
      <c r="BA8" s="28">
        <f t="shared" si="17"/>
        <v>0</v>
      </c>
      <c r="BB8" s="28">
        <f t="shared" si="18"/>
        <v>0</v>
      </c>
      <c r="BC8" s="28" t="str">
        <f t="array" ref="BC8">IF($I8="","",LET(
conf,AI8,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duoMax,XLOOKUP($B8,Derived_Variables!$A:$A,Derived_Variables!$AI:$AI,4),
axisTol,XLOOKUP($B8,Derived_Variables!$A:$A,Derived_Variables!$W:$W,1),
maxStart,XLOOKUP($B8,Derived_Variables!$A:$A,Derived_Variables!$U:$U,1.25),
maxAR,XLOOKUP($B8,Derived_Variables!$A:$A,Derived_Variables!$V:$V,3),
anom,XLOOKUP($B8,Derived_Variables!$A:$A,Derived_Variables!$Z:$Z,FALSE),
reStart,XLOOKUP($B8,Derived_Variables!$A:$A,Derived_Variables!$K:$K,0),
leStart,XLOOKUP($B8,Derived_Variables!$A:$A,Derived_Variables!$N:$N,0),
reAR,XLOOKUP($B8,AR_Input!$A:$A,AR_Input!$B:$B,reStart),
leAR,XLOOKUP($B8,AR_Input!$A:$A,AR_Input!$E:$E,leStart),
reEsc,AND(anom,OR(ABS((S8+AM8)-reStart)&gt;maxStart,ABS((S8+AM8)-reAR)&gt;maxAR)),
leEsc,AND(anom,OR(ABS((V8+AP8)-leStart)&gt;maxStart,ABS((V8+AP8)-leAR)&gt;maxAR)),
phaseMax,IFS(
 AK8="Fast",
   IFS(
     OR(C8="B",C8="D"),XLOOKUP("timeout_coarse_fast",Calibration!$B:$B,Calibration!$C:$C,24),
     OR(C8="E",C8="F",C8="H",C8="I"),XLOOKUP("timeout_jcc_fast",Calibration!$B:$B,Calibration!$C:$C,10),
     OR(C8="G",C8="J"),XLOOKUP("timeout_duochrome_fast",Calibration!$B:$B,Calibration!$C:$C,8),
     C8="K",XLOOKUP("timeout_bino_fast",Calibration!$B:$B,Calibration!$C:$C,10),
     OR(C8="P",C8="Q",C8="R"),XLOOKUP("timeout_near_fast",Calibration!$B:$B,Calibration!$C:$C,16),
     TRUE,XLOOKUP("timeout_coarse_fast",Calibration!$B:$B,Calibration!$C:$C,24)
   ),
 AK8="Normal",
   IFS(
     OR(C8="B",C8="D"),XLOOKUP("timeout_coarse_normal",Calibration!$B:$B,Calibration!$C:$C,36),
     OR(C8="E",C8="F",C8="H",C8="I"),XLOOKUP("timeout_jcc_normal",Calibration!$B:$B,Calibration!$C:$C,14),
     OR(C8="G",C8="J"),XLOOKUP("timeout_duochrome_normal",Calibration!$B:$B,Calibration!$C:$C,10),
     C8="K",XLOOKUP("timeout_bino_normal",Calibration!$B:$B,Calibration!$C:$C,14),
     OR(C8="P",C8="Q",C8="R"),XLOOKUP("timeout_near_normal",Calibration!$B:$B,Calibration!$C:$C,22),
     TRUE,XLOOKUP("timeout_coarse_normal",Calibration!$B:$B,Calibration!$C:$C,36)
   ),
 TRUE,
   IFS(
     OR(C8="B",C8="D"),XLOOKUP("timeout_coarse_slow",Calibration!$B:$B,Calibration!$C:$C,48),
     OR(C8="E",C8="F",C8="H",C8="I"),XLOOKUP("timeout_jcc_slow",Calibration!$B:$B,Calibration!$C:$C,18),
     OR(C8="G",C8="J"),XLOOKUP("timeout_duochrome_slow",Calibration!$B:$B,Calibration!$C:$C,12),
     C8="K",XLOOKUP("timeout_bino_slow",Calibration!$B:$B,Calibration!$C:$C,18),
     OR(C8="P",C8="Q",C8="R"),XLOOKUP("timeout_near_slow",Calibration!$B:$B,Calibration!$C:$C,28),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AJ8=TRUE,"ESCALATE",
C8="A",
IF(OR(I8="NOT_READABLE",I8="BLURRY",AND(R8="20_20_20",I8="READABLE")),"B","A"),
C8="B",
IF(reEsc,"ESCALATE",IF(AY8&gt;=phaseMax,"ESCALATE",IF(AND(AV8&gt;=AW8,I8="READABLE"),"E","B"))),
C8="E",
IF(AY8&gt;=phaseMax,"ESCALATE",IF(OR(I8="SAME",I8="CANT_TELL",AD8&lt;axisTol),"F","E")),
C8="F",
IF(AY8&gt;=phaseMax,"ESCALATE",IF(AX8&gt;=powerSameN,"G","F")),
C8="G",
IF(AY8&gt;=phaseMax,"ESCALATE",IF(OR(AX8&gt;=duoEqualN,BB8&gt;=duoMax),"D","G")),
C8="D",
IF(leEsc,"ESCALATE",IF(AY8&gt;=phaseMax,"ESCALATE",IF(AND(AV8&gt;=AW8,I8="READABLE"),"H","D"))),
C8="H",
IF(AY8&gt;=phaseMax,"ESCALATE",IF(OR(I8="SAME",I8="CANT_TELL",AD8&lt;axisTol),"I","H")),
C8="I",
IF(AY8&gt;=phaseMax,"ESCALATE",IF(AX8&gt;=powerSameN,"J","I")),
C8="J",
IF(AY8&gt;=phaseMax,"ESCALATE",IF(OR(AX8&gt;=duoEqualN,BB8&gt;=duoMax),"K","J")),
C8="K",
IF(AY8&gt;=phaseMax,"ESCALATE",IF(AX8&gt;=binoSameN,IF(XLOOKUP($B8,Derived_Variables!$A:$A,Derived_Variables!$AJ:$AJ,FALSE)=TRUE,"P","END"),"K")),
C8="P",
IF(AY8&gt;=phaseMax,"ESCALATE",IF(OR(I8="READABLE",I8="SAME"),"Q","P")),
C8="Q",
IF(AY8&gt;=phaseMax,"ESCALATE",IF(OR(I8="READABLE",I8="SAME"),"R","Q")),
C8="R",
IF(AY8&gt;=phaseMax,"ESCALATE",IF(OR(I8=nearTarget,I8="SAME"),"END","R")),
TRUE,"END"
)))</f>
        <v>B</v>
      </c>
      <c r="BD8" s="28" t="b">
        <f t="shared" si="19"/>
        <v>1</v>
      </c>
    </row>
    <row r="9">
      <c r="A9" s="28">
        <f t="shared" si="3"/>
        <v>8</v>
      </c>
      <c r="B9" s="28">
        <f t="shared" si="4"/>
        <v>6</v>
      </c>
      <c r="C9" s="28" t="str">
        <f t="shared" si="5"/>
        <v>B</v>
      </c>
      <c r="D9" s="28" t="str">
        <f t="array" ref="D9">IF($I8="","",XLOOKUP(C9,FSM_State_Map!A:A,FSM_State_Map!B:B,""))</f>
        <v>Coarse Sphere RE</v>
      </c>
      <c r="E9" s="28" t="str">
        <f t="array" ref="E9">IF($I8="","",XLOOKUP(C9,FSM_State_Map!A:A,FSM_State_Map!C:C,""))</f>
        <v>COARSE_SPHERE</v>
      </c>
      <c r="F9" s="28" t="str">
        <f t="array" ref="F9">IF($I8="","",XLOOKUP(E9,Phase_UI_Map!A:A,Phase_UI_Map!B:B,""))</f>
        <v>COARSE_SPH</v>
      </c>
      <c r="G9" s="28" t="str">
        <f t="array" ref="G9">IF($I8="","",XLOOKUP(E9,Phase_UI_Map!A:A,Phase_UI_Map!C:C,""))</f>
        <v>SNELLEN_FEET</v>
      </c>
      <c r="H9" s="28" t="str">
        <f t="array" ref="H9">IF($I8="","",XLOOKUP(E9,Phase_UI_Map!A:A,Phase_UI_Map!D:D,""))</f>
        <v>READABILITY</v>
      </c>
      <c r="I9" s="29" t="s">
        <v>218</v>
      </c>
      <c r="J9" s="28" t="str">
        <f>IFERROR(__xludf.DUMMYFUNCTION("IF($I8="""","""",IFERROR(INDEX(FILTER(Response_Lists!$B:$B,Response_Lists!$A:$A=$H9),1),""""))"),"READABLE")</f>
        <v>READABLE</v>
      </c>
      <c r="K9" s="28" t="str">
        <f>IFERROR(__xludf.DUMMYFUNCTION("IF($I8="""","""",IFERROR(INDEX(FILTER(Response_Lists!$B:$B,Response_Lists!$A:$A=$H9),2),""""))"),"NOT_READABLE")</f>
        <v>NOT_READABLE</v>
      </c>
      <c r="L9" s="28" t="str">
        <f>IFERROR(__xludf.DUMMYFUNCTION("IF($I8="""","""",IFERROR(INDEX(FILTER(Response_Lists!$B:$B,Response_Lists!$A:$A=$H9),3),""""))"),"BLURRY")</f>
        <v>BLURRY</v>
      </c>
      <c r="M9" s="28" t="str">
        <f>IFERROR(__xludf.DUMMYFUNCTION("IF($I8="""","""",IFERROR(INDEX(FILTER(Response_Lists!$B:$B,Response_Lists!$A:$A=$H9),4),""""))"),"")</f>
        <v/>
      </c>
      <c r="N9" s="28" t="str">
        <f>IFERROR(__xludf.DUMMYFUNCTION("IF($I8="""","""",IFERROR(INDEX(FILTER(Response_Lists!$B:$B,Response_Lists!$A:$A=$H9),5),""""))"),"")</f>
        <v/>
      </c>
      <c r="O9" s="28" t="str">
        <f>IFERROR(__xludf.DUMMYFUNCTION("IF($I8="""","""",IFERROR(INDEX(FILTER(Response_Lists!$B:$B,Response_Lists!$A:$A=$H9),6),""""))"),"")</f>
        <v/>
      </c>
      <c r="P9" s="28" t="str">
        <f t="shared" si="6"/>
        <v>Can you read this clearly?</v>
      </c>
      <c r="Q9" s="28" t="str">
        <f t="array" ref="Q9">IF($I8="","",XLOOKUP(C9,FSM_State_Map!A:A,FSM_State_Map!D:D,""))</f>
        <v>RE</v>
      </c>
      <c r="R9" s="28" t="str">
        <f t="shared" si="7"/>
        <v>20_20_20</v>
      </c>
      <c r="S9" s="28">
        <f t="array" ref="S9">IF($I8="","",
IF(
  AND(C9="B",C8&lt;&gt;"B"),
  XLOOKUP($B9,Derived_Variables!$A:$A,Derived_Variables!$K:$K,0)
  + XLOOKUP($B9,Derived_Variables!$A:$A,Derived_Variables!$AE:$AE,0),
  S8+AM8
))</f>
        <v>-0.75</v>
      </c>
      <c r="T9" s="28">
        <f t="shared" ref="T9:U9" si="28">IF($I8="","",T8+AN8)</f>
        <v>-0.5</v>
      </c>
      <c r="U9" s="28">
        <f t="shared" si="28"/>
        <v>0</v>
      </c>
      <c r="V9" s="28">
        <f t="array" ref="V9">IF($I8="","",
IF(
  AND(C9="D",C8&lt;&gt;"D"),
  XLOOKUP($B9,Derived_Variables!$A:$A,Derived_Variables!$N:$N,0)
  + XLOOKUP($B9,Derived_Variables!$A:$A,Derived_Variables!$AE:$AE,0),
  V8+AP8
))</f>
        <v>-1</v>
      </c>
      <c r="W9" s="28">
        <f t="shared" ref="W9:X9" si="29">IF($I8="","",W8+AQ8)</f>
        <v>0</v>
      </c>
      <c r="X9" s="28">
        <f t="shared" si="29"/>
        <v>0</v>
      </c>
      <c r="Y9" s="28">
        <f t="array" ref="Y9">IF($I8="","",IF(AND(C9="P",C8&lt;&gt;"P"),IFERROR(XLOOKUP($B9,Lenso_Input!$A:$A,Lenso_Input!$E:$E,0),0),Y8+AS8))</f>
        <v>0</v>
      </c>
      <c r="Z9" s="28">
        <f t="array" ref="Z9">IF($I8="","",IF(AND(C9="Q",C8&lt;&gt;"Q"),IFERROR(XLOOKUP($B9,Lenso_Input!$A:$A,Lenso_Input!$I:$I,0),0),Z8+AT8))</f>
        <v>0</v>
      </c>
      <c r="AA9" s="28" t="str">
        <f t="array" ref="AA9">IF($I8="","",IF(XLOOKUP($B9,Derived_Variables!$A:$A,Derived_Variables!$R:$R,"6/6_target")="6/6_target","20_20_20","40_30_25"))</f>
        <v>20_20_20</v>
      </c>
      <c r="AB9" s="28">
        <f t="array" ref="AB9">IF($I8="","",XLOOKUP(LOWER(XLOOKUP($B9,Derived_Variables!$A:$A,Derived_Variables!$T:$T,"Standard"))&amp;"_sph_step",Calibration!$B:$B,Calibration!$C:$C,0.25))</f>
        <v>0.25</v>
      </c>
      <c r="AC9" s="28">
        <f t="array" ref="AC9">IF($I8="","",XLOOKUP(LOWER(XLOOKUP($B9,Derived_Variables!$A:$A,Derived_Variables!$T:$T,"Standard"))&amp;"_cyl_step",Calibration!$B:$B,Calibration!$C:$C,0.25))</f>
        <v>0.25</v>
      </c>
      <c r="AD9" s="28">
        <f t="array" ref="AD9">IF($I8="","",IF(OR(C9="E",C9="H"),LET(startStep,XLOOKUP("axis_start_step",Calibration!$B:$B,Calibration!$C:$C,5),step1,XLOOKUP("axis_reversal_step_1",Calibration!$B:$B,Calibration!$C:$C,3),step2,XLOOKUP("axis_reversal_step_2",Calibration!$B:$B,Calibration!$C:$C,1),IF(OR(C8&lt;&gt;C9,AZ9="",AZ9="SAME",AZ9="CANT_TELL",I9="",I9="SAME",I9="CANT_TELL"),startStep,IF(OR(AND(AZ9="BETTER_1",I9="BETTER_2"),AND(AZ9="BETTER_2",I9="BETTER_1")),IF(AD8&gt;step1,step1,step2),AD8))),0))</f>
        <v>0</v>
      </c>
      <c r="AE9" s="28" t="str">
        <f t="array" ref="AE9">IF($I8="","",XLOOKUP($B9,Derived_Variables!$A:$A,Derived_Variables!$AD:$AD,"No_Fog"))</f>
        <v>Strong_Fog</v>
      </c>
      <c r="AF9" s="28">
        <f t="array" ref="AF9">IF($I8="","",XLOOKUP($B9,Derived_Variables!$A:$A,Derived_Variables!$AE:$AE,0))</f>
        <v>1</v>
      </c>
      <c r="AG9" s="28" t="str">
        <f t="array" ref="AG9">IF($I8="","",XLOOKUP($B9,Derived_Variables!$A:$A,Derived_Variables!$AF:$AF,""))</f>
        <v>StepDown_0.25</v>
      </c>
      <c r="AH9" s="28" t="str">
        <f t="array" ref="AH9">IF($I8="","",XLOOKUP($B9,Derived_Variables!$A:$A,Derived_Variables!$AG:$AG,""))</f>
        <v>Low</v>
      </c>
      <c r="AI9" s="28" t="str">
        <f t="array" ref="AI9">IF($I8="","",XLOOKUP($B9,Derived_Variables!$A:$A,Derived_Variables!$AC:$AC,"Medium"))</f>
        <v>Low</v>
      </c>
      <c r="AJ9" s="28" t="b">
        <f t="array" ref="AJ9">IF($I8="","",XLOOKUP($B9,Derived_Variables!$A:$A,Derived_Variables!$Y:$Y,FALSE))</f>
        <v>0</v>
      </c>
      <c r="AK9" s="28" t="str">
        <f t="array" ref="AK9">IF($I8="","",XLOOKUP($B9,Derived_Variables!$A:$A,Derived_Variables!$AA:$AA,"Normal"))</f>
        <v>Slow</v>
      </c>
      <c r="AL9" s="28" t="str">
        <f t="array" ref="AL9">IF($I8="","",XLOOKUP($B9,Derived_Variables!$A:$A,Derived_Variables!$AB:$AB,"Normal"))</f>
        <v>Relaxed</v>
      </c>
      <c r="AM9" s="28">
        <f t="array" ref="AM9">IF($I9="","",IFS(C9="B",IF(OR(I9="NOT_READABLE",I9="BLURRY"),-AB9,0),C9="G",IFS(I9="RED_CLEARER",XLOOKUP("duochrome_red_step",Calibration!$B:$B,Calibration!$C:$C,-0.25),I9="GREEN_CLEARER",XLOOKUP("duochrome_green_step",Calibration!$B:$B,Calibration!$C:$C,0.25),I9="EQUAL",IF(XLOOKUP($B9,Derived_Variables!$A:$A,Derived_Variables!$S:$S,"Neutral")="Undercorrect",XLOOKUP("undercorrect_step",Calibration!$B:$B,Calibration!$C:$C,0.25),IF(XLOOKUP($B9,Derived_Variables!$A:$A,Derived_Variables!$S:$S,"Neutral")="Overcorrect",-XLOOKUP("overcorrect_step",Calibration!$B:$B,Calibration!$C:$C,0.25),0)),TRUE,0),C9="K",IF(I9="TOP_CLEARER",XLOOKUP("bino_balance_step",Calibration!$B:$B,Calibration!$C:$C,0.25),0),TRUE,0))</f>
        <v>0</v>
      </c>
      <c r="AN9" s="28">
        <f t="shared" si="10"/>
        <v>0</v>
      </c>
      <c r="AO9" s="28">
        <f t="shared" si="11"/>
        <v>0</v>
      </c>
      <c r="AP9" s="28">
        <f t="array" ref="AP9">IF($I9="","",IFS(C9="D",IF(OR(I9="NOT_READABLE",I9="BLURRY"),-AB9,0),C9="J",IFS(I9="RED_CLEARER",XLOOKUP("duochrome_red_step",Calibration!$B:$B,Calibration!$C:$C,-0.25),I9="GREEN_CLEARER",XLOOKUP("duochrome_green_step",Calibration!$B:$B,Calibration!$C:$C,0.25),I9="EQUAL",IF(XLOOKUP($B9,Derived_Variables!$A:$A,Derived_Variables!$S:$S,"Neutral")="Undercorrect",XLOOKUP("undercorrect_step",Calibration!$B:$B,Calibration!$C:$C,0.25),IF(XLOOKUP($B9,Derived_Variables!$A:$A,Derived_Variables!$S:$S,"Neutral")="Overcorrect",-XLOOKUP("overcorrect_step",Calibration!$B:$B,Calibration!$C:$C,0.25),0)),TRUE,0),C9="K",IF(I9="BOTTOM_CLEARER",XLOOKUP("bino_balance_step",Calibration!$B:$B,Calibration!$C:$C,0.25),0),TRUE,0))</f>
        <v>0</v>
      </c>
      <c r="AQ9" s="28">
        <f t="shared" si="12"/>
        <v>0</v>
      </c>
      <c r="AR9" s="28">
        <f t="shared" si="13"/>
        <v>0</v>
      </c>
      <c r="AS9" s="28">
        <f t="array" ref="AS9">IF($I9="","",IF(C9="P",IF(OR(I9="NOT_READABLE",I9="BLURRY"),XLOOKUP("near_add_step",Calibration!$B:$B,Calibration!$C:$C,0.25),0),IF(C9="R",IF(I9="NOT_CLEAR",XLOOKUP("near_add_step",Calibration!$B:$B,Calibration!$C:$C,0.25),0),0)))</f>
        <v>0</v>
      </c>
      <c r="AT9" s="28">
        <f t="array" ref="AT9">IF($I9="","",IF(C9="Q",IF(OR(I9="NOT_READABLE",I9="BLURRY"),XLOOKUP("near_add_step",Calibration!$B:$B,Calibration!$C:$C,0.25),0),IF(C9="R",IF(I9="NOT_CLEAR",XLOOKUP("near_add_step",Calibration!$B:$B,Calibration!$C:$C,0.25),0),0)))</f>
        <v>0</v>
      </c>
      <c r="AU9" s="28" t="str">
        <f t="array" ref="AU9">IF($I9="","",IF(G9="SNELLEN_FEET",IF(I9="READABLE",IFERROR(XLOOKUP(XLOOKUP(R9,Chart_Scale_Distance!B:B,Chart_Scale_Distance!A:A)+1,Chart_Scale_Distance!A:A,Chart_Scale_Distance!B:B),R9),R9),R9))</f>
        <v>20_20_20</v>
      </c>
      <c r="AV9" s="28">
        <f t="array" ref="AV9">IF($I8="","",IFERROR(XLOOKUP(R9,Chart_Scale_Distance!$B:$B,Chart_Scale_Distance!$A:$A,""),""))</f>
        <v>6</v>
      </c>
      <c r="AW9" s="28">
        <f t="array" ref="AW9">IF($I8="","",IFERROR(XLOOKUP(AA9,Chart_Scale_Distance!$B:$B,Chart_Scale_Distance!$A:$A,""),""))</f>
        <v>6</v>
      </c>
      <c r="AX9" s="28">
        <f t="shared" si="14"/>
        <v>0</v>
      </c>
      <c r="AY9" s="28">
        <f t="shared" si="15"/>
        <v>2</v>
      </c>
      <c r="AZ9" s="28" t="str">
        <f t="shared" si="16"/>
        <v/>
      </c>
      <c r="BA9" s="28">
        <f t="shared" si="17"/>
        <v>0</v>
      </c>
      <c r="BB9" s="28">
        <f t="shared" si="18"/>
        <v>0</v>
      </c>
      <c r="BC9" s="28" t="str">
        <f t="array" ref="BC9">IF($I9="","",LET(
conf,AI9,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duoMax,XLOOKUP($B9,Derived_Variables!$A:$A,Derived_Variables!$AI:$AI,4),
axisTol,XLOOKUP($B9,Derived_Variables!$A:$A,Derived_Variables!$W:$W,1),
maxStart,XLOOKUP($B9,Derived_Variables!$A:$A,Derived_Variables!$U:$U,1.25),
maxAR,XLOOKUP($B9,Derived_Variables!$A:$A,Derived_Variables!$V:$V,3),
anom,XLOOKUP($B9,Derived_Variables!$A:$A,Derived_Variables!$Z:$Z,FALSE),
reStart,XLOOKUP($B9,Derived_Variables!$A:$A,Derived_Variables!$K:$K,0),
leStart,XLOOKUP($B9,Derived_Variables!$A:$A,Derived_Variables!$N:$N,0),
reAR,XLOOKUP($B9,AR_Input!$A:$A,AR_Input!$B:$B,reStart),
leAR,XLOOKUP($B9,AR_Input!$A:$A,AR_Input!$E:$E,leStart),
reEsc,AND(anom,OR(ABS((S9+AM9)-reStart)&gt;maxStart,ABS((S9+AM9)-reAR)&gt;maxAR)),
leEsc,AND(anom,OR(ABS((V9+AP9)-leStart)&gt;maxStart,ABS((V9+AP9)-leAR)&gt;maxAR)),
phaseMax,IFS(
 AK9="Fast",
   IFS(
     OR(C9="B",C9="D"),XLOOKUP("timeout_coarse_fast",Calibration!$B:$B,Calibration!$C:$C,24),
     OR(C9="E",C9="F",C9="H",C9="I"),XLOOKUP("timeout_jcc_fast",Calibration!$B:$B,Calibration!$C:$C,10),
     OR(C9="G",C9="J"),XLOOKUP("timeout_duochrome_fast",Calibration!$B:$B,Calibration!$C:$C,8),
     C9="K",XLOOKUP("timeout_bino_fast",Calibration!$B:$B,Calibration!$C:$C,10),
     OR(C9="P",C9="Q",C9="R"),XLOOKUP("timeout_near_fast",Calibration!$B:$B,Calibration!$C:$C,16),
     TRUE,XLOOKUP("timeout_coarse_fast",Calibration!$B:$B,Calibration!$C:$C,24)
   ),
 AK9="Normal",
   IFS(
     OR(C9="B",C9="D"),XLOOKUP("timeout_coarse_normal",Calibration!$B:$B,Calibration!$C:$C,36),
     OR(C9="E",C9="F",C9="H",C9="I"),XLOOKUP("timeout_jcc_normal",Calibration!$B:$B,Calibration!$C:$C,14),
     OR(C9="G",C9="J"),XLOOKUP("timeout_duochrome_normal",Calibration!$B:$B,Calibration!$C:$C,10),
     C9="K",XLOOKUP("timeout_bino_normal",Calibration!$B:$B,Calibration!$C:$C,14),
     OR(C9="P",C9="Q",C9="R"),XLOOKUP("timeout_near_normal",Calibration!$B:$B,Calibration!$C:$C,22),
     TRUE,XLOOKUP("timeout_coarse_normal",Calibration!$B:$B,Calibration!$C:$C,36)
   ),
 TRUE,
   IFS(
     OR(C9="B",C9="D"),XLOOKUP("timeout_coarse_slow",Calibration!$B:$B,Calibration!$C:$C,48),
     OR(C9="E",C9="F",C9="H",C9="I"),XLOOKUP("timeout_jcc_slow",Calibration!$B:$B,Calibration!$C:$C,18),
     OR(C9="G",C9="J"),XLOOKUP("timeout_duochrome_slow",Calibration!$B:$B,Calibration!$C:$C,12),
     C9="K",XLOOKUP("timeout_bino_slow",Calibration!$B:$B,Calibration!$C:$C,18),
     OR(C9="P",C9="Q",C9="R"),XLOOKUP("timeout_near_slow",Calibration!$B:$B,Calibration!$C:$C,28),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AJ9=TRUE,"ESCALATE",
C9="A",
IF(OR(I9="NOT_READABLE",I9="BLURRY",AND(R9="20_20_20",I9="READABLE")),"B","A"),
C9="B",
IF(reEsc,"ESCALATE",IF(AY9&gt;=phaseMax,"ESCALATE",IF(AND(AV9&gt;=AW9,I9="READABLE"),"E","B"))),
C9="E",
IF(AY9&gt;=phaseMax,"ESCALATE",IF(OR(I9="SAME",I9="CANT_TELL",AD9&lt;axisTol),"F","E")),
C9="F",
IF(AY9&gt;=phaseMax,"ESCALATE",IF(AX9&gt;=powerSameN,"G","F")),
C9="G",
IF(AY9&gt;=phaseMax,"ESCALATE",IF(OR(AX9&gt;=duoEqualN,BB9&gt;=duoMax),"D","G")),
C9="D",
IF(leEsc,"ESCALATE",IF(AY9&gt;=phaseMax,"ESCALATE",IF(AND(AV9&gt;=AW9,I9="READABLE"),"H","D"))),
C9="H",
IF(AY9&gt;=phaseMax,"ESCALATE",IF(OR(I9="SAME",I9="CANT_TELL",AD9&lt;axisTol),"I","H")),
C9="I",
IF(AY9&gt;=phaseMax,"ESCALATE",IF(AX9&gt;=powerSameN,"J","I")),
C9="J",
IF(AY9&gt;=phaseMax,"ESCALATE",IF(OR(AX9&gt;=duoEqualN,BB9&gt;=duoMax),"K","J")),
C9="K",
IF(AY9&gt;=phaseMax,"ESCALATE",IF(AX9&gt;=binoSameN,IF(XLOOKUP($B9,Derived_Variables!$A:$A,Derived_Variables!$AJ:$AJ,FALSE)=TRUE,"P","END"),"K")),
C9="P",
IF(AY9&gt;=phaseMax,"ESCALATE",IF(OR(I9="READABLE",I9="SAME"),"Q","P")),
C9="Q",
IF(AY9&gt;=phaseMax,"ESCALATE",IF(OR(I9="READABLE",I9="SAME"),"R","Q")),
C9="R",
IF(AY9&gt;=phaseMax,"ESCALATE",IF(OR(I9=nearTarget,I9="SAME"),"END","R")),
TRUE,"END"
)))</f>
        <v>E</v>
      </c>
      <c r="BD9" s="28" t="b">
        <f t="shared" si="19"/>
        <v>1</v>
      </c>
    </row>
    <row r="10">
      <c r="A10" s="28">
        <f t="shared" si="3"/>
        <v>9</v>
      </c>
      <c r="B10" s="28">
        <f t="shared" si="4"/>
        <v>6</v>
      </c>
      <c r="C10" s="28" t="str">
        <f t="shared" si="5"/>
        <v>E</v>
      </c>
      <c r="D10" s="28" t="str">
        <f t="array" ref="D10">IF($I9="","",XLOOKUP(C10,FSM_State_Map!A:A,FSM_State_Map!B:B,""))</f>
        <v>JCC Axis RE</v>
      </c>
      <c r="E10" s="28" t="str">
        <f t="array" ref="E10">IF($I9="","",XLOOKUP(C10,FSM_State_Map!A:A,FSM_State_Map!C:C,""))</f>
        <v>JCC_AXIS</v>
      </c>
      <c r="F10" s="28" t="str">
        <f t="array" ref="F10">IF($I9="","",XLOOKUP(E10,Phase_UI_Map!A:A,Phase_UI_Map!B:B,""))</f>
        <v>JCC_AXIS</v>
      </c>
      <c r="G10" s="28" t="str">
        <f t="array" ref="G10">IF($I9="","",XLOOKUP(E10,Phase_UI_Map!A:A,Phase_UI_Map!C:C,""))</f>
        <v>DOT_CHART_JCC</v>
      </c>
      <c r="H10" s="28" t="str">
        <f t="array" ref="H10">IF($I9="","",XLOOKUP(E10,Phase_UI_Map!A:A,Phase_UI_Map!D:D,""))</f>
        <v>COMPARE_1_2</v>
      </c>
      <c r="I10" s="29" t="s">
        <v>220</v>
      </c>
      <c r="J10" s="28" t="str">
        <f>IFERROR(__xludf.DUMMYFUNCTION("IF($I9="""","""",IFERROR(INDEX(FILTER(Response_Lists!$B:$B,Response_Lists!$A:$A=$H10),1),""""))"),"BETTER_1")</f>
        <v>BETTER_1</v>
      </c>
      <c r="K10" s="28" t="str">
        <f>IFERROR(__xludf.DUMMYFUNCTION("IF($I9="""","""",IFERROR(INDEX(FILTER(Response_Lists!$B:$B,Response_Lists!$A:$A=$H10),2),""""))"),"BETTER_2")</f>
        <v>BETTER_2</v>
      </c>
      <c r="L10" s="28" t="str">
        <f>IFERROR(__xludf.DUMMYFUNCTION("IF($I9="""","""",IFERROR(INDEX(FILTER(Response_Lists!$B:$B,Response_Lists!$A:$A=$H10),3),""""))"),"SAME")</f>
        <v>SAME</v>
      </c>
      <c r="M10" s="28" t="str">
        <f>IFERROR(__xludf.DUMMYFUNCTION("IF($I9="""","""",IFERROR(INDEX(FILTER(Response_Lists!$B:$B,Response_Lists!$A:$A=$H10),4),""""))"),"CANT_TELL")</f>
        <v>CANT_TELL</v>
      </c>
      <c r="N10" s="28" t="str">
        <f>IFERROR(__xludf.DUMMYFUNCTION("IF($I9="""","""",IFERROR(INDEX(FILTER(Response_Lists!$B:$B,Response_Lists!$A:$A=$H10),5),""""))"),"")</f>
        <v/>
      </c>
      <c r="O10" s="28" t="str">
        <f>IFERROR(__xludf.DUMMYFUNCTION("IF($I9="""","""",IFERROR(INDEX(FILTER(Response_Lists!$B:$B,Response_Lists!$A:$A=$H10),6),""""))"),"")</f>
        <v/>
      </c>
      <c r="P10" s="28" t="str">
        <f t="shared" si="6"/>
        <v>Which is clearer: 1 or 2?</v>
      </c>
      <c r="Q10" s="28" t="str">
        <f t="array" ref="Q10">IF($I9="","",XLOOKUP(C10,FSM_State_Map!A:A,FSM_State_Map!D:D,""))</f>
        <v>RE</v>
      </c>
      <c r="R10" s="28" t="str">
        <f t="shared" si="7"/>
        <v>20_20_20</v>
      </c>
      <c r="S10" s="28">
        <f t="array" ref="S10">IF($I9="","",
IF(
  AND(C10="B",C9&lt;&gt;"B"),
  XLOOKUP($B10,Derived_Variables!$A:$A,Derived_Variables!$K:$K,0)
  + XLOOKUP($B10,Derived_Variables!$A:$A,Derived_Variables!$AE:$AE,0),
  S9+AM9
))</f>
        <v>-0.75</v>
      </c>
      <c r="T10" s="28">
        <f t="shared" ref="T10:U10" si="30">IF($I9="","",T9+AN9)</f>
        <v>-0.5</v>
      </c>
      <c r="U10" s="28">
        <f t="shared" si="30"/>
        <v>0</v>
      </c>
      <c r="V10" s="28">
        <f t="array" ref="V10">IF($I9="","",
IF(
  AND(C10="D",C9&lt;&gt;"D"),
  XLOOKUP($B10,Derived_Variables!$A:$A,Derived_Variables!$N:$N,0)
  + XLOOKUP($B10,Derived_Variables!$A:$A,Derived_Variables!$AE:$AE,0),
  V9+AP9
))</f>
        <v>-1</v>
      </c>
      <c r="W10" s="28">
        <f t="shared" ref="W10:X10" si="31">IF($I9="","",W9+AQ9)</f>
        <v>0</v>
      </c>
      <c r="X10" s="28">
        <f t="shared" si="31"/>
        <v>0</v>
      </c>
      <c r="Y10" s="28">
        <f t="array" ref="Y10">IF($I9="","",IF(AND(C10="P",C9&lt;&gt;"P"),IFERROR(XLOOKUP($B10,Lenso_Input!$A:$A,Lenso_Input!$E:$E,0),0),Y9+AS9))</f>
        <v>0</v>
      </c>
      <c r="Z10" s="28">
        <f t="array" ref="Z10">IF($I9="","",IF(AND(C10="Q",C9&lt;&gt;"Q"),IFERROR(XLOOKUP($B10,Lenso_Input!$A:$A,Lenso_Input!$I:$I,0),0),Z9+AT9))</f>
        <v>0</v>
      </c>
      <c r="AA10" s="28" t="str">
        <f t="array" ref="AA10">IF($I9="","",IF(XLOOKUP($B10,Derived_Variables!$A:$A,Derived_Variables!$R:$R,"6/6_target")="6/6_target","20_20_20","40_30_25"))</f>
        <v>20_20_20</v>
      </c>
      <c r="AB10" s="28">
        <f t="array" ref="AB10">IF($I9="","",XLOOKUP(LOWER(XLOOKUP($B10,Derived_Variables!$A:$A,Derived_Variables!$T:$T,"Standard"))&amp;"_sph_step",Calibration!$B:$B,Calibration!$C:$C,0.25))</f>
        <v>0.25</v>
      </c>
      <c r="AC10" s="28">
        <f t="array" ref="AC10">IF($I9="","",XLOOKUP(LOWER(XLOOKUP($B10,Derived_Variables!$A:$A,Derived_Variables!$T:$T,"Standard"))&amp;"_cyl_step",Calibration!$B:$B,Calibration!$C:$C,0.25))</f>
        <v>0.25</v>
      </c>
      <c r="AD10" s="28">
        <f t="array" ref="AD10">IF($I9="","",IF(OR(C10="E",C10="H"),LET(startStep,XLOOKUP("axis_start_step",Calibration!$B:$B,Calibration!$C:$C,5),step1,XLOOKUP("axis_reversal_step_1",Calibration!$B:$B,Calibration!$C:$C,3),step2,XLOOKUP("axis_reversal_step_2",Calibration!$B:$B,Calibration!$C:$C,1),IF(OR(C9&lt;&gt;C10,AZ10="",AZ10="SAME",AZ10="CANT_TELL",I10="",I10="SAME",I10="CANT_TELL"),startStep,IF(OR(AND(AZ10="BETTER_1",I10="BETTER_2"),AND(AZ10="BETTER_2",I10="BETTER_1")),IF(AD9&gt;step1,step1,step2),AD9))),0))</f>
        <v>5</v>
      </c>
      <c r="AE10" s="28" t="str">
        <f t="array" ref="AE10">IF($I9="","",XLOOKUP($B10,Derived_Variables!$A:$A,Derived_Variables!$AD:$AD,"No_Fog"))</f>
        <v>Strong_Fog</v>
      </c>
      <c r="AF10" s="28">
        <f t="array" ref="AF10">IF($I9="","",XLOOKUP($B10,Derived_Variables!$A:$A,Derived_Variables!$AE:$AE,0))</f>
        <v>1</v>
      </c>
      <c r="AG10" s="28" t="str">
        <f t="array" ref="AG10">IF($I9="","",XLOOKUP($B10,Derived_Variables!$A:$A,Derived_Variables!$AF:$AF,""))</f>
        <v>StepDown_0.25</v>
      </c>
      <c r="AH10" s="28" t="str">
        <f t="array" ref="AH10">IF($I9="","",XLOOKUP($B10,Derived_Variables!$A:$A,Derived_Variables!$AG:$AG,""))</f>
        <v>Low</v>
      </c>
      <c r="AI10" s="28" t="str">
        <f t="array" ref="AI10">IF($I9="","",XLOOKUP($B10,Derived_Variables!$A:$A,Derived_Variables!$AC:$AC,"Medium"))</f>
        <v>Low</v>
      </c>
      <c r="AJ10" s="28" t="b">
        <f t="array" ref="AJ10">IF($I9="","",XLOOKUP($B10,Derived_Variables!$A:$A,Derived_Variables!$Y:$Y,FALSE))</f>
        <v>0</v>
      </c>
      <c r="AK10" s="28" t="str">
        <f t="array" ref="AK10">IF($I9="","",XLOOKUP($B10,Derived_Variables!$A:$A,Derived_Variables!$AA:$AA,"Normal"))</f>
        <v>Slow</v>
      </c>
      <c r="AL10" s="28" t="str">
        <f t="array" ref="AL10">IF($I9="","",XLOOKUP($B10,Derived_Variables!$A:$A,Derived_Variables!$AB:$AB,"Normal"))</f>
        <v>Relaxed</v>
      </c>
      <c r="AM10" s="28">
        <f t="array" ref="AM10">IF($I10="","",IFS(C10="B",IF(OR(I10="NOT_READABLE",I10="BLURRY"),-AB10,0),C10="G",IFS(I10="RED_CLEARER",XLOOKUP("duochrome_red_step",Calibration!$B:$B,Calibration!$C:$C,-0.25),I10="GREEN_CLEARER",XLOOKUP("duochrome_green_step",Calibration!$B:$B,Calibration!$C:$C,0.25),I10="EQUAL",IF(XLOOKUP($B10,Derived_Variables!$A:$A,Derived_Variables!$S:$S,"Neutral")="Undercorrect",XLOOKUP("undercorrect_step",Calibration!$B:$B,Calibration!$C:$C,0.25),IF(XLOOKUP($B10,Derived_Variables!$A:$A,Derived_Variables!$S:$S,"Neutral")="Overcorrect",-XLOOKUP("overcorrect_step",Calibration!$B:$B,Calibration!$C:$C,0.25),0)),TRUE,0),C10="K",IF(I10="TOP_CLEARER",XLOOKUP("bino_balance_step",Calibration!$B:$B,Calibration!$C:$C,0.25),0),TRUE,0))</f>
        <v>0</v>
      </c>
      <c r="AN10" s="28">
        <f t="shared" si="10"/>
        <v>0</v>
      </c>
      <c r="AO10" s="28">
        <f t="shared" si="11"/>
        <v>5</v>
      </c>
      <c r="AP10" s="28">
        <f t="array" ref="AP10">IF($I10="","",IFS(C10="D",IF(OR(I10="NOT_READABLE",I10="BLURRY"),-AB10,0),C10="J",IFS(I10="RED_CLEARER",XLOOKUP("duochrome_red_step",Calibration!$B:$B,Calibration!$C:$C,-0.25),I10="GREEN_CLEARER",XLOOKUP("duochrome_green_step",Calibration!$B:$B,Calibration!$C:$C,0.25),I10="EQUAL",IF(XLOOKUP($B10,Derived_Variables!$A:$A,Derived_Variables!$S:$S,"Neutral")="Undercorrect",XLOOKUP("undercorrect_step",Calibration!$B:$B,Calibration!$C:$C,0.25),IF(XLOOKUP($B10,Derived_Variables!$A:$A,Derived_Variables!$S:$S,"Neutral")="Overcorrect",-XLOOKUP("overcorrect_step",Calibration!$B:$B,Calibration!$C:$C,0.25),0)),TRUE,0),C10="K",IF(I10="BOTTOM_CLEARER",XLOOKUP("bino_balance_step",Calibration!$B:$B,Calibration!$C:$C,0.25),0),TRUE,0))</f>
        <v>0</v>
      </c>
      <c r="AQ10" s="28">
        <f t="shared" si="12"/>
        <v>0</v>
      </c>
      <c r="AR10" s="28">
        <f t="shared" si="13"/>
        <v>0</v>
      </c>
      <c r="AS10" s="28">
        <f t="array" ref="AS10">IF($I10="","",IF(C10="P",IF(OR(I10="NOT_READABLE",I10="BLURRY"),XLOOKUP("near_add_step",Calibration!$B:$B,Calibration!$C:$C,0.25),0),IF(C10="R",IF(I10="NOT_CLEAR",XLOOKUP("near_add_step",Calibration!$B:$B,Calibration!$C:$C,0.25),0),0)))</f>
        <v>0</v>
      </c>
      <c r="AT10" s="28">
        <f t="array" ref="AT10">IF($I10="","",IF(C10="Q",IF(OR(I10="NOT_READABLE",I10="BLURRY"),XLOOKUP("near_add_step",Calibration!$B:$B,Calibration!$C:$C,0.25),0),IF(C10="R",IF(I10="NOT_CLEAR",XLOOKUP("near_add_step",Calibration!$B:$B,Calibration!$C:$C,0.25),0),0)))</f>
        <v>0</v>
      </c>
      <c r="AU10" s="28" t="str">
        <f t="array" ref="AU10">IF($I10="","",IF(G10="SNELLEN_FEET",IF(I10="READABLE",IFERROR(XLOOKUP(XLOOKUP(R10,Chart_Scale_Distance!B:B,Chart_Scale_Distance!A:A)+1,Chart_Scale_Distance!A:A,Chart_Scale_Distance!B:B),R10),R10),R10))</f>
        <v>20_20_20</v>
      </c>
      <c r="AV10" s="28">
        <f t="array" ref="AV10">IF($I9="","",IFERROR(XLOOKUP(R10,Chart_Scale_Distance!$B:$B,Chart_Scale_Distance!$A:$A,""),""))</f>
        <v>6</v>
      </c>
      <c r="AW10" s="28">
        <f t="array" ref="AW10">IF($I9="","",IFERROR(XLOOKUP(AA10,Chart_Scale_Distance!$B:$B,Chart_Scale_Distance!$A:$A,""),""))</f>
        <v>6</v>
      </c>
      <c r="AX10" s="28">
        <f t="shared" si="14"/>
        <v>0</v>
      </c>
      <c r="AY10" s="28">
        <f t="shared" si="15"/>
        <v>1</v>
      </c>
      <c r="AZ10" s="28" t="str">
        <f t="shared" si="16"/>
        <v/>
      </c>
      <c r="BA10" s="28">
        <f t="shared" si="17"/>
        <v>0</v>
      </c>
      <c r="BB10" s="28">
        <f t="shared" si="18"/>
        <v>0</v>
      </c>
      <c r="BC10" s="28" t="str">
        <f t="array" ref="BC10">IF($I10="","",LET(
conf,AI10,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duoMax,XLOOKUP($B10,Derived_Variables!$A:$A,Derived_Variables!$AI:$AI,4),
axisTol,XLOOKUP($B10,Derived_Variables!$A:$A,Derived_Variables!$W:$W,1),
maxStart,XLOOKUP($B10,Derived_Variables!$A:$A,Derived_Variables!$U:$U,1.25),
maxAR,XLOOKUP($B10,Derived_Variables!$A:$A,Derived_Variables!$V:$V,3),
anom,XLOOKUP($B10,Derived_Variables!$A:$A,Derived_Variables!$Z:$Z,FALSE),
reStart,XLOOKUP($B10,Derived_Variables!$A:$A,Derived_Variables!$K:$K,0),
leStart,XLOOKUP($B10,Derived_Variables!$A:$A,Derived_Variables!$N:$N,0),
reAR,XLOOKUP($B10,AR_Input!$A:$A,AR_Input!$B:$B,reStart),
leAR,XLOOKUP($B10,AR_Input!$A:$A,AR_Input!$E:$E,leStart),
reEsc,AND(anom,OR(ABS((S10+AM10)-reStart)&gt;maxStart,ABS((S10+AM10)-reAR)&gt;maxAR)),
leEsc,AND(anom,OR(ABS((V10+AP10)-leStart)&gt;maxStart,ABS((V10+AP10)-leAR)&gt;maxAR)),
phaseMax,IFS(
 AK10="Fast",
   IFS(
     OR(C10="B",C10="D"),XLOOKUP("timeout_coarse_fast",Calibration!$B:$B,Calibration!$C:$C,24),
     OR(C10="E",C10="F",C10="H",C10="I"),XLOOKUP("timeout_jcc_fast",Calibration!$B:$B,Calibration!$C:$C,10),
     OR(C10="G",C10="J"),XLOOKUP("timeout_duochrome_fast",Calibration!$B:$B,Calibration!$C:$C,8),
     C10="K",XLOOKUP("timeout_bino_fast",Calibration!$B:$B,Calibration!$C:$C,10),
     OR(C10="P",C10="Q",C10="R"),XLOOKUP("timeout_near_fast",Calibration!$B:$B,Calibration!$C:$C,16),
     TRUE,XLOOKUP("timeout_coarse_fast",Calibration!$B:$B,Calibration!$C:$C,24)
   ),
 AK10="Normal",
   IFS(
     OR(C10="B",C10="D"),XLOOKUP("timeout_coarse_normal",Calibration!$B:$B,Calibration!$C:$C,36),
     OR(C10="E",C10="F",C10="H",C10="I"),XLOOKUP("timeout_jcc_normal",Calibration!$B:$B,Calibration!$C:$C,14),
     OR(C10="G",C10="J"),XLOOKUP("timeout_duochrome_normal",Calibration!$B:$B,Calibration!$C:$C,10),
     C10="K",XLOOKUP("timeout_bino_normal",Calibration!$B:$B,Calibration!$C:$C,14),
     OR(C10="P",C10="Q",C10="R"),XLOOKUP("timeout_near_normal",Calibration!$B:$B,Calibration!$C:$C,22),
     TRUE,XLOOKUP("timeout_coarse_normal",Calibration!$B:$B,Calibration!$C:$C,36)
   ),
 TRUE,
   IFS(
     OR(C10="B",C10="D"),XLOOKUP("timeout_coarse_slow",Calibration!$B:$B,Calibration!$C:$C,48),
     OR(C10="E",C10="F",C10="H",C10="I"),XLOOKUP("timeout_jcc_slow",Calibration!$B:$B,Calibration!$C:$C,18),
     OR(C10="G",C10="J"),XLOOKUP("timeout_duochrome_slow",Calibration!$B:$B,Calibration!$C:$C,12),
     C10="K",XLOOKUP("timeout_bino_slow",Calibration!$B:$B,Calibration!$C:$C,18),
     OR(C10="P",C10="Q",C10="R"),XLOOKUP("timeout_near_slow",Calibration!$B:$B,Calibration!$C:$C,28),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AJ10=TRUE,"ESCALATE",
C10="A",
IF(OR(I10="NOT_READABLE",I10="BLURRY",AND(R10="20_20_20",I10="READABLE")),"B","A"),
C10="B",
IF(reEsc,"ESCALATE",IF(AY10&gt;=phaseMax,"ESCALATE",IF(AND(AV10&gt;=AW10,I10="READABLE"),"E","B"))),
C10="E",
IF(AY10&gt;=phaseMax,"ESCALATE",IF(OR(I10="SAME",I10="CANT_TELL",AD10&lt;axisTol),"F","E")),
C10="F",
IF(AY10&gt;=phaseMax,"ESCALATE",IF(AX10&gt;=powerSameN,"G","F")),
C10="G",
IF(AY10&gt;=phaseMax,"ESCALATE",IF(OR(AX10&gt;=duoEqualN,BB10&gt;=duoMax),"D","G")),
C10="D",
IF(leEsc,"ESCALATE",IF(AY10&gt;=phaseMax,"ESCALATE",IF(AND(AV10&gt;=AW10,I10="READABLE"),"H","D"))),
C10="H",
IF(AY10&gt;=phaseMax,"ESCALATE",IF(OR(I10="SAME",I10="CANT_TELL",AD10&lt;axisTol),"I","H")),
C10="I",
IF(AY10&gt;=phaseMax,"ESCALATE",IF(AX10&gt;=powerSameN,"J","I")),
C10="J",
IF(AY10&gt;=phaseMax,"ESCALATE",IF(OR(AX10&gt;=duoEqualN,BB10&gt;=duoMax),"K","J")),
C10="K",
IF(AY10&gt;=phaseMax,"ESCALATE",IF(AX10&gt;=binoSameN,IF(XLOOKUP($B10,Derived_Variables!$A:$A,Derived_Variables!$AJ:$AJ,FALSE)=TRUE,"P","END"),"K")),
C10="P",
IF(AY10&gt;=phaseMax,"ESCALATE",IF(OR(I10="READABLE",I10="SAME"),"Q","P")),
C10="Q",
IF(AY10&gt;=phaseMax,"ESCALATE",IF(OR(I10="READABLE",I10="SAME"),"R","Q")),
C10="R",
IF(AY10&gt;=phaseMax,"ESCALATE",IF(OR(I10=nearTarget,I10="SAME"),"END","R")),
TRUE,"END"
)))</f>
        <v>E</v>
      </c>
      <c r="BD10" s="28" t="b">
        <f t="shared" si="19"/>
        <v>1</v>
      </c>
    </row>
    <row r="11">
      <c r="A11" s="28">
        <f t="shared" si="3"/>
        <v>10</v>
      </c>
      <c r="B11" s="28">
        <f t="shared" si="4"/>
        <v>6</v>
      </c>
      <c r="C11" s="28" t="str">
        <f t="shared" si="5"/>
        <v>E</v>
      </c>
      <c r="D11" s="28" t="str">
        <f t="array" ref="D11">IF($I10="","",XLOOKUP(C11,FSM_State_Map!A:A,FSM_State_Map!B:B,""))</f>
        <v>JCC Axis RE</v>
      </c>
      <c r="E11" s="28" t="str">
        <f t="array" ref="E11">IF($I10="","",XLOOKUP(C11,FSM_State_Map!A:A,FSM_State_Map!C:C,""))</f>
        <v>JCC_AXIS</v>
      </c>
      <c r="F11" s="28" t="str">
        <f t="array" ref="F11">IF($I10="","",XLOOKUP(E11,Phase_UI_Map!A:A,Phase_UI_Map!B:B,""))</f>
        <v>JCC_AXIS</v>
      </c>
      <c r="G11" s="28" t="str">
        <f t="array" ref="G11">IF($I10="","",XLOOKUP(E11,Phase_UI_Map!A:A,Phase_UI_Map!C:C,""))</f>
        <v>DOT_CHART_JCC</v>
      </c>
      <c r="H11" s="28" t="str">
        <f t="array" ref="H11">IF($I10="","",XLOOKUP(E11,Phase_UI_Map!A:A,Phase_UI_Map!D:D,""))</f>
        <v>COMPARE_1_2</v>
      </c>
      <c r="I11" s="29" t="s">
        <v>221</v>
      </c>
      <c r="J11" s="28" t="str">
        <f>IFERROR(__xludf.DUMMYFUNCTION("IF($I10="""","""",IFERROR(INDEX(FILTER(Response_Lists!$B:$B,Response_Lists!$A:$A=$H11),1),""""))"),"BETTER_1")</f>
        <v>BETTER_1</v>
      </c>
      <c r="K11" s="28" t="str">
        <f>IFERROR(__xludf.DUMMYFUNCTION("IF($I10="""","""",IFERROR(INDEX(FILTER(Response_Lists!$B:$B,Response_Lists!$A:$A=$H11),2),""""))"),"BETTER_2")</f>
        <v>BETTER_2</v>
      </c>
      <c r="L11" s="28" t="str">
        <f>IFERROR(__xludf.DUMMYFUNCTION("IF($I10="""","""",IFERROR(INDEX(FILTER(Response_Lists!$B:$B,Response_Lists!$A:$A=$H11),3),""""))"),"SAME")</f>
        <v>SAME</v>
      </c>
      <c r="M11" s="28" t="str">
        <f>IFERROR(__xludf.DUMMYFUNCTION("IF($I10="""","""",IFERROR(INDEX(FILTER(Response_Lists!$B:$B,Response_Lists!$A:$A=$H11),4),""""))"),"CANT_TELL")</f>
        <v>CANT_TELL</v>
      </c>
      <c r="N11" s="28" t="str">
        <f>IFERROR(__xludf.DUMMYFUNCTION("IF($I10="""","""",IFERROR(INDEX(FILTER(Response_Lists!$B:$B,Response_Lists!$A:$A=$H11),5),""""))"),"")</f>
        <v/>
      </c>
      <c r="O11" s="28" t="str">
        <f>IFERROR(__xludf.DUMMYFUNCTION("IF($I10="""","""",IFERROR(INDEX(FILTER(Response_Lists!$B:$B,Response_Lists!$A:$A=$H11),6),""""))"),"")</f>
        <v/>
      </c>
      <c r="P11" s="28" t="str">
        <f t="shared" si="6"/>
        <v>Which is clearer: 1 or 2?</v>
      </c>
      <c r="Q11" s="28" t="str">
        <f t="array" ref="Q11">IF($I10="","",XLOOKUP(C11,FSM_State_Map!A:A,FSM_State_Map!D:D,""))</f>
        <v>RE</v>
      </c>
      <c r="R11" s="28" t="str">
        <f t="shared" si="7"/>
        <v>20_20_20</v>
      </c>
      <c r="S11" s="28">
        <f t="array" ref="S11">IF($I10="","",
IF(
  AND(C11="B",C10&lt;&gt;"B"),
  XLOOKUP($B11,Derived_Variables!$A:$A,Derived_Variables!$K:$K,0)
  + XLOOKUP($B11,Derived_Variables!$A:$A,Derived_Variables!$AE:$AE,0),
  S10+AM10
))</f>
        <v>-0.75</v>
      </c>
      <c r="T11" s="28">
        <f t="shared" ref="T11:U11" si="32">IF($I10="","",T10+AN10)</f>
        <v>-0.5</v>
      </c>
      <c r="U11" s="28">
        <f t="shared" si="32"/>
        <v>5</v>
      </c>
      <c r="V11" s="28">
        <f t="array" ref="V11">IF($I10="","",
IF(
  AND(C11="D",C10&lt;&gt;"D"),
  XLOOKUP($B11,Derived_Variables!$A:$A,Derived_Variables!$N:$N,0)
  + XLOOKUP($B11,Derived_Variables!$A:$A,Derived_Variables!$AE:$AE,0),
  V10+AP10
))</f>
        <v>-1</v>
      </c>
      <c r="W11" s="28">
        <f t="shared" ref="W11:X11" si="33">IF($I10="","",W10+AQ10)</f>
        <v>0</v>
      </c>
      <c r="X11" s="28">
        <f t="shared" si="33"/>
        <v>0</v>
      </c>
      <c r="Y11" s="28">
        <f t="array" ref="Y11">IF($I10="","",IF(AND(C11="P",C10&lt;&gt;"P"),IFERROR(XLOOKUP($B11,Lenso_Input!$A:$A,Lenso_Input!$E:$E,0),0),Y10+AS10))</f>
        <v>0</v>
      </c>
      <c r="Z11" s="28">
        <f t="array" ref="Z11">IF($I10="","",IF(AND(C11="Q",C10&lt;&gt;"Q"),IFERROR(XLOOKUP($B11,Lenso_Input!$A:$A,Lenso_Input!$I:$I,0),0),Z10+AT10))</f>
        <v>0</v>
      </c>
      <c r="AA11" s="28" t="str">
        <f t="array" ref="AA11">IF($I10="","",IF(XLOOKUP($B11,Derived_Variables!$A:$A,Derived_Variables!$R:$R,"6/6_target")="6/6_target","20_20_20","40_30_25"))</f>
        <v>20_20_20</v>
      </c>
      <c r="AB11" s="28">
        <f t="array" ref="AB11">IF($I10="","",XLOOKUP(LOWER(XLOOKUP($B11,Derived_Variables!$A:$A,Derived_Variables!$T:$T,"Standard"))&amp;"_sph_step",Calibration!$B:$B,Calibration!$C:$C,0.25))</f>
        <v>0.25</v>
      </c>
      <c r="AC11" s="28">
        <f t="array" ref="AC11">IF($I10="","",XLOOKUP(LOWER(XLOOKUP($B11,Derived_Variables!$A:$A,Derived_Variables!$T:$T,"Standard"))&amp;"_cyl_step",Calibration!$B:$B,Calibration!$C:$C,0.25))</f>
        <v>0.25</v>
      </c>
      <c r="AD11" s="28">
        <f t="array" ref="AD11">IF($I10="","",IF(OR(C11="E",C11="H"),LET(startStep,XLOOKUP("axis_start_step",Calibration!$B:$B,Calibration!$C:$C,5),step1,XLOOKUP("axis_reversal_step_1",Calibration!$B:$B,Calibration!$C:$C,3),step2,XLOOKUP("axis_reversal_step_2",Calibration!$B:$B,Calibration!$C:$C,1),IF(OR(C10&lt;&gt;C11,AZ11="",AZ11="SAME",AZ11="CANT_TELL",I11="",I11="SAME",I11="CANT_TELL"),startStep,IF(OR(AND(AZ11="BETTER_1",I11="BETTER_2"),AND(AZ11="BETTER_2",I11="BETTER_1")),IF(AD10&gt;step1,step1,step2),AD10))),0))</f>
        <v>3</v>
      </c>
      <c r="AE11" s="28" t="str">
        <f t="array" ref="AE11">IF($I10="","",XLOOKUP($B11,Derived_Variables!$A:$A,Derived_Variables!$AD:$AD,"No_Fog"))</f>
        <v>Strong_Fog</v>
      </c>
      <c r="AF11" s="28">
        <f t="array" ref="AF11">IF($I10="","",XLOOKUP($B11,Derived_Variables!$A:$A,Derived_Variables!$AE:$AE,0))</f>
        <v>1</v>
      </c>
      <c r="AG11" s="28" t="str">
        <f t="array" ref="AG11">IF($I10="","",XLOOKUP($B11,Derived_Variables!$A:$A,Derived_Variables!$AF:$AF,""))</f>
        <v>StepDown_0.25</v>
      </c>
      <c r="AH11" s="28" t="str">
        <f t="array" ref="AH11">IF($I10="","",XLOOKUP($B11,Derived_Variables!$A:$A,Derived_Variables!$AG:$AG,""))</f>
        <v>Low</v>
      </c>
      <c r="AI11" s="28" t="str">
        <f t="array" ref="AI11">IF($I10="","",XLOOKUP($B11,Derived_Variables!$A:$A,Derived_Variables!$AC:$AC,"Medium"))</f>
        <v>Low</v>
      </c>
      <c r="AJ11" s="28" t="b">
        <f t="array" ref="AJ11">IF($I10="","",XLOOKUP($B11,Derived_Variables!$A:$A,Derived_Variables!$Y:$Y,FALSE))</f>
        <v>0</v>
      </c>
      <c r="AK11" s="28" t="str">
        <f t="array" ref="AK11">IF($I10="","",XLOOKUP($B11,Derived_Variables!$A:$A,Derived_Variables!$AA:$AA,"Normal"))</f>
        <v>Slow</v>
      </c>
      <c r="AL11" s="28" t="str">
        <f t="array" ref="AL11">IF($I10="","",XLOOKUP($B11,Derived_Variables!$A:$A,Derived_Variables!$AB:$AB,"Normal"))</f>
        <v>Relaxed</v>
      </c>
      <c r="AM11" s="28">
        <f t="array" ref="AM11">IF($I11="","",IFS(C11="B",IF(OR(I11="NOT_READABLE",I11="BLURRY"),-AB11,0),C11="G",IFS(I11="RED_CLEARER",XLOOKUP("duochrome_red_step",Calibration!$B:$B,Calibration!$C:$C,-0.25),I11="GREEN_CLEARER",XLOOKUP("duochrome_green_step",Calibration!$B:$B,Calibration!$C:$C,0.25),I11="EQUAL",IF(XLOOKUP($B11,Derived_Variables!$A:$A,Derived_Variables!$S:$S,"Neutral")="Undercorrect",XLOOKUP("undercorrect_step",Calibration!$B:$B,Calibration!$C:$C,0.25),IF(XLOOKUP($B11,Derived_Variables!$A:$A,Derived_Variables!$S:$S,"Neutral")="Overcorrect",-XLOOKUP("overcorrect_step",Calibration!$B:$B,Calibration!$C:$C,0.25),0)),TRUE,0),C11="K",IF(I11="TOP_CLEARER",XLOOKUP("bino_balance_step",Calibration!$B:$B,Calibration!$C:$C,0.25),0),TRUE,0))</f>
        <v>0</v>
      </c>
      <c r="AN11" s="28">
        <f t="shared" si="10"/>
        <v>0</v>
      </c>
      <c r="AO11" s="28">
        <f t="shared" si="11"/>
        <v>-3</v>
      </c>
      <c r="AP11" s="28">
        <f t="array" ref="AP11">IF($I11="","",IFS(C11="D",IF(OR(I11="NOT_READABLE",I11="BLURRY"),-AB11,0),C11="J",IFS(I11="RED_CLEARER",XLOOKUP("duochrome_red_step",Calibration!$B:$B,Calibration!$C:$C,-0.25),I11="GREEN_CLEARER",XLOOKUP("duochrome_green_step",Calibration!$B:$B,Calibration!$C:$C,0.25),I11="EQUAL",IF(XLOOKUP($B11,Derived_Variables!$A:$A,Derived_Variables!$S:$S,"Neutral")="Undercorrect",XLOOKUP("undercorrect_step",Calibration!$B:$B,Calibration!$C:$C,0.25),IF(XLOOKUP($B11,Derived_Variables!$A:$A,Derived_Variables!$S:$S,"Neutral")="Overcorrect",-XLOOKUP("overcorrect_step",Calibration!$B:$B,Calibration!$C:$C,0.25),0)),TRUE,0),C11="K",IF(I11="BOTTOM_CLEARER",XLOOKUP("bino_balance_step",Calibration!$B:$B,Calibration!$C:$C,0.25),0),TRUE,0))</f>
        <v>0</v>
      </c>
      <c r="AQ11" s="28">
        <f t="shared" si="12"/>
        <v>0</v>
      </c>
      <c r="AR11" s="28">
        <f t="shared" si="13"/>
        <v>0</v>
      </c>
      <c r="AS11" s="28">
        <f t="array" ref="AS11">IF($I11="","",IF(C11="P",IF(OR(I11="NOT_READABLE",I11="BLURRY"),XLOOKUP("near_add_step",Calibration!$B:$B,Calibration!$C:$C,0.25),0),IF(C11="R",IF(I11="NOT_CLEAR",XLOOKUP("near_add_step",Calibration!$B:$B,Calibration!$C:$C,0.25),0),0)))</f>
        <v>0</v>
      </c>
      <c r="AT11" s="28">
        <f t="array" ref="AT11">IF($I11="","",IF(C11="Q",IF(OR(I11="NOT_READABLE",I11="BLURRY"),XLOOKUP("near_add_step",Calibration!$B:$B,Calibration!$C:$C,0.25),0),IF(C11="R",IF(I11="NOT_CLEAR",XLOOKUP("near_add_step",Calibration!$B:$B,Calibration!$C:$C,0.25),0),0)))</f>
        <v>0</v>
      </c>
      <c r="AU11" s="28" t="str">
        <f t="array" ref="AU11">IF($I11="","",IF(G11="SNELLEN_FEET",IF(I11="READABLE",IFERROR(XLOOKUP(XLOOKUP(R11,Chart_Scale_Distance!B:B,Chart_Scale_Distance!A:A)+1,Chart_Scale_Distance!A:A,Chart_Scale_Distance!B:B),R11),R11),R11))</f>
        <v>20_20_20</v>
      </c>
      <c r="AV11" s="28">
        <f t="array" ref="AV11">IF($I10="","",IFERROR(XLOOKUP(R11,Chart_Scale_Distance!$B:$B,Chart_Scale_Distance!$A:$A,""),""))</f>
        <v>6</v>
      </c>
      <c r="AW11" s="28">
        <f t="array" ref="AW11">IF($I10="","",IFERROR(XLOOKUP(AA11,Chart_Scale_Distance!$B:$B,Chart_Scale_Distance!$A:$A,""),""))</f>
        <v>6</v>
      </c>
      <c r="AX11" s="28">
        <f t="shared" si="14"/>
        <v>0</v>
      </c>
      <c r="AY11" s="28">
        <f t="shared" si="15"/>
        <v>2</v>
      </c>
      <c r="AZ11" s="28" t="str">
        <f t="shared" si="16"/>
        <v>BETTER_2</v>
      </c>
      <c r="BA11" s="28">
        <f t="shared" si="17"/>
        <v>0</v>
      </c>
      <c r="BB11" s="28">
        <f t="shared" si="18"/>
        <v>0</v>
      </c>
      <c r="BC11" s="28" t="str">
        <f t="array" ref="BC11">IF($I11="","",LET(
conf,AI11,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duoMax,XLOOKUP($B11,Derived_Variables!$A:$A,Derived_Variables!$AI:$AI,4),
axisTol,XLOOKUP($B11,Derived_Variables!$A:$A,Derived_Variables!$W:$W,1),
maxStart,XLOOKUP($B11,Derived_Variables!$A:$A,Derived_Variables!$U:$U,1.25),
maxAR,XLOOKUP($B11,Derived_Variables!$A:$A,Derived_Variables!$V:$V,3),
anom,XLOOKUP($B11,Derived_Variables!$A:$A,Derived_Variables!$Z:$Z,FALSE),
reStart,XLOOKUP($B11,Derived_Variables!$A:$A,Derived_Variables!$K:$K,0),
leStart,XLOOKUP($B11,Derived_Variables!$A:$A,Derived_Variables!$N:$N,0),
reAR,XLOOKUP($B11,AR_Input!$A:$A,AR_Input!$B:$B,reStart),
leAR,XLOOKUP($B11,AR_Input!$A:$A,AR_Input!$E:$E,leStart),
reEsc,AND(anom,OR(ABS((S11+AM11)-reStart)&gt;maxStart,ABS((S11+AM11)-reAR)&gt;maxAR)),
leEsc,AND(anom,OR(ABS((V11+AP11)-leStart)&gt;maxStart,ABS((V11+AP11)-leAR)&gt;maxAR)),
phaseMax,IFS(
 AK11="Fast",
   IFS(
     OR(C11="B",C11="D"),XLOOKUP("timeout_coarse_fast",Calibration!$B:$B,Calibration!$C:$C,24),
     OR(C11="E",C11="F",C11="H",C11="I"),XLOOKUP("timeout_jcc_fast",Calibration!$B:$B,Calibration!$C:$C,10),
     OR(C11="G",C11="J"),XLOOKUP("timeout_duochrome_fast",Calibration!$B:$B,Calibration!$C:$C,8),
     C11="K",XLOOKUP("timeout_bino_fast",Calibration!$B:$B,Calibration!$C:$C,10),
     OR(C11="P",C11="Q",C11="R"),XLOOKUP("timeout_near_fast",Calibration!$B:$B,Calibration!$C:$C,16),
     TRUE,XLOOKUP("timeout_coarse_fast",Calibration!$B:$B,Calibration!$C:$C,24)
   ),
 AK11="Normal",
   IFS(
     OR(C11="B",C11="D"),XLOOKUP("timeout_coarse_normal",Calibration!$B:$B,Calibration!$C:$C,36),
     OR(C11="E",C11="F",C11="H",C11="I"),XLOOKUP("timeout_jcc_normal",Calibration!$B:$B,Calibration!$C:$C,14),
     OR(C11="G",C11="J"),XLOOKUP("timeout_duochrome_normal",Calibration!$B:$B,Calibration!$C:$C,10),
     C11="K",XLOOKUP("timeout_bino_normal",Calibration!$B:$B,Calibration!$C:$C,14),
     OR(C11="P",C11="Q",C11="R"),XLOOKUP("timeout_near_normal",Calibration!$B:$B,Calibration!$C:$C,22),
     TRUE,XLOOKUP("timeout_coarse_normal",Calibration!$B:$B,Calibration!$C:$C,36)
   ),
 TRUE,
   IFS(
     OR(C11="B",C11="D"),XLOOKUP("timeout_coarse_slow",Calibration!$B:$B,Calibration!$C:$C,48),
     OR(C11="E",C11="F",C11="H",C11="I"),XLOOKUP("timeout_jcc_slow",Calibration!$B:$B,Calibration!$C:$C,18),
     OR(C11="G",C11="J"),XLOOKUP("timeout_duochrome_slow",Calibration!$B:$B,Calibration!$C:$C,12),
     C11="K",XLOOKUP("timeout_bino_slow",Calibration!$B:$B,Calibration!$C:$C,18),
     OR(C11="P",C11="Q",C11="R"),XLOOKUP("timeout_near_slow",Calibration!$B:$B,Calibration!$C:$C,28),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AJ11=TRUE,"ESCALATE",
C11="A",
IF(OR(I11="NOT_READABLE",I11="BLURRY",AND(R11="20_20_20",I11="READABLE")),"B","A"),
C11="B",
IF(reEsc,"ESCALATE",IF(AY11&gt;=phaseMax,"ESCALATE",IF(AND(AV11&gt;=AW11,I11="READABLE"),"E","B"))),
C11="E",
IF(AY11&gt;=phaseMax,"ESCALATE",IF(OR(I11="SAME",I11="CANT_TELL",AD11&lt;axisTol),"F","E")),
C11="F",
IF(AY11&gt;=phaseMax,"ESCALATE",IF(AX11&gt;=powerSameN,"G","F")),
C11="G",
IF(AY11&gt;=phaseMax,"ESCALATE",IF(OR(AX11&gt;=duoEqualN,BB11&gt;=duoMax),"D","G")),
C11="D",
IF(leEsc,"ESCALATE",IF(AY11&gt;=phaseMax,"ESCALATE",IF(AND(AV11&gt;=AW11,I11="READABLE"),"H","D"))),
C11="H",
IF(AY11&gt;=phaseMax,"ESCALATE",IF(OR(I11="SAME",I11="CANT_TELL",AD11&lt;axisTol),"I","H")),
C11="I",
IF(AY11&gt;=phaseMax,"ESCALATE",IF(AX11&gt;=powerSameN,"J","I")),
C11="J",
IF(AY11&gt;=phaseMax,"ESCALATE",IF(OR(AX11&gt;=duoEqualN,BB11&gt;=duoMax),"K","J")),
C11="K",
IF(AY11&gt;=phaseMax,"ESCALATE",IF(AX11&gt;=binoSameN,IF(XLOOKUP($B11,Derived_Variables!$A:$A,Derived_Variables!$AJ:$AJ,FALSE)=TRUE,"P","END"),"K")),
C11="P",
IF(AY11&gt;=phaseMax,"ESCALATE",IF(OR(I11="READABLE",I11="SAME"),"Q","P")),
C11="Q",
IF(AY11&gt;=phaseMax,"ESCALATE",IF(OR(I11="READABLE",I11="SAME"),"R","Q")),
C11="R",
IF(AY11&gt;=phaseMax,"ESCALATE",IF(OR(I11=nearTarget,I11="SAME"),"END","R")),
TRUE,"END"
)))</f>
        <v>F</v>
      </c>
      <c r="BD11" s="28" t="b">
        <f t="shared" si="19"/>
        <v>1</v>
      </c>
    </row>
    <row r="12">
      <c r="A12" s="28">
        <f t="shared" si="3"/>
        <v>11</v>
      </c>
      <c r="B12" s="28">
        <f t="shared" si="4"/>
        <v>6</v>
      </c>
      <c r="C12" s="28" t="str">
        <f t="shared" si="5"/>
        <v>F</v>
      </c>
      <c r="D12" s="28" t="str">
        <f t="array" ref="D12">IF($I11="","",XLOOKUP(C12,FSM_State_Map!A:A,FSM_State_Map!B:B,""))</f>
        <v>JCC Power RE</v>
      </c>
      <c r="E12" s="28" t="str">
        <f t="array" ref="E12">IF($I11="","",XLOOKUP(C12,FSM_State_Map!A:A,FSM_State_Map!C:C,""))</f>
        <v>JCC_POWER</v>
      </c>
      <c r="F12" s="28" t="str">
        <f t="array" ref="F12">IF($I11="","",XLOOKUP(E12,Phase_UI_Map!A:A,Phase_UI_Map!B:B,""))</f>
        <v>JCC_POWER</v>
      </c>
      <c r="G12" s="28" t="str">
        <f t="array" ref="G12">IF($I11="","",XLOOKUP(E12,Phase_UI_Map!A:A,Phase_UI_Map!C:C,""))</f>
        <v>DOT_CHART_JCC</v>
      </c>
      <c r="H12" s="28" t="str">
        <f t="array" ref="H12">IF($I11="","",XLOOKUP(E12,Phase_UI_Map!A:A,Phase_UI_Map!D:D,""))</f>
        <v>COMPARE_1_2</v>
      </c>
      <c r="I12" s="29" t="s">
        <v>221</v>
      </c>
      <c r="J12" s="28" t="str">
        <f>IFERROR(__xludf.DUMMYFUNCTION("IF($I11="""","""",IFERROR(INDEX(FILTER(Response_Lists!$B:$B,Response_Lists!$A:$A=$H12),1),""""))"),"BETTER_1")</f>
        <v>BETTER_1</v>
      </c>
      <c r="K12" s="28" t="str">
        <f>IFERROR(__xludf.DUMMYFUNCTION("IF($I11="""","""",IFERROR(INDEX(FILTER(Response_Lists!$B:$B,Response_Lists!$A:$A=$H12),2),""""))"),"BETTER_2")</f>
        <v>BETTER_2</v>
      </c>
      <c r="L12" s="28" t="str">
        <f>IFERROR(__xludf.DUMMYFUNCTION("IF($I11="""","""",IFERROR(INDEX(FILTER(Response_Lists!$B:$B,Response_Lists!$A:$A=$H12),3),""""))"),"SAME")</f>
        <v>SAME</v>
      </c>
      <c r="M12" s="28" t="str">
        <f>IFERROR(__xludf.DUMMYFUNCTION("IF($I11="""","""",IFERROR(INDEX(FILTER(Response_Lists!$B:$B,Response_Lists!$A:$A=$H12),4),""""))"),"CANT_TELL")</f>
        <v>CANT_TELL</v>
      </c>
      <c r="N12" s="28" t="str">
        <f>IFERROR(__xludf.DUMMYFUNCTION("IF($I11="""","""",IFERROR(INDEX(FILTER(Response_Lists!$B:$B,Response_Lists!$A:$A=$H12),5),""""))"),"")</f>
        <v/>
      </c>
      <c r="O12" s="28" t="str">
        <f>IFERROR(__xludf.DUMMYFUNCTION("IF($I11="""","""",IFERROR(INDEX(FILTER(Response_Lists!$B:$B,Response_Lists!$A:$A=$H12),6),""""))"),"")</f>
        <v/>
      </c>
      <c r="P12" s="28" t="str">
        <f t="shared" si="6"/>
        <v>Which is clearer: 1 or 2?</v>
      </c>
      <c r="Q12" s="28" t="str">
        <f t="array" ref="Q12">IF($I11="","",XLOOKUP(C12,FSM_State_Map!A:A,FSM_State_Map!D:D,""))</f>
        <v>RE</v>
      </c>
      <c r="R12" s="28" t="str">
        <f t="shared" si="7"/>
        <v>20_20_20</v>
      </c>
      <c r="S12" s="28">
        <f t="array" ref="S12">IF($I11="","",
IF(
  AND(C12="B",C11&lt;&gt;"B"),
  XLOOKUP($B12,Derived_Variables!$A:$A,Derived_Variables!$K:$K,0)
  + XLOOKUP($B12,Derived_Variables!$A:$A,Derived_Variables!$AE:$AE,0),
  S11+AM11
))</f>
        <v>-0.75</v>
      </c>
      <c r="T12" s="28">
        <f t="shared" ref="T12:U12" si="34">IF($I11="","",T11+AN11)</f>
        <v>-0.5</v>
      </c>
      <c r="U12" s="28">
        <f t="shared" si="34"/>
        <v>2</v>
      </c>
      <c r="V12" s="28">
        <f t="array" ref="V12">IF($I11="","",
IF(
  AND(C12="D",C11&lt;&gt;"D"),
  XLOOKUP($B12,Derived_Variables!$A:$A,Derived_Variables!$N:$N,0)
  + XLOOKUP($B12,Derived_Variables!$A:$A,Derived_Variables!$AE:$AE,0),
  V11+AP11
))</f>
        <v>-1</v>
      </c>
      <c r="W12" s="28">
        <f t="shared" ref="W12:X12" si="35">IF($I11="","",W11+AQ11)</f>
        <v>0</v>
      </c>
      <c r="X12" s="28">
        <f t="shared" si="35"/>
        <v>0</v>
      </c>
      <c r="Y12" s="28">
        <f t="array" ref="Y12">IF($I11="","",IF(AND(C12="P",C11&lt;&gt;"P"),IFERROR(XLOOKUP($B12,Lenso_Input!$A:$A,Lenso_Input!$E:$E,0),0),Y11+AS11))</f>
        <v>0</v>
      </c>
      <c r="Z12" s="28">
        <f t="array" ref="Z12">IF($I11="","",IF(AND(C12="Q",C11&lt;&gt;"Q"),IFERROR(XLOOKUP($B12,Lenso_Input!$A:$A,Lenso_Input!$I:$I,0),0),Z11+AT11))</f>
        <v>0</v>
      </c>
      <c r="AA12" s="28" t="str">
        <f t="array" ref="AA12">IF($I11="","",IF(XLOOKUP($B12,Derived_Variables!$A:$A,Derived_Variables!$R:$R,"6/6_target")="6/6_target","20_20_20","40_30_25"))</f>
        <v>20_20_20</v>
      </c>
      <c r="AB12" s="28">
        <f t="array" ref="AB12">IF($I11="","",XLOOKUP(LOWER(XLOOKUP($B12,Derived_Variables!$A:$A,Derived_Variables!$T:$T,"Standard"))&amp;"_sph_step",Calibration!$B:$B,Calibration!$C:$C,0.25))</f>
        <v>0.25</v>
      </c>
      <c r="AC12" s="28">
        <f t="array" ref="AC12">IF($I11="","",XLOOKUP(LOWER(XLOOKUP($B12,Derived_Variables!$A:$A,Derived_Variables!$T:$T,"Standard"))&amp;"_cyl_step",Calibration!$B:$B,Calibration!$C:$C,0.25))</f>
        <v>0.25</v>
      </c>
      <c r="AD12" s="28">
        <f t="array" ref="AD12">IF($I11="","",IF(OR(C12="E",C12="H"),LET(startStep,XLOOKUP("axis_start_step",Calibration!$B:$B,Calibration!$C:$C,5),step1,XLOOKUP("axis_reversal_step_1",Calibration!$B:$B,Calibration!$C:$C,3),step2,XLOOKUP("axis_reversal_step_2",Calibration!$B:$B,Calibration!$C:$C,1),IF(OR(C11&lt;&gt;C12,AZ12="",AZ12="SAME",AZ12="CANT_TELL",I12="",I12="SAME",I12="CANT_TELL"),startStep,IF(OR(AND(AZ12="BETTER_1",I12="BETTER_2"),AND(AZ12="BETTER_2",I12="BETTER_1")),IF(AD11&gt;step1,step1,step2),AD11))),0))</f>
        <v>0</v>
      </c>
      <c r="AE12" s="28" t="str">
        <f t="array" ref="AE12">IF($I11="","",XLOOKUP($B12,Derived_Variables!$A:$A,Derived_Variables!$AD:$AD,"No_Fog"))</f>
        <v>Strong_Fog</v>
      </c>
      <c r="AF12" s="28">
        <f t="array" ref="AF12">IF($I11="","",XLOOKUP($B12,Derived_Variables!$A:$A,Derived_Variables!$AE:$AE,0))</f>
        <v>1</v>
      </c>
      <c r="AG12" s="28" t="str">
        <f t="array" ref="AG12">IF($I11="","",XLOOKUP($B12,Derived_Variables!$A:$A,Derived_Variables!$AF:$AF,""))</f>
        <v>StepDown_0.25</v>
      </c>
      <c r="AH12" s="28" t="str">
        <f t="array" ref="AH12">IF($I11="","",XLOOKUP($B12,Derived_Variables!$A:$A,Derived_Variables!$AG:$AG,""))</f>
        <v>Low</v>
      </c>
      <c r="AI12" s="28" t="str">
        <f t="array" ref="AI12">IF($I11="","",XLOOKUP($B12,Derived_Variables!$A:$A,Derived_Variables!$AC:$AC,"Medium"))</f>
        <v>Low</v>
      </c>
      <c r="AJ12" s="28" t="b">
        <f t="array" ref="AJ12">IF($I11="","",XLOOKUP($B12,Derived_Variables!$A:$A,Derived_Variables!$Y:$Y,FALSE))</f>
        <v>0</v>
      </c>
      <c r="AK12" s="28" t="str">
        <f t="array" ref="AK12">IF($I11="","",XLOOKUP($B12,Derived_Variables!$A:$A,Derived_Variables!$AA:$AA,"Normal"))</f>
        <v>Slow</v>
      </c>
      <c r="AL12" s="28" t="str">
        <f t="array" ref="AL12">IF($I11="","",XLOOKUP($B12,Derived_Variables!$A:$A,Derived_Variables!$AB:$AB,"Normal"))</f>
        <v>Relaxed</v>
      </c>
      <c r="AM12" s="28">
        <f t="array" ref="AM12">IF($I12="","",IFS(C12="B",IF(OR(I12="NOT_READABLE",I12="BLURRY"),-AB12,0),C12="G",IFS(I12="RED_CLEARER",XLOOKUP("duochrome_red_step",Calibration!$B:$B,Calibration!$C:$C,-0.25),I12="GREEN_CLEARER",XLOOKUP("duochrome_green_step",Calibration!$B:$B,Calibration!$C:$C,0.25),I12="EQUAL",IF(XLOOKUP($B12,Derived_Variables!$A:$A,Derived_Variables!$S:$S,"Neutral")="Undercorrect",XLOOKUP("undercorrect_step",Calibration!$B:$B,Calibration!$C:$C,0.25),IF(XLOOKUP($B12,Derived_Variables!$A:$A,Derived_Variables!$S:$S,"Neutral")="Overcorrect",-XLOOKUP("overcorrect_step",Calibration!$B:$B,Calibration!$C:$C,0.25),0)),TRUE,0),C12="K",IF(I12="TOP_CLEARER",XLOOKUP("bino_balance_step",Calibration!$B:$B,Calibration!$C:$C,0.25),0),TRUE,0))</f>
        <v>0</v>
      </c>
      <c r="AN12" s="28">
        <f t="shared" si="10"/>
        <v>0.25</v>
      </c>
      <c r="AO12" s="28">
        <f t="shared" si="11"/>
        <v>0</v>
      </c>
      <c r="AP12" s="28">
        <f t="array" ref="AP12">IF($I12="","",IFS(C12="D",IF(OR(I12="NOT_READABLE",I12="BLURRY"),-AB12,0),C12="J",IFS(I12="RED_CLEARER",XLOOKUP("duochrome_red_step",Calibration!$B:$B,Calibration!$C:$C,-0.25),I12="GREEN_CLEARER",XLOOKUP("duochrome_green_step",Calibration!$B:$B,Calibration!$C:$C,0.25),I12="EQUAL",IF(XLOOKUP($B12,Derived_Variables!$A:$A,Derived_Variables!$S:$S,"Neutral")="Undercorrect",XLOOKUP("undercorrect_step",Calibration!$B:$B,Calibration!$C:$C,0.25),IF(XLOOKUP($B12,Derived_Variables!$A:$A,Derived_Variables!$S:$S,"Neutral")="Overcorrect",-XLOOKUP("overcorrect_step",Calibration!$B:$B,Calibration!$C:$C,0.25),0)),TRUE,0),C12="K",IF(I12="BOTTOM_CLEARER",XLOOKUP("bino_balance_step",Calibration!$B:$B,Calibration!$C:$C,0.25),0),TRUE,0))</f>
        <v>0</v>
      </c>
      <c r="AQ12" s="28">
        <f t="shared" si="12"/>
        <v>0</v>
      </c>
      <c r="AR12" s="28">
        <f t="shared" si="13"/>
        <v>0</v>
      </c>
      <c r="AS12" s="28">
        <f t="array" ref="AS12">IF($I12="","",IF(C12="P",IF(OR(I12="NOT_READABLE",I12="BLURRY"),XLOOKUP("near_add_step",Calibration!$B:$B,Calibration!$C:$C,0.25),0),IF(C12="R",IF(I12="NOT_CLEAR",XLOOKUP("near_add_step",Calibration!$B:$B,Calibration!$C:$C,0.25),0),0)))</f>
        <v>0</v>
      </c>
      <c r="AT12" s="28">
        <f t="array" ref="AT12">IF($I12="","",IF(C12="Q",IF(OR(I12="NOT_READABLE",I12="BLURRY"),XLOOKUP("near_add_step",Calibration!$B:$B,Calibration!$C:$C,0.25),0),IF(C12="R",IF(I12="NOT_CLEAR",XLOOKUP("near_add_step",Calibration!$B:$B,Calibration!$C:$C,0.25),0),0)))</f>
        <v>0</v>
      </c>
      <c r="AU12" s="28" t="str">
        <f t="array" ref="AU12">IF($I12="","",IF(G12="SNELLEN_FEET",IF(I12="READABLE",IFERROR(XLOOKUP(XLOOKUP(R12,Chart_Scale_Distance!B:B,Chart_Scale_Distance!A:A)+1,Chart_Scale_Distance!A:A,Chart_Scale_Distance!B:B),R12),R12),R12))</f>
        <v>20_20_20</v>
      </c>
      <c r="AV12" s="28">
        <f t="array" ref="AV12">IF($I11="","",IFERROR(XLOOKUP(R12,Chart_Scale_Distance!$B:$B,Chart_Scale_Distance!$A:$A,""),""))</f>
        <v>6</v>
      </c>
      <c r="AW12" s="28">
        <f t="array" ref="AW12">IF($I11="","",IFERROR(XLOOKUP(AA12,Chart_Scale_Distance!$B:$B,Chart_Scale_Distance!$A:$A,""),""))</f>
        <v>6</v>
      </c>
      <c r="AX12" s="28">
        <f t="shared" si="14"/>
        <v>0</v>
      </c>
      <c r="AY12" s="28">
        <f t="shared" si="15"/>
        <v>1</v>
      </c>
      <c r="AZ12" s="28" t="str">
        <f t="shared" si="16"/>
        <v/>
      </c>
      <c r="BA12" s="28">
        <f t="shared" si="17"/>
        <v>0</v>
      </c>
      <c r="BB12" s="28">
        <f t="shared" si="18"/>
        <v>0</v>
      </c>
      <c r="BC12" s="28" t="str">
        <f t="array" ref="BC12">IF($I12="","",LET(
conf,AI12,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duoMax,XLOOKUP($B12,Derived_Variables!$A:$A,Derived_Variables!$AI:$AI,4),
axisTol,XLOOKUP($B12,Derived_Variables!$A:$A,Derived_Variables!$W:$W,1),
maxStart,XLOOKUP($B12,Derived_Variables!$A:$A,Derived_Variables!$U:$U,1.25),
maxAR,XLOOKUP($B12,Derived_Variables!$A:$A,Derived_Variables!$V:$V,3),
anom,XLOOKUP($B12,Derived_Variables!$A:$A,Derived_Variables!$Z:$Z,FALSE),
reStart,XLOOKUP($B12,Derived_Variables!$A:$A,Derived_Variables!$K:$K,0),
leStart,XLOOKUP($B12,Derived_Variables!$A:$A,Derived_Variables!$N:$N,0),
reAR,XLOOKUP($B12,AR_Input!$A:$A,AR_Input!$B:$B,reStart),
leAR,XLOOKUP($B12,AR_Input!$A:$A,AR_Input!$E:$E,leStart),
reEsc,AND(anom,OR(ABS((S12+AM12)-reStart)&gt;maxStart,ABS((S12+AM12)-reAR)&gt;maxAR)),
leEsc,AND(anom,OR(ABS((V12+AP12)-leStart)&gt;maxStart,ABS((V12+AP12)-leAR)&gt;maxAR)),
phaseMax,IFS(
 AK12="Fast",
   IFS(
     OR(C12="B",C12="D"),XLOOKUP("timeout_coarse_fast",Calibration!$B:$B,Calibration!$C:$C,24),
     OR(C12="E",C12="F",C12="H",C12="I"),XLOOKUP("timeout_jcc_fast",Calibration!$B:$B,Calibration!$C:$C,10),
     OR(C12="G",C12="J"),XLOOKUP("timeout_duochrome_fast",Calibration!$B:$B,Calibration!$C:$C,8),
     C12="K",XLOOKUP("timeout_bino_fast",Calibration!$B:$B,Calibration!$C:$C,10),
     OR(C12="P",C12="Q",C12="R"),XLOOKUP("timeout_near_fast",Calibration!$B:$B,Calibration!$C:$C,16),
     TRUE,XLOOKUP("timeout_coarse_fast",Calibration!$B:$B,Calibration!$C:$C,24)
   ),
 AK12="Normal",
   IFS(
     OR(C12="B",C12="D"),XLOOKUP("timeout_coarse_normal",Calibration!$B:$B,Calibration!$C:$C,36),
     OR(C12="E",C12="F",C12="H",C12="I"),XLOOKUP("timeout_jcc_normal",Calibration!$B:$B,Calibration!$C:$C,14),
     OR(C12="G",C12="J"),XLOOKUP("timeout_duochrome_normal",Calibration!$B:$B,Calibration!$C:$C,10),
     C12="K",XLOOKUP("timeout_bino_normal",Calibration!$B:$B,Calibration!$C:$C,14),
     OR(C12="P",C12="Q",C12="R"),XLOOKUP("timeout_near_normal",Calibration!$B:$B,Calibration!$C:$C,22),
     TRUE,XLOOKUP("timeout_coarse_normal",Calibration!$B:$B,Calibration!$C:$C,36)
   ),
 TRUE,
   IFS(
     OR(C12="B",C12="D"),XLOOKUP("timeout_coarse_slow",Calibration!$B:$B,Calibration!$C:$C,48),
     OR(C12="E",C12="F",C12="H",C12="I"),XLOOKUP("timeout_jcc_slow",Calibration!$B:$B,Calibration!$C:$C,18),
     OR(C12="G",C12="J"),XLOOKUP("timeout_duochrome_slow",Calibration!$B:$B,Calibration!$C:$C,12),
     C12="K",XLOOKUP("timeout_bino_slow",Calibration!$B:$B,Calibration!$C:$C,18),
     OR(C12="P",C12="Q",C12="R"),XLOOKUP("timeout_near_slow",Calibration!$B:$B,Calibration!$C:$C,28),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AJ12=TRUE,"ESCALATE",
C12="A",
IF(OR(I12="NOT_READABLE",I12="BLURRY",AND(R12="20_20_20",I12="READABLE")),"B","A"),
C12="B",
IF(reEsc,"ESCALATE",IF(AY12&gt;=phaseMax,"ESCALATE",IF(AND(AV12&gt;=AW12,I12="READABLE"),"E","B"))),
C12="E",
IF(AY12&gt;=phaseMax,"ESCALATE",IF(OR(I12="SAME",I12="CANT_TELL",AD12&lt;axisTol),"F","E")),
C12="F",
IF(AY12&gt;=phaseMax,"ESCALATE",IF(AX12&gt;=powerSameN,"G","F")),
C12="G",
IF(AY12&gt;=phaseMax,"ESCALATE",IF(OR(AX12&gt;=duoEqualN,BB12&gt;=duoMax),"D","G")),
C12="D",
IF(leEsc,"ESCALATE",IF(AY12&gt;=phaseMax,"ESCALATE",IF(AND(AV12&gt;=AW12,I12="READABLE"),"H","D"))),
C12="H",
IF(AY12&gt;=phaseMax,"ESCALATE",IF(OR(I12="SAME",I12="CANT_TELL",AD12&lt;axisTol),"I","H")),
C12="I",
IF(AY12&gt;=phaseMax,"ESCALATE",IF(AX12&gt;=powerSameN,"J","I")),
C12="J",
IF(AY12&gt;=phaseMax,"ESCALATE",IF(OR(AX12&gt;=duoEqualN,BB12&gt;=duoMax),"K","J")),
C12="K",
IF(AY12&gt;=phaseMax,"ESCALATE",IF(AX12&gt;=binoSameN,IF(XLOOKUP($B12,Derived_Variables!$A:$A,Derived_Variables!$AJ:$AJ,FALSE)=TRUE,"P","END"),"K")),
C12="P",
IF(AY12&gt;=phaseMax,"ESCALATE",IF(OR(I12="READABLE",I12="SAME"),"Q","P")),
C12="Q",
IF(AY12&gt;=phaseMax,"ESCALATE",IF(OR(I12="READABLE",I12="SAME"),"R","Q")),
C12="R",
IF(AY12&gt;=phaseMax,"ESCALATE",IF(OR(I12=nearTarget,I12="SAME"),"END","R")),
TRUE,"END"
)))</f>
        <v>F</v>
      </c>
      <c r="BD12" s="28" t="b">
        <f t="shared" si="19"/>
        <v>1</v>
      </c>
    </row>
    <row r="13">
      <c r="A13" s="28">
        <f t="shared" si="3"/>
        <v>12</v>
      </c>
      <c r="B13" s="28">
        <f t="shared" si="4"/>
        <v>6</v>
      </c>
      <c r="C13" s="28" t="str">
        <f t="shared" si="5"/>
        <v>F</v>
      </c>
      <c r="D13" s="28" t="str">
        <f t="array" ref="D13">IF($I12="","",XLOOKUP(C13,FSM_State_Map!A:A,FSM_State_Map!B:B,""))</f>
        <v>JCC Power RE</v>
      </c>
      <c r="E13" s="28" t="str">
        <f t="array" ref="E13">IF($I12="","",XLOOKUP(C13,FSM_State_Map!A:A,FSM_State_Map!C:C,""))</f>
        <v>JCC_POWER</v>
      </c>
      <c r="F13" s="28" t="str">
        <f t="array" ref="F13">IF($I12="","",XLOOKUP(E13,Phase_UI_Map!A:A,Phase_UI_Map!B:B,""))</f>
        <v>JCC_POWER</v>
      </c>
      <c r="G13" s="28" t="str">
        <f t="array" ref="G13">IF($I12="","",XLOOKUP(E13,Phase_UI_Map!A:A,Phase_UI_Map!C:C,""))</f>
        <v>DOT_CHART_JCC</v>
      </c>
      <c r="H13" s="28" t="str">
        <f t="array" ref="H13">IF($I12="","",XLOOKUP(E13,Phase_UI_Map!A:A,Phase_UI_Map!D:D,""))</f>
        <v>COMPARE_1_2</v>
      </c>
      <c r="I13" s="29" t="s">
        <v>221</v>
      </c>
      <c r="J13" s="28" t="str">
        <f>IFERROR(__xludf.DUMMYFUNCTION("IF($I12="""","""",IFERROR(INDEX(FILTER(Response_Lists!$B:$B,Response_Lists!$A:$A=$H13),1),""""))"),"BETTER_1")</f>
        <v>BETTER_1</v>
      </c>
      <c r="K13" s="28" t="str">
        <f>IFERROR(__xludf.DUMMYFUNCTION("IF($I12="""","""",IFERROR(INDEX(FILTER(Response_Lists!$B:$B,Response_Lists!$A:$A=$H13),2),""""))"),"BETTER_2")</f>
        <v>BETTER_2</v>
      </c>
      <c r="L13" s="28" t="str">
        <f>IFERROR(__xludf.DUMMYFUNCTION("IF($I12="""","""",IFERROR(INDEX(FILTER(Response_Lists!$B:$B,Response_Lists!$A:$A=$H13),3),""""))"),"SAME")</f>
        <v>SAME</v>
      </c>
      <c r="M13" s="28" t="str">
        <f>IFERROR(__xludf.DUMMYFUNCTION("IF($I12="""","""",IFERROR(INDEX(FILTER(Response_Lists!$B:$B,Response_Lists!$A:$A=$H13),4),""""))"),"CANT_TELL")</f>
        <v>CANT_TELL</v>
      </c>
      <c r="N13" s="28" t="str">
        <f>IFERROR(__xludf.DUMMYFUNCTION("IF($I12="""","""",IFERROR(INDEX(FILTER(Response_Lists!$B:$B,Response_Lists!$A:$A=$H13),5),""""))"),"")</f>
        <v/>
      </c>
      <c r="O13" s="28" t="str">
        <f>IFERROR(__xludf.DUMMYFUNCTION("IF($I12="""","""",IFERROR(INDEX(FILTER(Response_Lists!$B:$B,Response_Lists!$A:$A=$H13),6),""""))"),"")</f>
        <v/>
      </c>
      <c r="P13" s="28" t="str">
        <f t="shared" si="6"/>
        <v>Which is clearer: 1 or 2?</v>
      </c>
      <c r="Q13" s="28" t="str">
        <f t="array" ref="Q13">IF($I12="","",XLOOKUP(C13,FSM_State_Map!A:A,FSM_State_Map!D:D,""))</f>
        <v>RE</v>
      </c>
      <c r="R13" s="28" t="str">
        <f t="shared" si="7"/>
        <v>20_20_20</v>
      </c>
      <c r="S13" s="28">
        <f t="array" ref="S13">IF($I12="","",
IF(
  AND(C13="B",C12&lt;&gt;"B"),
  XLOOKUP($B13,Derived_Variables!$A:$A,Derived_Variables!$K:$K,0)
  + XLOOKUP($B13,Derived_Variables!$A:$A,Derived_Variables!$AE:$AE,0),
  S12+AM12
))</f>
        <v>-0.75</v>
      </c>
      <c r="T13" s="28">
        <f t="shared" ref="T13:U13" si="36">IF($I12="","",T12+AN12)</f>
        <v>-0.25</v>
      </c>
      <c r="U13" s="28">
        <f t="shared" si="36"/>
        <v>2</v>
      </c>
      <c r="V13" s="28">
        <f t="array" ref="V13">IF($I12="","",
IF(
  AND(C13="D",C12&lt;&gt;"D"),
  XLOOKUP($B13,Derived_Variables!$A:$A,Derived_Variables!$N:$N,0)
  + XLOOKUP($B13,Derived_Variables!$A:$A,Derived_Variables!$AE:$AE,0),
  V12+AP12
))</f>
        <v>-1</v>
      </c>
      <c r="W13" s="28">
        <f t="shared" ref="W13:X13" si="37">IF($I12="","",W12+AQ12)</f>
        <v>0</v>
      </c>
      <c r="X13" s="28">
        <f t="shared" si="37"/>
        <v>0</v>
      </c>
      <c r="Y13" s="28">
        <f t="array" ref="Y13">IF($I12="","",IF(AND(C13="P",C12&lt;&gt;"P"),IFERROR(XLOOKUP($B13,Lenso_Input!$A:$A,Lenso_Input!$E:$E,0),0),Y12+AS12))</f>
        <v>0</v>
      </c>
      <c r="Z13" s="28">
        <f t="array" ref="Z13">IF($I12="","",IF(AND(C13="Q",C12&lt;&gt;"Q"),IFERROR(XLOOKUP($B13,Lenso_Input!$A:$A,Lenso_Input!$I:$I,0),0),Z12+AT12))</f>
        <v>0</v>
      </c>
      <c r="AA13" s="28" t="str">
        <f t="array" ref="AA13">IF($I12="","",IF(XLOOKUP($B13,Derived_Variables!$A:$A,Derived_Variables!$R:$R,"6/6_target")="6/6_target","20_20_20","40_30_25"))</f>
        <v>20_20_20</v>
      </c>
      <c r="AB13" s="28">
        <f t="array" ref="AB13">IF($I12="","",XLOOKUP(LOWER(XLOOKUP($B13,Derived_Variables!$A:$A,Derived_Variables!$T:$T,"Standard"))&amp;"_sph_step",Calibration!$B:$B,Calibration!$C:$C,0.25))</f>
        <v>0.25</v>
      </c>
      <c r="AC13" s="28">
        <f t="array" ref="AC13">IF($I12="","",XLOOKUP(LOWER(XLOOKUP($B13,Derived_Variables!$A:$A,Derived_Variables!$T:$T,"Standard"))&amp;"_cyl_step",Calibration!$B:$B,Calibration!$C:$C,0.25))</f>
        <v>0.25</v>
      </c>
      <c r="AD13" s="28">
        <f t="array" ref="AD13">IF($I12="","",IF(OR(C13="E",C13="H"),LET(startStep,XLOOKUP("axis_start_step",Calibration!$B:$B,Calibration!$C:$C,5),step1,XLOOKUP("axis_reversal_step_1",Calibration!$B:$B,Calibration!$C:$C,3),step2,XLOOKUP("axis_reversal_step_2",Calibration!$B:$B,Calibration!$C:$C,1),IF(OR(C12&lt;&gt;C13,AZ13="",AZ13="SAME",AZ13="CANT_TELL",I13="",I13="SAME",I13="CANT_TELL"),startStep,IF(OR(AND(AZ13="BETTER_1",I13="BETTER_2"),AND(AZ13="BETTER_2",I13="BETTER_1")),IF(AD12&gt;step1,step1,step2),AD12))),0))</f>
        <v>0</v>
      </c>
      <c r="AE13" s="28" t="str">
        <f t="array" ref="AE13">IF($I12="","",XLOOKUP($B13,Derived_Variables!$A:$A,Derived_Variables!$AD:$AD,"No_Fog"))</f>
        <v>Strong_Fog</v>
      </c>
      <c r="AF13" s="28">
        <f t="array" ref="AF13">IF($I12="","",XLOOKUP($B13,Derived_Variables!$A:$A,Derived_Variables!$AE:$AE,0))</f>
        <v>1</v>
      </c>
      <c r="AG13" s="28" t="str">
        <f t="array" ref="AG13">IF($I12="","",XLOOKUP($B13,Derived_Variables!$A:$A,Derived_Variables!$AF:$AF,""))</f>
        <v>StepDown_0.25</v>
      </c>
      <c r="AH13" s="28" t="str">
        <f t="array" ref="AH13">IF($I12="","",XLOOKUP($B13,Derived_Variables!$A:$A,Derived_Variables!$AG:$AG,""))</f>
        <v>Low</v>
      </c>
      <c r="AI13" s="28" t="str">
        <f t="array" ref="AI13">IF($I12="","",XLOOKUP($B13,Derived_Variables!$A:$A,Derived_Variables!$AC:$AC,"Medium"))</f>
        <v>Low</v>
      </c>
      <c r="AJ13" s="28" t="b">
        <f t="array" ref="AJ13">IF($I12="","",XLOOKUP($B13,Derived_Variables!$A:$A,Derived_Variables!$Y:$Y,FALSE))</f>
        <v>0</v>
      </c>
      <c r="AK13" s="28" t="str">
        <f t="array" ref="AK13">IF($I12="","",XLOOKUP($B13,Derived_Variables!$A:$A,Derived_Variables!$AA:$AA,"Normal"))</f>
        <v>Slow</v>
      </c>
      <c r="AL13" s="28" t="str">
        <f t="array" ref="AL13">IF($I12="","",XLOOKUP($B13,Derived_Variables!$A:$A,Derived_Variables!$AB:$AB,"Normal"))</f>
        <v>Relaxed</v>
      </c>
      <c r="AM13" s="28">
        <f t="array" ref="AM13">IF($I13="","",IFS(C13="B",IF(OR(I13="NOT_READABLE",I13="BLURRY"),-AB13,0),C13="G",IFS(I13="RED_CLEARER",XLOOKUP("duochrome_red_step",Calibration!$B:$B,Calibration!$C:$C,-0.25),I13="GREEN_CLEARER",XLOOKUP("duochrome_green_step",Calibration!$B:$B,Calibration!$C:$C,0.25),I13="EQUAL",IF(XLOOKUP($B13,Derived_Variables!$A:$A,Derived_Variables!$S:$S,"Neutral")="Undercorrect",XLOOKUP("undercorrect_step",Calibration!$B:$B,Calibration!$C:$C,0.25),IF(XLOOKUP($B13,Derived_Variables!$A:$A,Derived_Variables!$S:$S,"Neutral")="Overcorrect",-XLOOKUP("overcorrect_step",Calibration!$B:$B,Calibration!$C:$C,0.25),0)),TRUE,0),C13="K",IF(I13="TOP_CLEARER",XLOOKUP("bino_balance_step",Calibration!$B:$B,Calibration!$C:$C,0.25),0),TRUE,0))</f>
        <v>0</v>
      </c>
      <c r="AN13" s="28">
        <f t="shared" si="10"/>
        <v>0.25</v>
      </c>
      <c r="AO13" s="28">
        <f t="shared" si="11"/>
        <v>0</v>
      </c>
      <c r="AP13" s="28">
        <f t="array" ref="AP13">IF($I13="","",IFS(C13="D",IF(OR(I13="NOT_READABLE",I13="BLURRY"),-AB13,0),C13="J",IFS(I13="RED_CLEARER",XLOOKUP("duochrome_red_step",Calibration!$B:$B,Calibration!$C:$C,-0.25),I13="GREEN_CLEARER",XLOOKUP("duochrome_green_step",Calibration!$B:$B,Calibration!$C:$C,0.25),I13="EQUAL",IF(XLOOKUP($B13,Derived_Variables!$A:$A,Derived_Variables!$S:$S,"Neutral")="Undercorrect",XLOOKUP("undercorrect_step",Calibration!$B:$B,Calibration!$C:$C,0.25),IF(XLOOKUP($B13,Derived_Variables!$A:$A,Derived_Variables!$S:$S,"Neutral")="Overcorrect",-XLOOKUP("overcorrect_step",Calibration!$B:$B,Calibration!$C:$C,0.25),0)),TRUE,0),C13="K",IF(I13="BOTTOM_CLEARER",XLOOKUP("bino_balance_step",Calibration!$B:$B,Calibration!$C:$C,0.25),0),TRUE,0))</f>
        <v>0</v>
      </c>
      <c r="AQ13" s="28">
        <f t="shared" si="12"/>
        <v>0</v>
      </c>
      <c r="AR13" s="28">
        <f t="shared" si="13"/>
        <v>0</v>
      </c>
      <c r="AS13" s="28">
        <f t="array" ref="AS13">IF($I13="","",IF(C13="P",IF(OR(I13="NOT_READABLE",I13="BLURRY"),XLOOKUP("near_add_step",Calibration!$B:$B,Calibration!$C:$C,0.25),0),IF(C13="R",IF(I13="NOT_CLEAR",XLOOKUP("near_add_step",Calibration!$B:$B,Calibration!$C:$C,0.25),0),0)))</f>
        <v>0</v>
      </c>
      <c r="AT13" s="28">
        <f t="array" ref="AT13">IF($I13="","",IF(C13="Q",IF(OR(I13="NOT_READABLE",I13="BLURRY"),XLOOKUP("near_add_step",Calibration!$B:$B,Calibration!$C:$C,0.25),0),IF(C13="R",IF(I13="NOT_CLEAR",XLOOKUP("near_add_step",Calibration!$B:$B,Calibration!$C:$C,0.25),0),0)))</f>
        <v>0</v>
      </c>
      <c r="AU13" s="28" t="str">
        <f t="array" ref="AU13">IF($I13="","",IF(G13="SNELLEN_FEET",IF(I13="READABLE",IFERROR(XLOOKUP(XLOOKUP(R13,Chart_Scale_Distance!B:B,Chart_Scale_Distance!A:A)+1,Chart_Scale_Distance!A:A,Chart_Scale_Distance!B:B),R13),R13),R13))</f>
        <v>20_20_20</v>
      </c>
      <c r="AV13" s="28">
        <f t="array" ref="AV13">IF($I12="","",IFERROR(XLOOKUP(R13,Chart_Scale_Distance!$B:$B,Chart_Scale_Distance!$A:$A,""),""))</f>
        <v>6</v>
      </c>
      <c r="AW13" s="28">
        <f t="array" ref="AW13">IF($I12="","",IFERROR(XLOOKUP(AA13,Chart_Scale_Distance!$B:$B,Chart_Scale_Distance!$A:$A,""),""))</f>
        <v>6</v>
      </c>
      <c r="AX13" s="28">
        <f t="shared" si="14"/>
        <v>0</v>
      </c>
      <c r="AY13" s="28">
        <f t="shared" si="15"/>
        <v>2</v>
      </c>
      <c r="AZ13" s="28" t="str">
        <f t="shared" si="16"/>
        <v/>
      </c>
      <c r="BA13" s="28">
        <f t="shared" si="17"/>
        <v>0</v>
      </c>
      <c r="BB13" s="28">
        <f t="shared" si="18"/>
        <v>0</v>
      </c>
      <c r="BC13" s="28" t="str">
        <f t="array" ref="BC13">IF($I13="","",LET(
conf,AI13,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duoMax,XLOOKUP($B13,Derived_Variables!$A:$A,Derived_Variables!$AI:$AI,4),
axisTol,XLOOKUP($B13,Derived_Variables!$A:$A,Derived_Variables!$W:$W,1),
maxStart,XLOOKUP($B13,Derived_Variables!$A:$A,Derived_Variables!$U:$U,1.25),
maxAR,XLOOKUP($B13,Derived_Variables!$A:$A,Derived_Variables!$V:$V,3),
anom,XLOOKUP($B13,Derived_Variables!$A:$A,Derived_Variables!$Z:$Z,FALSE),
reStart,XLOOKUP($B13,Derived_Variables!$A:$A,Derived_Variables!$K:$K,0),
leStart,XLOOKUP($B13,Derived_Variables!$A:$A,Derived_Variables!$N:$N,0),
reAR,XLOOKUP($B13,AR_Input!$A:$A,AR_Input!$B:$B,reStart),
leAR,XLOOKUP($B13,AR_Input!$A:$A,AR_Input!$E:$E,leStart),
reEsc,AND(anom,OR(ABS((S13+AM13)-reStart)&gt;maxStart,ABS((S13+AM13)-reAR)&gt;maxAR)),
leEsc,AND(anom,OR(ABS((V13+AP13)-leStart)&gt;maxStart,ABS((V13+AP13)-leAR)&gt;maxAR)),
phaseMax,IFS(
 AK13="Fast",
   IFS(
     OR(C13="B",C13="D"),XLOOKUP("timeout_coarse_fast",Calibration!$B:$B,Calibration!$C:$C,24),
     OR(C13="E",C13="F",C13="H",C13="I"),XLOOKUP("timeout_jcc_fast",Calibration!$B:$B,Calibration!$C:$C,10),
     OR(C13="G",C13="J"),XLOOKUP("timeout_duochrome_fast",Calibration!$B:$B,Calibration!$C:$C,8),
     C13="K",XLOOKUP("timeout_bino_fast",Calibration!$B:$B,Calibration!$C:$C,10),
     OR(C13="P",C13="Q",C13="R"),XLOOKUP("timeout_near_fast",Calibration!$B:$B,Calibration!$C:$C,16),
     TRUE,XLOOKUP("timeout_coarse_fast",Calibration!$B:$B,Calibration!$C:$C,24)
   ),
 AK13="Normal",
   IFS(
     OR(C13="B",C13="D"),XLOOKUP("timeout_coarse_normal",Calibration!$B:$B,Calibration!$C:$C,36),
     OR(C13="E",C13="F",C13="H",C13="I"),XLOOKUP("timeout_jcc_normal",Calibration!$B:$B,Calibration!$C:$C,14),
     OR(C13="G",C13="J"),XLOOKUP("timeout_duochrome_normal",Calibration!$B:$B,Calibration!$C:$C,10),
     C13="K",XLOOKUP("timeout_bino_normal",Calibration!$B:$B,Calibration!$C:$C,14),
     OR(C13="P",C13="Q",C13="R"),XLOOKUP("timeout_near_normal",Calibration!$B:$B,Calibration!$C:$C,22),
     TRUE,XLOOKUP("timeout_coarse_normal",Calibration!$B:$B,Calibration!$C:$C,36)
   ),
 TRUE,
   IFS(
     OR(C13="B",C13="D"),XLOOKUP("timeout_coarse_slow",Calibration!$B:$B,Calibration!$C:$C,48),
     OR(C13="E",C13="F",C13="H",C13="I"),XLOOKUP("timeout_jcc_slow",Calibration!$B:$B,Calibration!$C:$C,18),
     OR(C13="G",C13="J"),XLOOKUP("timeout_duochrome_slow",Calibration!$B:$B,Calibration!$C:$C,12),
     C13="K",XLOOKUP("timeout_bino_slow",Calibration!$B:$B,Calibration!$C:$C,18),
     OR(C13="P",C13="Q",C13="R"),XLOOKUP("timeout_near_slow",Calibration!$B:$B,Calibration!$C:$C,28),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AJ13=TRUE,"ESCALATE",
C13="A",
IF(OR(I13="NOT_READABLE",I13="BLURRY",AND(R13="20_20_20",I13="READABLE")),"B","A"),
C13="B",
IF(reEsc,"ESCALATE",IF(AY13&gt;=phaseMax,"ESCALATE",IF(AND(AV13&gt;=AW13,I13="READABLE"),"E","B"))),
C13="E",
IF(AY13&gt;=phaseMax,"ESCALATE",IF(OR(I13="SAME",I13="CANT_TELL",AD13&lt;axisTol),"F","E")),
C13="F",
IF(AY13&gt;=phaseMax,"ESCALATE",IF(AX13&gt;=powerSameN,"G","F")),
C13="G",
IF(AY13&gt;=phaseMax,"ESCALATE",IF(OR(AX13&gt;=duoEqualN,BB13&gt;=duoMax),"D","G")),
C13="D",
IF(leEsc,"ESCALATE",IF(AY13&gt;=phaseMax,"ESCALATE",IF(AND(AV13&gt;=AW13,I13="READABLE"),"H","D"))),
C13="H",
IF(AY13&gt;=phaseMax,"ESCALATE",IF(OR(I13="SAME",I13="CANT_TELL",AD13&lt;axisTol),"I","H")),
C13="I",
IF(AY13&gt;=phaseMax,"ESCALATE",IF(AX13&gt;=powerSameN,"J","I")),
C13="J",
IF(AY13&gt;=phaseMax,"ESCALATE",IF(OR(AX13&gt;=duoEqualN,BB13&gt;=duoMax),"K","J")),
C13="K",
IF(AY13&gt;=phaseMax,"ESCALATE",IF(AX13&gt;=binoSameN,IF(XLOOKUP($B13,Derived_Variables!$A:$A,Derived_Variables!$AJ:$AJ,FALSE)=TRUE,"P","END"),"K")),
C13="P",
IF(AY13&gt;=phaseMax,"ESCALATE",IF(OR(I13="READABLE",I13="SAME"),"Q","P")),
C13="Q",
IF(AY13&gt;=phaseMax,"ESCALATE",IF(OR(I13="READABLE",I13="SAME"),"R","Q")),
C13="R",
IF(AY13&gt;=phaseMax,"ESCALATE",IF(OR(I13=nearTarget,I13="SAME"),"END","R")),
TRUE,"END"
)))</f>
        <v>F</v>
      </c>
      <c r="BD13" s="28" t="b">
        <f t="shared" si="19"/>
        <v>1</v>
      </c>
    </row>
    <row r="14">
      <c r="A14" s="28">
        <f t="shared" si="3"/>
        <v>13</v>
      </c>
      <c r="B14" s="28">
        <f t="shared" si="4"/>
        <v>6</v>
      </c>
      <c r="C14" s="28" t="str">
        <f t="shared" si="5"/>
        <v>F</v>
      </c>
      <c r="D14" s="28" t="str">
        <f t="array" ref="D14">IF($I13="","",XLOOKUP(C14,FSM_State_Map!A:A,FSM_State_Map!B:B,""))</f>
        <v>JCC Power RE</v>
      </c>
      <c r="E14" s="28" t="str">
        <f t="array" ref="E14">IF($I13="","",XLOOKUP(C14,FSM_State_Map!A:A,FSM_State_Map!C:C,""))</f>
        <v>JCC_POWER</v>
      </c>
      <c r="F14" s="28" t="str">
        <f t="array" ref="F14">IF($I13="","",XLOOKUP(E14,Phase_UI_Map!A:A,Phase_UI_Map!B:B,""))</f>
        <v>JCC_POWER</v>
      </c>
      <c r="G14" s="28" t="str">
        <f t="array" ref="G14">IF($I13="","",XLOOKUP(E14,Phase_UI_Map!A:A,Phase_UI_Map!C:C,""))</f>
        <v>DOT_CHART_JCC</v>
      </c>
      <c r="H14" s="28" t="str">
        <f t="array" ref="H14">IF($I13="","",XLOOKUP(E14,Phase_UI_Map!A:A,Phase_UI_Map!D:D,""))</f>
        <v>COMPARE_1_2</v>
      </c>
      <c r="I14" s="29" t="s">
        <v>220</v>
      </c>
      <c r="J14" s="28" t="str">
        <f>IFERROR(__xludf.DUMMYFUNCTION("IF($I13="""","""",IFERROR(INDEX(FILTER(Response_Lists!$B:$B,Response_Lists!$A:$A=$H14),1),""""))"),"BETTER_1")</f>
        <v>BETTER_1</v>
      </c>
      <c r="K14" s="28" t="str">
        <f>IFERROR(__xludf.DUMMYFUNCTION("IF($I13="""","""",IFERROR(INDEX(FILTER(Response_Lists!$B:$B,Response_Lists!$A:$A=$H14),2),""""))"),"BETTER_2")</f>
        <v>BETTER_2</v>
      </c>
      <c r="L14" s="28" t="str">
        <f>IFERROR(__xludf.DUMMYFUNCTION("IF($I13="""","""",IFERROR(INDEX(FILTER(Response_Lists!$B:$B,Response_Lists!$A:$A=$H14),3),""""))"),"SAME")</f>
        <v>SAME</v>
      </c>
      <c r="M14" s="28" t="str">
        <f>IFERROR(__xludf.DUMMYFUNCTION("IF($I13="""","""",IFERROR(INDEX(FILTER(Response_Lists!$B:$B,Response_Lists!$A:$A=$H14),4),""""))"),"CANT_TELL")</f>
        <v>CANT_TELL</v>
      </c>
      <c r="N14" s="28" t="str">
        <f>IFERROR(__xludf.DUMMYFUNCTION("IF($I13="""","""",IFERROR(INDEX(FILTER(Response_Lists!$B:$B,Response_Lists!$A:$A=$H14),5),""""))"),"")</f>
        <v/>
      </c>
      <c r="O14" s="28" t="str">
        <f>IFERROR(__xludf.DUMMYFUNCTION("IF($I13="""","""",IFERROR(INDEX(FILTER(Response_Lists!$B:$B,Response_Lists!$A:$A=$H14),6),""""))"),"")</f>
        <v/>
      </c>
      <c r="P14" s="28" t="str">
        <f t="shared" si="6"/>
        <v>Which is clearer: 1 or 2?</v>
      </c>
      <c r="Q14" s="28" t="str">
        <f t="array" ref="Q14">IF($I13="","",XLOOKUP(C14,FSM_State_Map!A:A,FSM_State_Map!D:D,""))</f>
        <v>RE</v>
      </c>
      <c r="R14" s="28" t="str">
        <f t="shared" si="7"/>
        <v>20_20_20</v>
      </c>
      <c r="S14" s="28">
        <f t="array" ref="S14">IF($I13="","",
IF(
  AND(C14="B",C13&lt;&gt;"B"),
  XLOOKUP($B14,Derived_Variables!$A:$A,Derived_Variables!$K:$K,0)
  + XLOOKUP($B14,Derived_Variables!$A:$A,Derived_Variables!$AE:$AE,0),
  S13+AM13
))</f>
        <v>-0.75</v>
      </c>
      <c r="T14" s="28">
        <f t="shared" ref="T14:U14" si="38">IF($I13="","",T13+AN13)</f>
        <v>0</v>
      </c>
      <c r="U14" s="28">
        <f t="shared" si="38"/>
        <v>2</v>
      </c>
      <c r="V14" s="28">
        <f t="array" ref="V14">IF($I13="","",
IF(
  AND(C14="D",C13&lt;&gt;"D"),
  XLOOKUP($B14,Derived_Variables!$A:$A,Derived_Variables!$N:$N,0)
  + XLOOKUP($B14,Derived_Variables!$A:$A,Derived_Variables!$AE:$AE,0),
  V13+AP13
))</f>
        <v>-1</v>
      </c>
      <c r="W14" s="28">
        <f t="shared" ref="W14:X14" si="39">IF($I13="","",W13+AQ13)</f>
        <v>0</v>
      </c>
      <c r="X14" s="28">
        <f t="shared" si="39"/>
        <v>0</v>
      </c>
      <c r="Y14" s="28">
        <f t="array" ref="Y14">IF($I13="","",IF(AND(C14="P",C13&lt;&gt;"P"),IFERROR(XLOOKUP($B14,Lenso_Input!$A:$A,Lenso_Input!$E:$E,0),0),Y13+AS13))</f>
        <v>0</v>
      </c>
      <c r="Z14" s="28">
        <f t="array" ref="Z14">IF($I13="","",IF(AND(C14="Q",C13&lt;&gt;"Q"),IFERROR(XLOOKUP($B14,Lenso_Input!$A:$A,Lenso_Input!$I:$I,0),0),Z13+AT13))</f>
        <v>0</v>
      </c>
      <c r="AA14" s="28" t="str">
        <f t="array" ref="AA14">IF($I13="","",IF(XLOOKUP($B14,Derived_Variables!$A:$A,Derived_Variables!$R:$R,"6/6_target")="6/6_target","20_20_20","40_30_25"))</f>
        <v>20_20_20</v>
      </c>
      <c r="AB14" s="28">
        <f t="array" ref="AB14">IF($I13="","",XLOOKUP(LOWER(XLOOKUP($B14,Derived_Variables!$A:$A,Derived_Variables!$T:$T,"Standard"))&amp;"_sph_step",Calibration!$B:$B,Calibration!$C:$C,0.25))</f>
        <v>0.25</v>
      </c>
      <c r="AC14" s="28">
        <f t="array" ref="AC14">IF($I13="","",XLOOKUP(LOWER(XLOOKUP($B14,Derived_Variables!$A:$A,Derived_Variables!$T:$T,"Standard"))&amp;"_cyl_step",Calibration!$B:$B,Calibration!$C:$C,0.25))</f>
        <v>0.25</v>
      </c>
      <c r="AD14" s="28">
        <f t="array" ref="AD14">IF($I13="","",IF(OR(C14="E",C14="H"),LET(startStep,XLOOKUP("axis_start_step",Calibration!$B:$B,Calibration!$C:$C,5),step1,XLOOKUP("axis_reversal_step_1",Calibration!$B:$B,Calibration!$C:$C,3),step2,XLOOKUP("axis_reversal_step_2",Calibration!$B:$B,Calibration!$C:$C,1),IF(OR(C13&lt;&gt;C14,AZ14="",AZ14="SAME",AZ14="CANT_TELL",I14="",I14="SAME",I14="CANT_TELL"),startStep,IF(OR(AND(AZ14="BETTER_1",I14="BETTER_2"),AND(AZ14="BETTER_2",I14="BETTER_1")),IF(AD13&gt;step1,step1,step2),AD13))),0))</f>
        <v>0</v>
      </c>
      <c r="AE14" s="28" t="str">
        <f t="array" ref="AE14">IF($I13="","",XLOOKUP($B14,Derived_Variables!$A:$A,Derived_Variables!$AD:$AD,"No_Fog"))</f>
        <v>Strong_Fog</v>
      </c>
      <c r="AF14" s="28">
        <f t="array" ref="AF14">IF($I13="","",XLOOKUP($B14,Derived_Variables!$A:$A,Derived_Variables!$AE:$AE,0))</f>
        <v>1</v>
      </c>
      <c r="AG14" s="28" t="str">
        <f t="array" ref="AG14">IF($I13="","",XLOOKUP($B14,Derived_Variables!$A:$A,Derived_Variables!$AF:$AF,""))</f>
        <v>StepDown_0.25</v>
      </c>
      <c r="AH14" s="28" t="str">
        <f t="array" ref="AH14">IF($I13="","",XLOOKUP($B14,Derived_Variables!$A:$A,Derived_Variables!$AG:$AG,""))</f>
        <v>Low</v>
      </c>
      <c r="AI14" s="28" t="str">
        <f t="array" ref="AI14">IF($I13="","",XLOOKUP($B14,Derived_Variables!$A:$A,Derived_Variables!$AC:$AC,"Medium"))</f>
        <v>Low</v>
      </c>
      <c r="AJ14" s="28" t="b">
        <f t="array" ref="AJ14">IF($I13="","",XLOOKUP($B14,Derived_Variables!$A:$A,Derived_Variables!$Y:$Y,FALSE))</f>
        <v>0</v>
      </c>
      <c r="AK14" s="28" t="str">
        <f t="array" ref="AK14">IF($I13="","",XLOOKUP($B14,Derived_Variables!$A:$A,Derived_Variables!$AA:$AA,"Normal"))</f>
        <v>Slow</v>
      </c>
      <c r="AL14" s="28" t="str">
        <f t="array" ref="AL14">IF($I13="","",XLOOKUP($B14,Derived_Variables!$A:$A,Derived_Variables!$AB:$AB,"Normal"))</f>
        <v>Relaxed</v>
      </c>
      <c r="AM14" s="28">
        <f t="array" ref="AM14">IF($I14="","",IFS(C14="B",IF(OR(I14="NOT_READABLE",I14="BLURRY"),-AB14,0),C14="G",IFS(I14="RED_CLEARER",XLOOKUP("duochrome_red_step",Calibration!$B:$B,Calibration!$C:$C,-0.25),I14="GREEN_CLEARER",XLOOKUP("duochrome_green_step",Calibration!$B:$B,Calibration!$C:$C,0.25),I14="EQUAL",IF(XLOOKUP($B14,Derived_Variables!$A:$A,Derived_Variables!$S:$S,"Neutral")="Undercorrect",XLOOKUP("undercorrect_step",Calibration!$B:$B,Calibration!$C:$C,0.25),IF(XLOOKUP($B14,Derived_Variables!$A:$A,Derived_Variables!$S:$S,"Neutral")="Overcorrect",-XLOOKUP("overcorrect_step",Calibration!$B:$B,Calibration!$C:$C,0.25),0)),TRUE,0),C14="K",IF(I14="TOP_CLEARER",XLOOKUP("bino_balance_step",Calibration!$B:$B,Calibration!$C:$C,0.25),0),TRUE,0))</f>
        <v>0</v>
      </c>
      <c r="AN14" s="28">
        <f t="shared" si="10"/>
        <v>-0.25</v>
      </c>
      <c r="AO14" s="28">
        <f t="shared" si="11"/>
        <v>0</v>
      </c>
      <c r="AP14" s="28">
        <f t="array" ref="AP14">IF($I14="","",IFS(C14="D",IF(OR(I14="NOT_READABLE",I14="BLURRY"),-AB14,0),C14="J",IFS(I14="RED_CLEARER",XLOOKUP("duochrome_red_step",Calibration!$B:$B,Calibration!$C:$C,-0.25),I14="GREEN_CLEARER",XLOOKUP("duochrome_green_step",Calibration!$B:$B,Calibration!$C:$C,0.25),I14="EQUAL",IF(XLOOKUP($B14,Derived_Variables!$A:$A,Derived_Variables!$S:$S,"Neutral")="Undercorrect",XLOOKUP("undercorrect_step",Calibration!$B:$B,Calibration!$C:$C,0.25),IF(XLOOKUP($B14,Derived_Variables!$A:$A,Derived_Variables!$S:$S,"Neutral")="Overcorrect",-XLOOKUP("overcorrect_step",Calibration!$B:$B,Calibration!$C:$C,0.25),0)),TRUE,0),C14="K",IF(I14="BOTTOM_CLEARER",XLOOKUP("bino_balance_step",Calibration!$B:$B,Calibration!$C:$C,0.25),0),TRUE,0))</f>
        <v>0</v>
      </c>
      <c r="AQ14" s="28">
        <f t="shared" si="12"/>
        <v>0</v>
      </c>
      <c r="AR14" s="28">
        <f t="shared" si="13"/>
        <v>0</v>
      </c>
      <c r="AS14" s="28">
        <f t="array" ref="AS14">IF($I14="","",IF(C14="P",IF(OR(I14="NOT_READABLE",I14="BLURRY"),XLOOKUP("near_add_step",Calibration!$B:$B,Calibration!$C:$C,0.25),0),IF(C14="R",IF(I14="NOT_CLEAR",XLOOKUP("near_add_step",Calibration!$B:$B,Calibration!$C:$C,0.25),0),0)))</f>
        <v>0</v>
      </c>
      <c r="AT14" s="28">
        <f t="array" ref="AT14">IF($I14="","",IF(C14="Q",IF(OR(I14="NOT_READABLE",I14="BLURRY"),XLOOKUP("near_add_step",Calibration!$B:$B,Calibration!$C:$C,0.25),0),IF(C14="R",IF(I14="NOT_CLEAR",XLOOKUP("near_add_step",Calibration!$B:$B,Calibration!$C:$C,0.25),0),0)))</f>
        <v>0</v>
      </c>
      <c r="AU14" s="28" t="str">
        <f t="array" ref="AU14">IF($I14="","",IF(G14="SNELLEN_FEET",IF(I14="READABLE",IFERROR(XLOOKUP(XLOOKUP(R14,Chart_Scale_Distance!B:B,Chart_Scale_Distance!A:A)+1,Chart_Scale_Distance!A:A,Chart_Scale_Distance!B:B),R14),R14),R14))</f>
        <v>20_20_20</v>
      </c>
      <c r="AV14" s="28">
        <f t="array" ref="AV14">IF($I13="","",IFERROR(XLOOKUP(R14,Chart_Scale_Distance!$B:$B,Chart_Scale_Distance!$A:$A,""),""))</f>
        <v>6</v>
      </c>
      <c r="AW14" s="28">
        <f t="array" ref="AW14">IF($I13="","",IFERROR(XLOOKUP(AA14,Chart_Scale_Distance!$B:$B,Chart_Scale_Distance!$A:$A,""),""))</f>
        <v>6</v>
      </c>
      <c r="AX14" s="28">
        <f t="shared" si="14"/>
        <v>0</v>
      </c>
      <c r="AY14" s="28">
        <f t="shared" si="15"/>
        <v>3</v>
      </c>
      <c r="AZ14" s="28" t="str">
        <f t="shared" si="16"/>
        <v/>
      </c>
      <c r="BA14" s="28">
        <f t="shared" si="17"/>
        <v>0</v>
      </c>
      <c r="BB14" s="28">
        <f t="shared" si="18"/>
        <v>0</v>
      </c>
      <c r="BC14" s="28" t="str">
        <f t="array" ref="BC14">IF($I14="","",LET(
conf,AI14,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duoMax,XLOOKUP($B14,Derived_Variables!$A:$A,Derived_Variables!$AI:$AI,4),
axisTol,XLOOKUP($B14,Derived_Variables!$A:$A,Derived_Variables!$W:$W,1),
maxStart,XLOOKUP($B14,Derived_Variables!$A:$A,Derived_Variables!$U:$U,1.25),
maxAR,XLOOKUP($B14,Derived_Variables!$A:$A,Derived_Variables!$V:$V,3),
anom,XLOOKUP($B14,Derived_Variables!$A:$A,Derived_Variables!$Z:$Z,FALSE),
reStart,XLOOKUP($B14,Derived_Variables!$A:$A,Derived_Variables!$K:$K,0),
leStart,XLOOKUP($B14,Derived_Variables!$A:$A,Derived_Variables!$N:$N,0),
reAR,XLOOKUP($B14,AR_Input!$A:$A,AR_Input!$B:$B,reStart),
leAR,XLOOKUP($B14,AR_Input!$A:$A,AR_Input!$E:$E,leStart),
reEsc,AND(anom,OR(ABS((S14+AM14)-reStart)&gt;maxStart,ABS((S14+AM14)-reAR)&gt;maxAR)),
leEsc,AND(anom,OR(ABS((V14+AP14)-leStart)&gt;maxStart,ABS((V14+AP14)-leAR)&gt;maxAR)),
phaseMax,IFS(
 AK14="Fast",
   IFS(
     OR(C14="B",C14="D"),XLOOKUP("timeout_coarse_fast",Calibration!$B:$B,Calibration!$C:$C,24),
     OR(C14="E",C14="F",C14="H",C14="I"),XLOOKUP("timeout_jcc_fast",Calibration!$B:$B,Calibration!$C:$C,10),
     OR(C14="G",C14="J"),XLOOKUP("timeout_duochrome_fast",Calibration!$B:$B,Calibration!$C:$C,8),
     C14="K",XLOOKUP("timeout_bino_fast",Calibration!$B:$B,Calibration!$C:$C,10),
     OR(C14="P",C14="Q",C14="R"),XLOOKUP("timeout_near_fast",Calibration!$B:$B,Calibration!$C:$C,16),
     TRUE,XLOOKUP("timeout_coarse_fast",Calibration!$B:$B,Calibration!$C:$C,24)
   ),
 AK14="Normal",
   IFS(
     OR(C14="B",C14="D"),XLOOKUP("timeout_coarse_normal",Calibration!$B:$B,Calibration!$C:$C,36),
     OR(C14="E",C14="F",C14="H",C14="I"),XLOOKUP("timeout_jcc_normal",Calibration!$B:$B,Calibration!$C:$C,14),
     OR(C14="G",C14="J"),XLOOKUP("timeout_duochrome_normal",Calibration!$B:$B,Calibration!$C:$C,10),
     C14="K",XLOOKUP("timeout_bino_normal",Calibration!$B:$B,Calibration!$C:$C,14),
     OR(C14="P",C14="Q",C14="R"),XLOOKUP("timeout_near_normal",Calibration!$B:$B,Calibration!$C:$C,22),
     TRUE,XLOOKUP("timeout_coarse_normal",Calibration!$B:$B,Calibration!$C:$C,36)
   ),
 TRUE,
   IFS(
     OR(C14="B",C14="D"),XLOOKUP("timeout_coarse_slow",Calibration!$B:$B,Calibration!$C:$C,48),
     OR(C14="E",C14="F",C14="H",C14="I"),XLOOKUP("timeout_jcc_slow",Calibration!$B:$B,Calibration!$C:$C,18),
     OR(C14="G",C14="J"),XLOOKUP("timeout_duochrome_slow",Calibration!$B:$B,Calibration!$C:$C,12),
     C14="K",XLOOKUP("timeout_bino_slow",Calibration!$B:$B,Calibration!$C:$C,18),
     OR(C14="P",C14="Q",C14="R"),XLOOKUP("timeout_near_slow",Calibration!$B:$B,Calibration!$C:$C,28),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AJ14=TRUE,"ESCALATE",
C14="A",
IF(OR(I14="NOT_READABLE",I14="BLURRY",AND(R14="20_20_20",I14="READABLE")),"B","A"),
C14="B",
IF(reEsc,"ESCALATE",IF(AY14&gt;=phaseMax,"ESCALATE",IF(AND(AV14&gt;=AW14,I14="READABLE"),"E","B"))),
C14="E",
IF(AY14&gt;=phaseMax,"ESCALATE",IF(OR(I14="SAME",I14="CANT_TELL",AD14&lt;axisTol),"F","E")),
C14="F",
IF(AY14&gt;=phaseMax,"ESCALATE",IF(AX14&gt;=powerSameN,"G","F")),
C14="G",
IF(AY14&gt;=phaseMax,"ESCALATE",IF(OR(AX14&gt;=duoEqualN,BB14&gt;=duoMax),"D","G")),
C14="D",
IF(leEsc,"ESCALATE",IF(AY14&gt;=phaseMax,"ESCALATE",IF(AND(AV14&gt;=AW14,I14="READABLE"),"H","D"))),
C14="H",
IF(AY14&gt;=phaseMax,"ESCALATE",IF(OR(I14="SAME",I14="CANT_TELL",AD14&lt;axisTol),"I","H")),
C14="I",
IF(AY14&gt;=phaseMax,"ESCALATE",IF(AX14&gt;=powerSameN,"J","I")),
C14="J",
IF(AY14&gt;=phaseMax,"ESCALATE",IF(OR(AX14&gt;=duoEqualN,BB14&gt;=duoMax),"K","J")),
C14="K",
IF(AY14&gt;=phaseMax,"ESCALATE",IF(AX14&gt;=binoSameN,IF(XLOOKUP($B14,Derived_Variables!$A:$A,Derived_Variables!$AJ:$AJ,FALSE)=TRUE,"P","END"),"K")),
C14="P",
IF(AY14&gt;=phaseMax,"ESCALATE",IF(OR(I14="READABLE",I14="SAME"),"Q","P")),
C14="Q",
IF(AY14&gt;=phaseMax,"ESCALATE",IF(OR(I14="READABLE",I14="SAME"),"R","Q")),
C14="R",
IF(AY14&gt;=phaseMax,"ESCALATE",IF(OR(I14=nearTarget,I14="SAME"),"END","R")),
TRUE,"END"
)))</f>
        <v>F</v>
      </c>
      <c r="BD14" s="28" t="b">
        <f t="shared" si="19"/>
        <v>1</v>
      </c>
    </row>
    <row r="15">
      <c r="A15" s="28">
        <f t="shared" si="3"/>
        <v>14</v>
      </c>
      <c r="B15" s="28">
        <f t="shared" si="4"/>
        <v>6</v>
      </c>
      <c r="C15" s="28" t="str">
        <f t="shared" si="5"/>
        <v>F</v>
      </c>
      <c r="D15" s="28" t="str">
        <f t="array" ref="D15">IF($I14="","",XLOOKUP(C15,FSM_State_Map!A:A,FSM_State_Map!B:B,""))</f>
        <v>JCC Power RE</v>
      </c>
      <c r="E15" s="28" t="str">
        <f t="array" ref="E15">IF($I14="","",XLOOKUP(C15,FSM_State_Map!A:A,FSM_State_Map!C:C,""))</f>
        <v>JCC_POWER</v>
      </c>
      <c r="F15" s="28" t="str">
        <f t="array" ref="F15">IF($I14="","",XLOOKUP(E15,Phase_UI_Map!A:A,Phase_UI_Map!B:B,""))</f>
        <v>JCC_POWER</v>
      </c>
      <c r="G15" s="28" t="str">
        <f t="array" ref="G15">IF($I14="","",XLOOKUP(E15,Phase_UI_Map!A:A,Phase_UI_Map!C:C,""))</f>
        <v>DOT_CHART_JCC</v>
      </c>
      <c r="H15" s="28" t="str">
        <f t="array" ref="H15">IF($I14="","",XLOOKUP(E15,Phase_UI_Map!A:A,Phase_UI_Map!D:D,""))</f>
        <v>COMPARE_1_2</v>
      </c>
      <c r="I15" s="29" t="s">
        <v>221</v>
      </c>
      <c r="J15" s="28" t="str">
        <f>IFERROR(__xludf.DUMMYFUNCTION("IF($I14="""","""",IFERROR(INDEX(FILTER(Response_Lists!$B:$B,Response_Lists!$A:$A=$H15),1),""""))"),"BETTER_1")</f>
        <v>BETTER_1</v>
      </c>
      <c r="K15" s="28" t="str">
        <f>IFERROR(__xludf.DUMMYFUNCTION("IF($I14="""","""",IFERROR(INDEX(FILTER(Response_Lists!$B:$B,Response_Lists!$A:$A=$H15),2),""""))"),"BETTER_2")</f>
        <v>BETTER_2</v>
      </c>
      <c r="L15" s="28" t="str">
        <f>IFERROR(__xludf.DUMMYFUNCTION("IF($I14="""","""",IFERROR(INDEX(FILTER(Response_Lists!$B:$B,Response_Lists!$A:$A=$H15),3),""""))"),"SAME")</f>
        <v>SAME</v>
      </c>
      <c r="M15" s="28" t="str">
        <f>IFERROR(__xludf.DUMMYFUNCTION("IF($I14="""","""",IFERROR(INDEX(FILTER(Response_Lists!$B:$B,Response_Lists!$A:$A=$H15),4),""""))"),"CANT_TELL")</f>
        <v>CANT_TELL</v>
      </c>
      <c r="N15" s="28" t="str">
        <f>IFERROR(__xludf.DUMMYFUNCTION("IF($I14="""","""",IFERROR(INDEX(FILTER(Response_Lists!$B:$B,Response_Lists!$A:$A=$H15),5),""""))"),"")</f>
        <v/>
      </c>
      <c r="O15" s="28" t="str">
        <f>IFERROR(__xludf.DUMMYFUNCTION("IF($I14="""","""",IFERROR(INDEX(FILTER(Response_Lists!$B:$B,Response_Lists!$A:$A=$H15),6),""""))"),"")</f>
        <v/>
      </c>
      <c r="P15" s="28" t="str">
        <f t="shared" si="6"/>
        <v>Which is clearer: 1 or 2?</v>
      </c>
      <c r="Q15" s="28" t="str">
        <f t="array" ref="Q15">IF($I14="","",XLOOKUP(C15,FSM_State_Map!A:A,FSM_State_Map!D:D,""))</f>
        <v>RE</v>
      </c>
      <c r="R15" s="28" t="str">
        <f t="shared" si="7"/>
        <v>20_20_20</v>
      </c>
      <c r="S15" s="28">
        <f t="array" ref="S15">IF($I14="","",
IF(
  AND(C15="B",C14&lt;&gt;"B"),
  XLOOKUP($B15,Derived_Variables!$A:$A,Derived_Variables!$K:$K,0)
  + XLOOKUP($B15,Derived_Variables!$A:$A,Derived_Variables!$AE:$AE,0),
  S14+AM14
))</f>
        <v>-0.75</v>
      </c>
      <c r="T15" s="28">
        <f t="shared" ref="T15:U15" si="40">IF($I14="","",T14+AN14)</f>
        <v>-0.25</v>
      </c>
      <c r="U15" s="28">
        <f t="shared" si="40"/>
        <v>2</v>
      </c>
      <c r="V15" s="28">
        <f t="array" ref="V15">IF($I14="","",
IF(
  AND(C15="D",C14&lt;&gt;"D"),
  XLOOKUP($B15,Derived_Variables!$A:$A,Derived_Variables!$N:$N,0)
  + XLOOKUP($B15,Derived_Variables!$A:$A,Derived_Variables!$AE:$AE,0),
  V14+AP14
))</f>
        <v>-1</v>
      </c>
      <c r="W15" s="28">
        <f t="shared" ref="W15:X15" si="41">IF($I14="","",W14+AQ14)</f>
        <v>0</v>
      </c>
      <c r="X15" s="28">
        <f t="shared" si="41"/>
        <v>0</v>
      </c>
      <c r="Y15" s="28">
        <f t="array" ref="Y15">IF($I14="","",IF(AND(C15="P",C14&lt;&gt;"P"),IFERROR(XLOOKUP($B15,Lenso_Input!$A:$A,Lenso_Input!$E:$E,0),0),Y14+AS14))</f>
        <v>0</v>
      </c>
      <c r="Z15" s="28">
        <f t="array" ref="Z15">IF($I14="","",IF(AND(C15="Q",C14&lt;&gt;"Q"),IFERROR(XLOOKUP($B15,Lenso_Input!$A:$A,Lenso_Input!$I:$I,0),0),Z14+AT14))</f>
        <v>0</v>
      </c>
      <c r="AA15" s="28" t="str">
        <f t="array" ref="AA15">IF($I14="","",IF(XLOOKUP($B15,Derived_Variables!$A:$A,Derived_Variables!$R:$R,"6/6_target")="6/6_target","20_20_20","40_30_25"))</f>
        <v>20_20_20</v>
      </c>
      <c r="AB15" s="28">
        <f t="array" ref="AB15">IF($I14="","",XLOOKUP(LOWER(XLOOKUP($B15,Derived_Variables!$A:$A,Derived_Variables!$T:$T,"Standard"))&amp;"_sph_step",Calibration!$B:$B,Calibration!$C:$C,0.25))</f>
        <v>0.25</v>
      </c>
      <c r="AC15" s="28">
        <f t="array" ref="AC15">IF($I14="","",XLOOKUP(LOWER(XLOOKUP($B15,Derived_Variables!$A:$A,Derived_Variables!$T:$T,"Standard"))&amp;"_cyl_step",Calibration!$B:$B,Calibration!$C:$C,0.25))</f>
        <v>0.25</v>
      </c>
      <c r="AD15" s="28">
        <f t="array" ref="AD15">IF($I14="","",IF(OR(C15="E",C15="H"),LET(startStep,XLOOKUP("axis_start_step",Calibration!$B:$B,Calibration!$C:$C,5),step1,XLOOKUP("axis_reversal_step_1",Calibration!$B:$B,Calibration!$C:$C,3),step2,XLOOKUP("axis_reversal_step_2",Calibration!$B:$B,Calibration!$C:$C,1),IF(OR(C14&lt;&gt;C15,AZ15="",AZ15="SAME",AZ15="CANT_TELL",I15="",I15="SAME",I15="CANT_TELL"),startStep,IF(OR(AND(AZ15="BETTER_1",I15="BETTER_2"),AND(AZ15="BETTER_2",I15="BETTER_1")),IF(AD14&gt;step1,step1,step2),AD14))),0))</f>
        <v>0</v>
      </c>
      <c r="AE15" s="28" t="str">
        <f t="array" ref="AE15">IF($I14="","",XLOOKUP($B15,Derived_Variables!$A:$A,Derived_Variables!$AD:$AD,"No_Fog"))</f>
        <v>Strong_Fog</v>
      </c>
      <c r="AF15" s="28">
        <f t="array" ref="AF15">IF($I14="","",XLOOKUP($B15,Derived_Variables!$A:$A,Derived_Variables!$AE:$AE,0))</f>
        <v>1</v>
      </c>
      <c r="AG15" s="28" t="str">
        <f t="array" ref="AG15">IF($I14="","",XLOOKUP($B15,Derived_Variables!$A:$A,Derived_Variables!$AF:$AF,""))</f>
        <v>StepDown_0.25</v>
      </c>
      <c r="AH15" s="28" t="str">
        <f t="array" ref="AH15">IF($I14="","",XLOOKUP($B15,Derived_Variables!$A:$A,Derived_Variables!$AG:$AG,""))</f>
        <v>Low</v>
      </c>
      <c r="AI15" s="28" t="str">
        <f t="array" ref="AI15">IF($I14="","",XLOOKUP($B15,Derived_Variables!$A:$A,Derived_Variables!$AC:$AC,"Medium"))</f>
        <v>Low</v>
      </c>
      <c r="AJ15" s="28" t="b">
        <f t="array" ref="AJ15">IF($I14="","",XLOOKUP($B15,Derived_Variables!$A:$A,Derived_Variables!$Y:$Y,FALSE))</f>
        <v>0</v>
      </c>
      <c r="AK15" s="28" t="str">
        <f t="array" ref="AK15">IF($I14="","",XLOOKUP($B15,Derived_Variables!$A:$A,Derived_Variables!$AA:$AA,"Normal"))</f>
        <v>Slow</v>
      </c>
      <c r="AL15" s="28" t="str">
        <f t="array" ref="AL15">IF($I14="","",XLOOKUP($B15,Derived_Variables!$A:$A,Derived_Variables!$AB:$AB,"Normal"))</f>
        <v>Relaxed</v>
      </c>
      <c r="AM15" s="28">
        <f t="array" ref="AM15">IF($I15="","",IFS(C15="B",IF(OR(I15="NOT_READABLE",I15="BLURRY"),-AB15,0),C15="G",IFS(I15="RED_CLEARER",XLOOKUP("duochrome_red_step",Calibration!$B:$B,Calibration!$C:$C,-0.25),I15="GREEN_CLEARER",XLOOKUP("duochrome_green_step",Calibration!$B:$B,Calibration!$C:$C,0.25),I15="EQUAL",IF(XLOOKUP($B15,Derived_Variables!$A:$A,Derived_Variables!$S:$S,"Neutral")="Undercorrect",XLOOKUP("undercorrect_step",Calibration!$B:$B,Calibration!$C:$C,0.25),IF(XLOOKUP($B15,Derived_Variables!$A:$A,Derived_Variables!$S:$S,"Neutral")="Overcorrect",-XLOOKUP("overcorrect_step",Calibration!$B:$B,Calibration!$C:$C,0.25),0)),TRUE,0),C15="K",IF(I15="TOP_CLEARER",XLOOKUP("bino_balance_step",Calibration!$B:$B,Calibration!$C:$C,0.25),0),TRUE,0))</f>
        <v>0</v>
      </c>
      <c r="AN15" s="28">
        <f t="shared" si="10"/>
        <v>0.25</v>
      </c>
      <c r="AO15" s="28">
        <f t="shared" si="11"/>
        <v>0</v>
      </c>
      <c r="AP15" s="28">
        <f t="array" ref="AP15">IF($I15="","",IFS(C15="D",IF(OR(I15="NOT_READABLE",I15="BLURRY"),-AB15,0),C15="J",IFS(I15="RED_CLEARER",XLOOKUP("duochrome_red_step",Calibration!$B:$B,Calibration!$C:$C,-0.25),I15="GREEN_CLEARER",XLOOKUP("duochrome_green_step",Calibration!$B:$B,Calibration!$C:$C,0.25),I15="EQUAL",IF(XLOOKUP($B15,Derived_Variables!$A:$A,Derived_Variables!$S:$S,"Neutral")="Undercorrect",XLOOKUP("undercorrect_step",Calibration!$B:$B,Calibration!$C:$C,0.25),IF(XLOOKUP($B15,Derived_Variables!$A:$A,Derived_Variables!$S:$S,"Neutral")="Overcorrect",-XLOOKUP("overcorrect_step",Calibration!$B:$B,Calibration!$C:$C,0.25),0)),TRUE,0),C15="K",IF(I15="BOTTOM_CLEARER",XLOOKUP("bino_balance_step",Calibration!$B:$B,Calibration!$C:$C,0.25),0),TRUE,0))</f>
        <v>0</v>
      </c>
      <c r="AQ15" s="28">
        <f t="shared" si="12"/>
        <v>0</v>
      </c>
      <c r="AR15" s="28">
        <f t="shared" si="13"/>
        <v>0</v>
      </c>
      <c r="AS15" s="28">
        <f t="array" ref="AS15">IF($I15="","",IF(C15="P",IF(OR(I15="NOT_READABLE",I15="BLURRY"),XLOOKUP("near_add_step",Calibration!$B:$B,Calibration!$C:$C,0.25),0),IF(C15="R",IF(I15="NOT_CLEAR",XLOOKUP("near_add_step",Calibration!$B:$B,Calibration!$C:$C,0.25),0),0)))</f>
        <v>0</v>
      </c>
      <c r="AT15" s="28">
        <f t="array" ref="AT15">IF($I15="","",IF(C15="Q",IF(OR(I15="NOT_READABLE",I15="BLURRY"),XLOOKUP("near_add_step",Calibration!$B:$B,Calibration!$C:$C,0.25),0),IF(C15="R",IF(I15="NOT_CLEAR",XLOOKUP("near_add_step",Calibration!$B:$B,Calibration!$C:$C,0.25),0),0)))</f>
        <v>0</v>
      </c>
      <c r="AU15" s="28" t="str">
        <f t="array" ref="AU15">IF($I15="","",IF(G15="SNELLEN_FEET",IF(I15="READABLE",IFERROR(XLOOKUP(XLOOKUP(R15,Chart_Scale_Distance!B:B,Chart_Scale_Distance!A:A)+1,Chart_Scale_Distance!A:A,Chart_Scale_Distance!B:B),R15),R15),R15))</f>
        <v>20_20_20</v>
      </c>
      <c r="AV15" s="28">
        <f t="array" ref="AV15">IF($I14="","",IFERROR(XLOOKUP(R15,Chart_Scale_Distance!$B:$B,Chart_Scale_Distance!$A:$A,""),""))</f>
        <v>6</v>
      </c>
      <c r="AW15" s="28">
        <f t="array" ref="AW15">IF($I14="","",IFERROR(XLOOKUP(AA15,Chart_Scale_Distance!$B:$B,Chart_Scale_Distance!$A:$A,""),""))</f>
        <v>6</v>
      </c>
      <c r="AX15" s="28">
        <f t="shared" si="14"/>
        <v>0</v>
      </c>
      <c r="AY15" s="28">
        <f t="shared" si="15"/>
        <v>4</v>
      </c>
      <c r="AZ15" s="28" t="str">
        <f t="shared" si="16"/>
        <v/>
      </c>
      <c r="BA15" s="28">
        <f t="shared" si="17"/>
        <v>0</v>
      </c>
      <c r="BB15" s="28">
        <f t="shared" si="18"/>
        <v>0</v>
      </c>
      <c r="BC15" s="28" t="str">
        <f t="array" ref="BC15">IF($I15="","",LET(
conf,AI15,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duoMax,XLOOKUP($B15,Derived_Variables!$A:$A,Derived_Variables!$AI:$AI,4),
axisTol,XLOOKUP($B15,Derived_Variables!$A:$A,Derived_Variables!$W:$W,1),
maxStart,XLOOKUP($B15,Derived_Variables!$A:$A,Derived_Variables!$U:$U,1.25),
maxAR,XLOOKUP($B15,Derived_Variables!$A:$A,Derived_Variables!$V:$V,3),
anom,XLOOKUP($B15,Derived_Variables!$A:$A,Derived_Variables!$Z:$Z,FALSE),
reStart,XLOOKUP($B15,Derived_Variables!$A:$A,Derived_Variables!$K:$K,0),
leStart,XLOOKUP($B15,Derived_Variables!$A:$A,Derived_Variables!$N:$N,0),
reAR,XLOOKUP($B15,AR_Input!$A:$A,AR_Input!$B:$B,reStart),
leAR,XLOOKUP($B15,AR_Input!$A:$A,AR_Input!$E:$E,leStart),
reEsc,AND(anom,OR(ABS((S15+AM15)-reStart)&gt;maxStart,ABS((S15+AM15)-reAR)&gt;maxAR)),
leEsc,AND(anom,OR(ABS((V15+AP15)-leStart)&gt;maxStart,ABS((V15+AP15)-leAR)&gt;maxAR)),
phaseMax,IFS(
 AK15="Fast",
   IFS(
     OR(C15="B",C15="D"),XLOOKUP("timeout_coarse_fast",Calibration!$B:$B,Calibration!$C:$C,24),
     OR(C15="E",C15="F",C15="H",C15="I"),XLOOKUP("timeout_jcc_fast",Calibration!$B:$B,Calibration!$C:$C,10),
     OR(C15="G",C15="J"),XLOOKUP("timeout_duochrome_fast",Calibration!$B:$B,Calibration!$C:$C,8),
     C15="K",XLOOKUP("timeout_bino_fast",Calibration!$B:$B,Calibration!$C:$C,10),
     OR(C15="P",C15="Q",C15="R"),XLOOKUP("timeout_near_fast",Calibration!$B:$B,Calibration!$C:$C,16),
     TRUE,XLOOKUP("timeout_coarse_fast",Calibration!$B:$B,Calibration!$C:$C,24)
   ),
 AK15="Normal",
   IFS(
     OR(C15="B",C15="D"),XLOOKUP("timeout_coarse_normal",Calibration!$B:$B,Calibration!$C:$C,36),
     OR(C15="E",C15="F",C15="H",C15="I"),XLOOKUP("timeout_jcc_normal",Calibration!$B:$B,Calibration!$C:$C,14),
     OR(C15="G",C15="J"),XLOOKUP("timeout_duochrome_normal",Calibration!$B:$B,Calibration!$C:$C,10),
     C15="K",XLOOKUP("timeout_bino_normal",Calibration!$B:$B,Calibration!$C:$C,14),
     OR(C15="P",C15="Q",C15="R"),XLOOKUP("timeout_near_normal",Calibration!$B:$B,Calibration!$C:$C,22),
     TRUE,XLOOKUP("timeout_coarse_normal",Calibration!$B:$B,Calibration!$C:$C,36)
   ),
 TRUE,
   IFS(
     OR(C15="B",C15="D"),XLOOKUP("timeout_coarse_slow",Calibration!$B:$B,Calibration!$C:$C,48),
     OR(C15="E",C15="F",C15="H",C15="I"),XLOOKUP("timeout_jcc_slow",Calibration!$B:$B,Calibration!$C:$C,18),
     OR(C15="G",C15="J"),XLOOKUP("timeout_duochrome_slow",Calibration!$B:$B,Calibration!$C:$C,12),
     C15="K",XLOOKUP("timeout_bino_slow",Calibration!$B:$B,Calibration!$C:$C,18),
     OR(C15="P",C15="Q",C15="R"),XLOOKUP("timeout_near_slow",Calibration!$B:$B,Calibration!$C:$C,28),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AJ15=TRUE,"ESCALATE",
C15="A",
IF(OR(I15="NOT_READABLE",I15="BLURRY",AND(R15="20_20_20",I15="READABLE")),"B","A"),
C15="B",
IF(reEsc,"ESCALATE",IF(AY15&gt;=phaseMax,"ESCALATE",IF(AND(AV15&gt;=AW15,I15="READABLE"),"E","B"))),
C15="E",
IF(AY15&gt;=phaseMax,"ESCALATE",IF(OR(I15="SAME",I15="CANT_TELL",AD15&lt;axisTol),"F","E")),
C15="F",
IF(AY15&gt;=phaseMax,"ESCALATE",IF(AX15&gt;=powerSameN,"G","F")),
C15="G",
IF(AY15&gt;=phaseMax,"ESCALATE",IF(OR(AX15&gt;=duoEqualN,BB15&gt;=duoMax),"D","G")),
C15="D",
IF(leEsc,"ESCALATE",IF(AY15&gt;=phaseMax,"ESCALATE",IF(AND(AV15&gt;=AW15,I15="READABLE"),"H","D"))),
C15="H",
IF(AY15&gt;=phaseMax,"ESCALATE",IF(OR(I15="SAME",I15="CANT_TELL",AD15&lt;axisTol),"I","H")),
C15="I",
IF(AY15&gt;=phaseMax,"ESCALATE",IF(AX15&gt;=powerSameN,"J","I")),
C15="J",
IF(AY15&gt;=phaseMax,"ESCALATE",IF(OR(AX15&gt;=duoEqualN,BB15&gt;=duoMax),"K","J")),
C15="K",
IF(AY15&gt;=phaseMax,"ESCALATE",IF(AX15&gt;=binoSameN,IF(XLOOKUP($B15,Derived_Variables!$A:$A,Derived_Variables!$AJ:$AJ,FALSE)=TRUE,"P","END"),"K")),
C15="P",
IF(AY15&gt;=phaseMax,"ESCALATE",IF(OR(I15="READABLE",I15="SAME"),"Q","P")),
C15="Q",
IF(AY15&gt;=phaseMax,"ESCALATE",IF(OR(I15="READABLE",I15="SAME"),"R","Q")),
C15="R",
IF(AY15&gt;=phaseMax,"ESCALATE",IF(OR(I15=nearTarget,I15="SAME"),"END","R")),
TRUE,"END"
)))</f>
        <v>F</v>
      </c>
      <c r="BD15" s="28" t="b">
        <f t="shared" si="19"/>
        <v>1</v>
      </c>
    </row>
    <row r="16">
      <c r="A16" s="28">
        <f t="shared" si="3"/>
        <v>15</v>
      </c>
      <c r="B16" s="28">
        <f t="shared" si="4"/>
        <v>6</v>
      </c>
      <c r="C16" s="28" t="str">
        <f t="shared" si="5"/>
        <v>F</v>
      </c>
      <c r="D16" s="28" t="str">
        <f t="array" ref="D16">IF($I15="","",XLOOKUP(C16,FSM_State_Map!A:A,FSM_State_Map!B:B,""))</f>
        <v>JCC Power RE</v>
      </c>
      <c r="E16" s="28" t="str">
        <f t="array" ref="E16">IF($I15="","",XLOOKUP(C16,FSM_State_Map!A:A,FSM_State_Map!C:C,""))</f>
        <v>JCC_POWER</v>
      </c>
      <c r="F16" s="28" t="str">
        <f t="array" ref="F16">IF($I15="","",XLOOKUP(E16,Phase_UI_Map!A:A,Phase_UI_Map!B:B,""))</f>
        <v>JCC_POWER</v>
      </c>
      <c r="G16" s="28" t="str">
        <f t="array" ref="G16">IF($I15="","",XLOOKUP(E16,Phase_UI_Map!A:A,Phase_UI_Map!C:C,""))</f>
        <v>DOT_CHART_JCC</v>
      </c>
      <c r="H16" s="28" t="str">
        <f t="array" ref="H16">IF($I15="","",XLOOKUP(E16,Phase_UI_Map!A:A,Phase_UI_Map!D:D,""))</f>
        <v>COMPARE_1_2</v>
      </c>
      <c r="I16" s="29" t="s">
        <v>220</v>
      </c>
      <c r="J16" s="28" t="str">
        <f>IFERROR(__xludf.DUMMYFUNCTION("IF($I15="""","""",IFERROR(INDEX(FILTER(Response_Lists!$B:$B,Response_Lists!$A:$A=$H16),1),""""))"),"BETTER_1")</f>
        <v>BETTER_1</v>
      </c>
      <c r="K16" s="28" t="str">
        <f>IFERROR(__xludf.DUMMYFUNCTION("IF($I15="""","""",IFERROR(INDEX(FILTER(Response_Lists!$B:$B,Response_Lists!$A:$A=$H16),2),""""))"),"BETTER_2")</f>
        <v>BETTER_2</v>
      </c>
      <c r="L16" s="28" t="str">
        <f>IFERROR(__xludf.DUMMYFUNCTION("IF($I15="""","""",IFERROR(INDEX(FILTER(Response_Lists!$B:$B,Response_Lists!$A:$A=$H16),3),""""))"),"SAME")</f>
        <v>SAME</v>
      </c>
      <c r="M16" s="28" t="str">
        <f>IFERROR(__xludf.DUMMYFUNCTION("IF($I15="""","""",IFERROR(INDEX(FILTER(Response_Lists!$B:$B,Response_Lists!$A:$A=$H16),4),""""))"),"CANT_TELL")</f>
        <v>CANT_TELL</v>
      </c>
      <c r="N16" s="28" t="str">
        <f>IFERROR(__xludf.DUMMYFUNCTION("IF($I15="""","""",IFERROR(INDEX(FILTER(Response_Lists!$B:$B,Response_Lists!$A:$A=$H16),5),""""))"),"")</f>
        <v/>
      </c>
      <c r="O16" s="28" t="str">
        <f>IFERROR(__xludf.DUMMYFUNCTION("IF($I15="""","""",IFERROR(INDEX(FILTER(Response_Lists!$B:$B,Response_Lists!$A:$A=$H16),6),""""))"),"")</f>
        <v/>
      </c>
      <c r="P16" s="28" t="str">
        <f t="shared" si="6"/>
        <v>Which is clearer: 1 or 2?</v>
      </c>
      <c r="Q16" s="28" t="str">
        <f t="array" ref="Q16">IF($I15="","",XLOOKUP(C16,FSM_State_Map!A:A,FSM_State_Map!D:D,""))</f>
        <v>RE</v>
      </c>
      <c r="R16" s="28" t="str">
        <f t="shared" si="7"/>
        <v>20_20_20</v>
      </c>
      <c r="S16" s="28">
        <f t="array" ref="S16">IF($I15="","",
IF(
  AND(C16="B",C15&lt;&gt;"B"),
  XLOOKUP($B16,Derived_Variables!$A:$A,Derived_Variables!$K:$K,0)
  + XLOOKUP($B16,Derived_Variables!$A:$A,Derived_Variables!$AE:$AE,0),
  S15+AM15
))</f>
        <v>-0.75</v>
      </c>
      <c r="T16" s="28">
        <f t="shared" ref="T16:U16" si="42">IF($I15="","",T15+AN15)</f>
        <v>0</v>
      </c>
      <c r="U16" s="28">
        <f t="shared" si="42"/>
        <v>2</v>
      </c>
      <c r="V16" s="28">
        <f t="array" ref="V16">IF($I15="","",
IF(
  AND(C16="D",C15&lt;&gt;"D"),
  XLOOKUP($B16,Derived_Variables!$A:$A,Derived_Variables!$N:$N,0)
  + XLOOKUP($B16,Derived_Variables!$A:$A,Derived_Variables!$AE:$AE,0),
  V15+AP15
))</f>
        <v>-1</v>
      </c>
      <c r="W16" s="28">
        <f t="shared" ref="W16:X16" si="43">IF($I15="","",W15+AQ15)</f>
        <v>0</v>
      </c>
      <c r="X16" s="28">
        <f t="shared" si="43"/>
        <v>0</v>
      </c>
      <c r="Y16" s="28">
        <f t="array" ref="Y16">IF($I15="","",IF(AND(C16="P",C15&lt;&gt;"P"),IFERROR(XLOOKUP($B16,Lenso_Input!$A:$A,Lenso_Input!$E:$E,0),0),Y15+AS15))</f>
        <v>0</v>
      </c>
      <c r="Z16" s="28">
        <f t="array" ref="Z16">IF($I15="","",IF(AND(C16="Q",C15&lt;&gt;"Q"),IFERROR(XLOOKUP($B16,Lenso_Input!$A:$A,Lenso_Input!$I:$I,0),0),Z15+AT15))</f>
        <v>0</v>
      </c>
      <c r="AA16" s="28" t="str">
        <f t="array" ref="AA16">IF($I15="","",IF(XLOOKUP($B16,Derived_Variables!$A:$A,Derived_Variables!$R:$R,"6/6_target")="6/6_target","20_20_20","40_30_25"))</f>
        <v>20_20_20</v>
      </c>
      <c r="AB16" s="28">
        <f t="array" ref="AB16">IF($I15="","",XLOOKUP(LOWER(XLOOKUP($B16,Derived_Variables!$A:$A,Derived_Variables!$T:$T,"Standard"))&amp;"_sph_step",Calibration!$B:$B,Calibration!$C:$C,0.25))</f>
        <v>0.25</v>
      </c>
      <c r="AC16" s="28">
        <f t="array" ref="AC16">IF($I15="","",XLOOKUP(LOWER(XLOOKUP($B16,Derived_Variables!$A:$A,Derived_Variables!$T:$T,"Standard"))&amp;"_cyl_step",Calibration!$B:$B,Calibration!$C:$C,0.25))</f>
        <v>0.25</v>
      </c>
      <c r="AD16" s="28">
        <f t="array" ref="AD16">IF($I15="","",IF(OR(C16="E",C16="H"),LET(startStep,XLOOKUP("axis_start_step",Calibration!$B:$B,Calibration!$C:$C,5),step1,XLOOKUP("axis_reversal_step_1",Calibration!$B:$B,Calibration!$C:$C,3),step2,XLOOKUP("axis_reversal_step_2",Calibration!$B:$B,Calibration!$C:$C,1),IF(OR(C15&lt;&gt;C16,AZ16="",AZ16="SAME",AZ16="CANT_TELL",I16="",I16="SAME",I16="CANT_TELL"),startStep,IF(OR(AND(AZ16="BETTER_1",I16="BETTER_2"),AND(AZ16="BETTER_2",I16="BETTER_1")),IF(AD15&gt;step1,step1,step2),AD15))),0))</f>
        <v>0</v>
      </c>
      <c r="AE16" s="28" t="str">
        <f t="array" ref="AE16">IF($I15="","",XLOOKUP($B16,Derived_Variables!$A:$A,Derived_Variables!$AD:$AD,"No_Fog"))</f>
        <v>Strong_Fog</v>
      </c>
      <c r="AF16" s="28">
        <f t="array" ref="AF16">IF($I15="","",XLOOKUP($B16,Derived_Variables!$A:$A,Derived_Variables!$AE:$AE,0))</f>
        <v>1</v>
      </c>
      <c r="AG16" s="28" t="str">
        <f t="array" ref="AG16">IF($I15="","",XLOOKUP($B16,Derived_Variables!$A:$A,Derived_Variables!$AF:$AF,""))</f>
        <v>StepDown_0.25</v>
      </c>
      <c r="AH16" s="28" t="str">
        <f t="array" ref="AH16">IF($I15="","",XLOOKUP($B16,Derived_Variables!$A:$A,Derived_Variables!$AG:$AG,""))</f>
        <v>Low</v>
      </c>
      <c r="AI16" s="28" t="str">
        <f t="array" ref="AI16">IF($I15="","",XLOOKUP($B16,Derived_Variables!$A:$A,Derived_Variables!$AC:$AC,"Medium"))</f>
        <v>Low</v>
      </c>
      <c r="AJ16" s="28" t="b">
        <f t="array" ref="AJ16">IF($I15="","",XLOOKUP($B16,Derived_Variables!$A:$A,Derived_Variables!$Y:$Y,FALSE))</f>
        <v>0</v>
      </c>
      <c r="AK16" s="28" t="str">
        <f t="array" ref="AK16">IF($I15="","",XLOOKUP($B16,Derived_Variables!$A:$A,Derived_Variables!$AA:$AA,"Normal"))</f>
        <v>Slow</v>
      </c>
      <c r="AL16" s="28" t="str">
        <f t="array" ref="AL16">IF($I15="","",XLOOKUP($B16,Derived_Variables!$A:$A,Derived_Variables!$AB:$AB,"Normal"))</f>
        <v>Relaxed</v>
      </c>
      <c r="AM16" s="28">
        <f t="array" ref="AM16">IF($I16="","",IFS(C16="B",IF(OR(I16="NOT_READABLE",I16="BLURRY"),-AB16,0),C16="G",IFS(I16="RED_CLEARER",XLOOKUP("duochrome_red_step",Calibration!$B:$B,Calibration!$C:$C,-0.25),I16="GREEN_CLEARER",XLOOKUP("duochrome_green_step",Calibration!$B:$B,Calibration!$C:$C,0.25),I16="EQUAL",IF(XLOOKUP($B16,Derived_Variables!$A:$A,Derived_Variables!$S:$S,"Neutral")="Undercorrect",XLOOKUP("undercorrect_step",Calibration!$B:$B,Calibration!$C:$C,0.25),IF(XLOOKUP($B16,Derived_Variables!$A:$A,Derived_Variables!$S:$S,"Neutral")="Overcorrect",-XLOOKUP("overcorrect_step",Calibration!$B:$B,Calibration!$C:$C,0.25),0)),TRUE,0),C16="K",IF(I16="TOP_CLEARER",XLOOKUP("bino_balance_step",Calibration!$B:$B,Calibration!$C:$C,0.25),0),TRUE,0))</f>
        <v>0</v>
      </c>
      <c r="AN16" s="28">
        <f t="shared" si="10"/>
        <v>-0.25</v>
      </c>
      <c r="AO16" s="28">
        <f t="shared" si="11"/>
        <v>0</v>
      </c>
      <c r="AP16" s="28">
        <f t="array" ref="AP16">IF($I16="","",IFS(C16="D",IF(OR(I16="NOT_READABLE",I16="BLURRY"),-AB16,0),C16="J",IFS(I16="RED_CLEARER",XLOOKUP("duochrome_red_step",Calibration!$B:$B,Calibration!$C:$C,-0.25),I16="GREEN_CLEARER",XLOOKUP("duochrome_green_step",Calibration!$B:$B,Calibration!$C:$C,0.25),I16="EQUAL",IF(XLOOKUP($B16,Derived_Variables!$A:$A,Derived_Variables!$S:$S,"Neutral")="Undercorrect",XLOOKUP("undercorrect_step",Calibration!$B:$B,Calibration!$C:$C,0.25),IF(XLOOKUP($B16,Derived_Variables!$A:$A,Derived_Variables!$S:$S,"Neutral")="Overcorrect",-XLOOKUP("overcorrect_step",Calibration!$B:$B,Calibration!$C:$C,0.25),0)),TRUE,0),C16="K",IF(I16="BOTTOM_CLEARER",XLOOKUP("bino_balance_step",Calibration!$B:$B,Calibration!$C:$C,0.25),0),TRUE,0))</f>
        <v>0</v>
      </c>
      <c r="AQ16" s="28">
        <f t="shared" si="12"/>
        <v>0</v>
      </c>
      <c r="AR16" s="28">
        <f t="shared" si="13"/>
        <v>0</v>
      </c>
      <c r="AS16" s="28">
        <f t="array" ref="AS16">IF($I16="","",IF(C16="P",IF(OR(I16="NOT_READABLE",I16="BLURRY"),XLOOKUP("near_add_step",Calibration!$B:$B,Calibration!$C:$C,0.25),0),IF(C16="R",IF(I16="NOT_CLEAR",XLOOKUP("near_add_step",Calibration!$B:$B,Calibration!$C:$C,0.25),0),0)))</f>
        <v>0</v>
      </c>
      <c r="AT16" s="28">
        <f t="array" ref="AT16">IF($I16="","",IF(C16="Q",IF(OR(I16="NOT_READABLE",I16="BLURRY"),XLOOKUP("near_add_step",Calibration!$B:$B,Calibration!$C:$C,0.25),0),IF(C16="R",IF(I16="NOT_CLEAR",XLOOKUP("near_add_step",Calibration!$B:$B,Calibration!$C:$C,0.25),0),0)))</f>
        <v>0</v>
      </c>
      <c r="AU16" s="28" t="str">
        <f t="array" ref="AU16">IF($I16="","",IF(G16="SNELLEN_FEET",IF(I16="READABLE",IFERROR(XLOOKUP(XLOOKUP(R16,Chart_Scale_Distance!B:B,Chart_Scale_Distance!A:A)+1,Chart_Scale_Distance!A:A,Chart_Scale_Distance!B:B),R16),R16),R16))</f>
        <v>20_20_20</v>
      </c>
      <c r="AV16" s="28">
        <f t="array" ref="AV16">IF($I15="","",IFERROR(XLOOKUP(R16,Chart_Scale_Distance!$B:$B,Chart_Scale_Distance!$A:$A,""),""))</f>
        <v>6</v>
      </c>
      <c r="AW16" s="28">
        <f t="array" ref="AW16">IF($I15="","",IFERROR(XLOOKUP(AA16,Chart_Scale_Distance!$B:$B,Chart_Scale_Distance!$A:$A,""),""))</f>
        <v>6</v>
      </c>
      <c r="AX16" s="28">
        <f t="shared" si="14"/>
        <v>0</v>
      </c>
      <c r="AY16" s="28">
        <f t="shared" si="15"/>
        <v>5</v>
      </c>
      <c r="AZ16" s="28" t="str">
        <f t="shared" si="16"/>
        <v/>
      </c>
      <c r="BA16" s="28">
        <f t="shared" si="17"/>
        <v>0</v>
      </c>
      <c r="BB16" s="28">
        <f t="shared" si="18"/>
        <v>0</v>
      </c>
      <c r="BC16" s="28" t="str">
        <f t="array" ref="BC16">IF($I16="","",LET(
conf,AI16,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duoMax,XLOOKUP($B16,Derived_Variables!$A:$A,Derived_Variables!$AI:$AI,4),
axisTol,XLOOKUP($B16,Derived_Variables!$A:$A,Derived_Variables!$W:$W,1),
maxStart,XLOOKUP($B16,Derived_Variables!$A:$A,Derived_Variables!$U:$U,1.25),
maxAR,XLOOKUP($B16,Derived_Variables!$A:$A,Derived_Variables!$V:$V,3),
anom,XLOOKUP($B16,Derived_Variables!$A:$A,Derived_Variables!$Z:$Z,FALSE),
reStart,XLOOKUP($B16,Derived_Variables!$A:$A,Derived_Variables!$K:$K,0),
leStart,XLOOKUP($B16,Derived_Variables!$A:$A,Derived_Variables!$N:$N,0),
reAR,XLOOKUP($B16,AR_Input!$A:$A,AR_Input!$B:$B,reStart),
leAR,XLOOKUP($B16,AR_Input!$A:$A,AR_Input!$E:$E,leStart),
reEsc,AND(anom,OR(ABS((S16+AM16)-reStart)&gt;maxStart,ABS((S16+AM16)-reAR)&gt;maxAR)),
leEsc,AND(anom,OR(ABS((V16+AP16)-leStart)&gt;maxStart,ABS((V16+AP16)-leAR)&gt;maxAR)),
phaseMax,IFS(
 AK16="Fast",
   IFS(
     OR(C16="B",C16="D"),XLOOKUP("timeout_coarse_fast",Calibration!$B:$B,Calibration!$C:$C,24),
     OR(C16="E",C16="F",C16="H",C16="I"),XLOOKUP("timeout_jcc_fast",Calibration!$B:$B,Calibration!$C:$C,10),
     OR(C16="G",C16="J"),XLOOKUP("timeout_duochrome_fast",Calibration!$B:$B,Calibration!$C:$C,8),
     C16="K",XLOOKUP("timeout_bino_fast",Calibration!$B:$B,Calibration!$C:$C,10),
     OR(C16="P",C16="Q",C16="R"),XLOOKUP("timeout_near_fast",Calibration!$B:$B,Calibration!$C:$C,16),
     TRUE,XLOOKUP("timeout_coarse_fast",Calibration!$B:$B,Calibration!$C:$C,24)
   ),
 AK16="Normal",
   IFS(
     OR(C16="B",C16="D"),XLOOKUP("timeout_coarse_normal",Calibration!$B:$B,Calibration!$C:$C,36),
     OR(C16="E",C16="F",C16="H",C16="I"),XLOOKUP("timeout_jcc_normal",Calibration!$B:$B,Calibration!$C:$C,14),
     OR(C16="G",C16="J"),XLOOKUP("timeout_duochrome_normal",Calibration!$B:$B,Calibration!$C:$C,10),
     C16="K",XLOOKUP("timeout_bino_normal",Calibration!$B:$B,Calibration!$C:$C,14),
     OR(C16="P",C16="Q",C16="R"),XLOOKUP("timeout_near_normal",Calibration!$B:$B,Calibration!$C:$C,22),
     TRUE,XLOOKUP("timeout_coarse_normal",Calibration!$B:$B,Calibration!$C:$C,36)
   ),
 TRUE,
   IFS(
     OR(C16="B",C16="D"),XLOOKUP("timeout_coarse_slow",Calibration!$B:$B,Calibration!$C:$C,48),
     OR(C16="E",C16="F",C16="H",C16="I"),XLOOKUP("timeout_jcc_slow",Calibration!$B:$B,Calibration!$C:$C,18),
     OR(C16="G",C16="J"),XLOOKUP("timeout_duochrome_slow",Calibration!$B:$B,Calibration!$C:$C,12),
     C16="K",XLOOKUP("timeout_bino_slow",Calibration!$B:$B,Calibration!$C:$C,18),
     OR(C16="P",C16="Q",C16="R"),XLOOKUP("timeout_near_slow",Calibration!$B:$B,Calibration!$C:$C,28),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AJ16=TRUE,"ESCALATE",
C16="A",
IF(OR(I16="NOT_READABLE",I16="BLURRY",AND(R16="20_20_20",I16="READABLE")),"B","A"),
C16="B",
IF(reEsc,"ESCALATE",IF(AY16&gt;=phaseMax,"ESCALATE",IF(AND(AV16&gt;=AW16,I16="READABLE"),"E","B"))),
C16="E",
IF(AY16&gt;=phaseMax,"ESCALATE",IF(OR(I16="SAME",I16="CANT_TELL",AD16&lt;axisTol),"F","E")),
C16="F",
IF(AY16&gt;=phaseMax,"ESCALATE",IF(AX16&gt;=powerSameN,"G","F")),
C16="G",
IF(AY16&gt;=phaseMax,"ESCALATE",IF(OR(AX16&gt;=duoEqualN,BB16&gt;=duoMax),"D","G")),
C16="D",
IF(leEsc,"ESCALATE",IF(AY16&gt;=phaseMax,"ESCALATE",IF(AND(AV16&gt;=AW16,I16="READABLE"),"H","D"))),
C16="H",
IF(AY16&gt;=phaseMax,"ESCALATE",IF(OR(I16="SAME",I16="CANT_TELL",AD16&lt;axisTol),"I","H")),
C16="I",
IF(AY16&gt;=phaseMax,"ESCALATE",IF(AX16&gt;=powerSameN,"J","I")),
C16="J",
IF(AY16&gt;=phaseMax,"ESCALATE",IF(OR(AX16&gt;=duoEqualN,BB16&gt;=duoMax),"K","J")),
C16="K",
IF(AY16&gt;=phaseMax,"ESCALATE",IF(AX16&gt;=binoSameN,IF(XLOOKUP($B16,Derived_Variables!$A:$A,Derived_Variables!$AJ:$AJ,FALSE)=TRUE,"P","END"),"K")),
C16="P",
IF(AY16&gt;=phaseMax,"ESCALATE",IF(OR(I16="READABLE",I16="SAME"),"Q","P")),
C16="Q",
IF(AY16&gt;=phaseMax,"ESCALATE",IF(OR(I16="READABLE",I16="SAME"),"R","Q")),
C16="R",
IF(AY16&gt;=phaseMax,"ESCALATE",IF(OR(I16=nearTarget,I16="SAME"),"END","R")),
TRUE,"END"
)))</f>
        <v>F</v>
      </c>
      <c r="BD16" s="28" t="b">
        <f t="shared" si="19"/>
        <v>1</v>
      </c>
    </row>
    <row r="17">
      <c r="A17" s="28">
        <f t="shared" si="3"/>
        <v>16</v>
      </c>
      <c r="B17" s="28">
        <f t="shared" si="4"/>
        <v>6</v>
      </c>
      <c r="C17" s="28" t="str">
        <f t="shared" si="5"/>
        <v>F</v>
      </c>
      <c r="D17" s="28" t="str">
        <f t="array" ref="D17">IF($I16="","",XLOOKUP(C17,FSM_State_Map!A:A,FSM_State_Map!B:B,""))</f>
        <v>JCC Power RE</v>
      </c>
      <c r="E17" s="28" t="str">
        <f t="array" ref="E17">IF($I16="","",XLOOKUP(C17,FSM_State_Map!A:A,FSM_State_Map!C:C,""))</f>
        <v>JCC_POWER</v>
      </c>
      <c r="F17" s="28" t="str">
        <f t="array" ref="F17">IF($I16="","",XLOOKUP(E17,Phase_UI_Map!A:A,Phase_UI_Map!B:B,""))</f>
        <v>JCC_POWER</v>
      </c>
      <c r="G17" s="28" t="str">
        <f t="array" ref="G17">IF($I16="","",XLOOKUP(E17,Phase_UI_Map!A:A,Phase_UI_Map!C:C,""))</f>
        <v>DOT_CHART_JCC</v>
      </c>
      <c r="H17" s="28" t="str">
        <f t="array" ref="H17">IF($I16="","",XLOOKUP(E17,Phase_UI_Map!A:A,Phase_UI_Map!D:D,""))</f>
        <v>COMPARE_1_2</v>
      </c>
      <c r="I17" s="29" t="s">
        <v>222</v>
      </c>
      <c r="J17" s="28" t="str">
        <f>IFERROR(__xludf.DUMMYFUNCTION("IF($I16="""","""",IFERROR(INDEX(FILTER(Response_Lists!$B:$B,Response_Lists!$A:$A=$H17),1),""""))"),"BETTER_1")</f>
        <v>BETTER_1</v>
      </c>
      <c r="K17" s="28" t="str">
        <f>IFERROR(__xludf.DUMMYFUNCTION("IF($I16="""","""",IFERROR(INDEX(FILTER(Response_Lists!$B:$B,Response_Lists!$A:$A=$H17),2),""""))"),"BETTER_2")</f>
        <v>BETTER_2</v>
      </c>
      <c r="L17" s="28" t="str">
        <f>IFERROR(__xludf.DUMMYFUNCTION("IF($I16="""","""",IFERROR(INDEX(FILTER(Response_Lists!$B:$B,Response_Lists!$A:$A=$H17),3),""""))"),"SAME")</f>
        <v>SAME</v>
      </c>
      <c r="M17" s="28" t="str">
        <f>IFERROR(__xludf.DUMMYFUNCTION("IF($I16="""","""",IFERROR(INDEX(FILTER(Response_Lists!$B:$B,Response_Lists!$A:$A=$H17),4),""""))"),"CANT_TELL")</f>
        <v>CANT_TELL</v>
      </c>
      <c r="N17" s="28" t="str">
        <f>IFERROR(__xludf.DUMMYFUNCTION("IF($I16="""","""",IFERROR(INDEX(FILTER(Response_Lists!$B:$B,Response_Lists!$A:$A=$H17),5),""""))"),"")</f>
        <v/>
      </c>
      <c r="O17" s="28" t="str">
        <f>IFERROR(__xludf.DUMMYFUNCTION("IF($I16="""","""",IFERROR(INDEX(FILTER(Response_Lists!$B:$B,Response_Lists!$A:$A=$H17),6),""""))"),"")</f>
        <v/>
      </c>
      <c r="P17" s="28" t="str">
        <f t="shared" si="6"/>
        <v>Which is clearer: 1 or 2?</v>
      </c>
      <c r="Q17" s="28" t="str">
        <f t="array" ref="Q17">IF($I16="","",XLOOKUP(C17,FSM_State_Map!A:A,FSM_State_Map!D:D,""))</f>
        <v>RE</v>
      </c>
      <c r="R17" s="28" t="str">
        <f t="shared" si="7"/>
        <v>20_20_20</v>
      </c>
      <c r="S17" s="28">
        <f t="array" ref="S17">IF($I16="","",
IF(
  AND(C17="B",C16&lt;&gt;"B"),
  XLOOKUP($B17,Derived_Variables!$A:$A,Derived_Variables!$K:$K,0)
  + XLOOKUP($B17,Derived_Variables!$A:$A,Derived_Variables!$AE:$AE,0),
  S16+AM16
))</f>
        <v>-0.75</v>
      </c>
      <c r="T17" s="28">
        <f t="shared" ref="T17:U17" si="44">IF($I16="","",T16+AN16)</f>
        <v>-0.25</v>
      </c>
      <c r="U17" s="28">
        <f t="shared" si="44"/>
        <v>2</v>
      </c>
      <c r="V17" s="28">
        <f t="array" ref="V17">IF($I16="","",
IF(
  AND(C17="D",C16&lt;&gt;"D"),
  XLOOKUP($B17,Derived_Variables!$A:$A,Derived_Variables!$N:$N,0)
  + XLOOKUP($B17,Derived_Variables!$A:$A,Derived_Variables!$AE:$AE,0),
  V16+AP16
))</f>
        <v>-1</v>
      </c>
      <c r="W17" s="28">
        <f t="shared" ref="W17:X17" si="45">IF($I16="","",W16+AQ16)</f>
        <v>0</v>
      </c>
      <c r="X17" s="28">
        <f t="shared" si="45"/>
        <v>0</v>
      </c>
      <c r="Y17" s="28">
        <f t="array" ref="Y17">IF($I16="","",IF(AND(C17="P",C16&lt;&gt;"P"),IFERROR(XLOOKUP($B17,Lenso_Input!$A:$A,Lenso_Input!$E:$E,0),0),Y16+AS16))</f>
        <v>0</v>
      </c>
      <c r="Z17" s="28">
        <f t="array" ref="Z17">IF($I16="","",IF(AND(C17="Q",C16&lt;&gt;"Q"),IFERROR(XLOOKUP($B17,Lenso_Input!$A:$A,Lenso_Input!$I:$I,0),0),Z16+AT16))</f>
        <v>0</v>
      </c>
      <c r="AA17" s="28" t="str">
        <f t="array" ref="AA17">IF($I16="","",IF(XLOOKUP($B17,Derived_Variables!$A:$A,Derived_Variables!$R:$R,"6/6_target")="6/6_target","20_20_20","40_30_25"))</f>
        <v>20_20_20</v>
      </c>
      <c r="AB17" s="28">
        <f t="array" ref="AB17">IF($I16="","",XLOOKUP(LOWER(XLOOKUP($B17,Derived_Variables!$A:$A,Derived_Variables!$T:$T,"Standard"))&amp;"_sph_step",Calibration!$B:$B,Calibration!$C:$C,0.25))</f>
        <v>0.25</v>
      </c>
      <c r="AC17" s="28">
        <f t="array" ref="AC17">IF($I16="","",XLOOKUP(LOWER(XLOOKUP($B17,Derived_Variables!$A:$A,Derived_Variables!$T:$T,"Standard"))&amp;"_cyl_step",Calibration!$B:$B,Calibration!$C:$C,0.25))</f>
        <v>0.25</v>
      </c>
      <c r="AD17" s="28">
        <f t="array" ref="AD17">IF($I16="","",IF(OR(C17="E",C17="H"),LET(startStep,XLOOKUP("axis_start_step",Calibration!$B:$B,Calibration!$C:$C,5),step1,XLOOKUP("axis_reversal_step_1",Calibration!$B:$B,Calibration!$C:$C,3),step2,XLOOKUP("axis_reversal_step_2",Calibration!$B:$B,Calibration!$C:$C,1),IF(OR(C16&lt;&gt;C17,AZ17="",AZ17="SAME",AZ17="CANT_TELL",I17="",I17="SAME",I17="CANT_TELL"),startStep,IF(OR(AND(AZ17="BETTER_1",I17="BETTER_2"),AND(AZ17="BETTER_2",I17="BETTER_1")),IF(AD16&gt;step1,step1,step2),AD16))),0))</f>
        <v>0</v>
      </c>
      <c r="AE17" s="28" t="str">
        <f t="array" ref="AE17">IF($I16="","",XLOOKUP($B17,Derived_Variables!$A:$A,Derived_Variables!$AD:$AD,"No_Fog"))</f>
        <v>Strong_Fog</v>
      </c>
      <c r="AF17" s="28">
        <f t="array" ref="AF17">IF($I16="","",XLOOKUP($B17,Derived_Variables!$A:$A,Derived_Variables!$AE:$AE,0))</f>
        <v>1</v>
      </c>
      <c r="AG17" s="28" t="str">
        <f t="array" ref="AG17">IF($I16="","",XLOOKUP($B17,Derived_Variables!$A:$A,Derived_Variables!$AF:$AF,""))</f>
        <v>StepDown_0.25</v>
      </c>
      <c r="AH17" s="28" t="str">
        <f t="array" ref="AH17">IF($I16="","",XLOOKUP($B17,Derived_Variables!$A:$A,Derived_Variables!$AG:$AG,""))</f>
        <v>Low</v>
      </c>
      <c r="AI17" s="28" t="str">
        <f t="array" ref="AI17">IF($I16="","",XLOOKUP($B17,Derived_Variables!$A:$A,Derived_Variables!$AC:$AC,"Medium"))</f>
        <v>Low</v>
      </c>
      <c r="AJ17" s="28" t="b">
        <f t="array" ref="AJ17">IF($I16="","",XLOOKUP($B17,Derived_Variables!$A:$A,Derived_Variables!$Y:$Y,FALSE))</f>
        <v>0</v>
      </c>
      <c r="AK17" s="28" t="str">
        <f t="array" ref="AK17">IF($I16="","",XLOOKUP($B17,Derived_Variables!$A:$A,Derived_Variables!$AA:$AA,"Normal"))</f>
        <v>Slow</v>
      </c>
      <c r="AL17" s="28" t="str">
        <f t="array" ref="AL17">IF($I16="","",XLOOKUP($B17,Derived_Variables!$A:$A,Derived_Variables!$AB:$AB,"Normal"))</f>
        <v>Relaxed</v>
      </c>
      <c r="AM17" s="28">
        <f t="array" ref="AM17">IF($I17="","",IFS(C17="B",IF(OR(I17="NOT_READABLE",I17="BLURRY"),-AB17,0),C17="G",IFS(I17="RED_CLEARER",XLOOKUP("duochrome_red_step",Calibration!$B:$B,Calibration!$C:$C,-0.25),I17="GREEN_CLEARER",XLOOKUP("duochrome_green_step",Calibration!$B:$B,Calibration!$C:$C,0.25),I17="EQUAL",IF(XLOOKUP($B17,Derived_Variables!$A:$A,Derived_Variables!$S:$S,"Neutral")="Undercorrect",XLOOKUP("undercorrect_step",Calibration!$B:$B,Calibration!$C:$C,0.25),IF(XLOOKUP($B17,Derived_Variables!$A:$A,Derived_Variables!$S:$S,"Neutral")="Overcorrect",-XLOOKUP("overcorrect_step",Calibration!$B:$B,Calibration!$C:$C,0.25),0)),TRUE,0),C17="K",IF(I17="TOP_CLEARER",XLOOKUP("bino_balance_step",Calibration!$B:$B,Calibration!$C:$C,0.25),0),TRUE,0))</f>
        <v>0</v>
      </c>
      <c r="AN17" s="28">
        <f t="shared" si="10"/>
        <v>0</v>
      </c>
      <c r="AO17" s="28">
        <f t="shared" si="11"/>
        <v>0</v>
      </c>
      <c r="AP17" s="28">
        <f t="array" ref="AP17">IF($I17="","",IFS(C17="D",IF(OR(I17="NOT_READABLE",I17="BLURRY"),-AB17,0),C17="J",IFS(I17="RED_CLEARER",XLOOKUP("duochrome_red_step",Calibration!$B:$B,Calibration!$C:$C,-0.25),I17="GREEN_CLEARER",XLOOKUP("duochrome_green_step",Calibration!$B:$B,Calibration!$C:$C,0.25),I17="EQUAL",IF(XLOOKUP($B17,Derived_Variables!$A:$A,Derived_Variables!$S:$S,"Neutral")="Undercorrect",XLOOKUP("undercorrect_step",Calibration!$B:$B,Calibration!$C:$C,0.25),IF(XLOOKUP($B17,Derived_Variables!$A:$A,Derived_Variables!$S:$S,"Neutral")="Overcorrect",-XLOOKUP("overcorrect_step",Calibration!$B:$B,Calibration!$C:$C,0.25),0)),TRUE,0),C17="K",IF(I17="BOTTOM_CLEARER",XLOOKUP("bino_balance_step",Calibration!$B:$B,Calibration!$C:$C,0.25),0),TRUE,0))</f>
        <v>0</v>
      </c>
      <c r="AQ17" s="28">
        <f t="shared" si="12"/>
        <v>0</v>
      </c>
      <c r="AR17" s="28">
        <f t="shared" si="13"/>
        <v>0</v>
      </c>
      <c r="AS17" s="28">
        <f t="array" ref="AS17">IF($I17="","",IF(C17="P",IF(OR(I17="NOT_READABLE",I17="BLURRY"),XLOOKUP("near_add_step",Calibration!$B:$B,Calibration!$C:$C,0.25),0),IF(C17="R",IF(I17="NOT_CLEAR",XLOOKUP("near_add_step",Calibration!$B:$B,Calibration!$C:$C,0.25),0),0)))</f>
        <v>0</v>
      </c>
      <c r="AT17" s="28">
        <f t="array" ref="AT17">IF($I17="","",IF(C17="Q",IF(OR(I17="NOT_READABLE",I17="BLURRY"),XLOOKUP("near_add_step",Calibration!$B:$B,Calibration!$C:$C,0.25),0),IF(C17="R",IF(I17="NOT_CLEAR",XLOOKUP("near_add_step",Calibration!$B:$B,Calibration!$C:$C,0.25),0),0)))</f>
        <v>0</v>
      </c>
      <c r="AU17" s="28" t="str">
        <f t="array" ref="AU17">IF($I17="","",IF(G17="SNELLEN_FEET",IF(I17="READABLE",IFERROR(XLOOKUP(XLOOKUP(R17,Chart_Scale_Distance!B:B,Chart_Scale_Distance!A:A)+1,Chart_Scale_Distance!A:A,Chart_Scale_Distance!B:B),R17),R17),R17))</f>
        <v>20_20_20</v>
      </c>
      <c r="AV17" s="28">
        <f t="array" ref="AV17">IF($I16="","",IFERROR(XLOOKUP(R17,Chart_Scale_Distance!$B:$B,Chart_Scale_Distance!$A:$A,""),""))</f>
        <v>6</v>
      </c>
      <c r="AW17" s="28">
        <f t="array" ref="AW17">IF($I16="","",IFERROR(XLOOKUP(AA17,Chart_Scale_Distance!$B:$B,Chart_Scale_Distance!$A:$A,""),""))</f>
        <v>6</v>
      </c>
      <c r="AX17" s="28">
        <f t="shared" si="14"/>
        <v>1</v>
      </c>
      <c r="AY17" s="28">
        <f t="shared" si="15"/>
        <v>6</v>
      </c>
      <c r="AZ17" s="28" t="str">
        <f t="shared" si="16"/>
        <v/>
      </c>
      <c r="BA17" s="28">
        <f t="shared" si="17"/>
        <v>0</v>
      </c>
      <c r="BB17" s="28">
        <f t="shared" si="18"/>
        <v>0</v>
      </c>
      <c r="BC17" s="28" t="str">
        <f t="array" ref="BC17">IF($I17="","",LET(
conf,AI17,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duoMax,XLOOKUP($B17,Derived_Variables!$A:$A,Derived_Variables!$AI:$AI,4),
axisTol,XLOOKUP($B17,Derived_Variables!$A:$A,Derived_Variables!$W:$W,1),
maxStart,XLOOKUP($B17,Derived_Variables!$A:$A,Derived_Variables!$U:$U,1.25),
maxAR,XLOOKUP($B17,Derived_Variables!$A:$A,Derived_Variables!$V:$V,3),
anom,XLOOKUP($B17,Derived_Variables!$A:$A,Derived_Variables!$Z:$Z,FALSE),
reStart,XLOOKUP($B17,Derived_Variables!$A:$A,Derived_Variables!$K:$K,0),
leStart,XLOOKUP($B17,Derived_Variables!$A:$A,Derived_Variables!$N:$N,0),
reAR,XLOOKUP($B17,AR_Input!$A:$A,AR_Input!$B:$B,reStart),
leAR,XLOOKUP($B17,AR_Input!$A:$A,AR_Input!$E:$E,leStart),
reEsc,AND(anom,OR(ABS((S17+AM17)-reStart)&gt;maxStart,ABS((S17+AM17)-reAR)&gt;maxAR)),
leEsc,AND(anom,OR(ABS((V17+AP17)-leStart)&gt;maxStart,ABS((V17+AP17)-leAR)&gt;maxAR)),
phaseMax,IFS(
 AK17="Fast",
   IFS(
     OR(C17="B",C17="D"),XLOOKUP("timeout_coarse_fast",Calibration!$B:$B,Calibration!$C:$C,24),
     OR(C17="E",C17="F",C17="H",C17="I"),XLOOKUP("timeout_jcc_fast",Calibration!$B:$B,Calibration!$C:$C,10),
     OR(C17="G",C17="J"),XLOOKUP("timeout_duochrome_fast",Calibration!$B:$B,Calibration!$C:$C,8),
     C17="K",XLOOKUP("timeout_bino_fast",Calibration!$B:$B,Calibration!$C:$C,10),
     OR(C17="P",C17="Q",C17="R"),XLOOKUP("timeout_near_fast",Calibration!$B:$B,Calibration!$C:$C,16),
     TRUE,XLOOKUP("timeout_coarse_fast",Calibration!$B:$B,Calibration!$C:$C,24)
   ),
 AK17="Normal",
   IFS(
     OR(C17="B",C17="D"),XLOOKUP("timeout_coarse_normal",Calibration!$B:$B,Calibration!$C:$C,36),
     OR(C17="E",C17="F",C17="H",C17="I"),XLOOKUP("timeout_jcc_normal",Calibration!$B:$B,Calibration!$C:$C,14),
     OR(C17="G",C17="J"),XLOOKUP("timeout_duochrome_normal",Calibration!$B:$B,Calibration!$C:$C,10),
     C17="K",XLOOKUP("timeout_bino_normal",Calibration!$B:$B,Calibration!$C:$C,14),
     OR(C17="P",C17="Q",C17="R"),XLOOKUP("timeout_near_normal",Calibration!$B:$B,Calibration!$C:$C,22),
     TRUE,XLOOKUP("timeout_coarse_normal",Calibration!$B:$B,Calibration!$C:$C,36)
   ),
 TRUE,
   IFS(
     OR(C17="B",C17="D"),XLOOKUP("timeout_coarse_slow",Calibration!$B:$B,Calibration!$C:$C,48),
     OR(C17="E",C17="F",C17="H",C17="I"),XLOOKUP("timeout_jcc_slow",Calibration!$B:$B,Calibration!$C:$C,18),
     OR(C17="G",C17="J"),XLOOKUP("timeout_duochrome_slow",Calibration!$B:$B,Calibration!$C:$C,12),
     C17="K",XLOOKUP("timeout_bino_slow",Calibration!$B:$B,Calibration!$C:$C,18),
     OR(C17="P",C17="Q",C17="R"),XLOOKUP("timeout_near_slow",Calibration!$B:$B,Calibration!$C:$C,28),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AJ17=TRUE,"ESCALATE",
C17="A",
IF(OR(I17="NOT_READABLE",I17="BLURRY",AND(R17="20_20_20",I17="READABLE")),"B","A"),
C17="B",
IF(reEsc,"ESCALATE",IF(AY17&gt;=phaseMax,"ESCALATE",IF(AND(AV17&gt;=AW17,I17="READABLE"),"E","B"))),
C17="E",
IF(AY17&gt;=phaseMax,"ESCALATE",IF(OR(I17="SAME",I17="CANT_TELL",AD17&lt;axisTol),"F","E")),
C17="F",
IF(AY17&gt;=phaseMax,"ESCALATE",IF(AX17&gt;=powerSameN,"G","F")),
C17="G",
IF(AY17&gt;=phaseMax,"ESCALATE",IF(OR(AX17&gt;=duoEqualN,BB17&gt;=duoMax),"D","G")),
C17="D",
IF(leEsc,"ESCALATE",IF(AY17&gt;=phaseMax,"ESCALATE",IF(AND(AV17&gt;=AW17,I17="READABLE"),"H","D"))),
C17="H",
IF(AY17&gt;=phaseMax,"ESCALATE",IF(OR(I17="SAME",I17="CANT_TELL",AD17&lt;axisTol),"I","H")),
C17="I",
IF(AY17&gt;=phaseMax,"ESCALATE",IF(AX17&gt;=powerSameN,"J","I")),
C17="J",
IF(AY17&gt;=phaseMax,"ESCALATE",IF(OR(AX17&gt;=duoEqualN,BB17&gt;=duoMax),"K","J")),
C17="K",
IF(AY17&gt;=phaseMax,"ESCALATE",IF(AX17&gt;=binoSameN,IF(XLOOKUP($B17,Derived_Variables!$A:$A,Derived_Variables!$AJ:$AJ,FALSE)=TRUE,"P","END"),"K")),
C17="P",
IF(AY17&gt;=phaseMax,"ESCALATE",IF(OR(I17="READABLE",I17="SAME"),"Q","P")),
C17="Q",
IF(AY17&gt;=phaseMax,"ESCALATE",IF(OR(I17="READABLE",I17="SAME"),"R","Q")),
C17="R",
IF(AY17&gt;=phaseMax,"ESCALATE",IF(OR(I17=nearTarget,I17="SAME"),"END","R")),
TRUE,"END"
)))</f>
        <v>G</v>
      </c>
      <c r="BD17" s="28" t="b">
        <f t="shared" si="19"/>
        <v>1</v>
      </c>
    </row>
    <row r="18">
      <c r="A18" s="28">
        <f t="shared" si="3"/>
        <v>17</v>
      </c>
      <c r="B18" s="28">
        <f t="shared" si="4"/>
        <v>6</v>
      </c>
      <c r="C18" s="28" t="str">
        <f t="shared" si="5"/>
        <v>G</v>
      </c>
      <c r="D18" s="28" t="str">
        <f t="array" ref="D18">IF($I17="","",XLOOKUP(C18,FSM_State_Map!A:A,FSM_State_Map!B:B,""))</f>
        <v>Duochrome RE</v>
      </c>
      <c r="E18" s="28" t="str">
        <f t="array" ref="E18">IF($I17="","",XLOOKUP(C18,FSM_State_Map!A:A,FSM_State_Map!C:C,""))</f>
        <v>DUOCHROME</v>
      </c>
      <c r="F18" s="28" t="str">
        <f t="array" ref="F18">IF($I17="","",XLOOKUP(E18,Phase_UI_Map!A:A,Phase_UI_Map!B:B,""))</f>
        <v>DUOCHROME</v>
      </c>
      <c r="G18" s="28" t="str">
        <f t="array" ref="G18">IF($I17="","",XLOOKUP(E18,Phase_UI_Map!A:A,Phase_UI_Map!C:C,""))</f>
        <v>RED_GREEN_DUOCHROME</v>
      </c>
      <c r="H18" s="28" t="str">
        <f t="array" ref="H18">IF($I17="","",XLOOKUP(E18,Phase_UI_Map!A:A,Phase_UI_Map!D:D,""))</f>
        <v>COLOR_CHOICE</v>
      </c>
      <c r="I18" s="29" t="s">
        <v>223</v>
      </c>
      <c r="J18" s="28" t="str">
        <f>IFERROR(__xludf.DUMMYFUNCTION("IF($I17="""","""",IFERROR(INDEX(FILTER(Response_Lists!$B:$B,Response_Lists!$A:$A=$H18),1),""""))"),"RED_CLEARER")</f>
        <v>RED_CLEARER</v>
      </c>
      <c r="K18" s="28" t="str">
        <f>IFERROR(__xludf.DUMMYFUNCTION("IF($I17="""","""",IFERROR(INDEX(FILTER(Response_Lists!$B:$B,Response_Lists!$A:$A=$H18),2),""""))"),"GREEN_CLEARER")</f>
        <v>GREEN_CLEARER</v>
      </c>
      <c r="L18" s="28" t="str">
        <f>IFERROR(__xludf.DUMMYFUNCTION("IF($I17="""","""",IFERROR(INDEX(FILTER(Response_Lists!$B:$B,Response_Lists!$A:$A=$H18),3),""""))"),"EQUAL")</f>
        <v>EQUAL</v>
      </c>
      <c r="M18" s="28" t="str">
        <f>IFERROR(__xludf.DUMMYFUNCTION("IF($I17="""","""",IFERROR(INDEX(FILTER(Response_Lists!$B:$B,Response_Lists!$A:$A=$H18),4),""""))"),"CANT_TELL")</f>
        <v>CANT_TELL</v>
      </c>
      <c r="N18" s="28" t="str">
        <f>IFERROR(__xludf.DUMMYFUNCTION("IF($I17="""","""",IFERROR(INDEX(FILTER(Response_Lists!$B:$B,Response_Lists!$A:$A=$H18),5),""""))"),"")</f>
        <v/>
      </c>
      <c r="O18" s="28" t="str">
        <f>IFERROR(__xludf.DUMMYFUNCTION("IF($I17="""","""",IFERROR(INDEX(FILTER(Response_Lists!$B:$B,Response_Lists!$A:$A=$H18),6),""""))"),"")</f>
        <v/>
      </c>
      <c r="P18" s="28" t="str">
        <f t="shared" si="6"/>
        <v>Which is clearer: RED or GREEN?</v>
      </c>
      <c r="Q18" s="28" t="str">
        <f t="array" ref="Q18">IF($I17="","",XLOOKUP(C18,FSM_State_Map!A:A,FSM_State_Map!D:D,""))</f>
        <v>RE</v>
      </c>
      <c r="R18" s="28" t="str">
        <f t="shared" si="7"/>
        <v>20_20_20</v>
      </c>
      <c r="S18" s="28">
        <f t="array" ref="S18">IF($I17="","",
IF(
  AND(C18="B",C17&lt;&gt;"B"),
  XLOOKUP($B18,Derived_Variables!$A:$A,Derived_Variables!$K:$K,0)
  + XLOOKUP($B18,Derived_Variables!$A:$A,Derived_Variables!$AE:$AE,0),
  S17+AM17
))</f>
        <v>-0.75</v>
      </c>
      <c r="T18" s="28">
        <f t="shared" ref="T18:U18" si="46">IF($I17="","",T17+AN17)</f>
        <v>-0.25</v>
      </c>
      <c r="U18" s="28">
        <f t="shared" si="46"/>
        <v>2</v>
      </c>
      <c r="V18" s="28">
        <f t="array" ref="V18">IF($I17="","",
IF(
  AND(C18="D",C17&lt;&gt;"D"),
  XLOOKUP($B18,Derived_Variables!$A:$A,Derived_Variables!$N:$N,0)
  + XLOOKUP($B18,Derived_Variables!$A:$A,Derived_Variables!$AE:$AE,0),
  V17+AP17
))</f>
        <v>-1</v>
      </c>
      <c r="W18" s="28">
        <f t="shared" ref="W18:X18" si="47">IF($I17="","",W17+AQ17)</f>
        <v>0</v>
      </c>
      <c r="X18" s="28">
        <f t="shared" si="47"/>
        <v>0</v>
      </c>
      <c r="Y18" s="28">
        <f t="array" ref="Y18">IF($I17="","",IF(AND(C18="P",C17&lt;&gt;"P"),IFERROR(XLOOKUP($B18,Lenso_Input!$A:$A,Lenso_Input!$E:$E,0),0),Y17+AS17))</f>
        <v>0</v>
      </c>
      <c r="Z18" s="28">
        <f t="array" ref="Z18">IF($I17="","",IF(AND(C18="Q",C17&lt;&gt;"Q"),IFERROR(XLOOKUP($B18,Lenso_Input!$A:$A,Lenso_Input!$I:$I,0),0),Z17+AT17))</f>
        <v>0</v>
      </c>
      <c r="AA18" s="28" t="str">
        <f t="array" ref="AA18">IF($I17="","",IF(XLOOKUP($B18,Derived_Variables!$A:$A,Derived_Variables!$R:$R,"6/6_target")="6/6_target","20_20_20","40_30_25"))</f>
        <v>20_20_20</v>
      </c>
      <c r="AB18" s="28">
        <f t="array" ref="AB18">IF($I17="","",XLOOKUP(LOWER(XLOOKUP($B18,Derived_Variables!$A:$A,Derived_Variables!$T:$T,"Standard"))&amp;"_sph_step",Calibration!$B:$B,Calibration!$C:$C,0.25))</f>
        <v>0.25</v>
      </c>
      <c r="AC18" s="28">
        <f t="array" ref="AC18">IF($I17="","",XLOOKUP(LOWER(XLOOKUP($B18,Derived_Variables!$A:$A,Derived_Variables!$T:$T,"Standard"))&amp;"_cyl_step",Calibration!$B:$B,Calibration!$C:$C,0.25))</f>
        <v>0.25</v>
      </c>
      <c r="AD18" s="28">
        <f t="array" ref="AD18">IF($I17="","",IF(OR(C18="E",C18="H"),LET(startStep,XLOOKUP("axis_start_step",Calibration!$B:$B,Calibration!$C:$C,5),step1,XLOOKUP("axis_reversal_step_1",Calibration!$B:$B,Calibration!$C:$C,3),step2,XLOOKUP("axis_reversal_step_2",Calibration!$B:$B,Calibration!$C:$C,1),IF(OR(C17&lt;&gt;C18,AZ18="",AZ18="SAME",AZ18="CANT_TELL",I18="",I18="SAME",I18="CANT_TELL"),startStep,IF(OR(AND(AZ18="BETTER_1",I18="BETTER_2"),AND(AZ18="BETTER_2",I18="BETTER_1")),IF(AD17&gt;step1,step1,step2),AD17))),0))</f>
        <v>0</v>
      </c>
      <c r="AE18" s="28" t="str">
        <f t="array" ref="AE18">IF($I17="","",XLOOKUP($B18,Derived_Variables!$A:$A,Derived_Variables!$AD:$AD,"No_Fog"))</f>
        <v>Strong_Fog</v>
      </c>
      <c r="AF18" s="28">
        <f t="array" ref="AF18">IF($I17="","",XLOOKUP($B18,Derived_Variables!$A:$A,Derived_Variables!$AE:$AE,0))</f>
        <v>1</v>
      </c>
      <c r="AG18" s="28" t="str">
        <f t="array" ref="AG18">IF($I17="","",XLOOKUP($B18,Derived_Variables!$A:$A,Derived_Variables!$AF:$AF,""))</f>
        <v>StepDown_0.25</v>
      </c>
      <c r="AH18" s="28" t="str">
        <f t="array" ref="AH18">IF($I17="","",XLOOKUP($B18,Derived_Variables!$A:$A,Derived_Variables!$AG:$AG,""))</f>
        <v>Low</v>
      </c>
      <c r="AI18" s="28" t="str">
        <f t="array" ref="AI18">IF($I17="","",XLOOKUP($B18,Derived_Variables!$A:$A,Derived_Variables!$AC:$AC,"Medium"))</f>
        <v>Low</v>
      </c>
      <c r="AJ18" s="28" t="b">
        <f t="array" ref="AJ18">IF($I17="","",XLOOKUP($B18,Derived_Variables!$A:$A,Derived_Variables!$Y:$Y,FALSE))</f>
        <v>0</v>
      </c>
      <c r="AK18" s="28" t="str">
        <f t="array" ref="AK18">IF($I17="","",XLOOKUP($B18,Derived_Variables!$A:$A,Derived_Variables!$AA:$AA,"Normal"))</f>
        <v>Slow</v>
      </c>
      <c r="AL18" s="28" t="str">
        <f t="array" ref="AL18">IF($I17="","",XLOOKUP($B18,Derived_Variables!$A:$A,Derived_Variables!$AB:$AB,"Normal"))</f>
        <v>Relaxed</v>
      </c>
      <c r="AM18" s="28">
        <f t="array" ref="AM18">IF($I18="","",IFS(C18="B",IF(OR(I18="NOT_READABLE",I18="BLURRY"),-AB18,0),C18="G",IFS(I18="RED_CLEARER",XLOOKUP("duochrome_red_step",Calibration!$B:$B,Calibration!$C:$C,-0.25),I18="GREEN_CLEARER",XLOOKUP("duochrome_green_step",Calibration!$B:$B,Calibration!$C:$C,0.25),I18="EQUAL",IF(XLOOKUP($B18,Derived_Variables!$A:$A,Derived_Variables!$S:$S,"Neutral")="Undercorrect",XLOOKUP("undercorrect_step",Calibration!$B:$B,Calibration!$C:$C,0.25),IF(XLOOKUP($B18,Derived_Variables!$A:$A,Derived_Variables!$S:$S,"Neutral")="Overcorrect",-XLOOKUP("overcorrect_step",Calibration!$B:$B,Calibration!$C:$C,0.25),0)),TRUE,0),C18="K",IF(I18="TOP_CLEARER",XLOOKUP("bino_balance_step",Calibration!$B:$B,Calibration!$C:$C,0.25),0),TRUE,0))</f>
        <v>-0.25</v>
      </c>
      <c r="AN18" s="28">
        <f t="shared" si="10"/>
        <v>0</v>
      </c>
      <c r="AO18" s="28">
        <f t="shared" si="11"/>
        <v>0</v>
      </c>
      <c r="AP18" s="28">
        <f t="array" ref="AP18">IF($I18="","",IFS(C18="D",IF(OR(I18="NOT_READABLE",I18="BLURRY"),-AB18,0),C18="J",IFS(I18="RED_CLEARER",XLOOKUP("duochrome_red_step",Calibration!$B:$B,Calibration!$C:$C,-0.25),I18="GREEN_CLEARER",XLOOKUP("duochrome_green_step",Calibration!$B:$B,Calibration!$C:$C,0.25),I18="EQUAL",IF(XLOOKUP($B18,Derived_Variables!$A:$A,Derived_Variables!$S:$S,"Neutral")="Undercorrect",XLOOKUP("undercorrect_step",Calibration!$B:$B,Calibration!$C:$C,0.25),IF(XLOOKUP($B18,Derived_Variables!$A:$A,Derived_Variables!$S:$S,"Neutral")="Overcorrect",-XLOOKUP("overcorrect_step",Calibration!$B:$B,Calibration!$C:$C,0.25),0)),TRUE,0),C18="K",IF(I18="BOTTOM_CLEARER",XLOOKUP("bino_balance_step",Calibration!$B:$B,Calibration!$C:$C,0.25),0),TRUE,0))</f>
        <v>0</v>
      </c>
      <c r="AQ18" s="28">
        <f t="shared" si="12"/>
        <v>0</v>
      </c>
      <c r="AR18" s="28">
        <f t="shared" si="13"/>
        <v>0</v>
      </c>
      <c r="AS18" s="28">
        <f t="array" ref="AS18">IF($I18="","",IF(C18="P",IF(OR(I18="NOT_READABLE",I18="BLURRY"),XLOOKUP("near_add_step",Calibration!$B:$B,Calibration!$C:$C,0.25),0),IF(C18="R",IF(I18="NOT_CLEAR",XLOOKUP("near_add_step",Calibration!$B:$B,Calibration!$C:$C,0.25),0),0)))</f>
        <v>0</v>
      </c>
      <c r="AT18" s="28">
        <f t="array" ref="AT18">IF($I18="","",IF(C18="Q",IF(OR(I18="NOT_READABLE",I18="BLURRY"),XLOOKUP("near_add_step",Calibration!$B:$B,Calibration!$C:$C,0.25),0),IF(C18="R",IF(I18="NOT_CLEAR",XLOOKUP("near_add_step",Calibration!$B:$B,Calibration!$C:$C,0.25),0),0)))</f>
        <v>0</v>
      </c>
      <c r="AU18" s="28" t="str">
        <f t="array" ref="AU18">IF($I18="","",IF(G18="SNELLEN_FEET",IF(I18="READABLE",IFERROR(XLOOKUP(XLOOKUP(R18,Chart_Scale_Distance!B:B,Chart_Scale_Distance!A:A)+1,Chart_Scale_Distance!A:A,Chart_Scale_Distance!B:B),R18),R18),R18))</f>
        <v>20_20_20</v>
      </c>
      <c r="AV18" s="28">
        <f t="array" ref="AV18">IF($I17="","",IFERROR(XLOOKUP(R18,Chart_Scale_Distance!$B:$B,Chart_Scale_Distance!$A:$A,""),""))</f>
        <v>6</v>
      </c>
      <c r="AW18" s="28">
        <f t="array" ref="AW18">IF($I17="","",IFERROR(XLOOKUP(AA18,Chart_Scale_Distance!$B:$B,Chart_Scale_Distance!$A:$A,""),""))</f>
        <v>6</v>
      </c>
      <c r="AX18" s="28">
        <f t="shared" si="14"/>
        <v>0</v>
      </c>
      <c r="AY18" s="28">
        <f t="shared" si="15"/>
        <v>1</v>
      </c>
      <c r="AZ18" s="28" t="str">
        <f t="shared" si="16"/>
        <v/>
      </c>
      <c r="BA18" s="28">
        <f t="shared" si="17"/>
        <v>1</v>
      </c>
      <c r="BB18" s="28">
        <f t="shared" si="18"/>
        <v>0</v>
      </c>
      <c r="BC18" s="28" t="str">
        <f t="array" ref="BC18">IF($I18="","",LET(
conf,AI18,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duoMax,XLOOKUP($B18,Derived_Variables!$A:$A,Derived_Variables!$AI:$AI,4),
axisTol,XLOOKUP($B18,Derived_Variables!$A:$A,Derived_Variables!$W:$W,1),
maxStart,XLOOKUP($B18,Derived_Variables!$A:$A,Derived_Variables!$U:$U,1.25),
maxAR,XLOOKUP($B18,Derived_Variables!$A:$A,Derived_Variables!$V:$V,3),
anom,XLOOKUP($B18,Derived_Variables!$A:$A,Derived_Variables!$Z:$Z,FALSE),
reStart,XLOOKUP($B18,Derived_Variables!$A:$A,Derived_Variables!$K:$K,0),
leStart,XLOOKUP($B18,Derived_Variables!$A:$A,Derived_Variables!$N:$N,0),
reAR,XLOOKUP($B18,AR_Input!$A:$A,AR_Input!$B:$B,reStart),
leAR,XLOOKUP($B18,AR_Input!$A:$A,AR_Input!$E:$E,leStart),
reEsc,AND(anom,OR(ABS((S18+AM18)-reStart)&gt;maxStart,ABS((S18+AM18)-reAR)&gt;maxAR)),
leEsc,AND(anom,OR(ABS((V18+AP18)-leStart)&gt;maxStart,ABS((V18+AP18)-leAR)&gt;maxAR)),
phaseMax,IFS(
 AK18="Fast",
   IFS(
     OR(C18="B",C18="D"),XLOOKUP("timeout_coarse_fast",Calibration!$B:$B,Calibration!$C:$C,24),
     OR(C18="E",C18="F",C18="H",C18="I"),XLOOKUP("timeout_jcc_fast",Calibration!$B:$B,Calibration!$C:$C,10),
     OR(C18="G",C18="J"),XLOOKUP("timeout_duochrome_fast",Calibration!$B:$B,Calibration!$C:$C,8),
     C18="K",XLOOKUP("timeout_bino_fast",Calibration!$B:$B,Calibration!$C:$C,10),
     OR(C18="P",C18="Q",C18="R"),XLOOKUP("timeout_near_fast",Calibration!$B:$B,Calibration!$C:$C,16),
     TRUE,XLOOKUP("timeout_coarse_fast",Calibration!$B:$B,Calibration!$C:$C,24)
   ),
 AK18="Normal",
   IFS(
     OR(C18="B",C18="D"),XLOOKUP("timeout_coarse_normal",Calibration!$B:$B,Calibration!$C:$C,36),
     OR(C18="E",C18="F",C18="H",C18="I"),XLOOKUP("timeout_jcc_normal",Calibration!$B:$B,Calibration!$C:$C,14),
     OR(C18="G",C18="J"),XLOOKUP("timeout_duochrome_normal",Calibration!$B:$B,Calibration!$C:$C,10),
     C18="K",XLOOKUP("timeout_bino_normal",Calibration!$B:$B,Calibration!$C:$C,14),
     OR(C18="P",C18="Q",C18="R"),XLOOKUP("timeout_near_normal",Calibration!$B:$B,Calibration!$C:$C,22),
     TRUE,XLOOKUP("timeout_coarse_normal",Calibration!$B:$B,Calibration!$C:$C,36)
   ),
 TRUE,
   IFS(
     OR(C18="B",C18="D"),XLOOKUP("timeout_coarse_slow",Calibration!$B:$B,Calibration!$C:$C,48),
     OR(C18="E",C18="F",C18="H",C18="I"),XLOOKUP("timeout_jcc_slow",Calibration!$B:$B,Calibration!$C:$C,18),
     OR(C18="G",C18="J"),XLOOKUP("timeout_duochrome_slow",Calibration!$B:$B,Calibration!$C:$C,12),
     C18="K",XLOOKUP("timeout_bino_slow",Calibration!$B:$B,Calibration!$C:$C,18),
     OR(C18="P",C18="Q",C18="R"),XLOOKUP("timeout_near_slow",Calibration!$B:$B,Calibration!$C:$C,28),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AJ18=TRUE,"ESCALATE",
C18="A",
IF(OR(I18="NOT_READABLE",I18="BLURRY",AND(R18="20_20_20",I18="READABLE")),"B","A"),
C18="B",
IF(reEsc,"ESCALATE",IF(AY18&gt;=phaseMax,"ESCALATE",IF(AND(AV18&gt;=AW18,I18="READABLE"),"E","B"))),
C18="E",
IF(AY18&gt;=phaseMax,"ESCALATE",IF(OR(I18="SAME",I18="CANT_TELL",AD18&lt;axisTol),"F","E")),
C18="F",
IF(AY18&gt;=phaseMax,"ESCALATE",IF(AX18&gt;=powerSameN,"G","F")),
C18="G",
IF(AY18&gt;=phaseMax,"ESCALATE",IF(OR(AX18&gt;=duoEqualN,BB18&gt;=duoMax),"D","G")),
C18="D",
IF(leEsc,"ESCALATE",IF(AY18&gt;=phaseMax,"ESCALATE",IF(AND(AV18&gt;=AW18,I18="READABLE"),"H","D"))),
C18="H",
IF(AY18&gt;=phaseMax,"ESCALATE",IF(OR(I18="SAME",I18="CANT_TELL",AD18&lt;axisTol),"I","H")),
C18="I",
IF(AY18&gt;=phaseMax,"ESCALATE",IF(AX18&gt;=powerSameN,"J","I")),
C18="J",
IF(AY18&gt;=phaseMax,"ESCALATE",IF(OR(AX18&gt;=duoEqualN,BB18&gt;=duoMax),"K","J")),
C18="K",
IF(AY18&gt;=phaseMax,"ESCALATE",IF(AX18&gt;=binoSameN,IF(XLOOKUP($B18,Derived_Variables!$A:$A,Derived_Variables!$AJ:$AJ,FALSE)=TRUE,"P","END"),"K")),
C18="P",
IF(AY18&gt;=phaseMax,"ESCALATE",IF(OR(I18="READABLE",I18="SAME"),"Q","P")),
C18="Q",
IF(AY18&gt;=phaseMax,"ESCALATE",IF(OR(I18="READABLE",I18="SAME"),"R","Q")),
C18="R",
IF(AY18&gt;=phaseMax,"ESCALATE",IF(OR(I18=nearTarget,I18="SAME"),"END","R")),
TRUE,"END"
)))</f>
        <v>G</v>
      </c>
      <c r="BD18" s="28" t="b">
        <f t="shared" si="19"/>
        <v>1</v>
      </c>
    </row>
    <row r="19">
      <c r="A19" s="28">
        <f t="shared" si="3"/>
        <v>18</v>
      </c>
      <c r="B19" s="28">
        <f t="shared" si="4"/>
        <v>6</v>
      </c>
      <c r="C19" s="28" t="str">
        <f t="shared" si="5"/>
        <v>G</v>
      </c>
      <c r="D19" s="28" t="str">
        <f t="array" ref="D19">IF($I18="","",XLOOKUP(C19,FSM_State_Map!A:A,FSM_State_Map!B:B,""))</f>
        <v>Duochrome RE</v>
      </c>
      <c r="E19" s="28" t="str">
        <f t="array" ref="E19">IF($I18="","",XLOOKUP(C19,FSM_State_Map!A:A,FSM_State_Map!C:C,""))</f>
        <v>DUOCHROME</v>
      </c>
      <c r="F19" s="28" t="str">
        <f t="array" ref="F19">IF($I18="","",XLOOKUP(E19,Phase_UI_Map!A:A,Phase_UI_Map!B:B,""))</f>
        <v>DUOCHROME</v>
      </c>
      <c r="G19" s="28" t="str">
        <f t="array" ref="G19">IF($I18="","",XLOOKUP(E19,Phase_UI_Map!A:A,Phase_UI_Map!C:C,""))</f>
        <v>RED_GREEN_DUOCHROME</v>
      </c>
      <c r="H19" s="28" t="str">
        <f t="array" ref="H19">IF($I18="","",XLOOKUP(E19,Phase_UI_Map!A:A,Phase_UI_Map!D:D,""))</f>
        <v>COLOR_CHOICE</v>
      </c>
      <c r="I19" s="29" t="s">
        <v>223</v>
      </c>
      <c r="J19" s="28" t="str">
        <f>IFERROR(__xludf.DUMMYFUNCTION("IF($I18="""","""",IFERROR(INDEX(FILTER(Response_Lists!$B:$B,Response_Lists!$A:$A=$H19),1),""""))"),"RED_CLEARER")</f>
        <v>RED_CLEARER</v>
      </c>
      <c r="K19" s="28" t="str">
        <f>IFERROR(__xludf.DUMMYFUNCTION("IF($I18="""","""",IFERROR(INDEX(FILTER(Response_Lists!$B:$B,Response_Lists!$A:$A=$H19),2),""""))"),"GREEN_CLEARER")</f>
        <v>GREEN_CLEARER</v>
      </c>
      <c r="L19" s="28" t="str">
        <f>IFERROR(__xludf.DUMMYFUNCTION("IF($I18="""","""",IFERROR(INDEX(FILTER(Response_Lists!$B:$B,Response_Lists!$A:$A=$H19),3),""""))"),"EQUAL")</f>
        <v>EQUAL</v>
      </c>
      <c r="M19" s="28" t="str">
        <f>IFERROR(__xludf.DUMMYFUNCTION("IF($I18="""","""",IFERROR(INDEX(FILTER(Response_Lists!$B:$B,Response_Lists!$A:$A=$H19),4),""""))"),"CANT_TELL")</f>
        <v>CANT_TELL</v>
      </c>
      <c r="N19" s="28" t="str">
        <f>IFERROR(__xludf.DUMMYFUNCTION("IF($I18="""","""",IFERROR(INDEX(FILTER(Response_Lists!$B:$B,Response_Lists!$A:$A=$H19),5),""""))"),"")</f>
        <v/>
      </c>
      <c r="O19" s="28" t="str">
        <f>IFERROR(__xludf.DUMMYFUNCTION("IF($I18="""","""",IFERROR(INDEX(FILTER(Response_Lists!$B:$B,Response_Lists!$A:$A=$H19),6),""""))"),"")</f>
        <v/>
      </c>
      <c r="P19" s="28" t="str">
        <f t="shared" si="6"/>
        <v>Which is clearer: RED or GREEN?</v>
      </c>
      <c r="Q19" s="28" t="str">
        <f t="array" ref="Q19">IF($I18="","",XLOOKUP(C19,FSM_State_Map!A:A,FSM_State_Map!D:D,""))</f>
        <v>RE</v>
      </c>
      <c r="R19" s="28" t="str">
        <f t="shared" si="7"/>
        <v>20_20_20</v>
      </c>
      <c r="S19" s="28">
        <f t="array" ref="S19">IF($I18="","",
IF(
  AND(C19="B",C18&lt;&gt;"B"),
  XLOOKUP($B19,Derived_Variables!$A:$A,Derived_Variables!$K:$K,0)
  + XLOOKUP($B19,Derived_Variables!$A:$A,Derived_Variables!$AE:$AE,0),
  S18+AM18
))</f>
        <v>-1</v>
      </c>
      <c r="T19" s="28">
        <f t="shared" ref="T19:U19" si="48">IF($I18="","",T18+AN18)</f>
        <v>-0.25</v>
      </c>
      <c r="U19" s="28">
        <f t="shared" si="48"/>
        <v>2</v>
      </c>
      <c r="V19" s="28">
        <f t="array" ref="V19">IF($I18="","",
IF(
  AND(C19="D",C18&lt;&gt;"D"),
  XLOOKUP($B19,Derived_Variables!$A:$A,Derived_Variables!$N:$N,0)
  + XLOOKUP($B19,Derived_Variables!$A:$A,Derived_Variables!$AE:$AE,0),
  V18+AP18
))</f>
        <v>-1</v>
      </c>
      <c r="W19" s="28">
        <f t="shared" ref="W19:X19" si="49">IF($I18="","",W18+AQ18)</f>
        <v>0</v>
      </c>
      <c r="X19" s="28">
        <f t="shared" si="49"/>
        <v>0</v>
      </c>
      <c r="Y19" s="28">
        <f t="array" ref="Y19">IF($I18="","",IF(AND(C19="P",C18&lt;&gt;"P"),IFERROR(XLOOKUP($B19,Lenso_Input!$A:$A,Lenso_Input!$E:$E,0),0),Y18+AS18))</f>
        <v>0</v>
      </c>
      <c r="Z19" s="28">
        <f t="array" ref="Z19">IF($I18="","",IF(AND(C19="Q",C18&lt;&gt;"Q"),IFERROR(XLOOKUP($B19,Lenso_Input!$A:$A,Lenso_Input!$I:$I,0),0),Z18+AT18))</f>
        <v>0</v>
      </c>
      <c r="AA19" s="28" t="str">
        <f t="array" ref="AA19">IF($I18="","",IF(XLOOKUP($B19,Derived_Variables!$A:$A,Derived_Variables!$R:$R,"6/6_target")="6/6_target","20_20_20","40_30_25"))</f>
        <v>20_20_20</v>
      </c>
      <c r="AB19" s="28">
        <f t="array" ref="AB19">IF($I18="","",XLOOKUP(LOWER(XLOOKUP($B19,Derived_Variables!$A:$A,Derived_Variables!$T:$T,"Standard"))&amp;"_sph_step",Calibration!$B:$B,Calibration!$C:$C,0.25))</f>
        <v>0.25</v>
      </c>
      <c r="AC19" s="28">
        <f t="array" ref="AC19">IF($I18="","",XLOOKUP(LOWER(XLOOKUP($B19,Derived_Variables!$A:$A,Derived_Variables!$T:$T,"Standard"))&amp;"_cyl_step",Calibration!$B:$B,Calibration!$C:$C,0.25))</f>
        <v>0.25</v>
      </c>
      <c r="AD19" s="28">
        <f t="array" ref="AD19">IF($I18="","",IF(OR(C19="E",C19="H"),LET(startStep,XLOOKUP("axis_start_step",Calibration!$B:$B,Calibration!$C:$C,5),step1,XLOOKUP("axis_reversal_step_1",Calibration!$B:$B,Calibration!$C:$C,3),step2,XLOOKUP("axis_reversal_step_2",Calibration!$B:$B,Calibration!$C:$C,1),IF(OR(C18&lt;&gt;C19,AZ19="",AZ19="SAME",AZ19="CANT_TELL",I19="",I19="SAME",I19="CANT_TELL"),startStep,IF(OR(AND(AZ19="BETTER_1",I19="BETTER_2"),AND(AZ19="BETTER_2",I19="BETTER_1")),IF(AD18&gt;step1,step1,step2),AD18))),0))</f>
        <v>0</v>
      </c>
      <c r="AE19" s="28" t="str">
        <f t="array" ref="AE19">IF($I18="","",XLOOKUP($B19,Derived_Variables!$A:$A,Derived_Variables!$AD:$AD,"No_Fog"))</f>
        <v>Strong_Fog</v>
      </c>
      <c r="AF19" s="28">
        <f t="array" ref="AF19">IF($I18="","",XLOOKUP($B19,Derived_Variables!$A:$A,Derived_Variables!$AE:$AE,0))</f>
        <v>1</v>
      </c>
      <c r="AG19" s="28" t="str">
        <f t="array" ref="AG19">IF($I18="","",XLOOKUP($B19,Derived_Variables!$A:$A,Derived_Variables!$AF:$AF,""))</f>
        <v>StepDown_0.25</v>
      </c>
      <c r="AH19" s="28" t="str">
        <f t="array" ref="AH19">IF($I18="","",XLOOKUP($B19,Derived_Variables!$A:$A,Derived_Variables!$AG:$AG,""))</f>
        <v>Low</v>
      </c>
      <c r="AI19" s="28" t="str">
        <f t="array" ref="AI19">IF($I18="","",XLOOKUP($B19,Derived_Variables!$A:$A,Derived_Variables!$AC:$AC,"Medium"))</f>
        <v>Low</v>
      </c>
      <c r="AJ19" s="28" t="b">
        <f t="array" ref="AJ19">IF($I18="","",XLOOKUP($B19,Derived_Variables!$A:$A,Derived_Variables!$Y:$Y,FALSE))</f>
        <v>0</v>
      </c>
      <c r="AK19" s="28" t="str">
        <f t="array" ref="AK19">IF($I18="","",XLOOKUP($B19,Derived_Variables!$A:$A,Derived_Variables!$AA:$AA,"Normal"))</f>
        <v>Slow</v>
      </c>
      <c r="AL19" s="28" t="str">
        <f t="array" ref="AL19">IF($I18="","",XLOOKUP($B19,Derived_Variables!$A:$A,Derived_Variables!$AB:$AB,"Normal"))</f>
        <v>Relaxed</v>
      </c>
      <c r="AM19" s="28">
        <f t="array" ref="AM19">IF($I19="","",IFS(C19="B",IF(OR(I19="NOT_READABLE",I19="BLURRY"),-AB19,0),C19="G",IFS(I19="RED_CLEARER",XLOOKUP("duochrome_red_step",Calibration!$B:$B,Calibration!$C:$C,-0.25),I19="GREEN_CLEARER",XLOOKUP("duochrome_green_step",Calibration!$B:$B,Calibration!$C:$C,0.25),I19="EQUAL",IF(XLOOKUP($B19,Derived_Variables!$A:$A,Derived_Variables!$S:$S,"Neutral")="Undercorrect",XLOOKUP("undercorrect_step",Calibration!$B:$B,Calibration!$C:$C,0.25),IF(XLOOKUP($B19,Derived_Variables!$A:$A,Derived_Variables!$S:$S,"Neutral")="Overcorrect",-XLOOKUP("overcorrect_step",Calibration!$B:$B,Calibration!$C:$C,0.25),0)),TRUE,0),C19="K",IF(I19="TOP_CLEARER",XLOOKUP("bino_balance_step",Calibration!$B:$B,Calibration!$C:$C,0.25),0),TRUE,0))</f>
        <v>-0.25</v>
      </c>
      <c r="AN19" s="28">
        <f t="shared" si="10"/>
        <v>0</v>
      </c>
      <c r="AO19" s="28">
        <f t="shared" si="11"/>
        <v>0</v>
      </c>
      <c r="AP19" s="28">
        <f t="array" ref="AP19">IF($I19="","",IFS(C19="D",IF(OR(I19="NOT_READABLE",I19="BLURRY"),-AB19,0),C19="J",IFS(I19="RED_CLEARER",XLOOKUP("duochrome_red_step",Calibration!$B:$B,Calibration!$C:$C,-0.25),I19="GREEN_CLEARER",XLOOKUP("duochrome_green_step",Calibration!$B:$B,Calibration!$C:$C,0.25),I19="EQUAL",IF(XLOOKUP($B19,Derived_Variables!$A:$A,Derived_Variables!$S:$S,"Neutral")="Undercorrect",XLOOKUP("undercorrect_step",Calibration!$B:$B,Calibration!$C:$C,0.25),IF(XLOOKUP($B19,Derived_Variables!$A:$A,Derived_Variables!$S:$S,"Neutral")="Overcorrect",-XLOOKUP("overcorrect_step",Calibration!$B:$B,Calibration!$C:$C,0.25),0)),TRUE,0),C19="K",IF(I19="BOTTOM_CLEARER",XLOOKUP("bino_balance_step",Calibration!$B:$B,Calibration!$C:$C,0.25),0),TRUE,0))</f>
        <v>0</v>
      </c>
      <c r="AQ19" s="28">
        <f t="shared" si="12"/>
        <v>0</v>
      </c>
      <c r="AR19" s="28">
        <f t="shared" si="13"/>
        <v>0</v>
      </c>
      <c r="AS19" s="28">
        <f t="array" ref="AS19">IF($I19="","",IF(C19="P",IF(OR(I19="NOT_READABLE",I19="BLURRY"),XLOOKUP("near_add_step",Calibration!$B:$B,Calibration!$C:$C,0.25),0),IF(C19="R",IF(I19="NOT_CLEAR",XLOOKUP("near_add_step",Calibration!$B:$B,Calibration!$C:$C,0.25),0),0)))</f>
        <v>0</v>
      </c>
      <c r="AT19" s="28">
        <f t="array" ref="AT19">IF($I19="","",IF(C19="Q",IF(OR(I19="NOT_READABLE",I19="BLURRY"),XLOOKUP("near_add_step",Calibration!$B:$B,Calibration!$C:$C,0.25),0),IF(C19="R",IF(I19="NOT_CLEAR",XLOOKUP("near_add_step",Calibration!$B:$B,Calibration!$C:$C,0.25),0),0)))</f>
        <v>0</v>
      </c>
      <c r="AU19" s="28" t="str">
        <f t="array" ref="AU19">IF($I19="","",IF(G19="SNELLEN_FEET",IF(I19="READABLE",IFERROR(XLOOKUP(XLOOKUP(R19,Chart_Scale_Distance!B:B,Chart_Scale_Distance!A:A)+1,Chart_Scale_Distance!A:A,Chart_Scale_Distance!B:B),R19),R19),R19))</f>
        <v>20_20_20</v>
      </c>
      <c r="AV19" s="28">
        <f t="array" ref="AV19">IF($I18="","",IFERROR(XLOOKUP(R19,Chart_Scale_Distance!$B:$B,Chart_Scale_Distance!$A:$A,""),""))</f>
        <v>6</v>
      </c>
      <c r="AW19" s="28">
        <f t="array" ref="AW19">IF($I18="","",IFERROR(XLOOKUP(AA19,Chart_Scale_Distance!$B:$B,Chart_Scale_Distance!$A:$A,""),""))</f>
        <v>6</v>
      </c>
      <c r="AX19" s="28">
        <f t="shared" si="14"/>
        <v>0</v>
      </c>
      <c r="AY19" s="28">
        <f t="shared" si="15"/>
        <v>2</v>
      </c>
      <c r="AZ19" s="28" t="str">
        <f t="shared" si="16"/>
        <v/>
      </c>
      <c r="BA19" s="28">
        <f t="shared" si="17"/>
        <v>2</v>
      </c>
      <c r="BB19" s="28">
        <f t="shared" si="18"/>
        <v>0</v>
      </c>
      <c r="BC19" s="28" t="str">
        <f t="array" ref="BC19">IF($I19="","",LET(
conf,AI19,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duoMax,XLOOKUP($B19,Derived_Variables!$A:$A,Derived_Variables!$AI:$AI,4),
axisTol,XLOOKUP($B19,Derived_Variables!$A:$A,Derived_Variables!$W:$W,1),
maxStart,XLOOKUP($B19,Derived_Variables!$A:$A,Derived_Variables!$U:$U,1.25),
maxAR,XLOOKUP($B19,Derived_Variables!$A:$A,Derived_Variables!$V:$V,3),
anom,XLOOKUP($B19,Derived_Variables!$A:$A,Derived_Variables!$Z:$Z,FALSE),
reStart,XLOOKUP($B19,Derived_Variables!$A:$A,Derived_Variables!$K:$K,0),
leStart,XLOOKUP($B19,Derived_Variables!$A:$A,Derived_Variables!$N:$N,0),
reAR,XLOOKUP($B19,AR_Input!$A:$A,AR_Input!$B:$B,reStart),
leAR,XLOOKUP($B19,AR_Input!$A:$A,AR_Input!$E:$E,leStart),
reEsc,AND(anom,OR(ABS((S19+AM19)-reStart)&gt;maxStart,ABS((S19+AM19)-reAR)&gt;maxAR)),
leEsc,AND(anom,OR(ABS((V19+AP19)-leStart)&gt;maxStart,ABS((V19+AP19)-leAR)&gt;maxAR)),
phaseMax,IFS(
 AK19="Fast",
   IFS(
     OR(C19="B",C19="D"),XLOOKUP("timeout_coarse_fast",Calibration!$B:$B,Calibration!$C:$C,24),
     OR(C19="E",C19="F",C19="H",C19="I"),XLOOKUP("timeout_jcc_fast",Calibration!$B:$B,Calibration!$C:$C,10),
     OR(C19="G",C19="J"),XLOOKUP("timeout_duochrome_fast",Calibration!$B:$B,Calibration!$C:$C,8),
     C19="K",XLOOKUP("timeout_bino_fast",Calibration!$B:$B,Calibration!$C:$C,10),
     OR(C19="P",C19="Q",C19="R"),XLOOKUP("timeout_near_fast",Calibration!$B:$B,Calibration!$C:$C,16),
     TRUE,XLOOKUP("timeout_coarse_fast",Calibration!$B:$B,Calibration!$C:$C,24)
   ),
 AK19="Normal",
   IFS(
     OR(C19="B",C19="D"),XLOOKUP("timeout_coarse_normal",Calibration!$B:$B,Calibration!$C:$C,36),
     OR(C19="E",C19="F",C19="H",C19="I"),XLOOKUP("timeout_jcc_normal",Calibration!$B:$B,Calibration!$C:$C,14),
     OR(C19="G",C19="J"),XLOOKUP("timeout_duochrome_normal",Calibration!$B:$B,Calibration!$C:$C,10),
     C19="K",XLOOKUP("timeout_bino_normal",Calibration!$B:$B,Calibration!$C:$C,14),
     OR(C19="P",C19="Q",C19="R"),XLOOKUP("timeout_near_normal",Calibration!$B:$B,Calibration!$C:$C,22),
     TRUE,XLOOKUP("timeout_coarse_normal",Calibration!$B:$B,Calibration!$C:$C,36)
   ),
 TRUE,
   IFS(
     OR(C19="B",C19="D"),XLOOKUP("timeout_coarse_slow",Calibration!$B:$B,Calibration!$C:$C,48),
     OR(C19="E",C19="F",C19="H",C19="I"),XLOOKUP("timeout_jcc_slow",Calibration!$B:$B,Calibration!$C:$C,18),
     OR(C19="G",C19="J"),XLOOKUP("timeout_duochrome_slow",Calibration!$B:$B,Calibration!$C:$C,12),
     C19="K",XLOOKUP("timeout_bino_slow",Calibration!$B:$B,Calibration!$C:$C,18),
     OR(C19="P",C19="Q",C19="R"),XLOOKUP("timeout_near_slow",Calibration!$B:$B,Calibration!$C:$C,28),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AJ19=TRUE,"ESCALATE",
C19="A",
IF(OR(I19="NOT_READABLE",I19="BLURRY",AND(R19="20_20_20",I19="READABLE")),"B","A"),
C19="B",
IF(reEsc,"ESCALATE",IF(AY19&gt;=phaseMax,"ESCALATE",IF(AND(AV19&gt;=AW19,I19="READABLE"),"E","B"))),
C19="E",
IF(AY19&gt;=phaseMax,"ESCALATE",IF(OR(I19="SAME",I19="CANT_TELL",AD19&lt;axisTol),"F","E")),
C19="F",
IF(AY19&gt;=phaseMax,"ESCALATE",IF(AX19&gt;=powerSameN,"G","F")),
C19="G",
IF(AY19&gt;=phaseMax,"ESCALATE",IF(OR(AX19&gt;=duoEqualN,BB19&gt;=duoMax),"D","G")),
C19="D",
IF(leEsc,"ESCALATE",IF(AY19&gt;=phaseMax,"ESCALATE",IF(AND(AV19&gt;=AW19,I19="READABLE"),"H","D"))),
C19="H",
IF(AY19&gt;=phaseMax,"ESCALATE",IF(OR(I19="SAME",I19="CANT_TELL",AD19&lt;axisTol),"I","H")),
C19="I",
IF(AY19&gt;=phaseMax,"ESCALATE",IF(AX19&gt;=powerSameN,"J","I")),
C19="J",
IF(AY19&gt;=phaseMax,"ESCALATE",IF(OR(AX19&gt;=duoEqualN,BB19&gt;=duoMax),"K","J")),
C19="K",
IF(AY19&gt;=phaseMax,"ESCALATE",IF(AX19&gt;=binoSameN,IF(XLOOKUP($B19,Derived_Variables!$A:$A,Derived_Variables!$AJ:$AJ,FALSE)=TRUE,"P","END"),"K")),
C19="P",
IF(AY19&gt;=phaseMax,"ESCALATE",IF(OR(I19="READABLE",I19="SAME"),"Q","P")),
C19="Q",
IF(AY19&gt;=phaseMax,"ESCALATE",IF(OR(I19="READABLE",I19="SAME"),"R","Q")),
C19="R",
IF(AY19&gt;=phaseMax,"ESCALATE",IF(OR(I19=nearTarget,I19="SAME"),"END","R")),
TRUE,"END"
)))</f>
        <v>G</v>
      </c>
      <c r="BD19" s="28" t="b">
        <f t="shared" si="19"/>
        <v>1</v>
      </c>
    </row>
    <row r="20">
      <c r="A20" s="28">
        <f t="shared" si="3"/>
        <v>19</v>
      </c>
      <c r="B20" s="28">
        <f t="shared" si="4"/>
        <v>6</v>
      </c>
      <c r="C20" s="28" t="str">
        <f t="shared" si="5"/>
        <v>G</v>
      </c>
      <c r="D20" s="28" t="str">
        <f t="array" ref="D20">IF($I19="","",XLOOKUP(C20,FSM_State_Map!A:A,FSM_State_Map!B:B,""))</f>
        <v>Duochrome RE</v>
      </c>
      <c r="E20" s="28" t="str">
        <f t="array" ref="E20">IF($I19="","",XLOOKUP(C20,FSM_State_Map!A:A,FSM_State_Map!C:C,""))</f>
        <v>DUOCHROME</v>
      </c>
      <c r="F20" s="28" t="str">
        <f t="array" ref="F20">IF($I19="","",XLOOKUP(E20,Phase_UI_Map!A:A,Phase_UI_Map!B:B,""))</f>
        <v>DUOCHROME</v>
      </c>
      <c r="G20" s="28" t="str">
        <f t="array" ref="G20">IF($I19="","",XLOOKUP(E20,Phase_UI_Map!A:A,Phase_UI_Map!C:C,""))</f>
        <v>RED_GREEN_DUOCHROME</v>
      </c>
      <c r="H20" s="28" t="str">
        <f t="array" ref="H20">IF($I19="","",XLOOKUP(E20,Phase_UI_Map!A:A,Phase_UI_Map!D:D,""))</f>
        <v>COLOR_CHOICE</v>
      </c>
      <c r="I20" s="29" t="s">
        <v>223</v>
      </c>
      <c r="J20" s="28" t="str">
        <f>IFERROR(__xludf.DUMMYFUNCTION("IF($I19="""","""",IFERROR(INDEX(FILTER(Response_Lists!$B:$B,Response_Lists!$A:$A=$H20),1),""""))"),"RED_CLEARER")</f>
        <v>RED_CLEARER</v>
      </c>
      <c r="K20" s="28" t="str">
        <f>IFERROR(__xludf.DUMMYFUNCTION("IF($I19="""","""",IFERROR(INDEX(FILTER(Response_Lists!$B:$B,Response_Lists!$A:$A=$H20),2),""""))"),"GREEN_CLEARER")</f>
        <v>GREEN_CLEARER</v>
      </c>
      <c r="L20" s="28" t="str">
        <f>IFERROR(__xludf.DUMMYFUNCTION("IF($I19="""","""",IFERROR(INDEX(FILTER(Response_Lists!$B:$B,Response_Lists!$A:$A=$H20),3),""""))"),"EQUAL")</f>
        <v>EQUAL</v>
      </c>
      <c r="M20" s="28" t="str">
        <f>IFERROR(__xludf.DUMMYFUNCTION("IF($I19="""","""",IFERROR(INDEX(FILTER(Response_Lists!$B:$B,Response_Lists!$A:$A=$H20),4),""""))"),"CANT_TELL")</f>
        <v>CANT_TELL</v>
      </c>
      <c r="N20" s="28" t="str">
        <f>IFERROR(__xludf.DUMMYFUNCTION("IF($I19="""","""",IFERROR(INDEX(FILTER(Response_Lists!$B:$B,Response_Lists!$A:$A=$H20),5),""""))"),"")</f>
        <v/>
      </c>
      <c r="O20" s="28" t="str">
        <f>IFERROR(__xludf.DUMMYFUNCTION("IF($I19="""","""",IFERROR(INDEX(FILTER(Response_Lists!$B:$B,Response_Lists!$A:$A=$H20),6),""""))"),"")</f>
        <v/>
      </c>
      <c r="P20" s="28" t="str">
        <f t="shared" si="6"/>
        <v>Which is clearer: RED or GREEN?</v>
      </c>
      <c r="Q20" s="28" t="str">
        <f t="array" ref="Q20">IF($I19="","",XLOOKUP(C20,FSM_State_Map!A:A,FSM_State_Map!D:D,""))</f>
        <v>RE</v>
      </c>
      <c r="R20" s="28" t="str">
        <f t="shared" si="7"/>
        <v>20_20_20</v>
      </c>
      <c r="S20" s="28">
        <f t="array" ref="S20">IF($I19="","",
IF(
  AND(C20="B",C19&lt;&gt;"B"),
  XLOOKUP($B20,Derived_Variables!$A:$A,Derived_Variables!$K:$K,0)
  + XLOOKUP($B20,Derived_Variables!$A:$A,Derived_Variables!$AE:$AE,0),
  S19+AM19
))</f>
        <v>-1.25</v>
      </c>
      <c r="T20" s="28">
        <f t="shared" ref="T20:U20" si="50">IF($I19="","",T19+AN19)</f>
        <v>-0.25</v>
      </c>
      <c r="U20" s="28">
        <f t="shared" si="50"/>
        <v>2</v>
      </c>
      <c r="V20" s="28">
        <f t="array" ref="V20">IF($I19="","",
IF(
  AND(C20="D",C19&lt;&gt;"D"),
  XLOOKUP($B20,Derived_Variables!$A:$A,Derived_Variables!$N:$N,0)
  + XLOOKUP($B20,Derived_Variables!$A:$A,Derived_Variables!$AE:$AE,0),
  V19+AP19
))</f>
        <v>-1</v>
      </c>
      <c r="W20" s="28">
        <f t="shared" ref="W20:X20" si="51">IF($I19="","",W19+AQ19)</f>
        <v>0</v>
      </c>
      <c r="X20" s="28">
        <f t="shared" si="51"/>
        <v>0</v>
      </c>
      <c r="Y20" s="28">
        <f t="array" ref="Y20">IF($I19="","",IF(AND(C20="P",C19&lt;&gt;"P"),IFERROR(XLOOKUP($B20,Lenso_Input!$A:$A,Lenso_Input!$E:$E,0),0),Y19+AS19))</f>
        <v>0</v>
      </c>
      <c r="Z20" s="28">
        <f t="array" ref="Z20">IF($I19="","",IF(AND(C20="Q",C19&lt;&gt;"Q"),IFERROR(XLOOKUP($B20,Lenso_Input!$A:$A,Lenso_Input!$I:$I,0),0),Z19+AT19))</f>
        <v>0</v>
      </c>
      <c r="AA20" s="28" t="str">
        <f t="array" ref="AA20">IF($I19="","",IF(XLOOKUP($B20,Derived_Variables!$A:$A,Derived_Variables!$R:$R,"6/6_target")="6/6_target","20_20_20","40_30_25"))</f>
        <v>20_20_20</v>
      </c>
      <c r="AB20" s="28">
        <f t="array" ref="AB20">IF($I19="","",XLOOKUP(LOWER(XLOOKUP($B20,Derived_Variables!$A:$A,Derived_Variables!$T:$T,"Standard"))&amp;"_sph_step",Calibration!$B:$B,Calibration!$C:$C,0.25))</f>
        <v>0.25</v>
      </c>
      <c r="AC20" s="28">
        <f t="array" ref="AC20">IF($I19="","",XLOOKUP(LOWER(XLOOKUP($B20,Derived_Variables!$A:$A,Derived_Variables!$T:$T,"Standard"))&amp;"_cyl_step",Calibration!$B:$B,Calibration!$C:$C,0.25))</f>
        <v>0.25</v>
      </c>
      <c r="AD20" s="28">
        <f t="array" ref="AD20">IF($I19="","",IF(OR(C20="E",C20="H"),LET(startStep,XLOOKUP("axis_start_step",Calibration!$B:$B,Calibration!$C:$C,5),step1,XLOOKUP("axis_reversal_step_1",Calibration!$B:$B,Calibration!$C:$C,3),step2,XLOOKUP("axis_reversal_step_2",Calibration!$B:$B,Calibration!$C:$C,1),IF(OR(C19&lt;&gt;C20,AZ20="",AZ20="SAME",AZ20="CANT_TELL",I20="",I20="SAME",I20="CANT_TELL"),startStep,IF(OR(AND(AZ20="BETTER_1",I20="BETTER_2"),AND(AZ20="BETTER_2",I20="BETTER_1")),IF(AD19&gt;step1,step1,step2),AD19))),0))</f>
        <v>0</v>
      </c>
      <c r="AE20" s="28" t="str">
        <f t="array" ref="AE20">IF($I19="","",XLOOKUP($B20,Derived_Variables!$A:$A,Derived_Variables!$AD:$AD,"No_Fog"))</f>
        <v>Strong_Fog</v>
      </c>
      <c r="AF20" s="28">
        <f t="array" ref="AF20">IF($I19="","",XLOOKUP($B20,Derived_Variables!$A:$A,Derived_Variables!$AE:$AE,0))</f>
        <v>1</v>
      </c>
      <c r="AG20" s="28" t="str">
        <f t="array" ref="AG20">IF($I19="","",XLOOKUP($B20,Derived_Variables!$A:$A,Derived_Variables!$AF:$AF,""))</f>
        <v>StepDown_0.25</v>
      </c>
      <c r="AH20" s="28" t="str">
        <f t="array" ref="AH20">IF($I19="","",XLOOKUP($B20,Derived_Variables!$A:$A,Derived_Variables!$AG:$AG,""))</f>
        <v>Low</v>
      </c>
      <c r="AI20" s="28" t="str">
        <f t="array" ref="AI20">IF($I19="","",XLOOKUP($B20,Derived_Variables!$A:$A,Derived_Variables!$AC:$AC,"Medium"))</f>
        <v>Low</v>
      </c>
      <c r="AJ20" s="28" t="b">
        <f t="array" ref="AJ20">IF($I19="","",XLOOKUP($B20,Derived_Variables!$A:$A,Derived_Variables!$Y:$Y,FALSE))</f>
        <v>0</v>
      </c>
      <c r="AK20" s="28" t="str">
        <f t="array" ref="AK20">IF($I19="","",XLOOKUP($B20,Derived_Variables!$A:$A,Derived_Variables!$AA:$AA,"Normal"))</f>
        <v>Slow</v>
      </c>
      <c r="AL20" s="28" t="str">
        <f t="array" ref="AL20">IF($I19="","",XLOOKUP($B20,Derived_Variables!$A:$A,Derived_Variables!$AB:$AB,"Normal"))</f>
        <v>Relaxed</v>
      </c>
      <c r="AM20" s="28">
        <f t="array" ref="AM20">IF($I20="","",IFS(C20="B",IF(OR(I20="NOT_READABLE",I20="BLURRY"),-AB20,0),C20="G",IFS(I20="RED_CLEARER",XLOOKUP("duochrome_red_step",Calibration!$B:$B,Calibration!$C:$C,-0.25),I20="GREEN_CLEARER",XLOOKUP("duochrome_green_step",Calibration!$B:$B,Calibration!$C:$C,0.25),I20="EQUAL",IF(XLOOKUP($B20,Derived_Variables!$A:$A,Derived_Variables!$S:$S,"Neutral")="Undercorrect",XLOOKUP("undercorrect_step",Calibration!$B:$B,Calibration!$C:$C,0.25),IF(XLOOKUP($B20,Derived_Variables!$A:$A,Derived_Variables!$S:$S,"Neutral")="Overcorrect",-XLOOKUP("overcorrect_step",Calibration!$B:$B,Calibration!$C:$C,0.25),0)),TRUE,0),C20="K",IF(I20="TOP_CLEARER",XLOOKUP("bino_balance_step",Calibration!$B:$B,Calibration!$C:$C,0.25),0),TRUE,0))</f>
        <v>-0.25</v>
      </c>
      <c r="AN20" s="28">
        <f t="shared" si="10"/>
        <v>0</v>
      </c>
      <c r="AO20" s="28">
        <f t="shared" si="11"/>
        <v>0</v>
      </c>
      <c r="AP20" s="28">
        <f t="array" ref="AP20">IF($I20="","",IFS(C20="D",IF(OR(I20="NOT_READABLE",I20="BLURRY"),-AB20,0),C20="J",IFS(I20="RED_CLEARER",XLOOKUP("duochrome_red_step",Calibration!$B:$B,Calibration!$C:$C,-0.25),I20="GREEN_CLEARER",XLOOKUP("duochrome_green_step",Calibration!$B:$B,Calibration!$C:$C,0.25),I20="EQUAL",IF(XLOOKUP($B20,Derived_Variables!$A:$A,Derived_Variables!$S:$S,"Neutral")="Undercorrect",XLOOKUP("undercorrect_step",Calibration!$B:$B,Calibration!$C:$C,0.25),IF(XLOOKUP($B20,Derived_Variables!$A:$A,Derived_Variables!$S:$S,"Neutral")="Overcorrect",-XLOOKUP("overcorrect_step",Calibration!$B:$B,Calibration!$C:$C,0.25),0)),TRUE,0),C20="K",IF(I20="BOTTOM_CLEARER",XLOOKUP("bino_balance_step",Calibration!$B:$B,Calibration!$C:$C,0.25),0),TRUE,0))</f>
        <v>0</v>
      </c>
      <c r="AQ20" s="28">
        <f t="shared" si="12"/>
        <v>0</v>
      </c>
      <c r="AR20" s="28">
        <f t="shared" si="13"/>
        <v>0</v>
      </c>
      <c r="AS20" s="28">
        <f t="array" ref="AS20">IF($I20="","",IF(C20="P",IF(OR(I20="NOT_READABLE",I20="BLURRY"),XLOOKUP("near_add_step",Calibration!$B:$B,Calibration!$C:$C,0.25),0),IF(C20="R",IF(I20="NOT_CLEAR",XLOOKUP("near_add_step",Calibration!$B:$B,Calibration!$C:$C,0.25),0),0)))</f>
        <v>0</v>
      </c>
      <c r="AT20" s="28">
        <f t="array" ref="AT20">IF($I20="","",IF(C20="Q",IF(OR(I20="NOT_READABLE",I20="BLURRY"),XLOOKUP("near_add_step",Calibration!$B:$B,Calibration!$C:$C,0.25),0),IF(C20="R",IF(I20="NOT_CLEAR",XLOOKUP("near_add_step",Calibration!$B:$B,Calibration!$C:$C,0.25),0),0)))</f>
        <v>0</v>
      </c>
      <c r="AU20" s="28" t="str">
        <f t="array" ref="AU20">IF($I20="","",IF(G20="SNELLEN_FEET",IF(I20="READABLE",IFERROR(XLOOKUP(XLOOKUP(R20,Chart_Scale_Distance!B:B,Chart_Scale_Distance!A:A)+1,Chart_Scale_Distance!A:A,Chart_Scale_Distance!B:B),R20),R20),R20))</f>
        <v>20_20_20</v>
      </c>
      <c r="AV20" s="28">
        <f t="array" ref="AV20">IF($I19="","",IFERROR(XLOOKUP(R20,Chart_Scale_Distance!$B:$B,Chart_Scale_Distance!$A:$A,""),""))</f>
        <v>6</v>
      </c>
      <c r="AW20" s="28">
        <f t="array" ref="AW20">IF($I19="","",IFERROR(XLOOKUP(AA20,Chart_Scale_Distance!$B:$B,Chart_Scale_Distance!$A:$A,""),""))</f>
        <v>6</v>
      </c>
      <c r="AX20" s="28">
        <f t="shared" si="14"/>
        <v>0</v>
      </c>
      <c r="AY20" s="28">
        <f t="shared" si="15"/>
        <v>3</v>
      </c>
      <c r="AZ20" s="28" t="str">
        <f t="shared" si="16"/>
        <v/>
      </c>
      <c r="BA20" s="28">
        <f t="shared" si="17"/>
        <v>3</v>
      </c>
      <c r="BB20" s="28">
        <f t="shared" si="18"/>
        <v>0</v>
      </c>
      <c r="BC20" s="28" t="str">
        <f t="array" ref="BC20">IF($I20="","",LET(
conf,AI20,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duoMax,XLOOKUP($B20,Derived_Variables!$A:$A,Derived_Variables!$AI:$AI,4),
axisTol,XLOOKUP($B20,Derived_Variables!$A:$A,Derived_Variables!$W:$W,1),
maxStart,XLOOKUP($B20,Derived_Variables!$A:$A,Derived_Variables!$U:$U,1.25),
maxAR,XLOOKUP($B20,Derived_Variables!$A:$A,Derived_Variables!$V:$V,3),
anom,XLOOKUP($B20,Derived_Variables!$A:$A,Derived_Variables!$Z:$Z,FALSE),
reStart,XLOOKUP($B20,Derived_Variables!$A:$A,Derived_Variables!$K:$K,0),
leStart,XLOOKUP($B20,Derived_Variables!$A:$A,Derived_Variables!$N:$N,0),
reAR,XLOOKUP($B20,AR_Input!$A:$A,AR_Input!$B:$B,reStart),
leAR,XLOOKUP($B20,AR_Input!$A:$A,AR_Input!$E:$E,leStart),
reEsc,AND(anom,OR(ABS((S20+AM20)-reStart)&gt;maxStart,ABS((S20+AM20)-reAR)&gt;maxAR)),
leEsc,AND(anom,OR(ABS((V20+AP20)-leStart)&gt;maxStart,ABS((V20+AP20)-leAR)&gt;maxAR)),
phaseMax,IFS(
 AK20="Fast",
   IFS(
     OR(C20="B",C20="D"),XLOOKUP("timeout_coarse_fast",Calibration!$B:$B,Calibration!$C:$C,24),
     OR(C20="E",C20="F",C20="H",C20="I"),XLOOKUP("timeout_jcc_fast",Calibration!$B:$B,Calibration!$C:$C,10),
     OR(C20="G",C20="J"),XLOOKUP("timeout_duochrome_fast",Calibration!$B:$B,Calibration!$C:$C,8),
     C20="K",XLOOKUP("timeout_bino_fast",Calibration!$B:$B,Calibration!$C:$C,10),
     OR(C20="P",C20="Q",C20="R"),XLOOKUP("timeout_near_fast",Calibration!$B:$B,Calibration!$C:$C,16),
     TRUE,XLOOKUP("timeout_coarse_fast",Calibration!$B:$B,Calibration!$C:$C,24)
   ),
 AK20="Normal",
   IFS(
     OR(C20="B",C20="D"),XLOOKUP("timeout_coarse_normal",Calibration!$B:$B,Calibration!$C:$C,36),
     OR(C20="E",C20="F",C20="H",C20="I"),XLOOKUP("timeout_jcc_normal",Calibration!$B:$B,Calibration!$C:$C,14),
     OR(C20="G",C20="J"),XLOOKUP("timeout_duochrome_normal",Calibration!$B:$B,Calibration!$C:$C,10),
     C20="K",XLOOKUP("timeout_bino_normal",Calibration!$B:$B,Calibration!$C:$C,14),
     OR(C20="P",C20="Q",C20="R"),XLOOKUP("timeout_near_normal",Calibration!$B:$B,Calibration!$C:$C,22),
     TRUE,XLOOKUP("timeout_coarse_normal",Calibration!$B:$B,Calibration!$C:$C,36)
   ),
 TRUE,
   IFS(
     OR(C20="B",C20="D"),XLOOKUP("timeout_coarse_slow",Calibration!$B:$B,Calibration!$C:$C,48),
     OR(C20="E",C20="F",C20="H",C20="I"),XLOOKUP("timeout_jcc_slow",Calibration!$B:$B,Calibration!$C:$C,18),
     OR(C20="G",C20="J"),XLOOKUP("timeout_duochrome_slow",Calibration!$B:$B,Calibration!$C:$C,12),
     C20="K",XLOOKUP("timeout_bino_slow",Calibration!$B:$B,Calibration!$C:$C,18),
     OR(C20="P",C20="Q",C20="R"),XLOOKUP("timeout_near_slow",Calibration!$B:$B,Calibration!$C:$C,28),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AJ20=TRUE,"ESCALATE",
C20="A",
IF(OR(I20="NOT_READABLE",I20="BLURRY",AND(R20="20_20_20",I20="READABLE")),"B","A"),
C20="B",
IF(reEsc,"ESCALATE",IF(AY20&gt;=phaseMax,"ESCALATE",IF(AND(AV20&gt;=AW20,I20="READABLE"),"E","B"))),
C20="E",
IF(AY20&gt;=phaseMax,"ESCALATE",IF(OR(I20="SAME",I20="CANT_TELL",AD20&lt;axisTol),"F","E")),
C20="F",
IF(AY20&gt;=phaseMax,"ESCALATE",IF(AX20&gt;=powerSameN,"G","F")),
C20="G",
IF(AY20&gt;=phaseMax,"ESCALATE",IF(OR(AX20&gt;=duoEqualN,BB20&gt;=duoMax),"D","G")),
C20="D",
IF(leEsc,"ESCALATE",IF(AY20&gt;=phaseMax,"ESCALATE",IF(AND(AV20&gt;=AW20,I20="READABLE"),"H","D"))),
C20="H",
IF(AY20&gt;=phaseMax,"ESCALATE",IF(OR(I20="SAME",I20="CANT_TELL",AD20&lt;axisTol),"I","H")),
C20="I",
IF(AY20&gt;=phaseMax,"ESCALATE",IF(AX20&gt;=powerSameN,"J","I")),
C20="J",
IF(AY20&gt;=phaseMax,"ESCALATE",IF(OR(AX20&gt;=duoEqualN,BB20&gt;=duoMax),"K","J")),
C20="K",
IF(AY20&gt;=phaseMax,"ESCALATE",IF(AX20&gt;=binoSameN,IF(XLOOKUP($B20,Derived_Variables!$A:$A,Derived_Variables!$AJ:$AJ,FALSE)=TRUE,"P","END"),"K")),
C20="P",
IF(AY20&gt;=phaseMax,"ESCALATE",IF(OR(I20="READABLE",I20="SAME"),"Q","P")),
C20="Q",
IF(AY20&gt;=phaseMax,"ESCALATE",IF(OR(I20="READABLE",I20="SAME"),"R","Q")),
C20="R",
IF(AY20&gt;=phaseMax,"ESCALATE",IF(OR(I20=nearTarget,I20="SAME"),"END","R")),
TRUE,"END"
)))</f>
        <v>G</v>
      </c>
      <c r="BD20" s="28" t="b">
        <f t="shared" si="19"/>
        <v>1</v>
      </c>
    </row>
    <row r="21" ht="15.75" customHeight="1">
      <c r="A21" s="28">
        <f t="shared" si="3"/>
        <v>20</v>
      </c>
      <c r="B21" s="28">
        <f t="shared" si="4"/>
        <v>6</v>
      </c>
      <c r="C21" s="28" t="str">
        <f t="shared" si="5"/>
        <v>G</v>
      </c>
      <c r="D21" s="28" t="str">
        <f t="array" ref="D21">IF($I20="","",XLOOKUP(C21,FSM_State_Map!A:A,FSM_State_Map!B:B,""))</f>
        <v>Duochrome RE</v>
      </c>
      <c r="E21" s="28" t="str">
        <f t="array" ref="E21">IF($I20="","",XLOOKUP(C21,FSM_State_Map!A:A,FSM_State_Map!C:C,""))</f>
        <v>DUOCHROME</v>
      </c>
      <c r="F21" s="28" t="str">
        <f t="array" ref="F21">IF($I20="","",XLOOKUP(E21,Phase_UI_Map!A:A,Phase_UI_Map!B:B,""))</f>
        <v>DUOCHROME</v>
      </c>
      <c r="G21" s="28" t="str">
        <f t="array" ref="G21">IF($I20="","",XLOOKUP(E21,Phase_UI_Map!A:A,Phase_UI_Map!C:C,""))</f>
        <v>RED_GREEN_DUOCHROME</v>
      </c>
      <c r="H21" s="28" t="str">
        <f t="array" ref="H21">IF($I20="","",XLOOKUP(E21,Phase_UI_Map!A:A,Phase_UI_Map!D:D,""))</f>
        <v>COLOR_CHOICE</v>
      </c>
      <c r="I21" s="29" t="s">
        <v>224</v>
      </c>
      <c r="J21" s="28" t="str">
        <f>IFERROR(__xludf.DUMMYFUNCTION("IF($I20="""","""",IFERROR(INDEX(FILTER(Response_Lists!$B:$B,Response_Lists!$A:$A=$H21),1),""""))"),"RED_CLEARER")</f>
        <v>RED_CLEARER</v>
      </c>
      <c r="K21" s="28" t="str">
        <f>IFERROR(__xludf.DUMMYFUNCTION("IF($I20="""","""",IFERROR(INDEX(FILTER(Response_Lists!$B:$B,Response_Lists!$A:$A=$H21),2),""""))"),"GREEN_CLEARER")</f>
        <v>GREEN_CLEARER</v>
      </c>
      <c r="L21" s="28" t="str">
        <f>IFERROR(__xludf.DUMMYFUNCTION("IF($I20="""","""",IFERROR(INDEX(FILTER(Response_Lists!$B:$B,Response_Lists!$A:$A=$H21),3),""""))"),"EQUAL")</f>
        <v>EQUAL</v>
      </c>
      <c r="M21" s="28" t="str">
        <f>IFERROR(__xludf.DUMMYFUNCTION("IF($I20="""","""",IFERROR(INDEX(FILTER(Response_Lists!$B:$B,Response_Lists!$A:$A=$H21),4),""""))"),"CANT_TELL")</f>
        <v>CANT_TELL</v>
      </c>
      <c r="N21" s="28" t="str">
        <f>IFERROR(__xludf.DUMMYFUNCTION("IF($I20="""","""",IFERROR(INDEX(FILTER(Response_Lists!$B:$B,Response_Lists!$A:$A=$H21),5),""""))"),"")</f>
        <v/>
      </c>
      <c r="O21" s="28" t="str">
        <f>IFERROR(__xludf.DUMMYFUNCTION("IF($I20="""","""",IFERROR(INDEX(FILTER(Response_Lists!$B:$B,Response_Lists!$A:$A=$H21),6),""""))"),"")</f>
        <v/>
      </c>
      <c r="P21" s="28" t="str">
        <f t="shared" si="6"/>
        <v>Which is clearer: RED or GREEN?</v>
      </c>
      <c r="Q21" s="28" t="str">
        <f t="array" ref="Q21">IF($I20="","",XLOOKUP(C21,FSM_State_Map!A:A,FSM_State_Map!D:D,""))</f>
        <v>RE</v>
      </c>
      <c r="R21" s="28" t="str">
        <f t="shared" si="7"/>
        <v>20_20_20</v>
      </c>
      <c r="S21" s="28">
        <f t="array" ref="S21">IF($I20="","",
IF(
  AND(C21="B",C20&lt;&gt;"B"),
  XLOOKUP($B21,Derived_Variables!$A:$A,Derived_Variables!$K:$K,0)
  + XLOOKUP($B21,Derived_Variables!$A:$A,Derived_Variables!$AE:$AE,0),
  S20+AM20
))</f>
        <v>-1.5</v>
      </c>
      <c r="T21" s="28">
        <f t="shared" ref="T21:U21" si="52">IF($I20="","",T20+AN20)</f>
        <v>-0.25</v>
      </c>
      <c r="U21" s="28">
        <f t="shared" si="52"/>
        <v>2</v>
      </c>
      <c r="V21" s="28">
        <f t="array" ref="V21">IF($I20="","",
IF(
  AND(C21="D",C20&lt;&gt;"D"),
  XLOOKUP($B21,Derived_Variables!$A:$A,Derived_Variables!$N:$N,0)
  + XLOOKUP($B21,Derived_Variables!$A:$A,Derived_Variables!$AE:$AE,0),
  V20+AP20
))</f>
        <v>-1</v>
      </c>
      <c r="W21" s="28">
        <f t="shared" ref="W21:X21" si="53">IF($I20="","",W20+AQ20)</f>
        <v>0</v>
      </c>
      <c r="X21" s="28">
        <f t="shared" si="53"/>
        <v>0</v>
      </c>
      <c r="Y21" s="28">
        <f t="array" ref="Y21">IF($I20="","",IF(AND(C21="P",C20&lt;&gt;"P"),IFERROR(XLOOKUP($B21,Lenso_Input!$A:$A,Lenso_Input!$E:$E,0),0),Y20+AS20))</f>
        <v>0</v>
      </c>
      <c r="Z21" s="28">
        <f t="array" ref="Z21">IF($I20="","",IF(AND(C21="Q",C20&lt;&gt;"Q"),IFERROR(XLOOKUP($B21,Lenso_Input!$A:$A,Lenso_Input!$I:$I,0),0),Z20+AT20))</f>
        <v>0</v>
      </c>
      <c r="AA21" s="28" t="str">
        <f t="array" ref="AA21">IF($I20="","",IF(XLOOKUP($B21,Derived_Variables!$A:$A,Derived_Variables!$R:$R,"6/6_target")="6/6_target","20_20_20","40_30_25"))</f>
        <v>20_20_20</v>
      </c>
      <c r="AB21" s="28">
        <f t="array" ref="AB21">IF($I20="","",XLOOKUP(LOWER(XLOOKUP($B21,Derived_Variables!$A:$A,Derived_Variables!$T:$T,"Standard"))&amp;"_sph_step",Calibration!$B:$B,Calibration!$C:$C,0.25))</f>
        <v>0.25</v>
      </c>
      <c r="AC21" s="28">
        <f t="array" ref="AC21">IF($I20="","",XLOOKUP(LOWER(XLOOKUP($B21,Derived_Variables!$A:$A,Derived_Variables!$T:$T,"Standard"))&amp;"_cyl_step",Calibration!$B:$B,Calibration!$C:$C,0.25))</f>
        <v>0.25</v>
      </c>
      <c r="AD21" s="28">
        <f t="array" ref="AD21">IF($I20="","",IF(OR(C21="E",C21="H"),LET(startStep,XLOOKUP("axis_start_step",Calibration!$B:$B,Calibration!$C:$C,5),step1,XLOOKUP("axis_reversal_step_1",Calibration!$B:$B,Calibration!$C:$C,3),step2,XLOOKUP("axis_reversal_step_2",Calibration!$B:$B,Calibration!$C:$C,1),IF(OR(C20&lt;&gt;C21,AZ21="",AZ21="SAME",AZ21="CANT_TELL",I21="",I21="SAME",I21="CANT_TELL"),startStep,IF(OR(AND(AZ21="BETTER_1",I21="BETTER_2"),AND(AZ21="BETTER_2",I21="BETTER_1")),IF(AD20&gt;step1,step1,step2),AD20))),0))</f>
        <v>0</v>
      </c>
      <c r="AE21" s="28" t="str">
        <f t="array" ref="AE21">IF($I20="","",XLOOKUP($B21,Derived_Variables!$A:$A,Derived_Variables!$AD:$AD,"No_Fog"))</f>
        <v>Strong_Fog</v>
      </c>
      <c r="AF21" s="28">
        <f t="array" ref="AF21">IF($I20="","",XLOOKUP($B21,Derived_Variables!$A:$A,Derived_Variables!$AE:$AE,0))</f>
        <v>1</v>
      </c>
      <c r="AG21" s="28" t="str">
        <f t="array" ref="AG21">IF($I20="","",XLOOKUP($B21,Derived_Variables!$A:$A,Derived_Variables!$AF:$AF,""))</f>
        <v>StepDown_0.25</v>
      </c>
      <c r="AH21" s="28" t="str">
        <f t="array" ref="AH21">IF($I20="","",XLOOKUP($B21,Derived_Variables!$A:$A,Derived_Variables!$AG:$AG,""))</f>
        <v>Low</v>
      </c>
      <c r="AI21" s="28" t="str">
        <f t="array" ref="AI21">IF($I20="","",XLOOKUP($B21,Derived_Variables!$A:$A,Derived_Variables!$AC:$AC,"Medium"))</f>
        <v>Low</v>
      </c>
      <c r="AJ21" s="28" t="b">
        <f t="array" ref="AJ21">IF($I20="","",XLOOKUP($B21,Derived_Variables!$A:$A,Derived_Variables!$Y:$Y,FALSE))</f>
        <v>0</v>
      </c>
      <c r="AK21" s="28" t="str">
        <f t="array" ref="AK21">IF($I20="","",XLOOKUP($B21,Derived_Variables!$A:$A,Derived_Variables!$AA:$AA,"Normal"))</f>
        <v>Slow</v>
      </c>
      <c r="AL21" s="28" t="str">
        <f t="array" ref="AL21">IF($I20="","",XLOOKUP($B21,Derived_Variables!$A:$A,Derived_Variables!$AB:$AB,"Normal"))</f>
        <v>Relaxed</v>
      </c>
      <c r="AM21" s="28">
        <f t="array" ref="AM21">IF($I21="","",IFS(C21="B",IF(OR(I21="NOT_READABLE",I21="BLURRY"),-AB21,0),C21="G",IFS(I21="RED_CLEARER",XLOOKUP("duochrome_red_step",Calibration!$B:$B,Calibration!$C:$C,-0.25),I21="GREEN_CLEARER",XLOOKUP("duochrome_green_step",Calibration!$B:$B,Calibration!$C:$C,0.25),I21="EQUAL",IF(XLOOKUP($B21,Derived_Variables!$A:$A,Derived_Variables!$S:$S,"Neutral")="Undercorrect",XLOOKUP("undercorrect_step",Calibration!$B:$B,Calibration!$C:$C,0.25),IF(XLOOKUP($B21,Derived_Variables!$A:$A,Derived_Variables!$S:$S,"Neutral")="Overcorrect",-XLOOKUP("overcorrect_step",Calibration!$B:$B,Calibration!$C:$C,0.25),0)),TRUE,0),C21="K",IF(I21="TOP_CLEARER",XLOOKUP("bino_balance_step",Calibration!$B:$B,Calibration!$C:$C,0.25),0),TRUE,0))</f>
        <v>0.25</v>
      </c>
      <c r="AN21" s="28">
        <f t="shared" si="10"/>
        <v>0</v>
      </c>
      <c r="AO21" s="28">
        <f t="shared" si="11"/>
        <v>0</v>
      </c>
      <c r="AP21" s="28">
        <f t="array" ref="AP21">IF($I21="","",IFS(C21="D",IF(OR(I21="NOT_READABLE",I21="BLURRY"),-AB21,0),C21="J",IFS(I21="RED_CLEARER",XLOOKUP("duochrome_red_step",Calibration!$B:$B,Calibration!$C:$C,-0.25),I21="GREEN_CLEARER",XLOOKUP("duochrome_green_step",Calibration!$B:$B,Calibration!$C:$C,0.25),I21="EQUAL",IF(XLOOKUP($B21,Derived_Variables!$A:$A,Derived_Variables!$S:$S,"Neutral")="Undercorrect",XLOOKUP("undercorrect_step",Calibration!$B:$B,Calibration!$C:$C,0.25),IF(XLOOKUP($B21,Derived_Variables!$A:$A,Derived_Variables!$S:$S,"Neutral")="Overcorrect",-XLOOKUP("overcorrect_step",Calibration!$B:$B,Calibration!$C:$C,0.25),0)),TRUE,0),C21="K",IF(I21="BOTTOM_CLEARER",XLOOKUP("bino_balance_step",Calibration!$B:$B,Calibration!$C:$C,0.25),0),TRUE,0))</f>
        <v>0</v>
      </c>
      <c r="AQ21" s="28">
        <f t="shared" si="12"/>
        <v>0</v>
      </c>
      <c r="AR21" s="28">
        <f t="shared" si="13"/>
        <v>0</v>
      </c>
      <c r="AS21" s="28">
        <f t="array" ref="AS21">IF($I21="","",IF(C21="P",IF(OR(I21="NOT_READABLE",I21="BLURRY"),XLOOKUP("near_add_step",Calibration!$B:$B,Calibration!$C:$C,0.25),0),IF(C21="R",IF(I21="NOT_CLEAR",XLOOKUP("near_add_step",Calibration!$B:$B,Calibration!$C:$C,0.25),0),0)))</f>
        <v>0</v>
      </c>
      <c r="AT21" s="28">
        <f t="array" ref="AT21">IF($I21="","",IF(C21="Q",IF(OR(I21="NOT_READABLE",I21="BLURRY"),XLOOKUP("near_add_step",Calibration!$B:$B,Calibration!$C:$C,0.25),0),IF(C21="R",IF(I21="NOT_CLEAR",XLOOKUP("near_add_step",Calibration!$B:$B,Calibration!$C:$C,0.25),0),0)))</f>
        <v>0</v>
      </c>
      <c r="AU21" s="28" t="str">
        <f t="array" ref="AU21">IF($I21="","",IF(G21="SNELLEN_FEET",IF(I21="READABLE",IFERROR(XLOOKUP(XLOOKUP(R21,Chart_Scale_Distance!B:B,Chart_Scale_Distance!A:A)+1,Chart_Scale_Distance!A:A,Chart_Scale_Distance!B:B),R21),R21),R21))</f>
        <v>20_20_20</v>
      </c>
      <c r="AV21" s="28">
        <f t="array" ref="AV21">IF($I20="","",IFERROR(XLOOKUP(R21,Chart_Scale_Distance!$B:$B,Chart_Scale_Distance!$A:$A,""),""))</f>
        <v>6</v>
      </c>
      <c r="AW21" s="28">
        <f t="array" ref="AW21">IF($I20="","",IFERROR(XLOOKUP(AA21,Chart_Scale_Distance!$B:$B,Chart_Scale_Distance!$A:$A,""),""))</f>
        <v>6</v>
      </c>
      <c r="AX21" s="28">
        <f t="shared" si="14"/>
        <v>0</v>
      </c>
      <c r="AY21" s="28">
        <f t="shared" si="15"/>
        <v>4</v>
      </c>
      <c r="AZ21" s="28" t="str">
        <f t="shared" si="16"/>
        <v/>
      </c>
      <c r="BA21" s="28">
        <f t="shared" si="17"/>
        <v>4</v>
      </c>
      <c r="BB21" s="28">
        <f t="shared" si="18"/>
        <v>1</v>
      </c>
      <c r="BC21" s="28" t="str">
        <f t="array" ref="BC21">IF($I21="","",LET(
conf,AI21,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duoMax,XLOOKUP($B21,Derived_Variables!$A:$A,Derived_Variables!$AI:$AI,4),
axisTol,XLOOKUP($B21,Derived_Variables!$A:$A,Derived_Variables!$W:$W,1),
maxStart,XLOOKUP($B21,Derived_Variables!$A:$A,Derived_Variables!$U:$U,1.25),
maxAR,XLOOKUP($B21,Derived_Variables!$A:$A,Derived_Variables!$V:$V,3),
anom,XLOOKUP($B21,Derived_Variables!$A:$A,Derived_Variables!$Z:$Z,FALSE),
reStart,XLOOKUP($B21,Derived_Variables!$A:$A,Derived_Variables!$K:$K,0),
leStart,XLOOKUP($B21,Derived_Variables!$A:$A,Derived_Variables!$N:$N,0),
reAR,XLOOKUP($B21,AR_Input!$A:$A,AR_Input!$B:$B,reStart),
leAR,XLOOKUP($B21,AR_Input!$A:$A,AR_Input!$E:$E,leStart),
reEsc,AND(anom,OR(ABS((S21+AM21)-reStart)&gt;maxStart,ABS((S21+AM21)-reAR)&gt;maxAR)),
leEsc,AND(anom,OR(ABS((V21+AP21)-leStart)&gt;maxStart,ABS((V21+AP21)-leAR)&gt;maxAR)),
phaseMax,IFS(
 AK21="Fast",
   IFS(
     OR(C21="B",C21="D"),XLOOKUP("timeout_coarse_fast",Calibration!$B:$B,Calibration!$C:$C,24),
     OR(C21="E",C21="F",C21="H",C21="I"),XLOOKUP("timeout_jcc_fast",Calibration!$B:$B,Calibration!$C:$C,10),
     OR(C21="G",C21="J"),XLOOKUP("timeout_duochrome_fast",Calibration!$B:$B,Calibration!$C:$C,8),
     C21="K",XLOOKUP("timeout_bino_fast",Calibration!$B:$B,Calibration!$C:$C,10),
     OR(C21="P",C21="Q",C21="R"),XLOOKUP("timeout_near_fast",Calibration!$B:$B,Calibration!$C:$C,16),
     TRUE,XLOOKUP("timeout_coarse_fast",Calibration!$B:$B,Calibration!$C:$C,24)
   ),
 AK21="Normal",
   IFS(
     OR(C21="B",C21="D"),XLOOKUP("timeout_coarse_normal",Calibration!$B:$B,Calibration!$C:$C,36),
     OR(C21="E",C21="F",C21="H",C21="I"),XLOOKUP("timeout_jcc_normal",Calibration!$B:$B,Calibration!$C:$C,14),
     OR(C21="G",C21="J"),XLOOKUP("timeout_duochrome_normal",Calibration!$B:$B,Calibration!$C:$C,10),
     C21="K",XLOOKUP("timeout_bino_normal",Calibration!$B:$B,Calibration!$C:$C,14),
     OR(C21="P",C21="Q",C21="R"),XLOOKUP("timeout_near_normal",Calibration!$B:$B,Calibration!$C:$C,22),
     TRUE,XLOOKUP("timeout_coarse_normal",Calibration!$B:$B,Calibration!$C:$C,36)
   ),
 TRUE,
   IFS(
     OR(C21="B",C21="D"),XLOOKUP("timeout_coarse_slow",Calibration!$B:$B,Calibration!$C:$C,48),
     OR(C21="E",C21="F",C21="H",C21="I"),XLOOKUP("timeout_jcc_slow",Calibration!$B:$B,Calibration!$C:$C,18),
     OR(C21="G",C21="J"),XLOOKUP("timeout_duochrome_slow",Calibration!$B:$B,Calibration!$C:$C,12),
     C21="K",XLOOKUP("timeout_bino_slow",Calibration!$B:$B,Calibration!$C:$C,18),
     OR(C21="P",C21="Q",C21="R"),XLOOKUP("timeout_near_slow",Calibration!$B:$B,Calibration!$C:$C,28),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AJ21=TRUE,"ESCALATE",
C21="A",
IF(OR(I21="NOT_READABLE",I21="BLURRY",AND(R21="20_20_20",I21="READABLE")),"B","A"),
C21="B",
IF(reEsc,"ESCALATE",IF(AY21&gt;=phaseMax,"ESCALATE",IF(AND(AV21&gt;=AW21,I21="READABLE"),"E","B"))),
C21="E",
IF(AY21&gt;=phaseMax,"ESCALATE",IF(OR(I21="SAME",I21="CANT_TELL",AD21&lt;axisTol),"F","E")),
C21="F",
IF(AY21&gt;=phaseMax,"ESCALATE",IF(AX21&gt;=powerSameN,"G","F")),
C21="G",
IF(AY21&gt;=phaseMax,"ESCALATE",IF(OR(AX21&gt;=duoEqualN,BB21&gt;=duoMax),"D","G")),
C21="D",
IF(leEsc,"ESCALATE",IF(AY21&gt;=phaseMax,"ESCALATE",IF(AND(AV21&gt;=AW21,I21="READABLE"),"H","D"))),
C21="H",
IF(AY21&gt;=phaseMax,"ESCALATE",IF(OR(I21="SAME",I21="CANT_TELL",AD21&lt;axisTol),"I","H")),
C21="I",
IF(AY21&gt;=phaseMax,"ESCALATE",IF(AX21&gt;=powerSameN,"J","I")),
C21="J",
IF(AY21&gt;=phaseMax,"ESCALATE",IF(OR(AX21&gt;=duoEqualN,BB21&gt;=duoMax),"K","J")),
C21="K",
IF(AY21&gt;=phaseMax,"ESCALATE",IF(AX21&gt;=binoSameN,IF(XLOOKUP($B21,Derived_Variables!$A:$A,Derived_Variables!$AJ:$AJ,FALSE)=TRUE,"P","END"),"K")),
C21="P",
IF(AY21&gt;=phaseMax,"ESCALATE",IF(OR(I21="READABLE",I21="SAME"),"Q","P")),
C21="Q",
IF(AY21&gt;=phaseMax,"ESCALATE",IF(OR(I21="READABLE",I21="SAME"),"R","Q")),
C21="R",
IF(AY21&gt;=phaseMax,"ESCALATE",IF(OR(I21=nearTarget,I21="SAME"),"END","R")),
TRUE,"END"
)))</f>
        <v>G</v>
      </c>
      <c r="BD21" s="28" t="b">
        <f t="shared" si="19"/>
        <v>1</v>
      </c>
    </row>
    <row r="22" ht="15.75" customHeight="1">
      <c r="A22" s="28">
        <f t="shared" si="3"/>
        <v>21</v>
      </c>
      <c r="B22" s="28">
        <f t="shared" si="4"/>
        <v>6</v>
      </c>
      <c r="C22" s="28" t="str">
        <f t="shared" si="5"/>
        <v>G</v>
      </c>
      <c r="D22" s="28" t="str">
        <f t="array" ref="D22">IF($I21="","",XLOOKUP(C22,FSM_State_Map!A:A,FSM_State_Map!B:B,""))</f>
        <v>Duochrome RE</v>
      </c>
      <c r="E22" s="28" t="str">
        <f t="array" ref="E22">IF($I21="","",XLOOKUP(C22,FSM_State_Map!A:A,FSM_State_Map!C:C,""))</f>
        <v>DUOCHROME</v>
      </c>
      <c r="F22" s="28" t="str">
        <f t="array" ref="F22">IF($I21="","",XLOOKUP(E22,Phase_UI_Map!A:A,Phase_UI_Map!B:B,""))</f>
        <v>DUOCHROME</v>
      </c>
      <c r="G22" s="28" t="str">
        <f t="array" ref="G22">IF($I21="","",XLOOKUP(E22,Phase_UI_Map!A:A,Phase_UI_Map!C:C,""))</f>
        <v>RED_GREEN_DUOCHROME</v>
      </c>
      <c r="H22" s="28" t="str">
        <f t="array" ref="H22">IF($I21="","",XLOOKUP(E22,Phase_UI_Map!A:A,Phase_UI_Map!D:D,""))</f>
        <v>COLOR_CHOICE</v>
      </c>
      <c r="I22" s="29" t="s">
        <v>223</v>
      </c>
      <c r="J22" s="28" t="str">
        <f>IFERROR(__xludf.DUMMYFUNCTION("IF($I21="""","""",IFERROR(INDEX(FILTER(Response_Lists!$B:$B,Response_Lists!$A:$A=$H22),1),""""))"),"RED_CLEARER")</f>
        <v>RED_CLEARER</v>
      </c>
      <c r="K22" s="28" t="str">
        <f>IFERROR(__xludf.DUMMYFUNCTION("IF($I21="""","""",IFERROR(INDEX(FILTER(Response_Lists!$B:$B,Response_Lists!$A:$A=$H22),2),""""))"),"GREEN_CLEARER")</f>
        <v>GREEN_CLEARER</v>
      </c>
      <c r="L22" s="28" t="str">
        <f>IFERROR(__xludf.DUMMYFUNCTION("IF($I21="""","""",IFERROR(INDEX(FILTER(Response_Lists!$B:$B,Response_Lists!$A:$A=$H22),3),""""))"),"EQUAL")</f>
        <v>EQUAL</v>
      </c>
      <c r="M22" s="28" t="str">
        <f>IFERROR(__xludf.DUMMYFUNCTION("IF($I21="""","""",IFERROR(INDEX(FILTER(Response_Lists!$B:$B,Response_Lists!$A:$A=$H22),4),""""))"),"CANT_TELL")</f>
        <v>CANT_TELL</v>
      </c>
      <c r="N22" s="28" t="str">
        <f>IFERROR(__xludf.DUMMYFUNCTION("IF($I21="""","""",IFERROR(INDEX(FILTER(Response_Lists!$B:$B,Response_Lists!$A:$A=$H22),5),""""))"),"")</f>
        <v/>
      </c>
      <c r="O22" s="28" t="str">
        <f>IFERROR(__xludf.DUMMYFUNCTION("IF($I21="""","""",IFERROR(INDEX(FILTER(Response_Lists!$B:$B,Response_Lists!$A:$A=$H22),6),""""))"),"")</f>
        <v/>
      </c>
      <c r="P22" s="28" t="str">
        <f t="shared" si="6"/>
        <v>Which is clearer: RED or GREEN?</v>
      </c>
      <c r="Q22" s="28" t="str">
        <f t="array" ref="Q22">IF($I21="","",XLOOKUP(C22,FSM_State_Map!A:A,FSM_State_Map!D:D,""))</f>
        <v>RE</v>
      </c>
      <c r="R22" s="28" t="str">
        <f t="shared" si="7"/>
        <v>20_20_20</v>
      </c>
      <c r="S22" s="28">
        <f t="array" ref="S22">IF($I21="","",
IF(
  AND(C22="B",C21&lt;&gt;"B"),
  XLOOKUP($B22,Derived_Variables!$A:$A,Derived_Variables!$K:$K,0)
  + XLOOKUP($B22,Derived_Variables!$A:$A,Derived_Variables!$AE:$AE,0),
  S21+AM21
))</f>
        <v>-1.25</v>
      </c>
      <c r="T22" s="28">
        <f t="shared" ref="T22:U22" si="54">IF($I21="","",T21+AN21)</f>
        <v>-0.25</v>
      </c>
      <c r="U22" s="28">
        <f t="shared" si="54"/>
        <v>2</v>
      </c>
      <c r="V22" s="28">
        <f t="array" ref="V22">IF($I21="","",
IF(
  AND(C22="D",C21&lt;&gt;"D"),
  XLOOKUP($B22,Derived_Variables!$A:$A,Derived_Variables!$N:$N,0)
  + XLOOKUP($B22,Derived_Variables!$A:$A,Derived_Variables!$AE:$AE,0),
  V21+AP21
))</f>
        <v>-1</v>
      </c>
      <c r="W22" s="28">
        <f t="shared" ref="W22:X22" si="55">IF($I21="","",W21+AQ21)</f>
        <v>0</v>
      </c>
      <c r="X22" s="28">
        <f t="shared" si="55"/>
        <v>0</v>
      </c>
      <c r="Y22" s="28">
        <f t="array" ref="Y22">IF($I21="","",IF(AND(C22="P",C21&lt;&gt;"P"),IFERROR(XLOOKUP($B22,Lenso_Input!$A:$A,Lenso_Input!$E:$E,0),0),Y21+AS21))</f>
        <v>0</v>
      </c>
      <c r="Z22" s="28">
        <f t="array" ref="Z22">IF($I21="","",IF(AND(C22="Q",C21&lt;&gt;"Q"),IFERROR(XLOOKUP($B22,Lenso_Input!$A:$A,Lenso_Input!$I:$I,0),0),Z21+AT21))</f>
        <v>0</v>
      </c>
      <c r="AA22" s="28" t="str">
        <f t="array" ref="AA22">IF($I21="","",IF(XLOOKUP($B22,Derived_Variables!$A:$A,Derived_Variables!$R:$R,"6/6_target")="6/6_target","20_20_20","40_30_25"))</f>
        <v>20_20_20</v>
      </c>
      <c r="AB22" s="28">
        <f t="array" ref="AB22">IF($I21="","",XLOOKUP(LOWER(XLOOKUP($B22,Derived_Variables!$A:$A,Derived_Variables!$T:$T,"Standard"))&amp;"_sph_step",Calibration!$B:$B,Calibration!$C:$C,0.25))</f>
        <v>0.25</v>
      </c>
      <c r="AC22" s="28">
        <f t="array" ref="AC22">IF($I21="","",XLOOKUP(LOWER(XLOOKUP($B22,Derived_Variables!$A:$A,Derived_Variables!$T:$T,"Standard"))&amp;"_cyl_step",Calibration!$B:$B,Calibration!$C:$C,0.25))</f>
        <v>0.25</v>
      </c>
      <c r="AD22" s="28">
        <f t="array" ref="AD22">IF($I21="","",IF(OR(C22="E",C22="H"),LET(startStep,XLOOKUP("axis_start_step",Calibration!$B:$B,Calibration!$C:$C,5),step1,XLOOKUP("axis_reversal_step_1",Calibration!$B:$B,Calibration!$C:$C,3),step2,XLOOKUP("axis_reversal_step_2",Calibration!$B:$B,Calibration!$C:$C,1),IF(OR(C21&lt;&gt;C22,AZ22="",AZ22="SAME",AZ22="CANT_TELL",I22="",I22="SAME",I22="CANT_TELL"),startStep,IF(OR(AND(AZ22="BETTER_1",I22="BETTER_2"),AND(AZ22="BETTER_2",I22="BETTER_1")),IF(AD21&gt;step1,step1,step2),AD21))),0))</f>
        <v>0</v>
      </c>
      <c r="AE22" s="28" t="str">
        <f t="array" ref="AE22">IF($I21="","",XLOOKUP($B22,Derived_Variables!$A:$A,Derived_Variables!$AD:$AD,"No_Fog"))</f>
        <v>Strong_Fog</v>
      </c>
      <c r="AF22" s="28">
        <f t="array" ref="AF22">IF($I21="","",XLOOKUP($B22,Derived_Variables!$A:$A,Derived_Variables!$AE:$AE,0))</f>
        <v>1</v>
      </c>
      <c r="AG22" s="28" t="str">
        <f t="array" ref="AG22">IF($I21="","",XLOOKUP($B22,Derived_Variables!$A:$A,Derived_Variables!$AF:$AF,""))</f>
        <v>StepDown_0.25</v>
      </c>
      <c r="AH22" s="28" t="str">
        <f t="array" ref="AH22">IF($I21="","",XLOOKUP($B22,Derived_Variables!$A:$A,Derived_Variables!$AG:$AG,""))</f>
        <v>Low</v>
      </c>
      <c r="AI22" s="28" t="str">
        <f t="array" ref="AI22">IF($I21="","",XLOOKUP($B22,Derived_Variables!$A:$A,Derived_Variables!$AC:$AC,"Medium"))</f>
        <v>Low</v>
      </c>
      <c r="AJ22" s="28" t="b">
        <f t="array" ref="AJ22">IF($I21="","",XLOOKUP($B22,Derived_Variables!$A:$A,Derived_Variables!$Y:$Y,FALSE))</f>
        <v>0</v>
      </c>
      <c r="AK22" s="28" t="str">
        <f t="array" ref="AK22">IF($I21="","",XLOOKUP($B22,Derived_Variables!$A:$A,Derived_Variables!$AA:$AA,"Normal"))</f>
        <v>Slow</v>
      </c>
      <c r="AL22" s="28" t="str">
        <f t="array" ref="AL22">IF($I21="","",XLOOKUP($B22,Derived_Variables!$A:$A,Derived_Variables!$AB:$AB,"Normal"))</f>
        <v>Relaxed</v>
      </c>
      <c r="AM22" s="28">
        <f t="array" ref="AM22">IF($I22="","",IFS(C22="B",IF(OR(I22="NOT_READABLE",I22="BLURRY"),-AB22,0),C22="G",IFS(I22="RED_CLEARER",XLOOKUP("duochrome_red_step",Calibration!$B:$B,Calibration!$C:$C,-0.25),I22="GREEN_CLEARER",XLOOKUP("duochrome_green_step",Calibration!$B:$B,Calibration!$C:$C,0.25),I22="EQUAL",IF(XLOOKUP($B22,Derived_Variables!$A:$A,Derived_Variables!$S:$S,"Neutral")="Undercorrect",XLOOKUP("undercorrect_step",Calibration!$B:$B,Calibration!$C:$C,0.25),IF(XLOOKUP($B22,Derived_Variables!$A:$A,Derived_Variables!$S:$S,"Neutral")="Overcorrect",-XLOOKUP("overcorrect_step",Calibration!$B:$B,Calibration!$C:$C,0.25),0)),TRUE,0),C22="K",IF(I22="TOP_CLEARER",XLOOKUP("bino_balance_step",Calibration!$B:$B,Calibration!$C:$C,0.25),0),TRUE,0))</f>
        <v>-0.25</v>
      </c>
      <c r="AN22" s="28">
        <f t="shared" si="10"/>
        <v>0</v>
      </c>
      <c r="AO22" s="28">
        <f t="shared" si="11"/>
        <v>0</v>
      </c>
      <c r="AP22" s="28">
        <f t="array" ref="AP22">IF($I22="","",IFS(C22="D",IF(OR(I22="NOT_READABLE",I22="BLURRY"),-AB22,0),C22="J",IFS(I22="RED_CLEARER",XLOOKUP("duochrome_red_step",Calibration!$B:$B,Calibration!$C:$C,-0.25),I22="GREEN_CLEARER",XLOOKUP("duochrome_green_step",Calibration!$B:$B,Calibration!$C:$C,0.25),I22="EQUAL",IF(XLOOKUP($B22,Derived_Variables!$A:$A,Derived_Variables!$S:$S,"Neutral")="Undercorrect",XLOOKUP("undercorrect_step",Calibration!$B:$B,Calibration!$C:$C,0.25),IF(XLOOKUP($B22,Derived_Variables!$A:$A,Derived_Variables!$S:$S,"Neutral")="Overcorrect",-XLOOKUP("overcorrect_step",Calibration!$B:$B,Calibration!$C:$C,0.25),0)),TRUE,0),C22="K",IF(I22="BOTTOM_CLEARER",XLOOKUP("bino_balance_step",Calibration!$B:$B,Calibration!$C:$C,0.25),0),TRUE,0))</f>
        <v>0</v>
      </c>
      <c r="AQ22" s="28">
        <f t="shared" si="12"/>
        <v>0</v>
      </c>
      <c r="AR22" s="28">
        <f t="shared" si="13"/>
        <v>0</v>
      </c>
      <c r="AS22" s="28">
        <f t="array" ref="AS22">IF($I22="","",IF(C22="P",IF(OR(I22="NOT_READABLE",I22="BLURRY"),XLOOKUP("near_add_step",Calibration!$B:$B,Calibration!$C:$C,0.25),0),IF(C22="R",IF(I22="NOT_CLEAR",XLOOKUP("near_add_step",Calibration!$B:$B,Calibration!$C:$C,0.25),0),0)))</f>
        <v>0</v>
      </c>
      <c r="AT22" s="28">
        <f t="array" ref="AT22">IF($I22="","",IF(C22="Q",IF(OR(I22="NOT_READABLE",I22="BLURRY"),XLOOKUP("near_add_step",Calibration!$B:$B,Calibration!$C:$C,0.25),0),IF(C22="R",IF(I22="NOT_CLEAR",XLOOKUP("near_add_step",Calibration!$B:$B,Calibration!$C:$C,0.25),0),0)))</f>
        <v>0</v>
      </c>
      <c r="AU22" s="28" t="str">
        <f t="array" ref="AU22">IF($I22="","",IF(G22="SNELLEN_FEET",IF(I22="READABLE",IFERROR(XLOOKUP(XLOOKUP(R22,Chart_Scale_Distance!B:B,Chart_Scale_Distance!A:A)+1,Chart_Scale_Distance!A:A,Chart_Scale_Distance!B:B),R22),R22),R22))</f>
        <v>20_20_20</v>
      </c>
      <c r="AV22" s="28">
        <f t="array" ref="AV22">IF($I21="","",IFERROR(XLOOKUP(R22,Chart_Scale_Distance!$B:$B,Chart_Scale_Distance!$A:$A,""),""))</f>
        <v>6</v>
      </c>
      <c r="AW22" s="28">
        <f t="array" ref="AW22">IF($I21="","",IFERROR(XLOOKUP(AA22,Chart_Scale_Distance!$B:$B,Chart_Scale_Distance!$A:$A,""),""))</f>
        <v>6</v>
      </c>
      <c r="AX22" s="28">
        <f t="shared" si="14"/>
        <v>0</v>
      </c>
      <c r="AY22" s="28">
        <f t="shared" si="15"/>
        <v>5</v>
      </c>
      <c r="AZ22" s="28" t="str">
        <f t="shared" si="16"/>
        <v/>
      </c>
      <c r="BA22" s="28">
        <f t="shared" si="17"/>
        <v>5</v>
      </c>
      <c r="BB22" s="28">
        <f t="shared" si="18"/>
        <v>2</v>
      </c>
      <c r="BC22" s="28" t="str">
        <f t="array" ref="BC22">IF($I22="","",LET(
conf,AI22,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duoMax,XLOOKUP($B22,Derived_Variables!$A:$A,Derived_Variables!$AI:$AI,4),
axisTol,XLOOKUP($B22,Derived_Variables!$A:$A,Derived_Variables!$W:$W,1),
maxStart,XLOOKUP($B22,Derived_Variables!$A:$A,Derived_Variables!$U:$U,1.25),
maxAR,XLOOKUP($B22,Derived_Variables!$A:$A,Derived_Variables!$V:$V,3),
anom,XLOOKUP($B22,Derived_Variables!$A:$A,Derived_Variables!$Z:$Z,FALSE),
reStart,XLOOKUP($B22,Derived_Variables!$A:$A,Derived_Variables!$K:$K,0),
leStart,XLOOKUP($B22,Derived_Variables!$A:$A,Derived_Variables!$N:$N,0),
reAR,XLOOKUP($B22,AR_Input!$A:$A,AR_Input!$B:$B,reStart),
leAR,XLOOKUP($B22,AR_Input!$A:$A,AR_Input!$E:$E,leStart),
reEsc,AND(anom,OR(ABS((S22+AM22)-reStart)&gt;maxStart,ABS((S22+AM22)-reAR)&gt;maxAR)),
leEsc,AND(anom,OR(ABS((V22+AP22)-leStart)&gt;maxStart,ABS((V22+AP22)-leAR)&gt;maxAR)),
phaseMax,IFS(
 AK22="Fast",
   IFS(
     OR(C22="B",C22="D"),XLOOKUP("timeout_coarse_fast",Calibration!$B:$B,Calibration!$C:$C,24),
     OR(C22="E",C22="F",C22="H",C22="I"),XLOOKUP("timeout_jcc_fast",Calibration!$B:$B,Calibration!$C:$C,10),
     OR(C22="G",C22="J"),XLOOKUP("timeout_duochrome_fast",Calibration!$B:$B,Calibration!$C:$C,8),
     C22="K",XLOOKUP("timeout_bino_fast",Calibration!$B:$B,Calibration!$C:$C,10),
     OR(C22="P",C22="Q",C22="R"),XLOOKUP("timeout_near_fast",Calibration!$B:$B,Calibration!$C:$C,16),
     TRUE,XLOOKUP("timeout_coarse_fast",Calibration!$B:$B,Calibration!$C:$C,24)
   ),
 AK22="Normal",
   IFS(
     OR(C22="B",C22="D"),XLOOKUP("timeout_coarse_normal",Calibration!$B:$B,Calibration!$C:$C,36),
     OR(C22="E",C22="F",C22="H",C22="I"),XLOOKUP("timeout_jcc_normal",Calibration!$B:$B,Calibration!$C:$C,14),
     OR(C22="G",C22="J"),XLOOKUP("timeout_duochrome_normal",Calibration!$B:$B,Calibration!$C:$C,10),
     C22="K",XLOOKUP("timeout_bino_normal",Calibration!$B:$B,Calibration!$C:$C,14),
     OR(C22="P",C22="Q",C22="R"),XLOOKUP("timeout_near_normal",Calibration!$B:$B,Calibration!$C:$C,22),
     TRUE,XLOOKUP("timeout_coarse_normal",Calibration!$B:$B,Calibration!$C:$C,36)
   ),
 TRUE,
   IFS(
     OR(C22="B",C22="D"),XLOOKUP("timeout_coarse_slow",Calibration!$B:$B,Calibration!$C:$C,48),
     OR(C22="E",C22="F",C22="H",C22="I"),XLOOKUP("timeout_jcc_slow",Calibration!$B:$B,Calibration!$C:$C,18),
     OR(C22="G",C22="J"),XLOOKUP("timeout_duochrome_slow",Calibration!$B:$B,Calibration!$C:$C,12),
     C22="K",XLOOKUP("timeout_bino_slow",Calibration!$B:$B,Calibration!$C:$C,18),
     OR(C22="P",C22="Q",C22="R"),XLOOKUP("timeout_near_slow",Calibration!$B:$B,Calibration!$C:$C,28),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AJ22=TRUE,"ESCALATE",
C22="A",
IF(OR(I22="NOT_READABLE",I22="BLURRY",AND(R22="20_20_20",I22="READABLE")),"B","A"),
C22="B",
IF(reEsc,"ESCALATE",IF(AY22&gt;=phaseMax,"ESCALATE",IF(AND(AV22&gt;=AW22,I22="READABLE"),"E","B"))),
C22="E",
IF(AY22&gt;=phaseMax,"ESCALATE",IF(OR(I22="SAME",I22="CANT_TELL",AD22&lt;axisTol),"F","E")),
C22="F",
IF(AY22&gt;=phaseMax,"ESCALATE",IF(AX22&gt;=powerSameN,"G","F")),
C22="G",
IF(AY22&gt;=phaseMax,"ESCALATE",IF(OR(AX22&gt;=duoEqualN,BB22&gt;=duoMax),"D","G")),
C22="D",
IF(leEsc,"ESCALATE",IF(AY22&gt;=phaseMax,"ESCALATE",IF(AND(AV22&gt;=AW22,I22="READABLE"),"H","D"))),
C22="H",
IF(AY22&gt;=phaseMax,"ESCALATE",IF(OR(I22="SAME",I22="CANT_TELL",AD22&lt;axisTol),"I","H")),
C22="I",
IF(AY22&gt;=phaseMax,"ESCALATE",IF(AX22&gt;=powerSameN,"J","I")),
C22="J",
IF(AY22&gt;=phaseMax,"ESCALATE",IF(OR(AX22&gt;=duoEqualN,BB22&gt;=duoMax),"K","J")),
C22="K",
IF(AY22&gt;=phaseMax,"ESCALATE",IF(AX22&gt;=binoSameN,IF(XLOOKUP($B22,Derived_Variables!$A:$A,Derived_Variables!$AJ:$AJ,FALSE)=TRUE,"P","END"),"K")),
C22="P",
IF(AY22&gt;=phaseMax,"ESCALATE",IF(OR(I22="READABLE",I22="SAME"),"Q","P")),
C22="Q",
IF(AY22&gt;=phaseMax,"ESCALATE",IF(OR(I22="READABLE",I22="SAME"),"R","Q")),
C22="R",
IF(AY22&gt;=phaseMax,"ESCALATE",IF(OR(I22=nearTarget,I22="SAME"),"END","R")),
TRUE,"END"
)))</f>
        <v>G</v>
      </c>
      <c r="BD22" s="28" t="b">
        <f t="shared" si="19"/>
        <v>1</v>
      </c>
    </row>
    <row r="23" ht="15.75" customHeight="1">
      <c r="A23" s="28">
        <f t="shared" si="3"/>
        <v>22</v>
      </c>
      <c r="B23" s="28">
        <f t="shared" si="4"/>
        <v>6</v>
      </c>
      <c r="C23" s="28" t="str">
        <f t="shared" si="5"/>
        <v>G</v>
      </c>
      <c r="D23" s="28" t="str">
        <f t="array" ref="D23">IF($I22="","",XLOOKUP(C23,FSM_State_Map!A:A,FSM_State_Map!B:B,""))</f>
        <v>Duochrome RE</v>
      </c>
      <c r="E23" s="28" t="str">
        <f t="array" ref="E23">IF($I22="","",XLOOKUP(C23,FSM_State_Map!A:A,FSM_State_Map!C:C,""))</f>
        <v>DUOCHROME</v>
      </c>
      <c r="F23" s="28" t="str">
        <f t="array" ref="F23">IF($I22="","",XLOOKUP(E23,Phase_UI_Map!A:A,Phase_UI_Map!B:B,""))</f>
        <v>DUOCHROME</v>
      </c>
      <c r="G23" s="28" t="str">
        <f t="array" ref="G23">IF($I22="","",XLOOKUP(E23,Phase_UI_Map!A:A,Phase_UI_Map!C:C,""))</f>
        <v>RED_GREEN_DUOCHROME</v>
      </c>
      <c r="H23" s="28" t="str">
        <f t="array" ref="H23">IF($I22="","",XLOOKUP(E23,Phase_UI_Map!A:A,Phase_UI_Map!D:D,""))</f>
        <v>COLOR_CHOICE</v>
      </c>
      <c r="I23" s="29" t="s">
        <v>224</v>
      </c>
      <c r="J23" s="28" t="str">
        <f>IFERROR(__xludf.DUMMYFUNCTION("IF($I22="""","""",IFERROR(INDEX(FILTER(Response_Lists!$B:$B,Response_Lists!$A:$A=$H23),1),""""))"),"RED_CLEARER")</f>
        <v>RED_CLEARER</v>
      </c>
      <c r="K23" s="28" t="str">
        <f>IFERROR(__xludf.DUMMYFUNCTION("IF($I22="""","""",IFERROR(INDEX(FILTER(Response_Lists!$B:$B,Response_Lists!$A:$A=$H23),2),""""))"),"GREEN_CLEARER")</f>
        <v>GREEN_CLEARER</v>
      </c>
      <c r="L23" s="28" t="str">
        <f>IFERROR(__xludf.DUMMYFUNCTION("IF($I22="""","""",IFERROR(INDEX(FILTER(Response_Lists!$B:$B,Response_Lists!$A:$A=$H23),3),""""))"),"EQUAL")</f>
        <v>EQUAL</v>
      </c>
      <c r="M23" s="28" t="str">
        <f>IFERROR(__xludf.DUMMYFUNCTION("IF($I22="""","""",IFERROR(INDEX(FILTER(Response_Lists!$B:$B,Response_Lists!$A:$A=$H23),4),""""))"),"CANT_TELL")</f>
        <v>CANT_TELL</v>
      </c>
      <c r="N23" s="28" t="str">
        <f>IFERROR(__xludf.DUMMYFUNCTION("IF($I22="""","""",IFERROR(INDEX(FILTER(Response_Lists!$B:$B,Response_Lists!$A:$A=$H23),5),""""))"),"")</f>
        <v/>
      </c>
      <c r="O23" s="28" t="str">
        <f>IFERROR(__xludf.DUMMYFUNCTION("IF($I22="""","""",IFERROR(INDEX(FILTER(Response_Lists!$B:$B,Response_Lists!$A:$A=$H23),6),""""))"),"")</f>
        <v/>
      </c>
      <c r="P23" s="28" t="str">
        <f t="shared" si="6"/>
        <v>Which is clearer: RED or GREEN?</v>
      </c>
      <c r="Q23" s="28" t="str">
        <f t="array" ref="Q23">IF($I22="","",XLOOKUP(C23,FSM_State_Map!A:A,FSM_State_Map!D:D,""))</f>
        <v>RE</v>
      </c>
      <c r="R23" s="28" t="str">
        <f t="shared" si="7"/>
        <v>20_20_20</v>
      </c>
      <c r="S23" s="28">
        <f t="array" ref="S23">IF($I22="","",
IF(
  AND(C23="B",C22&lt;&gt;"B"),
  XLOOKUP($B23,Derived_Variables!$A:$A,Derived_Variables!$K:$K,0)
  + XLOOKUP($B23,Derived_Variables!$A:$A,Derived_Variables!$AE:$AE,0),
  S22+AM22
))</f>
        <v>-1.5</v>
      </c>
      <c r="T23" s="28">
        <f t="shared" ref="T23:U23" si="56">IF($I22="","",T22+AN22)</f>
        <v>-0.25</v>
      </c>
      <c r="U23" s="28">
        <f t="shared" si="56"/>
        <v>2</v>
      </c>
      <c r="V23" s="28">
        <f t="array" ref="V23">IF($I22="","",
IF(
  AND(C23="D",C22&lt;&gt;"D"),
  XLOOKUP($B23,Derived_Variables!$A:$A,Derived_Variables!$N:$N,0)
  + XLOOKUP($B23,Derived_Variables!$A:$A,Derived_Variables!$AE:$AE,0),
  V22+AP22
))</f>
        <v>-1</v>
      </c>
      <c r="W23" s="28">
        <f t="shared" ref="W23:X23" si="57">IF($I22="","",W22+AQ22)</f>
        <v>0</v>
      </c>
      <c r="X23" s="28">
        <f t="shared" si="57"/>
        <v>0</v>
      </c>
      <c r="Y23" s="28">
        <f t="array" ref="Y23">IF($I22="","",IF(AND(C23="P",C22&lt;&gt;"P"),IFERROR(XLOOKUP($B23,Lenso_Input!$A:$A,Lenso_Input!$E:$E,0),0),Y22+AS22))</f>
        <v>0</v>
      </c>
      <c r="Z23" s="28">
        <f t="array" ref="Z23">IF($I22="","",IF(AND(C23="Q",C22&lt;&gt;"Q"),IFERROR(XLOOKUP($B23,Lenso_Input!$A:$A,Lenso_Input!$I:$I,0),0),Z22+AT22))</f>
        <v>0</v>
      </c>
      <c r="AA23" s="28" t="str">
        <f t="array" ref="AA23">IF($I22="","",IF(XLOOKUP($B23,Derived_Variables!$A:$A,Derived_Variables!$R:$R,"6/6_target")="6/6_target","20_20_20","40_30_25"))</f>
        <v>20_20_20</v>
      </c>
      <c r="AB23" s="28">
        <f t="array" ref="AB23">IF($I22="","",XLOOKUP(LOWER(XLOOKUP($B23,Derived_Variables!$A:$A,Derived_Variables!$T:$T,"Standard"))&amp;"_sph_step",Calibration!$B:$B,Calibration!$C:$C,0.25))</f>
        <v>0.25</v>
      </c>
      <c r="AC23" s="28">
        <f t="array" ref="AC23">IF($I22="","",XLOOKUP(LOWER(XLOOKUP($B23,Derived_Variables!$A:$A,Derived_Variables!$T:$T,"Standard"))&amp;"_cyl_step",Calibration!$B:$B,Calibration!$C:$C,0.25))</f>
        <v>0.25</v>
      </c>
      <c r="AD23" s="28">
        <f t="array" ref="AD23">IF($I22="","",IF(OR(C23="E",C23="H"),LET(startStep,XLOOKUP("axis_start_step",Calibration!$B:$B,Calibration!$C:$C,5),step1,XLOOKUP("axis_reversal_step_1",Calibration!$B:$B,Calibration!$C:$C,3),step2,XLOOKUP("axis_reversal_step_2",Calibration!$B:$B,Calibration!$C:$C,1),IF(OR(C22&lt;&gt;C23,AZ23="",AZ23="SAME",AZ23="CANT_TELL",I23="",I23="SAME",I23="CANT_TELL"),startStep,IF(OR(AND(AZ23="BETTER_1",I23="BETTER_2"),AND(AZ23="BETTER_2",I23="BETTER_1")),IF(AD22&gt;step1,step1,step2),AD22))),0))</f>
        <v>0</v>
      </c>
      <c r="AE23" s="28" t="str">
        <f t="array" ref="AE23">IF($I22="","",XLOOKUP($B23,Derived_Variables!$A:$A,Derived_Variables!$AD:$AD,"No_Fog"))</f>
        <v>Strong_Fog</v>
      </c>
      <c r="AF23" s="28">
        <f t="array" ref="AF23">IF($I22="","",XLOOKUP($B23,Derived_Variables!$A:$A,Derived_Variables!$AE:$AE,0))</f>
        <v>1</v>
      </c>
      <c r="AG23" s="28" t="str">
        <f t="array" ref="AG23">IF($I22="","",XLOOKUP($B23,Derived_Variables!$A:$A,Derived_Variables!$AF:$AF,""))</f>
        <v>StepDown_0.25</v>
      </c>
      <c r="AH23" s="28" t="str">
        <f t="array" ref="AH23">IF($I22="","",XLOOKUP($B23,Derived_Variables!$A:$A,Derived_Variables!$AG:$AG,""))</f>
        <v>Low</v>
      </c>
      <c r="AI23" s="28" t="str">
        <f t="array" ref="AI23">IF($I22="","",XLOOKUP($B23,Derived_Variables!$A:$A,Derived_Variables!$AC:$AC,"Medium"))</f>
        <v>Low</v>
      </c>
      <c r="AJ23" s="28" t="b">
        <f t="array" ref="AJ23">IF($I22="","",XLOOKUP($B23,Derived_Variables!$A:$A,Derived_Variables!$Y:$Y,FALSE))</f>
        <v>0</v>
      </c>
      <c r="AK23" s="28" t="str">
        <f t="array" ref="AK23">IF($I22="","",XLOOKUP($B23,Derived_Variables!$A:$A,Derived_Variables!$AA:$AA,"Normal"))</f>
        <v>Slow</v>
      </c>
      <c r="AL23" s="28" t="str">
        <f t="array" ref="AL23">IF($I22="","",XLOOKUP($B23,Derived_Variables!$A:$A,Derived_Variables!$AB:$AB,"Normal"))</f>
        <v>Relaxed</v>
      </c>
      <c r="AM23" s="28">
        <f t="array" ref="AM23">IF($I23="","",IFS(C23="B",IF(OR(I23="NOT_READABLE",I23="BLURRY"),-AB23,0),C23="G",IFS(I23="RED_CLEARER",XLOOKUP("duochrome_red_step",Calibration!$B:$B,Calibration!$C:$C,-0.25),I23="GREEN_CLEARER",XLOOKUP("duochrome_green_step",Calibration!$B:$B,Calibration!$C:$C,0.25),I23="EQUAL",IF(XLOOKUP($B23,Derived_Variables!$A:$A,Derived_Variables!$S:$S,"Neutral")="Undercorrect",XLOOKUP("undercorrect_step",Calibration!$B:$B,Calibration!$C:$C,0.25),IF(XLOOKUP($B23,Derived_Variables!$A:$A,Derived_Variables!$S:$S,"Neutral")="Overcorrect",-XLOOKUP("overcorrect_step",Calibration!$B:$B,Calibration!$C:$C,0.25),0)),TRUE,0),C23="K",IF(I23="TOP_CLEARER",XLOOKUP("bino_balance_step",Calibration!$B:$B,Calibration!$C:$C,0.25),0),TRUE,0))</f>
        <v>0.25</v>
      </c>
      <c r="AN23" s="28">
        <f t="shared" si="10"/>
        <v>0</v>
      </c>
      <c r="AO23" s="28">
        <f t="shared" si="11"/>
        <v>0</v>
      </c>
      <c r="AP23" s="28">
        <f t="array" ref="AP23">IF($I23="","",IFS(C23="D",IF(OR(I23="NOT_READABLE",I23="BLURRY"),-AB23,0),C23="J",IFS(I23="RED_CLEARER",XLOOKUP("duochrome_red_step",Calibration!$B:$B,Calibration!$C:$C,-0.25),I23="GREEN_CLEARER",XLOOKUP("duochrome_green_step",Calibration!$B:$B,Calibration!$C:$C,0.25),I23="EQUAL",IF(XLOOKUP($B23,Derived_Variables!$A:$A,Derived_Variables!$S:$S,"Neutral")="Undercorrect",XLOOKUP("undercorrect_step",Calibration!$B:$B,Calibration!$C:$C,0.25),IF(XLOOKUP($B23,Derived_Variables!$A:$A,Derived_Variables!$S:$S,"Neutral")="Overcorrect",-XLOOKUP("overcorrect_step",Calibration!$B:$B,Calibration!$C:$C,0.25),0)),TRUE,0),C23="K",IF(I23="BOTTOM_CLEARER",XLOOKUP("bino_balance_step",Calibration!$B:$B,Calibration!$C:$C,0.25),0),TRUE,0))</f>
        <v>0</v>
      </c>
      <c r="AQ23" s="28">
        <f t="shared" si="12"/>
        <v>0</v>
      </c>
      <c r="AR23" s="28">
        <f t="shared" si="13"/>
        <v>0</v>
      </c>
      <c r="AS23" s="28">
        <f t="array" ref="AS23">IF($I23="","",IF(C23="P",IF(OR(I23="NOT_READABLE",I23="BLURRY"),XLOOKUP("near_add_step",Calibration!$B:$B,Calibration!$C:$C,0.25),0),IF(C23="R",IF(I23="NOT_CLEAR",XLOOKUP("near_add_step",Calibration!$B:$B,Calibration!$C:$C,0.25),0),0)))</f>
        <v>0</v>
      </c>
      <c r="AT23" s="28">
        <f t="array" ref="AT23">IF($I23="","",IF(C23="Q",IF(OR(I23="NOT_READABLE",I23="BLURRY"),XLOOKUP("near_add_step",Calibration!$B:$B,Calibration!$C:$C,0.25),0),IF(C23="R",IF(I23="NOT_CLEAR",XLOOKUP("near_add_step",Calibration!$B:$B,Calibration!$C:$C,0.25),0),0)))</f>
        <v>0</v>
      </c>
      <c r="AU23" s="28" t="str">
        <f t="array" ref="AU23">IF($I23="","",IF(G23="SNELLEN_FEET",IF(I23="READABLE",IFERROR(XLOOKUP(XLOOKUP(R23,Chart_Scale_Distance!B:B,Chart_Scale_Distance!A:A)+1,Chart_Scale_Distance!A:A,Chart_Scale_Distance!B:B),R23),R23),R23))</f>
        <v>20_20_20</v>
      </c>
      <c r="AV23" s="28">
        <f t="array" ref="AV23">IF($I22="","",IFERROR(XLOOKUP(R23,Chart_Scale_Distance!$B:$B,Chart_Scale_Distance!$A:$A,""),""))</f>
        <v>6</v>
      </c>
      <c r="AW23" s="28">
        <f t="array" ref="AW23">IF($I22="","",IFERROR(XLOOKUP(AA23,Chart_Scale_Distance!$B:$B,Chart_Scale_Distance!$A:$A,""),""))</f>
        <v>6</v>
      </c>
      <c r="AX23" s="28">
        <f t="shared" si="14"/>
        <v>0</v>
      </c>
      <c r="AY23" s="28">
        <f t="shared" si="15"/>
        <v>6</v>
      </c>
      <c r="AZ23" s="28" t="str">
        <f t="shared" si="16"/>
        <v/>
      </c>
      <c r="BA23" s="28">
        <f t="shared" si="17"/>
        <v>6</v>
      </c>
      <c r="BB23" s="28">
        <f t="shared" si="18"/>
        <v>3</v>
      </c>
      <c r="BC23" s="28" t="str">
        <f t="array" ref="BC23">IF($I23="","",LET(
conf,AI23,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duoMax,XLOOKUP($B23,Derived_Variables!$A:$A,Derived_Variables!$AI:$AI,4),
axisTol,XLOOKUP($B23,Derived_Variables!$A:$A,Derived_Variables!$W:$W,1),
maxStart,XLOOKUP($B23,Derived_Variables!$A:$A,Derived_Variables!$U:$U,1.25),
maxAR,XLOOKUP($B23,Derived_Variables!$A:$A,Derived_Variables!$V:$V,3),
anom,XLOOKUP($B23,Derived_Variables!$A:$A,Derived_Variables!$Z:$Z,FALSE),
reStart,XLOOKUP($B23,Derived_Variables!$A:$A,Derived_Variables!$K:$K,0),
leStart,XLOOKUP($B23,Derived_Variables!$A:$A,Derived_Variables!$N:$N,0),
reAR,XLOOKUP($B23,AR_Input!$A:$A,AR_Input!$B:$B,reStart),
leAR,XLOOKUP($B23,AR_Input!$A:$A,AR_Input!$E:$E,leStart),
reEsc,AND(anom,OR(ABS((S23+AM23)-reStart)&gt;maxStart,ABS((S23+AM23)-reAR)&gt;maxAR)),
leEsc,AND(anom,OR(ABS((V23+AP23)-leStart)&gt;maxStart,ABS((V23+AP23)-leAR)&gt;maxAR)),
phaseMax,IFS(
 AK23="Fast",
   IFS(
     OR(C23="B",C23="D"),XLOOKUP("timeout_coarse_fast",Calibration!$B:$B,Calibration!$C:$C,24),
     OR(C23="E",C23="F",C23="H",C23="I"),XLOOKUP("timeout_jcc_fast",Calibration!$B:$B,Calibration!$C:$C,10),
     OR(C23="G",C23="J"),XLOOKUP("timeout_duochrome_fast",Calibration!$B:$B,Calibration!$C:$C,8),
     C23="K",XLOOKUP("timeout_bino_fast",Calibration!$B:$B,Calibration!$C:$C,10),
     OR(C23="P",C23="Q",C23="R"),XLOOKUP("timeout_near_fast",Calibration!$B:$B,Calibration!$C:$C,16),
     TRUE,XLOOKUP("timeout_coarse_fast",Calibration!$B:$B,Calibration!$C:$C,24)
   ),
 AK23="Normal",
   IFS(
     OR(C23="B",C23="D"),XLOOKUP("timeout_coarse_normal",Calibration!$B:$B,Calibration!$C:$C,36),
     OR(C23="E",C23="F",C23="H",C23="I"),XLOOKUP("timeout_jcc_normal",Calibration!$B:$B,Calibration!$C:$C,14),
     OR(C23="G",C23="J"),XLOOKUP("timeout_duochrome_normal",Calibration!$B:$B,Calibration!$C:$C,10),
     C23="K",XLOOKUP("timeout_bino_normal",Calibration!$B:$B,Calibration!$C:$C,14),
     OR(C23="P",C23="Q",C23="R"),XLOOKUP("timeout_near_normal",Calibration!$B:$B,Calibration!$C:$C,22),
     TRUE,XLOOKUP("timeout_coarse_normal",Calibration!$B:$B,Calibration!$C:$C,36)
   ),
 TRUE,
   IFS(
     OR(C23="B",C23="D"),XLOOKUP("timeout_coarse_slow",Calibration!$B:$B,Calibration!$C:$C,48),
     OR(C23="E",C23="F",C23="H",C23="I"),XLOOKUP("timeout_jcc_slow",Calibration!$B:$B,Calibration!$C:$C,18),
     OR(C23="G",C23="J"),XLOOKUP("timeout_duochrome_slow",Calibration!$B:$B,Calibration!$C:$C,12),
     C23="K",XLOOKUP("timeout_bino_slow",Calibration!$B:$B,Calibration!$C:$C,18),
     OR(C23="P",C23="Q",C23="R"),XLOOKUP("timeout_near_slow",Calibration!$B:$B,Calibration!$C:$C,28),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AJ23=TRUE,"ESCALATE",
C23="A",
IF(OR(I23="NOT_READABLE",I23="BLURRY",AND(R23="20_20_20",I23="READABLE")),"B","A"),
C23="B",
IF(reEsc,"ESCALATE",IF(AY23&gt;=phaseMax,"ESCALATE",IF(AND(AV23&gt;=AW23,I23="READABLE"),"E","B"))),
C23="E",
IF(AY23&gt;=phaseMax,"ESCALATE",IF(OR(I23="SAME",I23="CANT_TELL",AD23&lt;axisTol),"F","E")),
C23="F",
IF(AY23&gt;=phaseMax,"ESCALATE",IF(AX23&gt;=powerSameN,"G","F")),
C23="G",
IF(AY23&gt;=phaseMax,"ESCALATE",IF(OR(AX23&gt;=duoEqualN,BB23&gt;=duoMax),"D","G")),
C23="D",
IF(leEsc,"ESCALATE",IF(AY23&gt;=phaseMax,"ESCALATE",IF(AND(AV23&gt;=AW23,I23="READABLE"),"H","D"))),
C23="H",
IF(AY23&gt;=phaseMax,"ESCALATE",IF(OR(I23="SAME",I23="CANT_TELL",AD23&lt;axisTol),"I","H")),
C23="I",
IF(AY23&gt;=phaseMax,"ESCALATE",IF(AX23&gt;=powerSameN,"J","I")),
C23="J",
IF(AY23&gt;=phaseMax,"ESCALATE",IF(OR(AX23&gt;=duoEqualN,BB23&gt;=duoMax),"K","J")),
C23="K",
IF(AY23&gt;=phaseMax,"ESCALATE",IF(AX23&gt;=binoSameN,IF(XLOOKUP($B23,Derived_Variables!$A:$A,Derived_Variables!$AJ:$AJ,FALSE)=TRUE,"P","END"),"K")),
C23="P",
IF(AY23&gt;=phaseMax,"ESCALATE",IF(OR(I23="READABLE",I23="SAME"),"Q","P")),
C23="Q",
IF(AY23&gt;=phaseMax,"ESCALATE",IF(OR(I23="READABLE",I23="SAME"),"R","Q")),
C23="R",
IF(AY23&gt;=phaseMax,"ESCALATE",IF(OR(I23=nearTarget,I23="SAME"),"END","R")),
TRUE,"END"
)))</f>
        <v>G</v>
      </c>
      <c r="BD23" s="28" t="b">
        <f t="shared" si="19"/>
        <v>1</v>
      </c>
    </row>
    <row r="24" ht="15.75" customHeight="1">
      <c r="A24" s="28">
        <f t="shared" si="3"/>
        <v>23</v>
      </c>
      <c r="B24" s="28">
        <f t="shared" si="4"/>
        <v>6</v>
      </c>
      <c r="C24" s="28" t="str">
        <f t="shared" si="5"/>
        <v>G</v>
      </c>
      <c r="D24" s="28" t="str">
        <f t="array" ref="D24">IF($I23="","",XLOOKUP(C24,FSM_State_Map!A:A,FSM_State_Map!B:B,""))</f>
        <v>Duochrome RE</v>
      </c>
      <c r="E24" s="28" t="str">
        <f t="array" ref="E24">IF($I23="","",XLOOKUP(C24,FSM_State_Map!A:A,FSM_State_Map!C:C,""))</f>
        <v>DUOCHROME</v>
      </c>
      <c r="F24" s="28" t="str">
        <f t="array" ref="F24">IF($I23="","",XLOOKUP(E24,Phase_UI_Map!A:A,Phase_UI_Map!B:B,""))</f>
        <v>DUOCHROME</v>
      </c>
      <c r="G24" s="28" t="str">
        <f t="array" ref="G24">IF($I23="","",XLOOKUP(E24,Phase_UI_Map!A:A,Phase_UI_Map!C:C,""))</f>
        <v>RED_GREEN_DUOCHROME</v>
      </c>
      <c r="H24" s="28" t="str">
        <f t="array" ref="H24">IF($I23="","",XLOOKUP(E24,Phase_UI_Map!A:A,Phase_UI_Map!D:D,""))</f>
        <v>COLOR_CHOICE</v>
      </c>
      <c r="I24" s="29" t="s">
        <v>223</v>
      </c>
      <c r="J24" s="28" t="str">
        <f>IFERROR(__xludf.DUMMYFUNCTION("IF($I23="""","""",IFERROR(INDEX(FILTER(Response_Lists!$B:$B,Response_Lists!$A:$A=$H24),1),""""))"),"RED_CLEARER")</f>
        <v>RED_CLEARER</v>
      </c>
      <c r="K24" s="28" t="str">
        <f>IFERROR(__xludf.DUMMYFUNCTION("IF($I23="""","""",IFERROR(INDEX(FILTER(Response_Lists!$B:$B,Response_Lists!$A:$A=$H24),2),""""))"),"GREEN_CLEARER")</f>
        <v>GREEN_CLEARER</v>
      </c>
      <c r="L24" s="28" t="str">
        <f>IFERROR(__xludf.DUMMYFUNCTION("IF($I23="""","""",IFERROR(INDEX(FILTER(Response_Lists!$B:$B,Response_Lists!$A:$A=$H24),3),""""))"),"EQUAL")</f>
        <v>EQUAL</v>
      </c>
      <c r="M24" s="28" t="str">
        <f>IFERROR(__xludf.DUMMYFUNCTION("IF($I23="""","""",IFERROR(INDEX(FILTER(Response_Lists!$B:$B,Response_Lists!$A:$A=$H24),4),""""))"),"CANT_TELL")</f>
        <v>CANT_TELL</v>
      </c>
      <c r="N24" s="28" t="str">
        <f>IFERROR(__xludf.DUMMYFUNCTION("IF($I23="""","""",IFERROR(INDEX(FILTER(Response_Lists!$B:$B,Response_Lists!$A:$A=$H24),5),""""))"),"")</f>
        <v/>
      </c>
      <c r="O24" s="28" t="str">
        <f>IFERROR(__xludf.DUMMYFUNCTION("IF($I23="""","""",IFERROR(INDEX(FILTER(Response_Lists!$B:$B,Response_Lists!$A:$A=$H24),6),""""))"),"")</f>
        <v/>
      </c>
      <c r="P24" s="28" t="str">
        <f t="shared" si="6"/>
        <v>Which is clearer: RED or GREEN?</v>
      </c>
      <c r="Q24" s="28" t="str">
        <f t="array" ref="Q24">IF($I23="","",XLOOKUP(C24,FSM_State_Map!A:A,FSM_State_Map!D:D,""))</f>
        <v>RE</v>
      </c>
      <c r="R24" s="28" t="str">
        <f t="shared" si="7"/>
        <v>20_20_20</v>
      </c>
      <c r="S24" s="28">
        <f t="array" ref="S24">IF($I23="","",
IF(
  AND(C24="B",C23&lt;&gt;"B"),
  XLOOKUP($B24,Derived_Variables!$A:$A,Derived_Variables!$K:$K,0)
  + XLOOKUP($B24,Derived_Variables!$A:$A,Derived_Variables!$AE:$AE,0),
  S23+AM23
))</f>
        <v>-1.25</v>
      </c>
      <c r="T24" s="28">
        <f t="shared" ref="T24:U24" si="58">IF($I23="","",T23+AN23)</f>
        <v>-0.25</v>
      </c>
      <c r="U24" s="28">
        <f t="shared" si="58"/>
        <v>2</v>
      </c>
      <c r="V24" s="28">
        <f t="array" ref="V24">IF($I23="","",
IF(
  AND(C24="D",C23&lt;&gt;"D"),
  XLOOKUP($B24,Derived_Variables!$A:$A,Derived_Variables!$N:$N,0)
  + XLOOKUP($B24,Derived_Variables!$A:$A,Derived_Variables!$AE:$AE,0),
  V23+AP23
))</f>
        <v>-1</v>
      </c>
      <c r="W24" s="28">
        <f t="shared" ref="W24:X24" si="59">IF($I23="","",W23+AQ23)</f>
        <v>0</v>
      </c>
      <c r="X24" s="28">
        <f t="shared" si="59"/>
        <v>0</v>
      </c>
      <c r="Y24" s="28">
        <f t="array" ref="Y24">IF($I23="","",IF(AND(C24="P",C23&lt;&gt;"P"),IFERROR(XLOOKUP($B24,Lenso_Input!$A:$A,Lenso_Input!$E:$E,0),0),Y23+AS23))</f>
        <v>0</v>
      </c>
      <c r="Z24" s="28">
        <f t="array" ref="Z24">IF($I23="","",IF(AND(C24="Q",C23&lt;&gt;"Q"),IFERROR(XLOOKUP($B24,Lenso_Input!$A:$A,Lenso_Input!$I:$I,0),0),Z23+AT23))</f>
        <v>0</v>
      </c>
      <c r="AA24" s="28" t="str">
        <f t="array" ref="AA24">IF($I23="","",IF(XLOOKUP($B24,Derived_Variables!$A:$A,Derived_Variables!$R:$R,"6/6_target")="6/6_target","20_20_20","40_30_25"))</f>
        <v>20_20_20</v>
      </c>
      <c r="AB24" s="28">
        <f t="array" ref="AB24">IF($I23="","",XLOOKUP(LOWER(XLOOKUP($B24,Derived_Variables!$A:$A,Derived_Variables!$T:$T,"Standard"))&amp;"_sph_step",Calibration!$B:$B,Calibration!$C:$C,0.25))</f>
        <v>0.25</v>
      </c>
      <c r="AC24" s="28">
        <f t="array" ref="AC24">IF($I23="","",XLOOKUP(LOWER(XLOOKUP($B24,Derived_Variables!$A:$A,Derived_Variables!$T:$T,"Standard"))&amp;"_cyl_step",Calibration!$B:$B,Calibration!$C:$C,0.25))</f>
        <v>0.25</v>
      </c>
      <c r="AD24" s="28">
        <f t="array" ref="AD24">IF($I23="","",IF(OR(C24="E",C24="H"),LET(startStep,XLOOKUP("axis_start_step",Calibration!$B:$B,Calibration!$C:$C,5),step1,XLOOKUP("axis_reversal_step_1",Calibration!$B:$B,Calibration!$C:$C,3),step2,XLOOKUP("axis_reversal_step_2",Calibration!$B:$B,Calibration!$C:$C,1),IF(OR(C23&lt;&gt;C24,AZ24="",AZ24="SAME",AZ24="CANT_TELL",I24="",I24="SAME",I24="CANT_TELL"),startStep,IF(OR(AND(AZ24="BETTER_1",I24="BETTER_2"),AND(AZ24="BETTER_2",I24="BETTER_1")),IF(AD23&gt;step1,step1,step2),AD23))),0))</f>
        <v>0</v>
      </c>
      <c r="AE24" s="28" t="str">
        <f t="array" ref="AE24">IF($I23="","",XLOOKUP($B24,Derived_Variables!$A:$A,Derived_Variables!$AD:$AD,"No_Fog"))</f>
        <v>Strong_Fog</v>
      </c>
      <c r="AF24" s="28">
        <f t="array" ref="AF24">IF($I23="","",XLOOKUP($B24,Derived_Variables!$A:$A,Derived_Variables!$AE:$AE,0))</f>
        <v>1</v>
      </c>
      <c r="AG24" s="28" t="str">
        <f t="array" ref="AG24">IF($I23="","",XLOOKUP($B24,Derived_Variables!$A:$A,Derived_Variables!$AF:$AF,""))</f>
        <v>StepDown_0.25</v>
      </c>
      <c r="AH24" s="28" t="str">
        <f t="array" ref="AH24">IF($I23="","",XLOOKUP($B24,Derived_Variables!$A:$A,Derived_Variables!$AG:$AG,""))</f>
        <v>Low</v>
      </c>
      <c r="AI24" s="28" t="str">
        <f t="array" ref="AI24">IF($I23="","",XLOOKUP($B24,Derived_Variables!$A:$A,Derived_Variables!$AC:$AC,"Medium"))</f>
        <v>Low</v>
      </c>
      <c r="AJ24" s="28" t="b">
        <f t="array" ref="AJ24">IF($I23="","",XLOOKUP($B24,Derived_Variables!$A:$A,Derived_Variables!$Y:$Y,FALSE))</f>
        <v>0</v>
      </c>
      <c r="AK24" s="28" t="str">
        <f t="array" ref="AK24">IF($I23="","",XLOOKUP($B24,Derived_Variables!$A:$A,Derived_Variables!$AA:$AA,"Normal"))</f>
        <v>Slow</v>
      </c>
      <c r="AL24" s="28" t="str">
        <f t="array" ref="AL24">IF($I23="","",XLOOKUP($B24,Derived_Variables!$A:$A,Derived_Variables!$AB:$AB,"Normal"))</f>
        <v>Relaxed</v>
      </c>
      <c r="AM24" s="28">
        <f t="array" ref="AM24">IF($I24="","",IFS(C24="B",IF(OR(I24="NOT_READABLE",I24="BLURRY"),-AB24,0),C24="G",IFS(I24="RED_CLEARER",XLOOKUP("duochrome_red_step",Calibration!$B:$B,Calibration!$C:$C,-0.25),I24="GREEN_CLEARER",XLOOKUP("duochrome_green_step",Calibration!$B:$B,Calibration!$C:$C,0.25),I24="EQUAL",IF(XLOOKUP($B24,Derived_Variables!$A:$A,Derived_Variables!$S:$S,"Neutral")="Undercorrect",XLOOKUP("undercorrect_step",Calibration!$B:$B,Calibration!$C:$C,0.25),IF(XLOOKUP($B24,Derived_Variables!$A:$A,Derived_Variables!$S:$S,"Neutral")="Overcorrect",-XLOOKUP("overcorrect_step",Calibration!$B:$B,Calibration!$C:$C,0.25),0)),TRUE,0),C24="K",IF(I24="TOP_CLEARER",XLOOKUP("bino_balance_step",Calibration!$B:$B,Calibration!$C:$C,0.25),0),TRUE,0))</f>
        <v>-0.25</v>
      </c>
      <c r="AN24" s="28">
        <f t="shared" si="10"/>
        <v>0</v>
      </c>
      <c r="AO24" s="28">
        <f t="shared" si="11"/>
        <v>0</v>
      </c>
      <c r="AP24" s="28">
        <f t="array" ref="AP24">IF($I24="","",IFS(C24="D",IF(OR(I24="NOT_READABLE",I24="BLURRY"),-AB24,0),C24="J",IFS(I24="RED_CLEARER",XLOOKUP("duochrome_red_step",Calibration!$B:$B,Calibration!$C:$C,-0.25),I24="GREEN_CLEARER",XLOOKUP("duochrome_green_step",Calibration!$B:$B,Calibration!$C:$C,0.25),I24="EQUAL",IF(XLOOKUP($B24,Derived_Variables!$A:$A,Derived_Variables!$S:$S,"Neutral")="Undercorrect",XLOOKUP("undercorrect_step",Calibration!$B:$B,Calibration!$C:$C,0.25),IF(XLOOKUP($B24,Derived_Variables!$A:$A,Derived_Variables!$S:$S,"Neutral")="Overcorrect",-XLOOKUP("overcorrect_step",Calibration!$B:$B,Calibration!$C:$C,0.25),0)),TRUE,0),C24="K",IF(I24="BOTTOM_CLEARER",XLOOKUP("bino_balance_step",Calibration!$B:$B,Calibration!$C:$C,0.25),0),TRUE,0))</f>
        <v>0</v>
      </c>
      <c r="AQ24" s="28">
        <f t="shared" si="12"/>
        <v>0</v>
      </c>
      <c r="AR24" s="28">
        <f t="shared" si="13"/>
        <v>0</v>
      </c>
      <c r="AS24" s="28">
        <f t="array" ref="AS24">IF($I24="","",IF(C24="P",IF(OR(I24="NOT_READABLE",I24="BLURRY"),XLOOKUP("near_add_step",Calibration!$B:$B,Calibration!$C:$C,0.25),0),IF(C24="R",IF(I24="NOT_CLEAR",XLOOKUP("near_add_step",Calibration!$B:$B,Calibration!$C:$C,0.25),0),0)))</f>
        <v>0</v>
      </c>
      <c r="AT24" s="28">
        <f t="array" ref="AT24">IF($I24="","",IF(C24="Q",IF(OR(I24="NOT_READABLE",I24="BLURRY"),XLOOKUP("near_add_step",Calibration!$B:$B,Calibration!$C:$C,0.25),0),IF(C24="R",IF(I24="NOT_CLEAR",XLOOKUP("near_add_step",Calibration!$B:$B,Calibration!$C:$C,0.25),0),0)))</f>
        <v>0</v>
      </c>
      <c r="AU24" s="28" t="str">
        <f t="array" ref="AU24">IF($I24="","",IF(G24="SNELLEN_FEET",IF(I24="READABLE",IFERROR(XLOOKUP(XLOOKUP(R24,Chart_Scale_Distance!B:B,Chart_Scale_Distance!A:A)+1,Chart_Scale_Distance!A:A,Chart_Scale_Distance!B:B),R24),R24),R24))</f>
        <v>20_20_20</v>
      </c>
      <c r="AV24" s="28">
        <f t="array" ref="AV24">IF($I23="","",IFERROR(XLOOKUP(R24,Chart_Scale_Distance!$B:$B,Chart_Scale_Distance!$A:$A,""),""))</f>
        <v>6</v>
      </c>
      <c r="AW24" s="28">
        <f t="array" ref="AW24">IF($I23="","",IFERROR(XLOOKUP(AA24,Chart_Scale_Distance!$B:$B,Chart_Scale_Distance!$A:$A,""),""))</f>
        <v>6</v>
      </c>
      <c r="AX24" s="28">
        <f t="shared" si="14"/>
        <v>0</v>
      </c>
      <c r="AY24" s="28">
        <f t="shared" si="15"/>
        <v>7</v>
      </c>
      <c r="AZ24" s="28" t="str">
        <f t="shared" si="16"/>
        <v/>
      </c>
      <c r="BA24" s="28">
        <f t="shared" si="17"/>
        <v>7</v>
      </c>
      <c r="BB24" s="28">
        <f t="shared" si="18"/>
        <v>4</v>
      </c>
      <c r="BC24" s="28" t="str">
        <f t="array" ref="BC24">IF($I24="","",LET(
conf,AI24,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duoMax,XLOOKUP($B24,Derived_Variables!$A:$A,Derived_Variables!$AI:$AI,4),
axisTol,XLOOKUP($B24,Derived_Variables!$A:$A,Derived_Variables!$W:$W,1),
maxStart,XLOOKUP($B24,Derived_Variables!$A:$A,Derived_Variables!$U:$U,1.25),
maxAR,XLOOKUP($B24,Derived_Variables!$A:$A,Derived_Variables!$V:$V,3),
anom,XLOOKUP($B24,Derived_Variables!$A:$A,Derived_Variables!$Z:$Z,FALSE),
reStart,XLOOKUP($B24,Derived_Variables!$A:$A,Derived_Variables!$K:$K,0),
leStart,XLOOKUP($B24,Derived_Variables!$A:$A,Derived_Variables!$N:$N,0),
reAR,XLOOKUP($B24,AR_Input!$A:$A,AR_Input!$B:$B,reStart),
leAR,XLOOKUP($B24,AR_Input!$A:$A,AR_Input!$E:$E,leStart),
reEsc,AND(anom,OR(ABS((S24+AM24)-reStart)&gt;maxStart,ABS((S24+AM24)-reAR)&gt;maxAR)),
leEsc,AND(anom,OR(ABS((V24+AP24)-leStart)&gt;maxStart,ABS((V24+AP24)-leAR)&gt;maxAR)),
phaseMax,IFS(
 AK24="Fast",
   IFS(
     OR(C24="B",C24="D"),XLOOKUP("timeout_coarse_fast",Calibration!$B:$B,Calibration!$C:$C,24),
     OR(C24="E",C24="F",C24="H",C24="I"),XLOOKUP("timeout_jcc_fast",Calibration!$B:$B,Calibration!$C:$C,10),
     OR(C24="G",C24="J"),XLOOKUP("timeout_duochrome_fast",Calibration!$B:$B,Calibration!$C:$C,8),
     C24="K",XLOOKUP("timeout_bino_fast",Calibration!$B:$B,Calibration!$C:$C,10),
     OR(C24="P",C24="Q",C24="R"),XLOOKUP("timeout_near_fast",Calibration!$B:$B,Calibration!$C:$C,16),
     TRUE,XLOOKUP("timeout_coarse_fast",Calibration!$B:$B,Calibration!$C:$C,24)
   ),
 AK24="Normal",
   IFS(
     OR(C24="B",C24="D"),XLOOKUP("timeout_coarse_normal",Calibration!$B:$B,Calibration!$C:$C,36),
     OR(C24="E",C24="F",C24="H",C24="I"),XLOOKUP("timeout_jcc_normal",Calibration!$B:$B,Calibration!$C:$C,14),
     OR(C24="G",C24="J"),XLOOKUP("timeout_duochrome_normal",Calibration!$B:$B,Calibration!$C:$C,10),
     C24="K",XLOOKUP("timeout_bino_normal",Calibration!$B:$B,Calibration!$C:$C,14),
     OR(C24="P",C24="Q",C24="R"),XLOOKUP("timeout_near_normal",Calibration!$B:$B,Calibration!$C:$C,22),
     TRUE,XLOOKUP("timeout_coarse_normal",Calibration!$B:$B,Calibration!$C:$C,36)
   ),
 TRUE,
   IFS(
     OR(C24="B",C24="D"),XLOOKUP("timeout_coarse_slow",Calibration!$B:$B,Calibration!$C:$C,48),
     OR(C24="E",C24="F",C24="H",C24="I"),XLOOKUP("timeout_jcc_slow",Calibration!$B:$B,Calibration!$C:$C,18),
     OR(C24="G",C24="J"),XLOOKUP("timeout_duochrome_slow",Calibration!$B:$B,Calibration!$C:$C,12),
     C24="K",XLOOKUP("timeout_bino_slow",Calibration!$B:$B,Calibration!$C:$C,18),
     OR(C24="P",C24="Q",C24="R"),XLOOKUP("timeout_near_slow",Calibration!$B:$B,Calibration!$C:$C,28),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AJ24=TRUE,"ESCALATE",
C24="A",
IF(OR(I24="NOT_READABLE",I24="BLURRY",AND(R24="20_20_20",I24="READABLE")),"B","A"),
C24="B",
IF(reEsc,"ESCALATE",IF(AY24&gt;=phaseMax,"ESCALATE",IF(AND(AV24&gt;=AW24,I24="READABLE"),"E","B"))),
C24="E",
IF(AY24&gt;=phaseMax,"ESCALATE",IF(OR(I24="SAME",I24="CANT_TELL",AD24&lt;axisTol),"F","E")),
C24="F",
IF(AY24&gt;=phaseMax,"ESCALATE",IF(AX24&gt;=powerSameN,"G","F")),
C24="G",
IF(AY24&gt;=phaseMax,"ESCALATE",IF(OR(AX24&gt;=duoEqualN,BB24&gt;=duoMax),"D","G")),
C24="D",
IF(leEsc,"ESCALATE",IF(AY24&gt;=phaseMax,"ESCALATE",IF(AND(AV24&gt;=AW24,I24="READABLE"),"H","D"))),
C24="H",
IF(AY24&gt;=phaseMax,"ESCALATE",IF(OR(I24="SAME",I24="CANT_TELL",AD24&lt;axisTol),"I","H")),
C24="I",
IF(AY24&gt;=phaseMax,"ESCALATE",IF(AX24&gt;=powerSameN,"J","I")),
C24="J",
IF(AY24&gt;=phaseMax,"ESCALATE",IF(OR(AX24&gt;=duoEqualN,BB24&gt;=duoMax),"K","J")),
C24="K",
IF(AY24&gt;=phaseMax,"ESCALATE",IF(AX24&gt;=binoSameN,IF(XLOOKUP($B24,Derived_Variables!$A:$A,Derived_Variables!$AJ:$AJ,FALSE)=TRUE,"P","END"),"K")),
C24="P",
IF(AY24&gt;=phaseMax,"ESCALATE",IF(OR(I24="READABLE",I24="SAME"),"Q","P")),
C24="Q",
IF(AY24&gt;=phaseMax,"ESCALATE",IF(OR(I24="READABLE",I24="SAME"),"R","Q")),
C24="R",
IF(AY24&gt;=phaseMax,"ESCALATE",IF(OR(I24=nearTarget,I24="SAME"),"END","R")),
TRUE,"END"
)))</f>
        <v>G</v>
      </c>
      <c r="BD24" s="28" t="b">
        <f t="shared" si="19"/>
        <v>1</v>
      </c>
    </row>
    <row r="25" ht="15.75" customHeight="1">
      <c r="A25" s="28">
        <f t="shared" si="3"/>
        <v>24</v>
      </c>
      <c r="B25" s="28">
        <f t="shared" si="4"/>
        <v>6</v>
      </c>
      <c r="C25" s="28" t="str">
        <f t="shared" si="5"/>
        <v>G</v>
      </c>
      <c r="D25" s="28" t="str">
        <f t="array" ref="D25">IF($I24="","",XLOOKUP(C25,FSM_State_Map!A:A,FSM_State_Map!B:B,""))</f>
        <v>Duochrome RE</v>
      </c>
      <c r="E25" s="28" t="str">
        <f t="array" ref="E25">IF($I24="","",XLOOKUP(C25,FSM_State_Map!A:A,FSM_State_Map!C:C,""))</f>
        <v>DUOCHROME</v>
      </c>
      <c r="F25" s="28" t="str">
        <f t="array" ref="F25">IF($I24="","",XLOOKUP(E25,Phase_UI_Map!A:A,Phase_UI_Map!B:B,""))</f>
        <v>DUOCHROME</v>
      </c>
      <c r="G25" s="28" t="str">
        <f t="array" ref="G25">IF($I24="","",XLOOKUP(E25,Phase_UI_Map!A:A,Phase_UI_Map!C:C,""))</f>
        <v>RED_GREEN_DUOCHROME</v>
      </c>
      <c r="H25" s="28" t="str">
        <f t="array" ref="H25">IF($I24="","",XLOOKUP(E25,Phase_UI_Map!A:A,Phase_UI_Map!D:D,""))</f>
        <v>COLOR_CHOICE</v>
      </c>
      <c r="I25" s="29" t="s">
        <v>224</v>
      </c>
      <c r="J25" s="28" t="str">
        <f>IFERROR(__xludf.DUMMYFUNCTION("IF($I24="""","""",IFERROR(INDEX(FILTER(Response_Lists!$B:$B,Response_Lists!$A:$A=$H25),1),""""))"),"RED_CLEARER")</f>
        <v>RED_CLEARER</v>
      </c>
      <c r="K25" s="28" t="str">
        <f>IFERROR(__xludf.DUMMYFUNCTION("IF($I24="""","""",IFERROR(INDEX(FILTER(Response_Lists!$B:$B,Response_Lists!$A:$A=$H25),2),""""))"),"GREEN_CLEARER")</f>
        <v>GREEN_CLEARER</v>
      </c>
      <c r="L25" s="28" t="str">
        <f>IFERROR(__xludf.DUMMYFUNCTION("IF($I24="""","""",IFERROR(INDEX(FILTER(Response_Lists!$B:$B,Response_Lists!$A:$A=$H25),3),""""))"),"EQUAL")</f>
        <v>EQUAL</v>
      </c>
      <c r="M25" s="28" t="str">
        <f>IFERROR(__xludf.DUMMYFUNCTION("IF($I24="""","""",IFERROR(INDEX(FILTER(Response_Lists!$B:$B,Response_Lists!$A:$A=$H25),4),""""))"),"CANT_TELL")</f>
        <v>CANT_TELL</v>
      </c>
      <c r="N25" s="28" t="str">
        <f>IFERROR(__xludf.DUMMYFUNCTION("IF($I24="""","""",IFERROR(INDEX(FILTER(Response_Lists!$B:$B,Response_Lists!$A:$A=$H25),5),""""))"),"")</f>
        <v/>
      </c>
      <c r="O25" s="28" t="str">
        <f>IFERROR(__xludf.DUMMYFUNCTION("IF($I24="""","""",IFERROR(INDEX(FILTER(Response_Lists!$B:$B,Response_Lists!$A:$A=$H25),6),""""))"),"")</f>
        <v/>
      </c>
      <c r="P25" s="28" t="str">
        <f t="shared" si="6"/>
        <v>Which is clearer: RED or GREEN?</v>
      </c>
      <c r="Q25" s="28" t="str">
        <f t="array" ref="Q25">IF($I24="","",XLOOKUP(C25,FSM_State_Map!A:A,FSM_State_Map!D:D,""))</f>
        <v>RE</v>
      </c>
      <c r="R25" s="28" t="str">
        <f t="shared" si="7"/>
        <v>20_20_20</v>
      </c>
      <c r="S25" s="28">
        <f t="array" ref="S25">IF($I24="","",
IF(
  AND(C25="B",C24&lt;&gt;"B"),
  XLOOKUP($B25,Derived_Variables!$A:$A,Derived_Variables!$K:$K,0)
  + XLOOKUP($B25,Derived_Variables!$A:$A,Derived_Variables!$AE:$AE,0),
  S24+AM24
))</f>
        <v>-1.5</v>
      </c>
      <c r="T25" s="28">
        <f t="shared" ref="T25:U25" si="60">IF($I24="","",T24+AN24)</f>
        <v>-0.25</v>
      </c>
      <c r="U25" s="28">
        <f t="shared" si="60"/>
        <v>2</v>
      </c>
      <c r="V25" s="28">
        <f t="array" ref="V25">IF($I24="","",
IF(
  AND(C25="D",C24&lt;&gt;"D"),
  XLOOKUP($B25,Derived_Variables!$A:$A,Derived_Variables!$N:$N,0)
  + XLOOKUP($B25,Derived_Variables!$A:$A,Derived_Variables!$AE:$AE,0),
  V24+AP24
))</f>
        <v>-1</v>
      </c>
      <c r="W25" s="28">
        <f t="shared" ref="W25:X25" si="61">IF($I24="","",W24+AQ24)</f>
        <v>0</v>
      </c>
      <c r="X25" s="28">
        <f t="shared" si="61"/>
        <v>0</v>
      </c>
      <c r="Y25" s="28">
        <f t="array" ref="Y25">IF($I24="","",IF(AND(C25="P",C24&lt;&gt;"P"),IFERROR(XLOOKUP($B25,Lenso_Input!$A:$A,Lenso_Input!$E:$E,0),0),Y24+AS24))</f>
        <v>0</v>
      </c>
      <c r="Z25" s="28">
        <f t="array" ref="Z25">IF($I24="","",IF(AND(C25="Q",C24&lt;&gt;"Q"),IFERROR(XLOOKUP($B25,Lenso_Input!$A:$A,Lenso_Input!$I:$I,0),0),Z24+AT24))</f>
        <v>0</v>
      </c>
      <c r="AA25" s="28" t="str">
        <f t="array" ref="AA25">IF($I24="","",IF(XLOOKUP($B25,Derived_Variables!$A:$A,Derived_Variables!$R:$R,"6/6_target")="6/6_target","20_20_20","40_30_25"))</f>
        <v>20_20_20</v>
      </c>
      <c r="AB25" s="28">
        <f t="array" ref="AB25">IF($I24="","",XLOOKUP(LOWER(XLOOKUP($B25,Derived_Variables!$A:$A,Derived_Variables!$T:$T,"Standard"))&amp;"_sph_step",Calibration!$B:$B,Calibration!$C:$C,0.25))</f>
        <v>0.25</v>
      </c>
      <c r="AC25" s="28">
        <f t="array" ref="AC25">IF($I24="","",XLOOKUP(LOWER(XLOOKUP($B25,Derived_Variables!$A:$A,Derived_Variables!$T:$T,"Standard"))&amp;"_cyl_step",Calibration!$B:$B,Calibration!$C:$C,0.25))</f>
        <v>0.25</v>
      </c>
      <c r="AD25" s="28">
        <f t="array" ref="AD25">IF($I24="","",IF(OR(C25="E",C25="H"),LET(startStep,XLOOKUP("axis_start_step",Calibration!$B:$B,Calibration!$C:$C,5),step1,XLOOKUP("axis_reversal_step_1",Calibration!$B:$B,Calibration!$C:$C,3),step2,XLOOKUP("axis_reversal_step_2",Calibration!$B:$B,Calibration!$C:$C,1),IF(OR(C24&lt;&gt;C25,AZ25="",AZ25="SAME",AZ25="CANT_TELL",I25="",I25="SAME",I25="CANT_TELL"),startStep,IF(OR(AND(AZ25="BETTER_1",I25="BETTER_2"),AND(AZ25="BETTER_2",I25="BETTER_1")),IF(AD24&gt;step1,step1,step2),AD24))),0))</f>
        <v>0</v>
      </c>
      <c r="AE25" s="28" t="str">
        <f t="array" ref="AE25">IF($I24="","",XLOOKUP($B25,Derived_Variables!$A:$A,Derived_Variables!$AD:$AD,"No_Fog"))</f>
        <v>Strong_Fog</v>
      </c>
      <c r="AF25" s="28">
        <f t="array" ref="AF25">IF($I24="","",XLOOKUP($B25,Derived_Variables!$A:$A,Derived_Variables!$AE:$AE,0))</f>
        <v>1</v>
      </c>
      <c r="AG25" s="28" t="str">
        <f t="array" ref="AG25">IF($I24="","",XLOOKUP($B25,Derived_Variables!$A:$A,Derived_Variables!$AF:$AF,""))</f>
        <v>StepDown_0.25</v>
      </c>
      <c r="AH25" s="28" t="str">
        <f t="array" ref="AH25">IF($I24="","",XLOOKUP($B25,Derived_Variables!$A:$A,Derived_Variables!$AG:$AG,""))</f>
        <v>Low</v>
      </c>
      <c r="AI25" s="28" t="str">
        <f t="array" ref="AI25">IF($I24="","",XLOOKUP($B25,Derived_Variables!$A:$A,Derived_Variables!$AC:$AC,"Medium"))</f>
        <v>Low</v>
      </c>
      <c r="AJ25" s="28" t="b">
        <f t="array" ref="AJ25">IF($I24="","",XLOOKUP($B25,Derived_Variables!$A:$A,Derived_Variables!$Y:$Y,FALSE))</f>
        <v>0</v>
      </c>
      <c r="AK25" s="28" t="str">
        <f t="array" ref="AK25">IF($I24="","",XLOOKUP($B25,Derived_Variables!$A:$A,Derived_Variables!$AA:$AA,"Normal"))</f>
        <v>Slow</v>
      </c>
      <c r="AL25" s="28" t="str">
        <f t="array" ref="AL25">IF($I24="","",XLOOKUP($B25,Derived_Variables!$A:$A,Derived_Variables!$AB:$AB,"Normal"))</f>
        <v>Relaxed</v>
      </c>
      <c r="AM25" s="28">
        <f t="array" ref="AM25">IF($I25="","",IFS(C25="B",IF(OR(I25="NOT_READABLE",I25="BLURRY"),-AB25,0),C25="G",IFS(I25="RED_CLEARER",XLOOKUP("duochrome_red_step",Calibration!$B:$B,Calibration!$C:$C,-0.25),I25="GREEN_CLEARER",XLOOKUP("duochrome_green_step",Calibration!$B:$B,Calibration!$C:$C,0.25),I25="EQUAL",IF(XLOOKUP($B25,Derived_Variables!$A:$A,Derived_Variables!$S:$S,"Neutral")="Undercorrect",XLOOKUP("undercorrect_step",Calibration!$B:$B,Calibration!$C:$C,0.25),IF(XLOOKUP($B25,Derived_Variables!$A:$A,Derived_Variables!$S:$S,"Neutral")="Overcorrect",-XLOOKUP("overcorrect_step",Calibration!$B:$B,Calibration!$C:$C,0.25),0)),TRUE,0),C25="K",IF(I25="TOP_CLEARER",XLOOKUP("bino_balance_step",Calibration!$B:$B,Calibration!$C:$C,0.25),0),TRUE,0))</f>
        <v>0.25</v>
      </c>
      <c r="AN25" s="28">
        <f t="shared" si="10"/>
        <v>0</v>
      </c>
      <c r="AO25" s="28">
        <f t="shared" si="11"/>
        <v>0</v>
      </c>
      <c r="AP25" s="28">
        <f t="array" ref="AP25">IF($I25="","",IFS(C25="D",IF(OR(I25="NOT_READABLE",I25="BLURRY"),-AB25,0),C25="J",IFS(I25="RED_CLEARER",XLOOKUP("duochrome_red_step",Calibration!$B:$B,Calibration!$C:$C,-0.25),I25="GREEN_CLEARER",XLOOKUP("duochrome_green_step",Calibration!$B:$B,Calibration!$C:$C,0.25),I25="EQUAL",IF(XLOOKUP($B25,Derived_Variables!$A:$A,Derived_Variables!$S:$S,"Neutral")="Undercorrect",XLOOKUP("undercorrect_step",Calibration!$B:$B,Calibration!$C:$C,0.25),IF(XLOOKUP($B25,Derived_Variables!$A:$A,Derived_Variables!$S:$S,"Neutral")="Overcorrect",-XLOOKUP("overcorrect_step",Calibration!$B:$B,Calibration!$C:$C,0.25),0)),TRUE,0),C25="K",IF(I25="BOTTOM_CLEARER",XLOOKUP("bino_balance_step",Calibration!$B:$B,Calibration!$C:$C,0.25),0),TRUE,0))</f>
        <v>0</v>
      </c>
      <c r="AQ25" s="28">
        <f t="shared" si="12"/>
        <v>0</v>
      </c>
      <c r="AR25" s="28">
        <f t="shared" si="13"/>
        <v>0</v>
      </c>
      <c r="AS25" s="28">
        <f t="array" ref="AS25">IF($I25="","",IF(C25="P",IF(OR(I25="NOT_READABLE",I25="BLURRY"),XLOOKUP("near_add_step",Calibration!$B:$B,Calibration!$C:$C,0.25),0),IF(C25="R",IF(I25="NOT_CLEAR",XLOOKUP("near_add_step",Calibration!$B:$B,Calibration!$C:$C,0.25),0),0)))</f>
        <v>0</v>
      </c>
      <c r="AT25" s="28">
        <f t="array" ref="AT25">IF($I25="","",IF(C25="Q",IF(OR(I25="NOT_READABLE",I25="BLURRY"),XLOOKUP("near_add_step",Calibration!$B:$B,Calibration!$C:$C,0.25),0),IF(C25="R",IF(I25="NOT_CLEAR",XLOOKUP("near_add_step",Calibration!$B:$B,Calibration!$C:$C,0.25),0),0)))</f>
        <v>0</v>
      </c>
      <c r="AU25" s="28" t="str">
        <f t="array" ref="AU25">IF($I25="","",IF(G25="SNELLEN_FEET",IF(I25="READABLE",IFERROR(XLOOKUP(XLOOKUP(R25,Chart_Scale_Distance!B:B,Chart_Scale_Distance!A:A)+1,Chart_Scale_Distance!A:A,Chart_Scale_Distance!B:B),R25),R25),R25))</f>
        <v>20_20_20</v>
      </c>
      <c r="AV25" s="28">
        <f t="array" ref="AV25">IF($I24="","",IFERROR(XLOOKUP(R25,Chart_Scale_Distance!$B:$B,Chart_Scale_Distance!$A:$A,""),""))</f>
        <v>6</v>
      </c>
      <c r="AW25" s="28">
        <f t="array" ref="AW25">IF($I24="","",IFERROR(XLOOKUP(AA25,Chart_Scale_Distance!$B:$B,Chart_Scale_Distance!$A:$A,""),""))</f>
        <v>6</v>
      </c>
      <c r="AX25" s="28">
        <f t="shared" si="14"/>
        <v>0</v>
      </c>
      <c r="AY25" s="28">
        <f t="shared" si="15"/>
        <v>8</v>
      </c>
      <c r="AZ25" s="28" t="str">
        <f t="shared" si="16"/>
        <v/>
      </c>
      <c r="BA25" s="28">
        <f t="shared" si="17"/>
        <v>8</v>
      </c>
      <c r="BB25" s="28">
        <f t="shared" si="18"/>
        <v>5</v>
      </c>
      <c r="BC25" s="28" t="str">
        <f t="array" ref="BC25">IF($I25="","",LET(
conf,AI25,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duoMax,XLOOKUP($B25,Derived_Variables!$A:$A,Derived_Variables!$AI:$AI,4),
axisTol,XLOOKUP($B25,Derived_Variables!$A:$A,Derived_Variables!$W:$W,1),
maxStart,XLOOKUP($B25,Derived_Variables!$A:$A,Derived_Variables!$U:$U,1.25),
maxAR,XLOOKUP($B25,Derived_Variables!$A:$A,Derived_Variables!$V:$V,3),
anom,XLOOKUP($B25,Derived_Variables!$A:$A,Derived_Variables!$Z:$Z,FALSE),
reStart,XLOOKUP($B25,Derived_Variables!$A:$A,Derived_Variables!$K:$K,0),
leStart,XLOOKUP($B25,Derived_Variables!$A:$A,Derived_Variables!$N:$N,0),
reAR,XLOOKUP($B25,AR_Input!$A:$A,AR_Input!$B:$B,reStart),
leAR,XLOOKUP($B25,AR_Input!$A:$A,AR_Input!$E:$E,leStart),
reEsc,AND(anom,OR(ABS((S25+AM25)-reStart)&gt;maxStart,ABS((S25+AM25)-reAR)&gt;maxAR)),
leEsc,AND(anom,OR(ABS((V25+AP25)-leStart)&gt;maxStart,ABS((V25+AP25)-leAR)&gt;maxAR)),
phaseMax,IFS(
 AK25="Fast",
   IFS(
     OR(C25="B",C25="D"),XLOOKUP("timeout_coarse_fast",Calibration!$B:$B,Calibration!$C:$C,24),
     OR(C25="E",C25="F",C25="H",C25="I"),XLOOKUP("timeout_jcc_fast",Calibration!$B:$B,Calibration!$C:$C,10),
     OR(C25="G",C25="J"),XLOOKUP("timeout_duochrome_fast",Calibration!$B:$B,Calibration!$C:$C,8),
     C25="K",XLOOKUP("timeout_bino_fast",Calibration!$B:$B,Calibration!$C:$C,10),
     OR(C25="P",C25="Q",C25="R"),XLOOKUP("timeout_near_fast",Calibration!$B:$B,Calibration!$C:$C,16),
     TRUE,XLOOKUP("timeout_coarse_fast",Calibration!$B:$B,Calibration!$C:$C,24)
   ),
 AK25="Normal",
   IFS(
     OR(C25="B",C25="D"),XLOOKUP("timeout_coarse_normal",Calibration!$B:$B,Calibration!$C:$C,36),
     OR(C25="E",C25="F",C25="H",C25="I"),XLOOKUP("timeout_jcc_normal",Calibration!$B:$B,Calibration!$C:$C,14),
     OR(C25="G",C25="J"),XLOOKUP("timeout_duochrome_normal",Calibration!$B:$B,Calibration!$C:$C,10),
     C25="K",XLOOKUP("timeout_bino_normal",Calibration!$B:$B,Calibration!$C:$C,14),
     OR(C25="P",C25="Q",C25="R"),XLOOKUP("timeout_near_normal",Calibration!$B:$B,Calibration!$C:$C,22),
     TRUE,XLOOKUP("timeout_coarse_normal",Calibration!$B:$B,Calibration!$C:$C,36)
   ),
 TRUE,
   IFS(
     OR(C25="B",C25="D"),XLOOKUP("timeout_coarse_slow",Calibration!$B:$B,Calibration!$C:$C,48),
     OR(C25="E",C25="F",C25="H",C25="I"),XLOOKUP("timeout_jcc_slow",Calibration!$B:$B,Calibration!$C:$C,18),
     OR(C25="G",C25="J"),XLOOKUP("timeout_duochrome_slow",Calibration!$B:$B,Calibration!$C:$C,12),
     C25="K",XLOOKUP("timeout_bino_slow",Calibration!$B:$B,Calibration!$C:$C,18),
     OR(C25="P",C25="Q",C25="R"),XLOOKUP("timeout_near_slow",Calibration!$B:$B,Calibration!$C:$C,28),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AJ25=TRUE,"ESCALATE",
C25="A",
IF(OR(I25="NOT_READABLE",I25="BLURRY",AND(R25="20_20_20",I25="READABLE")),"B","A"),
C25="B",
IF(reEsc,"ESCALATE",IF(AY25&gt;=phaseMax,"ESCALATE",IF(AND(AV25&gt;=AW25,I25="READABLE"),"E","B"))),
C25="E",
IF(AY25&gt;=phaseMax,"ESCALATE",IF(OR(I25="SAME",I25="CANT_TELL",AD25&lt;axisTol),"F","E")),
C25="F",
IF(AY25&gt;=phaseMax,"ESCALATE",IF(AX25&gt;=powerSameN,"G","F")),
C25="G",
IF(AY25&gt;=phaseMax,"ESCALATE",IF(OR(AX25&gt;=duoEqualN,BB25&gt;=duoMax),"D","G")),
C25="D",
IF(leEsc,"ESCALATE",IF(AY25&gt;=phaseMax,"ESCALATE",IF(AND(AV25&gt;=AW25,I25="READABLE"),"H","D"))),
C25="H",
IF(AY25&gt;=phaseMax,"ESCALATE",IF(OR(I25="SAME",I25="CANT_TELL",AD25&lt;axisTol),"I","H")),
C25="I",
IF(AY25&gt;=phaseMax,"ESCALATE",IF(AX25&gt;=powerSameN,"J","I")),
C25="J",
IF(AY25&gt;=phaseMax,"ESCALATE",IF(OR(AX25&gt;=duoEqualN,BB25&gt;=duoMax),"K","J")),
C25="K",
IF(AY25&gt;=phaseMax,"ESCALATE",IF(AX25&gt;=binoSameN,IF(XLOOKUP($B25,Derived_Variables!$A:$A,Derived_Variables!$AJ:$AJ,FALSE)=TRUE,"P","END"),"K")),
C25="P",
IF(AY25&gt;=phaseMax,"ESCALATE",IF(OR(I25="READABLE",I25="SAME"),"Q","P")),
C25="Q",
IF(AY25&gt;=phaseMax,"ESCALATE",IF(OR(I25="READABLE",I25="SAME"),"R","Q")),
C25="R",
IF(AY25&gt;=phaseMax,"ESCALATE",IF(OR(I25=nearTarget,I25="SAME"),"END","R")),
TRUE,"END"
)))</f>
        <v>D</v>
      </c>
      <c r="BD25" s="28" t="b">
        <f t="shared" si="19"/>
        <v>1</v>
      </c>
    </row>
    <row r="26" ht="15.75" customHeight="1">
      <c r="A26" s="28">
        <f t="shared" si="3"/>
        <v>25</v>
      </c>
      <c r="B26" s="28">
        <f t="shared" si="4"/>
        <v>6</v>
      </c>
      <c r="C26" s="28" t="str">
        <f t="shared" si="5"/>
        <v>D</v>
      </c>
      <c r="D26" s="28" t="str">
        <f t="array" ref="D26">IF($I25="","",XLOOKUP(C26,FSM_State_Map!A:A,FSM_State_Map!B:B,""))</f>
        <v>Coarse Sphere LE</v>
      </c>
      <c r="E26" s="28" t="str">
        <f t="array" ref="E26">IF($I25="","",XLOOKUP(C26,FSM_State_Map!A:A,FSM_State_Map!C:C,""))</f>
        <v>COARSE_SPHERE</v>
      </c>
      <c r="F26" s="28" t="str">
        <f t="array" ref="F26">IF($I25="","",XLOOKUP(E26,Phase_UI_Map!A:A,Phase_UI_Map!B:B,""))</f>
        <v>COARSE_SPH</v>
      </c>
      <c r="G26" s="28" t="str">
        <f t="array" ref="G26">IF($I25="","",XLOOKUP(E26,Phase_UI_Map!A:A,Phase_UI_Map!C:C,""))</f>
        <v>SNELLEN_FEET</v>
      </c>
      <c r="H26" s="28" t="str">
        <f t="array" ref="H26">IF($I25="","",XLOOKUP(E26,Phase_UI_Map!A:A,Phase_UI_Map!D:D,""))</f>
        <v>READABILITY</v>
      </c>
      <c r="I26" s="29" t="s">
        <v>219</v>
      </c>
      <c r="J26" s="28" t="str">
        <f>IFERROR(__xludf.DUMMYFUNCTION("IF($I25="""","""",IFERROR(INDEX(FILTER(Response_Lists!$B:$B,Response_Lists!$A:$A=$H26),1),""""))"),"READABLE")</f>
        <v>READABLE</v>
      </c>
      <c r="K26" s="28" t="str">
        <f>IFERROR(__xludf.DUMMYFUNCTION("IF($I25="""","""",IFERROR(INDEX(FILTER(Response_Lists!$B:$B,Response_Lists!$A:$A=$H26),2),""""))"),"NOT_READABLE")</f>
        <v>NOT_READABLE</v>
      </c>
      <c r="L26" s="28" t="str">
        <f>IFERROR(__xludf.DUMMYFUNCTION("IF($I25="""","""",IFERROR(INDEX(FILTER(Response_Lists!$B:$B,Response_Lists!$A:$A=$H26),3),""""))"),"BLURRY")</f>
        <v>BLURRY</v>
      </c>
      <c r="M26" s="28" t="str">
        <f>IFERROR(__xludf.DUMMYFUNCTION("IF($I25="""","""",IFERROR(INDEX(FILTER(Response_Lists!$B:$B,Response_Lists!$A:$A=$H26),4),""""))"),"")</f>
        <v/>
      </c>
      <c r="N26" s="28" t="str">
        <f>IFERROR(__xludf.DUMMYFUNCTION("IF($I25="""","""",IFERROR(INDEX(FILTER(Response_Lists!$B:$B,Response_Lists!$A:$A=$H26),5),""""))"),"")</f>
        <v/>
      </c>
      <c r="O26" s="28" t="str">
        <f>IFERROR(__xludf.DUMMYFUNCTION("IF($I25="""","""",IFERROR(INDEX(FILTER(Response_Lists!$B:$B,Response_Lists!$A:$A=$H26),6),""""))"),"")</f>
        <v/>
      </c>
      <c r="P26" s="28" t="str">
        <f t="shared" si="6"/>
        <v>Can you read this clearly?</v>
      </c>
      <c r="Q26" s="28" t="str">
        <f t="array" ref="Q26">IF($I25="","",XLOOKUP(C26,FSM_State_Map!A:A,FSM_State_Map!D:D,""))</f>
        <v>LE</v>
      </c>
      <c r="R26" s="28" t="str">
        <f t="shared" si="7"/>
        <v>20_20_20</v>
      </c>
      <c r="S26" s="28">
        <f t="array" ref="S26">IF($I25="","",
IF(
  AND(C26="B",C25&lt;&gt;"B"),
  XLOOKUP($B26,Derived_Variables!$A:$A,Derived_Variables!$K:$K,0)
  + XLOOKUP($B26,Derived_Variables!$A:$A,Derived_Variables!$AE:$AE,0),
  S25+AM25
))</f>
        <v>-1.25</v>
      </c>
      <c r="T26" s="28">
        <f t="shared" ref="T26:U26" si="62">IF($I25="","",T25+AN25)</f>
        <v>-0.25</v>
      </c>
      <c r="U26" s="28">
        <f t="shared" si="62"/>
        <v>2</v>
      </c>
      <c r="V26" s="28">
        <f t="array" ref="V26">IF($I25="","",
IF(
  AND(C26="D",C25&lt;&gt;"D"),
  XLOOKUP($B26,Derived_Variables!$A:$A,Derived_Variables!$N:$N,0)
  + XLOOKUP($B26,Derived_Variables!$A:$A,Derived_Variables!$AE:$AE,0),
  V25+AP25
))</f>
        <v>0</v>
      </c>
      <c r="W26" s="28">
        <f t="shared" ref="W26:X26" si="63">IF($I25="","",W25+AQ25)</f>
        <v>0</v>
      </c>
      <c r="X26" s="28">
        <f t="shared" si="63"/>
        <v>0</v>
      </c>
      <c r="Y26" s="28">
        <f t="array" ref="Y26">IF($I25="","",IF(AND(C26="P",C25&lt;&gt;"P"),IFERROR(XLOOKUP($B26,Lenso_Input!$A:$A,Lenso_Input!$E:$E,0),0),Y25+AS25))</f>
        <v>0</v>
      </c>
      <c r="Z26" s="28">
        <f t="array" ref="Z26">IF($I25="","",IF(AND(C26="Q",C25&lt;&gt;"Q"),IFERROR(XLOOKUP($B26,Lenso_Input!$A:$A,Lenso_Input!$I:$I,0),0),Z25+AT25))</f>
        <v>0</v>
      </c>
      <c r="AA26" s="28" t="str">
        <f t="array" ref="AA26">IF($I25="","",IF(XLOOKUP($B26,Derived_Variables!$A:$A,Derived_Variables!$R:$R,"6/6_target")="6/6_target","20_20_20","40_30_25"))</f>
        <v>20_20_20</v>
      </c>
      <c r="AB26" s="28">
        <f t="array" ref="AB26">IF($I25="","",XLOOKUP(LOWER(XLOOKUP($B26,Derived_Variables!$A:$A,Derived_Variables!$T:$T,"Standard"))&amp;"_sph_step",Calibration!$B:$B,Calibration!$C:$C,0.25))</f>
        <v>0.25</v>
      </c>
      <c r="AC26" s="28">
        <f t="array" ref="AC26">IF($I25="","",XLOOKUP(LOWER(XLOOKUP($B26,Derived_Variables!$A:$A,Derived_Variables!$T:$T,"Standard"))&amp;"_cyl_step",Calibration!$B:$B,Calibration!$C:$C,0.25))</f>
        <v>0.25</v>
      </c>
      <c r="AD26" s="28">
        <f t="array" ref="AD26">IF($I25="","",IF(OR(C26="E",C26="H"),LET(startStep,XLOOKUP("axis_start_step",Calibration!$B:$B,Calibration!$C:$C,5),step1,XLOOKUP("axis_reversal_step_1",Calibration!$B:$B,Calibration!$C:$C,3),step2,XLOOKUP("axis_reversal_step_2",Calibration!$B:$B,Calibration!$C:$C,1),IF(OR(C25&lt;&gt;C26,AZ26="",AZ26="SAME",AZ26="CANT_TELL",I26="",I26="SAME",I26="CANT_TELL"),startStep,IF(OR(AND(AZ26="BETTER_1",I26="BETTER_2"),AND(AZ26="BETTER_2",I26="BETTER_1")),IF(AD25&gt;step1,step1,step2),AD25))),0))</f>
        <v>0</v>
      </c>
      <c r="AE26" s="28" t="str">
        <f t="array" ref="AE26">IF($I25="","",XLOOKUP($B26,Derived_Variables!$A:$A,Derived_Variables!$AD:$AD,"No_Fog"))</f>
        <v>Strong_Fog</v>
      </c>
      <c r="AF26" s="28">
        <f t="array" ref="AF26">IF($I25="","",XLOOKUP($B26,Derived_Variables!$A:$A,Derived_Variables!$AE:$AE,0))</f>
        <v>1</v>
      </c>
      <c r="AG26" s="28" t="str">
        <f t="array" ref="AG26">IF($I25="","",XLOOKUP($B26,Derived_Variables!$A:$A,Derived_Variables!$AF:$AF,""))</f>
        <v>StepDown_0.25</v>
      </c>
      <c r="AH26" s="28" t="str">
        <f t="array" ref="AH26">IF($I25="","",XLOOKUP($B26,Derived_Variables!$A:$A,Derived_Variables!$AG:$AG,""))</f>
        <v>Low</v>
      </c>
      <c r="AI26" s="28" t="str">
        <f t="array" ref="AI26">IF($I25="","",XLOOKUP($B26,Derived_Variables!$A:$A,Derived_Variables!$AC:$AC,"Medium"))</f>
        <v>Low</v>
      </c>
      <c r="AJ26" s="28" t="b">
        <f t="array" ref="AJ26">IF($I25="","",XLOOKUP($B26,Derived_Variables!$A:$A,Derived_Variables!$Y:$Y,FALSE))</f>
        <v>0</v>
      </c>
      <c r="AK26" s="28" t="str">
        <f t="array" ref="AK26">IF($I25="","",XLOOKUP($B26,Derived_Variables!$A:$A,Derived_Variables!$AA:$AA,"Normal"))</f>
        <v>Slow</v>
      </c>
      <c r="AL26" s="28" t="str">
        <f t="array" ref="AL26">IF($I25="","",XLOOKUP($B26,Derived_Variables!$A:$A,Derived_Variables!$AB:$AB,"Normal"))</f>
        <v>Relaxed</v>
      </c>
      <c r="AM26" s="28">
        <f t="array" ref="AM26">IF($I26="","",IFS(C26="B",IF(OR(I26="NOT_READABLE",I26="BLURRY"),-AB26,0),C26="G",IFS(I26="RED_CLEARER",XLOOKUP("duochrome_red_step",Calibration!$B:$B,Calibration!$C:$C,-0.25),I26="GREEN_CLEARER",XLOOKUP("duochrome_green_step",Calibration!$B:$B,Calibration!$C:$C,0.25),I26="EQUAL",IF(XLOOKUP($B26,Derived_Variables!$A:$A,Derived_Variables!$S:$S,"Neutral")="Undercorrect",XLOOKUP("undercorrect_step",Calibration!$B:$B,Calibration!$C:$C,0.25),IF(XLOOKUP($B26,Derived_Variables!$A:$A,Derived_Variables!$S:$S,"Neutral")="Overcorrect",-XLOOKUP("overcorrect_step",Calibration!$B:$B,Calibration!$C:$C,0.25),0)),TRUE,0),C26="K",IF(I26="TOP_CLEARER",XLOOKUP("bino_balance_step",Calibration!$B:$B,Calibration!$C:$C,0.25),0),TRUE,0))</f>
        <v>0</v>
      </c>
      <c r="AN26" s="28">
        <f t="shared" si="10"/>
        <v>0</v>
      </c>
      <c r="AO26" s="28">
        <f t="shared" si="11"/>
        <v>0</v>
      </c>
      <c r="AP26" s="28">
        <f t="array" ref="AP26">IF($I26="","",IFS(C26="D",IF(OR(I26="NOT_READABLE",I26="BLURRY"),-AB26,0),C26="J",IFS(I26="RED_CLEARER",XLOOKUP("duochrome_red_step",Calibration!$B:$B,Calibration!$C:$C,-0.25),I26="GREEN_CLEARER",XLOOKUP("duochrome_green_step",Calibration!$B:$B,Calibration!$C:$C,0.25),I26="EQUAL",IF(XLOOKUP($B26,Derived_Variables!$A:$A,Derived_Variables!$S:$S,"Neutral")="Undercorrect",XLOOKUP("undercorrect_step",Calibration!$B:$B,Calibration!$C:$C,0.25),IF(XLOOKUP($B26,Derived_Variables!$A:$A,Derived_Variables!$S:$S,"Neutral")="Overcorrect",-XLOOKUP("overcorrect_step",Calibration!$B:$B,Calibration!$C:$C,0.25),0)),TRUE,0),C26="K",IF(I26="BOTTOM_CLEARER",XLOOKUP("bino_balance_step",Calibration!$B:$B,Calibration!$C:$C,0.25),0),TRUE,0))</f>
        <v>-0.25</v>
      </c>
      <c r="AQ26" s="28">
        <f t="shared" si="12"/>
        <v>0</v>
      </c>
      <c r="AR26" s="28">
        <f t="shared" si="13"/>
        <v>0</v>
      </c>
      <c r="AS26" s="28">
        <f t="array" ref="AS26">IF($I26="","",IF(C26="P",IF(OR(I26="NOT_READABLE",I26="BLURRY"),XLOOKUP("near_add_step",Calibration!$B:$B,Calibration!$C:$C,0.25),0),IF(C26="R",IF(I26="NOT_CLEAR",XLOOKUP("near_add_step",Calibration!$B:$B,Calibration!$C:$C,0.25),0),0)))</f>
        <v>0</v>
      </c>
      <c r="AT26" s="28">
        <f t="array" ref="AT26">IF($I26="","",IF(C26="Q",IF(OR(I26="NOT_READABLE",I26="BLURRY"),XLOOKUP("near_add_step",Calibration!$B:$B,Calibration!$C:$C,0.25),0),IF(C26="R",IF(I26="NOT_CLEAR",XLOOKUP("near_add_step",Calibration!$B:$B,Calibration!$C:$C,0.25),0),0)))</f>
        <v>0</v>
      </c>
      <c r="AU26" s="28" t="str">
        <f t="array" ref="AU26">IF($I26="","",IF(G26="SNELLEN_FEET",IF(I26="READABLE",IFERROR(XLOOKUP(XLOOKUP(R26,Chart_Scale_Distance!B:B,Chart_Scale_Distance!A:A)+1,Chart_Scale_Distance!A:A,Chart_Scale_Distance!B:B),R26),R26),R26))</f>
        <v>20_20_20</v>
      </c>
      <c r="AV26" s="28">
        <f t="array" ref="AV26">IF($I25="","",IFERROR(XLOOKUP(R26,Chart_Scale_Distance!$B:$B,Chart_Scale_Distance!$A:$A,""),""))</f>
        <v>6</v>
      </c>
      <c r="AW26" s="28">
        <f t="array" ref="AW26">IF($I25="","",IFERROR(XLOOKUP(AA26,Chart_Scale_Distance!$B:$B,Chart_Scale_Distance!$A:$A,""),""))</f>
        <v>6</v>
      </c>
      <c r="AX26" s="28">
        <f t="shared" si="14"/>
        <v>0</v>
      </c>
      <c r="AY26" s="28">
        <f t="shared" si="15"/>
        <v>1</v>
      </c>
      <c r="AZ26" s="28" t="str">
        <f t="shared" si="16"/>
        <v/>
      </c>
      <c r="BA26" s="28">
        <f t="shared" si="17"/>
        <v>0</v>
      </c>
      <c r="BB26" s="28">
        <f t="shared" si="18"/>
        <v>0</v>
      </c>
      <c r="BC26" s="28" t="str">
        <f t="array" ref="BC26">IF($I26="","",LET(
conf,AI26,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duoMax,XLOOKUP($B26,Derived_Variables!$A:$A,Derived_Variables!$AI:$AI,4),
axisTol,XLOOKUP($B26,Derived_Variables!$A:$A,Derived_Variables!$W:$W,1),
maxStart,XLOOKUP($B26,Derived_Variables!$A:$A,Derived_Variables!$U:$U,1.25),
maxAR,XLOOKUP($B26,Derived_Variables!$A:$A,Derived_Variables!$V:$V,3),
anom,XLOOKUP($B26,Derived_Variables!$A:$A,Derived_Variables!$Z:$Z,FALSE),
reStart,XLOOKUP($B26,Derived_Variables!$A:$A,Derived_Variables!$K:$K,0),
leStart,XLOOKUP($B26,Derived_Variables!$A:$A,Derived_Variables!$N:$N,0),
reAR,XLOOKUP($B26,AR_Input!$A:$A,AR_Input!$B:$B,reStart),
leAR,XLOOKUP($B26,AR_Input!$A:$A,AR_Input!$E:$E,leStart),
reEsc,AND(anom,OR(ABS((S26+AM26)-reStart)&gt;maxStart,ABS((S26+AM26)-reAR)&gt;maxAR)),
leEsc,AND(anom,OR(ABS((V26+AP26)-leStart)&gt;maxStart,ABS((V26+AP26)-leAR)&gt;maxAR)),
phaseMax,IFS(
 AK26="Fast",
   IFS(
     OR(C26="B",C26="D"),XLOOKUP("timeout_coarse_fast",Calibration!$B:$B,Calibration!$C:$C,24),
     OR(C26="E",C26="F",C26="H",C26="I"),XLOOKUP("timeout_jcc_fast",Calibration!$B:$B,Calibration!$C:$C,10),
     OR(C26="G",C26="J"),XLOOKUP("timeout_duochrome_fast",Calibration!$B:$B,Calibration!$C:$C,8),
     C26="K",XLOOKUP("timeout_bino_fast",Calibration!$B:$B,Calibration!$C:$C,10),
     OR(C26="P",C26="Q",C26="R"),XLOOKUP("timeout_near_fast",Calibration!$B:$B,Calibration!$C:$C,16),
     TRUE,XLOOKUP("timeout_coarse_fast",Calibration!$B:$B,Calibration!$C:$C,24)
   ),
 AK26="Normal",
   IFS(
     OR(C26="B",C26="D"),XLOOKUP("timeout_coarse_normal",Calibration!$B:$B,Calibration!$C:$C,36),
     OR(C26="E",C26="F",C26="H",C26="I"),XLOOKUP("timeout_jcc_normal",Calibration!$B:$B,Calibration!$C:$C,14),
     OR(C26="G",C26="J"),XLOOKUP("timeout_duochrome_normal",Calibration!$B:$B,Calibration!$C:$C,10),
     C26="K",XLOOKUP("timeout_bino_normal",Calibration!$B:$B,Calibration!$C:$C,14),
     OR(C26="P",C26="Q",C26="R"),XLOOKUP("timeout_near_normal",Calibration!$B:$B,Calibration!$C:$C,22),
     TRUE,XLOOKUP("timeout_coarse_normal",Calibration!$B:$B,Calibration!$C:$C,36)
   ),
 TRUE,
   IFS(
     OR(C26="B",C26="D"),XLOOKUP("timeout_coarse_slow",Calibration!$B:$B,Calibration!$C:$C,48),
     OR(C26="E",C26="F",C26="H",C26="I"),XLOOKUP("timeout_jcc_slow",Calibration!$B:$B,Calibration!$C:$C,18),
     OR(C26="G",C26="J"),XLOOKUP("timeout_duochrome_slow",Calibration!$B:$B,Calibration!$C:$C,12),
     C26="K",XLOOKUP("timeout_bino_slow",Calibration!$B:$B,Calibration!$C:$C,18),
     OR(C26="P",C26="Q",C26="R"),XLOOKUP("timeout_near_slow",Calibration!$B:$B,Calibration!$C:$C,28),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AJ26=TRUE,"ESCALATE",
C26="A",
IF(OR(I26="NOT_READABLE",I26="BLURRY",AND(R26="20_20_20",I26="READABLE")),"B","A"),
C26="B",
IF(reEsc,"ESCALATE",IF(AY26&gt;=phaseMax,"ESCALATE",IF(AND(AV26&gt;=AW26,I26="READABLE"),"E","B"))),
C26="E",
IF(AY26&gt;=phaseMax,"ESCALATE",IF(OR(I26="SAME",I26="CANT_TELL",AD26&lt;axisTol),"F","E")),
C26="F",
IF(AY26&gt;=phaseMax,"ESCALATE",IF(AX26&gt;=powerSameN,"G","F")),
C26="G",
IF(AY26&gt;=phaseMax,"ESCALATE",IF(OR(AX26&gt;=duoEqualN,BB26&gt;=duoMax),"D","G")),
C26="D",
IF(leEsc,"ESCALATE",IF(AY26&gt;=phaseMax,"ESCALATE",IF(AND(AV26&gt;=AW26,I26="READABLE"),"H","D"))),
C26="H",
IF(AY26&gt;=phaseMax,"ESCALATE",IF(OR(I26="SAME",I26="CANT_TELL",AD26&lt;axisTol),"I","H")),
C26="I",
IF(AY26&gt;=phaseMax,"ESCALATE",IF(AX26&gt;=powerSameN,"J","I")),
C26="J",
IF(AY26&gt;=phaseMax,"ESCALATE",IF(OR(AX26&gt;=duoEqualN,BB26&gt;=duoMax),"K","J")),
C26="K",
IF(AY26&gt;=phaseMax,"ESCALATE",IF(AX26&gt;=binoSameN,IF(XLOOKUP($B26,Derived_Variables!$A:$A,Derived_Variables!$AJ:$AJ,FALSE)=TRUE,"P","END"),"K")),
C26="P",
IF(AY26&gt;=phaseMax,"ESCALATE",IF(OR(I26="READABLE",I26="SAME"),"Q","P")),
C26="Q",
IF(AY26&gt;=phaseMax,"ESCALATE",IF(OR(I26="READABLE",I26="SAME"),"R","Q")),
C26="R",
IF(AY26&gt;=phaseMax,"ESCALATE",IF(OR(I26=nearTarget,I26="SAME"),"END","R")),
TRUE,"END"
)))</f>
        <v>D</v>
      </c>
      <c r="BD26" s="28" t="b">
        <f t="shared" si="19"/>
        <v>1</v>
      </c>
    </row>
    <row r="27" ht="15.75" customHeight="1">
      <c r="A27" s="28">
        <f t="shared" si="3"/>
        <v>26</v>
      </c>
      <c r="B27" s="28">
        <f t="shared" si="4"/>
        <v>6</v>
      </c>
      <c r="C27" s="28" t="str">
        <f t="shared" si="5"/>
        <v>D</v>
      </c>
      <c r="D27" s="28" t="str">
        <f t="array" ref="D27">IF($I26="","",XLOOKUP(C27,FSM_State_Map!A:A,FSM_State_Map!B:B,""))</f>
        <v>Coarse Sphere LE</v>
      </c>
      <c r="E27" s="28" t="str">
        <f t="array" ref="E27">IF($I26="","",XLOOKUP(C27,FSM_State_Map!A:A,FSM_State_Map!C:C,""))</f>
        <v>COARSE_SPHERE</v>
      </c>
      <c r="F27" s="28" t="str">
        <f t="array" ref="F27">IF($I26="","",XLOOKUP(E27,Phase_UI_Map!A:A,Phase_UI_Map!B:B,""))</f>
        <v>COARSE_SPH</v>
      </c>
      <c r="G27" s="28" t="str">
        <f t="array" ref="G27">IF($I26="","",XLOOKUP(E27,Phase_UI_Map!A:A,Phase_UI_Map!C:C,""))</f>
        <v>SNELLEN_FEET</v>
      </c>
      <c r="H27" s="28" t="str">
        <f t="array" ref="H27">IF($I26="","",XLOOKUP(E27,Phase_UI_Map!A:A,Phase_UI_Map!D:D,""))</f>
        <v>READABILITY</v>
      </c>
      <c r="I27" s="29" t="s">
        <v>219</v>
      </c>
      <c r="J27" s="28" t="str">
        <f>IFERROR(__xludf.DUMMYFUNCTION("IF($I26="""","""",IFERROR(INDEX(FILTER(Response_Lists!$B:$B,Response_Lists!$A:$A=$H27),1),""""))"),"READABLE")</f>
        <v>READABLE</v>
      </c>
      <c r="K27" s="28" t="str">
        <f>IFERROR(__xludf.DUMMYFUNCTION("IF($I26="""","""",IFERROR(INDEX(FILTER(Response_Lists!$B:$B,Response_Lists!$A:$A=$H27),2),""""))"),"NOT_READABLE")</f>
        <v>NOT_READABLE</v>
      </c>
      <c r="L27" s="28" t="str">
        <f>IFERROR(__xludf.DUMMYFUNCTION("IF($I26="""","""",IFERROR(INDEX(FILTER(Response_Lists!$B:$B,Response_Lists!$A:$A=$H27),3),""""))"),"BLURRY")</f>
        <v>BLURRY</v>
      </c>
      <c r="M27" s="28" t="str">
        <f>IFERROR(__xludf.DUMMYFUNCTION("IF($I26="""","""",IFERROR(INDEX(FILTER(Response_Lists!$B:$B,Response_Lists!$A:$A=$H27),4),""""))"),"")</f>
        <v/>
      </c>
      <c r="N27" s="28" t="str">
        <f>IFERROR(__xludf.DUMMYFUNCTION("IF($I26="""","""",IFERROR(INDEX(FILTER(Response_Lists!$B:$B,Response_Lists!$A:$A=$H27),5),""""))"),"")</f>
        <v/>
      </c>
      <c r="O27" s="28" t="str">
        <f>IFERROR(__xludf.DUMMYFUNCTION("IF($I26="""","""",IFERROR(INDEX(FILTER(Response_Lists!$B:$B,Response_Lists!$A:$A=$H27),6),""""))"),"")</f>
        <v/>
      </c>
      <c r="P27" s="28" t="str">
        <f t="shared" si="6"/>
        <v>Can you read this clearly?</v>
      </c>
      <c r="Q27" s="28" t="str">
        <f t="array" ref="Q27">IF($I26="","",XLOOKUP(C27,FSM_State_Map!A:A,FSM_State_Map!D:D,""))</f>
        <v>LE</v>
      </c>
      <c r="R27" s="28" t="str">
        <f t="shared" si="7"/>
        <v>20_20_20</v>
      </c>
      <c r="S27" s="28">
        <f t="array" ref="S27">IF($I26="","",
IF(
  AND(C27="B",C26&lt;&gt;"B"),
  XLOOKUP($B27,Derived_Variables!$A:$A,Derived_Variables!$K:$K,0)
  + XLOOKUP($B27,Derived_Variables!$A:$A,Derived_Variables!$AE:$AE,0),
  S26+AM26
))</f>
        <v>-1.25</v>
      </c>
      <c r="T27" s="28">
        <f t="shared" ref="T27:U27" si="64">IF($I26="","",T26+AN26)</f>
        <v>-0.25</v>
      </c>
      <c r="U27" s="28">
        <f t="shared" si="64"/>
        <v>2</v>
      </c>
      <c r="V27" s="28">
        <f t="array" ref="V27">IF($I26="","",
IF(
  AND(C27="D",C26&lt;&gt;"D"),
  XLOOKUP($B27,Derived_Variables!$A:$A,Derived_Variables!$N:$N,0)
  + XLOOKUP($B27,Derived_Variables!$A:$A,Derived_Variables!$AE:$AE,0),
  V26+AP26
))</f>
        <v>-0.25</v>
      </c>
      <c r="W27" s="28">
        <f t="shared" ref="W27:X27" si="65">IF($I26="","",W26+AQ26)</f>
        <v>0</v>
      </c>
      <c r="X27" s="28">
        <f t="shared" si="65"/>
        <v>0</v>
      </c>
      <c r="Y27" s="28">
        <f t="array" ref="Y27">IF($I26="","",IF(AND(C27="P",C26&lt;&gt;"P"),IFERROR(XLOOKUP($B27,Lenso_Input!$A:$A,Lenso_Input!$E:$E,0),0),Y26+AS26))</f>
        <v>0</v>
      </c>
      <c r="Z27" s="28">
        <f t="array" ref="Z27">IF($I26="","",IF(AND(C27="Q",C26&lt;&gt;"Q"),IFERROR(XLOOKUP($B27,Lenso_Input!$A:$A,Lenso_Input!$I:$I,0),0),Z26+AT26))</f>
        <v>0</v>
      </c>
      <c r="AA27" s="28" t="str">
        <f t="array" ref="AA27">IF($I26="","",IF(XLOOKUP($B27,Derived_Variables!$A:$A,Derived_Variables!$R:$R,"6/6_target")="6/6_target","20_20_20","40_30_25"))</f>
        <v>20_20_20</v>
      </c>
      <c r="AB27" s="28">
        <f t="array" ref="AB27">IF($I26="","",XLOOKUP(LOWER(XLOOKUP($B27,Derived_Variables!$A:$A,Derived_Variables!$T:$T,"Standard"))&amp;"_sph_step",Calibration!$B:$B,Calibration!$C:$C,0.25))</f>
        <v>0.25</v>
      </c>
      <c r="AC27" s="28">
        <f t="array" ref="AC27">IF($I26="","",XLOOKUP(LOWER(XLOOKUP($B27,Derived_Variables!$A:$A,Derived_Variables!$T:$T,"Standard"))&amp;"_cyl_step",Calibration!$B:$B,Calibration!$C:$C,0.25))</f>
        <v>0.25</v>
      </c>
      <c r="AD27" s="28">
        <f t="array" ref="AD27">IF($I26="","",IF(OR(C27="E",C27="H"),LET(startStep,XLOOKUP("axis_start_step",Calibration!$B:$B,Calibration!$C:$C,5),step1,XLOOKUP("axis_reversal_step_1",Calibration!$B:$B,Calibration!$C:$C,3),step2,XLOOKUP("axis_reversal_step_2",Calibration!$B:$B,Calibration!$C:$C,1),IF(OR(C26&lt;&gt;C27,AZ27="",AZ27="SAME",AZ27="CANT_TELL",I27="",I27="SAME",I27="CANT_TELL"),startStep,IF(OR(AND(AZ27="BETTER_1",I27="BETTER_2"),AND(AZ27="BETTER_2",I27="BETTER_1")),IF(AD26&gt;step1,step1,step2),AD26))),0))</f>
        <v>0</v>
      </c>
      <c r="AE27" s="28" t="str">
        <f t="array" ref="AE27">IF($I26="","",XLOOKUP($B27,Derived_Variables!$A:$A,Derived_Variables!$AD:$AD,"No_Fog"))</f>
        <v>Strong_Fog</v>
      </c>
      <c r="AF27" s="28">
        <f t="array" ref="AF27">IF($I26="","",XLOOKUP($B27,Derived_Variables!$A:$A,Derived_Variables!$AE:$AE,0))</f>
        <v>1</v>
      </c>
      <c r="AG27" s="28" t="str">
        <f t="array" ref="AG27">IF($I26="","",XLOOKUP($B27,Derived_Variables!$A:$A,Derived_Variables!$AF:$AF,""))</f>
        <v>StepDown_0.25</v>
      </c>
      <c r="AH27" s="28" t="str">
        <f t="array" ref="AH27">IF($I26="","",XLOOKUP($B27,Derived_Variables!$A:$A,Derived_Variables!$AG:$AG,""))</f>
        <v>Low</v>
      </c>
      <c r="AI27" s="28" t="str">
        <f t="array" ref="AI27">IF($I26="","",XLOOKUP($B27,Derived_Variables!$A:$A,Derived_Variables!$AC:$AC,"Medium"))</f>
        <v>Low</v>
      </c>
      <c r="AJ27" s="28" t="b">
        <f t="array" ref="AJ27">IF($I26="","",XLOOKUP($B27,Derived_Variables!$A:$A,Derived_Variables!$Y:$Y,FALSE))</f>
        <v>0</v>
      </c>
      <c r="AK27" s="28" t="str">
        <f t="array" ref="AK27">IF($I26="","",XLOOKUP($B27,Derived_Variables!$A:$A,Derived_Variables!$AA:$AA,"Normal"))</f>
        <v>Slow</v>
      </c>
      <c r="AL27" s="28" t="str">
        <f t="array" ref="AL27">IF($I26="","",XLOOKUP($B27,Derived_Variables!$A:$A,Derived_Variables!$AB:$AB,"Normal"))</f>
        <v>Relaxed</v>
      </c>
      <c r="AM27" s="28">
        <f t="array" ref="AM27">IF($I27="","",IFS(C27="B",IF(OR(I27="NOT_READABLE",I27="BLURRY"),-AB27,0),C27="G",IFS(I27="RED_CLEARER",XLOOKUP("duochrome_red_step",Calibration!$B:$B,Calibration!$C:$C,-0.25),I27="GREEN_CLEARER",XLOOKUP("duochrome_green_step",Calibration!$B:$B,Calibration!$C:$C,0.25),I27="EQUAL",IF(XLOOKUP($B27,Derived_Variables!$A:$A,Derived_Variables!$S:$S,"Neutral")="Undercorrect",XLOOKUP("undercorrect_step",Calibration!$B:$B,Calibration!$C:$C,0.25),IF(XLOOKUP($B27,Derived_Variables!$A:$A,Derived_Variables!$S:$S,"Neutral")="Overcorrect",-XLOOKUP("overcorrect_step",Calibration!$B:$B,Calibration!$C:$C,0.25),0)),TRUE,0),C27="K",IF(I27="TOP_CLEARER",XLOOKUP("bino_balance_step",Calibration!$B:$B,Calibration!$C:$C,0.25),0),TRUE,0))</f>
        <v>0</v>
      </c>
      <c r="AN27" s="28">
        <f t="shared" si="10"/>
        <v>0</v>
      </c>
      <c r="AO27" s="28">
        <f t="shared" si="11"/>
        <v>0</v>
      </c>
      <c r="AP27" s="28">
        <f t="array" ref="AP27">IF($I27="","",IFS(C27="D",IF(OR(I27="NOT_READABLE",I27="BLURRY"),-AB27,0),C27="J",IFS(I27="RED_CLEARER",XLOOKUP("duochrome_red_step",Calibration!$B:$B,Calibration!$C:$C,-0.25),I27="GREEN_CLEARER",XLOOKUP("duochrome_green_step",Calibration!$B:$B,Calibration!$C:$C,0.25),I27="EQUAL",IF(XLOOKUP($B27,Derived_Variables!$A:$A,Derived_Variables!$S:$S,"Neutral")="Undercorrect",XLOOKUP("undercorrect_step",Calibration!$B:$B,Calibration!$C:$C,0.25),IF(XLOOKUP($B27,Derived_Variables!$A:$A,Derived_Variables!$S:$S,"Neutral")="Overcorrect",-XLOOKUP("overcorrect_step",Calibration!$B:$B,Calibration!$C:$C,0.25),0)),TRUE,0),C27="K",IF(I27="BOTTOM_CLEARER",XLOOKUP("bino_balance_step",Calibration!$B:$B,Calibration!$C:$C,0.25),0),TRUE,0))</f>
        <v>-0.25</v>
      </c>
      <c r="AQ27" s="28">
        <f t="shared" si="12"/>
        <v>0</v>
      </c>
      <c r="AR27" s="28">
        <f t="shared" si="13"/>
        <v>0</v>
      </c>
      <c r="AS27" s="28">
        <f t="array" ref="AS27">IF($I27="","",IF(C27="P",IF(OR(I27="NOT_READABLE",I27="BLURRY"),XLOOKUP("near_add_step",Calibration!$B:$B,Calibration!$C:$C,0.25),0),IF(C27="R",IF(I27="NOT_CLEAR",XLOOKUP("near_add_step",Calibration!$B:$B,Calibration!$C:$C,0.25),0),0)))</f>
        <v>0</v>
      </c>
      <c r="AT27" s="28">
        <f t="array" ref="AT27">IF($I27="","",IF(C27="Q",IF(OR(I27="NOT_READABLE",I27="BLURRY"),XLOOKUP("near_add_step",Calibration!$B:$B,Calibration!$C:$C,0.25),0),IF(C27="R",IF(I27="NOT_CLEAR",XLOOKUP("near_add_step",Calibration!$B:$B,Calibration!$C:$C,0.25),0),0)))</f>
        <v>0</v>
      </c>
      <c r="AU27" s="28" t="str">
        <f t="array" ref="AU27">IF($I27="","",IF(G27="SNELLEN_FEET",IF(I27="READABLE",IFERROR(XLOOKUP(XLOOKUP(R27,Chart_Scale_Distance!B:B,Chart_Scale_Distance!A:A)+1,Chart_Scale_Distance!A:A,Chart_Scale_Distance!B:B),R27),R27),R27))</f>
        <v>20_20_20</v>
      </c>
      <c r="AV27" s="28">
        <f t="array" ref="AV27">IF($I26="","",IFERROR(XLOOKUP(R27,Chart_Scale_Distance!$B:$B,Chart_Scale_Distance!$A:$A,""),""))</f>
        <v>6</v>
      </c>
      <c r="AW27" s="28">
        <f t="array" ref="AW27">IF($I26="","",IFERROR(XLOOKUP(AA27,Chart_Scale_Distance!$B:$B,Chart_Scale_Distance!$A:$A,""),""))</f>
        <v>6</v>
      </c>
      <c r="AX27" s="28">
        <f t="shared" si="14"/>
        <v>0</v>
      </c>
      <c r="AY27" s="28">
        <f t="shared" si="15"/>
        <v>2</v>
      </c>
      <c r="AZ27" s="28" t="str">
        <f t="shared" si="16"/>
        <v/>
      </c>
      <c r="BA27" s="28">
        <f t="shared" si="17"/>
        <v>0</v>
      </c>
      <c r="BB27" s="28">
        <f t="shared" si="18"/>
        <v>0</v>
      </c>
      <c r="BC27" s="28" t="str">
        <f t="array" ref="BC27">IF($I27="","",LET(
conf,AI27,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duoMax,XLOOKUP($B27,Derived_Variables!$A:$A,Derived_Variables!$AI:$AI,4),
axisTol,XLOOKUP($B27,Derived_Variables!$A:$A,Derived_Variables!$W:$W,1),
maxStart,XLOOKUP($B27,Derived_Variables!$A:$A,Derived_Variables!$U:$U,1.25),
maxAR,XLOOKUP($B27,Derived_Variables!$A:$A,Derived_Variables!$V:$V,3),
anom,XLOOKUP($B27,Derived_Variables!$A:$A,Derived_Variables!$Z:$Z,FALSE),
reStart,XLOOKUP($B27,Derived_Variables!$A:$A,Derived_Variables!$K:$K,0),
leStart,XLOOKUP($B27,Derived_Variables!$A:$A,Derived_Variables!$N:$N,0),
reAR,XLOOKUP($B27,AR_Input!$A:$A,AR_Input!$B:$B,reStart),
leAR,XLOOKUP($B27,AR_Input!$A:$A,AR_Input!$E:$E,leStart),
reEsc,AND(anom,OR(ABS((S27+AM27)-reStart)&gt;maxStart,ABS((S27+AM27)-reAR)&gt;maxAR)),
leEsc,AND(anom,OR(ABS((V27+AP27)-leStart)&gt;maxStart,ABS((V27+AP27)-leAR)&gt;maxAR)),
phaseMax,IFS(
 AK27="Fast",
   IFS(
     OR(C27="B",C27="D"),XLOOKUP("timeout_coarse_fast",Calibration!$B:$B,Calibration!$C:$C,24),
     OR(C27="E",C27="F",C27="H",C27="I"),XLOOKUP("timeout_jcc_fast",Calibration!$B:$B,Calibration!$C:$C,10),
     OR(C27="G",C27="J"),XLOOKUP("timeout_duochrome_fast",Calibration!$B:$B,Calibration!$C:$C,8),
     C27="K",XLOOKUP("timeout_bino_fast",Calibration!$B:$B,Calibration!$C:$C,10),
     OR(C27="P",C27="Q",C27="R"),XLOOKUP("timeout_near_fast",Calibration!$B:$B,Calibration!$C:$C,16),
     TRUE,XLOOKUP("timeout_coarse_fast",Calibration!$B:$B,Calibration!$C:$C,24)
   ),
 AK27="Normal",
   IFS(
     OR(C27="B",C27="D"),XLOOKUP("timeout_coarse_normal",Calibration!$B:$B,Calibration!$C:$C,36),
     OR(C27="E",C27="F",C27="H",C27="I"),XLOOKUP("timeout_jcc_normal",Calibration!$B:$B,Calibration!$C:$C,14),
     OR(C27="G",C27="J"),XLOOKUP("timeout_duochrome_normal",Calibration!$B:$B,Calibration!$C:$C,10),
     C27="K",XLOOKUP("timeout_bino_normal",Calibration!$B:$B,Calibration!$C:$C,14),
     OR(C27="P",C27="Q",C27="R"),XLOOKUP("timeout_near_normal",Calibration!$B:$B,Calibration!$C:$C,22),
     TRUE,XLOOKUP("timeout_coarse_normal",Calibration!$B:$B,Calibration!$C:$C,36)
   ),
 TRUE,
   IFS(
     OR(C27="B",C27="D"),XLOOKUP("timeout_coarse_slow",Calibration!$B:$B,Calibration!$C:$C,48),
     OR(C27="E",C27="F",C27="H",C27="I"),XLOOKUP("timeout_jcc_slow",Calibration!$B:$B,Calibration!$C:$C,18),
     OR(C27="G",C27="J"),XLOOKUP("timeout_duochrome_slow",Calibration!$B:$B,Calibration!$C:$C,12),
     C27="K",XLOOKUP("timeout_bino_slow",Calibration!$B:$B,Calibration!$C:$C,18),
     OR(C27="P",C27="Q",C27="R"),XLOOKUP("timeout_near_slow",Calibration!$B:$B,Calibration!$C:$C,28),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AJ27=TRUE,"ESCALATE",
C27="A",
IF(OR(I27="NOT_READABLE",I27="BLURRY",AND(R27="20_20_20",I27="READABLE")),"B","A"),
C27="B",
IF(reEsc,"ESCALATE",IF(AY27&gt;=phaseMax,"ESCALATE",IF(AND(AV27&gt;=AW27,I27="READABLE"),"E","B"))),
C27="E",
IF(AY27&gt;=phaseMax,"ESCALATE",IF(OR(I27="SAME",I27="CANT_TELL",AD27&lt;axisTol),"F","E")),
C27="F",
IF(AY27&gt;=phaseMax,"ESCALATE",IF(AX27&gt;=powerSameN,"G","F")),
C27="G",
IF(AY27&gt;=phaseMax,"ESCALATE",IF(OR(AX27&gt;=duoEqualN,BB27&gt;=duoMax),"D","G")),
C27="D",
IF(leEsc,"ESCALATE",IF(AY27&gt;=phaseMax,"ESCALATE",IF(AND(AV27&gt;=AW27,I27="READABLE"),"H","D"))),
C27="H",
IF(AY27&gt;=phaseMax,"ESCALATE",IF(OR(I27="SAME",I27="CANT_TELL",AD27&lt;axisTol),"I","H")),
C27="I",
IF(AY27&gt;=phaseMax,"ESCALATE",IF(AX27&gt;=powerSameN,"J","I")),
C27="J",
IF(AY27&gt;=phaseMax,"ESCALATE",IF(OR(AX27&gt;=duoEqualN,BB27&gt;=duoMax),"K","J")),
C27="K",
IF(AY27&gt;=phaseMax,"ESCALATE",IF(AX27&gt;=binoSameN,IF(XLOOKUP($B27,Derived_Variables!$A:$A,Derived_Variables!$AJ:$AJ,FALSE)=TRUE,"P","END"),"K")),
C27="P",
IF(AY27&gt;=phaseMax,"ESCALATE",IF(OR(I27="READABLE",I27="SAME"),"Q","P")),
C27="Q",
IF(AY27&gt;=phaseMax,"ESCALATE",IF(OR(I27="READABLE",I27="SAME"),"R","Q")),
C27="R",
IF(AY27&gt;=phaseMax,"ESCALATE",IF(OR(I27=nearTarget,I27="SAME"),"END","R")),
TRUE,"END"
)))</f>
        <v>D</v>
      </c>
      <c r="BD27" s="28" t="b">
        <f t="shared" si="19"/>
        <v>1</v>
      </c>
    </row>
    <row r="28" ht="15.75" customHeight="1">
      <c r="A28" s="28">
        <f t="shared" si="3"/>
        <v>27</v>
      </c>
      <c r="B28" s="28">
        <f t="shared" si="4"/>
        <v>6</v>
      </c>
      <c r="C28" s="28" t="str">
        <f t="shared" si="5"/>
        <v>D</v>
      </c>
      <c r="D28" s="28" t="str">
        <f t="array" ref="D28">IF($I27="","",XLOOKUP(C28,FSM_State_Map!A:A,FSM_State_Map!B:B,""))</f>
        <v>Coarse Sphere LE</v>
      </c>
      <c r="E28" s="28" t="str">
        <f t="array" ref="E28">IF($I27="","",XLOOKUP(C28,FSM_State_Map!A:A,FSM_State_Map!C:C,""))</f>
        <v>COARSE_SPHERE</v>
      </c>
      <c r="F28" s="28" t="str">
        <f t="array" ref="F28">IF($I27="","",XLOOKUP(E28,Phase_UI_Map!A:A,Phase_UI_Map!B:B,""))</f>
        <v>COARSE_SPH</v>
      </c>
      <c r="G28" s="28" t="str">
        <f t="array" ref="G28">IF($I27="","",XLOOKUP(E28,Phase_UI_Map!A:A,Phase_UI_Map!C:C,""))</f>
        <v>SNELLEN_FEET</v>
      </c>
      <c r="H28" s="28" t="str">
        <f t="array" ref="H28">IF($I27="","",XLOOKUP(E28,Phase_UI_Map!A:A,Phase_UI_Map!D:D,""))</f>
        <v>READABILITY</v>
      </c>
      <c r="I28" s="29" t="s">
        <v>219</v>
      </c>
      <c r="J28" s="28" t="str">
        <f>IFERROR(__xludf.DUMMYFUNCTION("IF($I27="""","""",IFERROR(INDEX(FILTER(Response_Lists!$B:$B,Response_Lists!$A:$A=$H28),1),""""))"),"READABLE")</f>
        <v>READABLE</v>
      </c>
      <c r="K28" s="28" t="str">
        <f>IFERROR(__xludf.DUMMYFUNCTION("IF($I27="""","""",IFERROR(INDEX(FILTER(Response_Lists!$B:$B,Response_Lists!$A:$A=$H28),2),""""))"),"NOT_READABLE")</f>
        <v>NOT_READABLE</v>
      </c>
      <c r="L28" s="28" t="str">
        <f>IFERROR(__xludf.DUMMYFUNCTION("IF($I27="""","""",IFERROR(INDEX(FILTER(Response_Lists!$B:$B,Response_Lists!$A:$A=$H28),3),""""))"),"BLURRY")</f>
        <v>BLURRY</v>
      </c>
      <c r="M28" s="28" t="str">
        <f>IFERROR(__xludf.DUMMYFUNCTION("IF($I27="""","""",IFERROR(INDEX(FILTER(Response_Lists!$B:$B,Response_Lists!$A:$A=$H28),4),""""))"),"")</f>
        <v/>
      </c>
      <c r="N28" s="28" t="str">
        <f>IFERROR(__xludf.DUMMYFUNCTION("IF($I27="""","""",IFERROR(INDEX(FILTER(Response_Lists!$B:$B,Response_Lists!$A:$A=$H28),5),""""))"),"")</f>
        <v/>
      </c>
      <c r="O28" s="28" t="str">
        <f>IFERROR(__xludf.DUMMYFUNCTION("IF($I27="""","""",IFERROR(INDEX(FILTER(Response_Lists!$B:$B,Response_Lists!$A:$A=$H28),6),""""))"),"")</f>
        <v/>
      </c>
      <c r="P28" s="28" t="str">
        <f t="shared" si="6"/>
        <v>Can you read this clearly?</v>
      </c>
      <c r="Q28" s="28" t="str">
        <f t="array" ref="Q28">IF($I27="","",XLOOKUP(C28,FSM_State_Map!A:A,FSM_State_Map!D:D,""))</f>
        <v>LE</v>
      </c>
      <c r="R28" s="28" t="str">
        <f t="shared" si="7"/>
        <v>20_20_20</v>
      </c>
      <c r="S28" s="28">
        <f t="array" ref="S28">IF($I27="","",
IF(
  AND(C28="B",C27&lt;&gt;"B"),
  XLOOKUP($B28,Derived_Variables!$A:$A,Derived_Variables!$K:$K,0)
  + XLOOKUP($B28,Derived_Variables!$A:$A,Derived_Variables!$AE:$AE,0),
  S27+AM27
))</f>
        <v>-1.25</v>
      </c>
      <c r="T28" s="28">
        <f t="shared" ref="T28:U28" si="66">IF($I27="","",T27+AN27)</f>
        <v>-0.25</v>
      </c>
      <c r="U28" s="28">
        <f t="shared" si="66"/>
        <v>2</v>
      </c>
      <c r="V28" s="28">
        <f t="array" ref="V28">IF($I27="","",
IF(
  AND(C28="D",C27&lt;&gt;"D"),
  XLOOKUP($B28,Derived_Variables!$A:$A,Derived_Variables!$N:$N,0)
  + XLOOKUP($B28,Derived_Variables!$A:$A,Derived_Variables!$AE:$AE,0),
  V27+AP27
))</f>
        <v>-0.5</v>
      </c>
      <c r="W28" s="28">
        <f t="shared" ref="W28:X28" si="67">IF($I27="","",W27+AQ27)</f>
        <v>0</v>
      </c>
      <c r="X28" s="28">
        <f t="shared" si="67"/>
        <v>0</v>
      </c>
      <c r="Y28" s="28">
        <f t="array" ref="Y28">IF($I27="","",IF(AND(C28="P",C27&lt;&gt;"P"),IFERROR(XLOOKUP($B28,Lenso_Input!$A:$A,Lenso_Input!$E:$E,0),0),Y27+AS27))</f>
        <v>0</v>
      </c>
      <c r="Z28" s="28">
        <f t="array" ref="Z28">IF($I27="","",IF(AND(C28="Q",C27&lt;&gt;"Q"),IFERROR(XLOOKUP($B28,Lenso_Input!$A:$A,Lenso_Input!$I:$I,0),0),Z27+AT27))</f>
        <v>0</v>
      </c>
      <c r="AA28" s="28" t="str">
        <f t="array" ref="AA28">IF($I27="","",IF(XLOOKUP($B28,Derived_Variables!$A:$A,Derived_Variables!$R:$R,"6/6_target")="6/6_target","20_20_20","40_30_25"))</f>
        <v>20_20_20</v>
      </c>
      <c r="AB28" s="28">
        <f t="array" ref="AB28">IF($I27="","",XLOOKUP(LOWER(XLOOKUP($B28,Derived_Variables!$A:$A,Derived_Variables!$T:$T,"Standard"))&amp;"_sph_step",Calibration!$B:$B,Calibration!$C:$C,0.25))</f>
        <v>0.25</v>
      </c>
      <c r="AC28" s="28">
        <f t="array" ref="AC28">IF($I27="","",XLOOKUP(LOWER(XLOOKUP($B28,Derived_Variables!$A:$A,Derived_Variables!$T:$T,"Standard"))&amp;"_cyl_step",Calibration!$B:$B,Calibration!$C:$C,0.25))</f>
        <v>0.25</v>
      </c>
      <c r="AD28" s="28">
        <f t="array" ref="AD28">IF($I27="","",IF(OR(C28="E",C28="H"),LET(startStep,XLOOKUP("axis_start_step",Calibration!$B:$B,Calibration!$C:$C,5),step1,XLOOKUP("axis_reversal_step_1",Calibration!$B:$B,Calibration!$C:$C,3),step2,XLOOKUP("axis_reversal_step_2",Calibration!$B:$B,Calibration!$C:$C,1),IF(OR(C27&lt;&gt;C28,AZ28="",AZ28="SAME",AZ28="CANT_TELL",I28="",I28="SAME",I28="CANT_TELL"),startStep,IF(OR(AND(AZ28="BETTER_1",I28="BETTER_2"),AND(AZ28="BETTER_2",I28="BETTER_1")),IF(AD27&gt;step1,step1,step2),AD27))),0))</f>
        <v>0</v>
      </c>
      <c r="AE28" s="28" t="str">
        <f t="array" ref="AE28">IF($I27="","",XLOOKUP($B28,Derived_Variables!$A:$A,Derived_Variables!$AD:$AD,"No_Fog"))</f>
        <v>Strong_Fog</v>
      </c>
      <c r="AF28" s="28">
        <f t="array" ref="AF28">IF($I27="","",XLOOKUP($B28,Derived_Variables!$A:$A,Derived_Variables!$AE:$AE,0))</f>
        <v>1</v>
      </c>
      <c r="AG28" s="28" t="str">
        <f t="array" ref="AG28">IF($I27="","",XLOOKUP($B28,Derived_Variables!$A:$A,Derived_Variables!$AF:$AF,""))</f>
        <v>StepDown_0.25</v>
      </c>
      <c r="AH28" s="28" t="str">
        <f t="array" ref="AH28">IF($I27="","",XLOOKUP($B28,Derived_Variables!$A:$A,Derived_Variables!$AG:$AG,""))</f>
        <v>Low</v>
      </c>
      <c r="AI28" s="28" t="str">
        <f t="array" ref="AI28">IF($I27="","",XLOOKUP($B28,Derived_Variables!$A:$A,Derived_Variables!$AC:$AC,"Medium"))</f>
        <v>Low</v>
      </c>
      <c r="AJ28" s="28" t="b">
        <f t="array" ref="AJ28">IF($I27="","",XLOOKUP($B28,Derived_Variables!$A:$A,Derived_Variables!$Y:$Y,FALSE))</f>
        <v>0</v>
      </c>
      <c r="AK28" s="28" t="str">
        <f t="array" ref="AK28">IF($I27="","",XLOOKUP($B28,Derived_Variables!$A:$A,Derived_Variables!$AA:$AA,"Normal"))</f>
        <v>Slow</v>
      </c>
      <c r="AL28" s="28" t="str">
        <f t="array" ref="AL28">IF($I27="","",XLOOKUP($B28,Derived_Variables!$A:$A,Derived_Variables!$AB:$AB,"Normal"))</f>
        <v>Relaxed</v>
      </c>
      <c r="AM28" s="28">
        <f t="array" ref="AM28">IF($I28="","",IFS(C28="B",IF(OR(I28="NOT_READABLE",I28="BLURRY"),-AB28,0),C28="G",IFS(I28="RED_CLEARER",XLOOKUP("duochrome_red_step",Calibration!$B:$B,Calibration!$C:$C,-0.25),I28="GREEN_CLEARER",XLOOKUP("duochrome_green_step",Calibration!$B:$B,Calibration!$C:$C,0.25),I28="EQUAL",IF(XLOOKUP($B28,Derived_Variables!$A:$A,Derived_Variables!$S:$S,"Neutral")="Undercorrect",XLOOKUP("undercorrect_step",Calibration!$B:$B,Calibration!$C:$C,0.25),IF(XLOOKUP($B28,Derived_Variables!$A:$A,Derived_Variables!$S:$S,"Neutral")="Overcorrect",-XLOOKUP("overcorrect_step",Calibration!$B:$B,Calibration!$C:$C,0.25),0)),TRUE,0),C28="K",IF(I28="TOP_CLEARER",XLOOKUP("bino_balance_step",Calibration!$B:$B,Calibration!$C:$C,0.25),0),TRUE,0))</f>
        <v>0</v>
      </c>
      <c r="AN28" s="28">
        <f t="shared" si="10"/>
        <v>0</v>
      </c>
      <c r="AO28" s="28">
        <f t="shared" si="11"/>
        <v>0</v>
      </c>
      <c r="AP28" s="28">
        <f t="array" ref="AP28">IF($I28="","",IFS(C28="D",IF(OR(I28="NOT_READABLE",I28="BLURRY"),-AB28,0),C28="J",IFS(I28="RED_CLEARER",XLOOKUP("duochrome_red_step",Calibration!$B:$B,Calibration!$C:$C,-0.25),I28="GREEN_CLEARER",XLOOKUP("duochrome_green_step",Calibration!$B:$B,Calibration!$C:$C,0.25),I28="EQUAL",IF(XLOOKUP($B28,Derived_Variables!$A:$A,Derived_Variables!$S:$S,"Neutral")="Undercorrect",XLOOKUP("undercorrect_step",Calibration!$B:$B,Calibration!$C:$C,0.25),IF(XLOOKUP($B28,Derived_Variables!$A:$A,Derived_Variables!$S:$S,"Neutral")="Overcorrect",-XLOOKUP("overcorrect_step",Calibration!$B:$B,Calibration!$C:$C,0.25),0)),TRUE,0),C28="K",IF(I28="BOTTOM_CLEARER",XLOOKUP("bino_balance_step",Calibration!$B:$B,Calibration!$C:$C,0.25),0),TRUE,0))</f>
        <v>-0.25</v>
      </c>
      <c r="AQ28" s="28">
        <f t="shared" si="12"/>
        <v>0</v>
      </c>
      <c r="AR28" s="28">
        <f t="shared" si="13"/>
        <v>0</v>
      </c>
      <c r="AS28" s="28">
        <f t="array" ref="AS28">IF($I28="","",IF(C28="P",IF(OR(I28="NOT_READABLE",I28="BLURRY"),XLOOKUP("near_add_step",Calibration!$B:$B,Calibration!$C:$C,0.25),0),IF(C28="R",IF(I28="NOT_CLEAR",XLOOKUP("near_add_step",Calibration!$B:$B,Calibration!$C:$C,0.25),0),0)))</f>
        <v>0</v>
      </c>
      <c r="AT28" s="28">
        <f t="array" ref="AT28">IF($I28="","",IF(C28="Q",IF(OR(I28="NOT_READABLE",I28="BLURRY"),XLOOKUP("near_add_step",Calibration!$B:$B,Calibration!$C:$C,0.25),0),IF(C28="R",IF(I28="NOT_CLEAR",XLOOKUP("near_add_step",Calibration!$B:$B,Calibration!$C:$C,0.25),0),0)))</f>
        <v>0</v>
      </c>
      <c r="AU28" s="28" t="str">
        <f t="array" ref="AU28">IF($I28="","",IF(G28="SNELLEN_FEET",IF(I28="READABLE",IFERROR(XLOOKUP(XLOOKUP(R28,Chart_Scale_Distance!B:B,Chart_Scale_Distance!A:A)+1,Chart_Scale_Distance!A:A,Chart_Scale_Distance!B:B),R28),R28),R28))</f>
        <v>20_20_20</v>
      </c>
      <c r="AV28" s="28">
        <f t="array" ref="AV28">IF($I27="","",IFERROR(XLOOKUP(R28,Chart_Scale_Distance!$B:$B,Chart_Scale_Distance!$A:$A,""),""))</f>
        <v>6</v>
      </c>
      <c r="AW28" s="28">
        <f t="array" ref="AW28">IF($I27="","",IFERROR(XLOOKUP(AA28,Chart_Scale_Distance!$B:$B,Chart_Scale_Distance!$A:$A,""),""))</f>
        <v>6</v>
      </c>
      <c r="AX28" s="28">
        <f t="shared" si="14"/>
        <v>0</v>
      </c>
      <c r="AY28" s="28">
        <f t="shared" si="15"/>
        <v>3</v>
      </c>
      <c r="AZ28" s="28" t="str">
        <f t="shared" si="16"/>
        <v/>
      </c>
      <c r="BA28" s="28">
        <f t="shared" si="17"/>
        <v>0</v>
      </c>
      <c r="BB28" s="28">
        <f t="shared" si="18"/>
        <v>0</v>
      </c>
      <c r="BC28" s="28" t="str">
        <f t="array" ref="BC28">IF($I28="","",LET(
conf,AI28,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duoMax,XLOOKUP($B28,Derived_Variables!$A:$A,Derived_Variables!$AI:$AI,4),
axisTol,XLOOKUP($B28,Derived_Variables!$A:$A,Derived_Variables!$W:$W,1),
maxStart,XLOOKUP($B28,Derived_Variables!$A:$A,Derived_Variables!$U:$U,1.25),
maxAR,XLOOKUP($B28,Derived_Variables!$A:$A,Derived_Variables!$V:$V,3),
anom,XLOOKUP($B28,Derived_Variables!$A:$A,Derived_Variables!$Z:$Z,FALSE),
reStart,XLOOKUP($B28,Derived_Variables!$A:$A,Derived_Variables!$K:$K,0),
leStart,XLOOKUP($B28,Derived_Variables!$A:$A,Derived_Variables!$N:$N,0),
reAR,XLOOKUP($B28,AR_Input!$A:$A,AR_Input!$B:$B,reStart),
leAR,XLOOKUP($B28,AR_Input!$A:$A,AR_Input!$E:$E,leStart),
reEsc,AND(anom,OR(ABS((S28+AM28)-reStart)&gt;maxStart,ABS((S28+AM28)-reAR)&gt;maxAR)),
leEsc,AND(anom,OR(ABS((V28+AP28)-leStart)&gt;maxStart,ABS((V28+AP28)-leAR)&gt;maxAR)),
phaseMax,IFS(
 AK28="Fast",
   IFS(
     OR(C28="B",C28="D"),XLOOKUP("timeout_coarse_fast",Calibration!$B:$B,Calibration!$C:$C,24),
     OR(C28="E",C28="F",C28="H",C28="I"),XLOOKUP("timeout_jcc_fast",Calibration!$B:$B,Calibration!$C:$C,10),
     OR(C28="G",C28="J"),XLOOKUP("timeout_duochrome_fast",Calibration!$B:$B,Calibration!$C:$C,8),
     C28="K",XLOOKUP("timeout_bino_fast",Calibration!$B:$B,Calibration!$C:$C,10),
     OR(C28="P",C28="Q",C28="R"),XLOOKUP("timeout_near_fast",Calibration!$B:$B,Calibration!$C:$C,16),
     TRUE,XLOOKUP("timeout_coarse_fast",Calibration!$B:$B,Calibration!$C:$C,24)
   ),
 AK28="Normal",
   IFS(
     OR(C28="B",C28="D"),XLOOKUP("timeout_coarse_normal",Calibration!$B:$B,Calibration!$C:$C,36),
     OR(C28="E",C28="F",C28="H",C28="I"),XLOOKUP("timeout_jcc_normal",Calibration!$B:$B,Calibration!$C:$C,14),
     OR(C28="G",C28="J"),XLOOKUP("timeout_duochrome_normal",Calibration!$B:$B,Calibration!$C:$C,10),
     C28="K",XLOOKUP("timeout_bino_normal",Calibration!$B:$B,Calibration!$C:$C,14),
     OR(C28="P",C28="Q",C28="R"),XLOOKUP("timeout_near_normal",Calibration!$B:$B,Calibration!$C:$C,22),
     TRUE,XLOOKUP("timeout_coarse_normal",Calibration!$B:$B,Calibration!$C:$C,36)
   ),
 TRUE,
   IFS(
     OR(C28="B",C28="D"),XLOOKUP("timeout_coarse_slow",Calibration!$B:$B,Calibration!$C:$C,48),
     OR(C28="E",C28="F",C28="H",C28="I"),XLOOKUP("timeout_jcc_slow",Calibration!$B:$B,Calibration!$C:$C,18),
     OR(C28="G",C28="J"),XLOOKUP("timeout_duochrome_slow",Calibration!$B:$B,Calibration!$C:$C,12),
     C28="K",XLOOKUP("timeout_bino_slow",Calibration!$B:$B,Calibration!$C:$C,18),
     OR(C28="P",C28="Q",C28="R"),XLOOKUP("timeout_near_slow",Calibration!$B:$B,Calibration!$C:$C,28),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AJ28=TRUE,"ESCALATE",
C28="A",
IF(OR(I28="NOT_READABLE",I28="BLURRY",AND(R28="20_20_20",I28="READABLE")),"B","A"),
C28="B",
IF(reEsc,"ESCALATE",IF(AY28&gt;=phaseMax,"ESCALATE",IF(AND(AV28&gt;=AW28,I28="READABLE"),"E","B"))),
C28="E",
IF(AY28&gt;=phaseMax,"ESCALATE",IF(OR(I28="SAME",I28="CANT_TELL",AD28&lt;axisTol),"F","E")),
C28="F",
IF(AY28&gt;=phaseMax,"ESCALATE",IF(AX28&gt;=powerSameN,"G","F")),
C28="G",
IF(AY28&gt;=phaseMax,"ESCALATE",IF(OR(AX28&gt;=duoEqualN,BB28&gt;=duoMax),"D","G")),
C28="D",
IF(leEsc,"ESCALATE",IF(AY28&gt;=phaseMax,"ESCALATE",IF(AND(AV28&gt;=AW28,I28="READABLE"),"H","D"))),
C28="H",
IF(AY28&gt;=phaseMax,"ESCALATE",IF(OR(I28="SAME",I28="CANT_TELL",AD28&lt;axisTol),"I","H")),
C28="I",
IF(AY28&gt;=phaseMax,"ESCALATE",IF(AX28&gt;=powerSameN,"J","I")),
C28="J",
IF(AY28&gt;=phaseMax,"ESCALATE",IF(OR(AX28&gt;=duoEqualN,BB28&gt;=duoMax),"K","J")),
C28="K",
IF(AY28&gt;=phaseMax,"ESCALATE",IF(AX28&gt;=binoSameN,IF(XLOOKUP($B28,Derived_Variables!$A:$A,Derived_Variables!$AJ:$AJ,FALSE)=TRUE,"P","END"),"K")),
C28="P",
IF(AY28&gt;=phaseMax,"ESCALATE",IF(OR(I28="READABLE",I28="SAME"),"Q","P")),
C28="Q",
IF(AY28&gt;=phaseMax,"ESCALATE",IF(OR(I28="READABLE",I28="SAME"),"R","Q")),
C28="R",
IF(AY28&gt;=phaseMax,"ESCALATE",IF(OR(I28=nearTarget,I28="SAME"),"END","R")),
TRUE,"END"
)))</f>
        <v>D</v>
      </c>
      <c r="BD28" s="28" t="b">
        <f t="shared" si="19"/>
        <v>1</v>
      </c>
    </row>
    <row r="29" ht="15.75" customHeight="1">
      <c r="A29" s="28">
        <f t="shared" si="3"/>
        <v>28</v>
      </c>
      <c r="B29" s="28">
        <f t="shared" si="4"/>
        <v>6</v>
      </c>
      <c r="C29" s="28" t="str">
        <f t="shared" si="5"/>
        <v>D</v>
      </c>
      <c r="D29" s="28" t="str">
        <f t="array" ref="D29">IF($I28="","",XLOOKUP(C29,FSM_State_Map!A:A,FSM_State_Map!B:B,""))</f>
        <v>Coarse Sphere LE</v>
      </c>
      <c r="E29" s="28" t="str">
        <f t="array" ref="E29">IF($I28="","",XLOOKUP(C29,FSM_State_Map!A:A,FSM_State_Map!C:C,""))</f>
        <v>COARSE_SPHERE</v>
      </c>
      <c r="F29" s="28" t="str">
        <f t="array" ref="F29">IF($I28="","",XLOOKUP(E29,Phase_UI_Map!A:A,Phase_UI_Map!B:B,""))</f>
        <v>COARSE_SPH</v>
      </c>
      <c r="G29" s="28" t="str">
        <f t="array" ref="G29">IF($I28="","",XLOOKUP(E29,Phase_UI_Map!A:A,Phase_UI_Map!C:C,""))</f>
        <v>SNELLEN_FEET</v>
      </c>
      <c r="H29" s="28" t="str">
        <f t="array" ref="H29">IF($I28="","",XLOOKUP(E29,Phase_UI_Map!A:A,Phase_UI_Map!D:D,""))</f>
        <v>READABILITY</v>
      </c>
      <c r="I29" s="29" t="s">
        <v>219</v>
      </c>
      <c r="J29" s="28" t="str">
        <f>IFERROR(__xludf.DUMMYFUNCTION("IF($I28="""","""",IFERROR(INDEX(FILTER(Response_Lists!$B:$B,Response_Lists!$A:$A=$H29),1),""""))"),"READABLE")</f>
        <v>READABLE</v>
      </c>
      <c r="K29" s="28" t="str">
        <f>IFERROR(__xludf.DUMMYFUNCTION("IF($I28="""","""",IFERROR(INDEX(FILTER(Response_Lists!$B:$B,Response_Lists!$A:$A=$H29),2),""""))"),"NOT_READABLE")</f>
        <v>NOT_READABLE</v>
      </c>
      <c r="L29" s="28" t="str">
        <f>IFERROR(__xludf.DUMMYFUNCTION("IF($I28="""","""",IFERROR(INDEX(FILTER(Response_Lists!$B:$B,Response_Lists!$A:$A=$H29),3),""""))"),"BLURRY")</f>
        <v>BLURRY</v>
      </c>
      <c r="M29" s="28" t="str">
        <f>IFERROR(__xludf.DUMMYFUNCTION("IF($I28="""","""",IFERROR(INDEX(FILTER(Response_Lists!$B:$B,Response_Lists!$A:$A=$H29),4),""""))"),"")</f>
        <v/>
      </c>
      <c r="N29" s="28" t="str">
        <f>IFERROR(__xludf.DUMMYFUNCTION("IF($I28="""","""",IFERROR(INDEX(FILTER(Response_Lists!$B:$B,Response_Lists!$A:$A=$H29),5),""""))"),"")</f>
        <v/>
      </c>
      <c r="O29" s="28" t="str">
        <f>IFERROR(__xludf.DUMMYFUNCTION("IF($I28="""","""",IFERROR(INDEX(FILTER(Response_Lists!$B:$B,Response_Lists!$A:$A=$H29),6),""""))"),"")</f>
        <v/>
      </c>
      <c r="P29" s="28" t="str">
        <f t="shared" si="6"/>
        <v>Can you read this clearly?</v>
      </c>
      <c r="Q29" s="28" t="str">
        <f t="array" ref="Q29">IF($I28="","",XLOOKUP(C29,FSM_State_Map!A:A,FSM_State_Map!D:D,""))</f>
        <v>LE</v>
      </c>
      <c r="R29" s="28" t="str">
        <f t="shared" si="7"/>
        <v>20_20_20</v>
      </c>
      <c r="S29" s="28">
        <f t="array" ref="S29">IF($I28="","",
IF(
  AND(C29="B",C28&lt;&gt;"B"),
  XLOOKUP($B29,Derived_Variables!$A:$A,Derived_Variables!$K:$K,0)
  + XLOOKUP($B29,Derived_Variables!$A:$A,Derived_Variables!$AE:$AE,0),
  S28+AM28
))</f>
        <v>-1.25</v>
      </c>
      <c r="T29" s="28">
        <f t="shared" ref="T29:U29" si="68">IF($I28="","",T28+AN28)</f>
        <v>-0.25</v>
      </c>
      <c r="U29" s="28">
        <f t="shared" si="68"/>
        <v>2</v>
      </c>
      <c r="V29" s="28">
        <f t="array" ref="V29">IF($I28="","",
IF(
  AND(C29="D",C28&lt;&gt;"D"),
  XLOOKUP($B29,Derived_Variables!$A:$A,Derived_Variables!$N:$N,0)
  + XLOOKUP($B29,Derived_Variables!$A:$A,Derived_Variables!$AE:$AE,0),
  V28+AP28
))</f>
        <v>-0.75</v>
      </c>
      <c r="W29" s="28">
        <f t="shared" ref="W29:X29" si="69">IF($I28="","",W28+AQ28)</f>
        <v>0</v>
      </c>
      <c r="X29" s="28">
        <f t="shared" si="69"/>
        <v>0</v>
      </c>
      <c r="Y29" s="28">
        <f t="array" ref="Y29">IF($I28="","",IF(AND(C29="P",C28&lt;&gt;"P"),IFERROR(XLOOKUP($B29,Lenso_Input!$A:$A,Lenso_Input!$E:$E,0),0),Y28+AS28))</f>
        <v>0</v>
      </c>
      <c r="Z29" s="28">
        <f t="array" ref="Z29">IF($I28="","",IF(AND(C29="Q",C28&lt;&gt;"Q"),IFERROR(XLOOKUP($B29,Lenso_Input!$A:$A,Lenso_Input!$I:$I,0),0),Z28+AT28))</f>
        <v>0</v>
      </c>
      <c r="AA29" s="28" t="str">
        <f t="array" ref="AA29">IF($I28="","",IF(XLOOKUP($B29,Derived_Variables!$A:$A,Derived_Variables!$R:$R,"6/6_target")="6/6_target","20_20_20","40_30_25"))</f>
        <v>20_20_20</v>
      </c>
      <c r="AB29" s="28">
        <f t="array" ref="AB29">IF($I28="","",XLOOKUP(LOWER(XLOOKUP($B29,Derived_Variables!$A:$A,Derived_Variables!$T:$T,"Standard"))&amp;"_sph_step",Calibration!$B:$B,Calibration!$C:$C,0.25))</f>
        <v>0.25</v>
      </c>
      <c r="AC29" s="28">
        <f t="array" ref="AC29">IF($I28="","",XLOOKUP(LOWER(XLOOKUP($B29,Derived_Variables!$A:$A,Derived_Variables!$T:$T,"Standard"))&amp;"_cyl_step",Calibration!$B:$B,Calibration!$C:$C,0.25))</f>
        <v>0.25</v>
      </c>
      <c r="AD29" s="28">
        <f t="array" ref="AD29">IF($I28="","",IF(OR(C29="E",C29="H"),LET(startStep,XLOOKUP("axis_start_step",Calibration!$B:$B,Calibration!$C:$C,5),step1,XLOOKUP("axis_reversal_step_1",Calibration!$B:$B,Calibration!$C:$C,3),step2,XLOOKUP("axis_reversal_step_2",Calibration!$B:$B,Calibration!$C:$C,1),IF(OR(C28&lt;&gt;C29,AZ29="",AZ29="SAME",AZ29="CANT_TELL",I29="",I29="SAME",I29="CANT_TELL"),startStep,IF(OR(AND(AZ29="BETTER_1",I29="BETTER_2"),AND(AZ29="BETTER_2",I29="BETTER_1")),IF(AD28&gt;step1,step1,step2),AD28))),0))</f>
        <v>0</v>
      </c>
      <c r="AE29" s="28" t="str">
        <f t="array" ref="AE29">IF($I28="","",XLOOKUP($B29,Derived_Variables!$A:$A,Derived_Variables!$AD:$AD,"No_Fog"))</f>
        <v>Strong_Fog</v>
      </c>
      <c r="AF29" s="28">
        <f t="array" ref="AF29">IF($I28="","",XLOOKUP($B29,Derived_Variables!$A:$A,Derived_Variables!$AE:$AE,0))</f>
        <v>1</v>
      </c>
      <c r="AG29" s="28" t="str">
        <f t="array" ref="AG29">IF($I28="","",XLOOKUP($B29,Derived_Variables!$A:$A,Derived_Variables!$AF:$AF,""))</f>
        <v>StepDown_0.25</v>
      </c>
      <c r="AH29" s="28" t="str">
        <f t="array" ref="AH29">IF($I28="","",XLOOKUP($B29,Derived_Variables!$A:$A,Derived_Variables!$AG:$AG,""))</f>
        <v>Low</v>
      </c>
      <c r="AI29" s="28" t="str">
        <f t="array" ref="AI29">IF($I28="","",XLOOKUP($B29,Derived_Variables!$A:$A,Derived_Variables!$AC:$AC,"Medium"))</f>
        <v>Low</v>
      </c>
      <c r="AJ29" s="28" t="b">
        <f t="array" ref="AJ29">IF($I28="","",XLOOKUP($B29,Derived_Variables!$A:$A,Derived_Variables!$Y:$Y,FALSE))</f>
        <v>0</v>
      </c>
      <c r="AK29" s="28" t="str">
        <f t="array" ref="AK29">IF($I28="","",XLOOKUP($B29,Derived_Variables!$A:$A,Derived_Variables!$AA:$AA,"Normal"))</f>
        <v>Slow</v>
      </c>
      <c r="AL29" s="28" t="str">
        <f t="array" ref="AL29">IF($I28="","",XLOOKUP($B29,Derived_Variables!$A:$A,Derived_Variables!$AB:$AB,"Normal"))</f>
        <v>Relaxed</v>
      </c>
      <c r="AM29" s="28">
        <f t="array" ref="AM29">IF($I29="","",IFS(C29="B",IF(OR(I29="NOT_READABLE",I29="BLURRY"),-AB29,0),C29="G",IFS(I29="RED_CLEARER",XLOOKUP("duochrome_red_step",Calibration!$B:$B,Calibration!$C:$C,-0.25),I29="GREEN_CLEARER",XLOOKUP("duochrome_green_step",Calibration!$B:$B,Calibration!$C:$C,0.25),I29="EQUAL",IF(XLOOKUP($B29,Derived_Variables!$A:$A,Derived_Variables!$S:$S,"Neutral")="Undercorrect",XLOOKUP("undercorrect_step",Calibration!$B:$B,Calibration!$C:$C,0.25),IF(XLOOKUP($B29,Derived_Variables!$A:$A,Derived_Variables!$S:$S,"Neutral")="Overcorrect",-XLOOKUP("overcorrect_step",Calibration!$B:$B,Calibration!$C:$C,0.25),0)),TRUE,0),C29="K",IF(I29="TOP_CLEARER",XLOOKUP("bino_balance_step",Calibration!$B:$B,Calibration!$C:$C,0.25),0),TRUE,0))</f>
        <v>0</v>
      </c>
      <c r="AN29" s="28">
        <f t="shared" si="10"/>
        <v>0</v>
      </c>
      <c r="AO29" s="28">
        <f t="shared" si="11"/>
        <v>0</v>
      </c>
      <c r="AP29" s="28">
        <f t="array" ref="AP29">IF($I29="","",IFS(C29="D",IF(OR(I29="NOT_READABLE",I29="BLURRY"),-AB29,0),C29="J",IFS(I29="RED_CLEARER",XLOOKUP("duochrome_red_step",Calibration!$B:$B,Calibration!$C:$C,-0.25),I29="GREEN_CLEARER",XLOOKUP("duochrome_green_step",Calibration!$B:$B,Calibration!$C:$C,0.25),I29="EQUAL",IF(XLOOKUP($B29,Derived_Variables!$A:$A,Derived_Variables!$S:$S,"Neutral")="Undercorrect",XLOOKUP("undercorrect_step",Calibration!$B:$B,Calibration!$C:$C,0.25),IF(XLOOKUP($B29,Derived_Variables!$A:$A,Derived_Variables!$S:$S,"Neutral")="Overcorrect",-XLOOKUP("overcorrect_step",Calibration!$B:$B,Calibration!$C:$C,0.25),0)),TRUE,0),C29="K",IF(I29="BOTTOM_CLEARER",XLOOKUP("bino_balance_step",Calibration!$B:$B,Calibration!$C:$C,0.25),0),TRUE,0))</f>
        <v>-0.25</v>
      </c>
      <c r="AQ29" s="28">
        <f t="shared" si="12"/>
        <v>0</v>
      </c>
      <c r="AR29" s="28">
        <f t="shared" si="13"/>
        <v>0</v>
      </c>
      <c r="AS29" s="28">
        <f t="array" ref="AS29">IF($I29="","",IF(C29="P",IF(OR(I29="NOT_READABLE",I29="BLURRY"),XLOOKUP("near_add_step",Calibration!$B:$B,Calibration!$C:$C,0.25),0),IF(C29="R",IF(I29="NOT_CLEAR",XLOOKUP("near_add_step",Calibration!$B:$B,Calibration!$C:$C,0.25),0),0)))</f>
        <v>0</v>
      </c>
      <c r="AT29" s="28">
        <f t="array" ref="AT29">IF($I29="","",IF(C29="Q",IF(OR(I29="NOT_READABLE",I29="BLURRY"),XLOOKUP("near_add_step",Calibration!$B:$B,Calibration!$C:$C,0.25),0),IF(C29="R",IF(I29="NOT_CLEAR",XLOOKUP("near_add_step",Calibration!$B:$B,Calibration!$C:$C,0.25),0),0)))</f>
        <v>0</v>
      </c>
      <c r="AU29" s="28" t="str">
        <f t="array" ref="AU29">IF($I29="","",IF(G29="SNELLEN_FEET",IF(I29="READABLE",IFERROR(XLOOKUP(XLOOKUP(R29,Chart_Scale_Distance!B:B,Chart_Scale_Distance!A:A)+1,Chart_Scale_Distance!A:A,Chart_Scale_Distance!B:B),R29),R29),R29))</f>
        <v>20_20_20</v>
      </c>
      <c r="AV29" s="28">
        <f t="array" ref="AV29">IF($I28="","",IFERROR(XLOOKUP(R29,Chart_Scale_Distance!$B:$B,Chart_Scale_Distance!$A:$A,""),""))</f>
        <v>6</v>
      </c>
      <c r="AW29" s="28">
        <f t="array" ref="AW29">IF($I28="","",IFERROR(XLOOKUP(AA29,Chart_Scale_Distance!$B:$B,Chart_Scale_Distance!$A:$A,""),""))</f>
        <v>6</v>
      </c>
      <c r="AX29" s="28">
        <f t="shared" si="14"/>
        <v>0</v>
      </c>
      <c r="AY29" s="28">
        <f t="shared" si="15"/>
        <v>4</v>
      </c>
      <c r="AZ29" s="28" t="str">
        <f t="shared" si="16"/>
        <v/>
      </c>
      <c r="BA29" s="28">
        <f t="shared" si="17"/>
        <v>0</v>
      </c>
      <c r="BB29" s="28">
        <f t="shared" si="18"/>
        <v>0</v>
      </c>
      <c r="BC29" s="28" t="str">
        <f t="array" ref="BC29">IF($I29="","",LET(
conf,AI29,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duoMax,XLOOKUP($B29,Derived_Variables!$A:$A,Derived_Variables!$AI:$AI,4),
axisTol,XLOOKUP($B29,Derived_Variables!$A:$A,Derived_Variables!$W:$W,1),
maxStart,XLOOKUP($B29,Derived_Variables!$A:$A,Derived_Variables!$U:$U,1.25),
maxAR,XLOOKUP($B29,Derived_Variables!$A:$A,Derived_Variables!$V:$V,3),
anom,XLOOKUP($B29,Derived_Variables!$A:$A,Derived_Variables!$Z:$Z,FALSE),
reStart,XLOOKUP($B29,Derived_Variables!$A:$A,Derived_Variables!$K:$K,0),
leStart,XLOOKUP($B29,Derived_Variables!$A:$A,Derived_Variables!$N:$N,0),
reAR,XLOOKUP($B29,AR_Input!$A:$A,AR_Input!$B:$B,reStart),
leAR,XLOOKUP($B29,AR_Input!$A:$A,AR_Input!$E:$E,leStart),
reEsc,AND(anom,OR(ABS((S29+AM29)-reStart)&gt;maxStart,ABS((S29+AM29)-reAR)&gt;maxAR)),
leEsc,AND(anom,OR(ABS((V29+AP29)-leStart)&gt;maxStart,ABS((V29+AP29)-leAR)&gt;maxAR)),
phaseMax,IFS(
 AK29="Fast",
   IFS(
     OR(C29="B",C29="D"),XLOOKUP("timeout_coarse_fast",Calibration!$B:$B,Calibration!$C:$C,24),
     OR(C29="E",C29="F",C29="H",C29="I"),XLOOKUP("timeout_jcc_fast",Calibration!$B:$B,Calibration!$C:$C,10),
     OR(C29="G",C29="J"),XLOOKUP("timeout_duochrome_fast",Calibration!$B:$B,Calibration!$C:$C,8),
     C29="K",XLOOKUP("timeout_bino_fast",Calibration!$B:$B,Calibration!$C:$C,10),
     OR(C29="P",C29="Q",C29="R"),XLOOKUP("timeout_near_fast",Calibration!$B:$B,Calibration!$C:$C,16),
     TRUE,XLOOKUP("timeout_coarse_fast",Calibration!$B:$B,Calibration!$C:$C,24)
   ),
 AK29="Normal",
   IFS(
     OR(C29="B",C29="D"),XLOOKUP("timeout_coarse_normal",Calibration!$B:$B,Calibration!$C:$C,36),
     OR(C29="E",C29="F",C29="H",C29="I"),XLOOKUP("timeout_jcc_normal",Calibration!$B:$B,Calibration!$C:$C,14),
     OR(C29="G",C29="J"),XLOOKUP("timeout_duochrome_normal",Calibration!$B:$B,Calibration!$C:$C,10),
     C29="K",XLOOKUP("timeout_bino_normal",Calibration!$B:$B,Calibration!$C:$C,14),
     OR(C29="P",C29="Q",C29="R"),XLOOKUP("timeout_near_normal",Calibration!$B:$B,Calibration!$C:$C,22),
     TRUE,XLOOKUP("timeout_coarse_normal",Calibration!$B:$B,Calibration!$C:$C,36)
   ),
 TRUE,
   IFS(
     OR(C29="B",C29="D"),XLOOKUP("timeout_coarse_slow",Calibration!$B:$B,Calibration!$C:$C,48),
     OR(C29="E",C29="F",C29="H",C29="I"),XLOOKUP("timeout_jcc_slow",Calibration!$B:$B,Calibration!$C:$C,18),
     OR(C29="G",C29="J"),XLOOKUP("timeout_duochrome_slow",Calibration!$B:$B,Calibration!$C:$C,12),
     C29="K",XLOOKUP("timeout_bino_slow",Calibration!$B:$B,Calibration!$C:$C,18),
     OR(C29="P",C29="Q",C29="R"),XLOOKUP("timeout_near_slow",Calibration!$B:$B,Calibration!$C:$C,28),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AJ29=TRUE,"ESCALATE",
C29="A",
IF(OR(I29="NOT_READABLE",I29="BLURRY",AND(R29="20_20_20",I29="READABLE")),"B","A"),
C29="B",
IF(reEsc,"ESCALATE",IF(AY29&gt;=phaseMax,"ESCALATE",IF(AND(AV29&gt;=AW29,I29="READABLE"),"E","B"))),
C29="E",
IF(AY29&gt;=phaseMax,"ESCALATE",IF(OR(I29="SAME",I29="CANT_TELL",AD29&lt;axisTol),"F","E")),
C29="F",
IF(AY29&gt;=phaseMax,"ESCALATE",IF(AX29&gt;=powerSameN,"G","F")),
C29="G",
IF(AY29&gt;=phaseMax,"ESCALATE",IF(OR(AX29&gt;=duoEqualN,BB29&gt;=duoMax),"D","G")),
C29="D",
IF(leEsc,"ESCALATE",IF(AY29&gt;=phaseMax,"ESCALATE",IF(AND(AV29&gt;=AW29,I29="READABLE"),"H","D"))),
C29="H",
IF(AY29&gt;=phaseMax,"ESCALATE",IF(OR(I29="SAME",I29="CANT_TELL",AD29&lt;axisTol),"I","H")),
C29="I",
IF(AY29&gt;=phaseMax,"ESCALATE",IF(AX29&gt;=powerSameN,"J","I")),
C29="J",
IF(AY29&gt;=phaseMax,"ESCALATE",IF(OR(AX29&gt;=duoEqualN,BB29&gt;=duoMax),"K","J")),
C29="K",
IF(AY29&gt;=phaseMax,"ESCALATE",IF(AX29&gt;=binoSameN,IF(XLOOKUP($B29,Derived_Variables!$A:$A,Derived_Variables!$AJ:$AJ,FALSE)=TRUE,"P","END"),"K")),
C29="P",
IF(AY29&gt;=phaseMax,"ESCALATE",IF(OR(I29="READABLE",I29="SAME"),"Q","P")),
C29="Q",
IF(AY29&gt;=phaseMax,"ESCALATE",IF(OR(I29="READABLE",I29="SAME"),"R","Q")),
C29="R",
IF(AY29&gt;=phaseMax,"ESCALATE",IF(OR(I29=nearTarget,I29="SAME"),"END","R")),
TRUE,"END"
)))</f>
        <v>D</v>
      </c>
      <c r="BD29" s="28" t="b">
        <f t="shared" si="19"/>
        <v>1</v>
      </c>
    </row>
    <row r="30" ht="15.75" customHeight="1">
      <c r="A30" s="28">
        <f t="shared" si="3"/>
        <v>29</v>
      </c>
      <c r="B30" s="28">
        <f t="shared" si="4"/>
        <v>6</v>
      </c>
      <c r="C30" s="28" t="str">
        <f t="shared" si="5"/>
        <v>D</v>
      </c>
      <c r="D30" s="28" t="str">
        <f t="array" ref="D30">IF($I29="","",XLOOKUP(C30,FSM_State_Map!A:A,FSM_State_Map!B:B,""))</f>
        <v>Coarse Sphere LE</v>
      </c>
      <c r="E30" s="28" t="str">
        <f t="array" ref="E30">IF($I29="","",XLOOKUP(C30,FSM_State_Map!A:A,FSM_State_Map!C:C,""))</f>
        <v>COARSE_SPHERE</v>
      </c>
      <c r="F30" s="28" t="str">
        <f t="array" ref="F30">IF($I29="","",XLOOKUP(E30,Phase_UI_Map!A:A,Phase_UI_Map!B:B,""))</f>
        <v>COARSE_SPH</v>
      </c>
      <c r="G30" s="28" t="str">
        <f t="array" ref="G30">IF($I29="","",XLOOKUP(E30,Phase_UI_Map!A:A,Phase_UI_Map!C:C,""))</f>
        <v>SNELLEN_FEET</v>
      </c>
      <c r="H30" s="28" t="str">
        <f t="array" ref="H30">IF($I29="","",XLOOKUP(E30,Phase_UI_Map!A:A,Phase_UI_Map!D:D,""))</f>
        <v>READABILITY</v>
      </c>
      <c r="I30" s="29" t="s">
        <v>219</v>
      </c>
      <c r="J30" s="28" t="str">
        <f>IFERROR(__xludf.DUMMYFUNCTION("IF($I29="""","""",IFERROR(INDEX(FILTER(Response_Lists!$B:$B,Response_Lists!$A:$A=$H30),1),""""))"),"READABLE")</f>
        <v>READABLE</v>
      </c>
      <c r="K30" s="28" t="str">
        <f>IFERROR(__xludf.DUMMYFUNCTION("IF($I29="""","""",IFERROR(INDEX(FILTER(Response_Lists!$B:$B,Response_Lists!$A:$A=$H30),2),""""))"),"NOT_READABLE")</f>
        <v>NOT_READABLE</v>
      </c>
      <c r="L30" s="28" t="str">
        <f>IFERROR(__xludf.DUMMYFUNCTION("IF($I29="""","""",IFERROR(INDEX(FILTER(Response_Lists!$B:$B,Response_Lists!$A:$A=$H30),3),""""))"),"BLURRY")</f>
        <v>BLURRY</v>
      </c>
      <c r="M30" s="28" t="str">
        <f>IFERROR(__xludf.DUMMYFUNCTION("IF($I29="""","""",IFERROR(INDEX(FILTER(Response_Lists!$B:$B,Response_Lists!$A:$A=$H30),4),""""))"),"")</f>
        <v/>
      </c>
      <c r="N30" s="28" t="str">
        <f>IFERROR(__xludf.DUMMYFUNCTION("IF($I29="""","""",IFERROR(INDEX(FILTER(Response_Lists!$B:$B,Response_Lists!$A:$A=$H30),5),""""))"),"")</f>
        <v/>
      </c>
      <c r="O30" s="28" t="str">
        <f>IFERROR(__xludf.DUMMYFUNCTION("IF($I29="""","""",IFERROR(INDEX(FILTER(Response_Lists!$B:$B,Response_Lists!$A:$A=$H30),6),""""))"),"")</f>
        <v/>
      </c>
      <c r="P30" s="28" t="str">
        <f t="shared" si="6"/>
        <v>Can you read this clearly?</v>
      </c>
      <c r="Q30" s="28" t="str">
        <f t="array" ref="Q30">IF($I29="","",XLOOKUP(C30,FSM_State_Map!A:A,FSM_State_Map!D:D,""))</f>
        <v>LE</v>
      </c>
      <c r="R30" s="28" t="str">
        <f t="shared" si="7"/>
        <v>20_20_20</v>
      </c>
      <c r="S30" s="28">
        <f t="array" ref="S30">IF($I29="","",
IF(
  AND(C30="B",C29&lt;&gt;"B"),
  XLOOKUP($B30,Derived_Variables!$A:$A,Derived_Variables!$K:$K,0)
  + XLOOKUP($B30,Derived_Variables!$A:$A,Derived_Variables!$AE:$AE,0),
  S29+AM29
))</f>
        <v>-1.25</v>
      </c>
      <c r="T30" s="28">
        <f t="shared" ref="T30:U30" si="70">IF($I29="","",T29+AN29)</f>
        <v>-0.25</v>
      </c>
      <c r="U30" s="28">
        <f t="shared" si="70"/>
        <v>2</v>
      </c>
      <c r="V30" s="28">
        <f t="array" ref="V30">IF($I29="","",
IF(
  AND(C30="D",C29&lt;&gt;"D"),
  XLOOKUP($B30,Derived_Variables!$A:$A,Derived_Variables!$N:$N,0)
  + XLOOKUP($B30,Derived_Variables!$A:$A,Derived_Variables!$AE:$AE,0),
  V29+AP29
))</f>
        <v>-1</v>
      </c>
      <c r="W30" s="28">
        <f t="shared" ref="W30:X30" si="71">IF($I29="","",W29+AQ29)</f>
        <v>0</v>
      </c>
      <c r="X30" s="28">
        <f t="shared" si="71"/>
        <v>0</v>
      </c>
      <c r="Y30" s="28">
        <f t="array" ref="Y30">IF($I29="","",IF(AND(C30="P",C29&lt;&gt;"P"),IFERROR(XLOOKUP($B30,Lenso_Input!$A:$A,Lenso_Input!$E:$E,0),0),Y29+AS29))</f>
        <v>0</v>
      </c>
      <c r="Z30" s="28">
        <f t="array" ref="Z30">IF($I29="","",IF(AND(C30="Q",C29&lt;&gt;"Q"),IFERROR(XLOOKUP($B30,Lenso_Input!$A:$A,Lenso_Input!$I:$I,0),0),Z29+AT29))</f>
        <v>0</v>
      </c>
      <c r="AA30" s="28" t="str">
        <f t="array" ref="AA30">IF($I29="","",IF(XLOOKUP($B30,Derived_Variables!$A:$A,Derived_Variables!$R:$R,"6/6_target")="6/6_target","20_20_20","40_30_25"))</f>
        <v>20_20_20</v>
      </c>
      <c r="AB30" s="28">
        <f t="array" ref="AB30">IF($I29="","",XLOOKUP(LOWER(XLOOKUP($B30,Derived_Variables!$A:$A,Derived_Variables!$T:$T,"Standard"))&amp;"_sph_step",Calibration!$B:$B,Calibration!$C:$C,0.25))</f>
        <v>0.25</v>
      </c>
      <c r="AC30" s="28">
        <f t="array" ref="AC30">IF($I29="","",XLOOKUP(LOWER(XLOOKUP($B30,Derived_Variables!$A:$A,Derived_Variables!$T:$T,"Standard"))&amp;"_cyl_step",Calibration!$B:$B,Calibration!$C:$C,0.25))</f>
        <v>0.25</v>
      </c>
      <c r="AD30" s="28">
        <f t="array" ref="AD30">IF($I29="","",IF(OR(C30="E",C30="H"),LET(startStep,XLOOKUP("axis_start_step",Calibration!$B:$B,Calibration!$C:$C,5),step1,XLOOKUP("axis_reversal_step_1",Calibration!$B:$B,Calibration!$C:$C,3),step2,XLOOKUP("axis_reversal_step_2",Calibration!$B:$B,Calibration!$C:$C,1),IF(OR(C29&lt;&gt;C30,AZ30="",AZ30="SAME",AZ30="CANT_TELL",I30="",I30="SAME",I30="CANT_TELL"),startStep,IF(OR(AND(AZ30="BETTER_1",I30="BETTER_2"),AND(AZ30="BETTER_2",I30="BETTER_1")),IF(AD29&gt;step1,step1,step2),AD29))),0))</f>
        <v>0</v>
      </c>
      <c r="AE30" s="28" t="str">
        <f t="array" ref="AE30">IF($I29="","",XLOOKUP($B30,Derived_Variables!$A:$A,Derived_Variables!$AD:$AD,"No_Fog"))</f>
        <v>Strong_Fog</v>
      </c>
      <c r="AF30" s="28">
        <f t="array" ref="AF30">IF($I29="","",XLOOKUP($B30,Derived_Variables!$A:$A,Derived_Variables!$AE:$AE,0))</f>
        <v>1</v>
      </c>
      <c r="AG30" s="28" t="str">
        <f t="array" ref="AG30">IF($I29="","",XLOOKUP($B30,Derived_Variables!$A:$A,Derived_Variables!$AF:$AF,""))</f>
        <v>StepDown_0.25</v>
      </c>
      <c r="AH30" s="28" t="str">
        <f t="array" ref="AH30">IF($I29="","",XLOOKUP($B30,Derived_Variables!$A:$A,Derived_Variables!$AG:$AG,""))</f>
        <v>Low</v>
      </c>
      <c r="AI30" s="28" t="str">
        <f t="array" ref="AI30">IF($I29="","",XLOOKUP($B30,Derived_Variables!$A:$A,Derived_Variables!$AC:$AC,"Medium"))</f>
        <v>Low</v>
      </c>
      <c r="AJ30" s="28" t="b">
        <f t="array" ref="AJ30">IF($I29="","",XLOOKUP($B30,Derived_Variables!$A:$A,Derived_Variables!$Y:$Y,FALSE))</f>
        <v>0</v>
      </c>
      <c r="AK30" s="28" t="str">
        <f t="array" ref="AK30">IF($I29="","",XLOOKUP($B30,Derived_Variables!$A:$A,Derived_Variables!$AA:$AA,"Normal"))</f>
        <v>Slow</v>
      </c>
      <c r="AL30" s="28" t="str">
        <f t="array" ref="AL30">IF($I29="","",XLOOKUP($B30,Derived_Variables!$A:$A,Derived_Variables!$AB:$AB,"Normal"))</f>
        <v>Relaxed</v>
      </c>
      <c r="AM30" s="28">
        <f t="array" ref="AM30">IF($I30="","",IFS(C30="B",IF(OR(I30="NOT_READABLE",I30="BLURRY"),-AB30,0),C30="G",IFS(I30="RED_CLEARER",XLOOKUP("duochrome_red_step",Calibration!$B:$B,Calibration!$C:$C,-0.25),I30="GREEN_CLEARER",XLOOKUP("duochrome_green_step",Calibration!$B:$B,Calibration!$C:$C,0.25),I30="EQUAL",IF(XLOOKUP($B30,Derived_Variables!$A:$A,Derived_Variables!$S:$S,"Neutral")="Undercorrect",XLOOKUP("undercorrect_step",Calibration!$B:$B,Calibration!$C:$C,0.25),IF(XLOOKUP($B30,Derived_Variables!$A:$A,Derived_Variables!$S:$S,"Neutral")="Overcorrect",-XLOOKUP("overcorrect_step",Calibration!$B:$B,Calibration!$C:$C,0.25),0)),TRUE,0),C30="K",IF(I30="TOP_CLEARER",XLOOKUP("bino_balance_step",Calibration!$B:$B,Calibration!$C:$C,0.25),0),TRUE,0))</f>
        <v>0</v>
      </c>
      <c r="AN30" s="28">
        <f t="shared" si="10"/>
        <v>0</v>
      </c>
      <c r="AO30" s="28">
        <f t="shared" si="11"/>
        <v>0</v>
      </c>
      <c r="AP30" s="28">
        <f t="array" ref="AP30">IF($I30="","",IFS(C30="D",IF(OR(I30="NOT_READABLE",I30="BLURRY"),-AB30,0),C30="J",IFS(I30="RED_CLEARER",XLOOKUP("duochrome_red_step",Calibration!$B:$B,Calibration!$C:$C,-0.25),I30="GREEN_CLEARER",XLOOKUP("duochrome_green_step",Calibration!$B:$B,Calibration!$C:$C,0.25),I30="EQUAL",IF(XLOOKUP($B30,Derived_Variables!$A:$A,Derived_Variables!$S:$S,"Neutral")="Undercorrect",XLOOKUP("undercorrect_step",Calibration!$B:$B,Calibration!$C:$C,0.25),IF(XLOOKUP($B30,Derived_Variables!$A:$A,Derived_Variables!$S:$S,"Neutral")="Overcorrect",-XLOOKUP("overcorrect_step",Calibration!$B:$B,Calibration!$C:$C,0.25),0)),TRUE,0),C30="K",IF(I30="BOTTOM_CLEARER",XLOOKUP("bino_balance_step",Calibration!$B:$B,Calibration!$C:$C,0.25),0),TRUE,0))</f>
        <v>-0.25</v>
      </c>
      <c r="AQ30" s="28">
        <f t="shared" si="12"/>
        <v>0</v>
      </c>
      <c r="AR30" s="28">
        <f t="shared" si="13"/>
        <v>0</v>
      </c>
      <c r="AS30" s="28">
        <f t="array" ref="AS30">IF($I30="","",IF(C30="P",IF(OR(I30="NOT_READABLE",I30="BLURRY"),XLOOKUP("near_add_step",Calibration!$B:$B,Calibration!$C:$C,0.25),0),IF(C30="R",IF(I30="NOT_CLEAR",XLOOKUP("near_add_step",Calibration!$B:$B,Calibration!$C:$C,0.25),0),0)))</f>
        <v>0</v>
      </c>
      <c r="AT30" s="28">
        <f t="array" ref="AT30">IF($I30="","",IF(C30="Q",IF(OR(I30="NOT_READABLE",I30="BLURRY"),XLOOKUP("near_add_step",Calibration!$B:$B,Calibration!$C:$C,0.25),0),IF(C30="R",IF(I30="NOT_CLEAR",XLOOKUP("near_add_step",Calibration!$B:$B,Calibration!$C:$C,0.25),0),0)))</f>
        <v>0</v>
      </c>
      <c r="AU30" s="28" t="str">
        <f t="array" ref="AU30">IF($I30="","",IF(G30="SNELLEN_FEET",IF(I30="READABLE",IFERROR(XLOOKUP(XLOOKUP(R30,Chart_Scale_Distance!B:B,Chart_Scale_Distance!A:A)+1,Chart_Scale_Distance!A:A,Chart_Scale_Distance!B:B),R30),R30),R30))</f>
        <v>20_20_20</v>
      </c>
      <c r="AV30" s="28">
        <f t="array" ref="AV30">IF($I29="","",IFERROR(XLOOKUP(R30,Chart_Scale_Distance!$B:$B,Chart_Scale_Distance!$A:$A,""),""))</f>
        <v>6</v>
      </c>
      <c r="AW30" s="28">
        <f t="array" ref="AW30">IF($I29="","",IFERROR(XLOOKUP(AA30,Chart_Scale_Distance!$B:$B,Chart_Scale_Distance!$A:$A,""),""))</f>
        <v>6</v>
      </c>
      <c r="AX30" s="28">
        <f t="shared" si="14"/>
        <v>0</v>
      </c>
      <c r="AY30" s="28">
        <f t="shared" si="15"/>
        <v>5</v>
      </c>
      <c r="AZ30" s="28" t="str">
        <f t="shared" si="16"/>
        <v/>
      </c>
      <c r="BA30" s="28">
        <f t="shared" si="17"/>
        <v>0</v>
      </c>
      <c r="BB30" s="28">
        <f t="shared" si="18"/>
        <v>0</v>
      </c>
      <c r="BC30" s="28" t="str">
        <f t="array" ref="BC30">IF($I30="","",LET(
conf,AI30,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duoMax,XLOOKUP($B30,Derived_Variables!$A:$A,Derived_Variables!$AI:$AI,4),
axisTol,XLOOKUP($B30,Derived_Variables!$A:$A,Derived_Variables!$W:$W,1),
maxStart,XLOOKUP($B30,Derived_Variables!$A:$A,Derived_Variables!$U:$U,1.25),
maxAR,XLOOKUP($B30,Derived_Variables!$A:$A,Derived_Variables!$V:$V,3),
anom,XLOOKUP($B30,Derived_Variables!$A:$A,Derived_Variables!$Z:$Z,FALSE),
reStart,XLOOKUP($B30,Derived_Variables!$A:$A,Derived_Variables!$K:$K,0),
leStart,XLOOKUP($B30,Derived_Variables!$A:$A,Derived_Variables!$N:$N,0),
reAR,XLOOKUP($B30,AR_Input!$A:$A,AR_Input!$B:$B,reStart),
leAR,XLOOKUP($B30,AR_Input!$A:$A,AR_Input!$E:$E,leStart),
reEsc,AND(anom,OR(ABS((S30+AM30)-reStart)&gt;maxStart,ABS((S30+AM30)-reAR)&gt;maxAR)),
leEsc,AND(anom,OR(ABS((V30+AP30)-leStart)&gt;maxStart,ABS((V30+AP30)-leAR)&gt;maxAR)),
phaseMax,IFS(
 AK30="Fast",
   IFS(
     OR(C30="B",C30="D"),XLOOKUP("timeout_coarse_fast",Calibration!$B:$B,Calibration!$C:$C,24),
     OR(C30="E",C30="F",C30="H",C30="I"),XLOOKUP("timeout_jcc_fast",Calibration!$B:$B,Calibration!$C:$C,10),
     OR(C30="G",C30="J"),XLOOKUP("timeout_duochrome_fast",Calibration!$B:$B,Calibration!$C:$C,8),
     C30="K",XLOOKUP("timeout_bino_fast",Calibration!$B:$B,Calibration!$C:$C,10),
     OR(C30="P",C30="Q",C30="R"),XLOOKUP("timeout_near_fast",Calibration!$B:$B,Calibration!$C:$C,16),
     TRUE,XLOOKUP("timeout_coarse_fast",Calibration!$B:$B,Calibration!$C:$C,24)
   ),
 AK30="Normal",
   IFS(
     OR(C30="B",C30="D"),XLOOKUP("timeout_coarse_normal",Calibration!$B:$B,Calibration!$C:$C,36),
     OR(C30="E",C30="F",C30="H",C30="I"),XLOOKUP("timeout_jcc_normal",Calibration!$B:$B,Calibration!$C:$C,14),
     OR(C30="G",C30="J"),XLOOKUP("timeout_duochrome_normal",Calibration!$B:$B,Calibration!$C:$C,10),
     C30="K",XLOOKUP("timeout_bino_normal",Calibration!$B:$B,Calibration!$C:$C,14),
     OR(C30="P",C30="Q",C30="R"),XLOOKUP("timeout_near_normal",Calibration!$B:$B,Calibration!$C:$C,22),
     TRUE,XLOOKUP("timeout_coarse_normal",Calibration!$B:$B,Calibration!$C:$C,36)
   ),
 TRUE,
   IFS(
     OR(C30="B",C30="D"),XLOOKUP("timeout_coarse_slow",Calibration!$B:$B,Calibration!$C:$C,48),
     OR(C30="E",C30="F",C30="H",C30="I"),XLOOKUP("timeout_jcc_slow",Calibration!$B:$B,Calibration!$C:$C,18),
     OR(C30="G",C30="J"),XLOOKUP("timeout_duochrome_slow",Calibration!$B:$B,Calibration!$C:$C,12),
     C30="K",XLOOKUP("timeout_bino_slow",Calibration!$B:$B,Calibration!$C:$C,18),
     OR(C30="P",C30="Q",C30="R"),XLOOKUP("timeout_near_slow",Calibration!$B:$B,Calibration!$C:$C,28),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AJ30=TRUE,"ESCALATE",
C30="A",
IF(OR(I30="NOT_READABLE",I30="BLURRY",AND(R30="20_20_20",I30="READABLE")),"B","A"),
C30="B",
IF(reEsc,"ESCALATE",IF(AY30&gt;=phaseMax,"ESCALATE",IF(AND(AV30&gt;=AW30,I30="READABLE"),"E","B"))),
C30="E",
IF(AY30&gt;=phaseMax,"ESCALATE",IF(OR(I30="SAME",I30="CANT_TELL",AD30&lt;axisTol),"F","E")),
C30="F",
IF(AY30&gt;=phaseMax,"ESCALATE",IF(AX30&gt;=powerSameN,"G","F")),
C30="G",
IF(AY30&gt;=phaseMax,"ESCALATE",IF(OR(AX30&gt;=duoEqualN,BB30&gt;=duoMax),"D","G")),
C30="D",
IF(leEsc,"ESCALATE",IF(AY30&gt;=phaseMax,"ESCALATE",IF(AND(AV30&gt;=AW30,I30="READABLE"),"H","D"))),
C30="H",
IF(AY30&gt;=phaseMax,"ESCALATE",IF(OR(I30="SAME",I30="CANT_TELL",AD30&lt;axisTol),"I","H")),
C30="I",
IF(AY30&gt;=phaseMax,"ESCALATE",IF(AX30&gt;=powerSameN,"J","I")),
C30="J",
IF(AY30&gt;=phaseMax,"ESCALATE",IF(OR(AX30&gt;=duoEqualN,BB30&gt;=duoMax),"K","J")),
C30="K",
IF(AY30&gt;=phaseMax,"ESCALATE",IF(AX30&gt;=binoSameN,IF(XLOOKUP($B30,Derived_Variables!$A:$A,Derived_Variables!$AJ:$AJ,FALSE)=TRUE,"P","END"),"K")),
C30="P",
IF(AY30&gt;=phaseMax,"ESCALATE",IF(OR(I30="READABLE",I30="SAME"),"Q","P")),
C30="Q",
IF(AY30&gt;=phaseMax,"ESCALATE",IF(OR(I30="READABLE",I30="SAME"),"R","Q")),
C30="R",
IF(AY30&gt;=phaseMax,"ESCALATE",IF(OR(I30=nearTarget,I30="SAME"),"END","R")),
TRUE,"END"
)))</f>
        <v>D</v>
      </c>
      <c r="BD30" s="28" t="b">
        <f t="shared" si="19"/>
        <v>1</v>
      </c>
    </row>
    <row r="31" ht="15.75" customHeight="1">
      <c r="A31" s="28">
        <f t="shared" si="3"/>
        <v>30</v>
      </c>
      <c r="B31" s="28">
        <f t="shared" si="4"/>
        <v>6</v>
      </c>
      <c r="C31" s="28" t="str">
        <f t="shared" si="5"/>
        <v>D</v>
      </c>
      <c r="D31" s="28" t="str">
        <f t="array" ref="D31">IF($I30="","",XLOOKUP(C31,FSM_State_Map!A:A,FSM_State_Map!B:B,""))</f>
        <v>Coarse Sphere LE</v>
      </c>
      <c r="E31" s="28" t="str">
        <f t="array" ref="E31">IF($I30="","",XLOOKUP(C31,FSM_State_Map!A:A,FSM_State_Map!C:C,""))</f>
        <v>COARSE_SPHERE</v>
      </c>
      <c r="F31" s="28" t="str">
        <f t="array" ref="F31">IF($I30="","",XLOOKUP(E31,Phase_UI_Map!A:A,Phase_UI_Map!B:B,""))</f>
        <v>COARSE_SPH</v>
      </c>
      <c r="G31" s="28" t="str">
        <f t="array" ref="G31">IF($I30="","",XLOOKUP(E31,Phase_UI_Map!A:A,Phase_UI_Map!C:C,""))</f>
        <v>SNELLEN_FEET</v>
      </c>
      <c r="H31" s="28" t="str">
        <f t="array" ref="H31">IF($I30="","",XLOOKUP(E31,Phase_UI_Map!A:A,Phase_UI_Map!D:D,""))</f>
        <v>READABILITY</v>
      </c>
      <c r="I31" s="29" t="s">
        <v>218</v>
      </c>
      <c r="J31" s="28" t="str">
        <f>IFERROR(__xludf.DUMMYFUNCTION("IF($I30="""","""",IFERROR(INDEX(FILTER(Response_Lists!$B:$B,Response_Lists!$A:$A=$H31),1),""""))"),"READABLE")</f>
        <v>READABLE</v>
      </c>
      <c r="K31" s="28" t="str">
        <f>IFERROR(__xludf.DUMMYFUNCTION("IF($I30="""","""",IFERROR(INDEX(FILTER(Response_Lists!$B:$B,Response_Lists!$A:$A=$H31),2),""""))"),"NOT_READABLE")</f>
        <v>NOT_READABLE</v>
      </c>
      <c r="L31" s="28" t="str">
        <f>IFERROR(__xludf.DUMMYFUNCTION("IF($I30="""","""",IFERROR(INDEX(FILTER(Response_Lists!$B:$B,Response_Lists!$A:$A=$H31),3),""""))"),"BLURRY")</f>
        <v>BLURRY</v>
      </c>
      <c r="M31" s="28" t="str">
        <f>IFERROR(__xludf.DUMMYFUNCTION("IF($I30="""","""",IFERROR(INDEX(FILTER(Response_Lists!$B:$B,Response_Lists!$A:$A=$H31),4),""""))"),"")</f>
        <v/>
      </c>
      <c r="N31" s="28" t="str">
        <f>IFERROR(__xludf.DUMMYFUNCTION("IF($I30="""","""",IFERROR(INDEX(FILTER(Response_Lists!$B:$B,Response_Lists!$A:$A=$H31),5),""""))"),"")</f>
        <v/>
      </c>
      <c r="O31" s="28" t="str">
        <f>IFERROR(__xludf.DUMMYFUNCTION("IF($I30="""","""",IFERROR(INDEX(FILTER(Response_Lists!$B:$B,Response_Lists!$A:$A=$H31),6),""""))"),"")</f>
        <v/>
      </c>
      <c r="P31" s="28" t="str">
        <f t="shared" si="6"/>
        <v>Can you read this clearly?</v>
      </c>
      <c r="Q31" s="28" t="str">
        <f t="array" ref="Q31">IF($I30="","",XLOOKUP(C31,FSM_State_Map!A:A,FSM_State_Map!D:D,""))</f>
        <v>LE</v>
      </c>
      <c r="R31" s="28" t="str">
        <f t="shared" si="7"/>
        <v>20_20_20</v>
      </c>
      <c r="S31" s="28">
        <f t="array" ref="S31">IF($I30="","",
IF(
  AND(C31="B",C30&lt;&gt;"B"),
  XLOOKUP($B31,Derived_Variables!$A:$A,Derived_Variables!$K:$K,0)
  + XLOOKUP($B31,Derived_Variables!$A:$A,Derived_Variables!$AE:$AE,0),
  S30+AM30
))</f>
        <v>-1.25</v>
      </c>
      <c r="T31" s="28">
        <f t="shared" ref="T31:U31" si="72">IF($I30="","",T30+AN30)</f>
        <v>-0.25</v>
      </c>
      <c r="U31" s="28">
        <f t="shared" si="72"/>
        <v>2</v>
      </c>
      <c r="V31" s="28">
        <f t="array" ref="V31">IF($I30="","",
IF(
  AND(C31="D",C30&lt;&gt;"D"),
  XLOOKUP($B31,Derived_Variables!$A:$A,Derived_Variables!$N:$N,0)
  + XLOOKUP($B31,Derived_Variables!$A:$A,Derived_Variables!$AE:$AE,0),
  V30+AP30
))</f>
        <v>-1.25</v>
      </c>
      <c r="W31" s="28">
        <f t="shared" ref="W31:X31" si="73">IF($I30="","",W30+AQ30)</f>
        <v>0</v>
      </c>
      <c r="X31" s="28">
        <f t="shared" si="73"/>
        <v>0</v>
      </c>
      <c r="Y31" s="28">
        <f t="array" ref="Y31">IF($I30="","",IF(AND(C31="P",C30&lt;&gt;"P"),IFERROR(XLOOKUP($B31,Lenso_Input!$A:$A,Lenso_Input!$E:$E,0),0),Y30+AS30))</f>
        <v>0</v>
      </c>
      <c r="Z31" s="28">
        <f t="array" ref="Z31">IF($I30="","",IF(AND(C31="Q",C30&lt;&gt;"Q"),IFERROR(XLOOKUP($B31,Lenso_Input!$A:$A,Lenso_Input!$I:$I,0),0),Z30+AT30))</f>
        <v>0</v>
      </c>
      <c r="AA31" s="28" t="str">
        <f t="array" ref="AA31">IF($I30="","",IF(XLOOKUP($B31,Derived_Variables!$A:$A,Derived_Variables!$R:$R,"6/6_target")="6/6_target","20_20_20","40_30_25"))</f>
        <v>20_20_20</v>
      </c>
      <c r="AB31" s="28">
        <f t="array" ref="AB31">IF($I30="","",XLOOKUP(LOWER(XLOOKUP($B31,Derived_Variables!$A:$A,Derived_Variables!$T:$T,"Standard"))&amp;"_sph_step",Calibration!$B:$B,Calibration!$C:$C,0.25))</f>
        <v>0.25</v>
      </c>
      <c r="AC31" s="28">
        <f t="array" ref="AC31">IF($I30="","",XLOOKUP(LOWER(XLOOKUP($B31,Derived_Variables!$A:$A,Derived_Variables!$T:$T,"Standard"))&amp;"_cyl_step",Calibration!$B:$B,Calibration!$C:$C,0.25))</f>
        <v>0.25</v>
      </c>
      <c r="AD31" s="28">
        <f t="array" ref="AD31">IF($I30="","",IF(OR(C31="E",C31="H"),LET(startStep,XLOOKUP("axis_start_step",Calibration!$B:$B,Calibration!$C:$C,5),step1,XLOOKUP("axis_reversal_step_1",Calibration!$B:$B,Calibration!$C:$C,3),step2,XLOOKUP("axis_reversal_step_2",Calibration!$B:$B,Calibration!$C:$C,1),IF(OR(C30&lt;&gt;C31,AZ31="",AZ31="SAME",AZ31="CANT_TELL",I31="",I31="SAME",I31="CANT_TELL"),startStep,IF(OR(AND(AZ31="BETTER_1",I31="BETTER_2"),AND(AZ31="BETTER_2",I31="BETTER_1")),IF(AD30&gt;step1,step1,step2),AD30))),0))</f>
        <v>0</v>
      </c>
      <c r="AE31" s="28" t="str">
        <f t="array" ref="AE31">IF($I30="","",XLOOKUP($B31,Derived_Variables!$A:$A,Derived_Variables!$AD:$AD,"No_Fog"))</f>
        <v>Strong_Fog</v>
      </c>
      <c r="AF31" s="28">
        <f t="array" ref="AF31">IF($I30="","",XLOOKUP($B31,Derived_Variables!$A:$A,Derived_Variables!$AE:$AE,0))</f>
        <v>1</v>
      </c>
      <c r="AG31" s="28" t="str">
        <f t="array" ref="AG31">IF($I30="","",XLOOKUP($B31,Derived_Variables!$A:$A,Derived_Variables!$AF:$AF,""))</f>
        <v>StepDown_0.25</v>
      </c>
      <c r="AH31" s="28" t="str">
        <f t="array" ref="AH31">IF($I30="","",XLOOKUP($B31,Derived_Variables!$A:$A,Derived_Variables!$AG:$AG,""))</f>
        <v>Low</v>
      </c>
      <c r="AI31" s="28" t="str">
        <f t="array" ref="AI31">IF($I30="","",XLOOKUP($B31,Derived_Variables!$A:$A,Derived_Variables!$AC:$AC,"Medium"))</f>
        <v>Low</v>
      </c>
      <c r="AJ31" s="28" t="b">
        <f t="array" ref="AJ31">IF($I30="","",XLOOKUP($B31,Derived_Variables!$A:$A,Derived_Variables!$Y:$Y,FALSE))</f>
        <v>0</v>
      </c>
      <c r="AK31" s="28" t="str">
        <f t="array" ref="AK31">IF($I30="","",XLOOKUP($B31,Derived_Variables!$A:$A,Derived_Variables!$AA:$AA,"Normal"))</f>
        <v>Slow</v>
      </c>
      <c r="AL31" s="28" t="str">
        <f t="array" ref="AL31">IF($I30="","",XLOOKUP($B31,Derived_Variables!$A:$A,Derived_Variables!$AB:$AB,"Normal"))</f>
        <v>Relaxed</v>
      </c>
      <c r="AM31" s="28">
        <f t="array" ref="AM31">IF($I31="","",IFS(C31="B",IF(OR(I31="NOT_READABLE",I31="BLURRY"),-AB31,0),C31="G",IFS(I31="RED_CLEARER",XLOOKUP("duochrome_red_step",Calibration!$B:$B,Calibration!$C:$C,-0.25),I31="GREEN_CLEARER",XLOOKUP("duochrome_green_step",Calibration!$B:$B,Calibration!$C:$C,0.25),I31="EQUAL",IF(XLOOKUP($B31,Derived_Variables!$A:$A,Derived_Variables!$S:$S,"Neutral")="Undercorrect",XLOOKUP("undercorrect_step",Calibration!$B:$B,Calibration!$C:$C,0.25),IF(XLOOKUP($B31,Derived_Variables!$A:$A,Derived_Variables!$S:$S,"Neutral")="Overcorrect",-XLOOKUP("overcorrect_step",Calibration!$B:$B,Calibration!$C:$C,0.25),0)),TRUE,0),C31="K",IF(I31="TOP_CLEARER",XLOOKUP("bino_balance_step",Calibration!$B:$B,Calibration!$C:$C,0.25),0),TRUE,0))</f>
        <v>0</v>
      </c>
      <c r="AN31" s="28">
        <f t="shared" si="10"/>
        <v>0</v>
      </c>
      <c r="AO31" s="28">
        <f t="shared" si="11"/>
        <v>0</v>
      </c>
      <c r="AP31" s="28">
        <f t="array" ref="AP31">IF($I31="","",IFS(C31="D",IF(OR(I31="NOT_READABLE",I31="BLURRY"),-AB31,0),C31="J",IFS(I31="RED_CLEARER",XLOOKUP("duochrome_red_step",Calibration!$B:$B,Calibration!$C:$C,-0.25),I31="GREEN_CLEARER",XLOOKUP("duochrome_green_step",Calibration!$B:$B,Calibration!$C:$C,0.25),I31="EQUAL",IF(XLOOKUP($B31,Derived_Variables!$A:$A,Derived_Variables!$S:$S,"Neutral")="Undercorrect",XLOOKUP("undercorrect_step",Calibration!$B:$B,Calibration!$C:$C,0.25),IF(XLOOKUP($B31,Derived_Variables!$A:$A,Derived_Variables!$S:$S,"Neutral")="Overcorrect",-XLOOKUP("overcorrect_step",Calibration!$B:$B,Calibration!$C:$C,0.25),0)),TRUE,0),C31="K",IF(I31="BOTTOM_CLEARER",XLOOKUP("bino_balance_step",Calibration!$B:$B,Calibration!$C:$C,0.25),0),TRUE,0))</f>
        <v>0</v>
      </c>
      <c r="AQ31" s="28">
        <f t="shared" si="12"/>
        <v>0</v>
      </c>
      <c r="AR31" s="28">
        <f t="shared" si="13"/>
        <v>0</v>
      </c>
      <c r="AS31" s="28">
        <f t="array" ref="AS31">IF($I31="","",IF(C31="P",IF(OR(I31="NOT_READABLE",I31="BLURRY"),XLOOKUP("near_add_step",Calibration!$B:$B,Calibration!$C:$C,0.25),0),IF(C31="R",IF(I31="NOT_CLEAR",XLOOKUP("near_add_step",Calibration!$B:$B,Calibration!$C:$C,0.25),0),0)))</f>
        <v>0</v>
      </c>
      <c r="AT31" s="28">
        <f t="array" ref="AT31">IF($I31="","",IF(C31="Q",IF(OR(I31="NOT_READABLE",I31="BLURRY"),XLOOKUP("near_add_step",Calibration!$B:$B,Calibration!$C:$C,0.25),0),IF(C31="R",IF(I31="NOT_CLEAR",XLOOKUP("near_add_step",Calibration!$B:$B,Calibration!$C:$C,0.25),0),0)))</f>
        <v>0</v>
      </c>
      <c r="AU31" s="28" t="str">
        <f t="array" ref="AU31">IF($I31="","",IF(G31="SNELLEN_FEET",IF(I31="READABLE",IFERROR(XLOOKUP(XLOOKUP(R31,Chart_Scale_Distance!B:B,Chart_Scale_Distance!A:A)+1,Chart_Scale_Distance!A:A,Chart_Scale_Distance!B:B),R31),R31),R31))</f>
        <v>20_20_20</v>
      </c>
      <c r="AV31" s="28">
        <f t="array" ref="AV31">IF($I30="","",IFERROR(XLOOKUP(R31,Chart_Scale_Distance!$B:$B,Chart_Scale_Distance!$A:$A,""),""))</f>
        <v>6</v>
      </c>
      <c r="AW31" s="28">
        <f t="array" ref="AW31">IF($I30="","",IFERROR(XLOOKUP(AA31,Chart_Scale_Distance!$B:$B,Chart_Scale_Distance!$A:$A,""),""))</f>
        <v>6</v>
      </c>
      <c r="AX31" s="28">
        <f t="shared" si="14"/>
        <v>0</v>
      </c>
      <c r="AY31" s="28">
        <f t="shared" si="15"/>
        <v>6</v>
      </c>
      <c r="AZ31" s="28" t="str">
        <f t="shared" si="16"/>
        <v/>
      </c>
      <c r="BA31" s="28">
        <f t="shared" si="17"/>
        <v>0</v>
      </c>
      <c r="BB31" s="28">
        <f t="shared" si="18"/>
        <v>0</v>
      </c>
      <c r="BC31" s="28" t="str">
        <f t="array" ref="BC31">IF($I31="","",LET(
conf,AI31,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duoMax,XLOOKUP($B31,Derived_Variables!$A:$A,Derived_Variables!$AI:$AI,4),
axisTol,XLOOKUP($B31,Derived_Variables!$A:$A,Derived_Variables!$W:$W,1),
maxStart,XLOOKUP($B31,Derived_Variables!$A:$A,Derived_Variables!$U:$U,1.25),
maxAR,XLOOKUP($B31,Derived_Variables!$A:$A,Derived_Variables!$V:$V,3),
anom,XLOOKUP($B31,Derived_Variables!$A:$A,Derived_Variables!$Z:$Z,FALSE),
reStart,XLOOKUP($B31,Derived_Variables!$A:$A,Derived_Variables!$K:$K,0),
leStart,XLOOKUP($B31,Derived_Variables!$A:$A,Derived_Variables!$N:$N,0),
reAR,XLOOKUP($B31,AR_Input!$A:$A,AR_Input!$B:$B,reStart),
leAR,XLOOKUP($B31,AR_Input!$A:$A,AR_Input!$E:$E,leStart),
reEsc,AND(anom,OR(ABS((S31+AM31)-reStart)&gt;maxStart,ABS((S31+AM31)-reAR)&gt;maxAR)),
leEsc,AND(anom,OR(ABS((V31+AP31)-leStart)&gt;maxStart,ABS((V31+AP31)-leAR)&gt;maxAR)),
phaseMax,IFS(
 AK31="Fast",
   IFS(
     OR(C31="B",C31="D"),XLOOKUP("timeout_coarse_fast",Calibration!$B:$B,Calibration!$C:$C,24),
     OR(C31="E",C31="F",C31="H",C31="I"),XLOOKUP("timeout_jcc_fast",Calibration!$B:$B,Calibration!$C:$C,10),
     OR(C31="G",C31="J"),XLOOKUP("timeout_duochrome_fast",Calibration!$B:$B,Calibration!$C:$C,8),
     C31="K",XLOOKUP("timeout_bino_fast",Calibration!$B:$B,Calibration!$C:$C,10),
     OR(C31="P",C31="Q",C31="R"),XLOOKUP("timeout_near_fast",Calibration!$B:$B,Calibration!$C:$C,16),
     TRUE,XLOOKUP("timeout_coarse_fast",Calibration!$B:$B,Calibration!$C:$C,24)
   ),
 AK31="Normal",
   IFS(
     OR(C31="B",C31="D"),XLOOKUP("timeout_coarse_normal",Calibration!$B:$B,Calibration!$C:$C,36),
     OR(C31="E",C31="F",C31="H",C31="I"),XLOOKUP("timeout_jcc_normal",Calibration!$B:$B,Calibration!$C:$C,14),
     OR(C31="G",C31="J"),XLOOKUP("timeout_duochrome_normal",Calibration!$B:$B,Calibration!$C:$C,10),
     C31="K",XLOOKUP("timeout_bino_normal",Calibration!$B:$B,Calibration!$C:$C,14),
     OR(C31="P",C31="Q",C31="R"),XLOOKUP("timeout_near_normal",Calibration!$B:$B,Calibration!$C:$C,22),
     TRUE,XLOOKUP("timeout_coarse_normal",Calibration!$B:$B,Calibration!$C:$C,36)
   ),
 TRUE,
   IFS(
     OR(C31="B",C31="D"),XLOOKUP("timeout_coarse_slow",Calibration!$B:$B,Calibration!$C:$C,48),
     OR(C31="E",C31="F",C31="H",C31="I"),XLOOKUP("timeout_jcc_slow",Calibration!$B:$B,Calibration!$C:$C,18),
     OR(C31="G",C31="J"),XLOOKUP("timeout_duochrome_slow",Calibration!$B:$B,Calibration!$C:$C,12),
     C31="K",XLOOKUP("timeout_bino_slow",Calibration!$B:$B,Calibration!$C:$C,18),
     OR(C31="P",C31="Q",C31="R"),XLOOKUP("timeout_near_slow",Calibration!$B:$B,Calibration!$C:$C,28),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AJ31=TRUE,"ESCALATE",
C31="A",
IF(OR(I31="NOT_READABLE",I31="BLURRY",AND(R31="20_20_20",I31="READABLE")),"B","A"),
C31="B",
IF(reEsc,"ESCALATE",IF(AY31&gt;=phaseMax,"ESCALATE",IF(AND(AV31&gt;=AW31,I31="READABLE"),"E","B"))),
C31="E",
IF(AY31&gt;=phaseMax,"ESCALATE",IF(OR(I31="SAME",I31="CANT_TELL",AD31&lt;axisTol),"F","E")),
C31="F",
IF(AY31&gt;=phaseMax,"ESCALATE",IF(AX31&gt;=powerSameN,"G","F")),
C31="G",
IF(AY31&gt;=phaseMax,"ESCALATE",IF(OR(AX31&gt;=duoEqualN,BB31&gt;=duoMax),"D","G")),
C31="D",
IF(leEsc,"ESCALATE",IF(AY31&gt;=phaseMax,"ESCALATE",IF(AND(AV31&gt;=AW31,I31="READABLE"),"H","D"))),
C31="H",
IF(AY31&gt;=phaseMax,"ESCALATE",IF(OR(I31="SAME",I31="CANT_TELL",AD31&lt;axisTol),"I","H")),
C31="I",
IF(AY31&gt;=phaseMax,"ESCALATE",IF(AX31&gt;=powerSameN,"J","I")),
C31="J",
IF(AY31&gt;=phaseMax,"ESCALATE",IF(OR(AX31&gt;=duoEqualN,BB31&gt;=duoMax),"K","J")),
C31="K",
IF(AY31&gt;=phaseMax,"ESCALATE",IF(AX31&gt;=binoSameN,IF(XLOOKUP($B31,Derived_Variables!$A:$A,Derived_Variables!$AJ:$AJ,FALSE)=TRUE,"P","END"),"K")),
C31="P",
IF(AY31&gt;=phaseMax,"ESCALATE",IF(OR(I31="READABLE",I31="SAME"),"Q","P")),
C31="Q",
IF(AY31&gt;=phaseMax,"ESCALATE",IF(OR(I31="READABLE",I31="SAME"),"R","Q")),
C31="R",
IF(AY31&gt;=phaseMax,"ESCALATE",IF(OR(I31=nearTarget,I31="SAME"),"END","R")),
TRUE,"END"
)))</f>
        <v>H</v>
      </c>
      <c r="BD31" s="28" t="b">
        <f t="shared" si="19"/>
        <v>1</v>
      </c>
    </row>
    <row r="32" ht="15.75" customHeight="1">
      <c r="A32" s="28">
        <f t="shared" si="3"/>
        <v>31</v>
      </c>
      <c r="B32" s="28">
        <f t="shared" si="4"/>
        <v>6</v>
      </c>
      <c r="C32" s="28" t="str">
        <f t="shared" si="5"/>
        <v>H</v>
      </c>
      <c r="D32" s="28" t="str">
        <f t="array" ref="D32">IF($I31="","",XLOOKUP(C32,FSM_State_Map!A:A,FSM_State_Map!B:B,""))</f>
        <v>JCC Axis LE</v>
      </c>
      <c r="E32" s="28" t="str">
        <f t="array" ref="E32">IF($I31="","",XLOOKUP(C32,FSM_State_Map!A:A,FSM_State_Map!C:C,""))</f>
        <v>JCC_AXIS</v>
      </c>
      <c r="F32" s="28" t="str">
        <f t="array" ref="F32">IF($I31="","",XLOOKUP(E32,Phase_UI_Map!A:A,Phase_UI_Map!B:B,""))</f>
        <v>JCC_AXIS</v>
      </c>
      <c r="G32" s="28" t="str">
        <f t="array" ref="G32">IF($I31="","",XLOOKUP(E32,Phase_UI_Map!A:A,Phase_UI_Map!C:C,""))</f>
        <v>DOT_CHART_JCC</v>
      </c>
      <c r="H32" s="28" t="str">
        <f t="array" ref="H32">IF($I31="","",XLOOKUP(E32,Phase_UI_Map!A:A,Phase_UI_Map!D:D,""))</f>
        <v>COMPARE_1_2</v>
      </c>
      <c r="I32" s="29" t="s">
        <v>220</v>
      </c>
      <c r="J32" s="28" t="str">
        <f>IFERROR(__xludf.DUMMYFUNCTION("IF($I31="""","""",IFERROR(INDEX(FILTER(Response_Lists!$B:$B,Response_Lists!$A:$A=$H32),1),""""))"),"BETTER_1")</f>
        <v>BETTER_1</v>
      </c>
      <c r="K32" s="28" t="str">
        <f>IFERROR(__xludf.DUMMYFUNCTION("IF($I31="""","""",IFERROR(INDEX(FILTER(Response_Lists!$B:$B,Response_Lists!$A:$A=$H32),2),""""))"),"BETTER_2")</f>
        <v>BETTER_2</v>
      </c>
      <c r="L32" s="28" t="str">
        <f>IFERROR(__xludf.DUMMYFUNCTION("IF($I31="""","""",IFERROR(INDEX(FILTER(Response_Lists!$B:$B,Response_Lists!$A:$A=$H32),3),""""))"),"SAME")</f>
        <v>SAME</v>
      </c>
      <c r="M32" s="28" t="str">
        <f>IFERROR(__xludf.DUMMYFUNCTION("IF($I31="""","""",IFERROR(INDEX(FILTER(Response_Lists!$B:$B,Response_Lists!$A:$A=$H32),4),""""))"),"CANT_TELL")</f>
        <v>CANT_TELL</v>
      </c>
      <c r="N32" s="28" t="str">
        <f>IFERROR(__xludf.DUMMYFUNCTION("IF($I31="""","""",IFERROR(INDEX(FILTER(Response_Lists!$B:$B,Response_Lists!$A:$A=$H32),5),""""))"),"")</f>
        <v/>
      </c>
      <c r="O32" s="28" t="str">
        <f>IFERROR(__xludf.DUMMYFUNCTION("IF($I31="""","""",IFERROR(INDEX(FILTER(Response_Lists!$B:$B,Response_Lists!$A:$A=$H32),6),""""))"),"")</f>
        <v/>
      </c>
      <c r="P32" s="28" t="str">
        <f t="shared" si="6"/>
        <v>Which is clearer: 1 or 2?</v>
      </c>
      <c r="Q32" s="28" t="str">
        <f t="array" ref="Q32">IF($I31="","",XLOOKUP(C32,FSM_State_Map!A:A,FSM_State_Map!D:D,""))</f>
        <v>LE</v>
      </c>
      <c r="R32" s="28" t="str">
        <f t="shared" si="7"/>
        <v>20_20_20</v>
      </c>
      <c r="S32" s="28">
        <f t="array" ref="S32">IF($I31="","",
IF(
  AND(C32="B",C31&lt;&gt;"B"),
  XLOOKUP($B32,Derived_Variables!$A:$A,Derived_Variables!$K:$K,0)
  + XLOOKUP($B32,Derived_Variables!$A:$A,Derived_Variables!$AE:$AE,0),
  S31+AM31
))</f>
        <v>-1.25</v>
      </c>
      <c r="T32" s="28">
        <f t="shared" ref="T32:U32" si="74">IF($I31="","",T31+AN31)</f>
        <v>-0.25</v>
      </c>
      <c r="U32" s="28">
        <f t="shared" si="74"/>
        <v>2</v>
      </c>
      <c r="V32" s="28">
        <f t="array" ref="V32">IF($I31="","",
IF(
  AND(C32="D",C31&lt;&gt;"D"),
  XLOOKUP($B32,Derived_Variables!$A:$A,Derived_Variables!$N:$N,0)
  + XLOOKUP($B32,Derived_Variables!$A:$A,Derived_Variables!$AE:$AE,0),
  V31+AP31
))</f>
        <v>-1.25</v>
      </c>
      <c r="W32" s="28">
        <f t="shared" ref="W32:X32" si="75">IF($I31="","",W31+AQ31)</f>
        <v>0</v>
      </c>
      <c r="X32" s="28">
        <f t="shared" si="75"/>
        <v>0</v>
      </c>
      <c r="Y32" s="28">
        <f t="array" ref="Y32">IF($I31="","",IF(AND(C32="P",C31&lt;&gt;"P"),IFERROR(XLOOKUP($B32,Lenso_Input!$A:$A,Lenso_Input!$E:$E,0),0),Y31+AS31))</f>
        <v>0</v>
      </c>
      <c r="Z32" s="28">
        <f t="array" ref="Z32">IF($I31="","",IF(AND(C32="Q",C31&lt;&gt;"Q"),IFERROR(XLOOKUP($B32,Lenso_Input!$A:$A,Lenso_Input!$I:$I,0),0),Z31+AT31))</f>
        <v>0</v>
      </c>
      <c r="AA32" s="28" t="str">
        <f t="array" ref="AA32">IF($I31="","",IF(XLOOKUP($B32,Derived_Variables!$A:$A,Derived_Variables!$R:$R,"6/6_target")="6/6_target","20_20_20","40_30_25"))</f>
        <v>20_20_20</v>
      </c>
      <c r="AB32" s="28">
        <f t="array" ref="AB32">IF($I31="","",XLOOKUP(LOWER(XLOOKUP($B32,Derived_Variables!$A:$A,Derived_Variables!$T:$T,"Standard"))&amp;"_sph_step",Calibration!$B:$B,Calibration!$C:$C,0.25))</f>
        <v>0.25</v>
      </c>
      <c r="AC32" s="28">
        <f t="array" ref="AC32">IF($I31="","",XLOOKUP(LOWER(XLOOKUP($B32,Derived_Variables!$A:$A,Derived_Variables!$T:$T,"Standard"))&amp;"_cyl_step",Calibration!$B:$B,Calibration!$C:$C,0.25))</f>
        <v>0.25</v>
      </c>
      <c r="AD32" s="28">
        <f t="array" ref="AD32">IF($I31="","",IF(OR(C32="E",C32="H"),LET(startStep,XLOOKUP("axis_start_step",Calibration!$B:$B,Calibration!$C:$C,5),step1,XLOOKUP("axis_reversal_step_1",Calibration!$B:$B,Calibration!$C:$C,3),step2,XLOOKUP("axis_reversal_step_2",Calibration!$B:$B,Calibration!$C:$C,1),IF(OR(C31&lt;&gt;C32,AZ32="",AZ32="SAME",AZ32="CANT_TELL",I32="",I32="SAME",I32="CANT_TELL"),startStep,IF(OR(AND(AZ32="BETTER_1",I32="BETTER_2"),AND(AZ32="BETTER_2",I32="BETTER_1")),IF(AD31&gt;step1,step1,step2),AD31))),0))</f>
        <v>5</v>
      </c>
      <c r="AE32" s="28" t="str">
        <f t="array" ref="AE32">IF($I31="","",XLOOKUP($B32,Derived_Variables!$A:$A,Derived_Variables!$AD:$AD,"No_Fog"))</f>
        <v>Strong_Fog</v>
      </c>
      <c r="AF32" s="28">
        <f t="array" ref="AF32">IF($I31="","",XLOOKUP($B32,Derived_Variables!$A:$A,Derived_Variables!$AE:$AE,0))</f>
        <v>1</v>
      </c>
      <c r="AG32" s="28" t="str">
        <f t="array" ref="AG32">IF($I31="","",XLOOKUP($B32,Derived_Variables!$A:$A,Derived_Variables!$AF:$AF,""))</f>
        <v>StepDown_0.25</v>
      </c>
      <c r="AH32" s="28" t="str">
        <f t="array" ref="AH32">IF($I31="","",XLOOKUP($B32,Derived_Variables!$A:$A,Derived_Variables!$AG:$AG,""))</f>
        <v>Low</v>
      </c>
      <c r="AI32" s="28" t="str">
        <f t="array" ref="AI32">IF($I31="","",XLOOKUP($B32,Derived_Variables!$A:$A,Derived_Variables!$AC:$AC,"Medium"))</f>
        <v>Low</v>
      </c>
      <c r="AJ32" s="28" t="b">
        <f t="array" ref="AJ32">IF($I31="","",XLOOKUP($B32,Derived_Variables!$A:$A,Derived_Variables!$Y:$Y,FALSE))</f>
        <v>0</v>
      </c>
      <c r="AK32" s="28" t="str">
        <f t="array" ref="AK32">IF($I31="","",XLOOKUP($B32,Derived_Variables!$A:$A,Derived_Variables!$AA:$AA,"Normal"))</f>
        <v>Slow</v>
      </c>
      <c r="AL32" s="28" t="str">
        <f t="array" ref="AL32">IF($I31="","",XLOOKUP($B32,Derived_Variables!$A:$A,Derived_Variables!$AB:$AB,"Normal"))</f>
        <v>Relaxed</v>
      </c>
      <c r="AM32" s="28">
        <f t="array" ref="AM32">IF($I32="","",IFS(C32="B",IF(OR(I32="NOT_READABLE",I32="BLURRY"),-AB32,0),C32="G",IFS(I32="RED_CLEARER",XLOOKUP("duochrome_red_step",Calibration!$B:$B,Calibration!$C:$C,-0.25),I32="GREEN_CLEARER",XLOOKUP("duochrome_green_step",Calibration!$B:$B,Calibration!$C:$C,0.25),I32="EQUAL",IF(XLOOKUP($B32,Derived_Variables!$A:$A,Derived_Variables!$S:$S,"Neutral")="Undercorrect",XLOOKUP("undercorrect_step",Calibration!$B:$B,Calibration!$C:$C,0.25),IF(XLOOKUP($B32,Derived_Variables!$A:$A,Derived_Variables!$S:$S,"Neutral")="Overcorrect",-XLOOKUP("overcorrect_step",Calibration!$B:$B,Calibration!$C:$C,0.25),0)),TRUE,0),C32="K",IF(I32="TOP_CLEARER",XLOOKUP("bino_balance_step",Calibration!$B:$B,Calibration!$C:$C,0.25),0),TRUE,0))</f>
        <v>0</v>
      </c>
      <c r="AN32" s="28">
        <f t="shared" si="10"/>
        <v>0</v>
      </c>
      <c r="AO32" s="28">
        <f t="shared" si="11"/>
        <v>0</v>
      </c>
      <c r="AP32" s="28">
        <f t="array" ref="AP32">IF($I32="","",IFS(C32="D",IF(OR(I32="NOT_READABLE",I32="BLURRY"),-AB32,0),C32="J",IFS(I32="RED_CLEARER",XLOOKUP("duochrome_red_step",Calibration!$B:$B,Calibration!$C:$C,-0.25),I32="GREEN_CLEARER",XLOOKUP("duochrome_green_step",Calibration!$B:$B,Calibration!$C:$C,0.25),I32="EQUAL",IF(XLOOKUP($B32,Derived_Variables!$A:$A,Derived_Variables!$S:$S,"Neutral")="Undercorrect",XLOOKUP("undercorrect_step",Calibration!$B:$B,Calibration!$C:$C,0.25),IF(XLOOKUP($B32,Derived_Variables!$A:$A,Derived_Variables!$S:$S,"Neutral")="Overcorrect",-XLOOKUP("overcorrect_step",Calibration!$B:$B,Calibration!$C:$C,0.25),0)),TRUE,0),C32="K",IF(I32="BOTTOM_CLEARER",XLOOKUP("bino_balance_step",Calibration!$B:$B,Calibration!$C:$C,0.25),0),TRUE,0))</f>
        <v>0</v>
      </c>
      <c r="AQ32" s="28">
        <f t="shared" si="12"/>
        <v>0</v>
      </c>
      <c r="AR32" s="28">
        <f t="shared" si="13"/>
        <v>5</v>
      </c>
      <c r="AS32" s="28">
        <f t="array" ref="AS32">IF($I32="","",IF(C32="P",IF(OR(I32="NOT_READABLE",I32="BLURRY"),XLOOKUP("near_add_step",Calibration!$B:$B,Calibration!$C:$C,0.25),0),IF(C32="R",IF(I32="NOT_CLEAR",XLOOKUP("near_add_step",Calibration!$B:$B,Calibration!$C:$C,0.25),0),0)))</f>
        <v>0</v>
      </c>
      <c r="AT32" s="28">
        <f t="array" ref="AT32">IF($I32="","",IF(C32="Q",IF(OR(I32="NOT_READABLE",I32="BLURRY"),XLOOKUP("near_add_step",Calibration!$B:$B,Calibration!$C:$C,0.25),0),IF(C32="R",IF(I32="NOT_CLEAR",XLOOKUP("near_add_step",Calibration!$B:$B,Calibration!$C:$C,0.25),0),0)))</f>
        <v>0</v>
      </c>
      <c r="AU32" s="28" t="str">
        <f t="array" ref="AU32">IF($I32="","",IF(G32="SNELLEN_FEET",IF(I32="READABLE",IFERROR(XLOOKUP(XLOOKUP(R32,Chart_Scale_Distance!B:B,Chart_Scale_Distance!A:A)+1,Chart_Scale_Distance!A:A,Chart_Scale_Distance!B:B),R32),R32),R32))</f>
        <v>20_20_20</v>
      </c>
      <c r="AV32" s="28">
        <f t="array" ref="AV32">IF($I31="","",IFERROR(XLOOKUP(R32,Chart_Scale_Distance!$B:$B,Chart_Scale_Distance!$A:$A,""),""))</f>
        <v>6</v>
      </c>
      <c r="AW32" s="28">
        <f t="array" ref="AW32">IF($I31="","",IFERROR(XLOOKUP(AA32,Chart_Scale_Distance!$B:$B,Chart_Scale_Distance!$A:$A,""),""))</f>
        <v>6</v>
      </c>
      <c r="AX32" s="28">
        <f t="shared" si="14"/>
        <v>0</v>
      </c>
      <c r="AY32" s="28">
        <f t="shared" si="15"/>
        <v>1</v>
      </c>
      <c r="AZ32" s="28" t="str">
        <f t="shared" si="16"/>
        <v/>
      </c>
      <c r="BA32" s="28">
        <f t="shared" si="17"/>
        <v>0</v>
      </c>
      <c r="BB32" s="28">
        <f t="shared" si="18"/>
        <v>0</v>
      </c>
      <c r="BC32" s="28" t="str">
        <f t="array" ref="BC32">IF($I32="","",LET(
conf,AI32,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duoMax,XLOOKUP($B32,Derived_Variables!$A:$A,Derived_Variables!$AI:$AI,4),
axisTol,XLOOKUP($B32,Derived_Variables!$A:$A,Derived_Variables!$W:$W,1),
maxStart,XLOOKUP($B32,Derived_Variables!$A:$A,Derived_Variables!$U:$U,1.25),
maxAR,XLOOKUP($B32,Derived_Variables!$A:$A,Derived_Variables!$V:$V,3),
anom,XLOOKUP($B32,Derived_Variables!$A:$A,Derived_Variables!$Z:$Z,FALSE),
reStart,XLOOKUP($B32,Derived_Variables!$A:$A,Derived_Variables!$K:$K,0),
leStart,XLOOKUP($B32,Derived_Variables!$A:$A,Derived_Variables!$N:$N,0),
reAR,XLOOKUP($B32,AR_Input!$A:$A,AR_Input!$B:$B,reStart),
leAR,XLOOKUP($B32,AR_Input!$A:$A,AR_Input!$E:$E,leStart),
reEsc,AND(anom,OR(ABS((S32+AM32)-reStart)&gt;maxStart,ABS((S32+AM32)-reAR)&gt;maxAR)),
leEsc,AND(anom,OR(ABS((V32+AP32)-leStart)&gt;maxStart,ABS((V32+AP32)-leAR)&gt;maxAR)),
phaseMax,IFS(
 AK32="Fast",
   IFS(
     OR(C32="B",C32="D"),XLOOKUP("timeout_coarse_fast",Calibration!$B:$B,Calibration!$C:$C,24),
     OR(C32="E",C32="F",C32="H",C32="I"),XLOOKUP("timeout_jcc_fast",Calibration!$B:$B,Calibration!$C:$C,10),
     OR(C32="G",C32="J"),XLOOKUP("timeout_duochrome_fast",Calibration!$B:$B,Calibration!$C:$C,8),
     C32="K",XLOOKUP("timeout_bino_fast",Calibration!$B:$B,Calibration!$C:$C,10),
     OR(C32="P",C32="Q",C32="R"),XLOOKUP("timeout_near_fast",Calibration!$B:$B,Calibration!$C:$C,16),
     TRUE,XLOOKUP("timeout_coarse_fast",Calibration!$B:$B,Calibration!$C:$C,24)
   ),
 AK32="Normal",
   IFS(
     OR(C32="B",C32="D"),XLOOKUP("timeout_coarse_normal",Calibration!$B:$B,Calibration!$C:$C,36),
     OR(C32="E",C32="F",C32="H",C32="I"),XLOOKUP("timeout_jcc_normal",Calibration!$B:$B,Calibration!$C:$C,14),
     OR(C32="G",C32="J"),XLOOKUP("timeout_duochrome_normal",Calibration!$B:$B,Calibration!$C:$C,10),
     C32="K",XLOOKUP("timeout_bino_normal",Calibration!$B:$B,Calibration!$C:$C,14),
     OR(C32="P",C32="Q",C32="R"),XLOOKUP("timeout_near_normal",Calibration!$B:$B,Calibration!$C:$C,22),
     TRUE,XLOOKUP("timeout_coarse_normal",Calibration!$B:$B,Calibration!$C:$C,36)
   ),
 TRUE,
   IFS(
     OR(C32="B",C32="D"),XLOOKUP("timeout_coarse_slow",Calibration!$B:$B,Calibration!$C:$C,48),
     OR(C32="E",C32="F",C32="H",C32="I"),XLOOKUP("timeout_jcc_slow",Calibration!$B:$B,Calibration!$C:$C,18),
     OR(C32="G",C32="J"),XLOOKUP("timeout_duochrome_slow",Calibration!$B:$B,Calibration!$C:$C,12),
     C32="K",XLOOKUP("timeout_bino_slow",Calibration!$B:$B,Calibration!$C:$C,18),
     OR(C32="P",C32="Q",C32="R"),XLOOKUP("timeout_near_slow",Calibration!$B:$B,Calibration!$C:$C,28),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AJ32=TRUE,"ESCALATE",
C32="A",
IF(OR(I32="NOT_READABLE",I32="BLURRY",AND(R32="20_20_20",I32="READABLE")),"B","A"),
C32="B",
IF(reEsc,"ESCALATE",IF(AY32&gt;=phaseMax,"ESCALATE",IF(AND(AV32&gt;=AW32,I32="READABLE"),"E","B"))),
C32="E",
IF(AY32&gt;=phaseMax,"ESCALATE",IF(OR(I32="SAME",I32="CANT_TELL",AD32&lt;axisTol),"F","E")),
C32="F",
IF(AY32&gt;=phaseMax,"ESCALATE",IF(AX32&gt;=powerSameN,"G","F")),
C32="G",
IF(AY32&gt;=phaseMax,"ESCALATE",IF(OR(AX32&gt;=duoEqualN,BB32&gt;=duoMax),"D","G")),
C32="D",
IF(leEsc,"ESCALATE",IF(AY32&gt;=phaseMax,"ESCALATE",IF(AND(AV32&gt;=AW32,I32="READABLE"),"H","D"))),
C32="H",
IF(AY32&gt;=phaseMax,"ESCALATE",IF(OR(I32="SAME",I32="CANT_TELL",AD32&lt;axisTol),"I","H")),
C32="I",
IF(AY32&gt;=phaseMax,"ESCALATE",IF(AX32&gt;=powerSameN,"J","I")),
C32="J",
IF(AY32&gt;=phaseMax,"ESCALATE",IF(OR(AX32&gt;=duoEqualN,BB32&gt;=duoMax),"K","J")),
C32="K",
IF(AY32&gt;=phaseMax,"ESCALATE",IF(AX32&gt;=binoSameN,IF(XLOOKUP($B32,Derived_Variables!$A:$A,Derived_Variables!$AJ:$AJ,FALSE)=TRUE,"P","END"),"K")),
C32="P",
IF(AY32&gt;=phaseMax,"ESCALATE",IF(OR(I32="READABLE",I32="SAME"),"Q","P")),
C32="Q",
IF(AY32&gt;=phaseMax,"ESCALATE",IF(OR(I32="READABLE",I32="SAME"),"R","Q")),
C32="R",
IF(AY32&gt;=phaseMax,"ESCALATE",IF(OR(I32=nearTarget,I32="SAME"),"END","R")),
TRUE,"END"
)))</f>
        <v>H</v>
      </c>
      <c r="BD32" s="28" t="b">
        <f t="shared" si="19"/>
        <v>1</v>
      </c>
    </row>
    <row r="33" ht="15.75" customHeight="1">
      <c r="A33" s="28">
        <f t="shared" si="3"/>
        <v>32</v>
      </c>
      <c r="B33" s="28">
        <f t="shared" si="4"/>
        <v>6</v>
      </c>
      <c r="C33" s="28" t="str">
        <f t="shared" si="5"/>
        <v>H</v>
      </c>
      <c r="D33" s="28" t="str">
        <f t="array" ref="D33">IF($I32="","",XLOOKUP(C33,FSM_State_Map!A:A,FSM_State_Map!B:B,""))</f>
        <v>JCC Axis LE</v>
      </c>
      <c r="E33" s="28" t="str">
        <f t="array" ref="E33">IF($I32="","",XLOOKUP(C33,FSM_State_Map!A:A,FSM_State_Map!C:C,""))</f>
        <v>JCC_AXIS</v>
      </c>
      <c r="F33" s="28" t="str">
        <f t="array" ref="F33">IF($I32="","",XLOOKUP(E33,Phase_UI_Map!A:A,Phase_UI_Map!B:B,""))</f>
        <v>JCC_AXIS</v>
      </c>
      <c r="G33" s="28" t="str">
        <f t="array" ref="G33">IF($I32="","",XLOOKUP(E33,Phase_UI_Map!A:A,Phase_UI_Map!C:C,""))</f>
        <v>DOT_CHART_JCC</v>
      </c>
      <c r="H33" s="28" t="str">
        <f t="array" ref="H33">IF($I32="","",XLOOKUP(E33,Phase_UI_Map!A:A,Phase_UI_Map!D:D,""))</f>
        <v>COMPARE_1_2</v>
      </c>
      <c r="I33" s="29" t="s">
        <v>220</v>
      </c>
      <c r="J33" s="28" t="str">
        <f>IFERROR(__xludf.DUMMYFUNCTION("IF($I32="""","""",IFERROR(INDEX(FILTER(Response_Lists!$B:$B,Response_Lists!$A:$A=$H33),1),""""))"),"BETTER_1")</f>
        <v>BETTER_1</v>
      </c>
      <c r="K33" s="28" t="str">
        <f>IFERROR(__xludf.DUMMYFUNCTION("IF($I32="""","""",IFERROR(INDEX(FILTER(Response_Lists!$B:$B,Response_Lists!$A:$A=$H33),2),""""))"),"BETTER_2")</f>
        <v>BETTER_2</v>
      </c>
      <c r="L33" s="28" t="str">
        <f>IFERROR(__xludf.DUMMYFUNCTION("IF($I32="""","""",IFERROR(INDEX(FILTER(Response_Lists!$B:$B,Response_Lists!$A:$A=$H33),3),""""))"),"SAME")</f>
        <v>SAME</v>
      </c>
      <c r="M33" s="28" t="str">
        <f>IFERROR(__xludf.DUMMYFUNCTION("IF($I32="""","""",IFERROR(INDEX(FILTER(Response_Lists!$B:$B,Response_Lists!$A:$A=$H33),4),""""))"),"CANT_TELL")</f>
        <v>CANT_TELL</v>
      </c>
      <c r="N33" s="28" t="str">
        <f>IFERROR(__xludf.DUMMYFUNCTION("IF($I32="""","""",IFERROR(INDEX(FILTER(Response_Lists!$B:$B,Response_Lists!$A:$A=$H33),5),""""))"),"")</f>
        <v/>
      </c>
      <c r="O33" s="28" t="str">
        <f>IFERROR(__xludf.DUMMYFUNCTION("IF($I32="""","""",IFERROR(INDEX(FILTER(Response_Lists!$B:$B,Response_Lists!$A:$A=$H33),6),""""))"),"")</f>
        <v/>
      </c>
      <c r="P33" s="28" t="str">
        <f t="shared" si="6"/>
        <v>Which is clearer: 1 or 2?</v>
      </c>
      <c r="Q33" s="28" t="str">
        <f t="array" ref="Q33">IF($I32="","",XLOOKUP(C33,FSM_State_Map!A:A,FSM_State_Map!D:D,""))</f>
        <v>LE</v>
      </c>
      <c r="R33" s="28" t="str">
        <f t="shared" si="7"/>
        <v>20_20_20</v>
      </c>
      <c r="S33" s="28">
        <f t="array" ref="S33">IF($I32="","",
IF(
  AND(C33="B",C32&lt;&gt;"B"),
  XLOOKUP($B33,Derived_Variables!$A:$A,Derived_Variables!$K:$K,0)
  + XLOOKUP($B33,Derived_Variables!$A:$A,Derived_Variables!$AE:$AE,0),
  S32+AM32
))</f>
        <v>-1.25</v>
      </c>
      <c r="T33" s="28">
        <f t="shared" ref="T33:U33" si="76">IF($I32="","",T32+AN32)</f>
        <v>-0.25</v>
      </c>
      <c r="U33" s="28">
        <f t="shared" si="76"/>
        <v>2</v>
      </c>
      <c r="V33" s="28">
        <f t="array" ref="V33">IF($I32="","",
IF(
  AND(C33="D",C32&lt;&gt;"D"),
  XLOOKUP($B33,Derived_Variables!$A:$A,Derived_Variables!$N:$N,0)
  + XLOOKUP($B33,Derived_Variables!$A:$A,Derived_Variables!$AE:$AE,0),
  V32+AP32
))</f>
        <v>-1.25</v>
      </c>
      <c r="W33" s="28">
        <f t="shared" ref="W33:X33" si="77">IF($I32="","",W32+AQ32)</f>
        <v>0</v>
      </c>
      <c r="X33" s="28">
        <f t="shared" si="77"/>
        <v>5</v>
      </c>
      <c r="Y33" s="28">
        <f t="array" ref="Y33">IF($I32="","",IF(AND(C33="P",C32&lt;&gt;"P"),IFERROR(XLOOKUP($B33,Lenso_Input!$A:$A,Lenso_Input!$E:$E,0),0),Y32+AS32))</f>
        <v>0</v>
      </c>
      <c r="Z33" s="28">
        <f t="array" ref="Z33">IF($I32="","",IF(AND(C33="Q",C32&lt;&gt;"Q"),IFERROR(XLOOKUP($B33,Lenso_Input!$A:$A,Lenso_Input!$I:$I,0),0),Z32+AT32))</f>
        <v>0</v>
      </c>
      <c r="AA33" s="28" t="str">
        <f t="array" ref="AA33">IF($I32="","",IF(XLOOKUP($B33,Derived_Variables!$A:$A,Derived_Variables!$R:$R,"6/6_target")="6/6_target","20_20_20","40_30_25"))</f>
        <v>20_20_20</v>
      </c>
      <c r="AB33" s="28">
        <f t="array" ref="AB33">IF($I32="","",XLOOKUP(LOWER(XLOOKUP($B33,Derived_Variables!$A:$A,Derived_Variables!$T:$T,"Standard"))&amp;"_sph_step",Calibration!$B:$B,Calibration!$C:$C,0.25))</f>
        <v>0.25</v>
      </c>
      <c r="AC33" s="28">
        <f t="array" ref="AC33">IF($I32="","",XLOOKUP(LOWER(XLOOKUP($B33,Derived_Variables!$A:$A,Derived_Variables!$T:$T,"Standard"))&amp;"_cyl_step",Calibration!$B:$B,Calibration!$C:$C,0.25))</f>
        <v>0.25</v>
      </c>
      <c r="AD33" s="28">
        <f t="array" ref="AD33">IF($I32="","",IF(OR(C33="E",C33="H"),LET(startStep,XLOOKUP("axis_start_step",Calibration!$B:$B,Calibration!$C:$C,5),step1,XLOOKUP("axis_reversal_step_1",Calibration!$B:$B,Calibration!$C:$C,3),step2,XLOOKUP("axis_reversal_step_2",Calibration!$B:$B,Calibration!$C:$C,1),IF(OR(C32&lt;&gt;C33,AZ33="",AZ33="SAME",AZ33="CANT_TELL",I33="",I33="SAME",I33="CANT_TELL"),startStep,IF(OR(AND(AZ33="BETTER_1",I33="BETTER_2"),AND(AZ33="BETTER_2",I33="BETTER_1")),IF(AD32&gt;step1,step1,step2),AD32))),0))</f>
        <v>5</v>
      </c>
      <c r="AE33" s="28" t="str">
        <f t="array" ref="AE33">IF($I32="","",XLOOKUP($B33,Derived_Variables!$A:$A,Derived_Variables!$AD:$AD,"No_Fog"))</f>
        <v>Strong_Fog</v>
      </c>
      <c r="AF33" s="28">
        <f t="array" ref="AF33">IF($I32="","",XLOOKUP($B33,Derived_Variables!$A:$A,Derived_Variables!$AE:$AE,0))</f>
        <v>1</v>
      </c>
      <c r="AG33" s="28" t="str">
        <f t="array" ref="AG33">IF($I32="","",XLOOKUP($B33,Derived_Variables!$A:$A,Derived_Variables!$AF:$AF,""))</f>
        <v>StepDown_0.25</v>
      </c>
      <c r="AH33" s="28" t="str">
        <f t="array" ref="AH33">IF($I32="","",XLOOKUP($B33,Derived_Variables!$A:$A,Derived_Variables!$AG:$AG,""))</f>
        <v>Low</v>
      </c>
      <c r="AI33" s="28" t="str">
        <f t="array" ref="AI33">IF($I32="","",XLOOKUP($B33,Derived_Variables!$A:$A,Derived_Variables!$AC:$AC,"Medium"))</f>
        <v>Low</v>
      </c>
      <c r="AJ33" s="28" t="b">
        <f t="array" ref="AJ33">IF($I32="","",XLOOKUP($B33,Derived_Variables!$A:$A,Derived_Variables!$Y:$Y,FALSE))</f>
        <v>0</v>
      </c>
      <c r="AK33" s="28" t="str">
        <f t="array" ref="AK33">IF($I32="","",XLOOKUP($B33,Derived_Variables!$A:$A,Derived_Variables!$AA:$AA,"Normal"))</f>
        <v>Slow</v>
      </c>
      <c r="AL33" s="28" t="str">
        <f t="array" ref="AL33">IF($I32="","",XLOOKUP($B33,Derived_Variables!$A:$A,Derived_Variables!$AB:$AB,"Normal"))</f>
        <v>Relaxed</v>
      </c>
      <c r="AM33" s="28">
        <f t="array" ref="AM33">IF($I33="","",IFS(C33="B",IF(OR(I33="NOT_READABLE",I33="BLURRY"),-AB33,0),C33="G",IFS(I33="RED_CLEARER",XLOOKUP("duochrome_red_step",Calibration!$B:$B,Calibration!$C:$C,-0.25),I33="GREEN_CLEARER",XLOOKUP("duochrome_green_step",Calibration!$B:$B,Calibration!$C:$C,0.25),I33="EQUAL",IF(XLOOKUP($B33,Derived_Variables!$A:$A,Derived_Variables!$S:$S,"Neutral")="Undercorrect",XLOOKUP("undercorrect_step",Calibration!$B:$B,Calibration!$C:$C,0.25),IF(XLOOKUP($B33,Derived_Variables!$A:$A,Derived_Variables!$S:$S,"Neutral")="Overcorrect",-XLOOKUP("overcorrect_step",Calibration!$B:$B,Calibration!$C:$C,0.25),0)),TRUE,0),C33="K",IF(I33="TOP_CLEARER",XLOOKUP("bino_balance_step",Calibration!$B:$B,Calibration!$C:$C,0.25),0),TRUE,0))</f>
        <v>0</v>
      </c>
      <c r="AN33" s="28">
        <f t="shared" si="10"/>
        <v>0</v>
      </c>
      <c r="AO33" s="28">
        <f t="shared" si="11"/>
        <v>0</v>
      </c>
      <c r="AP33" s="28">
        <f t="array" ref="AP33">IF($I33="","",IFS(C33="D",IF(OR(I33="NOT_READABLE",I33="BLURRY"),-AB33,0),C33="J",IFS(I33="RED_CLEARER",XLOOKUP("duochrome_red_step",Calibration!$B:$B,Calibration!$C:$C,-0.25),I33="GREEN_CLEARER",XLOOKUP("duochrome_green_step",Calibration!$B:$B,Calibration!$C:$C,0.25),I33="EQUAL",IF(XLOOKUP($B33,Derived_Variables!$A:$A,Derived_Variables!$S:$S,"Neutral")="Undercorrect",XLOOKUP("undercorrect_step",Calibration!$B:$B,Calibration!$C:$C,0.25),IF(XLOOKUP($B33,Derived_Variables!$A:$A,Derived_Variables!$S:$S,"Neutral")="Overcorrect",-XLOOKUP("overcorrect_step",Calibration!$B:$B,Calibration!$C:$C,0.25),0)),TRUE,0),C33="K",IF(I33="BOTTOM_CLEARER",XLOOKUP("bino_balance_step",Calibration!$B:$B,Calibration!$C:$C,0.25),0),TRUE,0))</f>
        <v>0</v>
      </c>
      <c r="AQ33" s="28">
        <f t="shared" si="12"/>
        <v>0</v>
      </c>
      <c r="AR33" s="28">
        <f t="shared" si="13"/>
        <v>5</v>
      </c>
      <c r="AS33" s="28">
        <f t="array" ref="AS33">IF($I33="","",IF(C33="P",IF(OR(I33="NOT_READABLE",I33="BLURRY"),XLOOKUP("near_add_step",Calibration!$B:$B,Calibration!$C:$C,0.25),0),IF(C33="R",IF(I33="NOT_CLEAR",XLOOKUP("near_add_step",Calibration!$B:$B,Calibration!$C:$C,0.25),0),0)))</f>
        <v>0</v>
      </c>
      <c r="AT33" s="28">
        <f t="array" ref="AT33">IF($I33="","",IF(C33="Q",IF(OR(I33="NOT_READABLE",I33="BLURRY"),XLOOKUP("near_add_step",Calibration!$B:$B,Calibration!$C:$C,0.25),0),IF(C33="R",IF(I33="NOT_CLEAR",XLOOKUP("near_add_step",Calibration!$B:$B,Calibration!$C:$C,0.25),0),0)))</f>
        <v>0</v>
      </c>
      <c r="AU33" s="28" t="str">
        <f t="array" ref="AU33">IF($I33="","",IF(G33="SNELLEN_FEET",IF(I33="READABLE",IFERROR(XLOOKUP(XLOOKUP(R33,Chart_Scale_Distance!B:B,Chart_Scale_Distance!A:A)+1,Chart_Scale_Distance!A:A,Chart_Scale_Distance!B:B),R33),R33),R33))</f>
        <v>20_20_20</v>
      </c>
      <c r="AV33" s="28">
        <f t="array" ref="AV33">IF($I32="","",IFERROR(XLOOKUP(R33,Chart_Scale_Distance!$B:$B,Chart_Scale_Distance!$A:$A,""),""))</f>
        <v>6</v>
      </c>
      <c r="AW33" s="28">
        <f t="array" ref="AW33">IF($I32="","",IFERROR(XLOOKUP(AA33,Chart_Scale_Distance!$B:$B,Chart_Scale_Distance!$A:$A,""),""))</f>
        <v>6</v>
      </c>
      <c r="AX33" s="28">
        <f t="shared" si="14"/>
        <v>0</v>
      </c>
      <c r="AY33" s="28">
        <f t="shared" si="15"/>
        <v>2</v>
      </c>
      <c r="AZ33" s="28" t="str">
        <f t="shared" si="16"/>
        <v>BETTER_2</v>
      </c>
      <c r="BA33" s="28">
        <f t="shared" si="17"/>
        <v>0</v>
      </c>
      <c r="BB33" s="28">
        <f t="shared" si="18"/>
        <v>0</v>
      </c>
      <c r="BC33" s="28" t="str">
        <f t="array" ref="BC33">IF($I33="","",LET(
conf,AI33,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duoMax,XLOOKUP($B33,Derived_Variables!$A:$A,Derived_Variables!$AI:$AI,4),
axisTol,XLOOKUP($B33,Derived_Variables!$A:$A,Derived_Variables!$W:$W,1),
maxStart,XLOOKUP($B33,Derived_Variables!$A:$A,Derived_Variables!$U:$U,1.25),
maxAR,XLOOKUP($B33,Derived_Variables!$A:$A,Derived_Variables!$V:$V,3),
anom,XLOOKUP($B33,Derived_Variables!$A:$A,Derived_Variables!$Z:$Z,FALSE),
reStart,XLOOKUP($B33,Derived_Variables!$A:$A,Derived_Variables!$K:$K,0),
leStart,XLOOKUP($B33,Derived_Variables!$A:$A,Derived_Variables!$N:$N,0),
reAR,XLOOKUP($B33,AR_Input!$A:$A,AR_Input!$B:$B,reStart),
leAR,XLOOKUP($B33,AR_Input!$A:$A,AR_Input!$E:$E,leStart),
reEsc,AND(anom,OR(ABS((S33+AM33)-reStart)&gt;maxStart,ABS((S33+AM33)-reAR)&gt;maxAR)),
leEsc,AND(anom,OR(ABS((V33+AP33)-leStart)&gt;maxStart,ABS((V33+AP33)-leAR)&gt;maxAR)),
phaseMax,IFS(
 AK33="Fast",
   IFS(
     OR(C33="B",C33="D"),XLOOKUP("timeout_coarse_fast",Calibration!$B:$B,Calibration!$C:$C,24),
     OR(C33="E",C33="F",C33="H",C33="I"),XLOOKUP("timeout_jcc_fast",Calibration!$B:$B,Calibration!$C:$C,10),
     OR(C33="G",C33="J"),XLOOKUP("timeout_duochrome_fast",Calibration!$B:$B,Calibration!$C:$C,8),
     C33="K",XLOOKUP("timeout_bino_fast",Calibration!$B:$B,Calibration!$C:$C,10),
     OR(C33="P",C33="Q",C33="R"),XLOOKUP("timeout_near_fast",Calibration!$B:$B,Calibration!$C:$C,16),
     TRUE,XLOOKUP("timeout_coarse_fast",Calibration!$B:$B,Calibration!$C:$C,24)
   ),
 AK33="Normal",
   IFS(
     OR(C33="B",C33="D"),XLOOKUP("timeout_coarse_normal",Calibration!$B:$B,Calibration!$C:$C,36),
     OR(C33="E",C33="F",C33="H",C33="I"),XLOOKUP("timeout_jcc_normal",Calibration!$B:$B,Calibration!$C:$C,14),
     OR(C33="G",C33="J"),XLOOKUP("timeout_duochrome_normal",Calibration!$B:$B,Calibration!$C:$C,10),
     C33="K",XLOOKUP("timeout_bino_normal",Calibration!$B:$B,Calibration!$C:$C,14),
     OR(C33="P",C33="Q",C33="R"),XLOOKUP("timeout_near_normal",Calibration!$B:$B,Calibration!$C:$C,22),
     TRUE,XLOOKUP("timeout_coarse_normal",Calibration!$B:$B,Calibration!$C:$C,36)
   ),
 TRUE,
   IFS(
     OR(C33="B",C33="D"),XLOOKUP("timeout_coarse_slow",Calibration!$B:$B,Calibration!$C:$C,48),
     OR(C33="E",C33="F",C33="H",C33="I"),XLOOKUP("timeout_jcc_slow",Calibration!$B:$B,Calibration!$C:$C,18),
     OR(C33="G",C33="J"),XLOOKUP("timeout_duochrome_slow",Calibration!$B:$B,Calibration!$C:$C,12),
     C33="K",XLOOKUP("timeout_bino_slow",Calibration!$B:$B,Calibration!$C:$C,18),
     OR(C33="P",C33="Q",C33="R"),XLOOKUP("timeout_near_slow",Calibration!$B:$B,Calibration!$C:$C,28),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AJ33=TRUE,"ESCALATE",
C33="A",
IF(OR(I33="NOT_READABLE",I33="BLURRY",AND(R33="20_20_20",I33="READABLE")),"B","A"),
C33="B",
IF(reEsc,"ESCALATE",IF(AY33&gt;=phaseMax,"ESCALATE",IF(AND(AV33&gt;=AW33,I33="READABLE"),"E","B"))),
C33="E",
IF(AY33&gt;=phaseMax,"ESCALATE",IF(OR(I33="SAME",I33="CANT_TELL",AD33&lt;axisTol),"F","E")),
C33="F",
IF(AY33&gt;=phaseMax,"ESCALATE",IF(AX33&gt;=powerSameN,"G","F")),
C33="G",
IF(AY33&gt;=phaseMax,"ESCALATE",IF(OR(AX33&gt;=duoEqualN,BB33&gt;=duoMax),"D","G")),
C33="D",
IF(leEsc,"ESCALATE",IF(AY33&gt;=phaseMax,"ESCALATE",IF(AND(AV33&gt;=AW33,I33="READABLE"),"H","D"))),
C33="H",
IF(AY33&gt;=phaseMax,"ESCALATE",IF(OR(I33="SAME",I33="CANT_TELL",AD33&lt;axisTol),"I","H")),
C33="I",
IF(AY33&gt;=phaseMax,"ESCALATE",IF(AX33&gt;=powerSameN,"J","I")),
C33="J",
IF(AY33&gt;=phaseMax,"ESCALATE",IF(OR(AX33&gt;=duoEqualN,BB33&gt;=duoMax),"K","J")),
C33="K",
IF(AY33&gt;=phaseMax,"ESCALATE",IF(AX33&gt;=binoSameN,IF(XLOOKUP($B33,Derived_Variables!$A:$A,Derived_Variables!$AJ:$AJ,FALSE)=TRUE,"P","END"),"K")),
C33="P",
IF(AY33&gt;=phaseMax,"ESCALATE",IF(OR(I33="READABLE",I33="SAME"),"Q","P")),
C33="Q",
IF(AY33&gt;=phaseMax,"ESCALATE",IF(OR(I33="READABLE",I33="SAME"),"R","Q")),
C33="R",
IF(AY33&gt;=phaseMax,"ESCALATE",IF(OR(I33=nearTarget,I33="SAME"),"END","R")),
TRUE,"END"
)))</f>
        <v>H</v>
      </c>
      <c r="BD33" s="28" t="b">
        <f t="shared" si="19"/>
        <v>1</v>
      </c>
    </row>
    <row r="34" ht="15.75" customHeight="1">
      <c r="A34" s="28">
        <f t="shared" si="3"/>
        <v>33</v>
      </c>
      <c r="B34" s="28">
        <f t="shared" si="4"/>
        <v>6</v>
      </c>
      <c r="C34" s="28" t="str">
        <f t="shared" si="5"/>
        <v>H</v>
      </c>
      <c r="D34" s="28" t="str">
        <f t="array" ref="D34">IF($I33="","",XLOOKUP(C34,FSM_State_Map!A:A,FSM_State_Map!B:B,""))</f>
        <v>JCC Axis LE</v>
      </c>
      <c r="E34" s="28" t="str">
        <f t="array" ref="E34">IF($I33="","",XLOOKUP(C34,FSM_State_Map!A:A,FSM_State_Map!C:C,""))</f>
        <v>JCC_AXIS</v>
      </c>
      <c r="F34" s="28" t="str">
        <f t="array" ref="F34">IF($I33="","",XLOOKUP(E34,Phase_UI_Map!A:A,Phase_UI_Map!B:B,""))</f>
        <v>JCC_AXIS</v>
      </c>
      <c r="G34" s="28" t="str">
        <f t="array" ref="G34">IF($I33="","",XLOOKUP(E34,Phase_UI_Map!A:A,Phase_UI_Map!C:C,""))</f>
        <v>DOT_CHART_JCC</v>
      </c>
      <c r="H34" s="28" t="str">
        <f t="array" ref="H34">IF($I33="","",XLOOKUP(E34,Phase_UI_Map!A:A,Phase_UI_Map!D:D,""))</f>
        <v>COMPARE_1_2</v>
      </c>
      <c r="I34" s="29" t="s">
        <v>220</v>
      </c>
      <c r="J34" s="28" t="str">
        <f>IFERROR(__xludf.DUMMYFUNCTION("IF($I33="""","""",IFERROR(INDEX(FILTER(Response_Lists!$B:$B,Response_Lists!$A:$A=$H34),1),""""))"),"BETTER_1")</f>
        <v>BETTER_1</v>
      </c>
      <c r="K34" s="28" t="str">
        <f>IFERROR(__xludf.DUMMYFUNCTION("IF($I33="""","""",IFERROR(INDEX(FILTER(Response_Lists!$B:$B,Response_Lists!$A:$A=$H34),2),""""))"),"BETTER_2")</f>
        <v>BETTER_2</v>
      </c>
      <c r="L34" s="28" t="str">
        <f>IFERROR(__xludf.DUMMYFUNCTION("IF($I33="""","""",IFERROR(INDEX(FILTER(Response_Lists!$B:$B,Response_Lists!$A:$A=$H34),3),""""))"),"SAME")</f>
        <v>SAME</v>
      </c>
      <c r="M34" s="28" t="str">
        <f>IFERROR(__xludf.DUMMYFUNCTION("IF($I33="""","""",IFERROR(INDEX(FILTER(Response_Lists!$B:$B,Response_Lists!$A:$A=$H34),4),""""))"),"CANT_TELL")</f>
        <v>CANT_TELL</v>
      </c>
      <c r="N34" s="28" t="str">
        <f>IFERROR(__xludf.DUMMYFUNCTION("IF($I33="""","""",IFERROR(INDEX(FILTER(Response_Lists!$B:$B,Response_Lists!$A:$A=$H34),5),""""))"),"")</f>
        <v/>
      </c>
      <c r="O34" s="28" t="str">
        <f>IFERROR(__xludf.DUMMYFUNCTION("IF($I33="""","""",IFERROR(INDEX(FILTER(Response_Lists!$B:$B,Response_Lists!$A:$A=$H34),6),""""))"),"")</f>
        <v/>
      </c>
      <c r="P34" s="28" t="str">
        <f t="shared" si="6"/>
        <v>Which is clearer: 1 or 2?</v>
      </c>
      <c r="Q34" s="28" t="str">
        <f t="array" ref="Q34">IF($I33="","",XLOOKUP(C34,FSM_State_Map!A:A,FSM_State_Map!D:D,""))</f>
        <v>LE</v>
      </c>
      <c r="R34" s="28" t="str">
        <f t="shared" si="7"/>
        <v>20_20_20</v>
      </c>
      <c r="S34" s="28">
        <f t="array" ref="S34">IF($I33="","",
IF(
  AND(C34="B",C33&lt;&gt;"B"),
  XLOOKUP($B34,Derived_Variables!$A:$A,Derived_Variables!$K:$K,0)
  + XLOOKUP($B34,Derived_Variables!$A:$A,Derived_Variables!$AE:$AE,0),
  S33+AM33
))</f>
        <v>-1.25</v>
      </c>
      <c r="T34" s="28">
        <f t="shared" ref="T34:U34" si="78">IF($I33="","",T33+AN33)</f>
        <v>-0.25</v>
      </c>
      <c r="U34" s="28">
        <f t="shared" si="78"/>
        <v>2</v>
      </c>
      <c r="V34" s="28">
        <f t="array" ref="V34">IF($I33="","",
IF(
  AND(C34="D",C33&lt;&gt;"D"),
  XLOOKUP($B34,Derived_Variables!$A:$A,Derived_Variables!$N:$N,0)
  + XLOOKUP($B34,Derived_Variables!$A:$A,Derived_Variables!$AE:$AE,0),
  V33+AP33
))</f>
        <v>-1.25</v>
      </c>
      <c r="W34" s="28">
        <f t="shared" ref="W34:X34" si="79">IF($I33="","",W33+AQ33)</f>
        <v>0</v>
      </c>
      <c r="X34" s="28">
        <f t="shared" si="79"/>
        <v>10</v>
      </c>
      <c r="Y34" s="28">
        <f t="array" ref="Y34">IF($I33="","",IF(AND(C34="P",C33&lt;&gt;"P"),IFERROR(XLOOKUP($B34,Lenso_Input!$A:$A,Lenso_Input!$E:$E,0),0),Y33+AS33))</f>
        <v>0</v>
      </c>
      <c r="Z34" s="28">
        <f t="array" ref="Z34">IF($I33="","",IF(AND(C34="Q",C33&lt;&gt;"Q"),IFERROR(XLOOKUP($B34,Lenso_Input!$A:$A,Lenso_Input!$I:$I,0),0),Z33+AT33))</f>
        <v>0</v>
      </c>
      <c r="AA34" s="28" t="str">
        <f t="array" ref="AA34">IF($I33="","",IF(XLOOKUP($B34,Derived_Variables!$A:$A,Derived_Variables!$R:$R,"6/6_target")="6/6_target","20_20_20","40_30_25"))</f>
        <v>20_20_20</v>
      </c>
      <c r="AB34" s="28">
        <f t="array" ref="AB34">IF($I33="","",XLOOKUP(LOWER(XLOOKUP($B34,Derived_Variables!$A:$A,Derived_Variables!$T:$T,"Standard"))&amp;"_sph_step",Calibration!$B:$B,Calibration!$C:$C,0.25))</f>
        <v>0.25</v>
      </c>
      <c r="AC34" s="28">
        <f t="array" ref="AC34">IF($I33="","",XLOOKUP(LOWER(XLOOKUP($B34,Derived_Variables!$A:$A,Derived_Variables!$T:$T,"Standard"))&amp;"_cyl_step",Calibration!$B:$B,Calibration!$C:$C,0.25))</f>
        <v>0.25</v>
      </c>
      <c r="AD34" s="28">
        <f t="array" ref="AD34">IF($I33="","",IF(OR(C34="E",C34="H"),LET(startStep,XLOOKUP("axis_start_step",Calibration!$B:$B,Calibration!$C:$C,5),step1,XLOOKUP("axis_reversal_step_1",Calibration!$B:$B,Calibration!$C:$C,3),step2,XLOOKUP("axis_reversal_step_2",Calibration!$B:$B,Calibration!$C:$C,1),IF(OR(C33&lt;&gt;C34,AZ34="",AZ34="SAME",AZ34="CANT_TELL",I34="",I34="SAME",I34="CANT_TELL"),startStep,IF(OR(AND(AZ34="BETTER_1",I34="BETTER_2"),AND(AZ34="BETTER_2",I34="BETTER_1")),IF(AD33&gt;step1,step1,step2),AD33))),0))</f>
        <v>5</v>
      </c>
      <c r="AE34" s="28" t="str">
        <f t="array" ref="AE34">IF($I33="","",XLOOKUP($B34,Derived_Variables!$A:$A,Derived_Variables!$AD:$AD,"No_Fog"))</f>
        <v>Strong_Fog</v>
      </c>
      <c r="AF34" s="28">
        <f t="array" ref="AF34">IF($I33="","",XLOOKUP($B34,Derived_Variables!$A:$A,Derived_Variables!$AE:$AE,0))</f>
        <v>1</v>
      </c>
      <c r="AG34" s="28" t="str">
        <f t="array" ref="AG34">IF($I33="","",XLOOKUP($B34,Derived_Variables!$A:$A,Derived_Variables!$AF:$AF,""))</f>
        <v>StepDown_0.25</v>
      </c>
      <c r="AH34" s="28" t="str">
        <f t="array" ref="AH34">IF($I33="","",XLOOKUP($B34,Derived_Variables!$A:$A,Derived_Variables!$AG:$AG,""))</f>
        <v>Low</v>
      </c>
      <c r="AI34" s="28" t="str">
        <f t="array" ref="AI34">IF($I33="","",XLOOKUP($B34,Derived_Variables!$A:$A,Derived_Variables!$AC:$AC,"Medium"))</f>
        <v>Low</v>
      </c>
      <c r="AJ34" s="28" t="b">
        <f t="array" ref="AJ34">IF($I33="","",XLOOKUP($B34,Derived_Variables!$A:$A,Derived_Variables!$Y:$Y,FALSE))</f>
        <v>0</v>
      </c>
      <c r="AK34" s="28" t="str">
        <f t="array" ref="AK34">IF($I33="","",XLOOKUP($B34,Derived_Variables!$A:$A,Derived_Variables!$AA:$AA,"Normal"))</f>
        <v>Slow</v>
      </c>
      <c r="AL34" s="28" t="str">
        <f t="array" ref="AL34">IF($I33="","",XLOOKUP($B34,Derived_Variables!$A:$A,Derived_Variables!$AB:$AB,"Normal"))</f>
        <v>Relaxed</v>
      </c>
      <c r="AM34" s="28">
        <f t="array" ref="AM34">IF($I34="","",IFS(C34="B",IF(OR(I34="NOT_READABLE",I34="BLURRY"),-AB34,0),C34="G",IFS(I34="RED_CLEARER",XLOOKUP("duochrome_red_step",Calibration!$B:$B,Calibration!$C:$C,-0.25),I34="GREEN_CLEARER",XLOOKUP("duochrome_green_step",Calibration!$B:$B,Calibration!$C:$C,0.25),I34="EQUAL",IF(XLOOKUP($B34,Derived_Variables!$A:$A,Derived_Variables!$S:$S,"Neutral")="Undercorrect",XLOOKUP("undercorrect_step",Calibration!$B:$B,Calibration!$C:$C,0.25),IF(XLOOKUP($B34,Derived_Variables!$A:$A,Derived_Variables!$S:$S,"Neutral")="Overcorrect",-XLOOKUP("overcorrect_step",Calibration!$B:$B,Calibration!$C:$C,0.25),0)),TRUE,0),C34="K",IF(I34="TOP_CLEARER",XLOOKUP("bino_balance_step",Calibration!$B:$B,Calibration!$C:$C,0.25),0),TRUE,0))</f>
        <v>0</v>
      </c>
      <c r="AN34" s="28">
        <f t="shared" si="10"/>
        <v>0</v>
      </c>
      <c r="AO34" s="28">
        <f t="shared" si="11"/>
        <v>0</v>
      </c>
      <c r="AP34" s="28">
        <f t="array" ref="AP34">IF($I34="","",IFS(C34="D",IF(OR(I34="NOT_READABLE",I34="BLURRY"),-AB34,0),C34="J",IFS(I34="RED_CLEARER",XLOOKUP("duochrome_red_step",Calibration!$B:$B,Calibration!$C:$C,-0.25),I34="GREEN_CLEARER",XLOOKUP("duochrome_green_step",Calibration!$B:$B,Calibration!$C:$C,0.25),I34="EQUAL",IF(XLOOKUP($B34,Derived_Variables!$A:$A,Derived_Variables!$S:$S,"Neutral")="Undercorrect",XLOOKUP("undercorrect_step",Calibration!$B:$B,Calibration!$C:$C,0.25),IF(XLOOKUP($B34,Derived_Variables!$A:$A,Derived_Variables!$S:$S,"Neutral")="Overcorrect",-XLOOKUP("overcorrect_step",Calibration!$B:$B,Calibration!$C:$C,0.25),0)),TRUE,0),C34="K",IF(I34="BOTTOM_CLEARER",XLOOKUP("bino_balance_step",Calibration!$B:$B,Calibration!$C:$C,0.25),0),TRUE,0))</f>
        <v>0</v>
      </c>
      <c r="AQ34" s="28">
        <f t="shared" si="12"/>
        <v>0</v>
      </c>
      <c r="AR34" s="28">
        <f t="shared" si="13"/>
        <v>5</v>
      </c>
      <c r="AS34" s="28">
        <f t="array" ref="AS34">IF($I34="","",IF(C34="P",IF(OR(I34="NOT_READABLE",I34="BLURRY"),XLOOKUP("near_add_step",Calibration!$B:$B,Calibration!$C:$C,0.25),0),IF(C34="R",IF(I34="NOT_CLEAR",XLOOKUP("near_add_step",Calibration!$B:$B,Calibration!$C:$C,0.25),0),0)))</f>
        <v>0</v>
      </c>
      <c r="AT34" s="28">
        <f t="array" ref="AT34">IF($I34="","",IF(C34="Q",IF(OR(I34="NOT_READABLE",I34="BLURRY"),XLOOKUP("near_add_step",Calibration!$B:$B,Calibration!$C:$C,0.25),0),IF(C34="R",IF(I34="NOT_CLEAR",XLOOKUP("near_add_step",Calibration!$B:$B,Calibration!$C:$C,0.25),0),0)))</f>
        <v>0</v>
      </c>
      <c r="AU34" s="28" t="str">
        <f t="array" ref="AU34">IF($I34="","",IF(G34="SNELLEN_FEET",IF(I34="READABLE",IFERROR(XLOOKUP(XLOOKUP(R34,Chart_Scale_Distance!B:B,Chart_Scale_Distance!A:A)+1,Chart_Scale_Distance!A:A,Chart_Scale_Distance!B:B),R34),R34),R34))</f>
        <v>20_20_20</v>
      </c>
      <c r="AV34" s="28">
        <f t="array" ref="AV34">IF($I33="","",IFERROR(XLOOKUP(R34,Chart_Scale_Distance!$B:$B,Chart_Scale_Distance!$A:$A,""),""))</f>
        <v>6</v>
      </c>
      <c r="AW34" s="28">
        <f t="array" ref="AW34">IF($I33="","",IFERROR(XLOOKUP(AA34,Chart_Scale_Distance!$B:$B,Chart_Scale_Distance!$A:$A,""),""))</f>
        <v>6</v>
      </c>
      <c r="AX34" s="28">
        <f t="shared" si="14"/>
        <v>0</v>
      </c>
      <c r="AY34" s="28">
        <f t="shared" si="15"/>
        <v>3</v>
      </c>
      <c r="AZ34" s="28" t="str">
        <f t="shared" si="16"/>
        <v>BETTER_2</v>
      </c>
      <c r="BA34" s="28">
        <f t="shared" si="17"/>
        <v>0</v>
      </c>
      <c r="BB34" s="28">
        <f t="shared" si="18"/>
        <v>0</v>
      </c>
      <c r="BC34" s="28" t="str">
        <f t="array" ref="BC34">IF($I34="","",LET(
conf,AI34,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duoMax,XLOOKUP($B34,Derived_Variables!$A:$A,Derived_Variables!$AI:$AI,4),
axisTol,XLOOKUP($B34,Derived_Variables!$A:$A,Derived_Variables!$W:$W,1),
maxStart,XLOOKUP($B34,Derived_Variables!$A:$A,Derived_Variables!$U:$U,1.25),
maxAR,XLOOKUP($B34,Derived_Variables!$A:$A,Derived_Variables!$V:$V,3),
anom,XLOOKUP($B34,Derived_Variables!$A:$A,Derived_Variables!$Z:$Z,FALSE),
reStart,XLOOKUP($B34,Derived_Variables!$A:$A,Derived_Variables!$K:$K,0),
leStart,XLOOKUP($B34,Derived_Variables!$A:$A,Derived_Variables!$N:$N,0),
reAR,XLOOKUP($B34,AR_Input!$A:$A,AR_Input!$B:$B,reStart),
leAR,XLOOKUP($B34,AR_Input!$A:$A,AR_Input!$E:$E,leStart),
reEsc,AND(anom,OR(ABS((S34+AM34)-reStart)&gt;maxStart,ABS((S34+AM34)-reAR)&gt;maxAR)),
leEsc,AND(anom,OR(ABS((V34+AP34)-leStart)&gt;maxStart,ABS((V34+AP34)-leAR)&gt;maxAR)),
phaseMax,IFS(
 AK34="Fast",
   IFS(
     OR(C34="B",C34="D"),XLOOKUP("timeout_coarse_fast",Calibration!$B:$B,Calibration!$C:$C,24),
     OR(C34="E",C34="F",C34="H",C34="I"),XLOOKUP("timeout_jcc_fast",Calibration!$B:$B,Calibration!$C:$C,10),
     OR(C34="G",C34="J"),XLOOKUP("timeout_duochrome_fast",Calibration!$B:$B,Calibration!$C:$C,8),
     C34="K",XLOOKUP("timeout_bino_fast",Calibration!$B:$B,Calibration!$C:$C,10),
     OR(C34="P",C34="Q",C34="R"),XLOOKUP("timeout_near_fast",Calibration!$B:$B,Calibration!$C:$C,16),
     TRUE,XLOOKUP("timeout_coarse_fast",Calibration!$B:$B,Calibration!$C:$C,24)
   ),
 AK34="Normal",
   IFS(
     OR(C34="B",C34="D"),XLOOKUP("timeout_coarse_normal",Calibration!$B:$B,Calibration!$C:$C,36),
     OR(C34="E",C34="F",C34="H",C34="I"),XLOOKUP("timeout_jcc_normal",Calibration!$B:$B,Calibration!$C:$C,14),
     OR(C34="G",C34="J"),XLOOKUP("timeout_duochrome_normal",Calibration!$B:$B,Calibration!$C:$C,10),
     C34="K",XLOOKUP("timeout_bino_normal",Calibration!$B:$B,Calibration!$C:$C,14),
     OR(C34="P",C34="Q",C34="R"),XLOOKUP("timeout_near_normal",Calibration!$B:$B,Calibration!$C:$C,22),
     TRUE,XLOOKUP("timeout_coarse_normal",Calibration!$B:$B,Calibration!$C:$C,36)
   ),
 TRUE,
   IFS(
     OR(C34="B",C34="D"),XLOOKUP("timeout_coarse_slow",Calibration!$B:$B,Calibration!$C:$C,48),
     OR(C34="E",C34="F",C34="H",C34="I"),XLOOKUP("timeout_jcc_slow",Calibration!$B:$B,Calibration!$C:$C,18),
     OR(C34="G",C34="J"),XLOOKUP("timeout_duochrome_slow",Calibration!$B:$B,Calibration!$C:$C,12),
     C34="K",XLOOKUP("timeout_bino_slow",Calibration!$B:$B,Calibration!$C:$C,18),
     OR(C34="P",C34="Q",C34="R"),XLOOKUP("timeout_near_slow",Calibration!$B:$B,Calibration!$C:$C,28),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AJ34=TRUE,"ESCALATE",
C34="A",
IF(OR(I34="NOT_READABLE",I34="BLURRY",AND(R34="20_20_20",I34="READABLE")),"B","A"),
C34="B",
IF(reEsc,"ESCALATE",IF(AY34&gt;=phaseMax,"ESCALATE",IF(AND(AV34&gt;=AW34,I34="READABLE"),"E","B"))),
C34="E",
IF(AY34&gt;=phaseMax,"ESCALATE",IF(OR(I34="SAME",I34="CANT_TELL",AD34&lt;axisTol),"F","E")),
C34="F",
IF(AY34&gt;=phaseMax,"ESCALATE",IF(AX34&gt;=powerSameN,"G","F")),
C34="G",
IF(AY34&gt;=phaseMax,"ESCALATE",IF(OR(AX34&gt;=duoEqualN,BB34&gt;=duoMax),"D","G")),
C34="D",
IF(leEsc,"ESCALATE",IF(AY34&gt;=phaseMax,"ESCALATE",IF(AND(AV34&gt;=AW34,I34="READABLE"),"H","D"))),
C34="H",
IF(AY34&gt;=phaseMax,"ESCALATE",IF(OR(I34="SAME",I34="CANT_TELL",AD34&lt;axisTol),"I","H")),
C34="I",
IF(AY34&gt;=phaseMax,"ESCALATE",IF(AX34&gt;=powerSameN,"J","I")),
C34="J",
IF(AY34&gt;=phaseMax,"ESCALATE",IF(OR(AX34&gt;=duoEqualN,BB34&gt;=duoMax),"K","J")),
C34="K",
IF(AY34&gt;=phaseMax,"ESCALATE",IF(AX34&gt;=binoSameN,IF(XLOOKUP($B34,Derived_Variables!$A:$A,Derived_Variables!$AJ:$AJ,FALSE)=TRUE,"P","END"),"K")),
C34="P",
IF(AY34&gt;=phaseMax,"ESCALATE",IF(OR(I34="READABLE",I34="SAME"),"Q","P")),
C34="Q",
IF(AY34&gt;=phaseMax,"ESCALATE",IF(OR(I34="READABLE",I34="SAME"),"R","Q")),
C34="R",
IF(AY34&gt;=phaseMax,"ESCALATE",IF(OR(I34=nearTarget,I34="SAME"),"END","R")),
TRUE,"END"
)))</f>
        <v>H</v>
      </c>
      <c r="BD34" s="28" t="b">
        <f t="shared" si="19"/>
        <v>1</v>
      </c>
    </row>
    <row r="35" ht="15.75" customHeight="1">
      <c r="A35" s="28">
        <f t="shared" si="3"/>
        <v>34</v>
      </c>
      <c r="B35" s="28">
        <f t="shared" si="4"/>
        <v>6</v>
      </c>
      <c r="C35" s="28" t="str">
        <f t="shared" si="5"/>
        <v>H</v>
      </c>
      <c r="D35" s="28" t="str">
        <f t="array" ref="D35">IF($I34="","",XLOOKUP(C35,FSM_State_Map!A:A,FSM_State_Map!B:B,""))</f>
        <v>JCC Axis LE</v>
      </c>
      <c r="E35" s="28" t="str">
        <f t="array" ref="E35">IF($I34="","",XLOOKUP(C35,FSM_State_Map!A:A,FSM_State_Map!C:C,""))</f>
        <v>JCC_AXIS</v>
      </c>
      <c r="F35" s="28" t="str">
        <f t="array" ref="F35">IF($I34="","",XLOOKUP(E35,Phase_UI_Map!A:A,Phase_UI_Map!B:B,""))</f>
        <v>JCC_AXIS</v>
      </c>
      <c r="G35" s="28" t="str">
        <f t="array" ref="G35">IF($I34="","",XLOOKUP(E35,Phase_UI_Map!A:A,Phase_UI_Map!C:C,""))</f>
        <v>DOT_CHART_JCC</v>
      </c>
      <c r="H35" s="28" t="str">
        <f t="array" ref="H35">IF($I34="","",XLOOKUP(E35,Phase_UI_Map!A:A,Phase_UI_Map!D:D,""))</f>
        <v>COMPARE_1_2</v>
      </c>
      <c r="I35" s="29" t="s">
        <v>220</v>
      </c>
      <c r="J35" s="28" t="str">
        <f>IFERROR(__xludf.DUMMYFUNCTION("IF($I34="""","""",IFERROR(INDEX(FILTER(Response_Lists!$B:$B,Response_Lists!$A:$A=$H35),1),""""))"),"BETTER_1")</f>
        <v>BETTER_1</v>
      </c>
      <c r="K35" s="28" t="str">
        <f>IFERROR(__xludf.DUMMYFUNCTION("IF($I34="""","""",IFERROR(INDEX(FILTER(Response_Lists!$B:$B,Response_Lists!$A:$A=$H35),2),""""))"),"BETTER_2")</f>
        <v>BETTER_2</v>
      </c>
      <c r="L35" s="28" t="str">
        <f>IFERROR(__xludf.DUMMYFUNCTION("IF($I34="""","""",IFERROR(INDEX(FILTER(Response_Lists!$B:$B,Response_Lists!$A:$A=$H35),3),""""))"),"SAME")</f>
        <v>SAME</v>
      </c>
      <c r="M35" s="28" t="str">
        <f>IFERROR(__xludf.DUMMYFUNCTION("IF($I34="""","""",IFERROR(INDEX(FILTER(Response_Lists!$B:$B,Response_Lists!$A:$A=$H35),4),""""))"),"CANT_TELL")</f>
        <v>CANT_TELL</v>
      </c>
      <c r="N35" s="28" t="str">
        <f>IFERROR(__xludf.DUMMYFUNCTION("IF($I34="""","""",IFERROR(INDEX(FILTER(Response_Lists!$B:$B,Response_Lists!$A:$A=$H35),5),""""))"),"")</f>
        <v/>
      </c>
      <c r="O35" s="28" t="str">
        <f>IFERROR(__xludf.DUMMYFUNCTION("IF($I34="""","""",IFERROR(INDEX(FILTER(Response_Lists!$B:$B,Response_Lists!$A:$A=$H35),6),""""))"),"")</f>
        <v/>
      </c>
      <c r="P35" s="28" t="str">
        <f t="shared" si="6"/>
        <v>Which is clearer: 1 or 2?</v>
      </c>
      <c r="Q35" s="28" t="str">
        <f t="array" ref="Q35">IF($I34="","",XLOOKUP(C35,FSM_State_Map!A:A,FSM_State_Map!D:D,""))</f>
        <v>LE</v>
      </c>
      <c r="R35" s="28" t="str">
        <f t="shared" si="7"/>
        <v>20_20_20</v>
      </c>
      <c r="S35" s="28">
        <f t="array" ref="S35">IF($I34="","",
IF(
  AND(C35="B",C34&lt;&gt;"B"),
  XLOOKUP($B35,Derived_Variables!$A:$A,Derived_Variables!$K:$K,0)
  + XLOOKUP($B35,Derived_Variables!$A:$A,Derived_Variables!$AE:$AE,0),
  S34+AM34
))</f>
        <v>-1.25</v>
      </c>
      <c r="T35" s="28">
        <f t="shared" ref="T35:U35" si="80">IF($I34="","",T34+AN34)</f>
        <v>-0.25</v>
      </c>
      <c r="U35" s="28">
        <f t="shared" si="80"/>
        <v>2</v>
      </c>
      <c r="V35" s="28">
        <f t="array" ref="V35">IF($I34="","",
IF(
  AND(C35="D",C34&lt;&gt;"D"),
  XLOOKUP($B35,Derived_Variables!$A:$A,Derived_Variables!$N:$N,0)
  + XLOOKUP($B35,Derived_Variables!$A:$A,Derived_Variables!$AE:$AE,0),
  V34+AP34
))</f>
        <v>-1.25</v>
      </c>
      <c r="W35" s="28">
        <f t="shared" ref="W35:X35" si="81">IF($I34="","",W34+AQ34)</f>
        <v>0</v>
      </c>
      <c r="X35" s="28">
        <f t="shared" si="81"/>
        <v>15</v>
      </c>
      <c r="Y35" s="28">
        <f t="array" ref="Y35">IF($I34="","",IF(AND(C35="P",C34&lt;&gt;"P"),IFERROR(XLOOKUP($B35,Lenso_Input!$A:$A,Lenso_Input!$E:$E,0),0),Y34+AS34))</f>
        <v>0</v>
      </c>
      <c r="Z35" s="28">
        <f t="array" ref="Z35">IF($I34="","",IF(AND(C35="Q",C34&lt;&gt;"Q"),IFERROR(XLOOKUP($B35,Lenso_Input!$A:$A,Lenso_Input!$I:$I,0),0),Z34+AT34))</f>
        <v>0</v>
      </c>
      <c r="AA35" s="28" t="str">
        <f t="array" ref="AA35">IF($I34="","",IF(XLOOKUP($B35,Derived_Variables!$A:$A,Derived_Variables!$R:$R,"6/6_target")="6/6_target","20_20_20","40_30_25"))</f>
        <v>20_20_20</v>
      </c>
      <c r="AB35" s="28">
        <f t="array" ref="AB35">IF($I34="","",XLOOKUP(LOWER(XLOOKUP($B35,Derived_Variables!$A:$A,Derived_Variables!$T:$T,"Standard"))&amp;"_sph_step",Calibration!$B:$B,Calibration!$C:$C,0.25))</f>
        <v>0.25</v>
      </c>
      <c r="AC35" s="28">
        <f t="array" ref="AC35">IF($I34="","",XLOOKUP(LOWER(XLOOKUP($B35,Derived_Variables!$A:$A,Derived_Variables!$T:$T,"Standard"))&amp;"_cyl_step",Calibration!$B:$B,Calibration!$C:$C,0.25))</f>
        <v>0.25</v>
      </c>
      <c r="AD35" s="28">
        <f t="array" ref="AD35">IF($I34="","",IF(OR(C35="E",C35="H"),LET(startStep,XLOOKUP("axis_start_step",Calibration!$B:$B,Calibration!$C:$C,5),step1,XLOOKUP("axis_reversal_step_1",Calibration!$B:$B,Calibration!$C:$C,3),step2,XLOOKUP("axis_reversal_step_2",Calibration!$B:$B,Calibration!$C:$C,1),IF(OR(C34&lt;&gt;C35,AZ35="",AZ35="SAME",AZ35="CANT_TELL",I35="",I35="SAME",I35="CANT_TELL"),startStep,IF(OR(AND(AZ35="BETTER_1",I35="BETTER_2"),AND(AZ35="BETTER_2",I35="BETTER_1")),IF(AD34&gt;step1,step1,step2),AD34))),0))</f>
        <v>5</v>
      </c>
      <c r="AE35" s="28" t="str">
        <f t="array" ref="AE35">IF($I34="","",XLOOKUP($B35,Derived_Variables!$A:$A,Derived_Variables!$AD:$AD,"No_Fog"))</f>
        <v>Strong_Fog</v>
      </c>
      <c r="AF35" s="28">
        <f t="array" ref="AF35">IF($I34="","",XLOOKUP($B35,Derived_Variables!$A:$A,Derived_Variables!$AE:$AE,0))</f>
        <v>1</v>
      </c>
      <c r="AG35" s="28" t="str">
        <f t="array" ref="AG35">IF($I34="","",XLOOKUP($B35,Derived_Variables!$A:$A,Derived_Variables!$AF:$AF,""))</f>
        <v>StepDown_0.25</v>
      </c>
      <c r="AH35" s="28" t="str">
        <f t="array" ref="AH35">IF($I34="","",XLOOKUP($B35,Derived_Variables!$A:$A,Derived_Variables!$AG:$AG,""))</f>
        <v>Low</v>
      </c>
      <c r="AI35" s="28" t="str">
        <f t="array" ref="AI35">IF($I34="","",XLOOKUP($B35,Derived_Variables!$A:$A,Derived_Variables!$AC:$AC,"Medium"))</f>
        <v>Low</v>
      </c>
      <c r="AJ35" s="28" t="b">
        <f t="array" ref="AJ35">IF($I34="","",XLOOKUP($B35,Derived_Variables!$A:$A,Derived_Variables!$Y:$Y,FALSE))</f>
        <v>0</v>
      </c>
      <c r="AK35" s="28" t="str">
        <f t="array" ref="AK35">IF($I34="","",XLOOKUP($B35,Derived_Variables!$A:$A,Derived_Variables!$AA:$AA,"Normal"))</f>
        <v>Slow</v>
      </c>
      <c r="AL35" s="28" t="str">
        <f t="array" ref="AL35">IF($I34="","",XLOOKUP($B35,Derived_Variables!$A:$A,Derived_Variables!$AB:$AB,"Normal"))</f>
        <v>Relaxed</v>
      </c>
      <c r="AM35" s="28">
        <f t="array" ref="AM35">IF($I35="","",IFS(C35="B",IF(OR(I35="NOT_READABLE",I35="BLURRY"),-AB35,0),C35="G",IFS(I35="RED_CLEARER",XLOOKUP("duochrome_red_step",Calibration!$B:$B,Calibration!$C:$C,-0.25),I35="GREEN_CLEARER",XLOOKUP("duochrome_green_step",Calibration!$B:$B,Calibration!$C:$C,0.25),I35="EQUAL",IF(XLOOKUP($B35,Derived_Variables!$A:$A,Derived_Variables!$S:$S,"Neutral")="Undercorrect",XLOOKUP("undercorrect_step",Calibration!$B:$B,Calibration!$C:$C,0.25),IF(XLOOKUP($B35,Derived_Variables!$A:$A,Derived_Variables!$S:$S,"Neutral")="Overcorrect",-XLOOKUP("overcorrect_step",Calibration!$B:$B,Calibration!$C:$C,0.25),0)),TRUE,0),C35="K",IF(I35="TOP_CLEARER",XLOOKUP("bino_balance_step",Calibration!$B:$B,Calibration!$C:$C,0.25),0),TRUE,0))</f>
        <v>0</v>
      </c>
      <c r="AN35" s="28">
        <f t="shared" si="10"/>
        <v>0</v>
      </c>
      <c r="AO35" s="28">
        <f t="shared" si="11"/>
        <v>0</v>
      </c>
      <c r="AP35" s="28">
        <f t="array" ref="AP35">IF($I35="","",IFS(C35="D",IF(OR(I35="NOT_READABLE",I35="BLURRY"),-AB35,0),C35="J",IFS(I35="RED_CLEARER",XLOOKUP("duochrome_red_step",Calibration!$B:$B,Calibration!$C:$C,-0.25),I35="GREEN_CLEARER",XLOOKUP("duochrome_green_step",Calibration!$B:$B,Calibration!$C:$C,0.25),I35="EQUAL",IF(XLOOKUP($B35,Derived_Variables!$A:$A,Derived_Variables!$S:$S,"Neutral")="Undercorrect",XLOOKUP("undercorrect_step",Calibration!$B:$B,Calibration!$C:$C,0.25),IF(XLOOKUP($B35,Derived_Variables!$A:$A,Derived_Variables!$S:$S,"Neutral")="Overcorrect",-XLOOKUP("overcorrect_step",Calibration!$B:$B,Calibration!$C:$C,0.25),0)),TRUE,0),C35="K",IF(I35="BOTTOM_CLEARER",XLOOKUP("bino_balance_step",Calibration!$B:$B,Calibration!$C:$C,0.25),0),TRUE,0))</f>
        <v>0</v>
      </c>
      <c r="AQ35" s="28">
        <f t="shared" si="12"/>
        <v>0</v>
      </c>
      <c r="AR35" s="28">
        <f t="shared" si="13"/>
        <v>5</v>
      </c>
      <c r="AS35" s="28">
        <f t="array" ref="AS35">IF($I35="","",IF(C35="P",IF(OR(I35="NOT_READABLE",I35="BLURRY"),XLOOKUP("near_add_step",Calibration!$B:$B,Calibration!$C:$C,0.25),0),IF(C35="R",IF(I35="NOT_CLEAR",XLOOKUP("near_add_step",Calibration!$B:$B,Calibration!$C:$C,0.25),0),0)))</f>
        <v>0</v>
      </c>
      <c r="AT35" s="28">
        <f t="array" ref="AT35">IF($I35="","",IF(C35="Q",IF(OR(I35="NOT_READABLE",I35="BLURRY"),XLOOKUP("near_add_step",Calibration!$B:$B,Calibration!$C:$C,0.25),0),IF(C35="R",IF(I35="NOT_CLEAR",XLOOKUP("near_add_step",Calibration!$B:$B,Calibration!$C:$C,0.25),0),0)))</f>
        <v>0</v>
      </c>
      <c r="AU35" s="28" t="str">
        <f t="array" ref="AU35">IF($I35="","",IF(G35="SNELLEN_FEET",IF(I35="READABLE",IFERROR(XLOOKUP(XLOOKUP(R35,Chart_Scale_Distance!B:B,Chart_Scale_Distance!A:A)+1,Chart_Scale_Distance!A:A,Chart_Scale_Distance!B:B),R35),R35),R35))</f>
        <v>20_20_20</v>
      </c>
      <c r="AV35" s="28">
        <f t="array" ref="AV35">IF($I34="","",IFERROR(XLOOKUP(R35,Chart_Scale_Distance!$B:$B,Chart_Scale_Distance!$A:$A,""),""))</f>
        <v>6</v>
      </c>
      <c r="AW35" s="28">
        <f t="array" ref="AW35">IF($I34="","",IFERROR(XLOOKUP(AA35,Chart_Scale_Distance!$B:$B,Chart_Scale_Distance!$A:$A,""),""))</f>
        <v>6</v>
      </c>
      <c r="AX35" s="28">
        <f t="shared" si="14"/>
        <v>0</v>
      </c>
      <c r="AY35" s="28">
        <f t="shared" si="15"/>
        <v>4</v>
      </c>
      <c r="AZ35" s="28" t="str">
        <f t="shared" si="16"/>
        <v>BETTER_2</v>
      </c>
      <c r="BA35" s="28">
        <f t="shared" si="17"/>
        <v>0</v>
      </c>
      <c r="BB35" s="28">
        <f t="shared" si="18"/>
        <v>0</v>
      </c>
      <c r="BC35" s="28" t="str">
        <f t="array" ref="BC35">IF($I35="","",LET(
conf,AI35,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duoMax,XLOOKUP($B35,Derived_Variables!$A:$A,Derived_Variables!$AI:$AI,4),
axisTol,XLOOKUP($B35,Derived_Variables!$A:$A,Derived_Variables!$W:$W,1),
maxStart,XLOOKUP($B35,Derived_Variables!$A:$A,Derived_Variables!$U:$U,1.25),
maxAR,XLOOKUP($B35,Derived_Variables!$A:$A,Derived_Variables!$V:$V,3),
anom,XLOOKUP($B35,Derived_Variables!$A:$A,Derived_Variables!$Z:$Z,FALSE),
reStart,XLOOKUP($B35,Derived_Variables!$A:$A,Derived_Variables!$K:$K,0),
leStart,XLOOKUP($B35,Derived_Variables!$A:$A,Derived_Variables!$N:$N,0),
reAR,XLOOKUP($B35,AR_Input!$A:$A,AR_Input!$B:$B,reStart),
leAR,XLOOKUP($B35,AR_Input!$A:$A,AR_Input!$E:$E,leStart),
reEsc,AND(anom,OR(ABS((S35+AM35)-reStart)&gt;maxStart,ABS((S35+AM35)-reAR)&gt;maxAR)),
leEsc,AND(anom,OR(ABS((V35+AP35)-leStart)&gt;maxStart,ABS((V35+AP35)-leAR)&gt;maxAR)),
phaseMax,IFS(
 AK35="Fast",
   IFS(
     OR(C35="B",C35="D"),XLOOKUP("timeout_coarse_fast",Calibration!$B:$B,Calibration!$C:$C,24),
     OR(C35="E",C35="F",C35="H",C35="I"),XLOOKUP("timeout_jcc_fast",Calibration!$B:$B,Calibration!$C:$C,10),
     OR(C35="G",C35="J"),XLOOKUP("timeout_duochrome_fast",Calibration!$B:$B,Calibration!$C:$C,8),
     C35="K",XLOOKUP("timeout_bino_fast",Calibration!$B:$B,Calibration!$C:$C,10),
     OR(C35="P",C35="Q",C35="R"),XLOOKUP("timeout_near_fast",Calibration!$B:$B,Calibration!$C:$C,16),
     TRUE,XLOOKUP("timeout_coarse_fast",Calibration!$B:$B,Calibration!$C:$C,24)
   ),
 AK35="Normal",
   IFS(
     OR(C35="B",C35="D"),XLOOKUP("timeout_coarse_normal",Calibration!$B:$B,Calibration!$C:$C,36),
     OR(C35="E",C35="F",C35="H",C35="I"),XLOOKUP("timeout_jcc_normal",Calibration!$B:$B,Calibration!$C:$C,14),
     OR(C35="G",C35="J"),XLOOKUP("timeout_duochrome_normal",Calibration!$B:$B,Calibration!$C:$C,10),
     C35="K",XLOOKUP("timeout_bino_normal",Calibration!$B:$B,Calibration!$C:$C,14),
     OR(C35="P",C35="Q",C35="R"),XLOOKUP("timeout_near_normal",Calibration!$B:$B,Calibration!$C:$C,22),
     TRUE,XLOOKUP("timeout_coarse_normal",Calibration!$B:$B,Calibration!$C:$C,36)
   ),
 TRUE,
   IFS(
     OR(C35="B",C35="D"),XLOOKUP("timeout_coarse_slow",Calibration!$B:$B,Calibration!$C:$C,48),
     OR(C35="E",C35="F",C35="H",C35="I"),XLOOKUP("timeout_jcc_slow",Calibration!$B:$B,Calibration!$C:$C,18),
     OR(C35="G",C35="J"),XLOOKUP("timeout_duochrome_slow",Calibration!$B:$B,Calibration!$C:$C,12),
     C35="K",XLOOKUP("timeout_bino_slow",Calibration!$B:$B,Calibration!$C:$C,18),
     OR(C35="P",C35="Q",C35="R"),XLOOKUP("timeout_near_slow",Calibration!$B:$B,Calibration!$C:$C,28),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AJ35=TRUE,"ESCALATE",
C35="A",
IF(OR(I35="NOT_READABLE",I35="BLURRY",AND(R35="20_20_20",I35="READABLE")),"B","A"),
C35="B",
IF(reEsc,"ESCALATE",IF(AY35&gt;=phaseMax,"ESCALATE",IF(AND(AV35&gt;=AW35,I35="READABLE"),"E","B"))),
C35="E",
IF(AY35&gt;=phaseMax,"ESCALATE",IF(OR(I35="SAME",I35="CANT_TELL",AD35&lt;axisTol),"F","E")),
C35="F",
IF(AY35&gt;=phaseMax,"ESCALATE",IF(AX35&gt;=powerSameN,"G","F")),
C35="G",
IF(AY35&gt;=phaseMax,"ESCALATE",IF(OR(AX35&gt;=duoEqualN,BB35&gt;=duoMax),"D","G")),
C35="D",
IF(leEsc,"ESCALATE",IF(AY35&gt;=phaseMax,"ESCALATE",IF(AND(AV35&gt;=AW35,I35="READABLE"),"H","D"))),
C35="H",
IF(AY35&gt;=phaseMax,"ESCALATE",IF(OR(I35="SAME",I35="CANT_TELL",AD35&lt;axisTol),"I","H")),
C35="I",
IF(AY35&gt;=phaseMax,"ESCALATE",IF(AX35&gt;=powerSameN,"J","I")),
C35="J",
IF(AY35&gt;=phaseMax,"ESCALATE",IF(OR(AX35&gt;=duoEqualN,BB35&gt;=duoMax),"K","J")),
C35="K",
IF(AY35&gt;=phaseMax,"ESCALATE",IF(AX35&gt;=binoSameN,IF(XLOOKUP($B35,Derived_Variables!$A:$A,Derived_Variables!$AJ:$AJ,FALSE)=TRUE,"P","END"),"K")),
C35="P",
IF(AY35&gt;=phaseMax,"ESCALATE",IF(OR(I35="READABLE",I35="SAME"),"Q","P")),
C35="Q",
IF(AY35&gt;=phaseMax,"ESCALATE",IF(OR(I35="READABLE",I35="SAME"),"R","Q")),
C35="R",
IF(AY35&gt;=phaseMax,"ESCALATE",IF(OR(I35=nearTarget,I35="SAME"),"END","R")),
TRUE,"END"
)))</f>
        <v>H</v>
      </c>
      <c r="BD35" s="28" t="b">
        <f t="shared" si="19"/>
        <v>1</v>
      </c>
    </row>
    <row r="36" ht="15.75" customHeight="1">
      <c r="A36" s="28">
        <f t="shared" si="3"/>
        <v>35</v>
      </c>
      <c r="B36" s="28">
        <f t="shared" si="4"/>
        <v>6</v>
      </c>
      <c r="C36" s="28" t="str">
        <f t="shared" si="5"/>
        <v>H</v>
      </c>
      <c r="D36" s="28" t="str">
        <f t="array" ref="D36">IF($I35="","",XLOOKUP(C36,FSM_State_Map!A:A,FSM_State_Map!B:B,""))</f>
        <v>JCC Axis LE</v>
      </c>
      <c r="E36" s="28" t="str">
        <f t="array" ref="E36">IF($I35="","",XLOOKUP(C36,FSM_State_Map!A:A,FSM_State_Map!C:C,""))</f>
        <v>JCC_AXIS</v>
      </c>
      <c r="F36" s="28" t="str">
        <f t="array" ref="F36">IF($I35="","",XLOOKUP(E36,Phase_UI_Map!A:A,Phase_UI_Map!B:B,""))</f>
        <v>JCC_AXIS</v>
      </c>
      <c r="G36" s="28" t="str">
        <f t="array" ref="G36">IF($I35="","",XLOOKUP(E36,Phase_UI_Map!A:A,Phase_UI_Map!C:C,""))</f>
        <v>DOT_CHART_JCC</v>
      </c>
      <c r="H36" s="28" t="str">
        <f t="array" ref="H36">IF($I35="","",XLOOKUP(E36,Phase_UI_Map!A:A,Phase_UI_Map!D:D,""))</f>
        <v>COMPARE_1_2</v>
      </c>
      <c r="I36" s="29" t="s">
        <v>220</v>
      </c>
      <c r="J36" s="28" t="str">
        <f>IFERROR(__xludf.DUMMYFUNCTION("IF($I35="""","""",IFERROR(INDEX(FILTER(Response_Lists!$B:$B,Response_Lists!$A:$A=$H36),1),""""))"),"BETTER_1")</f>
        <v>BETTER_1</v>
      </c>
      <c r="K36" s="28" t="str">
        <f>IFERROR(__xludf.DUMMYFUNCTION("IF($I35="""","""",IFERROR(INDEX(FILTER(Response_Lists!$B:$B,Response_Lists!$A:$A=$H36),2),""""))"),"BETTER_2")</f>
        <v>BETTER_2</v>
      </c>
      <c r="L36" s="28" t="str">
        <f>IFERROR(__xludf.DUMMYFUNCTION("IF($I35="""","""",IFERROR(INDEX(FILTER(Response_Lists!$B:$B,Response_Lists!$A:$A=$H36),3),""""))"),"SAME")</f>
        <v>SAME</v>
      </c>
      <c r="M36" s="28" t="str">
        <f>IFERROR(__xludf.DUMMYFUNCTION("IF($I35="""","""",IFERROR(INDEX(FILTER(Response_Lists!$B:$B,Response_Lists!$A:$A=$H36),4),""""))"),"CANT_TELL")</f>
        <v>CANT_TELL</v>
      </c>
      <c r="N36" s="28" t="str">
        <f>IFERROR(__xludf.DUMMYFUNCTION("IF($I35="""","""",IFERROR(INDEX(FILTER(Response_Lists!$B:$B,Response_Lists!$A:$A=$H36),5),""""))"),"")</f>
        <v/>
      </c>
      <c r="O36" s="28" t="str">
        <f>IFERROR(__xludf.DUMMYFUNCTION("IF($I35="""","""",IFERROR(INDEX(FILTER(Response_Lists!$B:$B,Response_Lists!$A:$A=$H36),6),""""))"),"")</f>
        <v/>
      </c>
      <c r="P36" s="28" t="str">
        <f t="shared" si="6"/>
        <v>Which is clearer: 1 or 2?</v>
      </c>
      <c r="Q36" s="28" t="str">
        <f t="array" ref="Q36">IF($I35="","",XLOOKUP(C36,FSM_State_Map!A:A,FSM_State_Map!D:D,""))</f>
        <v>LE</v>
      </c>
      <c r="R36" s="28" t="str">
        <f t="shared" si="7"/>
        <v>20_20_20</v>
      </c>
      <c r="S36" s="28">
        <f t="array" ref="S36">IF($I35="","",
IF(
  AND(C36="B",C35&lt;&gt;"B"),
  XLOOKUP($B36,Derived_Variables!$A:$A,Derived_Variables!$K:$K,0)
  + XLOOKUP($B36,Derived_Variables!$A:$A,Derived_Variables!$AE:$AE,0),
  S35+AM35
))</f>
        <v>-1.25</v>
      </c>
      <c r="T36" s="28">
        <f t="shared" ref="T36:U36" si="82">IF($I35="","",T35+AN35)</f>
        <v>-0.25</v>
      </c>
      <c r="U36" s="28">
        <f t="shared" si="82"/>
        <v>2</v>
      </c>
      <c r="V36" s="28">
        <f t="array" ref="V36">IF($I35="","",
IF(
  AND(C36="D",C35&lt;&gt;"D"),
  XLOOKUP($B36,Derived_Variables!$A:$A,Derived_Variables!$N:$N,0)
  + XLOOKUP($B36,Derived_Variables!$A:$A,Derived_Variables!$AE:$AE,0),
  V35+AP35
))</f>
        <v>-1.25</v>
      </c>
      <c r="W36" s="28">
        <f t="shared" ref="W36:X36" si="83">IF($I35="","",W35+AQ35)</f>
        <v>0</v>
      </c>
      <c r="X36" s="28">
        <f t="shared" si="83"/>
        <v>20</v>
      </c>
      <c r="Y36" s="28">
        <f t="array" ref="Y36">IF($I35="","",IF(AND(C36="P",C35&lt;&gt;"P"),IFERROR(XLOOKUP($B36,Lenso_Input!$A:$A,Lenso_Input!$E:$E,0),0),Y35+AS35))</f>
        <v>0</v>
      </c>
      <c r="Z36" s="28">
        <f t="array" ref="Z36">IF($I35="","",IF(AND(C36="Q",C35&lt;&gt;"Q"),IFERROR(XLOOKUP($B36,Lenso_Input!$A:$A,Lenso_Input!$I:$I,0),0),Z35+AT35))</f>
        <v>0</v>
      </c>
      <c r="AA36" s="28" t="str">
        <f t="array" ref="AA36">IF($I35="","",IF(XLOOKUP($B36,Derived_Variables!$A:$A,Derived_Variables!$R:$R,"6/6_target")="6/6_target","20_20_20","40_30_25"))</f>
        <v>20_20_20</v>
      </c>
      <c r="AB36" s="28">
        <f t="array" ref="AB36">IF($I35="","",XLOOKUP(LOWER(XLOOKUP($B36,Derived_Variables!$A:$A,Derived_Variables!$T:$T,"Standard"))&amp;"_sph_step",Calibration!$B:$B,Calibration!$C:$C,0.25))</f>
        <v>0.25</v>
      </c>
      <c r="AC36" s="28">
        <f t="array" ref="AC36">IF($I35="","",XLOOKUP(LOWER(XLOOKUP($B36,Derived_Variables!$A:$A,Derived_Variables!$T:$T,"Standard"))&amp;"_cyl_step",Calibration!$B:$B,Calibration!$C:$C,0.25))</f>
        <v>0.25</v>
      </c>
      <c r="AD36" s="28">
        <f t="array" ref="AD36">IF($I35="","",IF(OR(C36="E",C36="H"),LET(startStep,XLOOKUP("axis_start_step",Calibration!$B:$B,Calibration!$C:$C,5),step1,XLOOKUP("axis_reversal_step_1",Calibration!$B:$B,Calibration!$C:$C,3),step2,XLOOKUP("axis_reversal_step_2",Calibration!$B:$B,Calibration!$C:$C,1),IF(OR(C35&lt;&gt;C36,AZ36="",AZ36="SAME",AZ36="CANT_TELL",I36="",I36="SAME",I36="CANT_TELL"),startStep,IF(OR(AND(AZ36="BETTER_1",I36="BETTER_2"),AND(AZ36="BETTER_2",I36="BETTER_1")),IF(AD35&gt;step1,step1,step2),AD35))),0))</f>
        <v>5</v>
      </c>
      <c r="AE36" s="28" t="str">
        <f t="array" ref="AE36">IF($I35="","",XLOOKUP($B36,Derived_Variables!$A:$A,Derived_Variables!$AD:$AD,"No_Fog"))</f>
        <v>Strong_Fog</v>
      </c>
      <c r="AF36" s="28">
        <f t="array" ref="AF36">IF($I35="","",XLOOKUP($B36,Derived_Variables!$A:$A,Derived_Variables!$AE:$AE,0))</f>
        <v>1</v>
      </c>
      <c r="AG36" s="28" t="str">
        <f t="array" ref="AG36">IF($I35="","",XLOOKUP($B36,Derived_Variables!$A:$A,Derived_Variables!$AF:$AF,""))</f>
        <v>StepDown_0.25</v>
      </c>
      <c r="AH36" s="28" t="str">
        <f t="array" ref="AH36">IF($I35="","",XLOOKUP($B36,Derived_Variables!$A:$A,Derived_Variables!$AG:$AG,""))</f>
        <v>Low</v>
      </c>
      <c r="AI36" s="28" t="str">
        <f t="array" ref="AI36">IF($I35="","",XLOOKUP($B36,Derived_Variables!$A:$A,Derived_Variables!$AC:$AC,"Medium"))</f>
        <v>Low</v>
      </c>
      <c r="AJ36" s="28" t="b">
        <f t="array" ref="AJ36">IF($I35="","",XLOOKUP($B36,Derived_Variables!$A:$A,Derived_Variables!$Y:$Y,FALSE))</f>
        <v>0</v>
      </c>
      <c r="AK36" s="28" t="str">
        <f t="array" ref="AK36">IF($I35="","",XLOOKUP($B36,Derived_Variables!$A:$A,Derived_Variables!$AA:$AA,"Normal"))</f>
        <v>Slow</v>
      </c>
      <c r="AL36" s="28" t="str">
        <f t="array" ref="AL36">IF($I35="","",XLOOKUP($B36,Derived_Variables!$A:$A,Derived_Variables!$AB:$AB,"Normal"))</f>
        <v>Relaxed</v>
      </c>
      <c r="AM36" s="28">
        <f t="array" ref="AM36">IF($I36="","",IFS(C36="B",IF(OR(I36="NOT_READABLE",I36="BLURRY"),-AB36,0),C36="G",IFS(I36="RED_CLEARER",XLOOKUP("duochrome_red_step",Calibration!$B:$B,Calibration!$C:$C,-0.25),I36="GREEN_CLEARER",XLOOKUP("duochrome_green_step",Calibration!$B:$B,Calibration!$C:$C,0.25),I36="EQUAL",IF(XLOOKUP($B36,Derived_Variables!$A:$A,Derived_Variables!$S:$S,"Neutral")="Undercorrect",XLOOKUP("undercorrect_step",Calibration!$B:$B,Calibration!$C:$C,0.25),IF(XLOOKUP($B36,Derived_Variables!$A:$A,Derived_Variables!$S:$S,"Neutral")="Overcorrect",-XLOOKUP("overcorrect_step",Calibration!$B:$B,Calibration!$C:$C,0.25),0)),TRUE,0),C36="K",IF(I36="TOP_CLEARER",XLOOKUP("bino_balance_step",Calibration!$B:$B,Calibration!$C:$C,0.25),0),TRUE,0))</f>
        <v>0</v>
      </c>
      <c r="AN36" s="28">
        <f t="shared" si="10"/>
        <v>0</v>
      </c>
      <c r="AO36" s="28">
        <f t="shared" si="11"/>
        <v>0</v>
      </c>
      <c r="AP36" s="28">
        <f t="array" ref="AP36">IF($I36="","",IFS(C36="D",IF(OR(I36="NOT_READABLE",I36="BLURRY"),-AB36,0),C36="J",IFS(I36="RED_CLEARER",XLOOKUP("duochrome_red_step",Calibration!$B:$B,Calibration!$C:$C,-0.25),I36="GREEN_CLEARER",XLOOKUP("duochrome_green_step",Calibration!$B:$B,Calibration!$C:$C,0.25),I36="EQUAL",IF(XLOOKUP($B36,Derived_Variables!$A:$A,Derived_Variables!$S:$S,"Neutral")="Undercorrect",XLOOKUP("undercorrect_step",Calibration!$B:$B,Calibration!$C:$C,0.25),IF(XLOOKUP($B36,Derived_Variables!$A:$A,Derived_Variables!$S:$S,"Neutral")="Overcorrect",-XLOOKUP("overcorrect_step",Calibration!$B:$B,Calibration!$C:$C,0.25),0)),TRUE,0),C36="K",IF(I36="BOTTOM_CLEARER",XLOOKUP("bino_balance_step",Calibration!$B:$B,Calibration!$C:$C,0.25),0),TRUE,0))</f>
        <v>0</v>
      </c>
      <c r="AQ36" s="28">
        <f t="shared" si="12"/>
        <v>0</v>
      </c>
      <c r="AR36" s="28">
        <f t="shared" si="13"/>
        <v>5</v>
      </c>
      <c r="AS36" s="28">
        <f t="array" ref="AS36">IF($I36="","",IF(C36="P",IF(OR(I36="NOT_READABLE",I36="BLURRY"),XLOOKUP("near_add_step",Calibration!$B:$B,Calibration!$C:$C,0.25),0),IF(C36="R",IF(I36="NOT_CLEAR",XLOOKUP("near_add_step",Calibration!$B:$B,Calibration!$C:$C,0.25),0),0)))</f>
        <v>0</v>
      </c>
      <c r="AT36" s="28">
        <f t="array" ref="AT36">IF($I36="","",IF(C36="Q",IF(OR(I36="NOT_READABLE",I36="BLURRY"),XLOOKUP("near_add_step",Calibration!$B:$B,Calibration!$C:$C,0.25),0),IF(C36="R",IF(I36="NOT_CLEAR",XLOOKUP("near_add_step",Calibration!$B:$B,Calibration!$C:$C,0.25),0),0)))</f>
        <v>0</v>
      </c>
      <c r="AU36" s="28" t="str">
        <f t="array" ref="AU36">IF($I36="","",IF(G36="SNELLEN_FEET",IF(I36="READABLE",IFERROR(XLOOKUP(XLOOKUP(R36,Chart_Scale_Distance!B:B,Chart_Scale_Distance!A:A)+1,Chart_Scale_Distance!A:A,Chart_Scale_Distance!B:B),R36),R36),R36))</f>
        <v>20_20_20</v>
      </c>
      <c r="AV36" s="28">
        <f t="array" ref="AV36">IF($I35="","",IFERROR(XLOOKUP(R36,Chart_Scale_Distance!$B:$B,Chart_Scale_Distance!$A:$A,""),""))</f>
        <v>6</v>
      </c>
      <c r="AW36" s="28">
        <f t="array" ref="AW36">IF($I35="","",IFERROR(XLOOKUP(AA36,Chart_Scale_Distance!$B:$B,Chart_Scale_Distance!$A:$A,""),""))</f>
        <v>6</v>
      </c>
      <c r="AX36" s="28">
        <f t="shared" si="14"/>
        <v>0</v>
      </c>
      <c r="AY36" s="28">
        <f t="shared" si="15"/>
        <v>5</v>
      </c>
      <c r="AZ36" s="28" t="str">
        <f t="shared" si="16"/>
        <v>BETTER_2</v>
      </c>
      <c r="BA36" s="28">
        <f t="shared" si="17"/>
        <v>0</v>
      </c>
      <c r="BB36" s="28">
        <f t="shared" si="18"/>
        <v>0</v>
      </c>
      <c r="BC36" s="28" t="str">
        <f t="array" ref="BC36">IF($I36="","",LET(
conf,AI36,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duoMax,XLOOKUP($B36,Derived_Variables!$A:$A,Derived_Variables!$AI:$AI,4),
axisTol,XLOOKUP($B36,Derived_Variables!$A:$A,Derived_Variables!$W:$W,1),
maxStart,XLOOKUP($B36,Derived_Variables!$A:$A,Derived_Variables!$U:$U,1.25),
maxAR,XLOOKUP($B36,Derived_Variables!$A:$A,Derived_Variables!$V:$V,3),
anom,XLOOKUP($B36,Derived_Variables!$A:$A,Derived_Variables!$Z:$Z,FALSE),
reStart,XLOOKUP($B36,Derived_Variables!$A:$A,Derived_Variables!$K:$K,0),
leStart,XLOOKUP($B36,Derived_Variables!$A:$A,Derived_Variables!$N:$N,0),
reAR,XLOOKUP($B36,AR_Input!$A:$A,AR_Input!$B:$B,reStart),
leAR,XLOOKUP($B36,AR_Input!$A:$A,AR_Input!$E:$E,leStart),
reEsc,AND(anom,OR(ABS((S36+AM36)-reStart)&gt;maxStart,ABS((S36+AM36)-reAR)&gt;maxAR)),
leEsc,AND(anom,OR(ABS((V36+AP36)-leStart)&gt;maxStart,ABS((V36+AP36)-leAR)&gt;maxAR)),
phaseMax,IFS(
 AK36="Fast",
   IFS(
     OR(C36="B",C36="D"),XLOOKUP("timeout_coarse_fast",Calibration!$B:$B,Calibration!$C:$C,24),
     OR(C36="E",C36="F",C36="H",C36="I"),XLOOKUP("timeout_jcc_fast",Calibration!$B:$B,Calibration!$C:$C,10),
     OR(C36="G",C36="J"),XLOOKUP("timeout_duochrome_fast",Calibration!$B:$B,Calibration!$C:$C,8),
     C36="K",XLOOKUP("timeout_bino_fast",Calibration!$B:$B,Calibration!$C:$C,10),
     OR(C36="P",C36="Q",C36="R"),XLOOKUP("timeout_near_fast",Calibration!$B:$B,Calibration!$C:$C,16),
     TRUE,XLOOKUP("timeout_coarse_fast",Calibration!$B:$B,Calibration!$C:$C,24)
   ),
 AK36="Normal",
   IFS(
     OR(C36="B",C36="D"),XLOOKUP("timeout_coarse_normal",Calibration!$B:$B,Calibration!$C:$C,36),
     OR(C36="E",C36="F",C36="H",C36="I"),XLOOKUP("timeout_jcc_normal",Calibration!$B:$B,Calibration!$C:$C,14),
     OR(C36="G",C36="J"),XLOOKUP("timeout_duochrome_normal",Calibration!$B:$B,Calibration!$C:$C,10),
     C36="K",XLOOKUP("timeout_bino_normal",Calibration!$B:$B,Calibration!$C:$C,14),
     OR(C36="P",C36="Q",C36="R"),XLOOKUP("timeout_near_normal",Calibration!$B:$B,Calibration!$C:$C,22),
     TRUE,XLOOKUP("timeout_coarse_normal",Calibration!$B:$B,Calibration!$C:$C,36)
   ),
 TRUE,
   IFS(
     OR(C36="B",C36="D"),XLOOKUP("timeout_coarse_slow",Calibration!$B:$B,Calibration!$C:$C,48),
     OR(C36="E",C36="F",C36="H",C36="I"),XLOOKUP("timeout_jcc_slow",Calibration!$B:$B,Calibration!$C:$C,18),
     OR(C36="G",C36="J"),XLOOKUP("timeout_duochrome_slow",Calibration!$B:$B,Calibration!$C:$C,12),
     C36="K",XLOOKUP("timeout_bino_slow",Calibration!$B:$B,Calibration!$C:$C,18),
     OR(C36="P",C36="Q",C36="R"),XLOOKUP("timeout_near_slow",Calibration!$B:$B,Calibration!$C:$C,28),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AJ36=TRUE,"ESCALATE",
C36="A",
IF(OR(I36="NOT_READABLE",I36="BLURRY",AND(R36="20_20_20",I36="READABLE")),"B","A"),
C36="B",
IF(reEsc,"ESCALATE",IF(AY36&gt;=phaseMax,"ESCALATE",IF(AND(AV36&gt;=AW36,I36="READABLE"),"E","B"))),
C36="E",
IF(AY36&gt;=phaseMax,"ESCALATE",IF(OR(I36="SAME",I36="CANT_TELL",AD36&lt;axisTol),"F","E")),
C36="F",
IF(AY36&gt;=phaseMax,"ESCALATE",IF(AX36&gt;=powerSameN,"G","F")),
C36="G",
IF(AY36&gt;=phaseMax,"ESCALATE",IF(OR(AX36&gt;=duoEqualN,BB36&gt;=duoMax),"D","G")),
C36="D",
IF(leEsc,"ESCALATE",IF(AY36&gt;=phaseMax,"ESCALATE",IF(AND(AV36&gt;=AW36,I36="READABLE"),"H","D"))),
C36="H",
IF(AY36&gt;=phaseMax,"ESCALATE",IF(OR(I36="SAME",I36="CANT_TELL",AD36&lt;axisTol),"I","H")),
C36="I",
IF(AY36&gt;=phaseMax,"ESCALATE",IF(AX36&gt;=powerSameN,"J","I")),
C36="J",
IF(AY36&gt;=phaseMax,"ESCALATE",IF(OR(AX36&gt;=duoEqualN,BB36&gt;=duoMax),"K","J")),
C36="K",
IF(AY36&gt;=phaseMax,"ESCALATE",IF(AX36&gt;=binoSameN,IF(XLOOKUP($B36,Derived_Variables!$A:$A,Derived_Variables!$AJ:$AJ,FALSE)=TRUE,"P","END"),"K")),
C36="P",
IF(AY36&gt;=phaseMax,"ESCALATE",IF(OR(I36="READABLE",I36="SAME"),"Q","P")),
C36="Q",
IF(AY36&gt;=phaseMax,"ESCALATE",IF(OR(I36="READABLE",I36="SAME"),"R","Q")),
C36="R",
IF(AY36&gt;=phaseMax,"ESCALATE",IF(OR(I36=nearTarget,I36="SAME"),"END","R")),
TRUE,"END"
)))</f>
        <v>H</v>
      </c>
      <c r="BD36" s="28" t="b">
        <f t="shared" si="19"/>
        <v>1</v>
      </c>
    </row>
    <row r="37" ht="15.75" customHeight="1">
      <c r="A37" s="28">
        <f t="shared" si="3"/>
        <v>36</v>
      </c>
      <c r="B37" s="28">
        <f t="shared" si="4"/>
        <v>6</v>
      </c>
      <c r="C37" s="28" t="str">
        <f t="shared" si="5"/>
        <v>H</v>
      </c>
      <c r="D37" s="28" t="str">
        <f t="array" ref="D37">IF($I36="","",XLOOKUP(C37,FSM_State_Map!A:A,FSM_State_Map!B:B,""))</f>
        <v>JCC Axis LE</v>
      </c>
      <c r="E37" s="28" t="str">
        <f t="array" ref="E37">IF($I36="","",XLOOKUP(C37,FSM_State_Map!A:A,FSM_State_Map!C:C,""))</f>
        <v>JCC_AXIS</v>
      </c>
      <c r="F37" s="28" t="str">
        <f t="array" ref="F37">IF($I36="","",XLOOKUP(E37,Phase_UI_Map!A:A,Phase_UI_Map!B:B,""))</f>
        <v>JCC_AXIS</v>
      </c>
      <c r="G37" s="28" t="str">
        <f t="array" ref="G37">IF($I36="","",XLOOKUP(E37,Phase_UI_Map!A:A,Phase_UI_Map!C:C,""))</f>
        <v>DOT_CHART_JCC</v>
      </c>
      <c r="H37" s="28" t="str">
        <f t="array" ref="H37">IF($I36="","",XLOOKUP(E37,Phase_UI_Map!A:A,Phase_UI_Map!D:D,""))</f>
        <v>COMPARE_1_2</v>
      </c>
      <c r="I37" s="29" t="s">
        <v>220</v>
      </c>
      <c r="J37" s="28" t="str">
        <f>IFERROR(__xludf.DUMMYFUNCTION("IF($I36="""","""",IFERROR(INDEX(FILTER(Response_Lists!$B:$B,Response_Lists!$A:$A=$H37),1),""""))"),"BETTER_1")</f>
        <v>BETTER_1</v>
      </c>
      <c r="K37" s="28" t="str">
        <f>IFERROR(__xludf.DUMMYFUNCTION("IF($I36="""","""",IFERROR(INDEX(FILTER(Response_Lists!$B:$B,Response_Lists!$A:$A=$H37),2),""""))"),"BETTER_2")</f>
        <v>BETTER_2</v>
      </c>
      <c r="L37" s="28" t="str">
        <f>IFERROR(__xludf.DUMMYFUNCTION("IF($I36="""","""",IFERROR(INDEX(FILTER(Response_Lists!$B:$B,Response_Lists!$A:$A=$H37),3),""""))"),"SAME")</f>
        <v>SAME</v>
      </c>
      <c r="M37" s="28" t="str">
        <f>IFERROR(__xludf.DUMMYFUNCTION("IF($I36="""","""",IFERROR(INDEX(FILTER(Response_Lists!$B:$B,Response_Lists!$A:$A=$H37),4),""""))"),"CANT_TELL")</f>
        <v>CANT_TELL</v>
      </c>
      <c r="N37" s="28" t="str">
        <f>IFERROR(__xludf.DUMMYFUNCTION("IF($I36="""","""",IFERROR(INDEX(FILTER(Response_Lists!$B:$B,Response_Lists!$A:$A=$H37),5),""""))"),"")</f>
        <v/>
      </c>
      <c r="O37" s="28" t="str">
        <f>IFERROR(__xludf.DUMMYFUNCTION("IF($I36="""","""",IFERROR(INDEX(FILTER(Response_Lists!$B:$B,Response_Lists!$A:$A=$H37),6),""""))"),"")</f>
        <v/>
      </c>
      <c r="P37" s="28" t="str">
        <f t="shared" si="6"/>
        <v>Which is clearer: 1 or 2?</v>
      </c>
      <c r="Q37" s="28" t="str">
        <f t="array" ref="Q37">IF($I36="","",XLOOKUP(C37,FSM_State_Map!A:A,FSM_State_Map!D:D,""))</f>
        <v>LE</v>
      </c>
      <c r="R37" s="28" t="str">
        <f t="shared" si="7"/>
        <v>20_20_20</v>
      </c>
      <c r="S37" s="28">
        <f t="array" ref="S37">IF($I36="","",
IF(
  AND(C37="B",C36&lt;&gt;"B"),
  XLOOKUP($B37,Derived_Variables!$A:$A,Derived_Variables!$K:$K,0)
  + XLOOKUP($B37,Derived_Variables!$A:$A,Derived_Variables!$AE:$AE,0),
  S36+AM36
))</f>
        <v>-1.25</v>
      </c>
      <c r="T37" s="28">
        <f t="shared" ref="T37:U37" si="84">IF($I36="","",T36+AN36)</f>
        <v>-0.25</v>
      </c>
      <c r="U37" s="28">
        <f t="shared" si="84"/>
        <v>2</v>
      </c>
      <c r="V37" s="28">
        <f t="array" ref="V37">IF($I36="","",
IF(
  AND(C37="D",C36&lt;&gt;"D"),
  XLOOKUP($B37,Derived_Variables!$A:$A,Derived_Variables!$N:$N,0)
  + XLOOKUP($B37,Derived_Variables!$A:$A,Derived_Variables!$AE:$AE,0),
  V36+AP36
))</f>
        <v>-1.25</v>
      </c>
      <c r="W37" s="28">
        <f t="shared" ref="W37:X37" si="85">IF($I36="","",W36+AQ36)</f>
        <v>0</v>
      </c>
      <c r="X37" s="28">
        <f t="shared" si="85"/>
        <v>25</v>
      </c>
      <c r="Y37" s="28">
        <f t="array" ref="Y37">IF($I36="","",IF(AND(C37="P",C36&lt;&gt;"P"),IFERROR(XLOOKUP($B37,Lenso_Input!$A:$A,Lenso_Input!$E:$E,0),0),Y36+AS36))</f>
        <v>0</v>
      </c>
      <c r="Z37" s="28">
        <f t="array" ref="Z37">IF($I36="","",IF(AND(C37="Q",C36&lt;&gt;"Q"),IFERROR(XLOOKUP($B37,Lenso_Input!$A:$A,Lenso_Input!$I:$I,0),0),Z36+AT36))</f>
        <v>0</v>
      </c>
      <c r="AA37" s="28" t="str">
        <f t="array" ref="AA37">IF($I36="","",IF(XLOOKUP($B37,Derived_Variables!$A:$A,Derived_Variables!$R:$R,"6/6_target")="6/6_target","20_20_20","40_30_25"))</f>
        <v>20_20_20</v>
      </c>
      <c r="AB37" s="28">
        <f t="array" ref="AB37">IF($I36="","",XLOOKUP(LOWER(XLOOKUP($B37,Derived_Variables!$A:$A,Derived_Variables!$T:$T,"Standard"))&amp;"_sph_step",Calibration!$B:$B,Calibration!$C:$C,0.25))</f>
        <v>0.25</v>
      </c>
      <c r="AC37" s="28">
        <f t="array" ref="AC37">IF($I36="","",XLOOKUP(LOWER(XLOOKUP($B37,Derived_Variables!$A:$A,Derived_Variables!$T:$T,"Standard"))&amp;"_cyl_step",Calibration!$B:$B,Calibration!$C:$C,0.25))</f>
        <v>0.25</v>
      </c>
      <c r="AD37" s="28">
        <f t="array" ref="AD37">IF($I36="","",IF(OR(C37="E",C37="H"),LET(startStep,XLOOKUP("axis_start_step",Calibration!$B:$B,Calibration!$C:$C,5),step1,XLOOKUP("axis_reversal_step_1",Calibration!$B:$B,Calibration!$C:$C,3),step2,XLOOKUP("axis_reversal_step_2",Calibration!$B:$B,Calibration!$C:$C,1),IF(OR(C36&lt;&gt;C37,AZ37="",AZ37="SAME",AZ37="CANT_TELL",I37="",I37="SAME",I37="CANT_TELL"),startStep,IF(OR(AND(AZ37="BETTER_1",I37="BETTER_2"),AND(AZ37="BETTER_2",I37="BETTER_1")),IF(AD36&gt;step1,step1,step2),AD36))),0))</f>
        <v>5</v>
      </c>
      <c r="AE37" s="28" t="str">
        <f t="array" ref="AE37">IF($I36="","",XLOOKUP($B37,Derived_Variables!$A:$A,Derived_Variables!$AD:$AD,"No_Fog"))</f>
        <v>Strong_Fog</v>
      </c>
      <c r="AF37" s="28">
        <f t="array" ref="AF37">IF($I36="","",XLOOKUP($B37,Derived_Variables!$A:$A,Derived_Variables!$AE:$AE,0))</f>
        <v>1</v>
      </c>
      <c r="AG37" s="28" t="str">
        <f t="array" ref="AG37">IF($I36="","",XLOOKUP($B37,Derived_Variables!$A:$A,Derived_Variables!$AF:$AF,""))</f>
        <v>StepDown_0.25</v>
      </c>
      <c r="AH37" s="28" t="str">
        <f t="array" ref="AH37">IF($I36="","",XLOOKUP($B37,Derived_Variables!$A:$A,Derived_Variables!$AG:$AG,""))</f>
        <v>Low</v>
      </c>
      <c r="AI37" s="28" t="str">
        <f t="array" ref="AI37">IF($I36="","",XLOOKUP($B37,Derived_Variables!$A:$A,Derived_Variables!$AC:$AC,"Medium"))</f>
        <v>Low</v>
      </c>
      <c r="AJ37" s="28" t="b">
        <f t="array" ref="AJ37">IF($I36="","",XLOOKUP($B37,Derived_Variables!$A:$A,Derived_Variables!$Y:$Y,FALSE))</f>
        <v>0</v>
      </c>
      <c r="AK37" s="28" t="str">
        <f t="array" ref="AK37">IF($I36="","",XLOOKUP($B37,Derived_Variables!$A:$A,Derived_Variables!$AA:$AA,"Normal"))</f>
        <v>Slow</v>
      </c>
      <c r="AL37" s="28" t="str">
        <f t="array" ref="AL37">IF($I36="","",XLOOKUP($B37,Derived_Variables!$A:$A,Derived_Variables!$AB:$AB,"Normal"))</f>
        <v>Relaxed</v>
      </c>
      <c r="AM37" s="28">
        <f t="array" ref="AM37">IF($I37="","",IFS(C37="B",IF(OR(I37="NOT_READABLE",I37="BLURRY"),-AB37,0),C37="G",IFS(I37="RED_CLEARER",XLOOKUP("duochrome_red_step",Calibration!$B:$B,Calibration!$C:$C,-0.25),I37="GREEN_CLEARER",XLOOKUP("duochrome_green_step",Calibration!$B:$B,Calibration!$C:$C,0.25),I37="EQUAL",IF(XLOOKUP($B37,Derived_Variables!$A:$A,Derived_Variables!$S:$S,"Neutral")="Undercorrect",XLOOKUP("undercorrect_step",Calibration!$B:$B,Calibration!$C:$C,0.25),IF(XLOOKUP($B37,Derived_Variables!$A:$A,Derived_Variables!$S:$S,"Neutral")="Overcorrect",-XLOOKUP("overcorrect_step",Calibration!$B:$B,Calibration!$C:$C,0.25),0)),TRUE,0),C37="K",IF(I37="TOP_CLEARER",XLOOKUP("bino_balance_step",Calibration!$B:$B,Calibration!$C:$C,0.25),0),TRUE,0))</f>
        <v>0</v>
      </c>
      <c r="AN37" s="28">
        <f t="shared" si="10"/>
        <v>0</v>
      </c>
      <c r="AO37" s="28">
        <f t="shared" si="11"/>
        <v>0</v>
      </c>
      <c r="AP37" s="28">
        <f t="array" ref="AP37">IF($I37="","",IFS(C37="D",IF(OR(I37="NOT_READABLE",I37="BLURRY"),-AB37,0),C37="J",IFS(I37="RED_CLEARER",XLOOKUP("duochrome_red_step",Calibration!$B:$B,Calibration!$C:$C,-0.25),I37="GREEN_CLEARER",XLOOKUP("duochrome_green_step",Calibration!$B:$B,Calibration!$C:$C,0.25),I37="EQUAL",IF(XLOOKUP($B37,Derived_Variables!$A:$A,Derived_Variables!$S:$S,"Neutral")="Undercorrect",XLOOKUP("undercorrect_step",Calibration!$B:$B,Calibration!$C:$C,0.25),IF(XLOOKUP($B37,Derived_Variables!$A:$A,Derived_Variables!$S:$S,"Neutral")="Overcorrect",-XLOOKUP("overcorrect_step",Calibration!$B:$B,Calibration!$C:$C,0.25),0)),TRUE,0),C37="K",IF(I37="BOTTOM_CLEARER",XLOOKUP("bino_balance_step",Calibration!$B:$B,Calibration!$C:$C,0.25),0),TRUE,0))</f>
        <v>0</v>
      </c>
      <c r="AQ37" s="28">
        <f t="shared" si="12"/>
        <v>0</v>
      </c>
      <c r="AR37" s="28">
        <f t="shared" si="13"/>
        <v>5</v>
      </c>
      <c r="AS37" s="28">
        <f t="array" ref="AS37">IF($I37="","",IF(C37="P",IF(OR(I37="NOT_READABLE",I37="BLURRY"),XLOOKUP("near_add_step",Calibration!$B:$B,Calibration!$C:$C,0.25),0),IF(C37="R",IF(I37="NOT_CLEAR",XLOOKUP("near_add_step",Calibration!$B:$B,Calibration!$C:$C,0.25),0),0)))</f>
        <v>0</v>
      </c>
      <c r="AT37" s="28">
        <f t="array" ref="AT37">IF($I37="","",IF(C37="Q",IF(OR(I37="NOT_READABLE",I37="BLURRY"),XLOOKUP("near_add_step",Calibration!$B:$B,Calibration!$C:$C,0.25),0),IF(C37="R",IF(I37="NOT_CLEAR",XLOOKUP("near_add_step",Calibration!$B:$B,Calibration!$C:$C,0.25),0),0)))</f>
        <v>0</v>
      </c>
      <c r="AU37" s="28" t="str">
        <f t="array" ref="AU37">IF($I37="","",IF(G37="SNELLEN_FEET",IF(I37="READABLE",IFERROR(XLOOKUP(XLOOKUP(R37,Chart_Scale_Distance!B:B,Chart_Scale_Distance!A:A)+1,Chart_Scale_Distance!A:A,Chart_Scale_Distance!B:B),R37),R37),R37))</f>
        <v>20_20_20</v>
      </c>
      <c r="AV37" s="28">
        <f t="array" ref="AV37">IF($I36="","",IFERROR(XLOOKUP(R37,Chart_Scale_Distance!$B:$B,Chart_Scale_Distance!$A:$A,""),""))</f>
        <v>6</v>
      </c>
      <c r="AW37" s="28">
        <f t="array" ref="AW37">IF($I36="","",IFERROR(XLOOKUP(AA37,Chart_Scale_Distance!$B:$B,Chart_Scale_Distance!$A:$A,""),""))</f>
        <v>6</v>
      </c>
      <c r="AX37" s="28">
        <f t="shared" si="14"/>
        <v>0</v>
      </c>
      <c r="AY37" s="28">
        <f t="shared" si="15"/>
        <v>6</v>
      </c>
      <c r="AZ37" s="28" t="str">
        <f t="shared" si="16"/>
        <v>BETTER_2</v>
      </c>
      <c r="BA37" s="28">
        <f t="shared" si="17"/>
        <v>0</v>
      </c>
      <c r="BB37" s="28">
        <f t="shared" si="18"/>
        <v>0</v>
      </c>
      <c r="BC37" s="28" t="str">
        <f t="array" ref="BC37">IF($I37="","",LET(
conf,AI37,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duoMax,XLOOKUP($B37,Derived_Variables!$A:$A,Derived_Variables!$AI:$AI,4),
axisTol,XLOOKUP($B37,Derived_Variables!$A:$A,Derived_Variables!$W:$W,1),
maxStart,XLOOKUP($B37,Derived_Variables!$A:$A,Derived_Variables!$U:$U,1.25),
maxAR,XLOOKUP($B37,Derived_Variables!$A:$A,Derived_Variables!$V:$V,3),
anom,XLOOKUP($B37,Derived_Variables!$A:$A,Derived_Variables!$Z:$Z,FALSE),
reStart,XLOOKUP($B37,Derived_Variables!$A:$A,Derived_Variables!$K:$K,0),
leStart,XLOOKUP($B37,Derived_Variables!$A:$A,Derived_Variables!$N:$N,0),
reAR,XLOOKUP($B37,AR_Input!$A:$A,AR_Input!$B:$B,reStart),
leAR,XLOOKUP($B37,AR_Input!$A:$A,AR_Input!$E:$E,leStart),
reEsc,AND(anom,OR(ABS((S37+AM37)-reStart)&gt;maxStart,ABS((S37+AM37)-reAR)&gt;maxAR)),
leEsc,AND(anom,OR(ABS((V37+AP37)-leStart)&gt;maxStart,ABS((V37+AP37)-leAR)&gt;maxAR)),
phaseMax,IFS(
 AK37="Fast",
   IFS(
     OR(C37="B",C37="D"),XLOOKUP("timeout_coarse_fast",Calibration!$B:$B,Calibration!$C:$C,24),
     OR(C37="E",C37="F",C37="H",C37="I"),XLOOKUP("timeout_jcc_fast",Calibration!$B:$B,Calibration!$C:$C,10),
     OR(C37="G",C37="J"),XLOOKUP("timeout_duochrome_fast",Calibration!$B:$B,Calibration!$C:$C,8),
     C37="K",XLOOKUP("timeout_bino_fast",Calibration!$B:$B,Calibration!$C:$C,10),
     OR(C37="P",C37="Q",C37="R"),XLOOKUP("timeout_near_fast",Calibration!$B:$B,Calibration!$C:$C,16),
     TRUE,XLOOKUP("timeout_coarse_fast",Calibration!$B:$B,Calibration!$C:$C,24)
   ),
 AK37="Normal",
   IFS(
     OR(C37="B",C37="D"),XLOOKUP("timeout_coarse_normal",Calibration!$B:$B,Calibration!$C:$C,36),
     OR(C37="E",C37="F",C37="H",C37="I"),XLOOKUP("timeout_jcc_normal",Calibration!$B:$B,Calibration!$C:$C,14),
     OR(C37="G",C37="J"),XLOOKUP("timeout_duochrome_normal",Calibration!$B:$B,Calibration!$C:$C,10),
     C37="K",XLOOKUP("timeout_bino_normal",Calibration!$B:$B,Calibration!$C:$C,14),
     OR(C37="P",C37="Q",C37="R"),XLOOKUP("timeout_near_normal",Calibration!$B:$B,Calibration!$C:$C,22),
     TRUE,XLOOKUP("timeout_coarse_normal",Calibration!$B:$B,Calibration!$C:$C,36)
   ),
 TRUE,
   IFS(
     OR(C37="B",C37="D"),XLOOKUP("timeout_coarse_slow",Calibration!$B:$B,Calibration!$C:$C,48),
     OR(C37="E",C37="F",C37="H",C37="I"),XLOOKUP("timeout_jcc_slow",Calibration!$B:$B,Calibration!$C:$C,18),
     OR(C37="G",C37="J"),XLOOKUP("timeout_duochrome_slow",Calibration!$B:$B,Calibration!$C:$C,12),
     C37="K",XLOOKUP("timeout_bino_slow",Calibration!$B:$B,Calibration!$C:$C,18),
     OR(C37="P",C37="Q",C37="R"),XLOOKUP("timeout_near_slow",Calibration!$B:$B,Calibration!$C:$C,28),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AJ37=TRUE,"ESCALATE",
C37="A",
IF(OR(I37="NOT_READABLE",I37="BLURRY",AND(R37="20_20_20",I37="READABLE")),"B","A"),
C37="B",
IF(reEsc,"ESCALATE",IF(AY37&gt;=phaseMax,"ESCALATE",IF(AND(AV37&gt;=AW37,I37="READABLE"),"E","B"))),
C37="E",
IF(AY37&gt;=phaseMax,"ESCALATE",IF(OR(I37="SAME",I37="CANT_TELL",AD37&lt;axisTol),"F","E")),
C37="F",
IF(AY37&gt;=phaseMax,"ESCALATE",IF(AX37&gt;=powerSameN,"G","F")),
C37="G",
IF(AY37&gt;=phaseMax,"ESCALATE",IF(OR(AX37&gt;=duoEqualN,BB37&gt;=duoMax),"D","G")),
C37="D",
IF(leEsc,"ESCALATE",IF(AY37&gt;=phaseMax,"ESCALATE",IF(AND(AV37&gt;=AW37,I37="READABLE"),"H","D"))),
C37="H",
IF(AY37&gt;=phaseMax,"ESCALATE",IF(OR(I37="SAME",I37="CANT_TELL",AD37&lt;axisTol),"I","H")),
C37="I",
IF(AY37&gt;=phaseMax,"ESCALATE",IF(AX37&gt;=powerSameN,"J","I")),
C37="J",
IF(AY37&gt;=phaseMax,"ESCALATE",IF(OR(AX37&gt;=duoEqualN,BB37&gt;=duoMax),"K","J")),
C37="K",
IF(AY37&gt;=phaseMax,"ESCALATE",IF(AX37&gt;=binoSameN,IF(XLOOKUP($B37,Derived_Variables!$A:$A,Derived_Variables!$AJ:$AJ,FALSE)=TRUE,"P","END"),"K")),
C37="P",
IF(AY37&gt;=phaseMax,"ESCALATE",IF(OR(I37="READABLE",I37="SAME"),"Q","P")),
C37="Q",
IF(AY37&gt;=phaseMax,"ESCALATE",IF(OR(I37="READABLE",I37="SAME"),"R","Q")),
C37="R",
IF(AY37&gt;=phaseMax,"ESCALATE",IF(OR(I37=nearTarget,I37="SAME"),"END","R")),
TRUE,"END"
)))</f>
        <v>H</v>
      </c>
      <c r="BD37" s="28" t="b">
        <f t="shared" si="19"/>
        <v>1</v>
      </c>
    </row>
    <row r="38" ht="15.75" customHeight="1">
      <c r="A38" s="28">
        <f t="shared" si="3"/>
        <v>37</v>
      </c>
      <c r="B38" s="28">
        <f t="shared" si="4"/>
        <v>6</v>
      </c>
      <c r="C38" s="28" t="str">
        <f t="shared" si="5"/>
        <v>H</v>
      </c>
      <c r="D38" s="28" t="str">
        <f t="array" ref="D38">IF($I37="","",XLOOKUP(C38,FSM_State_Map!A:A,FSM_State_Map!B:B,""))</f>
        <v>JCC Axis LE</v>
      </c>
      <c r="E38" s="28" t="str">
        <f t="array" ref="E38">IF($I37="","",XLOOKUP(C38,FSM_State_Map!A:A,FSM_State_Map!C:C,""))</f>
        <v>JCC_AXIS</v>
      </c>
      <c r="F38" s="28" t="str">
        <f t="array" ref="F38">IF($I37="","",XLOOKUP(E38,Phase_UI_Map!A:A,Phase_UI_Map!B:B,""))</f>
        <v>JCC_AXIS</v>
      </c>
      <c r="G38" s="28" t="str">
        <f t="array" ref="G38">IF($I37="","",XLOOKUP(E38,Phase_UI_Map!A:A,Phase_UI_Map!C:C,""))</f>
        <v>DOT_CHART_JCC</v>
      </c>
      <c r="H38" s="28" t="str">
        <f t="array" ref="H38">IF($I37="","",XLOOKUP(E38,Phase_UI_Map!A:A,Phase_UI_Map!D:D,""))</f>
        <v>COMPARE_1_2</v>
      </c>
      <c r="I38" s="29" t="s">
        <v>220</v>
      </c>
      <c r="J38" s="28" t="str">
        <f>IFERROR(__xludf.DUMMYFUNCTION("IF($I37="""","""",IFERROR(INDEX(FILTER(Response_Lists!$B:$B,Response_Lists!$A:$A=$H38),1),""""))"),"BETTER_1")</f>
        <v>BETTER_1</v>
      </c>
      <c r="K38" s="28" t="str">
        <f>IFERROR(__xludf.DUMMYFUNCTION("IF($I37="""","""",IFERROR(INDEX(FILTER(Response_Lists!$B:$B,Response_Lists!$A:$A=$H38),2),""""))"),"BETTER_2")</f>
        <v>BETTER_2</v>
      </c>
      <c r="L38" s="28" t="str">
        <f>IFERROR(__xludf.DUMMYFUNCTION("IF($I37="""","""",IFERROR(INDEX(FILTER(Response_Lists!$B:$B,Response_Lists!$A:$A=$H38),3),""""))"),"SAME")</f>
        <v>SAME</v>
      </c>
      <c r="M38" s="28" t="str">
        <f>IFERROR(__xludf.DUMMYFUNCTION("IF($I37="""","""",IFERROR(INDEX(FILTER(Response_Lists!$B:$B,Response_Lists!$A:$A=$H38),4),""""))"),"CANT_TELL")</f>
        <v>CANT_TELL</v>
      </c>
      <c r="N38" s="28" t="str">
        <f>IFERROR(__xludf.DUMMYFUNCTION("IF($I37="""","""",IFERROR(INDEX(FILTER(Response_Lists!$B:$B,Response_Lists!$A:$A=$H38),5),""""))"),"")</f>
        <v/>
      </c>
      <c r="O38" s="28" t="str">
        <f>IFERROR(__xludf.DUMMYFUNCTION("IF($I37="""","""",IFERROR(INDEX(FILTER(Response_Lists!$B:$B,Response_Lists!$A:$A=$H38),6),""""))"),"")</f>
        <v/>
      </c>
      <c r="P38" s="28" t="str">
        <f t="shared" si="6"/>
        <v>Which is clearer: 1 or 2?</v>
      </c>
      <c r="Q38" s="28" t="str">
        <f t="array" ref="Q38">IF($I37="","",XLOOKUP(C38,FSM_State_Map!A:A,FSM_State_Map!D:D,""))</f>
        <v>LE</v>
      </c>
      <c r="R38" s="28" t="str">
        <f t="shared" si="7"/>
        <v>20_20_20</v>
      </c>
      <c r="S38" s="28">
        <f t="array" ref="S38">IF($I37="","",
IF(
  AND(C38="B",C37&lt;&gt;"B"),
  XLOOKUP($B38,Derived_Variables!$A:$A,Derived_Variables!$K:$K,0)
  + XLOOKUP($B38,Derived_Variables!$A:$A,Derived_Variables!$AE:$AE,0),
  S37+AM37
))</f>
        <v>-1.25</v>
      </c>
      <c r="T38" s="28">
        <f t="shared" ref="T38:U38" si="86">IF($I37="","",T37+AN37)</f>
        <v>-0.25</v>
      </c>
      <c r="U38" s="28">
        <f t="shared" si="86"/>
        <v>2</v>
      </c>
      <c r="V38" s="28">
        <f t="array" ref="V38">IF($I37="","",
IF(
  AND(C38="D",C37&lt;&gt;"D"),
  XLOOKUP($B38,Derived_Variables!$A:$A,Derived_Variables!$N:$N,0)
  + XLOOKUP($B38,Derived_Variables!$A:$A,Derived_Variables!$AE:$AE,0),
  V37+AP37
))</f>
        <v>-1.25</v>
      </c>
      <c r="W38" s="28">
        <f t="shared" ref="W38:X38" si="87">IF($I37="","",W37+AQ37)</f>
        <v>0</v>
      </c>
      <c r="X38" s="28">
        <f t="shared" si="87"/>
        <v>30</v>
      </c>
      <c r="Y38" s="28">
        <f t="array" ref="Y38">IF($I37="","",IF(AND(C38="P",C37&lt;&gt;"P"),IFERROR(XLOOKUP($B38,Lenso_Input!$A:$A,Lenso_Input!$E:$E,0),0),Y37+AS37))</f>
        <v>0</v>
      </c>
      <c r="Z38" s="28">
        <f t="array" ref="Z38">IF($I37="","",IF(AND(C38="Q",C37&lt;&gt;"Q"),IFERROR(XLOOKUP($B38,Lenso_Input!$A:$A,Lenso_Input!$I:$I,0),0),Z37+AT37))</f>
        <v>0</v>
      </c>
      <c r="AA38" s="28" t="str">
        <f t="array" ref="AA38">IF($I37="","",IF(XLOOKUP($B38,Derived_Variables!$A:$A,Derived_Variables!$R:$R,"6/6_target")="6/6_target","20_20_20","40_30_25"))</f>
        <v>20_20_20</v>
      </c>
      <c r="AB38" s="28">
        <f t="array" ref="AB38">IF($I37="","",XLOOKUP(LOWER(XLOOKUP($B38,Derived_Variables!$A:$A,Derived_Variables!$T:$T,"Standard"))&amp;"_sph_step",Calibration!$B:$B,Calibration!$C:$C,0.25))</f>
        <v>0.25</v>
      </c>
      <c r="AC38" s="28">
        <f t="array" ref="AC38">IF($I37="","",XLOOKUP(LOWER(XLOOKUP($B38,Derived_Variables!$A:$A,Derived_Variables!$T:$T,"Standard"))&amp;"_cyl_step",Calibration!$B:$B,Calibration!$C:$C,0.25))</f>
        <v>0.25</v>
      </c>
      <c r="AD38" s="28">
        <f t="array" ref="AD38">IF($I37="","",IF(OR(C38="E",C38="H"),LET(startStep,XLOOKUP("axis_start_step",Calibration!$B:$B,Calibration!$C:$C,5),step1,XLOOKUP("axis_reversal_step_1",Calibration!$B:$B,Calibration!$C:$C,3),step2,XLOOKUP("axis_reversal_step_2",Calibration!$B:$B,Calibration!$C:$C,1),IF(OR(C37&lt;&gt;C38,AZ38="",AZ38="SAME",AZ38="CANT_TELL",I38="",I38="SAME",I38="CANT_TELL"),startStep,IF(OR(AND(AZ38="BETTER_1",I38="BETTER_2"),AND(AZ38="BETTER_2",I38="BETTER_1")),IF(AD37&gt;step1,step1,step2),AD37))),0))</f>
        <v>5</v>
      </c>
      <c r="AE38" s="28" t="str">
        <f t="array" ref="AE38">IF($I37="","",XLOOKUP($B38,Derived_Variables!$A:$A,Derived_Variables!$AD:$AD,"No_Fog"))</f>
        <v>Strong_Fog</v>
      </c>
      <c r="AF38" s="28">
        <f t="array" ref="AF38">IF($I37="","",XLOOKUP($B38,Derived_Variables!$A:$A,Derived_Variables!$AE:$AE,0))</f>
        <v>1</v>
      </c>
      <c r="AG38" s="28" t="str">
        <f t="array" ref="AG38">IF($I37="","",XLOOKUP($B38,Derived_Variables!$A:$A,Derived_Variables!$AF:$AF,""))</f>
        <v>StepDown_0.25</v>
      </c>
      <c r="AH38" s="28" t="str">
        <f t="array" ref="AH38">IF($I37="","",XLOOKUP($B38,Derived_Variables!$A:$A,Derived_Variables!$AG:$AG,""))</f>
        <v>Low</v>
      </c>
      <c r="AI38" s="28" t="str">
        <f t="array" ref="AI38">IF($I37="","",XLOOKUP($B38,Derived_Variables!$A:$A,Derived_Variables!$AC:$AC,"Medium"))</f>
        <v>Low</v>
      </c>
      <c r="AJ38" s="28" t="b">
        <f t="array" ref="AJ38">IF($I37="","",XLOOKUP($B38,Derived_Variables!$A:$A,Derived_Variables!$Y:$Y,FALSE))</f>
        <v>0</v>
      </c>
      <c r="AK38" s="28" t="str">
        <f t="array" ref="AK38">IF($I37="","",XLOOKUP($B38,Derived_Variables!$A:$A,Derived_Variables!$AA:$AA,"Normal"))</f>
        <v>Slow</v>
      </c>
      <c r="AL38" s="28" t="str">
        <f t="array" ref="AL38">IF($I37="","",XLOOKUP($B38,Derived_Variables!$A:$A,Derived_Variables!$AB:$AB,"Normal"))</f>
        <v>Relaxed</v>
      </c>
      <c r="AM38" s="28">
        <f t="array" ref="AM38">IF($I38="","",IFS(C38="B",IF(OR(I38="NOT_READABLE",I38="BLURRY"),-AB38,0),C38="G",IFS(I38="RED_CLEARER",XLOOKUP("duochrome_red_step",Calibration!$B:$B,Calibration!$C:$C,-0.25),I38="GREEN_CLEARER",XLOOKUP("duochrome_green_step",Calibration!$B:$B,Calibration!$C:$C,0.25),I38="EQUAL",IF(XLOOKUP($B38,Derived_Variables!$A:$A,Derived_Variables!$S:$S,"Neutral")="Undercorrect",XLOOKUP("undercorrect_step",Calibration!$B:$B,Calibration!$C:$C,0.25),IF(XLOOKUP($B38,Derived_Variables!$A:$A,Derived_Variables!$S:$S,"Neutral")="Overcorrect",-XLOOKUP("overcorrect_step",Calibration!$B:$B,Calibration!$C:$C,0.25),0)),TRUE,0),C38="K",IF(I38="TOP_CLEARER",XLOOKUP("bino_balance_step",Calibration!$B:$B,Calibration!$C:$C,0.25),0),TRUE,0))</f>
        <v>0</v>
      </c>
      <c r="AN38" s="28">
        <f t="shared" si="10"/>
        <v>0</v>
      </c>
      <c r="AO38" s="28">
        <f t="shared" si="11"/>
        <v>0</v>
      </c>
      <c r="AP38" s="28">
        <f t="array" ref="AP38">IF($I38="","",IFS(C38="D",IF(OR(I38="NOT_READABLE",I38="BLURRY"),-AB38,0),C38="J",IFS(I38="RED_CLEARER",XLOOKUP("duochrome_red_step",Calibration!$B:$B,Calibration!$C:$C,-0.25),I38="GREEN_CLEARER",XLOOKUP("duochrome_green_step",Calibration!$B:$B,Calibration!$C:$C,0.25),I38="EQUAL",IF(XLOOKUP($B38,Derived_Variables!$A:$A,Derived_Variables!$S:$S,"Neutral")="Undercorrect",XLOOKUP("undercorrect_step",Calibration!$B:$B,Calibration!$C:$C,0.25),IF(XLOOKUP($B38,Derived_Variables!$A:$A,Derived_Variables!$S:$S,"Neutral")="Overcorrect",-XLOOKUP("overcorrect_step",Calibration!$B:$B,Calibration!$C:$C,0.25),0)),TRUE,0),C38="K",IF(I38="BOTTOM_CLEARER",XLOOKUP("bino_balance_step",Calibration!$B:$B,Calibration!$C:$C,0.25),0),TRUE,0))</f>
        <v>0</v>
      </c>
      <c r="AQ38" s="28">
        <f t="shared" si="12"/>
        <v>0</v>
      </c>
      <c r="AR38" s="28">
        <f t="shared" si="13"/>
        <v>5</v>
      </c>
      <c r="AS38" s="28">
        <f t="array" ref="AS38">IF($I38="","",IF(C38="P",IF(OR(I38="NOT_READABLE",I38="BLURRY"),XLOOKUP("near_add_step",Calibration!$B:$B,Calibration!$C:$C,0.25),0),IF(C38="R",IF(I38="NOT_CLEAR",XLOOKUP("near_add_step",Calibration!$B:$B,Calibration!$C:$C,0.25),0),0)))</f>
        <v>0</v>
      </c>
      <c r="AT38" s="28">
        <f t="array" ref="AT38">IF($I38="","",IF(C38="Q",IF(OR(I38="NOT_READABLE",I38="BLURRY"),XLOOKUP("near_add_step",Calibration!$B:$B,Calibration!$C:$C,0.25),0),IF(C38="R",IF(I38="NOT_CLEAR",XLOOKUP("near_add_step",Calibration!$B:$B,Calibration!$C:$C,0.25),0),0)))</f>
        <v>0</v>
      </c>
      <c r="AU38" s="28" t="str">
        <f t="array" ref="AU38">IF($I38="","",IF(G38="SNELLEN_FEET",IF(I38="READABLE",IFERROR(XLOOKUP(XLOOKUP(R38,Chart_Scale_Distance!B:B,Chart_Scale_Distance!A:A)+1,Chart_Scale_Distance!A:A,Chart_Scale_Distance!B:B),R38),R38),R38))</f>
        <v>20_20_20</v>
      </c>
      <c r="AV38" s="28">
        <f t="array" ref="AV38">IF($I37="","",IFERROR(XLOOKUP(R38,Chart_Scale_Distance!$B:$B,Chart_Scale_Distance!$A:$A,""),""))</f>
        <v>6</v>
      </c>
      <c r="AW38" s="28">
        <f t="array" ref="AW38">IF($I37="","",IFERROR(XLOOKUP(AA38,Chart_Scale_Distance!$B:$B,Chart_Scale_Distance!$A:$A,""),""))</f>
        <v>6</v>
      </c>
      <c r="AX38" s="28">
        <f t="shared" si="14"/>
        <v>0</v>
      </c>
      <c r="AY38" s="28">
        <f t="shared" si="15"/>
        <v>7</v>
      </c>
      <c r="AZ38" s="28" t="str">
        <f t="shared" si="16"/>
        <v>BETTER_2</v>
      </c>
      <c r="BA38" s="28">
        <f t="shared" si="17"/>
        <v>0</v>
      </c>
      <c r="BB38" s="28">
        <f t="shared" si="18"/>
        <v>0</v>
      </c>
      <c r="BC38" s="28" t="str">
        <f t="array" ref="BC38">IF($I38="","",LET(
conf,AI38,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duoMax,XLOOKUP($B38,Derived_Variables!$A:$A,Derived_Variables!$AI:$AI,4),
axisTol,XLOOKUP($B38,Derived_Variables!$A:$A,Derived_Variables!$W:$W,1),
maxStart,XLOOKUP($B38,Derived_Variables!$A:$A,Derived_Variables!$U:$U,1.25),
maxAR,XLOOKUP($B38,Derived_Variables!$A:$A,Derived_Variables!$V:$V,3),
anom,XLOOKUP($B38,Derived_Variables!$A:$A,Derived_Variables!$Z:$Z,FALSE),
reStart,XLOOKUP($B38,Derived_Variables!$A:$A,Derived_Variables!$K:$K,0),
leStart,XLOOKUP($B38,Derived_Variables!$A:$A,Derived_Variables!$N:$N,0),
reAR,XLOOKUP($B38,AR_Input!$A:$A,AR_Input!$B:$B,reStart),
leAR,XLOOKUP($B38,AR_Input!$A:$A,AR_Input!$E:$E,leStart),
reEsc,AND(anom,OR(ABS((S38+AM38)-reStart)&gt;maxStart,ABS((S38+AM38)-reAR)&gt;maxAR)),
leEsc,AND(anom,OR(ABS((V38+AP38)-leStart)&gt;maxStart,ABS((V38+AP38)-leAR)&gt;maxAR)),
phaseMax,IFS(
 AK38="Fast",
   IFS(
     OR(C38="B",C38="D"),XLOOKUP("timeout_coarse_fast",Calibration!$B:$B,Calibration!$C:$C,24),
     OR(C38="E",C38="F",C38="H",C38="I"),XLOOKUP("timeout_jcc_fast",Calibration!$B:$B,Calibration!$C:$C,10),
     OR(C38="G",C38="J"),XLOOKUP("timeout_duochrome_fast",Calibration!$B:$B,Calibration!$C:$C,8),
     C38="K",XLOOKUP("timeout_bino_fast",Calibration!$B:$B,Calibration!$C:$C,10),
     OR(C38="P",C38="Q",C38="R"),XLOOKUP("timeout_near_fast",Calibration!$B:$B,Calibration!$C:$C,16),
     TRUE,XLOOKUP("timeout_coarse_fast",Calibration!$B:$B,Calibration!$C:$C,24)
   ),
 AK38="Normal",
   IFS(
     OR(C38="B",C38="D"),XLOOKUP("timeout_coarse_normal",Calibration!$B:$B,Calibration!$C:$C,36),
     OR(C38="E",C38="F",C38="H",C38="I"),XLOOKUP("timeout_jcc_normal",Calibration!$B:$B,Calibration!$C:$C,14),
     OR(C38="G",C38="J"),XLOOKUP("timeout_duochrome_normal",Calibration!$B:$B,Calibration!$C:$C,10),
     C38="K",XLOOKUP("timeout_bino_normal",Calibration!$B:$B,Calibration!$C:$C,14),
     OR(C38="P",C38="Q",C38="R"),XLOOKUP("timeout_near_normal",Calibration!$B:$B,Calibration!$C:$C,22),
     TRUE,XLOOKUP("timeout_coarse_normal",Calibration!$B:$B,Calibration!$C:$C,36)
   ),
 TRUE,
   IFS(
     OR(C38="B",C38="D"),XLOOKUP("timeout_coarse_slow",Calibration!$B:$B,Calibration!$C:$C,48),
     OR(C38="E",C38="F",C38="H",C38="I"),XLOOKUP("timeout_jcc_slow",Calibration!$B:$B,Calibration!$C:$C,18),
     OR(C38="G",C38="J"),XLOOKUP("timeout_duochrome_slow",Calibration!$B:$B,Calibration!$C:$C,12),
     C38="K",XLOOKUP("timeout_bino_slow",Calibration!$B:$B,Calibration!$C:$C,18),
     OR(C38="P",C38="Q",C38="R"),XLOOKUP("timeout_near_slow",Calibration!$B:$B,Calibration!$C:$C,28),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AJ38=TRUE,"ESCALATE",
C38="A",
IF(OR(I38="NOT_READABLE",I38="BLURRY",AND(R38="20_20_20",I38="READABLE")),"B","A"),
C38="B",
IF(reEsc,"ESCALATE",IF(AY38&gt;=phaseMax,"ESCALATE",IF(AND(AV38&gt;=AW38,I38="READABLE"),"E","B"))),
C38="E",
IF(AY38&gt;=phaseMax,"ESCALATE",IF(OR(I38="SAME",I38="CANT_TELL",AD38&lt;axisTol),"F","E")),
C38="F",
IF(AY38&gt;=phaseMax,"ESCALATE",IF(AX38&gt;=powerSameN,"G","F")),
C38="G",
IF(AY38&gt;=phaseMax,"ESCALATE",IF(OR(AX38&gt;=duoEqualN,BB38&gt;=duoMax),"D","G")),
C38="D",
IF(leEsc,"ESCALATE",IF(AY38&gt;=phaseMax,"ESCALATE",IF(AND(AV38&gt;=AW38,I38="READABLE"),"H","D"))),
C38="H",
IF(AY38&gt;=phaseMax,"ESCALATE",IF(OR(I38="SAME",I38="CANT_TELL",AD38&lt;axisTol),"I","H")),
C38="I",
IF(AY38&gt;=phaseMax,"ESCALATE",IF(AX38&gt;=powerSameN,"J","I")),
C38="J",
IF(AY38&gt;=phaseMax,"ESCALATE",IF(OR(AX38&gt;=duoEqualN,BB38&gt;=duoMax),"K","J")),
C38="K",
IF(AY38&gt;=phaseMax,"ESCALATE",IF(AX38&gt;=binoSameN,IF(XLOOKUP($B38,Derived_Variables!$A:$A,Derived_Variables!$AJ:$AJ,FALSE)=TRUE,"P","END"),"K")),
C38="P",
IF(AY38&gt;=phaseMax,"ESCALATE",IF(OR(I38="READABLE",I38="SAME"),"Q","P")),
C38="Q",
IF(AY38&gt;=phaseMax,"ESCALATE",IF(OR(I38="READABLE",I38="SAME"),"R","Q")),
C38="R",
IF(AY38&gt;=phaseMax,"ESCALATE",IF(OR(I38=nearTarget,I38="SAME"),"END","R")),
TRUE,"END"
)))</f>
        <v>H</v>
      </c>
      <c r="BD38" s="28" t="b">
        <f t="shared" si="19"/>
        <v>1</v>
      </c>
    </row>
    <row r="39" ht="15.75" customHeight="1">
      <c r="A39" s="28">
        <f t="shared" si="3"/>
        <v>38</v>
      </c>
      <c r="B39" s="28">
        <f t="shared" si="4"/>
        <v>6</v>
      </c>
      <c r="C39" s="28" t="str">
        <f t="shared" si="5"/>
        <v>H</v>
      </c>
      <c r="D39" s="28" t="str">
        <f t="array" ref="D39">IF($I38="","",XLOOKUP(C39,FSM_State_Map!A:A,FSM_State_Map!B:B,""))</f>
        <v>JCC Axis LE</v>
      </c>
      <c r="E39" s="28" t="str">
        <f t="array" ref="E39">IF($I38="","",XLOOKUP(C39,FSM_State_Map!A:A,FSM_State_Map!C:C,""))</f>
        <v>JCC_AXIS</v>
      </c>
      <c r="F39" s="28" t="str">
        <f t="array" ref="F39">IF($I38="","",XLOOKUP(E39,Phase_UI_Map!A:A,Phase_UI_Map!B:B,""))</f>
        <v>JCC_AXIS</v>
      </c>
      <c r="G39" s="28" t="str">
        <f t="array" ref="G39">IF($I38="","",XLOOKUP(E39,Phase_UI_Map!A:A,Phase_UI_Map!C:C,""))</f>
        <v>DOT_CHART_JCC</v>
      </c>
      <c r="H39" s="28" t="str">
        <f t="array" ref="H39">IF($I38="","",XLOOKUP(E39,Phase_UI_Map!A:A,Phase_UI_Map!D:D,""))</f>
        <v>COMPARE_1_2</v>
      </c>
      <c r="I39" s="29" t="s">
        <v>220</v>
      </c>
      <c r="J39" s="28" t="str">
        <f>IFERROR(__xludf.DUMMYFUNCTION("IF($I38="""","""",IFERROR(INDEX(FILTER(Response_Lists!$B:$B,Response_Lists!$A:$A=$H39),1),""""))"),"BETTER_1")</f>
        <v>BETTER_1</v>
      </c>
      <c r="K39" s="28" t="str">
        <f>IFERROR(__xludf.DUMMYFUNCTION("IF($I38="""","""",IFERROR(INDEX(FILTER(Response_Lists!$B:$B,Response_Lists!$A:$A=$H39),2),""""))"),"BETTER_2")</f>
        <v>BETTER_2</v>
      </c>
      <c r="L39" s="28" t="str">
        <f>IFERROR(__xludf.DUMMYFUNCTION("IF($I38="""","""",IFERROR(INDEX(FILTER(Response_Lists!$B:$B,Response_Lists!$A:$A=$H39),3),""""))"),"SAME")</f>
        <v>SAME</v>
      </c>
      <c r="M39" s="28" t="str">
        <f>IFERROR(__xludf.DUMMYFUNCTION("IF($I38="""","""",IFERROR(INDEX(FILTER(Response_Lists!$B:$B,Response_Lists!$A:$A=$H39),4),""""))"),"CANT_TELL")</f>
        <v>CANT_TELL</v>
      </c>
      <c r="N39" s="28" t="str">
        <f>IFERROR(__xludf.DUMMYFUNCTION("IF($I38="""","""",IFERROR(INDEX(FILTER(Response_Lists!$B:$B,Response_Lists!$A:$A=$H39),5),""""))"),"")</f>
        <v/>
      </c>
      <c r="O39" s="28" t="str">
        <f>IFERROR(__xludf.DUMMYFUNCTION("IF($I38="""","""",IFERROR(INDEX(FILTER(Response_Lists!$B:$B,Response_Lists!$A:$A=$H39),6),""""))"),"")</f>
        <v/>
      </c>
      <c r="P39" s="28" t="str">
        <f t="shared" si="6"/>
        <v>Which is clearer: 1 or 2?</v>
      </c>
      <c r="Q39" s="28" t="str">
        <f t="array" ref="Q39">IF($I38="","",XLOOKUP(C39,FSM_State_Map!A:A,FSM_State_Map!D:D,""))</f>
        <v>LE</v>
      </c>
      <c r="R39" s="28" t="str">
        <f t="shared" si="7"/>
        <v>20_20_20</v>
      </c>
      <c r="S39" s="28">
        <f t="array" ref="S39">IF($I38="","",
IF(
  AND(C39="B",C38&lt;&gt;"B"),
  XLOOKUP($B39,Derived_Variables!$A:$A,Derived_Variables!$K:$K,0)
  + XLOOKUP($B39,Derived_Variables!$A:$A,Derived_Variables!$AE:$AE,0),
  S38+AM38
))</f>
        <v>-1.25</v>
      </c>
      <c r="T39" s="28">
        <f t="shared" ref="T39:U39" si="88">IF($I38="","",T38+AN38)</f>
        <v>-0.25</v>
      </c>
      <c r="U39" s="28">
        <f t="shared" si="88"/>
        <v>2</v>
      </c>
      <c r="V39" s="28">
        <f t="array" ref="V39">IF($I38="","",
IF(
  AND(C39="D",C38&lt;&gt;"D"),
  XLOOKUP($B39,Derived_Variables!$A:$A,Derived_Variables!$N:$N,0)
  + XLOOKUP($B39,Derived_Variables!$A:$A,Derived_Variables!$AE:$AE,0),
  V38+AP38
))</f>
        <v>-1.25</v>
      </c>
      <c r="W39" s="28">
        <f t="shared" ref="W39:X39" si="89">IF($I38="","",W38+AQ38)</f>
        <v>0</v>
      </c>
      <c r="X39" s="28">
        <f t="shared" si="89"/>
        <v>35</v>
      </c>
      <c r="Y39" s="28">
        <f t="array" ref="Y39">IF($I38="","",IF(AND(C39="P",C38&lt;&gt;"P"),IFERROR(XLOOKUP($B39,Lenso_Input!$A:$A,Lenso_Input!$E:$E,0),0),Y38+AS38))</f>
        <v>0</v>
      </c>
      <c r="Z39" s="28">
        <f t="array" ref="Z39">IF($I38="","",IF(AND(C39="Q",C38&lt;&gt;"Q"),IFERROR(XLOOKUP($B39,Lenso_Input!$A:$A,Lenso_Input!$I:$I,0),0),Z38+AT38))</f>
        <v>0</v>
      </c>
      <c r="AA39" s="28" t="str">
        <f t="array" ref="AA39">IF($I38="","",IF(XLOOKUP($B39,Derived_Variables!$A:$A,Derived_Variables!$R:$R,"6/6_target")="6/6_target","20_20_20","40_30_25"))</f>
        <v>20_20_20</v>
      </c>
      <c r="AB39" s="28">
        <f t="array" ref="AB39">IF($I38="","",XLOOKUP(LOWER(XLOOKUP($B39,Derived_Variables!$A:$A,Derived_Variables!$T:$T,"Standard"))&amp;"_sph_step",Calibration!$B:$B,Calibration!$C:$C,0.25))</f>
        <v>0.25</v>
      </c>
      <c r="AC39" s="28">
        <f t="array" ref="AC39">IF($I38="","",XLOOKUP(LOWER(XLOOKUP($B39,Derived_Variables!$A:$A,Derived_Variables!$T:$T,"Standard"))&amp;"_cyl_step",Calibration!$B:$B,Calibration!$C:$C,0.25))</f>
        <v>0.25</v>
      </c>
      <c r="AD39" s="28">
        <f t="array" ref="AD39">IF($I38="","",IF(OR(C39="E",C39="H"),LET(startStep,XLOOKUP("axis_start_step",Calibration!$B:$B,Calibration!$C:$C,5),step1,XLOOKUP("axis_reversal_step_1",Calibration!$B:$B,Calibration!$C:$C,3),step2,XLOOKUP("axis_reversal_step_2",Calibration!$B:$B,Calibration!$C:$C,1),IF(OR(C38&lt;&gt;C39,AZ39="",AZ39="SAME",AZ39="CANT_TELL",I39="",I39="SAME",I39="CANT_TELL"),startStep,IF(OR(AND(AZ39="BETTER_1",I39="BETTER_2"),AND(AZ39="BETTER_2",I39="BETTER_1")),IF(AD38&gt;step1,step1,step2),AD38))),0))</f>
        <v>5</v>
      </c>
      <c r="AE39" s="28" t="str">
        <f t="array" ref="AE39">IF($I38="","",XLOOKUP($B39,Derived_Variables!$A:$A,Derived_Variables!$AD:$AD,"No_Fog"))</f>
        <v>Strong_Fog</v>
      </c>
      <c r="AF39" s="28">
        <f t="array" ref="AF39">IF($I38="","",XLOOKUP($B39,Derived_Variables!$A:$A,Derived_Variables!$AE:$AE,0))</f>
        <v>1</v>
      </c>
      <c r="AG39" s="28" t="str">
        <f t="array" ref="AG39">IF($I38="","",XLOOKUP($B39,Derived_Variables!$A:$A,Derived_Variables!$AF:$AF,""))</f>
        <v>StepDown_0.25</v>
      </c>
      <c r="AH39" s="28" t="str">
        <f t="array" ref="AH39">IF($I38="","",XLOOKUP($B39,Derived_Variables!$A:$A,Derived_Variables!$AG:$AG,""))</f>
        <v>Low</v>
      </c>
      <c r="AI39" s="28" t="str">
        <f t="array" ref="AI39">IF($I38="","",XLOOKUP($B39,Derived_Variables!$A:$A,Derived_Variables!$AC:$AC,"Medium"))</f>
        <v>Low</v>
      </c>
      <c r="AJ39" s="28" t="b">
        <f t="array" ref="AJ39">IF($I38="","",XLOOKUP($B39,Derived_Variables!$A:$A,Derived_Variables!$Y:$Y,FALSE))</f>
        <v>0</v>
      </c>
      <c r="AK39" s="28" t="str">
        <f t="array" ref="AK39">IF($I38="","",XLOOKUP($B39,Derived_Variables!$A:$A,Derived_Variables!$AA:$AA,"Normal"))</f>
        <v>Slow</v>
      </c>
      <c r="AL39" s="28" t="str">
        <f t="array" ref="AL39">IF($I38="","",XLOOKUP($B39,Derived_Variables!$A:$A,Derived_Variables!$AB:$AB,"Normal"))</f>
        <v>Relaxed</v>
      </c>
      <c r="AM39" s="28">
        <f t="array" ref="AM39">IF($I39="","",IFS(C39="B",IF(OR(I39="NOT_READABLE",I39="BLURRY"),-AB39,0),C39="G",IFS(I39="RED_CLEARER",XLOOKUP("duochrome_red_step",Calibration!$B:$B,Calibration!$C:$C,-0.25),I39="GREEN_CLEARER",XLOOKUP("duochrome_green_step",Calibration!$B:$B,Calibration!$C:$C,0.25),I39="EQUAL",IF(XLOOKUP($B39,Derived_Variables!$A:$A,Derived_Variables!$S:$S,"Neutral")="Undercorrect",XLOOKUP("undercorrect_step",Calibration!$B:$B,Calibration!$C:$C,0.25),IF(XLOOKUP($B39,Derived_Variables!$A:$A,Derived_Variables!$S:$S,"Neutral")="Overcorrect",-XLOOKUP("overcorrect_step",Calibration!$B:$B,Calibration!$C:$C,0.25),0)),TRUE,0),C39="K",IF(I39="TOP_CLEARER",XLOOKUP("bino_balance_step",Calibration!$B:$B,Calibration!$C:$C,0.25),0),TRUE,0))</f>
        <v>0</v>
      </c>
      <c r="AN39" s="28">
        <f t="shared" si="10"/>
        <v>0</v>
      </c>
      <c r="AO39" s="28">
        <f t="shared" si="11"/>
        <v>0</v>
      </c>
      <c r="AP39" s="28">
        <f t="array" ref="AP39">IF($I39="","",IFS(C39="D",IF(OR(I39="NOT_READABLE",I39="BLURRY"),-AB39,0),C39="J",IFS(I39="RED_CLEARER",XLOOKUP("duochrome_red_step",Calibration!$B:$B,Calibration!$C:$C,-0.25),I39="GREEN_CLEARER",XLOOKUP("duochrome_green_step",Calibration!$B:$B,Calibration!$C:$C,0.25),I39="EQUAL",IF(XLOOKUP($B39,Derived_Variables!$A:$A,Derived_Variables!$S:$S,"Neutral")="Undercorrect",XLOOKUP("undercorrect_step",Calibration!$B:$B,Calibration!$C:$C,0.25),IF(XLOOKUP($B39,Derived_Variables!$A:$A,Derived_Variables!$S:$S,"Neutral")="Overcorrect",-XLOOKUP("overcorrect_step",Calibration!$B:$B,Calibration!$C:$C,0.25),0)),TRUE,0),C39="K",IF(I39="BOTTOM_CLEARER",XLOOKUP("bino_balance_step",Calibration!$B:$B,Calibration!$C:$C,0.25),0),TRUE,0))</f>
        <v>0</v>
      </c>
      <c r="AQ39" s="28">
        <f t="shared" si="12"/>
        <v>0</v>
      </c>
      <c r="AR39" s="28">
        <f t="shared" si="13"/>
        <v>5</v>
      </c>
      <c r="AS39" s="28">
        <f t="array" ref="AS39">IF($I39="","",IF(C39="P",IF(OR(I39="NOT_READABLE",I39="BLURRY"),XLOOKUP("near_add_step",Calibration!$B:$B,Calibration!$C:$C,0.25),0),IF(C39="R",IF(I39="NOT_CLEAR",XLOOKUP("near_add_step",Calibration!$B:$B,Calibration!$C:$C,0.25),0),0)))</f>
        <v>0</v>
      </c>
      <c r="AT39" s="28">
        <f t="array" ref="AT39">IF($I39="","",IF(C39="Q",IF(OR(I39="NOT_READABLE",I39="BLURRY"),XLOOKUP("near_add_step",Calibration!$B:$B,Calibration!$C:$C,0.25),0),IF(C39="R",IF(I39="NOT_CLEAR",XLOOKUP("near_add_step",Calibration!$B:$B,Calibration!$C:$C,0.25),0),0)))</f>
        <v>0</v>
      </c>
      <c r="AU39" s="28" t="str">
        <f t="array" ref="AU39">IF($I39="","",IF(G39="SNELLEN_FEET",IF(I39="READABLE",IFERROR(XLOOKUP(XLOOKUP(R39,Chart_Scale_Distance!B:B,Chart_Scale_Distance!A:A)+1,Chart_Scale_Distance!A:A,Chart_Scale_Distance!B:B),R39),R39),R39))</f>
        <v>20_20_20</v>
      </c>
      <c r="AV39" s="28">
        <f t="array" ref="AV39">IF($I38="","",IFERROR(XLOOKUP(R39,Chart_Scale_Distance!$B:$B,Chart_Scale_Distance!$A:$A,""),""))</f>
        <v>6</v>
      </c>
      <c r="AW39" s="28">
        <f t="array" ref="AW39">IF($I38="","",IFERROR(XLOOKUP(AA39,Chart_Scale_Distance!$B:$B,Chart_Scale_Distance!$A:$A,""),""))</f>
        <v>6</v>
      </c>
      <c r="AX39" s="28">
        <f t="shared" si="14"/>
        <v>0</v>
      </c>
      <c r="AY39" s="28">
        <f t="shared" si="15"/>
        <v>8</v>
      </c>
      <c r="AZ39" s="28" t="str">
        <f t="shared" si="16"/>
        <v>BETTER_2</v>
      </c>
      <c r="BA39" s="28">
        <f t="shared" si="17"/>
        <v>0</v>
      </c>
      <c r="BB39" s="28">
        <f t="shared" si="18"/>
        <v>0</v>
      </c>
      <c r="BC39" s="28" t="str">
        <f t="array" ref="BC39">IF($I39="","",LET(
conf,AI39,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duoMax,XLOOKUP($B39,Derived_Variables!$A:$A,Derived_Variables!$AI:$AI,4),
axisTol,XLOOKUP($B39,Derived_Variables!$A:$A,Derived_Variables!$W:$W,1),
maxStart,XLOOKUP($B39,Derived_Variables!$A:$A,Derived_Variables!$U:$U,1.25),
maxAR,XLOOKUP($B39,Derived_Variables!$A:$A,Derived_Variables!$V:$V,3),
anom,XLOOKUP($B39,Derived_Variables!$A:$A,Derived_Variables!$Z:$Z,FALSE),
reStart,XLOOKUP($B39,Derived_Variables!$A:$A,Derived_Variables!$K:$K,0),
leStart,XLOOKUP($B39,Derived_Variables!$A:$A,Derived_Variables!$N:$N,0),
reAR,XLOOKUP($B39,AR_Input!$A:$A,AR_Input!$B:$B,reStart),
leAR,XLOOKUP($B39,AR_Input!$A:$A,AR_Input!$E:$E,leStart),
reEsc,AND(anom,OR(ABS((S39+AM39)-reStart)&gt;maxStart,ABS((S39+AM39)-reAR)&gt;maxAR)),
leEsc,AND(anom,OR(ABS((V39+AP39)-leStart)&gt;maxStart,ABS((V39+AP39)-leAR)&gt;maxAR)),
phaseMax,IFS(
 AK39="Fast",
   IFS(
     OR(C39="B",C39="D"),XLOOKUP("timeout_coarse_fast",Calibration!$B:$B,Calibration!$C:$C,24),
     OR(C39="E",C39="F",C39="H",C39="I"),XLOOKUP("timeout_jcc_fast",Calibration!$B:$B,Calibration!$C:$C,10),
     OR(C39="G",C39="J"),XLOOKUP("timeout_duochrome_fast",Calibration!$B:$B,Calibration!$C:$C,8),
     C39="K",XLOOKUP("timeout_bino_fast",Calibration!$B:$B,Calibration!$C:$C,10),
     OR(C39="P",C39="Q",C39="R"),XLOOKUP("timeout_near_fast",Calibration!$B:$B,Calibration!$C:$C,16),
     TRUE,XLOOKUP("timeout_coarse_fast",Calibration!$B:$B,Calibration!$C:$C,24)
   ),
 AK39="Normal",
   IFS(
     OR(C39="B",C39="D"),XLOOKUP("timeout_coarse_normal",Calibration!$B:$B,Calibration!$C:$C,36),
     OR(C39="E",C39="F",C39="H",C39="I"),XLOOKUP("timeout_jcc_normal",Calibration!$B:$B,Calibration!$C:$C,14),
     OR(C39="G",C39="J"),XLOOKUP("timeout_duochrome_normal",Calibration!$B:$B,Calibration!$C:$C,10),
     C39="K",XLOOKUP("timeout_bino_normal",Calibration!$B:$B,Calibration!$C:$C,14),
     OR(C39="P",C39="Q",C39="R"),XLOOKUP("timeout_near_normal",Calibration!$B:$B,Calibration!$C:$C,22),
     TRUE,XLOOKUP("timeout_coarse_normal",Calibration!$B:$B,Calibration!$C:$C,36)
   ),
 TRUE,
   IFS(
     OR(C39="B",C39="D"),XLOOKUP("timeout_coarse_slow",Calibration!$B:$B,Calibration!$C:$C,48),
     OR(C39="E",C39="F",C39="H",C39="I"),XLOOKUP("timeout_jcc_slow",Calibration!$B:$B,Calibration!$C:$C,18),
     OR(C39="G",C39="J"),XLOOKUP("timeout_duochrome_slow",Calibration!$B:$B,Calibration!$C:$C,12),
     C39="K",XLOOKUP("timeout_bino_slow",Calibration!$B:$B,Calibration!$C:$C,18),
     OR(C39="P",C39="Q",C39="R"),XLOOKUP("timeout_near_slow",Calibration!$B:$B,Calibration!$C:$C,28),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AJ39=TRUE,"ESCALATE",
C39="A",
IF(OR(I39="NOT_READABLE",I39="BLURRY",AND(R39="20_20_20",I39="READABLE")),"B","A"),
C39="B",
IF(reEsc,"ESCALATE",IF(AY39&gt;=phaseMax,"ESCALATE",IF(AND(AV39&gt;=AW39,I39="READABLE"),"E","B"))),
C39="E",
IF(AY39&gt;=phaseMax,"ESCALATE",IF(OR(I39="SAME",I39="CANT_TELL",AD39&lt;axisTol),"F","E")),
C39="F",
IF(AY39&gt;=phaseMax,"ESCALATE",IF(AX39&gt;=powerSameN,"G","F")),
C39="G",
IF(AY39&gt;=phaseMax,"ESCALATE",IF(OR(AX39&gt;=duoEqualN,BB39&gt;=duoMax),"D","G")),
C39="D",
IF(leEsc,"ESCALATE",IF(AY39&gt;=phaseMax,"ESCALATE",IF(AND(AV39&gt;=AW39,I39="READABLE"),"H","D"))),
C39="H",
IF(AY39&gt;=phaseMax,"ESCALATE",IF(OR(I39="SAME",I39="CANT_TELL",AD39&lt;axisTol),"I","H")),
C39="I",
IF(AY39&gt;=phaseMax,"ESCALATE",IF(AX39&gt;=powerSameN,"J","I")),
C39="J",
IF(AY39&gt;=phaseMax,"ESCALATE",IF(OR(AX39&gt;=duoEqualN,BB39&gt;=duoMax),"K","J")),
C39="K",
IF(AY39&gt;=phaseMax,"ESCALATE",IF(AX39&gt;=binoSameN,IF(XLOOKUP($B39,Derived_Variables!$A:$A,Derived_Variables!$AJ:$AJ,FALSE)=TRUE,"P","END"),"K")),
C39="P",
IF(AY39&gt;=phaseMax,"ESCALATE",IF(OR(I39="READABLE",I39="SAME"),"Q","P")),
C39="Q",
IF(AY39&gt;=phaseMax,"ESCALATE",IF(OR(I39="READABLE",I39="SAME"),"R","Q")),
C39="R",
IF(AY39&gt;=phaseMax,"ESCALATE",IF(OR(I39=nearTarget,I39="SAME"),"END","R")),
TRUE,"END"
)))</f>
        <v>H</v>
      </c>
      <c r="BD39" s="28" t="b">
        <f t="shared" si="19"/>
        <v>1</v>
      </c>
    </row>
    <row r="40" ht="15.75" customHeight="1">
      <c r="A40" s="28">
        <f t="shared" si="3"/>
        <v>39</v>
      </c>
      <c r="B40" s="28">
        <f t="shared" si="4"/>
        <v>6</v>
      </c>
      <c r="C40" s="28" t="str">
        <f t="shared" si="5"/>
        <v>H</v>
      </c>
      <c r="D40" s="28" t="str">
        <f t="array" ref="D40">IF($I39="","",XLOOKUP(C40,FSM_State_Map!A:A,FSM_State_Map!B:B,""))</f>
        <v>JCC Axis LE</v>
      </c>
      <c r="E40" s="28" t="str">
        <f t="array" ref="E40">IF($I39="","",XLOOKUP(C40,FSM_State_Map!A:A,FSM_State_Map!C:C,""))</f>
        <v>JCC_AXIS</v>
      </c>
      <c r="F40" s="28" t="str">
        <f t="array" ref="F40">IF($I39="","",XLOOKUP(E40,Phase_UI_Map!A:A,Phase_UI_Map!B:B,""))</f>
        <v>JCC_AXIS</v>
      </c>
      <c r="G40" s="28" t="str">
        <f t="array" ref="G40">IF($I39="","",XLOOKUP(E40,Phase_UI_Map!A:A,Phase_UI_Map!C:C,""))</f>
        <v>DOT_CHART_JCC</v>
      </c>
      <c r="H40" s="28" t="str">
        <f t="array" ref="H40">IF($I39="","",XLOOKUP(E40,Phase_UI_Map!A:A,Phase_UI_Map!D:D,""))</f>
        <v>COMPARE_1_2</v>
      </c>
      <c r="I40" s="29" t="s">
        <v>220</v>
      </c>
      <c r="J40" s="28" t="str">
        <f>IFERROR(__xludf.DUMMYFUNCTION("IF($I39="""","""",IFERROR(INDEX(FILTER(Response_Lists!$B:$B,Response_Lists!$A:$A=$H40),1),""""))"),"BETTER_1")</f>
        <v>BETTER_1</v>
      </c>
      <c r="K40" s="28" t="str">
        <f>IFERROR(__xludf.DUMMYFUNCTION("IF($I39="""","""",IFERROR(INDEX(FILTER(Response_Lists!$B:$B,Response_Lists!$A:$A=$H40),2),""""))"),"BETTER_2")</f>
        <v>BETTER_2</v>
      </c>
      <c r="L40" s="28" t="str">
        <f>IFERROR(__xludf.DUMMYFUNCTION("IF($I39="""","""",IFERROR(INDEX(FILTER(Response_Lists!$B:$B,Response_Lists!$A:$A=$H40),3),""""))"),"SAME")</f>
        <v>SAME</v>
      </c>
      <c r="M40" s="28" t="str">
        <f>IFERROR(__xludf.DUMMYFUNCTION("IF($I39="""","""",IFERROR(INDEX(FILTER(Response_Lists!$B:$B,Response_Lists!$A:$A=$H40),4),""""))"),"CANT_TELL")</f>
        <v>CANT_TELL</v>
      </c>
      <c r="N40" s="28" t="str">
        <f>IFERROR(__xludf.DUMMYFUNCTION("IF($I39="""","""",IFERROR(INDEX(FILTER(Response_Lists!$B:$B,Response_Lists!$A:$A=$H40),5),""""))"),"")</f>
        <v/>
      </c>
      <c r="O40" s="28" t="str">
        <f>IFERROR(__xludf.DUMMYFUNCTION("IF($I39="""","""",IFERROR(INDEX(FILTER(Response_Lists!$B:$B,Response_Lists!$A:$A=$H40),6),""""))"),"")</f>
        <v/>
      </c>
      <c r="P40" s="28" t="str">
        <f t="shared" si="6"/>
        <v>Which is clearer: 1 or 2?</v>
      </c>
      <c r="Q40" s="28" t="str">
        <f t="array" ref="Q40">IF($I39="","",XLOOKUP(C40,FSM_State_Map!A:A,FSM_State_Map!D:D,""))</f>
        <v>LE</v>
      </c>
      <c r="R40" s="28" t="str">
        <f t="shared" si="7"/>
        <v>20_20_20</v>
      </c>
      <c r="S40" s="28">
        <f t="array" ref="S40">IF($I39="","",
IF(
  AND(C40="B",C39&lt;&gt;"B"),
  XLOOKUP($B40,Derived_Variables!$A:$A,Derived_Variables!$K:$K,0)
  + XLOOKUP($B40,Derived_Variables!$A:$A,Derived_Variables!$AE:$AE,0),
  S39+AM39
))</f>
        <v>-1.25</v>
      </c>
      <c r="T40" s="28">
        <f t="shared" ref="T40:U40" si="90">IF($I39="","",T39+AN39)</f>
        <v>-0.25</v>
      </c>
      <c r="U40" s="28">
        <f t="shared" si="90"/>
        <v>2</v>
      </c>
      <c r="V40" s="28">
        <f t="array" ref="V40">IF($I39="","",
IF(
  AND(C40="D",C39&lt;&gt;"D"),
  XLOOKUP($B40,Derived_Variables!$A:$A,Derived_Variables!$N:$N,0)
  + XLOOKUP($B40,Derived_Variables!$A:$A,Derived_Variables!$AE:$AE,0),
  V39+AP39
))</f>
        <v>-1.25</v>
      </c>
      <c r="W40" s="28">
        <f t="shared" ref="W40:X40" si="91">IF($I39="","",W39+AQ39)</f>
        <v>0</v>
      </c>
      <c r="X40" s="28">
        <f t="shared" si="91"/>
        <v>40</v>
      </c>
      <c r="Y40" s="28">
        <f t="array" ref="Y40">IF($I39="","",IF(AND(C40="P",C39&lt;&gt;"P"),IFERROR(XLOOKUP($B40,Lenso_Input!$A:$A,Lenso_Input!$E:$E,0),0),Y39+AS39))</f>
        <v>0</v>
      </c>
      <c r="Z40" s="28">
        <f t="array" ref="Z40">IF($I39="","",IF(AND(C40="Q",C39&lt;&gt;"Q"),IFERROR(XLOOKUP($B40,Lenso_Input!$A:$A,Lenso_Input!$I:$I,0),0),Z39+AT39))</f>
        <v>0</v>
      </c>
      <c r="AA40" s="28" t="str">
        <f t="array" ref="AA40">IF($I39="","",IF(XLOOKUP($B40,Derived_Variables!$A:$A,Derived_Variables!$R:$R,"6/6_target")="6/6_target","20_20_20","40_30_25"))</f>
        <v>20_20_20</v>
      </c>
      <c r="AB40" s="28">
        <f t="array" ref="AB40">IF($I39="","",XLOOKUP(LOWER(XLOOKUP($B40,Derived_Variables!$A:$A,Derived_Variables!$T:$T,"Standard"))&amp;"_sph_step",Calibration!$B:$B,Calibration!$C:$C,0.25))</f>
        <v>0.25</v>
      </c>
      <c r="AC40" s="28">
        <f t="array" ref="AC40">IF($I39="","",XLOOKUP(LOWER(XLOOKUP($B40,Derived_Variables!$A:$A,Derived_Variables!$T:$T,"Standard"))&amp;"_cyl_step",Calibration!$B:$B,Calibration!$C:$C,0.25))</f>
        <v>0.25</v>
      </c>
      <c r="AD40" s="28">
        <f t="array" ref="AD40">IF($I39="","",IF(OR(C40="E",C40="H"),LET(startStep,XLOOKUP("axis_start_step",Calibration!$B:$B,Calibration!$C:$C,5),step1,XLOOKUP("axis_reversal_step_1",Calibration!$B:$B,Calibration!$C:$C,3),step2,XLOOKUP("axis_reversal_step_2",Calibration!$B:$B,Calibration!$C:$C,1),IF(OR(C39&lt;&gt;C40,AZ40="",AZ40="SAME",AZ40="CANT_TELL",I40="",I40="SAME",I40="CANT_TELL"),startStep,IF(OR(AND(AZ40="BETTER_1",I40="BETTER_2"),AND(AZ40="BETTER_2",I40="BETTER_1")),IF(AD39&gt;step1,step1,step2),AD39))),0))</f>
        <v>5</v>
      </c>
      <c r="AE40" s="28" t="str">
        <f t="array" ref="AE40">IF($I39="","",XLOOKUP($B40,Derived_Variables!$A:$A,Derived_Variables!$AD:$AD,"No_Fog"))</f>
        <v>Strong_Fog</v>
      </c>
      <c r="AF40" s="28">
        <f t="array" ref="AF40">IF($I39="","",XLOOKUP($B40,Derived_Variables!$A:$A,Derived_Variables!$AE:$AE,0))</f>
        <v>1</v>
      </c>
      <c r="AG40" s="28" t="str">
        <f t="array" ref="AG40">IF($I39="","",XLOOKUP($B40,Derived_Variables!$A:$A,Derived_Variables!$AF:$AF,""))</f>
        <v>StepDown_0.25</v>
      </c>
      <c r="AH40" s="28" t="str">
        <f t="array" ref="AH40">IF($I39="","",XLOOKUP($B40,Derived_Variables!$A:$A,Derived_Variables!$AG:$AG,""))</f>
        <v>Low</v>
      </c>
      <c r="AI40" s="28" t="str">
        <f t="array" ref="AI40">IF($I39="","",XLOOKUP($B40,Derived_Variables!$A:$A,Derived_Variables!$AC:$AC,"Medium"))</f>
        <v>Low</v>
      </c>
      <c r="AJ40" s="28" t="b">
        <f t="array" ref="AJ40">IF($I39="","",XLOOKUP($B40,Derived_Variables!$A:$A,Derived_Variables!$Y:$Y,FALSE))</f>
        <v>0</v>
      </c>
      <c r="AK40" s="28" t="str">
        <f t="array" ref="AK40">IF($I39="","",XLOOKUP($B40,Derived_Variables!$A:$A,Derived_Variables!$AA:$AA,"Normal"))</f>
        <v>Slow</v>
      </c>
      <c r="AL40" s="28" t="str">
        <f t="array" ref="AL40">IF($I39="","",XLOOKUP($B40,Derived_Variables!$A:$A,Derived_Variables!$AB:$AB,"Normal"))</f>
        <v>Relaxed</v>
      </c>
      <c r="AM40" s="28">
        <f t="array" ref="AM40">IF($I40="","",IFS(C40="B",IF(OR(I40="NOT_READABLE",I40="BLURRY"),-AB40,0),C40="G",IFS(I40="RED_CLEARER",XLOOKUP("duochrome_red_step",Calibration!$B:$B,Calibration!$C:$C,-0.25),I40="GREEN_CLEARER",XLOOKUP("duochrome_green_step",Calibration!$B:$B,Calibration!$C:$C,0.25),I40="EQUAL",IF(XLOOKUP($B40,Derived_Variables!$A:$A,Derived_Variables!$S:$S,"Neutral")="Undercorrect",XLOOKUP("undercorrect_step",Calibration!$B:$B,Calibration!$C:$C,0.25),IF(XLOOKUP($B40,Derived_Variables!$A:$A,Derived_Variables!$S:$S,"Neutral")="Overcorrect",-XLOOKUP("overcorrect_step",Calibration!$B:$B,Calibration!$C:$C,0.25),0)),TRUE,0),C40="K",IF(I40="TOP_CLEARER",XLOOKUP("bino_balance_step",Calibration!$B:$B,Calibration!$C:$C,0.25),0),TRUE,0))</f>
        <v>0</v>
      </c>
      <c r="AN40" s="28">
        <f t="shared" si="10"/>
        <v>0</v>
      </c>
      <c r="AO40" s="28">
        <f t="shared" si="11"/>
        <v>0</v>
      </c>
      <c r="AP40" s="28">
        <f t="array" ref="AP40">IF($I40="","",IFS(C40="D",IF(OR(I40="NOT_READABLE",I40="BLURRY"),-AB40,0),C40="J",IFS(I40="RED_CLEARER",XLOOKUP("duochrome_red_step",Calibration!$B:$B,Calibration!$C:$C,-0.25),I40="GREEN_CLEARER",XLOOKUP("duochrome_green_step",Calibration!$B:$B,Calibration!$C:$C,0.25),I40="EQUAL",IF(XLOOKUP($B40,Derived_Variables!$A:$A,Derived_Variables!$S:$S,"Neutral")="Undercorrect",XLOOKUP("undercorrect_step",Calibration!$B:$B,Calibration!$C:$C,0.25),IF(XLOOKUP($B40,Derived_Variables!$A:$A,Derived_Variables!$S:$S,"Neutral")="Overcorrect",-XLOOKUP("overcorrect_step",Calibration!$B:$B,Calibration!$C:$C,0.25),0)),TRUE,0),C40="K",IF(I40="BOTTOM_CLEARER",XLOOKUP("bino_balance_step",Calibration!$B:$B,Calibration!$C:$C,0.25),0),TRUE,0))</f>
        <v>0</v>
      </c>
      <c r="AQ40" s="28">
        <f t="shared" si="12"/>
        <v>0</v>
      </c>
      <c r="AR40" s="28">
        <f t="shared" si="13"/>
        <v>5</v>
      </c>
      <c r="AS40" s="28">
        <f t="array" ref="AS40">IF($I40="","",IF(C40="P",IF(OR(I40="NOT_READABLE",I40="BLURRY"),XLOOKUP("near_add_step",Calibration!$B:$B,Calibration!$C:$C,0.25),0),IF(C40="R",IF(I40="NOT_CLEAR",XLOOKUP("near_add_step",Calibration!$B:$B,Calibration!$C:$C,0.25),0),0)))</f>
        <v>0</v>
      </c>
      <c r="AT40" s="28">
        <f t="array" ref="AT40">IF($I40="","",IF(C40="Q",IF(OR(I40="NOT_READABLE",I40="BLURRY"),XLOOKUP("near_add_step",Calibration!$B:$B,Calibration!$C:$C,0.25),0),IF(C40="R",IF(I40="NOT_CLEAR",XLOOKUP("near_add_step",Calibration!$B:$B,Calibration!$C:$C,0.25),0),0)))</f>
        <v>0</v>
      </c>
      <c r="AU40" s="28" t="str">
        <f t="array" ref="AU40">IF($I40="","",IF(G40="SNELLEN_FEET",IF(I40="READABLE",IFERROR(XLOOKUP(XLOOKUP(R40,Chart_Scale_Distance!B:B,Chart_Scale_Distance!A:A)+1,Chart_Scale_Distance!A:A,Chart_Scale_Distance!B:B),R40),R40),R40))</f>
        <v>20_20_20</v>
      </c>
      <c r="AV40" s="28">
        <f t="array" ref="AV40">IF($I39="","",IFERROR(XLOOKUP(R40,Chart_Scale_Distance!$B:$B,Chart_Scale_Distance!$A:$A,""),""))</f>
        <v>6</v>
      </c>
      <c r="AW40" s="28">
        <f t="array" ref="AW40">IF($I39="","",IFERROR(XLOOKUP(AA40,Chart_Scale_Distance!$B:$B,Chart_Scale_Distance!$A:$A,""),""))</f>
        <v>6</v>
      </c>
      <c r="AX40" s="28">
        <f t="shared" si="14"/>
        <v>0</v>
      </c>
      <c r="AY40" s="28">
        <f t="shared" si="15"/>
        <v>9</v>
      </c>
      <c r="AZ40" s="28" t="str">
        <f t="shared" si="16"/>
        <v>BETTER_2</v>
      </c>
      <c r="BA40" s="28">
        <f t="shared" si="17"/>
        <v>0</v>
      </c>
      <c r="BB40" s="28">
        <f t="shared" si="18"/>
        <v>0</v>
      </c>
      <c r="BC40" s="28" t="str">
        <f t="array" ref="BC40">IF($I40="","",LET(
conf,AI40,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duoMax,XLOOKUP($B40,Derived_Variables!$A:$A,Derived_Variables!$AI:$AI,4),
axisTol,XLOOKUP($B40,Derived_Variables!$A:$A,Derived_Variables!$W:$W,1),
maxStart,XLOOKUP($B40,Derived_Variables!$A:$A,Derived_Variables!$U:$U,1.25),
maxAR,XLOOKUP($B40,Derived_Variables!$A:$A,Derived_Variables!$V:$V,3),
anom,XLOOKUP($B40,Derived_Variables!$A:$A,Derived_Variables!$Z:$Z,FALSE),
reStart,XLOOKUP($B40,Derived_Variables!$A:$A,Derived_Variables!$K:$K,0),
leStart,XLOOKUP($B40,Derived_Variables!$A:$A,Derived_Variables!$N:$N,0),
reAR,XLOOKUP($B40,AR_Input!$A:$A,AR_Input!$B:$B,reStart),
leAR,XLOOKUP($B40,AR_Input!$A:$A,AR_Input!$E:$E,leStart),
reEsc,AND(anom,OR(ABS((S40+AM40)-reStart)&gt;maxStart,ABS((S40+AM40)-reAR)&gt;maxAR)),
leEsc,AND(anom,OR(ABS((V40+AP40)-leStart)&gt;maxStart,ABS((V40+AP40)-leAR)&gt;maxAR)),
phaseMax,IFS(
 AK40="Fast",
   IFS(
     OR(C40="B",C40="D"),XLOOKUP("timeout_coarse_fast",Calibration!$B:$B,Calibration!$C:$C,24),
     OR(C40="E",C40="F",C40="H",C40="I"),XLOOKUP("timeout_jcc_fast",Calibration!$B:$B,Calibration!$C:$C,10),
     OR(C40="G",C40="J"),XLOOKUP("timeout_duochrome_fast",Calibration!$B:$B,Calibration!$C:$C,8),
     C40="K",XLOOKUP("timeout_bino_fast",Calibration!$B:$B,Calibration!$C:$C,10),
     OR(C40="P",C40="Q",C40="R"),XLOOKUP("timeout_near_fast",Calibration!$B:$B,Calibration!$C:$C,16),
     TRUE,XLOOKUP("timeout_coarse_fast",Calibration!$B:$B,Calibration!$C:$C,24)
   ),
 AK40="Normal",
   IFS(
     OR(C40="B",C40="D"),XLOOKUP("timeout_coarse_normal",Calibration!$B:$B,Calibration!$C:$C,36),
     OR(C40="E",C40="F",C40="H",C40="I"),XLOOKUP("timeout_jcc_normal",Calibration!$B:$B,Calibration!$C:$C,14),
     OR(C40="G",C40="J"),XLOOKUP("timeout_duochrome_normal",Calibration!$B:$B,Calibration!$C:$C,10),
     C40="K",XLOOKUP("timeout_bino_normal",Calibration!$B:$B,Calibration!$C:$C,14),
     OR(C40="P",C40="Q",C40="R"),XLOOKUP("timeout_near_normal",Calibration!$B:$B,Calibration!$C:$C,22),
     TRUE,XLOOKUP("timeout_coarse_normal",Calibration!$B:$B,Calibration!$C:$C,36)
   ),
 TRUE,
   IFS(
     OR(C40="B",C40="D"),XLOOKUP("timeout_coarse_slow",Calibration!$B:$B,Calibration!$C:$C,48),
     OR(C40="E",C40="F",C40="H",C40="I"),XLOOKUP("timeout_jcc_slow",Calibration!$B:$B,Calibration!$C:$C,18),
     OR(C40="G",C40="J"),XLOOKUP("timeout_duochrome_slow",Calibration!$B:$B,Calibration!$C:$C,12),
     C40="K",XLOOKUP("timeout_bino_slow",Calibration!$B:$B,Calibration!$C:$C,18),
     OR(C40="P",C40="Q",C40="R"),XLOOKUP("timeout_near_slow",Calibration!$B:$B,Calibration!$C:$C,28),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AJ40=TRUE,"ESCALATE",
C40="A",
IF(OR(I40="NOT_READABLE",I40="BLURRY",AND(R40="20_20_20",I40="READABLE")),"B","A"),
C40="B",
IF(reEsc,"ESCALATE",IF(AY40&gt;=phaseMax,"ESCALATE",IF(AND(AV40&gt;=AW40,I40="READABLE"),"E","B"))),
C40="E",
IF(AY40&gt;=phaseMax,"ESCALATE",IF(OR(I40="SAME",I40="CANT_TELL",AD40&lt;axisTol),"F","E")),
C40="F",
IF(AY40&gt;=phaseMax,"ESCALATE",IF(AX40&gt;=powerSameN,"G","F")),
C40="G",
IF(AY40&gt;=phaseMax,"ESCALATE",IF(OR(AX40&gt;=duoEqualN,BB40&gt;=duoMax),"D","G")),
C40="D",
IF(leEsc,"ESCALATE",IF(AY40&gt;=phaseMax,"ESCALATE",IF(AND(AV40&gt;=AW40,I40="READABLE"),"H","D"))),
C40="H",
IF(AY40&gt;=phaseMax,"ESCALATE",IF(OR(I40="SAME",I40="CANT_TELL",AD40&lt;axisTol),"I","H")),
C40="I",
IF(AY40&gt;=phaseMax,"ESCALATE",IF(AX40&gt;=powerSameN,"J","I")),
C40="J",
IF(AY40&gt;=phaseMax,"ESCALATE",IF(OR(AX40&gt;=duoEqualN,BB40&gt;=duoMax),"K","J")),
C40="K",
IF(AY40&gt;=phaseMax,"ESCALATE",IF(AX40&gt;=binoSameN,IF(XLOOKUP($B40,Derived_Variables!$A:$A,Derived_Variables!$AJ:$AJ,FALSE)=TRUE,"P","END"),"K")),
C40="P",
IF(AY40&gt;=phaseMax,"ESCALATE",IF(OR(I40="READABLE",I40="SAME"),"Q","P")),
C40="Q",
IF(AY40&gt;=phaseMax,"ESCALATE",IF(OR(I40="READABLE",I40="SAME"),"R","Q")),
C40="R",
IF(AY40&gt;=phaseMax,"ESCALATE",IF(OR(I40=nearTarget,I40="SAME"),"END","R")),
TRUE,"END"
)))</f>
        <v>H</v>
      </c>
      <c r="BD40" s="28" t="b">
        <f t="shared" si="19"/>
        <v>1</v>
      </c>
    </row>
    <row r="41" ht="15.75" customHeight="1">
      <c r="A41" s="28">
        <f t="shared" si="3"/>
        <v>40</v>
      </c>
      <c r="B41" s="28">
        <f t="shared" si="4"/>
        <v>6</v>
      </c>
      <c r="C41" s="28" t="str">
        <f t="shared" si="5"/>
        <v>H</v>
      </c>
      <c r="D41" s="28" t="str">
        <f t="array" ref="D41">IF($I40="","",XLOOKUP(C41,FSM_State_Map!A:A,FSM_State_Map!B:B,""))</f>
        <v>JCC Axis LE</v>
      </c>
      <c r="E41" s="28" t="str">
        <f t="array" ref="E41">IF($I40="","",XLOOKUP(C41,FSM_State_Map!A:A,FSM_State_Map!C:C,""))</f>
        <v>JCC_AXIS</v>
      </c>
      <c r="F41" s="28" t="str">
        <f t="array" ref="F41">IF($I40="","",XLOOKUP(E41,Phase_UI_Map!A:A,Phase_UI_Map!B:B,""))</f>
        <v>JCC_AXIS</v>
      </c>
      <c r="G41" s="28" t="str">
        <f t="array" ref="G41">IF($I40="","",XLOOKUP(E41,Phase_UI_Map!A:A,Phase_UI_Map!C:C,""))</f>
        <v>DOT_CHART_JCC</v>
      </c>
      <c r="H41" s="28" t="str">
        <f t="array" ref="H41">IF($I40="","",XLOOKUP(E41,Phase_UI_Map!A:A,Phase_UI_Map!D:D,""))</f>
        <v>COMPARE_1_2</v>
      </c>
      <c r="I41" s="29" t="s">
        <v>220</v>
      </c>
      <c r="J41" s="28" t="str">
        <f>IFERROR(__xludf.DUMMYFUNCTION("IF($I40="""","""",IFERROR(INDEX(FILTER(Response_Lists!$B:$B,Response_Lists!$A:$A=$H41),1),""""))"),"BETTER_1")</f>
        <v>BETTER_1</v>
      </c>
      <c r="K41" s="28" t="str">
        <f>IFERROR(__xludf.DUMMYFUNCTION("IF($I40="""","""",IFERROR(INDEX(FILTER(Response_Lists!$B:$B,Response_Lists!$A:$A=$H41),2),""""))"),"BETTER_2")</f>
        <v>BETTER_2</v>
      </c>
      <c r="L41" s="28" t="str">
        <f>IFERROR(__xludf.DUMMYFUNCTION("IF($I40="""","""",IFERROR(INDEX(FILTER(Response_Lists!$B:$B,Response_Lists!$A:$A=$H41),3),""""))"),"SAME")</f>
        <v>SAME</v>
      </c>
      <c r="M41" s="28" t="str">
        <f>IFERROR(__xludf.DUMMYFUNCTION("IF($I40="""","""",IFERROR(INDEX(FILTER(Response_Lists!$B:$B,Response_Lists!$A:$A=$H41),4),""""))"),"CANT_TELL")</f>
        <v>CANT_TELL</v>
      </c>
      <c r="N41" s="28" t="str">
        <f>IFERROR(__xludf.DUMMYFUNCTION("IF($I40="""","""",IFERROR(INDEX(FILTER(Response_Lists!$B:$B,Response_Lists!$A:$A=$H41),5),""""))"),"")</f>
        <v/>
      </c>
      <c r="O41" s="28" t="str">
        <f>IFERROR(__xludf.DUMMYFUNCTION("IF($I40="""","""",IFERROR(INDEX(FILTER(Response_Lists!$B:$B,Response_Lists!$A:$A=$H41),6),""""))"),"")</f>
        <v/>
      </c>
      <c r="P41" s="28" t="str">
        <f t="shared" si="6"/>
        <v>Which is clearer: 1 or 2?</v>
      </c>
      <c r="Q41" s="28" t="str">
        <f t="array" ref="Q41">IF($I40="","",XLOOKUP(C41,FSM_State_Map!A:A,FSM_State_Map!D:D,""))</f>
        <v>LE</v>
      </c>
      <c r="R41" s="28" t="str">
        <f t="shared" si="7"/>
        <v>20_20_20</v>
      </c>
      <c r="S41" s="28">
        <f t="array" ref="S41">IF($I40="","",
IF(
  AND(C41="B",C40&lt;&gt;"B"),
  XLOOKUP($B41,Derived_Variables!$A:$A,Derived_Variables!$K:$K,0)
  + XLOOKUP($B41,Derived_Variables!$A:$A,Derived_Variables!$AE:$AE,0),
  S40+AM40
))</f>
        <v>-1.25</v>
      </c>
      <c r="T41" s="28">
        <f t="shared" ref="T41:U41" si="92">IF($I40="","",T40+AN40)</f>
        <v>-0.25</v>
      </c>
      <c r="U41" s="28">
        <f t="shared" si="92"/>
        <v>2</v>
      </c>
      <c r="V41" s="28">
        <f t="array" ref="V41">IF($I40="","",
IF(
  AND(C41="D",C40&lt;&gt;"D"),
  XLOOKUP($B41,Derived_Variables!$A:$A,Derived_Variables!$N:$N,0)
  + XLOOKUP($B41,Derived_Variables!$A:$A,Derived_Variables!$AE:$AE,0),
  V40+AP40
))</f>
        <v>-1.25</v>
      </c>
      <c r="W41" s="28">
        <f t="shared" ref="W41:X41" si="93">IF($I40="","",W40+AQ40)</f>
        <v>0</v>
      </c>
      <c r="X41" s="28">
        <f t="shared" si="93"/>
        <v>45</v>
      </c>
      <c r="Y41" s="28">
        <f t="array" ref="Y41">IF($I40="","",IF(AND(C41="P",C40&lt;&gt;"P"),IFERROR(XLOOKUP($B41,Lenso_Input!$A:$A,Lenso_Input!$E:$E,0),0),Y40+AS40))</f>
        <v>0</v>
      </c>
      <c r="Z41" s="28">
        <f t="array" ref="Z41">IF($I40="","",IF(AND(C41="Q",C40&lt;&gt;"Q"),IFERROR(XLOOKUP($B41,Lenso_Input!$A:$A,Lenso_Input!$I:$I,0),0),Z40+AT40))</f>
        <v>0</v>
      </c>
      <c r="AA41" s="28" t="str">
        <f t="array" ref="AA41">IF($I40="","",IF(XLOOKUP($B41,Derived_Variables!$A:$A,Derived_Variables!$R:$R,"6/6_target")="6/6_target","20_20_20","40_30_25"))</f>
        <v>20_20_20</v>
      </c>
      <c r="AB41" s="28">
        <f t="array" ref="AB41">IF($I40="","",XLOOKUP(LOWER(XLOOKUP($B41,Derived_Variables!$A:$A,Derived_Variables!$T:$T,"Standard"))&amp;"_sph_step",Calibration!$B:$B,Calibration!$C:$C,0.25))</f>
        <v>0.25</v>
      </c>
      <c r="AC41" s="28">
        <f t="array" ref="AC41">IF($I40="","",XLOOKUP(LOWER(XLOOKUP($B41,Derived_Variables!$A:$A,Derived_Variables!$T:$T,"Standard"))&amp;"_cyl_step",Calibration!$B:$B,Calibration!$C:$C,0.25))</f>
        <v>0.25</v>
      </c>
      <c r="AD41" s="28">
        <f t="array" ref="AD41">IF($I40="","",IF(OR(C41="E",C41="H"),LET(startStep,XLOOKUP("axis_start_step",Calibration!$B:$B,Calibration!$C:$C,5),step1,XLOOKUP("axis_reversal_step_1",Calibration!$B:$B,Calibration!$C:$C,3),step2,XLOOKUP("axis_reversal_step_2",Calibration!$B:$B,Calibration!$C:$C,1),IF(OR(C40&lt;&gt;C41,AZ41="",AZ41="SAME",AZ41="CANT_TELL",I41="",I41="SAME",I41="CANT_TELL"),startStep,IF(OR(AND(AZ41="BETTER_1",I41="BETTER_2"),AND(AZ41="BETTER_2",I41="BETTER_1")),IF(AD40&gt;step1,step1,step2),AD40))),0))</f>
        <v>5</v>
      </c>
      <c r="AE41" s="28" t="str">
        <f t="array" ref="AE41">IF($I40="","",XLOOKUP($B41,Derived_Variables!$A:$A,Derived_Variables!$AD:$AD,"No_Fog"))</f>
        <v>Strong_Fog</v>
      </c>
      <c r="AF41" s="28">
        <f t="array" ref="AF41">IF($I40="","",XLOOKUP($B41,Derived_Variables!$A:$A,Derived_Variables!$AE:$AE,0))</f>
        <v>1</v>
      </c>
      <c r="AG41" s="28" t="str">
        <f t="array" ref="AG41">IF($I40="","",XLOOKUP($B41,Derived_Variables!$A:$A,Derived_Variables!$AF:$AF,""))</f>
        <v>StepDown_0.25</v>
      </c>
      <c r="AH41" s="28" t="str">
        <f t="array" ref="AH41">IF($I40="","",XLOOKUP($B41,Derived_Variables!$A:$A,Derived_Variables!$AG:$AG,""))</f>
        <v>Low</v>
      </c>
      <c r="AI41" s="28" t="str">
        <f t="array" ref="AI41">IF($I40="","",XLOOKUP($B41,Derived_Variables!$A:$A,Derived_Variables!$AC:$AC,"Medium"))</f>
        <v>Low</v>
      </c>
      <c r="AJ41" s="28" t="b">
        <f t="array" ref="AJ41">IF($I40="","",XLOOKUP($B41,Derived_Variables!$A:$A,Derived_Variables!$Y:$Y,FALSE))</f>
        <v>0</v>
      </c>
      <c r="AK41" s="28" t="str">
        <f t="array" ref="AK41">IF($I40="","",XLOOKUP($B41,Derived_Variables!$A:$A,Derived_Variables!$AA:$AA,"Normal"))</f>
        <v>Slow</v>
      </c>
      <c r="AL41" s="28" t="str">
        <f t="array" ref="AL41">IF($I40="","",XLOOKUP($B41,Derived_Variables!$A:$A,Derived_Variables!$AB:$AB,"Normal"))</f>
        <v>Relaxed</v>
      </c>
      <c r="AM41" s="28">
        <f t="array" ref="AM41">IF($I41="","",IFS(C41="B",IF(OR(I41="NOT_READABLE",I41="BLURRY"),-AB41,0),C41="G",IFS(I41="RED_CLEARER",XLOOKUP("duochrome_red_step",Calibration!$B:$B,Calibration!$C:$C,-0.25),I41="GREEN_CLEARER",XLOOKUP("duochrome_green_step",Calibration!$B:$B,Calibration!$C:$C,0.25),I41="EQUAL",IF(XLOOKUP($B41,Derived_Variables!$A:$A,Derived_Variables!$S:$S,"Neutral")="Undercorrect",XLOOKUP("undercorrect_step",Calibration!$B:$B,Calibration!$C:$C,0.25),IF(XLOOKUP($B41,Derived_Variables!$A:$A,Derived_Variables!$S:$S,"Neutral")="Overcorrect",-XLOOKUP("overcorrect_step",Calibration!$B:$B,Calibration!$C:$C,0.25),0)),TRUE,0),C41="K",IF(I41="TOP_CLEARER",XLOOKUP("bino_balance_step",Calibration!$B:$B,Calibration!$C:$C,0.25),0),TRUE,0))</f>
        <v>0</v>
      </c>
      <c r="AN41" s="28">
        <f t="shared" si="10"/>
        <v>0</v>
      </c>
      <c r="AO41" s="28">
        <f t="shared" si="11"/>
        <v>0</v>
      </c>
      <c r="AP41" s="28">
        <f t="array" ref="AP41">IF($I41="","",IFS(C41="D",IF(OR(I41="NOT_READABLE",I41="BLURRY"),-AB41,0),C41="J",IFS(I41="RED_CLEARER",XLOOKUP("duochrome_red_step",Calibration!$B:$B,Calibration!$C:$C,-0.25),I41="GREEN_CLEARER",XLOOKUP("duochrome_green_step",Calibration!$B:$B,Calibration!$C:$C,0.25),I41="EQUAL",IF(XLOOKUP($B41,Derived_Variables!$A:$A,Derived_Variables!$S:$S,"Neutral")="Undercorrect",XLOOKUP("undercorrect_step",Calibration!$B:$B,Calibration!$C:$C,0.25),IF(XLOOKUP($B41,Derived_Variables!$A:$A,Derived_Variables!$S:$S,"Neutral")="Overcorrect",-XLOOKUP("overcorrect_step",Calibration!$B:$B,Calibration!$C:$C,0.25),0)),TRUE,0),C41="K",IF(I41="BOTTOM_CLEARER",XLOOKUP("bino_balance_step",Calibration!$B:$B,Calibration!$C:$C,0.25),0),TRUE,0))</f>
        <v>0</v>
      </c>
      <c r="AQ41" s="28">
        <f t="shared" si="12"/>
        <v>0</v>
      </c>
      <c r="AR41" s="28">
        <f t="shared" si="13"/>
        <v>5</v>
      </c>
      <c r="AS41" s="28">
        <f t="array" ref="AS41">IF($I41="","",IF(C41="P",IF(OR(I41="NOT_READABLE",I41="BLURRY"),XLOOKUP("near_add_step",Calibration!$B:$B,Calibration!$C:$C,0.25),0),IF(C41="R",IF(I41="NOT_CLEAR",XLOOKUP("near_add_step",Calibration!$B:$B,Calibration!$C:$C,0.25),0),0)))</f>
        <v>0</v>
      </c>
      <c r="AT41" s="28">
        <f t="array" ref="AT41">IF($I41="","",IF(C41="Q",IF(OR(I41="NOT_READABLE",I41="BLURRY"),XLOOKUP("near_add_step",Calibration!$B:$B,Calibration!$C:$C,0.25),0),IF(C41="R",IF(I41="NOT_CLEAR",XLOOKUP("near_add_step",Calibration!$B:$B,Calibration!$C:$C,0.25),0),0)))</f>
        <v>0</v>
      </c>
      <c r="AU41" s="28" t="str">
        <f t="array" ref="AU41">IF($I41="","",IF(G41="SNELLEN_FEET",IF(I41="READABLE",IFERROR(XLOOKUP(XLOOKUP(R41,Chart_Scale_Distance!B:B,Chart_Scale_Distance!A:A)+1,Chart_Scale_Distance!A:A,Chart_Scale_Distance!B:B),R41),R41),R41))</f>
        <v>20_20_20</v>
      </c>
      <c r="AV41" s="28">
        <f t="array" ref="AV41">IF($I40="","",IFERROR(XLOOKUP(R41,Chart_Scale_Distance!$B:$B,Chart_Scale_Distance!$A:$A,""),""))</f>
        <v>6</v>
      </c>
      <c r="AW41" s="28">
        <f t="array" ref="AW41">IF($I40="","",IFERROR(XLOOKUP(AA41,Chart_Scale_Distance!$B:$B,Chart_Scale_Distance!$A:$A,""),""))</f>
        <v>6</v>
      </c>
      <c r="AX41" s="28">
        <f t="shared" si="14"/>
        <v>0</v>
      </c>
      <c r="AY41" s="28">
        <f t="shared" si="15"/>
        <v>10</v>
      </c>
      <c r="AZ41" s="28" t="str">
        <f t="shared" si="16"/>
        <v>BETTER_2</v>
      </c>
      <c r="BA41" s="28">
        <f t="shared" si="17"/>
        <v>0</v>
      </c>
      <c r="BB41" s="28">
        <f t="shared" si="18"/>
        <v>0</v>
      </c>
      <c r="BC41" s="28" t="str">
        <f t="array" ref="BC41">IF($I41="","",LET(
conf,AI41,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duoMax,XLOOKUP($B41,Derived_Variables!$A:$A,Derived_Variables!$AI:$AI,4),
axisTol,XLOOKUP($B41,Derived_Variables!$A:$A,Derived_Variables!$W:$W,1),
maxStart,XLOOKUP($B41,Derived_Variables!$A:$A,Derived_Variables!$U:$U,1.25),
maxAR,XLOOKUP($B41,Derived_Variables!$A:$A,Derived_Variables!$V:$V,3),
anom,XLOOKUP($B41,Derived_Variables!$A:$A,Derived_Variables!$Z:$Z,FALSE),
reStart,XLOOKUP($B41,Derived_Variables!$A:$A,Derived_Variables!$K:$K,0),
leStart,XLOOKUP($B41,Derived_Variables!$A:$A,Derived_Variables!$N:$N,0),
reAR,XLOOKUP($B41,AR_Input!$A:$A,AR_Input!$B:$B,reStart),
leAR,XLOOKUP($B41,AR_Input!$A:$A,AR_Input!$E:$E,leStart),
reEsc,AND(anom,OR(ABS((S41+AM41)-reStart)&gt;maxStart,ABS((S41+AM41)-reAR)&gt;maxAR)),
leEsc,AND(anom,OR(ABS((V41+AP41)-leStart)&gt;maxStart,ABS((V41+AP41)-leAR)&gt;maxAR)),
phaseMax,IFS(
 AK41="Fast",
   IFS(
     OR(C41="B",C41="D"),XLOOKUP("timeout_coarse_fast",Calibration!$B:$B,Calibration!$C:$C,24),
     OR(C41="E",C41="F",C41="H",C41="I"),XLOOKUP("timeout_jcc_fast",Calibration!$B:$B,Calibration!$C:$C,10),
     OR(C41="G",C41="J"),XLOOKUP("timeout_duochrome_fast",Calibration!$B:$B,Calibration!$C:$C,8),
     C41="K",XLOOKUP("timeout_bino_fast",Calibration!$B:$B,Calibration!$C:$C,10),
     OR(C41="P",C41="Q",C41="R"),XLOOKUP("timeout_near_fast",Calibration!$B:$B,Calibration!$C:$C,16),
     TRUE,XLOOKUP("timeout_coarse_fast",Calibration!$B:$B,Calibration!$C:$C,24)
   ),
 AK41="Normal",
   IFS(
     OR(C41="B",C41="D"),XLOOKUP("timeout_coarse_normal",Calibration!$B:$B,Calibration!$C:$C,36),
     OR(C41="E",C41="F",C41="H",C41="I"),XLOOKUP("timeout_jcc_normal",Calibration!$B:$B,Calibration!$C:$C,14),
     OR(C41="G",C41="J"),XLOOKUP("timeout_duochrome_normal",Calibration!$B:$B,Calibration!$C:$C,10),
     C41="K",XLOOKUP("timeout_bino_normal",Calibration!$B:$B,Calibration!$C:$C,14),
     OR(C41="P",C41="Q",C41="R"),XLOOKUP("timeout_near_normal",Calibration!$B:$B,Calibration!$C:$C,22),
     TRUE,XLOOKUP("timeout_coarse_normal",Calibration!$B:$B,Calibration!$C:$C,36)
   ),
 TRUE,
   IFS(
     OR(C41="B",C41="D"),XLOOKUP("timeout_coarse_slow",Calibration!$B:$B,Calibration!$C:$C,48),
     OR(C41="E",C41="F",C41="H",C41="I"),XLOOKUP("timeout_jcc_slow",Calibration!$B:$B,Calibration!$C:$C,18),
     OR(C41="G",C41="J"),XLOOKUP("timeout_duochrome_slow",Calibration!$B:$B,Calibration!$C:$C,12),
     C41="K",XLOOKUP("timeout_bino_slow",Calibration!$B:$B,Calibration!$C:$C,18),
     OR(C41="P",C41="Q",C41="R"),XLOOKUP("timeout_near_slow",Calibration!$B:$B,Calibration!$C:$C,28),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AJ41=TRUE,"ESCALATE",
C41="A",
IF(OR(I41="NOT_READABLE",I41="BLURRY",AND(R41="20_20_20",I41="READABLE")),"B","A"),
C41="B",
IF(reEsc,"ESCALATE",IF(AY41&gt;=phaseMax,"ESCALATE",IF(AND(AV41&gt;=AW41,I41="READABLE"),"E","B"))),
C41="E",
IF(AY41&gt;=phaseMax,"ESCALATE",IF(OR(I41="SAME",I41="CANT_TELL",AD41&lt;axisTol),"F","E")),
C41="F",
IF(AY41&gt;=phaseMax,"ESCALATE",IF(AX41&gt;=powerSameN,"G","F")),
C41="G",
IF(AY41&gt;=phaseMax,"ESCALATE",IF(OR(AX41&gt;=duoEqualN,BB41&gt;=duoMax),"D","G")),
C41="D",
IF(leEsc,"ESCALATE",IF(AY41&gt;=phaseMax,"ESCALATE",IF(AND(AV41&gt;=AW41,I41="READABLE"),"H","D"))),
C41="H",
IF(AY41&gt;=phaseMax,"ESCALATE",IF(OR(I41="SAME",I41="CANT_TELL",AD41&lt;axisTol),"I","H")),
C41="I",
IF(AY41&gt;=phaseMax,"ESCALATE",IF(AX41&gt;=powerSameN,"J","I")),
C41="J",
IF(AY41&gt;=phaseMax,"ESCALATE",IF(OR(AX41&gt;=duoEqualN,BB41&gt;=duoMax),"K","J")),
C41="K",
IF(AY41&gt;=phaseMax,"ESCALATE",IF(AX41&gt;=binoSameN,IF(XLOOKUP($B41,Derived_Variables!$A:$A,Derived_Variables!$AJ:$AJ,FALSE)=TRUE,"P","END"),"K")),
C41="P",
IF(AY41&gt;=phaseMax,"ESCALATE",IF(OR(I41="READABLE",I41="SAME"),"Q","P")),
C41="Q",
IF(AY41&gt;=phaseMax,"ESCALATE",IF(OR(I41="READABLE",I41="SAME"),"R","Q")),
C41="R",
IF(AY41&gt;=phaseMax,"ESCALATE",IF(OR(I41=nearTarget,I41="SAME"),"END","R")),
TRUE,"END"
)))</f>
        <v>H</v>
      </c>
      <c r="BD41" s="28" t="b">
        <f t="shared" si="19"/>
        <v>1</v>
      </c>
    </row>
    <row r="42" ht="15.75" customHeight="1">
      <c r="A42" s="28">
        <f t="shared" si="3"/>
        <v>41</v>
      </c>
      <c r="B42" s="28">
        <f t="shared" si="4"/>
        <v>6</v>
      </c>
      <c r="C42" s="28" t="str">
        <f t="shared" si="5"/>
        <v>H</v>
      </c>
      <c r="D42" s="28" t="str">
        <f t="array" ref="D42">IF($I41="","",XLOOKUP(C42,FSM_State_Map!A:A,FSM_State_Map!B:B,""))</f>
        <v>JCC Axis LE</v>
      </c>
      <c r="E42" s="28" t="str">
        <f t="array" ref="E42">IF($I41="","",XLOOKUP(C42,FSM_State_Map!A:A,FSM_State_Map!C:C,""))</f>
        <v>JCC_AXIS</v>
      </c>
      <c r="F42" s="28" t="str">
        <f t="array" ref="F42">IF($I41="","",XLOOKUP(E42,Phase_UI_Map!A:A,Phase_UI_Map!B:B,""))</f>
        <v>JCC_AXIS</v>
      </c>
      <c r="G42" s="28" t="str">
        <f t="array" ref="G42">IF($I41="","",XLOOKUP(E42,Phase_UI_Map!A:A,Phase_UI_Map!C:C,""))</f>
        <v>DOT_CHART_JCC</v>
      </c>
      <c r="H42" s="28" t="str">
        <f t="array" ref="H42">IF($I41="","",XLOOKUP(E42,Phase_UI_Map!A:A,Phase_UI_Map!D:D,""))</f>
        <v>COMPARE_1_2</v>
      </c>
      <c r="I42" s="29" t="s">
        <v>222</v>
      </c>
      <c r="J42" s="28" t="str">
        <f>IFERROR(__xludf.DUMMYFUNCTION("IF($I41="""","""",IFERROR(INDEX(FILTER(Response_Lists!$B:$B,Response_Lists!$A:$A=$H42),1),""""))"),"BETTER_1")</f>
        <v>BETTER_1</v>
      </c>
      <c r="K42" s="28" t="str">
        <f>IFERROR(__xludf.DUMMYFUNCTION("IF($I41="""","""",IFERROR(INDEX(FILTER(Response_Lists!$B:$B,Response_Lists!$A:$A=$H42),2),""""))"),"BETTER_2")</f>
        <v>BETTER_2</v>
      </c>
      <c r="L42" s="28" t="str">
        <f>IFERROR(__xludf.DUMMYFUNCTION("IF($I41="""","""",IFERROR(INDEX(FILTER(Response_Lists!$B:$B,Response_Lists!$A:$A=$H42),3),""""))"),"SAME")</f>
        <v>SAME</v>
      </c>
      <c r="M42" s="28" t="str">
        <f>IFERROR(__xludf.DUMMYFUNCTION("IF($I41="""","""",IFERROR(INDEX(FILTER(Response_Lists!$B:$B,Response_Lists!$A:$A=$H42),4),""""))"),"CANT_TELL")</f>
        <v>CANT_TELL</v>
      </c>
      <c r="N42" s="28" t="str">
        <f>IFERROR(__xludf.DUMMYFUNCTION("IF($I41="""","""",IFERROR(INDEX(FILTER(Response_Lists!$B:$B,Response_Lists!$A:$A=$H42),5),""""))"),"")</f>
        <v/>
      </c>
      <c r="O42" s="28" t="str">
        <f>IFERROR(__xludf.DUMMYFUNCTION("IF($I41="""","""",IFERROR(INDEX(FILTER(Response_Lists!$B:$B,Response_Lists!$A:$A=$H42),6),""""))"),"")</f>
        <v/>
      </c>
      <c r="P42" s="28" t="str">
        <f t="shared" si="6"/>
        <v>Which is clearer: 1 or 2?</v>
      </c>
      <c r="Q42" s="28" t="str">
        <f t="array" ref="Q42">IF($I41="","",XLOOKUP(C42,FSM_State_Map!A:A,FSM_State_Map!D:D,""))</f>
        <v>LE</v>
      </c>
      <c r="R42" s="28" t="str">
        <f t="shared" si="7"/>
        <v>20_20_20</v>
      </c>
      <c r="S42" s="28">
        <f t="array" ref="S42">IF($I41="","",
IF(
  AND(C42="B",C41&lt;&gt;"B"),
  XLOOKUP($B42,Derived_Variables!$A:$A,Derived_Variables!$K:$K,0)
  + XLOOKUP($B42,Derived_Variables!$A:$A,Derived_Variables!$AE:$AE,0),
  S41+AM41
))</f>
        <v>-1.25</v>
      </c>
      <c r="T42" s="28">
        <f t="shared" ref="T42:U42" si="94">IF($I41="","",T41+AN41)</f>
        <v>-0.25</v>
      </c>
      <c r="U42" s="28">
        <f t="shared" si="94"/>
        <v>2</v>
      </c>
      <c r="V42" s="28">
        <f t="array" ref="V42">IF($I41="","",
IF(
  AND(C42="D",C41&lt;&gt;"D"),
  XLOOKUP($B42,Derived_Variables!$A:$A,Derived_Variables!$N:$N,0)
  + XLOOKUP($B42,Derived_Variables!$A:$A,Derived_Variables!$AE:$AE,0),
  V41+AP41
))</f>
        <v>-1.25</v>
      </c>
      <c r="W42" s="28">
        <f t="shared" ref="W42:X42" si="95">IF($I41="","",W41+AQ41)</f>
        <v>0</v>
      </c>
      <c r="X42" s="28">
        <f t="shared" si="95"/>
        <v>50</v>
      </c>
      <c r="Y42" s="28">
        <f t="array" ref="Y42">IF($I41="","",IF(AND(C42="P",C41&lt;&gt;"P"),IFERROR(XLOOKUP($B42,Lenso_Input!$A:$A,Lenso_Input!$E:$E,0),0),Y41+AS41))</f>
        <v>0</v>
      </c>
      <c r="Z42" s="28">
        <f t="array" ref="Z42">IF($I41="","",IF(AND(C42="Q",C41&lt;&gt;"Q"),IFERROR(XLOOKUP($B42,Lenso_Input!$A:$A,Lenso_Input!$I:$I,0),0),Z41+AT41))</f>
        <v>0</v>
      </c>
      <c r="AA42" s="28" t="str">
        <f t="array" ref="AA42">IF($I41="","",IF(XLOOKUP($B42,Derived_Variables!$A:$A,Derived_Variables!$R:$R,"6/6_target")="6/6_target","20_20_20","40_30_25"))</f>
        <v>20_20_20</v>
      </c>
      <c r="AB42" s="28">
        <f t="array" ref="AB42">IF($I41="","",XLOOKUP(LOWER(XLOOKUP($B42,Derived_Variables!$A:$A,Derived_Variables!$T:$T,"Standard"))&amp;"_sph_step",Calibration!$B:$B,Calibration!$C:$C,0.25))</f>
        <v>0.25</v>
      </c>
      <c r="AC42" s="28">
        <f t="array" ref="AC42">IF($I41="","",XLOOKUP(LOWER(XLOOKUP($B42,Derived_Variables!$A:$A,Derived_Variables!$T:$T,"Standard"))&amp;"_cyl_step",Calibration!$B:$B,Calibration!$C:$C,0.25))</f>
        <v>0.25</v>
      </c>
      <c r="AD42" s="28">
        <f t="array" ref="AD42">IF($I41="","",IF(OR(C42="E",C42="H"),LET(startStep,XLOOKUP("axis_start_step",Calibration!$B:$B,Calibration!$C:$C,5),step1,XLOOKUP("axis_reversal_step_1",Calibration!$B:$B,Calibration!$C:$C,3),step2,XLOOKUP("axis_reversal_step_2",Calibration!$B:$B,Calibration!$C:$C,1),IF(OR(C41&lt;&gt;C42,AZ42="",AZ42="SAME",AZ42="CANT_TELL",I42="",I42="SAME",I42="CANT_TELL"),startStep,IF(OR(AND(AZ42="BETTER_1",I42="BETTER_2"),AND(AZ42="BETTER_2",I42="BETTER_1")),IF(AD41&gt;step1,step1,step2),AD41))),0))</f>
        <v>5</v>
      </c>
      <c r="AE42" s="28" t="str">
        <f t="array" ref="AE42">IF($I41="","",XLOOKUP($B42,Derived_Variables!$A:$A,Derived_Variables!$AD:$AD,"No_Fog"))</f>
        <v>Strong_Fog</v>
      </c>
      <c r="AF42" s="28">
        <f t="array" ref="AF42">IF($I41="","",XLOOKUP($B42,Derived_Variables!$A:$A,Derived_Variables!$AE:$AE,0))</f>
        <v>1</v>
      </c>
      <c r="AG42" s="28" t="str">
        <f t="array" ref="AG42">IF($I41="","",XLOOKUP($B42,Derived_Variables!$A:$A,Derived_Variables!$AF:$AF,""))</f>
        <v>StepDown_0.25</v>
      </c>
      <c r="AH42" s="28" t="str">
        <f t="array" ref="AH42">IF($I41="","",XLOOKUP($B42,Derived_Variables!$A:$A,Derived_Variables!$AG:$AG,""))</f>
        <v>Low</v>
      </c>
      <c r="AI42" s="28" t="str">
        <f t="array" ref="AI42">IF($I41="","",XLOOKUP($B42,Derived_Variables!$A:$A,Derived_Variables!$AC:$AC,"Medium"))</f>
        <v>Low</v>
      </c>
      <c r="AJ42" s="28" t="b">
        <f t="array" ref="AJ42">IF($I41="","",XLOOKUP($B42,Derived_Variables!$A:$A,Derived_Variables!$Y:$Y,FALSE))</f>
        <v>0</v>
      </c>
      <c r="AK42" s="28" t="str">
        <f t="array" ref="AK42">IF($I41="","",XLOOKUP($B42,Derived_Variables!$A:$A,Derived_Variables!$AA:$AA,"Normal"))</f>
        <v>Slow</v>
      </c>
      <c r="AL42" s="28" t="str">
        <f t="array" ref="AL42">IF($I41="","",XLOOKUP($B42,Derived_Variables!$A:$A,Derived_Variables!$AB:$AB,"Normal"))</f>
        <v>Relaxed</v>
      </c>
      <c r="AM42" s="28">
        <f t="array" ref="AM42">IF($I42="","",IFS(C42="B",IF(OR(I42="NOT_READABLE",I42="BLURRY"),-AB42,0),C42="G",IFS(I42="RED_CLEARER",XLOOKUP("duochrome_red_step",Calibration!$B:$B,Calibration!$C:$C,-0.25),I42="GREEN_CLEARER",XLOOKUP("duochrome_green_step",Calibration!$B:$B,Calibration!$C:$C,0.25),I42="EQUAL",IF(XLOOKUP($B42,Derived_Variables!$A:$A,Derived_Variables!$S:$S,"Neutral")="Undercorrect",XLOOKUP("undercorrect_step",Calibration!$B:$B,Calibration!$C:$C,0.25),IF(XLOOKUP($B42,Derived_Variables!$A:$A,Derived_Variables!$S:$S,"Neutral")="Overcorrect",-XLOOKUP("overcorrect_step",Calibration!$B:$B,Calibration!$C:$C,0.25),0)),TRUE,0),C42="K",IF(I42="TOP_CLEARER",XLOOKUP("bino_balance_step",Calibration!$B:$B,Calibration!$C:$C,0.25),0),TRUE,0))</f>
        <v>0</v>
      </c>
      <c r="AN42" s="28">
        <f t="shared" si="10"/>
        <v>0</v>
      </c>
      <c r="AO42" s="28">
        <f t="shared" si="11"/>
        <v>0</v>
      </c>
      <c r="AP42" s="28">
        <f t="array" ref="AP42">IF($I42="","",IFS(C42="D",IF(OR(I42="NOT_READABLE",I42="BLURRY"),-AB42,0),C42="J",IFS(I42="RED_CLEARER",XLOOKUP("duochrome_red_step",Calibration!$B:$B,Calibration!$C:$C,-0.25),I42="GREEN_CLEARER",XLOOKUP("duochrome_green_step",Calibration!$B:$B,Calibration!$C:$C,0.25),I42="EQUAL",IF(XLOOKUP($B42,Derived_Variables!$A:$A,Derived_Variables!$S:$S,"Neutral")="Undercorrect",XLOOKUP("undercorrect_step",Calibration!$B:$B,Calibration!$C:$C,0.25),IF(XLOOKUP($B42,Derived_Variables!$A:$A,Derived_Variables!$S:$S,"Neutral")="Overcorrect",-XLOOKUP("overcorrect_step",Calibration!$B:$B,Calibration!$C:$C,0.25),0)),TRUE,0),C42="K",IF(I42="BOTTOM_CLEARER",XLOOKUP("bino_balance_step",Calibration!$B:$B,Calibration!$C:$C,0.25),0),TRUE,0))</f>
        <v>0</v>
      </c>
      <c r="AQ42" s="28">
        <f t="shared" si="12"/>
        <v>0</v>
      </c>
      <c r="AR42" s="28">
        <f t="shared" si="13"/>
        <v>0</v>
      </c>
      <c r="AS42" s="28">
        <f t="array" ref="AS42">IF($I42="","",IF(C42="P",IF(OR(I42="NOT_READABLE",I42="BLURRY"),XLOOKUP("near_add_step",Calibration!$B:$B,Calibration!$C:$C,0.25),0),IF(C42="R",IF(I42="NOT_CLEAR",XLOOKUP("near_add_step",Calibration!$B:$B,Calibration!$C:$C,0.25),0),0)))</f>
        <v>0</v>
      </c>
      <c r="AT42" s="28">
        <f t="array" ref="AT42">IF($I42="","",IF(C42="Q",IF(OR(I42="NOT_READABLE",I42="BLURRY"),XLOOKUP("near_add_step",Calibration!$B:$B,Calibration!$C:$C,0.25),0),IF(C42="R",IF(I42="NOT_CLEAR",XLOOKUP("near_add_step",Calibration!$B:$B,Calibration!$C:$C,0.25),0),0)))</f>
        <v>0</v>
      </c>
      <c r="AU42" s="28" t="str">
        <f t="array" ref="AU42">IF($I42="","",IF(G42="SNELLEN_FEET",IF(I42="READABLE",IFERROR(XLOOKUP(XLOOKUP(R42,Chart_Scale_Distance!B:B,Chart_Scale_Distance!A:A)+1,Chart_Scale_Distance!A:A,Chart_Scale_Distance!B:B),R42),R42),R42))</f>
        <v>20_20_20</v>
      </c>
      <c r="AV42" s="28">
        <f t="array" ref="AV42">IF($I41="","",IFERROR(XLOOKUP(R42,Chart_Scale_Distance!$B:$B,Chart_Scale_Distance!$A:$A,""),""))</f>
        <v>6</v>
      </c>
      <c r="AW42" s="28">
        <f t="array" ref="AW42">IF($I41="","",IFERROR(XLOOKUP(AA42,Chart_Scale_Distance!$B:$B,Chart_Scale_Distance!$A:$A,""),""))</f>
        <v>6</v>
      </c>
      <c r="AX42" s="28">
        <f t="shared" si="14"/>
        <v>1</v>
      </c>
      <c r="AY42" s="28">
        <f t="shared" si="15"/>
        <v>11</v>
      </c>
      <c r="AZ42" s="28" t="str">
        <f t="shared" si="16"/>
        <v>BETTER_2</v>
      </c>
      <c r="BA42" s="28">
        <f t="shared" si="17"/>
        <v>0</v>
      </c>
      <c r="BB42" s="28">
        <f t="shared" si="18"/>
        <v>0</v>
      </c>
      <c r="BC42" s="28" t="str">
        <f t="array" ref="BC42">IF($I42="","",LET(
conf,AI42,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duoMax,XLOOKUP($B42,Derived_Variables!$A:$A,Derived_Variables!$AI:$AI,4),
axisTol,XLOOKUP($B42,Derived_Variables!$A:$A,Derived_Variables!$W:$W,1),
maxStart,XLOOKUP($B42,Derived_Variables!$A:$A,Derived_Variables!$U:$U,1.25),
maxAR,XLOOKUP($B42,Derived_Variables!$A:$A,Derived_Variables!$V:$V,3),
anom,XLOOKUP($B42,Derived_Variables!$A:$A,Derived_Variables!$Z:$Z,FALSE),
reStart,XLOOKUP($B42,Derived_Variables!$A:$A,Derived_Variables!$K:$K,0),
leStart,XLOOKUP($B42,Derived_Variables!$A:$A,Derived_Variables!$N:$N,0),
reAR,XLOOKUP($B42,AR_Input!$A:$A,AR_Input!$B:$B,reStart),
leAR,XLOOKUP($B42,AR_Input!$A:$A,AR_Input!$E:$E,leStart),
reEsc,AND(anom,OR(ABS((S42+AM42)-reStart)&gt;maxStart,ABS((S42+AM42)-reAR)&gt;maxAR)),
leEsc,AND(anom,OR(ABS((V42+AP42)-leStart)&gt;maxStart,ABS((V42+AP42)-leAR)&gt;maxAR)),
phaseMax,IFS(
 AK42="Fast",
   IFS(
     OR(C42="B",C42="D"),XLOOKUP("timeout_coarse_fast",Calibration!$B:$B,Calibration!$C:$C,24),
     OR(C42="E",C42="F",C42="H",C42="I"),XLOOKUP("timeout_jcc_fast",Calibration!$B:$B,Calibration!$C:$C,10),
     OR(C42="G",C42="J"),XLOOKUP("timeout_duochrome_fast",Calibration!$B:$B,Calibration!$C:$C,8),
     C42="K",XLOOKUP("timeout_bino_fast",Calibration!$B:$B,Calibration!$C:$C,10),
     OR(C42="P",C42="Q",C42="R"),XLOOKUP("timeout_near_fast",Calibration!$B:$B,Calibration!$C:$C,16),
     TRUE,XLOOKUP("timeout_coarse_fast",Calibration!$B:$B,Calibration!$C:$C,24)
   ),
 AK42="Normal",
   IFS(
     OR(C42="B",C42="D"),XLOOKUP("timeout_coarse_normal",Calibration!$B:$B,Calibration!$C:$C,36),
     OR(C42="E",C42="F",C42="H",C42="I"),XLOOKUP("timeout_jcc_normal",Calibration!$B:$B,Calibration!$C:$C,14),
     OR(C42="G",C42="J"),XLOOKUP("timeout_duochrome_normal",Calibration!$B:$B,Calibration!$C:$C,10),
     C42="K",XLOOKUP("timeout_bino_normal",Calibration!$B:$B,Calibration!$C:$C,14),
     OR(C42="P",C42="Q",C42="R"),XLOOKUP("timeout_near_normal",Calibration!$B:$B,Calibration!$C:$C,22),
     TRUE,XLOOKUP("timeout_coarse_normal",Calibration!$B:$B,Calibration!$C:$C,36)
   ),
 TRUE,
   IFS(
     OR(C42="B",C42="D"),XLOOKUP("timeout_coarse_slow",Calibration!$B:$B,Calibration!$C:$C,48),
     OR(C42="E",C42="F",C42="H",C42="I"),XLOOKUP("timeout_jcc_slow",Calibration!$B:$B,Calibration!$C:$C,18),
     OR(C42="G",C42="J"),XLOOKUP("timeout_duochrome_slow",Calibration!$B:$B,Calibration!$C:$C,12),
     C42="K",XLOOKUP("timeout_bino_slow",Calibration!$B:$B,Calibration!$C:$C,18),
     OR(C42="P",C42="Q",C42="R"),XLOOKUP("timeout_near_slow",Calibration!$B:$B,Calibration!$C:$C,28),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AJ42=TRUE,"ESCALATE",
C42="A",
IF(OR(I42="NOT_READABLE",I42="BLURRY",AND(R42="20_20_20",I42="READABLE")),"B","A"),
C42="B",
IF(reEsc,"ESCALATE",IF(AY42&gt;=phaseMax,"ESCALATE",IF(AND(AV42&gt;=AW42,I42="READABLE"),"E","B"))),
C42="E",
IF(AY42&gt;=phaseMax,"ESCALATE",IF(OR(I42="SAME",I42="CANT_TELL",AD42&lt;axisTol),"F","E")),
C42="F",
IF(AY42&gt;=phaseMax,"ESCALATE",IF(AX42&gt;=powerSameN,"G","F")),
C42="G",
IF(AY42&gt;=phaseMax,"ESCALATE",IF(OR(AX42&gt;=duoEqualN,BB42&gt;=duoMax),"D","G")),
C42="D",
IF(leEsc,"ESCALATE",IF(AY42&gt;=phaseMax,"ESCALATE",IF(AND(AV42&gt;=AW42,I42="READABLE"),"H","D"))),
C42="H",
IF(AY42&gt;=phaseMax,"ESCALATE",IF(OR(I42="SAME",I42="CANT_TELL",AD42&lt;axisTol),"I","H")),
C42="I",
IF(AY42&gt;=phaseMax,"ESCALATE",IF(AX42&gt;=powerSameN,"J","I")),
C42="J",
IF(AY42&gt;=phaseMax,"ESCALATE",IF(OR(AX42&gt;=duoEqualN,BB42&gt;=duoMax),"K","J")),
C42="K",
IF(AY42&gt;=phaseMax,"ESCALATE",IF(AX42&gt;=binoSameN,IF(XLOOKUP($B42,Derived_Variables!$A:$A,Derived_Variables!$AJ:$AJ,FALSE)=TRUE,"P","END"),"K")),
C42="P",
IF(AY42&gt;=phaseMax,"ESCALATE",IF(OR(I42="READABLE",I42="SAME"),"Q","P")),
C42="Q",
IF(AY42&gt;=phaseMax,"ESCALATE",IF(OR(I42="READABLE",I42="SAME"),"R","Q")),
C42="R",
IF(AY42&gt;=phaseMax,"ESCALATE",IF(OR(I42=nearTarget,I42="SAME"),"END","R")),
TRUE,"END"
)))</f>
        <v>I</v>
      </c>
      <c r="BD42" s="28" t="b">
        <f t="shared" si="19"/>
        <v>1</v>
      </c>
    </row>
    <row r="43" ht="15.75" customHeight="1">
      <c r="A43" s="28">
        <f t="shared" si="3"/>
        <v>42</v>
      </c>
      <c r="B43" s="28">
        <f t="shared" si="4"/>
        <v>6</v>
      </c>
      <c r="C43" s="28" t="str">
        <f t="shared" si="5"/>
        <v>I</v>
      </c>
      <c r="D43" s="28" t="str">
        <f t="array" ref="D43">IF($I42="","",XLOOKUP(C43,FSM_State_Map!A:A,FSM_State_Map!B:B,""))</f>
        <v>JCC Power LE</v>
      </c>
      <c r="E43" s="28" t="str">
        <f t="array" ref="E43">IF($I42="","",XLOOKUP(C43,FSM_State_Map!A:A,FSM_State_Map!C:C,""))</f>
        <v>JCC_POWER</v>
      </c>
      <c r="F43" s="28" t="str">
        <f t="array" ref="F43">IF($I42="","",XLOOKUP(E43,Phase_UI_Map!A:A,Phase_UI_Map!B:B,""))</f>
        <v>JCC_POWER</v>
      </c>
      <c r="G43" s="28" t="str">
        <f t="array" ref="G43">IF($I42="","",XLOOKUP(E43,Phase_UI_Map!A:A,Phase_UI_Map!C:C,""))</f>
        <v>DOT_CHART_JCC</v>
      </c>
      <c r="H43" s="28" t="str">
        <f t="array" ref="H43">IF($I42="","",XLOOKUP(E43,Phase_UI_Map!A:A,Phase_UI_Map!D:D,""))</f>
        <v>COMPARE_1_2</v>
      </c>
      <c r="I43" s="29" t="s">
        <v>220</v>
      </c>
      <c r="J43" s="28" t="str">
        <f>IFERROR(__xludf.DUMMYFUNCTION("IF($I42="""","""",IFERROR(INDEX(FILTER(Response_Lists!$B:$B,Response_Lists!$A:$A=$H43),1),""""))"),"BETTER_1")</f>
        <v>BETTER_1</v>
      </c>
      <c r="K43" s="28" t="str">
        <f>IFERROR(__xludf.DUMMYFUNCTION("IF($I42="""","""",IFERROR(INDEX(FILTER(Response_Lists!$B:$B,Response_Lists!$A:$A=$H43),2),""""))"),"BETTER_2")</f>
        <v>BETTER_2</v>
      </c>
      <c r="L43" s="28" t="str">
        <f>IFERROR(__xludf.DUMMYFUNCTION("IF($I42="""","""",IFERROR(INDEX(FILTER(Response_Lists!$B:$B,Response_Lists!$A:$A=$H43),3),""""))"),"SAME")</f>
        <v>SAME</v>
      </c>
      <c r="M43" s="28" t="str">
        <f>IFERROR(__xludf.DUMMYFUNCTION("IF($I42="""","""",IFERROR(INDEX(FILTER(Response_Lists!$B:$B,Response_Lists!$A:$A=$H43),4),""""))"),"CANT_TELL")</f>
        <v>CANT_TELL</v>
      </c>
      <c r="N43" s="28" t="str">
        <f>IFERROR(__xludf.DUMMYFUNCTION("IF($I42="""","""",IFERROR(INDEX(FILTER(Response_Lists!$B:$B,Response_Lists!$A:$A=$H43),5),""""))"),"")</f>
        <v/>
      </c>
      <c r="O43" s="28" t="str">
        <f>IFERROR(__xludf.DUMMYFUNCTION("IF($I42="""","""",IFERROR(INDEX(FILTER(Response_Lists!$B:$B,Response_Lists!$A:$A=$H43),6),""""))"),"")</f>
        <v/>
      </c>
      <c r="P43" s="28" t="str">
        <f t="shared" si="6"/>
        <v>Which is clearer: 1 or 2?</v>
      </c>
      <c r="Q43" s="28" t="str">
        <f t="array" ref="Q43">IF($I42="","",XLOOKUP(C43,FSM_State_Map!A:A,FSM_State_Map!D:D,""))</f>
        <v>LE</v>
      </c>
      <c r="R43" s="28" t="str">
        <f t="shared" si="7"/>
        <v>20_20_20</v>
      </c>
      <c r="S43" s="28">
        <f t="array" ref="S43">IF($I42="","",
IF(
  AND(C43="B",C42&lt;&gt;"B"),
  XLOOKUP($B43,Derived_Variables!$A:$A,Derived_Variables!$K:$K,0)
  + XLOOKUP($B43,Derived_Variables!$A:$A,Derived_Variables!$AE:$AE,0),
  S42+AM42
))</f>
        <v>-1.25</v>
      </c>
      <c r="T43" s="28">
        <f t="shared" ref="T43:U43" si="96">IF($I42="","",T42+AN42)</f>
        <v>-0.25</v>
      </c>
      <c r="U43" s="28">
        <f t="shared" si="96"/>
        <v>2</v>
      </c>
      <c r="V43" s="28">
        <f t="array" ref="V43">IF($I42="","",
IF(
  AND(C43="D",C42&lt;&gt;"D"),
  XLOOKUP($B43,Derived_Variables!$A:$A,Derived_Variables!$N:$N,0)
  + XLOOKUP($B43,Derived_Variables!$A:$A,Derived_Variables!$AE:$AE,0),
  V42+AP42
))</f>
        <v>-1.25</v>
      </c>
      <c r="W43" s="28">
        <f t="shared" ref="W43:X43" si="97">IF($I42="","",W42+AQ42)</f>
        <v>0</v>
      </c>
      <c r="X43" s="28">
        <f t="shared" si="97"/>
        <v>50</v>
      </c>
      <c r="Y43" s="28">
        <f t="array" ref="Y43">IF($I42="","",IF(AND(C43="P",C42&lt;&gt;"P"),IFERROR(XLOOKUP($B43,Lenso_Input!$A:$A,Lenso_Input!$E:$E,0),0),Y42+AS42))</f>
        <v>0</v>
      </c>
      <c r="Z43" s="28">
        <f t="array" ref="Z43">IF($I42="","",IF(AND(C43="Q",C42&lt;&gt;"Q"),IFERROR(XLOOKUP($B43,Lenso_Input!$A:$A,Lenso_Input!$I:$I,0),0),Z42+AT42))</f>
        <v>0</v>
      </c>
      <c r="AA43" s="28" t="str">
        <f t="array" ref="AA43">IF($I42="","",IF(XLOOKUP($B43,Derived_Variables!$A:$A,Derived_Variables!$R:$R,"6/6_target")="6/6_target","20_20_20","40_30_25"))</f>
        <v>20_20_20</v>
      </c>
      <c r="AB43" s="28">
        <f t="array" ref="AB43">IF($I42="","",XLOOKUP(LOWER(XLOOKUP($B43,Derived_Variables!$A:$A,Derived_Variables!$T:$T,"Standard"))&amp;"_sph_step",Calibration!$B:$B,Calibration!$C:$C,0.25))</f>
        <v>0.25</v>
      </c>
      <c r="AC43" s="28">
        <f t="array" ref="AC43">IF($I42="","",XLOOKUP(LOWER(XLOOKUP($B43,Derived_Variables!$A:$A,Derived_Variables!$T:$T,"Standard"))&amp;"_cyl_step",Calibration!$B:$B,Calibration!$C:$C,0.25))</f>
        <v>0.25</v>
      </c>
      <c r="AD43" s="28">
        <f t="array" ref="AD43">IF($I42="","",IF(OR(C43="E",C43="H"),LET(startStep,XLOOKUP("axis_start_step",Calibration!$B:$B,Calibration!$C:$C,5),step1,XLOOKUP("axis_reversal_step_1",Calibration!$B:$B,Calibration!$C:$C,3),step2,XLOOKUP("axis_reversal_step_2",Calibration!$B:$B,Calibration!$C:$C,1),IF(OR(C42&lt;&gt;C43,AZ43="",AZ43="SAME",AZ43="CANT_TELL",I43="",I43="SAME",I43="CANT_TELL"),startStep,IF(OR(AND(AZ43="BETTER_1",I43="BETTER_2"),AND(AZ43="BETTER_2",I43="BETTER_1")),IF(AD42&gt;step1,step1,step2),AD42))),0))</f>
        <v>0</v>
      </c>
      <c r="AE43" s="28" t="str">
        <f t="array" ref="AE43">IF($I42="","",XLOOKUP($B43,Derived_Variables!$A:$A,Derived_Variables!$AD:$AD,"No_Fog"))</f>
        <v>Strong_Fog</v>
      </c>
      <c r="AF43" s="28">
        <f t="array" ref="AF43">IF($I42="","",XLOOKUP($B43,Derived_Variables!$A:$A,Derived_Variables!$AE:$AE,0))</f>
        <v>1</v>
      </c>
      <c r="AG43" s="28" t="str">
        <f t="array" ref="AG43">IF($I42="","",XLOOKUP($B43,Derived_Variables!$A:$A,Derived_Variables!$AF:$AF,""))</f>
        <v>StepDown_0.25</v>
      </c>
      <c r="AH43" s="28" t="str">
        <f t="array" ref="AH43">IF($I42="","",XLOOKUP($B43,Derived_Variables!$A:$A,Derived_Variables!$AG:$AG,""))</f>
        <v>Low</v>
      </c>
      <c r="AI43" s="28" t="str">
        <f t="array" ref="AI43">IF($I42="","",XLOOKUP($B43,Derived_Variables!$A:$A,Derived_Variables!$AC:$AC,"Medium"))</f>
        <v>Low</v>
      </c>
      <c r="AJ43" s="28" t="b">
        <f t="array" ref="AJ43">IF($I42="","",XLOOKUP($B43,Derived_Variables!$A:$A,Derived_Variables!$Y:$Y,FALSE))</f>
        <v>0</v>
      </c>
      <c r="AK43" s="28" t="str">
        <f t="array" ref="AK43">IF($I42="","",XLOOKUP($B43,Derived_Variables!$A:$A,Derived_Variables!$AA:$AA,"Normal"))</f>
        <v>Slow</v>
      </c>
      <c r="AL43" s="28" t="str">
        <f t="array" ref="AL43">IF($I42="","",XLOOKUP($B43,Derived_Variables!$A:$A,Derived_Variables!$AB:$AB,"Normal"))</f>
        <v>Relaxed</v>
      </c>
      <c r="AM43" s="28">
        <f t="array" ref="AM43">IF($I43="","",IFS(C43="B",IF(OR(I43="NOT_READABLE",I43="BLURRY"),-AB43,0),C43="G",IFS(I43="RED_CLEARER",XLOOKUP("duochrome_red_step",Calibration!$B:$B,Calibration!$C:$C,-0.25),I43="GREEN_CLEARER",XLOOKUP("duochrome_green_step",Calibration!$B:$B,Calibration!$C:$C,0.25),I43="EQUAL",IF(XLOOKUP($B43,Derived_Variables!$A:$A,Derived_Variables!$S:$S,"Neutral")="Undercorrect",XLOOKUP("undercorrect_step",Calibration!$B:$B,Calibration!$C:$C,0.25),IF(XLOOKUP($B43,Derived_Variables!$A:$A,Derived_Variables!$S:$S,"Neutral")="Overcorrect",-XLOOKUP("overcorrect_step",Calibration!$B:$B,Calibration!$C:$C,0.25),0)),TRUE,0),C43="K",IF(I43="TOP_CLEARER",XLOOKUP("bino_balance_step",Calibration!$B:$B,Calibration!$C:$C,0.25),0),TRUE,0))</f>
        <v>0</v>
      </c>
      <c r="AN43" s="28">
        <f t="shared" si="10"/>
        <v>0</v>
      </c>
      <c r="AO43" s="28">
        <f t="shared" si="11"/>
        <v>0</v>
      </c>
      <c r="AP43" s="28">
        <f t="array" ref="AP43">IF($I43="","",IFS(C43="D",IF(OR(I43="NOT_READABLE",I43="BLURRY"),-AB43,0),C43="J",IFS(I43="RED_CLEARER",XLOOKUP("duochrome_red_step",Calibration!$B:$B,Calibration!$C:$C,-0.25),I43="GREEN_CLEARER",XLOOKUP("duochrome_green_step",Calibration!$B:$B,Calibration!$C:$C,0.25),I43="EQUAL",IF(XLOOKUP($B43,Derived_Variables!$A:$A,Derived_Variables!$S:$S,"Neutral")="Undercorrect",XLOOKUP("undercorrect_step",Calibration!$B:$B,Calibration!$C:$C,0.25),IF(XLOOKUP($B43,Derived_Variables!$A:$A,Derived_Variables!$S:$S,"Neutral")="Overcorrect",-XLOOKUP("overcorrect_step",Calibration!$B:$B,Calibration!$C:$C,0.25),0)),TRUE,0),C43="K",IF(I43="BOTTOM_CLEARER",XLOOKUP("bino_balance_step",Calibration!$B:$B,Calibration!$C:$C,0.25),0),TRUE,0))</f>
        <v>0</v>
      </c>
      <c r="AQ43" s="28">
        <f t="shared" si="12"/>
        <v>-0.25</v>
      </c>
      <c r="AR43" s="28">
        <f t="shared" si="13"/>
        <v>0</v>
      </c>
      <c r="AS43" s="28">
        <f t="array" ref="AS43">IF($I43="","",IF(C43="P",IF(OR(I43="NOT_READABLE",I43="BLURRY"),XLOOKUP("near_add_step",Calibration!$B:$B,Calibration!$C:$C,0.25),0),IF(C43="R",IF(I43="NOT_CLEAR",XLOOKUP("near_add_step",Calibration!$B:$B,Calibration!$C:$C,0.25),0),0)))</f>
        <v>0</v>
      </c>
      <c r="AT43" s="28">
        <f t="array" ref="AT43">IF($I43="","",IF(C43="Q",IF(OR(I43="NOT_READABLE",I43="BLURRY"),XLOOKUP("near_add_step",Calibration!$B:$B,Calibration!$C:$C,0.25),0),IF(C43="R",IF(I43="NOT_CLEAR",XLOOKUP("near_add_step",Calibration!$B:$B,Calibration!$C:$C,0.25),0),0)))</f>
        <v>0</v>
      </c>
      <c r="AU43" s="28" t="str">
        <f t="array" ref="AU43">IF($I43="","",IF(G43="SNELLEN_FEET",IF(I43="READABLE",IFERROR(XLOOKUP(XLOOKUP(R43,Chart_Scale_Distance!B:B,Chart_Scale_Distance!A:A)+1,Chart_Scale_Distance!A:A,Chart_Scale_Distance!B:B),R43),R43),R43))</f>
        <v>20_20_20</v>
      </c>
      <c r="AV43" s="28">
        <f t="array" ref="AV43">IF($I42="","",IFERROR(XLOOKUP(R43,Chart_Scale_Distance!$B:$B,Chart_Scale_Distance!$A:$A,""),""))</f>
        <v>6</v>
      </c>
      <c r="AW43" s="28">
        <f t="array" ref="AW43">IF($I42="","",IFERROR(XLOOKUP(AA43,Chart_Scale_Distance!$B:$B,Chart_Scale_Distance!$A:$A,""),""))</f>
        <v>6</v>
      </c>
      <c r="AX43" s="28">
        <f t="shared" si="14"/>
        <v>0</v>
      </c>
      <c r="AY43" s="28">
        <f t="shared" si="15"/>
        <v>1</v>
      </c>
      <c r="AZ43" s="28" t="str">
        <f t="shared" si="16"/>
        <v/>
      </c>
      <c r="BA43" s="28">
        <f t="shared" si="17"/>
        <v>0</v>
      </c>
      <c r="BB43" s="28">
        <f t="shared" si="18"/>
        <v>0</v>
      </c>
      <c r="BC43" s="28" t="str">
        <f t="array" ref="BC43">IF($I43="","",LET(
conf,AI43,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duoMax,XLOOKUP($B43,Derived_Variables!$A:$A,Derived_Variables!$AI:$AI,4),
axisTol,XLOOKUP($B43,Derived_Variables!$A:$A,Derived_Variables!$W:$W,1),
maxStart,XLOOKUP($B43,Derived_Variables!$A:$A,Derived_Variables!$U:$U,1.25),
maxAR,XLOOKUP($B43,Derived_Variables!$A:$A,Derived_Variables!$V:$V,3),
anom,XLOOKUP($B43,Derived_Variables!$A:$A,Derived_Variables!$Z:$Z,FALSE),
reStart,XLOOKUP($B43,Derived_Variables!$A:$A,Derived_Variables!$K:$K,0),
leStart,XLOOKUP($B43,Derived_Variables!$A:$A,Derived_Variables!$N:$N,0),
reAR,XLOOKUP($B43,AR_Input!$A:$A,AR_Input!$B:$B,reStart),
leAR,XLOOKUP($B43,AR_Input!$A:$A,AR_Input!$E:$E,leStart),
reEsc,AND(anom,OR(ABS((S43+AM43)-reStart)&gt;maxStart,ABS((S43+AM43)-reAR)&gt;maxAR)),
leEsc,AND(anom,OR(ABS((V43+AP43)-leStart)&gt;maxStart,ABS((V43+AP43)-leAR)&gt;maxAR)),
phaseMax,IFS(
 AK43="Fast",
   IFS(
     OR(C43="B",C43="D"),XLOOKUP("timeout_coarse_fast",Calibration!$B:$B,Calibration!$C:$C,24),
     OR(C43="E",C43="F",C43="H",C43="I"),XLOOKUP("timeout_jcc_fast",Calibration!$B:$B,Calibration!$C:$C,10),
     OR(C43="G",C43="J"),XLOOKUP("timeout_duochrome_fast",Calibration!$B:$B,Calibration!$C:$C,8),
     C43="K",XLOOKUP("timeout_bino_fast",Calibration!$B:$B,Calibration!$C:$C,10),
     OR(C43="P",C43="Q",C43="R"),XLOOKUP("timeout_near_fast",Calibration!$B:$B,Calibration!$C:$C,16),
     TRUE,XLOOKUP("timeout_coarse_fast",Calibration!$B:$B,Calibration!$C:$C,24)
   ),
 AK43="Normal",
   IFS(
     OR(C43="B",C43="D"),XLOOKUP("timeout_coarse_normal",Calibration!$B:$B,Calibration!$C:$C,36),
     OR(C43="E",C43="F",C43="H",C43="I"),XLOOKUP("timeout_jcc_normal",Calibration!$B:$B,Calibration!$C:$C,14),
     OR(C43="G",C43="J"),XLOOKUP("timeout_duochrome_normal",Calibration!$B:$B,Calibration!$C:$C,10),
     C43="K",XLOOKUP("timeout_bino_normal",Calibration!$B:$B,Calibration!$C:$C,14),
     OR(C43="P",C43="Q",C43="R"),XLOOKUP("timeout_near_normal",Calibration!$B:$B,Calibration!$C:$C,22),
     TRUE,XLOOKUP("timeout_coarse_normal",Calibration!$B:$B,Calibration!$C:$C,36)
   ),
 TRUE,
   IFS(
     OR(C43="B",C43="D"),XLOOKUP("timeout_coarse_slow",Calibration!$B:$B,Calibration!$C:$C,48),
     OR(C43="E",C43="F",C43="H",C43="I"),XLOOKUP("timeout_jcc_slow",Calibration!$B:$B,Calibration!$C:$C,18),
     OR(C43="G",C43="J"),XLOOKUP("timeout_duochrome_slow",Calibration!$B:$B,Calibration!$C:$C,12),
     C43="K",XLOOKUP("timeout_bino_slow",Calibration!$B:$B,Calibration!$C:$C,18),
     OR(C43="P",C43="Q",C43="R"),XLOOKUP("timeout_near_slow",Calibration!$B:$B,Calibration!$C:$C,28),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AJ43=TRUE,"ESCALATE",
C43="A",
IF(OR(I43="NOT_READABLE",I43="BLURRY",AND(R43="20_20_20",I43="READABLE")),"B","A"),
C43="B",
IF(reEsc,"ESCALATE",IF(AY43&gt;=phaseMax,"ESCALATE",IF(AND(AV43&gt;=AW43,I43="READABLE"),"E","B"))),
C43="E",
IF(AY43&gt;=phaseMax,"ESCALATE",IF(OR(I43="SAME",I43="CANT_TELL",AD43&lt;axisTol),"F","E")),
C43="F",
IF(AY43&gt;=phaseMax,"ESCALATE",IF(AX43&gt;=powerSameN,"G","F")),
C43="G",
IF(AY43&gt;=phaseMax,"ESCALATE",IF(OR(AX43&gt;=duoEqualN,BB43&gt;=duoMax),"D","G")),
C43="D",
IF(leEsc,"ESCALATE",IF(AY43&gt;=phaseMax,"ESCALATE",IF(AND(AV43&gt;=AW43,I43="READABLE"),"H","D"))),
C43="H",
IF(AY43&gt;=phaseMax,"ESCALATE",IF(OR(I43="SAME",I43="CANT_TELL",AD43&lt;axisTol),"I","H")),
C43="I",
IF(AY43&gt;=phaseMax,"ESCALATE",IF(AX43&gt;=powerSameN,"J","I")),
C43="J",
IF(AY43&gt;=phaseMax,"ESCALATE",IF(OR(AX43&gt;=duoEqualN,BB43&gt;=duoMax),"K","J")),
C43="K",
IF(AY43&gt;=phaseMax,"ESCALATE",IF(AX43&gt;=binoSameN,IF(XLOOKUP($B43,Derived_Variables!$A:$A,Derived_Variables!$AJ:$AJ,FALSE)=TRUE,"P","END"),"K")),
C43="P",
IF(AY43&gt;=phaseMax,"ESCALATE",IF(OR(I43="READABLE",I43="SAME"),"Q","P")),
C43="Q",
IF(AY43&gt;=phaseMax,"ESCALATE",IF(OR(I43="READABLE",I43="SAME"),"R","Q")),
C43="R",
IF(AY43&gt;=phaseMax,"ESCALATE",IF(OR(I43=nearTarget,I43="SAME"),"END","R")),
TRUE,"END"
)))</f>
        <v>I</v>
      </c>
      <c r="BD43" s="28" t="b">
        <f t="shared" si="19"/>
        <v>1</v>
      </c>
    </row>
    <row r="44" ht="15.75" customHeight="1">
      <c r="A44" s="28">
        <f t="shared" si="3"/>
        <v>43</v>
      </c>
      <c r="B44" s="28">
        <f t="shared" si="4"/>
        <v>6</v>
      </c>
      <c r="C44" s="28" t="str">
        <f t="shared" si="5"/>
        <v>I</v>
      </c>
      <c r="D44" s="28" t="str">
        <f t="array" ref="D44">IF($I43="","",XLOOKUP(C44,FSM_State_Map!A:A,FSM_State_Map!B:B,""))</f>
        <v>JCC Power LE</v>
      </c>
      <c r="E44" s="28" t="str">
        <f t="array" ref="E44">IF($I43="","",XLOOKUP(C44,FSM_State_Map!A:A,FSM_State_Map!C:C,""))</f>
        <v>JCC_POWER</v>
      </c>
      <c r="F44" s="28" t="str">
        <f t="array" ref="F44">IF($I43="","",XLOOKUP(E44,Phase_UI_Map!A:A,Phase_UI_Map!B:B,""))</f>
        <v>JCC_POWER</v>
      </c>
      <c r="G44" s="28" t="str">
        <f t="array" ref="G44">IF($I43="","",XLOOKUP(E44,Phase_UI_Map!A:A,Phase_UI_Map!C:C,""))</f>
        <v>DOT_CHART_JCC</v>
      </c>
      <c r="H44" s="28" t="str">
        <f t="array" ref="H44">IF($I43="","",XLOOKUP(E44,Phase_UI_Map!A:A,Phase_UI_Map!D:D,""))</f>
        <v>COMPARE_1_2</v>
      </c>
      <c r="I44" s="29" t="s">
        <v>220</v>
      </c>
      <c r="J44" s="28" t="str">
        <f>IFERROR(__xludf.DUMMYFUNCTION("IF($I43="""","""",IFERROR(INDEX(FILTER(Response_Lists!$B:$B,Response_Lists!$A:$A=$H44),1),""""))"),"BETTER_1")</f>
        <v>BETTER_1</v>
      </c>
      <c r="K44" s="28" t="str">
        <f>IFERROR(__xludf.DUMMYFUNCTION("IF($I43="""","""",IFERROR(INDEX(FILTER(Response_Lists!$B:$B,Response_Lists!$A:$A=$H44),2),""""))"),"BETTER_2")</f>
        <v>BETTER_2</v>
      </c>
      <c r="L44" s="28" t="str">
        <f>IFERROR(__xludf.DUMMYFUNCTION("IF($I43="""","""",IFERROR(INDEX(FILTER(Response_Lists!$B:$B,Response_Lists!$A:$A=$H44),3),""""))"),"SAME")</f>
        <v>SAME</v>
      </c>
      <c r="M44" s="28" t="str">
        <f>IFERROR(__xludf.DUMMYFUNCTION("IF($I43="""","""",IFERROR(INDEX(FILTER(Response_Lists!$B:$B,Response_Lists!$A:$A=$H44),4),""""))"),"CANT_TELL")</f>
        <v>CANT_TELL</v>
      </c>
      <c r="N44" s="28" t="str">
        <f>IFERROR(__xludf.DUMMYFUNCTION("IF($I43="""","""",IFERROR(INDEX(FILTER(Response_Lists!$B:$B,Response_Lists!$A:$A=$H44),5),""""))"),"")</f>
        <v/>
      </c>
      <c r="O44" s="28" t="str">
        <f>IFERROR(__xludf.DUMMYFUNCTION("IF($I43="""","""",IFERROR(INDEX(FILTER(Response_Lists!$B:$B,Response_Lists!$A:$A=$H44),6),""""))"),"")</f>
        <v/>
      </c>
      <c r="P44" s="28" t="str">
        <f t="shared" si="6"/>
        <v>Which is clearer: 1 or 2?</v>
      </c>
      <c r="Q44" s="28" t="str">
        <f t="array" ref="Q44">IF($I43="","",XLOOKUP(C44,FSM_State_Map!A:A,FSM_State_Map!D:D,""))</f>
        <v>LE</v>
      </c>
      <c r="R44" s="28" t="str">
        <f t="shared" si="7"/>
        <v>20_20_20</v>
      </c>
      <c r="S44" s="28">
        <f t="array" ref="S44">IF($I43="","",
IF(
  AND(C44="B",C43&lt;&gt;"B"),
  XLOOKUP($B44,Derived_Variables!$A:$A,Derived_Variables!$K:$K,0)
  + XLOOKUP($B44,Derived_Variables!$A:$A,Derived_Variables!$AE:$AE,0),
  S43+AM43
))</f>
        <v>-1.25</v>
      </c>
      <c r="T44" s="28">
        <f t="shared" ref="T44:U44" si="98">IF($I43="","",T43+AN43)</f>
        <v>-0.25</v>
      </c>
      <c r="U44" s="28">
        <f t="shared" si="98"/>
        <v>2</v>
      </c>
      <c r="V44" s="28">
        <f t="array" ref="V44">IF($I43="","",
IF(
  AND(C44="D",C43&lt;&gt;"D"),
  XLOOKUP($B44,Derived_Variables!$A:$A,Derived_Variables!$N:$N,0)
  + XLOOKUP($B44,Derived_Variables!$A:$A,Derived_Variables!$AE:$AE,0),
  V43+AP43
))</f>
        <v>-1.25</v>
      </c>
      <c r="W44" s="28">
        <f t="shared" ref="W44:X44" si="99">IF($I43="","",W43+AQ43)</f>
        <v>-0.25</v>
      </c>
      <c r="X44" s="28">
        <f t="shared" si="99"/>
        <v>50</v>
      </c>
      <c r="Y44" s="28">
        <f t="array" ref="Y44">IF($I43="","",IF(AND(C44="P",C43&lt;&gt;"P"),IFERROR(XLOOKUP($B44,Lenso_Input!$A:$A,Lenso_Input!$E:$E,0),0),Y43+AS43))</f>
        <v>0</v>
      </c>
      <c r="Z44" s="28">
        <f t="array" ref="Z44">IF($I43="","",IF(AND(C44="Q",C43&lt;&gt;"Q"),IFERROR(XLOOKUP($B44,Lenso_Input!$A:$A,Lenso_Input!$I:$I,0),0),Z43+AT43))</f>
        <v>0</v>
      </c>
      <c r="AA44" s="28" t="str">
        <f t="array" ref="AA44">IF($I43="","",IF(XLOOKUP($B44,Derived_Variables!$A:$A,Derived_Variables!$R:$R,"6/6_target")="6/6_target","20_20_20","40_30_25"))</f>
        <v>20_20_20</v>
      </c>
      <c r="AB44" s="28">
        <f t="array" ref="AB44">IF($I43="","",XLOOKUP(LOWER(XLOOKUP($B44,Derived_Variables!$A:$A,Derived_Variables!$T:$T,"Standard"))&amp;"_sph_step",Calibration!$B:$B,Calibration!$C:$C,0.25))</f>
        <v>0.25</v>
      </c>
      <c r="AC44" s="28">
        <f t="array" ref="AC44">IF($I43="","",XLOOKUP(LOWER(XLOOKUP($B44,Derived_Variables!$A:$A,Derived_Variables!$T:$T,"Standard"))&amp;"_cyl_step",Calibration!$B:$B,Calibration!$C:$C,0.25))</f>
        <v>0.25</v>
      </c>
      <c r="AD44" s="28">
        <f t="array" ref="AD44">IF($I43="","",IF(OR(C44="E",C44="H"),LET(startStep,XLOOKUP("axis_start_step",Calibration!$B:$B,Calibration!$C:$C,5),step1,XLOOKUP("axis_reversal_step_1",Calibration!$B:$B,Calibration!$C:$C,3),step2,XLOOKUP("axis_reversal_step_2",Calibration!$B:$B,Calibration!$C:$C,1),IF(OR(C43&lt;&gt;C44,AZ44="",AZ44="SAME",AZ44="CANT_TELL",I44="",I44="SAME",I44="CANT_TELL"),startStep,IF(OR(AND(AZ44="BETTER_1",I44="BETTER_2"),AND(AZ44="BETTER_2",I44="BETTER_1")),IF(AD43&gt;step1,step1,step2),AD43))),0))</f>
        <v>0</v>
      </c>
      <c r="AE44" s="28" t="str">
        <f t="array" ref="AE44">IF($I43="","",XLOOKUP($B44,Derived_Variables!$A:$A,Derived_Variables!$AD:$AD,"No_Fog"))</f>
        <v>Strong_Fog</v>
      </c>
      <c r="AF44" s="28">
        <f t="array" ref="AF44">IF($I43="","",XLOOKUP($B44,Derived_Variables!$A:$A,Derived_Variables!$AE:$AE,0))</f>
        <v>1</v>
      </c>
      <c r="AG44" s="28" t="str">
        <f t="array" ref="AG44">IF($I43="","",XLOOKUP($B44,Derived_Variables!$A:$A,Derived_Variables!$AF:$AF,""))</f>
        <v>StepDown_0.25</v>
      </c>
      <c r="AH44" s="28" t="str">
        <f t="array" ref="AH44">IF($I43="","",XLOOKUP($B44,Derived_Variables!$A:$A,Derived_Variables!$AG:$AG,""))</f>
        <v>Low</v>
      </c>
      <c r="AI44" s="28" t="str">
        <f t="array" ref="AI44">IF($I43="","",XLOOKUP($B44,Derived_Variables!$A:$A,Derived_Variables!$AC:$AC,"Medium"))</f>
        <v>Low</v>
      </c>
      <c r="AJ44" s="28" t="b">
        <f t="array" ref="AJ44">IF($I43="","",XLOOKUP($B44,Derived_Variables!$A:$A,Derived_Variables!$Y:$Y,FALSE))</f>
        <v>0</v>
      </c>
      <c r="AK44" s="28" t="str">
        <f t="array" ref="AK44">IF($I43="","",XLOOKUP($B44,Derived_Variables!$A:$A,Derived_Variables!$AA:$AA,"Normal"))</f>
        <v>Slow</v>
      </c>
      <c r="AL44" s="28" t="str">
        <f t="array" ref="AL44">IF($I43="","",XLOOKUP($B44,Derived_Variables!$A:$A,Derived_Variables!$AB:$AB,"Normal"))</f>
        <v>Relaxed</v>
      </c>
      <c r="AM44" s="28">
        <f t="array" ref="AM44">IF($I44="","",IFS(C44="B",IF(OR(I44="NOT_READABLE",I44="BLURRY"),-AB44,0),C44="G",IFS(I44="RED_CLEARER",XLOOKUP("duochrome_red_step",Calibration!$B:$B,Calibration!$C:$C,-0.25),I44="GREEN_CLEARER",XLOOKUP("duochrome_green_step",Calibration!$B:$B,Calibration!$C:$C,0.25),I44="EQUAL",IF(XLOOKUP($B44,Derived_Variables!$A:$A,Derived_Variables!$S:$S,"Neutral")="Undercorrect",XLOOKUP("undercorrect_step",Calibration!$B:$B,Calibration!$C:$C,0.25),IF(XLOOKUP($B44,Derived_Variables!$A:$A,Derived_Variables!$S:$S,"Neutral")="Overcorrect",-XLOOKUP("overcorrect_step",Calibration!$B:$B,Calibration!$C:$C,0.25),0)),TRUE,0),C44="K",IF(I44="TOP_CLEARER",XLOOKUP("bino_balance_step",Calibration!$B:$B,Calibration!$C:$C,0.25),0),TRUE,0))</f>
        <v>0</v>
      </c>
      <c r="AN44" s="28">
        <f t="shared" si="10"/>
        <v>0</v>
      </c>
      <c r="AO44" s="28">
        <f t="shared" si="11"/>
        <v>0</v>
      </c>
      <c r="AP44" s="28">
        <f t="array" ref="AP44">IF($I44="","",IFS(C44="D",IF(OR(I44="NOT_READABLE",I44="BLURRY"),-AB44,0),C44="J",IFS(I44="RED_CLEARER",XLOOKUP("duochrome_red_step",Calibration!$B:$B,Calibration!$C:$C,-0.25),I44="GREEN_CLEARER",XLOOKUP("duochrome_green_step",Calibration!$B:$B,Calibration!$C:$C,0.25),I44="EQUAL",IF(XLOOKUP($B44,Derived_Variables!$A:$A,Derived_Variables!$S:$S,"Neutral")="Undercorrect",XLOOKUP("undercorrect_step",Calibration!$B:$B,Calibration!$C:$C,0.25),IF(XLOOKUP($B44,Derived_Variables!$A:$A,Derived_Variables!$S:$S,"Neutral")="Overcorrect",-XLOOKUP("overcorrect_step",Calibration!$B:$B,Calibration!$C:$C,0.25),0)),TRUE,0),C44="K",IF(I44="BOTTOM_CLEARER",XLOOKUP("bino_balance_step",Calibration!$B:$B,Calibration!$C:$C,0.25),0),TRUE,0))</f>
        <v>0</v>
      </c>
      <c r="AQ44" s="28">
        <f t="shared" si="12"/>
        <v>-0.25</v>
      </c>
      <c r="AR44" s="28">
        <f t="shared" si="13"/>
        <v>0</v>
      </c>
      <c r="AS44" s="28">
        <f t="array" ref="AS44">IF($I44="","",IF(C44="P",IF(OR(I44="NOT_READABLE",I44="BLURRY"),XLOOKUP("near_add_step",Calibration!$B:$B,Calibration!$C:$C,0.25),0),IF(C44="R",IF(I44="NOT_CLEAR",XLOOKUP("near_add_step",Calibration!$B:$B,Calibration!$C:$C,0.25),0),0)))</f>
        <v>0</v>
      </c>
      <c r="AT44" s="28">
        <f t="array" ref="AT44">IF($I44="","",IF(C44="Q",IF(OR(I44="NOT_READABLE",I44="BLURRY"),XLOOKUP("near_add_step",Calibration!$B:$B,Calibration!$C:$C,0.25),0),IF(C44="R",IF(I44="NOT_CLEAR",XLOOKUP("near_add_step",Calibration!$B:$B,Calibration!$C:$C,0.25),0),0)))</f>
        <v>0</v>
      </c>
      <c r="AU44" s="28" t="str">
        <f t="array" ref="AU44">IF($I44="","",IF(G44="SNELLEN_FEET",IF(I44="READABLE",IFERROR(XLOOKUP(XLOOKUP(R44,Chart_Scale_Distance!B:B,Chart_Scale_Distance!A:A)+1,Chart_Scale_Distance!A:A,Chart_Scale_Distance!B:B),R44),R44),R44))</f>
        <v>20_20_20</v>
      </c>
      <c r="AV44" s="28">
        <f t="array" ref="AV44">IF($I43="","",IFERROR(XLOOKUP(R44,Chart_Scale_Distance!$B:$B,Chart_Scale_Distance!$A:$A,""),""))</f>
        <v>6</v>
      </c>
      <c r="AW44" s="28">
        <f t="array" ref="AW44">IF($I43="","",IFERROR(XLOOKUP(AA44,Chart_Scale_Distance!$B:$B,Chart_Scale_Distance!$A:$A,""),""))</f>
        <v>6</v>
      </c>
      <c r="AX44" s="28">
        <f t="shared" si="14"/>
        <v>0</v>
      </c>
      <c r="AY44" s="28">
        <f t="shared" si="15"/>
        <v>2</v>
      </c>
      <c r="AZ44" s="28" t="str">
        <f t="shared" si="16"/>
        <v/>
      </c>
      <c r="BA44" s="28">
        <f t="shared" si="17"/>
        <v>0</v>
      </c>
      <c r="BB44" s="28">
        <f t="shared" si="18"/>
        <v>0</v>
      </c>
      <c r="BC44" s="28" t="str">
        <f t="array" ref="BC44">IF($I44="","",LET(
conf,AI44,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duoMax,XLOOKUP($B44,Derived_Variables!$A:$A,Derived_Variables!$AI:$AI,4),
axisTol,XLOOKUP($B44,Derived_Variables!$A:$A,Derived_Variables!$W:$W,1),
maxStart,XLOOKUP($B44,Derived_Variables!$A:$A,Derived_Variables!$U:$U,1.25),
maxAR,XLOOKUP($B44,Derived_Variables!$A:$A,Derived_Variables!$V:$V,3),
anom,XLOOKUP($B44,Derived_Variables!$A:$A,Derived_Variables!$Z:$Z,FALSE),
reStart,XLOOKUP($B44,Derived_Variables!$A:$A,Derived_Variables!$K:$K,0),
leStart,XLOOKUP($B44,Derived_Variables!$A:$A,Derived_Variables!$N:$N,0),
reAR,XLOOKUP($B44,AR_Input!$A:$A,AR_Input!$B:$B,reStart),
leAR,XLOOKUP($B44,AR_Input!$A:$A,AR_Input!$E:$E,leStart),
reEsc,AND(anom,OR(ABS((S44+AM44)-reStart)&gt;maxStart,ABS((S44+AM44)-reAR)&gt;maxAR)),
leEsc,AND(anom,OR(ABS((V44+AP44)-leStart)&gt;maxStart,ABS((V44+AP44)-leAR)&gt;maxAR)),
phaseMax,IFS(
 AK44="Fast",
   IFS(
     OR(C44="B",C44="D"),XLOOKUP("timeout_coarse_fast",Calibration!$B:$B,Calibration!$C:$C,24),
     OR(C44="E",C44="F",C44="H",C44="I"),XLOOKUP("timeout_jcc_fast",Calibration!$B:$B,Calibration!$C:$C,10),
     OR(C44="G",C44="J"),XLOOKUP("timeout_duochrome_fast",Calibration!$B:$B,Calibration!$C:$C,8),
     C44="K",XLOOKUP("timeout_bino_fast",Calibration!$B:$B,Calibration!$C:$C,10),
     OR(C44="P",C44="Q",C44="R"),XLOOKUP("timeout_near_fast",Calibration!$B:$B,Calibration!$C:$C,16),
     TRUE,XLOOKUP("timeout_coarse_fast",Calibration!$B:$B,Calibration!$C:$C,24)
   ),
 AK44="Normal",
   IFS(
     OR(C44="B",C44="D"),XLOOKUP("timeout_coarse_normal",Calibration!$B:$B,Calibration!$C:$C,36),
     OR(C44="E",C44="F",C44="H",C44="I"),XLOOKUP("timeout_jcc_normal",Calibration!$B:$B,Calibration!$C:$C,14),
     OR(C44="G",C44="J"),XLOOKUP("timeout_duochrome_normal",Calibration!$B:$B,Calibration!$C:$C,10),
     C44="K",XLOOKUP("timeout_bino_normal",Calibration!$B:$B,Calibration!$C:$C,14),
     OR(C44="P",C44="Q",C44="R"),XLOOKUP("timeout_near_normal",Calibration!$B:$B,Calibration!$C:$C,22),
     TRUE,XLOOKUP("timeout_coarse_normal",Calibration!$B:$B,Calibration!$C:$C,36)
   ),
 TRUE,
   IFS(
     OR(C44="B",C44="D"),XLOOKUP("timeout_coarse_slow",Calibration!$B:$B,Calibration!$C:$C,48),
     OR(C44="E",C44="F",C44="H",C44="I"),XLOOKUP("timeout_jcc_slow",Calibration!$B:$B,Calibration!$C:$C,18),
     OR(C44="G",C44="J"),XLOOKUP("timeout_duochrome_slow",Calibration!$B:$B,Calibration!$C:$C,12),
     C44="K",XLOOKUP("timeout_bino_slow",Calibration!$B:$B,Calibration!$C:$C,18),
     OR(C44="P",C44="Q",C44="R"),XLOOKUP("timeout_near_slow",Calibration!$B:$B,Calibration!$C:$C,28),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AJ44=TRUE,"ESCALATE",
C44="A",
IF(OR(I44="NOT_READABLE",I44="BLURRY",AND(R44="20_20_20",I44="READABLE")),"B","A"),
C44="B",
IF(reEsc,"ESCALATE",IF(AY44&gt;=phaseMax,"ESCALATE",IF(AND(AV44&gt;=AW44,I44="READABLE"),"E","B"))),
C44="E",
IF(AY44&gt;=phaseMax,"ESCALATE",IF(OR(I44="SAME",I44="CANT_TELL",AD44&lt;axisTol),"F","E")),
C44="F",
IF(AY44&gt;=phaseMax,"ESCALATE",IF(AX44&gt;=powerSameN,"G","F")),
C44="G",
IF(AY44&gt;=phaseMax,"ESCALATE",IF(OR(AX44&gt;=duoEqualN,BB44&gt;=duoMax),"D","G")),
C44="D",
IF(leEsc,"ESCALATE",IF(AY44&gt;=phaseMax,"ESCALATE",IF(AND(AV44&gt;=AW44,I44="READABLE"),"H","D"))),
C44="H",
IF(AY44&gt;=phaseMax,"ESCALATE",IF(OR(I44="SAME",I44="CANT_TELL",AD44&lt;axisTol),"I","H")),
C44="I",
IF(AY44&gt;=phaseMax,"ESCALATE",IF(AX44&gt;=powerSameN,"J","I")),
C44="J",
IF(AY44&gt;=phaseMax,"ESCALATE",IF(OR(AX44&gt;=duoEqualN,BB44&gt;=duoMax),"K","J")),
C44="K",
IF(AY44&gt;=phaseMax,"ESCALATE",IF(AX44&gt;=binoSameN,IF(XLOOKUP($B44,Derived_Variables!$A:$A,Derived_Variables!$AJ:$AJ,FALSE)=TRUE,"P","END"),"K")),
C44="P",
IF(AY44&gt;=phaseMax,"ESCALATE",IF(OR(I44="READABLE",I44="SAME"),"Q","P")),
C44="Q",
IF(AY44&gt;=phaseMax,"ESCALATE",IF(OR(I44="READABLE",I44="SAME"),"R","Q")),
C44="R",
IF(AY44&gt;=phaseMax,"ESCALATE",IF(OR(I44=nearTarget,I44="SAME"),"END","R")),
TRUE,"END"
)))</f>
        <v>I</v>
      </c>
      <c r="BD44" s="28" t="b">
        <f t="shared" si="19"/>
        <v>1</v>
      </c>
    </row>
    <row r="45" ht="15.75" customHeight="1">
      <c r="A45" s="28">
        <f t="shared" si="3"/>
        <v>44</v>
      </c>
      <c r="B45" s="28">
        <f t="shared" si="4"/>
        <v>6</v>
      </c>
      <c r="C45" s="28" t="str">
        <f t="shared" si="5"/>
        <v>I</v>
      </c>
      <c r="D45" s="28" t="str">
        <f t="array" ref="D45">IF($I44="","",XLOOKUP(C45,FSM_State_Map!A:A,FSM_State_Map!B:B,""))</f>
        <v>JCC Power LE</v>
      </c>
      <c r="E45" s="28" t="str">
        <f t="array" ref="E45">IF($I44="","",XLOOKUP(C45,FSM_State_Map!A:A,FSM_State_Map!C:C,""))</f>
        <v>JCC_POWER</v>
      </c>
      <c r="F45" s="28" t="str">
        <f t="array" ref="F45">IF($I44="","",XLOOKUP(E45,Phase_UI_Map!A:A,Phase_UI_Map!B:B,""))</f>
        <v>JCC_POWER</v>
      </c>
      <c r="G45" s="28" t="str">
        <f t="array" ref="G45">IF($I44="","",XLOOKUP(E45,Phase_UI_Map!A:A,Phase_UI_Map!C:C,""))</f>
        <v>DOT_CHART_JCC</v>
      </c>
      <c r="H45" s="28" t="str">
        <f t="array" ref="H45">IF($I44="","",XLOOKUP(E45,Phase_UI_Map!A:A,Phase_UI_Map!D:D,""))</f>
        <v>COMPARE_1_2</v>
      </c>
      <c r="I45" s="29" t="s">
        <v>221</v>
      </c>
      <c r="J45" s="28" t="str">
        <f>IFERROR(__xludf.DUMMYFUNCTION("IF($I44="""","""",IFERROR(INDEX(FILTER(Response_Lists!$B:$B,Response_Lists!$A:$A=$H45),1),""""))"),"BETTER_1")</f>
        <v>BETTER_1</v>
      </c>
      <c r="K45" s="28" t="str">
        <f>IFERROR(__xludf.DUMMYFUNCTION("IF($I44="""","""",IFERROR(INDEX(FILTER(Response_Lists!$B:$B,Response_Lists!$A:$A=$H45),2),""""))"),"BETTER_2")</f>
        <v>BETTER_2</v>
      </c>
      <c r="L45" s="28" t="str">
        <f>IFERROR(__xludf.DUMMYFUNCTION("IF($I44="""","""",IFERROR(INDEX(FILTER(Response_Lists!$B:$B,Response_Lists!$A:$A=$H45),3),""""))"),"SAME")</f>
        <v>SAME</v>
      </c>
      <c r="M45" s="28" t="str">
        <f>IFERROR(__xludf.DUMMYFUNCTION("IF($I44="""","""",IFERROR(INDEX(FILTER(Response_Lists!$B:$B,Response_Lists!$A:$A=$H45),4),""""))"),"CANT_TELL")</f>
        <v>CANT_TELL</v>
      </c>
      <c r="N45" s="28" t="str">
        <f>IFERROR(__xludf.DUMMYFUNCTION("IF($I44="""","""",IFERROR(INDEX(FILTER(Response_Lists!$B:$B,Response_Lists!$A:$A=$H45),5),""""))"),"")</f>
        <v/>
      </c>
      <c r="O45" s="28" t="str">
        <f>IFERROR(__xludf.DUMMYFUNCTION("IF($I44="""","""",IFERROR(INDEX(FILTER(Response_Lists!$B:$B,Response_Lists!$A:$A=$H45),6),""""))"),"")</f>
        <v/>
      </c>
      <c r="P45" s="28" t="str">
        <f t="shared" si="6"/>
        <v>Which is clearer: 1 or 2?</v>
      </c>
      <c r="Q45" s="28" t="str">
        <f t="array" ref="Q45">IF($I44="","",XLOOKUP(C45,FSM_State_Map!A:A,FSM_State_Map!D:D,""))</f>
        <v>LE</v>
      </c>
      <c r="R45" s="28" t="str">
        <f t="shared" si="7"/>
        <v>20_20_20</v>
      </c>
      <c r="S45" s="28">
        <f t="array" ref="S45">IF($I44="","",
IF(
  AND(C45="B",C44&lt;&gt;"B"),
  XLOOKUP($B45,Derived_Variables!$A:$A,Derived_Variables!$K:$K,0)
  + XLOOKUP($B45,Derived_Variables!$A:$A,Derived_Variables!$AE:$AE,0),
  S44+AM44
))</f>
        <v>-1.25</v>
      </c>
      <c r="T45" s="28">
        <f t="shared" ref="T45:U45" si="100">IF($I44="","",T44+AN44)</f>
        <v>-0.25</v>
      </c>
      <c r="U45" s="28">
        <f t="shared" si="100"/>
        <v>2</v>
      </c>
      <c r="V45" s="28">
        <f t="array" ref="V45">IF($I44="","",
IF(
  AND(C45="D",C44&lt;&gt;"D"),
  XLOOKUP($B45,Derived_Variables!$A:$A,Derived_Variables!$N:$N,0)
  + XLOOKUP($B45,Derived_Variables!$A:$A,Derived_Variables!$AE:$AE,0),
  V44+AP44
))</f>
        <v>-1.25</v>
      </c>
      <c r="W45" s="28">
        <f t="shared" ref="W45:X45" si="101">IF($I44="","",W44+AQ44)</f>
        <v>-0.5</v>
      </c>
      <c r="X45" s="28">
        <f t="shared" si="101"/>
        <v>50</v>
      </c>
      <c r="Y45" s="28">
        <f t="array" ref="Y45">IF($I44="","",IF(AND(C45="P",C44&lt;&gt;"P"),IFERROR(XLOOKUP($B45,Lenso_Input!$A:$A,Lenso_Input!$E:$E,0),0),Y44+AS44))</f>
        <v>0</v>
      </c>
      <c r="Z45" s="28">
        <f t="array" ref="Z45">IF($I44="","",IF(AND(C45="Q",C44&lt;&gt;"Q"),IFERROR(XLOOKUP($B45,Lenso_Input!$A:$A,Lenso_Input!$I:$I,0),0),Z44+AT44))</f>
        <v>0</v>
      </c>
      <c r="AA45" s="28" t="str">
        <f t="array" ref="AA45">IF($I44="","",IF(XLOOKUP($B45,Derived_Variables!$A:$A,Derived_Variables!$R:$R,"6/6_target")="6/6_target","20_20_20","40_30_25"))</f>
        <v>20_20_20</v>
      </c>
      <c r="AB45" s="28">
        <f t="array" ref="AB45">IF($I44="","",XLOOKUP(LOWER(XLOOKUP($B45,Derived_Variables!$A:$A,Derived_Variables!$T:$T,"Standard"))&amp;"_sph_step",Calibration!$B:$B,Calibration!$C:$C,0.25))</f>
        <v>0.25</v>
      </c>
      <c r="AC45" s="28">
        <f t="array" ref="AC45">IF($I44="","",XLOOKUP(LOWER(XLOOKUP($B45,Derived_Variables!$A:$A,Derived_Variables!$T:$T,"Standard"))&amp;"_cyl_step",Calibration!$B:$B,Calibration!$C:$C,0.25))</f>
        <v>0.25</v>
      </c>
      <c r="AD45" s="28">
        <f t="array" ref="AD45">IF($I44="","",IF(OR(C45="E",C45="H"),LET(startStep,XLOOKUP("axis_start_step",Calibration!$B:$B,Calibration!$C:$C,5),step1,XLOOKUP("axis_reversal_step_1",Calibration!$B:$B,Calibration!$C:$C,3),step2,XLOOKUP("axis_reversal_step_2",Calibration!$B:$B,Calibration!$C:$C,1),IF(OR(C44&lt;&gt;C45,AZ45="",AZ45="SAME",AZ45="CANT_TELL",I45="",I45="SAME",I45="CANT_TELL"),startStep,IF(OR(AND(AZ45="BETTER_1",I45="BETTER_2"),AND(AZ45="BETTER_2",I45="BETTER_1")),IF(AD44&gt;step1,step1,step2),AD44))),0))</f>
        <v>0</v>
      </c>
      <c r="AE45" s="28" t="str">
        <f t="array" ref="AE45">IF($I44="","",XLOOKUP($B45,Derived_Variables!$A:$A,Derived_Variables!$AD:$AD,"No_Fog"))</f>
        <v>Strong_Fog</v>
      </c>
      <c r="AF45" s="28">
        <f t="array" ref="AF45">IF($I44="","",XLOOKUP($B45,Derived_Variables!$A:$A,Derived_Variables!$AE:$AE,0))</f>
        <v>1</v>
      </c>
      <c r="AG45" s="28" t="str">
        <f t="array" ref="AG45">IF($I44="","",XLOOKUP($B45,Derived_Variables!$A:$A,Derived_Variables!$AF:$AF,""))</f>
        <v>StepDown_0.25</v>
      </c>
      <c r="AH45" s="28" t="str">
        <f t="array" ref="AH45">IF($I44="","",XLOOKUP($B45,Derived_Variables!$A:$A,Derived_Variables!$AG:$AG,""))</f>
        <v>Low</v>
      </c>
      <c r="AI45" s="28" t="str">
        <f t="array" ref="AI45">IF($I44="","",XLOOKUP($B45,Derived_Variables!$A:$A,Derived_Variables!$AC:$AC,"Medium"))</f>
        <v>Low</v>
      </c>
      <c r="AJ45" s="28" t="b">
        <f t="array" ref="AJ45">IF($I44="","",XLOOKUP($B45,Derived_Variables!$A:$A,Derived_Variables!$Y:$Y,FALSE))</f>
        <v>0</v>
      </c>
      <c r="AK45" s="28" t="str">
        <f t="array" ref="AK45">IF($I44="","",XLOOKUP($B45,Derived_Variables!$A:$A,Derived_Variables!$AA:$AA,"Normal"))</f>
        <v>Slow</v>
      </c>
      <c r="AL45" s="28" t="str">
        <f t="array" ref="AL45">IF($I44="","",XLOOKUP($B45,Derived_Variables!$A:$A,Derived_Variables!$AB:$AB,"Normal"))</f>
        <v>Relaxed</v>
      </c>
      <c r="AM45" s="28">
        <f t="array" ref="AM45">IF($I45="","",IFS(C45="B",IF(OR(I45="NOT_READABLE",I45="BLURRY"),-AB45,0),C45="G",IFS(I45="RED_CLEARER",XLOOKUP("duochrome_red_step",Calibration!$B:$B,Calibration!$C:$C,-0.25),I45="GREEN_CLEARER",XLOOKUP("duochrome_green_step",Calibration!$B:$B,Calibration!$C:$C,0.25),I45="EQUAL",IF(XLOOKUP($B45,Derived_Variables!$A:$A,Derived_Variables!$S:$S,"Neutral")="Undercorrect",XLOOKUP("undercorrect_step",Calibration!$B:$B,Calibration!$C:$C,0.25),IF(XLOOKUP($B45,Derived_Variables!$A:$A,Derived_Variables!$S:$S,"Neutral")="Overcorrect",-XLOOKUP("overcorrect_step",Calibration!$B:$B,Calibration!$C:$C,0.25),0)),TRUE,0),C45="K",IF(I45="TOP_CLEARER",XLOOKUP("bino_balance_step",Calibration!$B:$B,Calibration!$C:$C,0.25),0),TRUE,0))</f>
        <v>0</v>
      </c>
      <c r="AN45" s="28">
        <f t="shared" si="10"/>
        <v>0</v>
      </c>
      <c r="AO45" s="28">
        <f t="shared" si="11"/>
        <v>0</v>
      </c>
      <c r="AP45" s="28">
        <f t="array" ref="AP45">IF($I45="","",IFS(C45="D",IF(OR(I45="NOT_READABLE",I45="BLURRY"),-AB45,0),C45="J",IFS(I45="RED_CLEARER",XLOOKUP("duochrome_red_step",Calibration!$B:$B,Calibration!$C:$C,-0.25),I45="GREEN_CLEARER",XLOOKUP("duochrome_green_step",Calibration!$B:$B,Calibration!$C:$C,0.25),I45="EQUAL",IF(XLOOKUP($B45,Derived_Variables!$A:$A,Derived_Variables!$S:$S,"Neutral")="Undercorrect",XLOOKUP("undercorrect_step",Calibration!$B:$B,Calibration!$C:$C,0.25),IF(XLOOKUP($B45,Derived_Variables!$A:$A,Derived_Variables!$S:$S,"Neutral")="Overcorrect",-XLOOKUP("overcorrect_step",Calibration!$B:$B,Calibration!$C:$C,0.25),0)),TRUE,0),C45="K",IF(I45="BOTTOM_CLEARER",XLOOKUP("bino_balance_step",Calibration!$B:$B,Calibration!$C:$C,0.25),0),TRUE,0))</f>
        <v>0</v>
      </c>
      <c r="AQ45" s="28">
        <f t="shared" si="12"/>
        <v>0.25</v>
      </c>
      <c r="AR45" s="28">
        <f t="shared" si="13"/>
        <v>0</v>
      </c>
      <c r="AS45" s="28">
        <f t="array" ref="AS45">IF($I45="","",IF(C45="P",IF(OR(I45="NOT_READABLE",I45="BLURRY"),XLOOKUP("near_add_step",Calibration!$B:$B,Calibration!$C:$C,0.25),0),IF(C45="R",IF(I45="NOT_CLEAR",XLOOKUP("near_add_step",Calibration!$B:$B,Calibration!$C:$C,0.25),0),0)))</f>
        <v>0</v>
      </c>
      <c r="AT45" s="28">
        <f t="array" ref="AT45">IF($I45="","",IF(C45="Q",IF(OR(I45="NOT_READABLE",I45="BLURRY"),XLOOKUP("near_add_step",Calibration!$B:$B,Calibration!$C:$C,0.25),0),IF(C45="R",IF(I45="NOT_CLEAR",XLOOKUP("near_add_step",Calibration!$B:$B,Calibration!$C:$C,0.25),0),0)))</f>
        <v>0</v>
      </c>
      <c r="AU45" s="28" t="str">
        <f t="array" ref="AU45">IF($I45="","",IF(G45="SNELLEN_FEET",IF(I45="READABLE",IFERROR(XLOOKUP(XLOOKUP(R45,Chart_Scale_Distance!B:B,Chart_Scale_Distance!A:A)+1,Chart_Scale_Distance!A:A,Chart_Scale_Distance!B:B),R45),R45),R45))</f>
        <v>20_20_20</v>
      </c>
      <c r="AV45" s="28">
        <f t="array" ref="AV45">IF($I44="","",IFERROR(XLOOKUP(R45,Chart_Scale_Distance!$B:$B,Chart_Scale_Distance!$A:$A,""),""))</f>
        <v>6</v>
      </c>
      <c r="AW45" s="28">
        <f t="array" ref="AW45">IF($I44="","",IFERROR(XLOOKUP(AA45,Chart_Scale_Distance!$B:$B,Chart_Scale_Distance!$A:$A,""),""))</f>
        <v>6</v>
      </c>
      <c r="AX45" s="28">
        <f t="shared" si="14"/>
        <v>0</v>
      </c>
      <c r="AY45" s="28">
        <f t="shared" si="15"/>
        <v>3</v>
      </c>
      <c r="AZ45" s="28" t="str">
        <f t="shared" si="16"/>
        <v/>
      </c>
      <c r="BA45" s="28">
        <f t="shared" si="17"/>
        <v>0</v>
      </c>
      <c r="BB45" s="28">
        <f t="shared" si="18"/>
        <v>0</v>
      </c>
      <c r="BC45" s="28" t="str">
        <f t="array" ref="BC45">IF($I45="","",LET(
conf,AI45,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duoMax,XLOOKUP($B45,Derived_Variables!$A:$A,Derived_Variables!$AI:$AI,4),
axisTol,XLOOKUP($B45,Derived_Variables!$A:$A,Derived_Variables!$W:$W,1),
maxStart,XLOOKUP($B45,Derived_Variables!$A:$A,Derived_Variables!$U:$U,1.25),
maxAR,XLOOKUP($B45,Derived_Variables!$A:$A,Derived_Variables!$V:$V,3),
anom,XLOOKUP($B45,Derived_Variables!$A:$A,Derived_Variables!$Z:$Z,FALSE),
reStart,XLOOKUP($B45,Derived_Variables!$A:$A,Derived_Variables!$K:$K,0),
leStart,XLOOKUP($B45,Derived_Variables!$A:$A,Derived_Variables!$N:$N,0),
reAR,XLOOKUP($B45,AR_Input!$A:$A,AR_Input!$B:$B,reStart),
leAR,XLOOKUP($B45,AR_Input!$A:$A,AR_Input!$E:$E,leStart),
reEsc,AND(anom,OR(ABS((S45+AM45)-reStart)&gt;maxStart,ABS((S45+AM45)-reAR)&gt;maxAR)),
leEsc,AND(anom,OR(ABS((V45+AP45)-leStart)&gt;maxStart,ABS((V45+AP45)-leAR)&gt;maxAR)),
phaseMax,IFS(
 AK45="Fast",
   IFS(
     OR(C45="B",C45="D"),XLOOKUP("timeout_coarse_fast",Calibration!$B:$B,Calibration!$C:$C,24),
     OR(C45="E",C45="F",C45="H",C45="I"),XLOOKUP("timeout_jcc_fast",Calibration!$B:$B,Calibration!$C:$C,10),
     OR(C45="G",C45="J"),XLOOKUP("timeout_duochrome_fast",Calibration!$B:$B,Calibration!$C:$C,8),
     C45="K",XLOOKUP("timeout_bino_fast",Calibration!$B:$B,Calibration!$C:$C,10),
     OR(C45="P",C45="Q",C45="R"),XLOOKUP("timeout_near_fast",Calibration!$B:$B,Calibration!$C:$C,16),
     TRUE,XLOOKUP("timeout_coarse_fast",Calibration!$B:$B,Calibration!$C:$C,24)
   ),
 AK45="Normal",
   IFS(
     OR(C45="B",C45="D"),XLOOKUP("timeout_coarse_normal",Calibration!$B:$B,Calibration!$C:$C,36),
     OR(C45="E",C45="F",C45="H",C45="I"),XLOOKUP("timeout_jcc_normal",Calibration!$B:$B,Calibration!$C:$C,14),
     OR(C45="G",C45="J"),XLOOKUP("timeout_duochrome_normal",Calibration!$B:$B,Calibration!$C:$C,10),
     C45="K",XLOOKUP("timeout_bino_normal",Calibration!$B:$B,Calibration!$C:$C,14),
     OR(C45="P",C45="Q",C45="R"),XLOOKUP("timeout_near_normal",Calibration!$B:$B,Calibration!$C:$C,22),
     TRUE,XLOOKUP("timeout_coarse_normal",Calibration!$B:$B,Calibration!$C:$C,36)
   ),
 TRUE,
   IFS(
     OR(C45="B",C45="D"),XLOOKUP("timeout_coarse_slow",Calibration!$B:$B,Calibration!$C:$C,48),
     OR(C45="E",C45="F",C45="H",C45="I"),XLOOKUP("timeout_jcc_slow",Calibration!$B:$B,Calibration!$C:$C,18),
     OR(C45="G",C45="J"),XLOOKUP("timeout_duochrome_slow",Calibration!$B:$B,Calibration!$C:$C,12),
     C45="K",XLOOKUP("timeout_bino_slow",Calibration!$B:$B,Calibration!$C:$C,18),
     OR(C45="P",C45="Q",C45="R"),XLOOKUP("timeout_near_slow",Calibration!$B:$B,Calibration!$C:$C,28),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AJ45=TRUE,"ESCALATE",
C45="A",
IF(OR(I45="NOT_READABLE",I45="BLURRY",AND(R45="20_20_20",I45="READABLE")),"B","A"),
C45="B",
IF(reEsc,"ESCALATE",IF(AY45&gt;=phaseMax,"ESCALATE",IF(AND(AV45&gt;=AW45,I45="READABLE"),"E","B"))),
C45="E",
IF(AY45&gt;=phaseMax,"ESCALATE",IF(OR(I45="SAME",I45="CANT_TELL",AD45&lt;axisTol),"F","E")),
C45="F",
IF(AY45&gt;=phaseMax,"ESCALATE",IF(AX45&gt;=powerSameN,"G","F")),
C45="G",
IF(AY45&gt;=phaseMax,"ESCALATE",IF(OR(AX45&gt;=duoEqualN,BB45&gt;=duoMax),"D","G")),
C45="D",
IF(leEsc,"ESCALATE",IF(AY45&gt;=phaseMax,"ESCALATE",IF(AND(AV45&gt;=AW45,I45="READABLE"),"H","D"))),
C45="H",
IF(AY45&gt;=phaseMax,"ESCALATE",IF(OR(I45="SAME",I45="CANT_TELL",AD45&lt;axisTol),"I","H")),
C45="I",
IF(AY45&gt;=phaseMax,"ESCALATE",IF(AX45&gt;=powerSameN,"J","I")),
C45="J",
IF(AY45&gt;=phaseMax,"ESCALATE",IF(OR(AX45&gt;=duoEqualN,BB45&gt;=duoMax),"K","J")),
C45="K",
IF(AY45&gt;=phaseMax,"ESCALATE",IF(AX45&gt;=binoSameN,IF(XLOOKUP($B45,Derived_Variables!$A:$A,Derived_Variables!$AJ:$AJ,FALSE)=TRUE,"P","END"),"K")),
C45="P",
IF(AY45&gt;=phaseMax,"ESCALATE",IF(OR(I45="READABLE",I45="SAME"),"Q","P")),
C45="Q",
IF(AY45&gt;=phaseMax,"ESCALATE",IF(OR(I45="READABLE",I45="SAME"),"R","Q")),
C45="R",
IF(AY45&gt;=phaseMax,"ESCALATE",IF(OR(I45=nearTarget,I45="SAME"),"END","R")),
TRUE,"END"
)))</f>
        <v>I</v>
      </c>
      <c r="BD45" s="28" t="b">
        <f t="shared" si="19"/>
        <v>1</v>
      </c>
    </row>
    <row r="46" ht="15.75" customHeight="1">
      <c r="A46" s="28">
        <f t="shared" si="3"/>
        <v>45</v>
      </c>
      <c r="B46" s="28">
        <f t="shared" si="4"/>
        <v>6</v>
      </c>
      <c r="C46" s="28" t="str">
        <f t="shared" si="5"/>
        <v>I</v>
      </c>
      <c r="D46" s="28" t="str">
        <f t="array" ref="D46">IF($I45="","",XLOOKUP(C46,FSM_State_Map!A:A,FSM_State_Map!B:B,""))</f>
        <v>JCC Power LE</v>
      </c>
      <c r="E46" s="28" t="str">
        <f t="array" ref="E46">IF($I45="","",XLOOKUP(C46,FSM_State_Map!A:A,FSM_State_Map!C:C,""))</f>
        <v>JCC_POWER</v>
      </c>
      <c r="F46" s="28" t="str">
        <f t="array" ref="F46">IF($I45="","",XLOOKUP(E46,Phase_UI_Map!A:A,Phase_UI_Map!B:B,""))</f>
        <v>JCC_POWER</v>
      </c>
      <c r="G46" s="28" t="str">
        <f t="array" ref="G46">IF($I45="","",XLOOKUP(E46,Phase_UI_Map!A:A,Phase_UI_Map!C:C,""))</f>
        <v>DOT_CHART_JCC</v>
      </c>
      <c r="H46" s="28" t="str">
        <f t="array" ref="H46">IF($I45="","",XLOOKUP(E46,Phase_UI_Map!A:A,Phase_UI_Map!D:D,""))</f>
        <v>COMPARE_1_2</v>
      </c>
      <c r="I46" s="29" t="s">
        <v>221</v>
      </c>
      <c r="J46" s="28" t="str">
        <f>IFERROR(__xludf.DUMMYFUNCTION("IF($I45="""","""",IFERROR(INDEX(FILTER(Response_Lists!$B:$B,Response_Lists!$A:$A=$H46),1),""""))"),"BETTER_1")</f>
        <v>BETTER_1</v>
      </c>
      <c r="K46" s="28" t="str">
        <f>IFERROR(__xludf.DUMMYFUNCTION("IF($I45="""","""",IFERROR(INDEX(FILTER(Response_Lists!$B:$B,Response_Lists!$A:$A=$H46),2),""""))"),"BETTER_2")</f>
        <v>BETTER_2</v>
      </c>
      <c r="L46" s="28" t="str">
        <f>IFERROR(__xludf.DUMMYFUNCTION("IF($I45="""","""",IFERROR(INDEX(FILTER(Response_Lists!$B:$B,Response_Lists!$A:$A=$H46),3),""""))"),"SAME")</f>
        <v>SAME</v>
      </c>
      <c r="M46" s="28" t="str">
        <f>IFERROR(__xludf.DUMMYFUNCTION("IF($I45="""","""",IFERROR(INDEX(FILTER(Response_Lists!$B:$B,Response_Lists!$A:$A=$H46),4),""""))"),"CANT_TELL")</f>
        <v>CANT_TELL</v>
      </c>
      <c r="N46" s="28" t="str">
        <f>IFERROR(__xludf.DUMMYFUNCTION("IF($I45="""","""",IFERROR(INDEX(FILTER(Response_Lists!$B:$B,Response_Lists!$A:$A=$H46),5),""""))"),"")</f>
        <v/>
      </c>
      <c r="O46" s="28" t="str">
        <f>IFERROR(__xludf.DUMMYFUNCTION("IF($I45="""","""",IFERROR(INDEX(FILTER(Response_Lists!$B:$B,Response_Lists!$A:$A=$H46),6),""""))"),"")</f>
        <v/>
      </c>
      <c r="P46" s="28" t="str">
        <f t="shared" si="6"/>
        <v>Which is clearer: 1 or 2?</v>
      </c>
      <c r="Q46" s="28" t="str">
        <f t="array" ref="Q46">IF($I45="","",XLOOKUP(C46,FSM_State_Map!A:A,FSM_State_Map!D:D,""))</f>
        <v>LE</v>
      </c>
      <c r="R46" s="28" t="str">
        <f t="shared" si="7"/>
        <v>20_20_20</v>
      </c>
      <c r="S46" s="28">
        <f t="array" ref="S46">IF($I45="","",
IF(
  AND(C46="B",C45&lt;&gt;"B"),
  XLOOKUP($B46,Derived_Variables!$A:$A,Derived_Variables!$K:$K,0)
  + XLOOKUP($B46,Derived_Variables!$A:$A,Derived_Variables!$AE:$AE,0),
  S45+AM45
))</f>
        <v>-1.25</v>
      </c>
      <c r="T46" s="28">
        <f t="shared" ref="T46:U46" si="102">IF($I45="","",T45+AN45)</f>
        <v>-0.25</v>
      </c>
      <c r="U46" s="28">
        <f t="shared" si="102"/>
        <v>2</v>
      </c>
      <c r="V46" s="28">
        <f t="array" ref="V46">IF($I45="","",
IF(
  AND(C46="D",C45&lt;&gt;"D"),
  XLOOKUP($B46,Derived_Variables!$A:$A,Derived_Variables!$N:$N,0)
  + XLOOKUP($B46,Derived_Variables!$A:$A,Derived_Variables!$AE:$AE,0),
  V45+AP45
))</f>
        <v>-1.25</v>
      </c>
      <c r="W46" s="28">
        <f t="shared" ref="W46:X46" si="103">IF($I45="","",W45+AQ45)</f>
        <v>-0.25</v>
      </c>
      <c r="X46" s="28">
        <f t="shared" si="103"/>
        <v>50</v>
      </c>
      <c r="Y46" s="28">
        <f t="array" ref="Y46">IF($I45="","",IF(AND(C46="P",C45&lt;&gt;"P"),IFERROR(XLOOKUP($B46,Lenso_Input!$A:$A,Lenso_Input!$E:$E,0),0),Y45+AS45))</f>
        <v>0</v>
      </c>
      <c r="Z46" s="28">
        <f t="array" ref="Z46">IF($I45="","",IF(AND(C46="Q",C45&lt;&gt;"Q"),IFERROR(XLOOKUP($B46,Lenso_Input!$A:$A,Lenso_Input!$I:$I,0),0),Z45+AT45))</f>
        <v>0</v>
      </c>
      <c r="AA46" s="28" t="str">
        <f t="array" ref="AA46">IF($I45="","",IF(XLOOKUP($B46,Derived_Variables!$A:$A,Derived_Variables!$R:$R,"6/6_target")="6/6_target","20_20_20","40_30_25"))</f>
        <v>20_20_20</v>
      </c>
      <c r="AB46" s="28">
        <f t="array" ref="AB46">IF($I45="","",XLOOKUP(LOWER(XLOOKUP($B46,Derived_Variables!$A:$A,Derived_Variables!$T:$T,"Standard"))&amp;"_sph_step",Calibration!$B:$B,Calibration!$C:$C,0.25))</f>
        <v>0.25</v>
      </c>
      <c r="AC46" s="28">
        <f t="array" ref="AC46">IF($I45="","",XLOOKUP(LOWER(XLOOKUP($B46,Derived_Variables!$A:$A,Derived_Variables!$T:$T,"Standard"))&amp;"_cyl_step",Calibration!$B:$B,Calibration!$C:$C,0.25))</f>
        <v>0.25</v>
      </c>
      <c r="AD46" s="28">
        <f t="array" ref="AD46">IF($I45="","",IF(OR(C46="E",C46="H"),LET(startStep,XLOOKUP("axis_start_step",Calibration!$B:$B,Calibration!$C:$C,5),step1,XLOOKUP("axis_reversal_step_1",Calibration!$B:$B,Calibration!$C:$C,3),step2,XLOOKUP("axis_reversal_step_2",Calibration!$B:$B,Calibration!$C:$C,1),IF(OR(C45&lt;&gt;C46,AZ46="",AZ46="SAME",AZ46="CANT_TELL",I46="",I46="SAME",I46="CANT_TELL"),startStep,IF(OR(AND(AZ46="BETTER_1",I46="BETTER_2"),AND(AZ46="BETTER_2",I46="BETTER_1")),IF(AD45&gt;step1,step1,step2),AD45))),0))</f>
        <v>0</v>
      </c>
      <c r="AE46" s="28" t="str">
        <f t="array" ref="AE46">IF($I45="","",XLOOKUP($B46,Derived_Variables!$A:$A,Derived_Variables!$AD:$AD,"No_Fog"))</f>
        <v>Strong_Fog</v>
      </c>
      <c r="AF46" s="28">
        <f t="array" ref="AF46">IF($I45="","",XLOOKUP($B46,Derived_Variables!$A:$A,Derived_Variables!$AE:$AE,0))</f>
        <v>1</v>
      </c>
      <c r="AG46" s="28" t="str">
        <f t="array" ref="AG46">IF($I45="","",XLOOKUP($B46,Derived_Variables!$A:$A,Derived_Variables!$AF:$AF,""))</f>
        <v>StepDown_0.25</v>
      </c>
      <c r="AH46" s="28" t="str">
        <f t="array" ref="AH46">IF($I45="","",XLOOKUP($B46,Derived_Variables!$A:$A,Derived_Variables!$AG:$AG,""))</f>
        <v>Low</v>
      </c>
      <c r="AI46" s="28" t="str">
        <f t="array" ref="AI46">IF($I45="","",XLOOKUP($B46,Derived_Variables!$A:$A,Derived_Variables!$AC:$AC,"Medium"))</f>
        <v>Low</v>
      </c>
      <c r="AJ46" s="28" t="b">
        <f t="array" ref="AJ46">IF($I45="","",XLOOKUP($B46,Derived_Variables!$A:$A,Derived_Variables!$Y:$Y,FALSE))</f>
        <v>0</v>
      </c>
      <c r="AK46" s="28" t="str">
        <f t="array" ref="AK46">IF($I45="","",XLOOKUP($B46,Derived_Variables!$A:$A,Derived_Variables!$AA:$AA,"Normal"))</f>
        <v>Slow</v>
      </c>
      <c r="AL46" s="28" t="str">
        <f t="array" ref="AL46">IF($I45="","",XLOOKUP($B46,Derived_Variables!$A:$A,Derived_Variables!$AB:$AB,"Normal"))</f>
        <v>Relaxed</v>
      </c>
      <c r="AM46" s="28">
        <f t="array" ref="AM46">IF($I46="","",IFS(C46="B",IF(OR(I46="NOT_READABLE",I46="BLURRY"),-AB46,0),C46="G",IFS(I46="RED_CLEARER",XLOOKUP("duochrome_red_step",Calibration!$B:$B,Calibration!$C:$C,-0.25),I46="GREEN_CLEARER",XLOOKUP("duochrome_green_step",Calibration!$B:$B,Calibration!$C:$C,0.25),I46="EQUAL",IF(XLOOKUP($B46,Derived_Variables!$A:$A,Derived_Variables!$S:$S,"Neutral")="Undercorrect",XLOOKUP("undercorrect_step",Calibration!$B:$B,Calibration!$C:$C,0.25),IF(XLOOKUP($B46,Derived_Variables!$A:$A,Derived_Variables!$S:$S,"Neutral")="Overcorrect",-XLOOKUP("overcorrect_step",Calibration!$B:$B,Calibration!$C:$C,0.25),0)),TRUE,0),C46="K",IF(I46="TOP_CLEARER",XLOOKUP("bino_balance_step",Calibration!$B:$B,Calibration!$C:$C,0.25),0),TRUE,0))</f>
        <v>0</v>
      </c>
      <c r="AN46" s="28">
        <f t="shared" si="10"/>
        <v>0</v>
      </c>
      <c r="AO46" s="28">
        <f t="shared" si="11"/>
        <v>0</v>
      </c>
      <c r="AP46" s="28">
        <f t="array" ref="AP46">IF($I46="","",IFS(C46="D",IF(OR(I46="NOT_READABLE",I46="BLURRY"),-AB46,0),C46="J",IFS(I46="RED_CLEARER",XLOOKUP("duochrome_red_step",Calibration!$B:$B,Calibration!$C:$C,-0.25),I46="GREEN_CLEARER",XLOOKUP("duochrome_green_step",Calibration!$B:$B,Calibration!$C:$C,0.25),I46="EQUAL",IF(XLOOKUP($B46,Derived_Variables!$A:$A,Derived_Variables!$S:$S,"Neutral")="Undercorrect",XLOOKUP("undercorrect_step",Calibration!$B:$B,Calibration!$C:$C,0.25),IF(XLOOKUP($B46,Derived_Variables!$A:$A,Derived_Variables!$S:$S,"Neutral")="Overcorrect",-XLOOKUP("overcorrect_step",Calibration!$B:$B,Calibration!$C:$C,0.25),0)),TRUE,0),C46="K",IF(I46="BOTTOM_CLEARER",XLOOKUP("bino_balance_step",Calibration!$B:$B,Calibration!$C:$C,0.25),0),TRUE,0))</f>
        <v>0</v>
      </c>
      <c r="AQ46" s="28">
        <f t="shared" si="12"/>
        <v>0.25</v>
      </c>
      <c r="AR46" s="28">
        <f t="shared" si="13"/>
        <v>0</v>
      </c>
      <c r="AS46" s="28">
        <f t="array" ref="AS46">IF($I46="","",IF(C46="P",IF(OR(I46="NOT_READABLE",I46="BLURRY"),XLOOKUP("near_add_step",Calibration!$B:$B,Calibration!$C:$C,0.25),0),IF(C46="R",IF(I46="NOT_CLEAR",XLOOKUP("near_add_step",Calibration!$B:$B,Calibration!$C:$C,0.25),0),0)))</f>
        <v>0</v>
      </c>
      <c r="AT46" s="28">
        <f t="array" ref="AT46">IF($I46="","",IF(C46="Q",IF(OR(I46="NOT_READABLE",I46="BLURRY"),XLOOKUP("near_add_step",Calibration!$B:$B,Calibration!$C:$C,0.25),0),IF(C46="R",IF(I46="NOT_CLEAR",XLOOKUP("near_add_step",Calibration!$B:$B,Calibration!$C:$C,0.25),0),0)))</f>
        <v>0</v>
      </c>
      <c r="AU46" s="28" t="str">
        <f t="array" ref="AU46">IF($I46="","",IF(G46="SNELLEN_FEET",IF(I46="READABLE",IFERROR(XLOOKUP(XLOOKUP(R46,Chart_Scale_Distance!B:B,Chart_Scale_Distance!A:A)+1,Chart_Scale_Distance!A:A,Chart_Scale_Distance!B:B),R46),R46),R46))</f>
        <v>20_20_20</v>
      </c>
      <c r="AV46" s="28">
        <f t="array" ref="AV46">IF($I45="","",IFERROR(XLOOKUP(R46,Chart_Scale_Distance!$B:$B,Chart_Scale_Distance!$A:$A,""),""))</f>
        <v>6</v>
      </c>
      <c r="AW46" s="28">
        <f t="array" ref="AW46">IF($I45="","",IFERROR(XLOOKUP(AA46,Chart_Scale_Distance!$B:$B,Chart_Scale_Distance!$A:$A,""),""))</f>
        <v>6</v>
      </c>
      <c r="AX46" s="28">
        <f t="shared" si="14"/>
        <v>0</v>
      </c>
      <c r="AY46" s="28">
        <f t="shared" si="15"/>
        <v>4</v>
      </c>
      <c r="AZ46" s="28" t="str">
        <f t="shared" si="16"/>
        <v/>
      </c>
      <c r="BA46" s="28">
        <f t="shared" si="17"/>
        <v>0</v>
      </c>
      <c r="BB46" s="28">
        <f t="shared" si="18"/>
        <v>0</v>
      </c>
      <c r="BC46" s="28" t="str">
        <f t="array" ref="BC46">IF($I46="","",LET(
conf,AI46,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duoMax,XLOOKUP($B46,Derived_Variables!$A:$A,Derived_Variables!$AI:$AI,4),
axisTol,XLOOKUP($B46,Derived_Variables!$A:$A,Derived_Variables!$W:$W,1),
maxStart,XLOOKUP($B46,Derived_Variables!$A:$A,Derived_Variables!$U:$U,1.25),
maxAR,XLOOKUP($B46,Derived_Variables!$A:$A,Derived_Variables!$V:$V,3),
anom,XLOOKUP($B46,Derived_Variables!$A:$A,Derived_Variables!$Z:$Z,FALSE),
reStart,XLOOKUP($B46,Derived_Variables!$A:$A,Derived_Variables!$K:$K,0),
leStart,XLOOKUP($B46,Derived_Variables!$A:$A,Derived_Variables!$N:$N,0),
reAR,XLOOKUP($B46,AR_Input!$A:$A,AR_Input!$B:$B,reStart),
leAR,XLOOKUP($B46,AR_Input!$A:$A,AR_Input!$E:$E,leStart),
reEsc,AND(anom,OR(ABS((S46+AM46)-reStart)&gt;maxStart,ABS((S46+AM46)-reAR)&gt;maxAR)),
leEsc,AND(anom,OR(ABS((V46+AP46)-leStart)&gt;maxStart,ABS((V46+AP46)-leAR)&gt;maxAR)),
phaseMax,IFS(
 AK46="Fast",
   IFS(
     OR(C46="B",C46="D"),XLOOKUP("timeout_coarse_fast",Calibration!$B:$B,Calibration!$C:$C,24),
     OR(C46="E",C46="F",C46="H",C46="I"),XLOOKUP("timeout_jcc_fast",Calibration!$B:$B,Calibration!$C:$C,10),
     OR(C46="G",C46="J"),XLOOKUP("timeout_duochrome_fast",Calibration!$B:$B,Calibration!$C:$C,8),
     C46="K",XLOOKUP("timeout_bino_fast",Calibration!$B:$B,Calibration!$C:$C,10),
     OR(C46="P",C46="Q",C46="R"),XLOOKUP("timeout_near_fast",Calibration!$B:$B,Calibration!$C:$C,16),
     TRUE,XLOOKUP("timeout_coarse_fast",Calibration!$B:$B,Calibration!$C:$C,24)
   ),
 AK46="Normal",
   IFS(
     OR(C46="B",C46="D"),XLOOKUP("timeout_coarse_normal",Calibration!$B:$B,Calibration!$C:$C,36),
     OR(C46="E",C46="F",C46="H",C46="I"),XLOOKUP("timeout_jcc_normal",Calibration!$B:$B,Calibration!$C:$C,14),
     OR(C46="G",C46="J"),XLOOKUP("timeout_duochrome_normal",Calibration!$B:$B,Calibration!$C:$C,10),
     C46="K",XLOOKUP("timeout_bino_normal",Calibration!$B:$B,Calibration!$C:$C,14),
     OR(C46="P",C46="Q",C46="R"),XLOOKUP("timeout_near_normal",Calibration!$B:$B,Calibration!$C:$C,22),
     TRUE,XLOOKUP("timeout_coarse_normal",Calibration!$B:$B,Calibration!$C:$C,36)
   ),
 TRUE,
   IFS(
     OR(C46="B",C46="D"),XLOOKUP("timeout_coarse_slow",Calibration!$B:$B,Calibration!$C:$C,48),
     OR(C46="E",C46="F",C46="H",C46="I"),XLOOKUP("timeout_jcc_slow",Calibration!$B:$B,Calibration!$C:$C,18),
     OR(C46="G",C46="J"),XLOOKUP("timeout_duochrome_slow",Calibration!$B:$B,Calibration!$C:$C,12),
     C46="K",XLOOKUP("timeout_bino_slow",Calibration!$B:$B,Calibration!$C:$C,18),
     OR(C46="P",C46="Q",C46="R"),XLOOKUP("timeout_near_slow",Calibration!$B:$B,Calibration!$C:$C,28),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AJ46=TRUE,"ESCALATE",
C46="A",
IF(OR(I46="NOT_READABLE",I46="BLURRY",AND(R46="20_20_20",I46="READABLE")),"B","A"),
C46="B",
IF(reEsc,"ESCALATE",IF(AY46&gt;=phaseMax,"ESCALATE",IF(AND(AV46&gt;=AW46,I46="READABLE"),"E","B"))),
C46="E",
IF(AY46&gt;=phaseMax,"ESCALATE",IF(OR(I46="SAME",I46="CANT_TELL",AD46&lt;axisTol),"F","E")),
C46="F",
IF(AY46&gt;=phaseMax,"ESCALATE",IF(AX46&gt;=powerSameN,"G","F")),
C46="G",
IF(AY46&gt;=phaseMax,"ESCALATE",IF(OR(AX46&gt;=duoEqualN,BB46&gt;=duoMax),"D","G")),
C46="D",
IF(leEsc,"ESCALATE",IF(AY46&gt;=phaseMax,"ESCALATE",IF(AND(AV46&gt;=AW46,I46="READABLE"),"H","D"))),
C46="H",
IF(AY46&gt;=phaseMax,"ESCALATE",IF(OR(I46="SAME",I46="CANT_TELL",AD46&lt;axisTol),"I","H")),
C46="I",
IF(AY46&gt;=phaseMax,"ESCALATE",IF(AX46&gt;=powerSameN,"J","I")),
C46="J",
IF(AY46&gt;=phaseMax,"ESCALATE",IF(OR(AX46&gt;=duoEqualN,BB46&gt;=duoMax),"K","J")),
C46="K",
IF(AY46&gt;=phaseMax,"ESCALATE",IF(AX46&gt;=binoSameN,IF(XLOOKUP($B46,Derived_Variables!$A:$A,Derived_Variables!$AJ:$AJ,FALSE)=TRUE,"P","END"),"K")),
C46="P",
IF(AY46&gt;=phaseMax,"ESCALATE",IF(OR(I46="READABLE",I46="SAME"),"Q","P")),
C46="Q",
IF(AY46&gt;=phaseMax,"ESCALATE",IF(OR(I46="READABLE",I46="SAME"),"R","Q")),
C46="R",
IF(AY46&gt;=phaseMax,"ESCALATE",IF(OR(I46=nearTarget,I46="SAME"),"END","R")),
TRUE,"END"
)))</f>
        <v>I</v>
      </c>
      <c r="BD46" s="28" t="b">
        <f t="shared" si="19"/>
        <v>1</v>
      </c>
    </row>
    <row r="47" ht="15.75" customHeight="1">
      <c r="A47" s="28">
        <f t="shared" si="3"/>
        <v>46</v>
      </c>
      <c r="B47" s="28">
        <f t="shared" si="4"/>
        <v>6</v>
      </c>
      <c r="C47" s="28" t="str">
        <f t="shared" si="5"/>
        <v>I</v>
      </c>
      <c r="D47" s="28" t="str">
        <f t="array" ref="D47">IF($I46="","",XLOOKUP(C47,FSM_State_Map!A:A,FSM_State_Map!B:B,""))</f>
        <v>JCC Power LE</v>
      </c>
      <c r="E47" s="28" t="str">
        <f t="array" ref="E47">IF($I46="","",XLOOKUP(C47,FSM_State_Map!A:A,FSM_State_Map!C:C,""))</f>
        <v>JCC_POWER</v>
      </c>
      <c r="F47" s="28" t="str">
        <f t="array" ref="F47">IF($I46="","",XLOOKUP(E47,Phase_UI_Map!A:A,Phase_UI_Map!B:B,""))</f>
        <v>JCC_POWER</v>
      </c>
      <c r="G47" s="28" t="str">
        <f t="array" ref="G47">IF($I46="","",XLOOKUP(E47,Phase_UI_Map!A:A,Phase_UI_Map!C:C,""))</f>
        <v>DOT_CHART_JCC</v>
      </c>
      <c r="H47" s="28" t="str">
        <f t="array" ref="H47">IF($I46="","",XLOOKUP(E47,Phase_UI_Map!A:A,Phase_UI_Map!D:D,""))</f>
        <v>COMPARE_1_2</v>
      </c>
      <c r="I47" s="29" t="s">
        <v>220</v>
      </c>
      <c r="J47" s="28" t="str">
        <f>IFERROR(__xludf.DUMMYFUNCTION("IF($I46="""","""",IFERROR(INDEX(FILTER(Response_Lists!$B:$B,Response_Lists!$A:$A=$H47),1),""""))"),"BETTER_1")</f>
        <v>BETTER_1</v>
      </c>
      <c r="K47" s="28" t="str">
        <f>IFERROR(__xludf.DUMMYFUNCTION("IF($I46="""","""",IFERROR(INDEX(FILTER(Response_Lists!$B:$B,Response_Lists!$A:$A=$H47),2),""""))"),"BETTER_2")</f>
        <v>BETTER_2</v>
      </c>
      <c r="L47" s="28" t="str">
        <f>IFERROR(__xludf.DUMMYFUNCTION("IF($I46="""","""",IFERROR(INDEX(FILTER(Response_Lists!$B:$B,Response_Lists!$A:$A=$H47),3),""""))"),"SAME")</f>
        <v>SAME</v>
      </c>
      <c r="M47" s="28" t="str">
        <f>IFERROR(__xludf.DUMMYFUNCTION("IF($I46="""","""",IFERROR(INDEX(FILTER(Response_Lists!$B:$B,Response_Lists!$A:$A=$H47),4),""""))"),"CANT_TELL")</f>
        <v>CANT_TELL</v>
      </c>
      <c r="N47" s="28" t="str">
        <f>IFERROR(__xludf.DUMMYFUNCTION("IF($I46="""","""",IFERROR(INDEX(FILTER(Response_Lists!$B:$B,Response_Lists!$A:$A=$H47),5),""""))"),"")</f>
        <v/>
      </c>
      <c r="O47" s="28" t="str">
        <f>IFERROR(__xludf.DUMMYFUNCTION("IF($I46="""","""",IFERROR(INDEX(FILTER(Response_Lists!$B:$B,Response_Lists!$A:$A=$H47),6),""""))"),"")</f>
        <v/>
      </c>
      <c r="P47" s="28" t="str">
        <f t="shared" si="6"/>
        <v>Which is clearer: 1 or 2?</v>
      </c>
      <c r="Q47" s="28" t="str">
        <f t="array" ref="Q47">IF($I46="","",XLOOKUP(C47,FSM_State_Map!A:A,FSM_State_Map!D:D,""))</f>
        <v>LE</v>
      </c>
      <c r="R47" s="28" t="str">
        <f t="shared" si="7"/>
        <v>20_20_20</v>
      </c>
      <c r="S47" s="28">
        <f t="array" ref="S47">IF($I46="","",
IF(
  AND(C47="B",C46&lt;&gt;"B"),
  XLOOKUP($B47,Derived_Variables!$A:$A,Derived_Variables!$K:$K,0)
  + XLOOKUP($B47,Derived_Variables!$A:$A,Derived_Variables!$AE:$AE,0),
  S46+AM46
))</f>
        <v>-1.25</v>
      </c>
      <c r="T47" s="28">
        <f t="shared" ref="T47:U47" si="104">IF($I46="","",T46+AN46)</f>
        <v>-0.25</v>
      </c>
      <c r="U47" s="28">
        <f t="shared" si="104"/>
        <v>2</v>
      </c>
      <c r="V47" s="28">
        <f t="array" ref="V47">IF($I46="","",
IF(
  AND(C47="D",C46&lt;&gt;"D"),
  XLOOKUP($B47,Derived_Variables!$A:$A,Derived_Variables!$N:$N,0)
  + XLOOKUP($B47,Derived_Variables!$A:$A,Derived_Variables!$AE:$AE,0),
  V46+AP46
))</f>
        <v>-1.25</v>
      </c>
      <c r="W47" s="28">
        <f t="shared" ref="W47:X47" si="105">IF($I46="","",W46+AQ46)</f>
        <v>0</v>
      </c>
      <c r="X47" s="28">
        <f t="shared" si="105"/>
        <v>50</v>
      </c>
      <c r="Y47" s="28">
        <f t="array" ref="Y47">IF($I46="","",IF(AND(C47="P",C46&lt;&gt;"P"),IFERROR(XLOOKUP($B47,Lenso_Input!$A:$A,Lenso_Input!$E:$E,0),0),Y46+AS46))</f>
        <v>0</v>
      </c>
      <c r="Z47" s="28">
        <f t="array" ref="Z47">IF($I46="","",IF(AND(C47="Q",C46&lt;&gt;"Q"),IFERROR(XLOOKUP($B47,Lenso_Input!$A:$A,Lenso_Input!$I:$I,0),0),Z46+AT46))</f>
        <v>0</v>
      </c>
      <c r="AA47" s="28" t="str">
        <f t="array" ref="AA47">IF($I46="","",IF(XLOOKUP($B47,Derived_Variables!$A:$A,Derived_Variables!$R:$R,"6/6_target")="6/6_target","20_20_20","40_30_25"))</f>
        <v>20_20_20</v>
      </c>
      <c r="AB47" s="28">
        <f t="array" ref="AB47">IF($I46="","",XLOOKUP(LOWER(XLOOKUP($B47,Derived_Variables!$A:$A,Derived_Variables!$T:$T,"Standard"))&amp;"_sph_step",Calibration!$B:$B,Calibration!$C:$C,0.25))</f>
        <v>0.25</v>
      </c>
      <c r="AC47" s="28">
        <f t="array" ref="AC47">IF($I46="","",XLOOKUP(LOWER(XLOOKUP($B47,Derived_Variables!$A:$A,Derived_Variables!$T:$T,"Standard"))&amp;"_cyl_step",Calibration!$B:$B,Calibration!$C:$C,0.25))</f>
        <v>0.25</v>
      </c>
      <c r="AD47" s="28">
        <f t="array" ref="AD47">IF($I46="","",IF(OR(C47="E",C47="H"),LET(startStep,XLOOKUP("axis_start_step",Calibration!$B:$B,Calibration!$C:$C,5),step1,XLOOKUP("axis_reversal_step_1",Calibration!$B:$B,Calibration!$C:$C,3),step2,XLOOKUP("axis_reversal_step_2",Calibration!$B:$B,Calibration!$C:$C,1),IF(OR(C46&lt;&gt;C47,AZ47="",AZ47="SAME",AZ47="CANT_TELL",I47="",I47="SAME",I47="CANT_TELL"),startStep,IF(OR(AND(AZ47="BETTER_1",I47="BETTER_2"),AND(AZ47="BETTER_2",I47="BETTER_1")),IF(AD46&gt;step1,step1,step2),AD46))),0))</f>
        <v>0</v>
      </c>
      <c r="AE47" s="28" t="str">
        <f t="array" ref="AE47">IF($I46="","",XLOOKUP($B47,Derived_Variables!$A:$A,Derived_Variables!$AD:$AD,"No_Fog"))</f>
        <v>Strong_Fog</v>
      </c>
      <c r="AF47" s="28">
        <f t="array" ref="AF47">IF($I46="","",XLOOKUP($B47,Derived_Variables!$A:$A,Derived_Variables!$AE:$AE,0))</f>
        <v>1</v>
      </c>
      <c r="AG47" s="28" t="str">
        <f t="array" ref="AG47">IF($I46="","",XLOOKUP($B47,Derived_Variables!$A:$A,Derived_Variables!$AF:$AF,""))</f>
        <v>StepDown_0.25</v>
      </c>
      <c r="AH47" s="28" t="str">
        <f t="array" ref="AH47">IF($I46="","",XLOOKUP($B47,Derived_Variables!$A:$A,Derived_Variables!$AG:$AG,""))</f>
        <v>Low</v>
      </c>
      <c r="AI47" s="28" t="str">
        <f t="array" ref="AI47">IF($I46="","",XLOOKUP($B47,Derived_Variables!$A:$A,Derived_Variables!$AC:$AC,"Medium"))</f>
        <v>Low</v>
      </c>
      <c r="AJ47" s="28" t="b">
        <f t="array" ref="AJ47">IF($I46="","",XLOOKUP($B47,Derived_Variables!$A:$A,Derived_Variables!$Y:$Y,FALSE))</f>
        <v>0</v>
      </c>
      <c r="AK47" s="28" t="str">
        <f t="array" ref="AK47">IF($I46="","",XLOOKUP($B47,Derived_Variables!$A:$A,Derived_Variables!$AA:$AA,"Normal"))</f>
        <v>Slow</v>
      </c>
      <c r="AL47" s="28" t="str">
        <f t="array" ref="AL47">IF($I46="","",XLOOKUP($B47,Derived_Variables!$A:$A,Derived_Variables!$AB:$AB,"Normal"))</f>
        <v>Relaxed</v>
      </c>
      <c r="AM47" s="28">
        <f t="array" ref="AM47">IF($I47="","",IFS(C47="B",IF(OR(I47="NOT_READABLE",I47="BLURRY"),-AB47,0),C47="G",IFS(I47="RED_CLEARER",XLOOKUP("duochrome_red_step",Calibration!$B:$B,Calibration!$C:$C,-0.25),I47="GREEN_CLEARER",XLOOKUP("duochrome_green_step",Calibration!$B:$B,Calibration!$C:$C,0.25),I47="EQUAL",IF(XLOOKUP($B47,Derived_Variables!$A:$A,Derived_Variables!$S:$S,"Neutral")="Undercorrect",XLOOKUP("undercorrect_step",Calibration!$B:$B,Calibration!$C:$C,0.25),IF(XLOOKUP($B47,Derived_Variables!$A:$A,Derived_Variables!$S:$S,"Neutral")="Overcorrect",-XLOOKUP("overcorrect_step",Calibration!$B:$B,Calibration!$C:$C,0.25),0)),TRUE,0),C47="K",IF(I47="TOP_CLEARER",XLOOKUP("bino_balance_step",Calibration!$B:$B,Calibration!$C:$C,0.25),0),TRUE,0))</f>
        <v>0</v>
      </c>
      <c r="AN47" s="28">
        <f t="shared" si="10"/>
        <v>0</v>
      </c>
      <c r="AO47" s="28">
        <f t="shared" si="11"/>
        <v>0</v>
      </c>
      <c r="AP47" s="28">
        <f t="array" ref="AP47">IF($I47="","",IFS(C47="D",IF(OR(I47="NOT_READABLE",I47="BLURRY"),-AB47,0),C47="J",IFS(I47="RED_CLEARER",XLOOKUP("duochrome_red_step",Calibration!$B:$B,Calibration!$C:$C,-0.25),I47="GREEN_CLEARER",XLOOKUP("duochrome_green_step",Calibration!$B:$B,Calibration!$C:$C,0.25),I47="EQUAL",IF(XLOOKUP($B47,Derived_Variables!$A:$A,Derived_Variables!$S:$S,"Neutral")="Undercorrect",XLOOKUP("undercorrect_step",Calibration!$B:$B,Calibration!$C:$C,0.25),IF(XLOOKUP($B47,Derived_Variables!$A:$A,Derived_Variables!$S:$S,"Neutral")="Overcorrect",-XLOOKUP("overcorrect_step",Calibration!$B:$B,Calibration!$C:$C,0.25),0)),TRUE,0),C47="K",IF(I47="BOTTOM_CLEARER",XLOOKUP("bino_balance_step",Calibration!$B:$B,Calibration!$C:$C,0.25),0),TRUE,0))</f>
        <v>0</v>
      </c>
      <c r="AQ47" s="28">
        <f t="shared" si="12"/>
        <v>-0.25</v>
      </c>
      <c r="AR47" s="28">
        <f t="shared" si="13"/>
        <v>0</v>
      </c>
      <c r="AS47" s="28">
        <f t="array" ref="AS47">IF($I47="","",IF(C47="P",IF(OR(I47="NOT_READABLE",I47="BLURRY"),XLOOKUP("near_add_step",Calibration!$B:$B,Calibration!$C:$C,0.25),0),IF(C47="R",IF(I47="NOT_CLEAR",XLOOKUP("near_add_step",Calibration!$B:$B,Calibration!$C:$C,0.25),0),0)))</f>
        <v>0</v>
      </c>
      <c r="AT47" s="28">
        <f t="array" ref="AT47">IF($I47="","",IF(C47="Q",IF(OR(I47="NOT_READABLE",I47="BLURRY"),XLOOKUP("near_add_step",Calibration!$B:$B,Calibration!$C:$C,0.25),0),IF(C47="R",IF(I47="NOT_CLEAR",XLOOKUP("near_add_step",Calibration!$B:$B,Calibration!$C:$C,0.25),0),0)))</f>
        <v>0</v>
      </c>
      <c r="AU47" s="28" t="str">
        <f t="array" ref="AU47">IF($I47="","",IF(G47="SNELLEN_FEET",IF(I47="READABLE",IFERROR(XLOOKUP(XLOOKUP(R47,Chart_Scale_Distance!B:B,Chart_Scale_Distance!A:A)+1,Chart_Scale_Distance!A:A,Chart_Scale_Distance!B:B),R47),R47),R47))</f>
        <v>20_20_20</v>
      </c>
      <c r="AV47" s="28">
        <f t="array" ref="AV47">IF($I46="","",IFERROR(XLOOKUP(R47,Chart_Scale_Distance!$B:$B,Chart_Scale_Distance!$A:$A,""),""))</f>
        <v>6</v>
      </c>
      <c r="AW47" s="28">
        <f t="array" ref="AW47">IF($I46="","",IFERROR(XLOOKUP(AA47,Chart_Scale_Distance!$B:$B,Chart_Scale_Distance!$A:$A,""),""))</f>
        <v>6</v>
      </c>
      <c r="AX47" s="28">
        <f t="shared" si="14"/>
        <v>0</v>
      </c>
      <c r="AY47" s="28">
        <f t="shared" si="15"/>
        <v>5</v>
      </c>
      <c r="AZ47" s="28" t="str">
        <f t="shared" si="16"/>
        <v/>
      </c>
      <c r="BA47" s="28">
        <f t="shared" si="17"/>
        <v>0</v>
      </c>
      <c r="BB47" s="28">
        <f t="shared" si="18"/>
        <v>0</v>
      </c>
      <c r="BC47" s="28" t="str">
        <f t="array" ref="BC47">IF($I47="","",LET(
conf,AI47,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duoMax,XLOOKUP($B47,Derived_Variables!$A:$A,Derived_Variables!$AI:$AI,4),
axisTol,XLOOKUP($B47,Derived_Variables!$A:$A,Derived_Variables!$W:$W,1),
maxStart,XLOOKUP($B47,Derived_Variables!$A:$A,Derived_Variables!$U:$U,1.25),
maxAR,XLOOKUP($B47,Derived_Variables!$A:$A,Derived_Variables!$V:$V,3),
anom,XLOOKUP($B47,Derived_Variables!$A:$A,Derived_Variables!$Z:$Z,FALSE),
reStart,XLOOKUP($B47,Derived_Variables!$A:$A,Derived_Variables!$K:$K,0),
leStart,XLOOKUP($B47,Derived_Variables!$A:$A,Derived_Variables!$N:$N,0),
reAR,XLOOKUP($B47,AR_Input!$A:$A,AR_Input!$B:$B,reStart),
leAR,XLOOKUP($B47,AR_Input!$A:$A,AR_Input!$E:$E,leStart),
reEsc,AND(anom,OR(ABS((S47+AM47)-reStart)&gt;maxStart,ABS((S47+AM47)-reAR)&gt;maxAR)),
leEsc,AND(anom,OR(ABS((V47+AP47)-leStart)&gt;maxStart,ABS((V47+AP47)-leAR)&gt;maxAR)),
phaseMax,IFS(
 AK47="Fast",
   IFS(
     OR(C47="B",C47="D"),XLOOKUP("timeout_coarse_fast",Calibration!$B:$B,Calibration!$C:$C,24),
     OR(C47="E",C47="F",C47="H",C47="I"),XLOOKUP("timeout_jcc_fast",Calibration!$B:$B,Calibration!$C:$C,10),
     OR(C47="G",C47="J"),XLOOKUP("timeout_duochrome_fast",Calibration!$B:$B,Calibration!$C:$C,8),
     C47="K",XLOOKUP("timeout_bino_fast",Calibration!$B:$B,Calibration!$C:$C,10),
     OR(C47="P",C47="Q",C47="R"),XLOOKUP("timeout_near_fast",Calibration!$B:$B,Calibration!$C:$C,16),
     TRUE,XLOOKUP("timeout_coarse_fast",Calibration!$B:$B,Calibration!$C:$C,24)
   ),
 AK47="Normal",
   IFS(
     OR(C47="B",C47="D"),XLOOKUP("timeout_coarse_normal",Calibration!$B:$B,Calibration!$C:$C,36),
     OR(C47="E",C47="F",C47="H",C47="I"),XLOOKUP("timeout_jcc_normal",Calibration!$B:$B,Calibration!$C:$C,14),
     OR(C47="G",C47="J"),XLOOKUP("timeout_duochrome_normal",Calibration!$B:$B,Calibration!$C:$C,10),
     C47="K",XLOOKUP("timeout_bino_normal",Calibration!$B:$B,Calibration!$C:$C,14),
     OR(C47="P",C47="Q",C47="R"),XLOOKUP("timeout_near_normal",Calibration!$B:$B,Calibration!$C:$C,22),
     TRUE,XLOOKUP("timeout_coarse_normal",Calibration!$B:$B,Calibration!$C:$C,36)
   ),
 TRUE,
   IFS(
     OR(C47="B",C47="D"),XLOOKUP("timeout_coarse_slow",Calibration!$B:$B,Calibration!$C:$C,48),
     OR(C47="E",C47="F",C47="H",C47="I"),XLOOKUP("timeout_jcc_slow",Calibration!$B:$B,Calibration!$C:$C,18),
     OR(C47="G",C47="J"),XLOOKUP("timeout_duochrome_slow",Calibration!$B:$B,Calibration!$C:$C,12),
     C47="K",XLOOKUP("timeout_bino_slow",Calibration!$B:$B,Calibration!$C:$C,18),
     OR(C47="P",C47="Q",C47="R"),XLOOKUP("timeout_near_slow",Calibration!$B:$B,Calibration!$C:$C,28),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AJ47=TRUE,"ESCALATE",
C47="A",
IF(OR(I47="NOT_READABLE",I47="BLURRY",AND(R47="20_20_20",I47="READABLE")),"B","A"),
C47="B",
IF(reEsc,"ESCALATE",IF(AY47&gt;=phaseMax,"ESCALATE",IF(AND(AV47&gt;=AW47,I47="READABLE"),"E","B"))),
C47="E",
IF(AY47&gt;=phaseMax,"ESCALATE",IF(OR(I47="SAME",I47="CANT_TELL",AD47&lt;axisTol),"F","E")),
C47="F",
IF(AY47&gt;=phaseMax,"ESCALATE",IF(AX47&gt;=powerSameN,"G","F")),
C47="G",
IF(AY47&gt;=phaseMax,"ESCALATE",IF(OR(AX47&gt;=duoEqualN,BB47&gt;=duoMax),"D","G")),
C47="D",
IF(leEsc,"ESCALATE",IF(AY47&gt;=phaseMax,"ESCALATE",IF(AND(AV47&gt;=AW47,I47="READABLE"),"H","D"))),
C47="H",
IF(AY47&gt;=phaseMax,"ESCALATE",IF(OR(I47="SAME",I47="CANT_TELL",AD47&lt;axisTol),"I","H")),
C47="I",
IF(AY47&gt;=phaseMax,"ESCALATE",IF(AX47&gt;=powerSameN,"J","I")),
C47="J",
IF(AY47&gt;=phaseMax,"ESCALATE",IF(OR(AX47&gt;=duoEqualN,BB47&gt;=duoMax),"K","J")),
C47="K",
IF(AY47&gt;=phaseMax,"ESCALATE",IF(AX47&gt;=binoSameN,IF(XLOOKUP($B47,Derived_Variables!$A:$A,Derived_Variables!$AJ:$AJ,FALSE)=TRUE,"P","END"),"K")),
C47="P",
IF(AY47&gt;=phaseMax,"ESCALATE",IF(OR(I47="READABLE",I47="SAME"),"Q","P")),
C47="Q",
IF(AY47&gt;=phaseMax,"ESCALATE",IF(OR(I47="READABLE",I47="SAME"),"R","Q")),
C47="R",
IF(AY47&gt;=phaseMax,"ESCALATE",IF(OR(I47=nearTarget,I47="SAME"),"END","R")),
TRUE,"END"
)))</f>
        <v>I</v>
      </c>
      <c r="BD47" s="28" t="b">
        <f t="shared" si="19"/>
        <v>1</v>
      </c>
    </row>
    <row r="48" ht="15.75" customHeight="1">
      <c r="A48" s="28">
        <f t="shared" si="3"/>
        <v>47</v>
      </c>
      <c r="B48" s="28">
        <f t="shared" si="4"/>
        <v>6</v>
      </c>
      <c r="C48" s="28" t="str">
        <f t="shared" si="5"/>
        <v>I</v>
      </c>
      <c r="D48" s="28" t="str">
        <f t="array" ref="D48">IF($I47="","",XLOOKUP(C48,FSM_State_Map!A:A,FSM_State_Map!B:B,""))</f>
        <v>JCC Power LE</v>
      </c>
      <c r="E48" s="28" t="str">
        <f t="array" ref="E48">IF($I47="","",XLOOKUP(C48,FSM_State_Map!A:A,FSM_State_Map!C:C,""))</f>
        <v>JCC_POWER</v>
      </c>
      <c r="F48" s="28" t="str">
        <f t="array" ref="F48">IF($I47="","",XLOOKUP(E48,Phase_UI_Map!A:A,Phase_UI_Map!B:B,""))</f>
        <v>JCC_POWER</v>
      </c>
      <c r="G48" s="28" t="str">
        <f t="array" ref="G48">IF($I47="","",XLOOKUP(E48,Phase_UI_Map!A:A,Phase_UI_Map!C:C,""))</f>
        <v>DOT_CHART_JCC</v>
      </c>
      <c r="H48" s="28" t="str">
        <f t="array" ref="H48">IF($I47="","",XLOOKUP(E48,Phase_UI_Map!A:A,Phase_UI_Map!D:D,""))</f>
        <v>COMPARE_1_2</v>
      </c>
      <c r="I48" s="29" t="s">
        <v>221</v>
      </c>
      <c r="J48" s="28" t="str">
        <f>IFERROR(__xludf.DUMMYFUNCTION("IF($I47="""","""",IFERROR(INDEX(FILTER(Response_Lists!$B:$B,Response_Lists!$A:$A=$H48),1),""""))"),"BETTER_1")</f>
        <v>BETTER_1</v>
      </c>
      <c r="K48" s="28" t="str">
        <f>IFERROR(__xludf.DUMMYFUNCTION("IF($I47="""","""",IFERROR(INDEX(FILTER(Response_Lists!$B:$B,Response_Lists!$A:$A=$H48),2),""""))"),"BETTER_2")</f>
        <v>BETTER_2</v>
      </c>
      <c r="L48" s="28" t="str">
        <f>IFERROR(__xludf.DUMMYFUNCTION("IF($I47="""","""",IFERROR(INDEX(FILTER(Response_Lists!$B:$B,Response_Lists!$A:$A=$H48),3),""""))"),"SAME")</f>
        <v>SAME</v>
      </c>
      <c r="M48" s="28" t="str">
        <f>IFERROR(__xludf.DUMMYFUNCTION("IF($I47="""","""",IFERROR(INDEX(FILTER(Response_Lists!$B:$B,Response_Lists!$A:$A=$H48),4),""""))"),"CANT_TELL")</f>
        <v>CANT_TELL</v>
      </c>
      <c r="N48" s="28" t="str">
        <f>IFERROR(__xludf.DUMMYFUNCTION("IF($I47="""","""",IFERROR(INDEX(FILTER(Response_Lists!$B:$B,Response_Lists!$A:$A=$H48),5),""""))"),"")</f>
        <v/>
      </c>
      <c r="O48" s="28" t="str">
        <f>IFERROR(__xludf.DUMMYFUNCTION("IF($I47="""","""",IFERROR(INDEX(FILTER(Response_Lists!$B:$B,Response_Lists!$A:$A=$H48),6),""""))"),"")</f>
        <v/>
      </c>
      <c r="P48" s="28" t="str">
        <f t="shared" si="6"/>
        <v>Which is clearer: 1 or 2?</v>
      </c>
      <c r="Q48" s="28" t="str">
        <f t="array" ref="Q48">IF($I47="","",XLOOKUP(C48,FSM_State_Map!A:A,FSM_State_Map!D:D,""))</f>
        <v>LE</v>
      </c>
      <c r="R48" s="28" t="str">
        <f t="shared" si="7"/>
        <v>20_20_20</v>
      </c>
      <c r="S48" s="28">
        <f t="array" ref="S48">IF($I47="","",
IF(
  AND(C48="B",C47&lt;&gt;"B"),
  XLOOKUP($B48,Derived_Variables!$A:$A,Derived_Variables!$K:$K,0)
  + XLOOKUP($B48,Derived_Variables!$A:$A,Derived_Variables!$AE:$AE,0),
  S47+AM47
))</f>
        <v>-1.25</v>
      </c>
      <c r="T48" s="28">
        <f t="shared" ref="T48:U48" si="106">IF($I47="","",T47+AN47)</f>
        <v>-0.25</v>
      </c>
      <c r="U48" s="28">
        <f t="shared" si="106"/>
        <v>2</v>
      </c>
      <c r="V48" s="28">
        <f t="array" ref="V48">IF($I47="","",
IF(
  AND(C48="D",C47&lt;&gt;"D"),
  XLOOKUP($B48,Derived_Variables!$A:$A,Derived_Variables!$N:$N,0)
  + XLOOKUP($B48,Derived_Variables!$A:$A,Derived_Variables!$AE:$AE,0),
  V47+AP47
))</f>
        <v>-1.25</v>
      </c>
      <c r="W48" s="28">
        <f t="shared" ref="W48:X48" si="107">IF($I47="","",W47+AQ47)</f>
        <v>-0.25</v>
      </c>
      <c r="X48" s="28">
        <f t="shared" si="107"/>
        <v>50</v>
      </c>
      <c r="Y48" s="28">
        <f t="array" ref="Y48">IF($I47="","",IF(AND(C48="P",C47&lt;&gt;"P"),IFERROR(XLOOKUP($B48,Lenso_Input!$A:$A,Lenso_Input!$E:$E,0),0),Y47+AS47))</f>
        <v>0</v>
      </c>
      <c r="Z48" s="28">
        <f t="array" ref="Z48">IF($I47="","",IF(AND(C48="Q",C47&lt;&gt;"Q"),IFERROR(XLOOKUP($B48,Lenso_Input!$A:$A,Lenso_Input!$I:$I,0),0),Z47+AT47))</f>
        <v>0</v>
      </c>
      <c r="AA48" s="28" t="str">
        <f t="array" ref="AA48">IF($I47="","",IF(XLOOKUP($B48,Derived_Variables!$A:$A,Derived_Variables!$R:$R,"6/6_target")="6/6_target","20_20_20","40_30_25"))</f>
        <v>20_20_20</v>
      </c>
      <c r="AB48" s="28">
        <f t="array" ref="AB48">IF($I47="","",XLOOKUP(LOWER(XLOOKUP($B48,Derived_Variables!$A:$A,Derived_Variables!$T:$T,"Standard"))&amp;"_sph_step",Calibration!$B:$B,Calibration!$C:$C,0.25))</f>
        <v>0.25</v>
      </c>
      <c r="AC48" s="28">
        <f t="array" ref="AC48">IF($I47="","",XLOOKUP(LOWER(XLOOKUP($B48,Derived_Variables!$A:$A,Derived_Variables!$T:$T,"Standard"))&amp;"_cyl_step",Calibration!$B:$B,Calibration!$C:$C,0.25))</f>
        <v>0.25</v>
      </c>
      <c r="AD48" s="28">
        <f t="array" ref="AD48">IF($I47="","",IF(OR(C48="E",C48="H"),LET(startStep,XLOOKUP("axis_start_step",Calibration!$B:$B,Calibration!$C:$C,5),step1,XLOOKUP("axis_reversal_step_1",Calibration!$B:$B,Calibration!$C:$C,3),step2,XLOOKUP("axis_reversal_step_2",Calibration!$B:$B,Calibration!$C:$C,1),IF(OR(C47&lt;&gt;C48,AZ48="",AZ48="SAME",AZ48="CANT_TELL",I48="",I48="SAME",I48="CANT_TELL"),startStep,IF(OR(AND(AZ48="BETTER_1",I48="BETTER_2"),AND(AZ48="BETTER_2",I48="BETTER_1")),IF(AD47&gt;step1,step1,step2),AD47))),0))</f>
        <v>0</v>
      </c>
      <c r="AE48" s="28" t="str">
        <f t="array" ref="AE48">IF($I47="","",XLOOKUP($B48,Derived_Variables!$A:$A,Derived_Variables!$AD:$AD,"No_Fog"))</f>
        <v>Strong_Fog</v>
      </c>
      <c r="AF48" s="28">
        <f t="array" ref="AF48">IF($I47="","",XLOOKUP($B48,Derived_Variables!$A:$A,Derived_Variables!$AE:$AE,0))</f>
        <v>1</v>
      </c>
      <c r="AG48" s="28" t="str">
        <f t="array" ref="AG48">IF($I47="","",XLOOKUP($B48,Derived_Variables!$A:$A,Derived_Variables!$AF:$AF,""))</f>
        <v>StepDown_0.25</v>
      </c>
      <c r="AH48" s="28" t="str">
        <f t="array" ref="AH48">IF($I47="","",XLOOKUP($B48,Derived_Variables!$A:$A,Derived_Variables!$AG:$AG,""))</f>
        <v>Low</v>
      </c>
      <c r="AI48" s="28" t="str">
        <f t="array" ref="AI48">IF($I47="","",XLOOKUP($B48,Derived_Variables!$A:$A,Derived_Variables!$AC:$AC,"Medium"))</f>
        <v>Low</v>
      </c>
      <c r="AJ48" s="28" t="b">
        <f t="array" ref="AJ48">IF($I47="","",XLOOKUP($B48,Derived_Variables!$A:$A,Derived_Variables!$Y:$Y,FALSE))</f>
        <v>0</v>
      </c>
      <c r="AK48" s="28" t="str">
        <f t="array" ref="AK48">IF($I47="","",XLOOKUP($B48,Derived_Variables!$A:$A,Derived_Variables!$AA:$AA,"Normal"))</f>
        <v>Slow</v>
      </c>
      <c r="AL48" s="28" t="str">
        <f t="array" ref="AL48">IF($I47="","",XLOOKUP($B48,Derived_Variables!$A:$A,Derived_Variables!$AB:$AB,"Normal"))</f>
        <v>Relaxed</v>
      </c>
      <c r="AM48" s="28">
        <f t="array" ref="AM48">IF($I48="","",IFS(C48="B",IF(OR(I48="NOT_READABLE",I48="BLURRY"),-AB48,0),C48="G",IFS(I48="RED_CLEARER",XLOOKUP("duochrome_red_step",Calibration!$B:$B,Calibration!$C:$C,-0.25),I48="GREEN_CLEARER",XLOOKUP("duochrome_green_step",Calibration!$B:$B,Calibration!$C:$C,0.25),I48="EQUAL",IF(XLOOKUP($B48,Derived_Variables!$A:$A,Derived_Variables!$S:$S,"Neutral")="Undercorrect",XLOOKUP("undercorrect_step",Calibration!$B:$B,Calibration!$C:$C,0.25),IF(XLOOKUP($B48,Derived_Variables!$A:$A,Derived_Variables!$S:$S,"Neutral")="Overcorrect",-XLOOKUP("overcorrect_step",Calibration!$B:$B,Calibration!$C:$C,0.25),0)),TRUE,0),C48="K",IF(I48="TOP_CLEARER",XLOOKUP("bino_balance_step",Calibration!$B:$B,Calibration!$C:$C,0.25),0),TRUE,0))</f>
        <v>0</v>
      </c>
      <c r="AN48" s="28">
        <f t="shared" si="10"/>
        <v>0</v>
      </c>
      <c r="AO48" s="28">
        <f t="shared" si="11"/>
        <v>0</v>
      </c>
      <c r="AP48" s="28">
        <f t="array" ref="AP48">IF($I48="","",IFS(C48="D",IF(OR(I48="NOT_READABLE",I48="BLURRY"),-AB48,0),C48="J",IFS(I48="RED_CLEARER",XLOOKUP("duochrome_red_step",Calibration!$B:$B,Calibration!$C:$C,-0.25),I48="GREEN_CLEARER",XLOOKUP("duochrome_green_step",Calibration!$B:$B,Calibration!$C:$C,0.25),I48="EQUAL",IF(XLOOKUP($B48,Derived_Variables!$A:$A,Derived_Variables!$S:$S,"Neutral")="Undercorrect",XLOOKUP("undercorrect_step",Calibration!$B:$B,Calibration!$C:$C,0.25),IF(XLOOKUP($B48,Derived_Variables!$A:$A,Derived_Variables!$S:$S,"Neutral")="Overcorrect",-XLOOKUP("overcorrect_step",Calibration!$B:$B,Calibration!$C:$C,0.25),0)),TRUE,0),C48="K",IF(I48="BOTTOM_CLEARER",XLOOKUP("bino_balance_step",Calibration!$B:$B,Calibration!$C:$C,0.25),0),TRUE,0))</f>
        <v>0</v>
      </c>
      <c r="AQ48" s="28">
        <f t="shared" si="12"/>
        <v>0.25</v>
      </c>
      <c r="AR48" s="28">
        <f t="shared" si="13"/>
        <v>0</v>
      </c>
      <c r="AS48" s="28">
        <f t="array" ref="AS48">IF($I48="","",IF(C48="P",IF(OR(I48="NOT_READABLE",I48="BLURRY"),XLOOKUP("near_add_step",Calibration!$B:$B,Calibration!$C:$C,0.25),0),IF(C48="R",IF(I48="NOT_CLEAR",XLOOKUP("near_add_step",Calibration!$B:$B,Calibration!$C:$C,0.25),0),0)))</f>
        <v>0</v>
      </c>
      <c r="AT48" s="28">
        <f t="array" ref="AT48">IF($I48="","",IF(C48="Q",IF(OR(I48="NOT_READABLE",I48="BLURRY"),XLOOKUP("near_add_step",Calibration!$B:$B,Calibration!$C:$C,0.25),0),IF(C48="R",IF(I48="NOT_CLEAR",XLOOKUP("near_add_step",Calibration!$B:$B,Calibration!$C:$C,0.25),0),0)))</f>
        <v>0</v>
      </c>
      <c r="AU48" s="28" t="str">
        <f t="array" ref="AU48">IF($I48="","",IF(G48="SNELLEN_FEET",IF(I48="READABLE",IFERROR(XLOOKUP(XLOOKUP(R48,Chart_Scale_Distance!B:B,Chart_Scale_Distance!A:A)+1,Chart_Scale_Distance!A:A,Chart_Scale_Distance!B:B),R48),R48),R48))</f>
        <v>20_20_20</v>
      </c>
      <c r="AV48" s="28">
        <f t="array" ref="AV48">IF($I47="","",IFERROR(XLOOKUP(R48,Chart_Scale_Distance!$B:$B,Chart_Scale_Distance!$A:$A,""),""))</f>
        <v>6</v>
      </c>
      <c r="AW48" s="28">
        <f t="array" ref="AW48">IF($I47="","",IFERROR(XLOOKUP(AA48,Chart_Scale_Distance!$B:$B,Chart_Scale_Distance!$A:$A,""),""))</f>
        <v>6</v>
      </c>
      <c r="AX48" s="28">
        <f t="shared" si="14"/>
        <v>0</v>
      </c>
      <c r="AY48" s="28">
        <f t="shared" si="15"/>
        <v>6</v>
      </c>
      <c r="AZ48" s="28" t="str">
        <f t="shared" si="16"/>
        <v/>
      </c>
      <c r="BA48" s="28">
        <f t="shared" si="17"/>
        <v>0</v>
      </c>
      <c r="BB48" s="28">
        <f t="shared" si="18"/>
        <v>0</v>
      </c>
      <c r="BC48" s="28" t="str">
        <f t="array" ref="BC48">IF($I48="","",LET(
conf,AI48,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duoMax,XLOOKUP($B48,Derived_Variables!$A:$A,Derived_Variables!$AI:$AI,4),
axisTol,XLOOKUP($B48,Derived_Variables!$A:$A,Derived_Variables!$W:$W,1),
maxStart,XLOOKUP($B48,Derived_Variables!$A:$A,Derived_Variables!$U:$U,1.25),
maxAR,XLOOKUP($B48,Derived_Variables!$A:$A,Derived_Variables!$V:$V,3),
anom,XLOOKUP($B48,Derived_Variables!$A:$A,Derived_Variables!$Z:$Z,FALSE),
reStart,XLOOKUP($B48,Derived_Variables!$A:$A,Derived_Variables!$K:$K,0),
leStart,XLOOKUP($B48,Derived_Variables!$A:$A,Derived_Variables!$N:$N,0),
reAR,XLOOKUP($B48,AR_Input!$A:$A,AR_Input!$B:$B,reStart),
leAR,XLOOKUP($B48,AR_Input!$A:$A,AR_Input!$E:$E,leStart),
reEsc,AND(anom,OR(ABS((S48+AM48)-reStart)&gt;maxStart,ABS((S48+AM48)-reAR)&gt;maxAR)),
leEsc,AND(anom,OR(ABS((V48+AP48)-leStart)&gt;maxStart,ABS((V48+AP48)-leAR)&gt;maxAR)),
phaseMax,IFS(
 AK48="Fast",
   IFS(
     OR(C48="B",C48="D"),XLOOKUP("timeout_coarse_fast",Calibration!$B:$B,Calibration!$C:$C,24),
     OR(C48="E",C48="F",C48="H",C48="I"),XLOOKUP("timeout_jcc_fast",Calibration!$B:$B,Calibration!$C:$C,10),
     OR(C48="G",C48="J"),XLOOKUP("timeout_duochrome_fast",Calibration!$B:$B,Calibration!$C:$C,8),
     C48="K",XLOOKUP("timeout_bino_fast",Calibration!$B:$B,Calibration!$C:$C,10),
     OR(C48="P",C48="Q",C48="R"),XLOOKUP("timeout_near_fast",Calibration!$B:$B,Calibration!$C:$C,16),
     TRUE,XLOOKUP("timeout_coarse_fast",Calibration!$B:$B,Calibration!$C:$C,24)
   ),
 AK48="Normal",
   IFS(
     OR(C48="B",C48="D"),XLOOKUP("timeout_coarse_normal",Calibration!$B:$B,Calibration!$C:$C,36),
     OR(C48="E",C48="F",C48="H",C48="I"),XLOOKUP("timeout_jcc_normal",Calibration!$B:$B,Calibration!$C:$C,14),
     OR(C48="G",C48="J"),XLOOKUP("timeout_duochrome_normal",Calibration!$B:$B,Calibration!$C:$C,10),
     C48="K",XLOOKUP("timeout_bino_normal",Calibration!$B:$B,Calibration!$C:$C,14),
     OR(C48="P",C48="Q",C48="R"),XLOOKUP("timeout_near_normal",Calibration!$B:$B,Calibration!$C:$C,22),
     TRUE,XLOOKUP("timeout_coarse_normal",Calibration!$B:$B,Calibration!$C:$C,36)
   ),
 TRUE,
   IFS(
     OR(C48="B",C48="D"),XLOOKUP("timeout_coarse_slow",Calibration!$B:$B,Calibration!$C:$C,48),
     OR(C48="E",C48="F",C48="H",C48="I"),XLOOKUP("timeout_jcc_slow",Calibration!$B:$B,Calibration!$C:$C,18),
     OR(C48="G",C48="J"),XLOOKUP("timeout_duochrome_slow",Calibration!$B:$B,Calibration!$C:$C,12),
     C48="K",XLOOKUP("timeout_bino_slow",Calibration!$B:$B,Calibration!$C:$C,18),
     OR(C48="P",C48="Q",C48="R"),XLOOKUP("timeout_near_slow",Calibration!$B:$B,Calibration!$C:$C,28),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AJ48=TRUE,"ESCALATE",
C48="A",
IF(OR(I48="NOT_READABLE",I48="BLURRY",AND(R48="20_20_20",I48="READABLE")),"B","A"),
C48="B",
IF(reEsc,"ESCALATE",IF(AY48&gt;=phaseMax,"ESCALATE",IF(AND(AV48&gt;=AW48,I48="READABLE"),"E","B"))),
C48="E",
IF(AY48&gt;=phaseMax,"ESCALATE",IF(OR(I48="SAME",I48="CANT_TELL",AD48&lt;axisTol),"F","E")),
C48="F",
IF(AY48&gt;=phaseMax,"ESCALATE",IF(AX48&gt;=powerSameN,"G","F")),
C48="G",
IF(AY48&gt;=phaseMax,"ESCALATE",IF(OR(AX48&gt;=duoEqualN,BB48&gt;=duoMax),"D","G")),
C48="D",
IF(leEsc,"ESCALATE",IF(AY48&gt;=phaseMax,"ESCALATE",IF(AND(AV48&gt;=AW48,I48="READABLE"),"H","D"))),
C48="H",
IF(AY48&gt;=phaseMax,"ESCALATE",IF(OR(I48="SAME",I48="CANT_TELL",AD48&lt;axisTol),"I","H")),
C48="I",
IF(AY48&gt;=phaseMax,"ESCALATE",IF(AX48&gt;=powerSameN,"J","I")),
C48="J",
IF(AY48&gt;=phaseMax,"ESCALATE",IF(OR(AX48&gt;=duoEqualN,BB48&gt;=duoMax),"K","J")),
C48="K",
IF(AY48&gt;=phaseMax,"ESCALATE",IF(AX48&gt;=binoSameN,IF(XLOOKUP($B48,Derived_Variables!$A:$A,Derived_Variables!$AJ:$AJ,FALSE)=TRUE,"P","END"),"K")),
C48="P",
IF(AY48&gt;=phaseMax,"ESCALATE",IF(OR(I48="READABLE",I48="SAME"),"Q","P")),
C48="Q",
IF(AY48&gt;=phaseMax,"ESCALATE",IF(OR(I48="READABLE",I48="SAME"),"R","Q")),
C48="R",
IF(AY48&gt;=phaseMax,"ESCALATE",IF(OR(I48=nearTarget,I48="SAME"),"END","R")),
TRUE,"END"
)))</f>
        <v>I</v>
      </c>
      <c r="BD48" s="28" t="b">
        <f t="shared" si="19"/>
        <v>1</v>
      </c>
    </row>
    <row r="49" ht="15.75" customHeight="1">
      <c r="A49" s="28">
        <f t="shared" si="3"/>
        <v>48</v>
      </c>
      <c r="B49" s="28">
        <f t="shared" si="4"/>
        <v>6</v>
      </c>
      <c r="C49" s="28" t="str">
        <f t="shared" si="5"/>
        <v>I</v>
      </c>
      <c r="D49" s="28" t="str">
        <f t="array" ref="D49">IF($I48="","",XLOOKUP(C49,FSM_State_Map!A:A,FSM_State_Map!B:B,""))</f>
        <v>JCC Power LE</v>
      </c>
      <c r="E49" s="28" t="str">
        <f t="array" ref="E49">IF($I48="","",XLOOKUP(C49,FSM_State_Map!A:A,FSM_State_Map!C:C,""))</f>
        <v>JCC_POWER</v>
      </c>
      <c r="F49" s="28" t="str">
        <f t="array" ref="F49">IF($I48="","",XLOOKUP(E49,Phase_UI_Map!A:A,Phase_UI_Map!B:B,""))</f>
        <v>JCC_POWER</v>
      </c>
      <c r="G49" s="28" t="str">
        <f t="array" ref="G49">IF($I48="","",XLOOKUP(E49,Phase_UI_Map!A:A,Phase_UI_Map!C:C,""))</f>
        <v>DOT_CHART_JCC</v>
      </c>
      <c r="H49" s="28" t="str">
        <f t="array" ref="H49">IF($I48="","",XLOOKUP(E49,Phase_UI_Map!A:A,Phase_UI_Map!D:D,""))</f>
        <v>COMPARE_1_2</v>
      </c>
      <c r="I49" s="29" t="s">
        <v>222</v>
      </c>
      <c r="J49" s="28" t="str">
        <f>IFERROR(__xludf.DUMMYFUNCTION("IF($I48="""","""",IFERROR(INDEX(FILTER(Response_Lists!$B:$B,Response_Lists!$A:$A=$H49),1),""""))"),"BETTER_1")</f>
        <v>BETTER_1</v>
      </c>
      <c r="K49" s="28" t="str">
        <f>IFERROR(__xludf.DUMMYFUNCTION("IF($I48="""","""",IFERROR(INDEX(FILTER(Response_Lists!$B:$B,Response_Lists!$A:$A=$H49),2),""""))"),"BETTER_2")</f>
        <v>BETTER_2</v>
      </c>
      <c r="L49" s="28" t="str">
        <f>IFERROR(__xludf.DUMMYFUNCTION("IF($I48="""","""",IFERROR(INDEX(FILTER(Response_Lists!$B:$B,Response_Lists!$A:$A=$H49),3),""""))"),"SAME")</f>
        <v>SAME</v>
      </c>
      <c r="M49" s="28" t="str">
        <f>IFERROR(__xludf.DUMMYFUNCTION("IF($I48="""","""",IFERROR(INDEX(FILTER(Response_Lists!$B:$B,Response_Lists!$A:$A=$H49),4),""""))"),"CANT_TELL")</f>
        <v>CANT_TELL</v>
      </c>
      <c r="N49" s="28" t="str">
        <f>IFERROR(__xludf.DUMMYFUNCTION("IF($I48="""","""",IFERROR(INDEX(FILTER(Response_Lists!$B:$B,Response_Lists!$A:$A=$H49),5),""""))"),"")</f>
        <v/>
      </c>
      <c r="O49" s="28" t="str">
        <f>IFERROR(__xludf.DUMMYFUNCTION("IF($I48="""","""",IFERROR(INDEX(FILTER(Response_Lists!$B:$B,Response_Lists!$A:$A=$H49),6),""""))"),"")</f>
        <v/>
      </c>
      <c r="P49" s="28" t="str">
        <f t="shared" si="6"/>
        <v>Which is clearer: 1 or 2?</v>
      </c>
      <c r="Q49" s="28" t="str">
        <f t="array" ref="Q49">IF($I48="","",XLOOKUP(C49,FSM_State_Map!A:A,FSM_State_Map!D:D,""))</f>
        <v>LE</v>
      </c>
      <c r="R49" s="28" t="str">
        <f t="shared" si="7"/>
        <v>20_20_20</v>
      </c>
      <c r="S49" s="28">
        <f t="array" ref="S49">IF($I48="","",
IF(
  AND(C49="B",C48&lt;&gt;"B"),
  XLOOKUP($B49,Derived_Variables!$A:$A,Derived_Variables!$K:$K,0)
  + XLOOKUP($B49,Derived_Variables!$A:$A,Derived_Variables!$AE:$AE,0),
  S48+AM48
))</f>
        <v>-1.25</v>
      </c>
      <c r="T49" s="28">
        <f t="shared" ref="T49:U49" si="108">IF($I48="","",T48+AN48)</f>
        <v>-0.25</v>
      </c>
      <c r="U49" s="28">
        <f t="shared" si="108"/>
        <v>2</v>
      </c>
      <c r="V49" s="28">
        <f t="array" ref="V49">IF($I48="","",
IF(
  AND(C49="D",C48&lt;&gt;"D"),
  XLOOKUP($B49,Derived_Variables!$A:$A,Derived_Variables!$N:$N,0)
  + XLOOKUP($B49,Derived_Variables!$A:$A,Derived_Variables!$AE:$AE,0),
  V48+AP48
))</f>
        <v>-1.25</v>
      </c>
      <c r="W49" s="28">
        <f t="shared" ref="W49:X49" si="109">IF($I48="","",W48+AQ48)</f>
        <v>0</v>
      </c>
      <c r="X49" s="28">
        <f t="shared" si="109"/>
        <v>50</v>
      </c>
      <c r="Y49" s="28">
        <f t="array" ref="Y49">IF($I48="","",IF(AND(C49="P",C48&lt;&gt;"P"),IFERROR(XLOOKUP($B49,Lenso_Input!$A:$A,Lenso_Input!$E:$E,0),0),Y48+AS48))</f>
        <v>0</v>
      </c>
      <c r="Z49" s="28">
        <f t="array" ref="Z49">IF($I48="","",IF(AND(C49="Q",C48&lt;&gt;"Q"),IFERROR(XLOOKUP($B49,Lenso_Input!$A:$A,Lenso_Input!$I:$I,0),0),Z48+AT48))</f>
        <v>0</v>
      </c>
      <c r="AA49" s="28" t="str">
        <f t="array" ref="AA49">IF($I48="","",IF(XLOOKUP($B49,Derived_Variables!$A:$A,Derived_Variables!$R:$R,"6/6_target")="6/6_target","20_20_20","40_30_25"))</f>
        <v>20_20_20</v>
      </c>
      <c r="AB49" s="28">
        <f t="array" ref="AB49">IF($I48="","",XLOOKUP(LOWER(XLOOKUP($B49,Derived_Variables!$A:$A,Derived_Variables!$T:$T,"Standard"))&amp;"_sph_step",Calibration!$B:$B,Calibration!$C:$C,0.25))</f>
        <v>0.25</v>
      </c>
      <c r="AC49" s="28">
        <f t="array" ref="AC49">IF($I48="","",XLOOKUP(LOWER(XLOOKUP($B49,Derived_Variables!$A:$A,Derived_Variables!$T:$T,"Standard"))&amp;"_cyl_step",Calibration!$B:$B,Calibration!$C:$C,0.25))</f>
        <v>0.25</v>
      </c>
      <c r="AD49" s="28">
        <f t="array" ref="AD49">IF($I48="","",IF(OR(C49="E",C49="H"),LET(startStep,XLOOKUP("axis_start_step",Calibration!$B:$B,Calibration!$C:$C,5),step1,XLOOKUP("axis_reversal_step_1",Calibration!$B:$B,Calibration!$C:$C,3),step2,XLOOKUP("axis_reversal_step_2",Calibration!$B:$B,Calibration!$C:$C,1),IF(OR(C48&lt;&gt;C49,AZ49="",AZ49="SAME",AZ49="CANT_TELL",I49="",I49="SAME",I49="CANT_TELL"),startStep,IF(OR(AND(AZ49="BETTER_1",I49="BETTER_2"),AND(AZ49="BETTER_2",I49="BETTER_1")),IF(AD48&gt;step1,step1,step2),AD48))),0))</f>
        <v>0</v>
      </c>
      <c r="AE49" s="28" t="str">
        <f t="array" ref="AE49">IF($I48="","",XLOOKUP($B49,Derived_Variables!$A:$A,Derived_Variables!$AD:$AD,"No_Fog"))</f>
        <v>Strong_Fog</v>
      </c>
      <c r="AF49" s="28">
        <f t="array" ref="AF49">IF($I48="","",XLOOKUP($B49,Derived_Variables!$A:$A,Derived_Variables!$AE:$AE,0))</f>
        <v>1</v>
      </c>
      <c r="AG49" s="28" t="str">
        <f t="array" ref="AG49">IF($I48="","",XLOOKUP($B49,Derived_Variables!$A:$A,Derived_Variables!$AF:$AF,""))</f>
        <v>StepDown_0.25</v>
      </c>
      <c r="AH49" s="28" t="str">
        <f t="array" ref="AH49">IF($I48="","",XLOOKUP($B49,Derived_Variables!$A:$A,Derived_Variables!$AG:$AG,""))</f>
        <v>Low</v>
      </c>
      <c r="AI49" s="28" t="str">
        <f t="array" ref="AI49">IF($I48="","",XLOOKUP($B49,Derived_Variables!$A:$A,Derived_Variables!$AC:$AC,"Medium"))</f>
        <v>Low</v>
      </c>
      <c r="AJ49" s="28" t="b">
        <f t="array" ref="AJ49">IF($I48="","",XLOOKUP($B49,Derived_Variables!$A:$A,Derived_Variables!$Y:$Y,FALSE))</f>
        <v>0</v>
      </c>
      <c r="AK49" s="28" t="str">
        <f t="array" ref="AK49">IF($I48="","",XLOOKUP($B49,Derived_Variables!$A:$A,Derived_Variables!$AA:$AA,"Normal"))</f>
        <v>Slow</v>
      </c>
      <c r="AL49" s="28" t="str">
        <f t="array" ref="AL49">IF($I48="","",XLOOKUP($B49,Derived_Variables!$A:$A,Derived_Variables!$AB:$AB,"Normal"))</f>
        <v>Relaxed</v>
      </c>
      <c r="AM49" s="28">
        <f t="array" ref="AM49">IF($I49="","",IFS(C49="B",IF(OR(I49="NOT_READABLE",I49="BLURRY"),-AB49,0),C49="G",IFS(I49="RED_CLEARER",XLOOKUP("duochrome_red_step",Calibration!$B:$B,Calibration!$C:$C,-0.25),I49="GREEN_CLEARER",XLOOKUP("duochrome_green_step",Calibration!$B:$B,Calibration!$C:$C,0.25),I49="EQUAL",IF(XLOOKUP($B49,Derived_Variables!$A:$A,Derived_Variables!$S:$S,"Neutral")="Undercorrect",XLOOKUP("undercorrect_step",Calibration!$B:$B,Calibration!$C:$C,0.25),IF(XLOOKUP($B49,Derived_Variables!$A:$A,Derived_Variables!$S:$S,"Neutral")="Overcorrect",-XLOOKUP("overcorrect_step",Calibration!$B:$B,Calibration!$C:$C,0.25),0)),TRUE,0),C49="K",IF(I49="TOP_CLEARER",XLOOKUP("bino_balance_step",Calibration!$B:$B,Calibration!$C:$C,0.25),0),TRUE,0))</f>
        <v>0</v>
      </c>
      <c r="AN49" s="28">
        <f t="shared" si="10"/>
        <v>0</v>
      </c>
      <c r="AO49" s="28">
        <f t="shared" si="11"/>
        <v>0</v>
      </c>
      <c r="AP49" s="28">
        <f t="array" ref="AP49">IF($I49="","",IFS(C49="D",IF(OR(I49="NOT_READABLE",I49="BLURRY"),-AB49,0),C49="J",IFS(I49="RED_CLEARER",XLOOKUP("duochrome_red_step",Calibration!$B:$B,Calibration!$C:$C,-0.25),I49="GREEN_CLEARER",XLOOKUP("duochrome_green_step",Calibration!$B:$B,Calibration!$C:$C,0.25),I49="EQUAL",IF(XLOOKUP($B49,Derived_Variables!$A:$A,Derived_Variables!$S:$S,"Neutral")="Undercorrect",XLOOKUP("undercorrect_step",Calibration!$B:$B,Calibration!$C:$C,0.25),IF(XLOOKUP($B49,Derived_Variables!$A:$A,Derived_Variables!$S:$S,"Neutral")="Overcorrect",-XLOOKUP("overcorrect_step",Calibration!$B:$B,Calibration!$C:$C,0.25),0)),TRUE,0),C49="K",IF(I49="BOTTOM_CLEARER",XLOOKUP("bino_balance_step",Calibration!$B:$B,Calibration!$C:$C,0.25),0),TRUE,0))</f>
        <v>0</v>
      </c>
      <c r="AQ49" s="28">
        <f t="shared" si="12"/>
        <v>0</v>
      </c>
      <c r="AR49" s="28">
        <f t="shared" si="13"/>
        <v>0</v>
      </c>
      <c r="AS49" s="28">
        <f t="array" ref="AS49">IF($I49="","",IF(C49="P",IF(OR(I49="NOT_READABLE",I49="BLURRY"),XLOOKUP("near_add_step",Calibration!$B:$B,Calibration!$C:$C,0.25),0),IF(C49="R",IF(I49="NOT_CLEAR",XLOOKUP("near_add_step",Calibration!$B:$B,Calibration!$C:$C,0.25),0),0)))</f>
        <v>0</v>
      </c>
      <c r="AT49" s="28">
        <f t="array" ref="AT49">IF($I49="","",IF(C49="Q",IF(OR(I49="NOT_READABLE",I49="BLURRY"),XLOOKUP("near_add_step",Calibration!$B:$B,Calibration!$C:$C,0.25),0),IF(C49="R",IF(I49="NOT_CLEAR",XLOOKUP("near_add_step",Calibration!$B:$B,Calibration!$C:$C,0.25),0),0)))</f>
        <v>0</v>
      </c>
      <c r="AU49" s="28" t="str">
        <f t="array" ref="AU49">IF($I49="","",IF(G49="SNELLEN_FEET",IF(I49="READABLE",IFERROR(XLOOKUP(XLOOKUP(R49,Chart_Scale_Distance!B:B,Chart_Scale_Distance!A:A)+1,Chart_Scale_Distance!A:A,Chart_Scale_Distance!B:B),R49),R49),R49))</f>
        <v>20_20_20</v>
      </c>
      <c r="AV49" s="28">
        <f t="array" ref="AV49">IF($I48="","",IFERROR(XLOOKUP(R49,Chart_Scale_Distance!$B:$B,Chart_Scale_Distance!$A:$A,""),""))</f>
        <v>6</v>
      </c>
      <c r="AW49" s="28">
        <f t="array" ref="AW49">IF($I48="","",IFERROR(XLOOKUP(AA49,Chart_Scale_Distance!$B:$B,Chart_Scale_Distance!$A:$A,""),""))</f>
        <v>6</v>
      </c>
      <c r="AX49" s="28">
        <f t="shared" si="14"/>
        <v>1</v>
      </c>
      <c r="AY49" s="28">
        <f t="shared" si="15"/>
        <v>7</v>
      </c>
      <c r="AZ49" s="28" t="str">
        <f t="shared" si="16"/>
        <v/>
      </c>
      <c r="BA49" s="28">
        <f t="shared" si="17"/>
        <v>0</v>
      </c>
      <c r="BB49" s="28">
        <f t="shared" si="18"/>
        <v>0</v>
      </c>
      <c r="BC49" s="28" t="str">
        <f t="array" ref="BC49">IF($I49="","",LET(
conf,AI49,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duoMax,XLOOKUP($B49,Derived_Variables!$A:$A,Derived_Variables!$AI:$AI,4),
axisTol,XLOOKUP($B49,Derived_Variables!$A:$A,Derived_Variables!$W:$W,1),
maxStart,XLOOKUP($B49,Derived_Variables!$A:$A,Derived_Variables!$U:$U,1.25),
maxAR,XLOOKUP($B49,Derived_Variables!$A:$A,Derived_Variables!$V:$V,3),
anom,XLOOKUP($B49,Derived_Variables!$A:$A,Derived_Variables!$Z:$Z,FALSE),
reStart,XLOOKUP($B49,Derived_Variables!$A:$A,Derived_Variables!$K:$K,0),
leStart,XLOOKUP($B49,Derived_Variables!$A:$A,Derived_Variables!$N:$N,0),
reAR,XLOOKUP($B49,AR_Input!$A:$A,AR_Input!$B:$B,reStart),
leAR,XLOOKUP($B49,AR_Input!$A:$A,AR_Input!$E:$E,leStart),
reEsc,AND(anom,OR(ABS((S49+AM49)-reStart)&gt;maxStart,ABS((S49+AM49)-reAR)&gt;maxAR)),
leEsc,AND(anom,OR(ABS((V49+AP49)-leStart)&gt;maxStart,ABS((V49+AP49)-leAR)&gt;maxAR)),
phaseMax,IFS(
 AK49="Fast",
   IFS(
     OR(C49="B",C49="D"),XLOOKUP("timeout_coarse_fast",Calibration!$B:$B,Calibration!$C:$C,24),
     OR(C49="E",C49="F",C49="H",C49="I"),XLOOKUP("timeout_jcc_fast",Calibration!$B:$B,Calibration!$C:$C,10),
     OR(C49="G",C49="J"),XLOOKUP("timeout_duochrome_fast",Calibration!$B:$B,Calibration!$C:$C,8),
     C49="K",XLOOKUP("timeout_bino_fast",Calibration!$B:$B,Calibration!$C:$C,10),
     OR(C49="P",C49="Q",C49="R"),XLOOKUP("timeout_near_fast",Calibration!$B:$B,Calibration!$C:$C,16),
     TRUE,XLOOKUP("timeout_coarse_fast",Calibration!$B:$B,Calibration!$C:$C,24)
   ),
 AK49="Normal",
   IFS(
     OR(C49="B",C49="D"),XLOOKUP("timeout_coarse_normal",Calibration!$B:$B,Calibration!$C:$C,36),
     OR(C49="E",C49="F",C49="H",C49="I"),XLOOKUP("timeout_jcc_normal",Calibration!$B:$B,Calibration!$C:$C,14),
     OR(C49="G",C49="J"),XLOOKUP("timeout_duochrome_normal",Calibration!$B:$B,Calibration!$C:$C,10),
     C49="K",XLOOKUP("timeout_bino_normal",Calibration!$B:$B,Calibration!$C:$C,14),
     OR(C49="P",C49="Q",C49="R"),XLOOKUP("timeout_near_normal",Calibration!$B:$B,Calibration!$C:$C,22),
     TRUE,XLOOKUP("timeout_coarse_normal",Calibration!$B:$B,Calibration!$C:$C,36)
   ),
 TRUE,
   IFS(
     OR(C49="B",C49="D"),XLOOKUP("timeout_coarse_slow",Calibration!$B:$B,Calibration!$C:$C,48),
     OR(C49="E",C49="F",C49="H",C49="I"),XLOOKUP("timeout_jcc_slow",Calibration!$B:$B,Calibration!$C:$C,18),
     OR(C49="G",C49="J"),XLOOKUP("timeout_duochrome_slow",Calibration!$B:$B,Calibration!$C:$C,12),
     C49="K",XLOOKUP("timeout_bino_slow",Calibration!$B:$B,Calibration!$C:$C,18),
     OR(C49="P",C49="Q",C49="R"),XLOOKUP("timeout_near_slow",Calibration!$B:$B,Calibration!$C:$C,28),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AJ49=TRUE,"ESCALATE",
C49="A",
IF(OR(I49="NOT_READABLE",I49="BLURRY",AND(R49="20_20_20",I49="READABLE")),"B","A"),
C49="B",
IF(reEsc,"ESCALATE",IF(AY49&gt;=phaseMax,"ESCALATE",IF(AND(AV49&gt;=AW49,I49="READABLE"),"E","B"))),
C49="E",
IF(AY49&gt;=phaseMax,"ESCALATE",IF(OR(I49="SAME",I49="CANT_TELL",AD49&lt;axisTol),"F","E")),
C49="F",
IF(AY49&gt;=phaseMax,"ESCALATE",IF(AX49&gt;=powerSameN,"G","F")),
C49="G",
IF(AY49&gt;=phaseMax,"ESCALATE",IF(OR(AX49&gt;=duoEqualN,BB49&gt;=duoMax),"D","G")),
C49="D",
IF(leEsc,"ESCALATE",IF(AY49&gt;=phaseMax,"ESCALATE",IF(AND(AV49&gt;=AW49,I49="READABLE"),"H","D"))),
C49="H",
IF(AY49&gt;=phaseMax,"ESCALATE",IF(OR(I49="SAME",I49="CANT_TELL",AD49&lt;axisTol),"I","H")),
C49="I",
IF(AY49&gt;=phaseMax,"ESCALATE",IF(AX49&gt;=powerSameN,"J","I")),
C49="J",
IF(AY49&gt;=phaseMax,"ESCALATE",IF(OR(AX49&gt;=duoEqualN,BB49&gt;=duoMax),"K","J")),
C49="K",
IF(AY49&gt;=phaseMax,"ESCALATE",IF(AX49&gt;=binoSameN,IF(XLOOKUP($B49,Derived_Variables!$A:$A,Derived_Variables!$AJ:$AJ,FALSE)=TRUE,"P","END"),"K")),
C49="P",
IF(AY49&gt;=phaseMax,"ESCALATE",IF(OR(I49="READABLE",I49="SAME"),"Q","P")),
C49="Q",
IF(AY49&gt;=phaseMax,"ESCALATE",IF(OR(I49="READABLE",I49="SAME"),"R","Q")),
C49="R",
IF(AY49&gt;=phaseMax,"ESCALATE",IF(OR(I49=nearTarget,I49="SAME"),"END","R")),
TRUE,"END"
)))</f>
        <v>J</v>
      </c>
      <c r="BD49" s="28" t="b">
        <f t="shared" si="19"/>
        <v>1</v>
      </c>
    </row>
    <row r="50" ht="15.75" customHeight="1">
      <c r="A50" s="28">
        <f t="shared" si="3"/>
        <v>49</v>
      </c>
      <c r="B50" s="28">
        <f t="shared" si="4"/>
        <v>6</v>
      </c>
      <c r="C50" s="28" t="str">
        <f t="shared" si="5"/>
        <v>J</v>
      </c>
      <c r="D50" s="28" t="str">
        <f t="array" ref="D50">IF($I49="","",XLOOKUP(C50,FSM_State_Map!A:A,FSM_State_Map!B:B,""))</f>
        <v>Duochrome LE</v>
      </c>
      <c r="E50" s="28" t="str">
        <f t="array" ref="E50">IF($I49="","",XLOOKUP(C50,FSM_State_Map!A:A,FSM_State_Map!C:C,""))</f>
        <v>DUOCHROME</v>
      </c>
      <c r="F50" s="28" t="str">
        <f t="array" ref="F50">IF($I49="","",XLOOKUP(E50,Phase_UI_Map!A:A,Phase_UI_Map!B:B,""))</f>
        <v>DUOCHROME</v>
      </c>
      <c r="G50" s="28" t="str">
        <f t="array" ref="G50">IF($I49="","",XLOOKUP(E50,Phase_UI_Map!A:A,Phase_UI_Map!C:C,""))</f>
        <v>RED_GREEN_DUOCHROME</v>
      </c>
      <c r="H50" s="28" t="str">
        <f t="array" ref="H50">IF($I49="","",XLOOKUP(E50,Phase_UI_Map!A:A,Phase_UI_Map!D:D,""))</f>
        <v>COLOR_CHOICE</v>
      </c>
      <c r="I50" s="29" t="s">
        <v>223</v>
      </c>
      <c r="J50" s="28" t="str">
        <f>IFERROR(__xludf.DUMMYFUNCTION("IF($I49="""","""",IFERROR(INDEX(FILTER(Response_Lists!$B:$B,Response_Lists!$A:$A=$H50),1),""""))"),"RED_CLEARER")</f>
        <v>RED_CLEARER</v>
      </c>
      <c r="K50" s="28" t="str">
        <f>IFERROR(__xludf.DUMMYFUNCTION("IF($I49="""","""",IFERROR(INDEX(FILTER(Response_Lists!$B:$B,Response_Lists!$A:$A=$H50),2),""""))"),"GREEN_CLEARER")</f>
        <v>GREEN_CLEARER</v>
      </c>
      <c r="L50" s="28" t="str">
        <f>IFERROR(__xludf.DUMMYFUNCTION("IF($I49="""","""",IFERROR(INDEX(FILTER(Response_Lists!$B:$B,Response_Lists!$A:$A=$H50),3),""""))"),"EQUAL")</f>
        <v>EQUAL</v>
      </c>
      <c r="M50" s="28" t="str">
        <f>IFERROR(__xludf.DUMMYFUNCTION("IF($I49="""","""",IFERROR(INDEX(FILTER(Response_Lists!$B:$B,Response_Lists!$A:$A=$H50),4),""""))"),"CANT_TELL")</f>
        <v>CANT_TELL</v>
      </c>
      <c r="N50" s="28" t="str">
        <f>IFERROR(__xludf.DUMMYFUNCTION("IF($I49="""","""",IFERROR(INDEX(FILTER(Response_Lists!$B:$B,Response_Lists!$A:$A=$H50),5),""""))"),"")</f>
        <v/>
      </c>
      <c r="O50" s="28" t="str">
        <f>IFERROR(__xludf.DUMMYFUNCTION("IF($I49="""","""",IFERROR(INDEX(FILTER(Response_Lists!$B:$B,Response_Lists!$A:$A=$H50),6),""""))"),"")</f>
        <v/>
      </c>
      <c r="P50" s="28" t="str">
        <f t="shared" si="6"/>
        <v>Which is clearer: RED or GREEN?</v>
      </c>
      <c r="Q50" s="28" t="str">
        <f t="array" ref="Q50">IF($I49="","",XLOOKUP(C50,FSM_State_Map!A:A,FSM_State_Map!D:D,""))</f>
        <v>LE</v>
      </c>
      <c r="R50" s="28" t="str">
        <f t="shared" si="7"/>
        <v>20_20_20</v>
      </c>
      <c r="S50" s="28">
        <f t="array" ref="S50">IF($I49="","",
IF(
  AND(C50="B",C49&lt;&gt;"B"),
  XLOOKUP($B50,Derived_Variables!$A:$A,Derived_Variables!$K:$K,0)
  + XLOOKUP($B50,Derived_Variables!$A:$A,Derived_Variables!$AE:$AE,0),
  S49+AM49
))</f>
        <v>-1.25</v>
      </c>
      <c r="T50" s="28">
        <f t="shared" ref="T50:U50" si="110">IF($I49="","",T49+AN49)</f>
        <v>-0.25</v>
      </c>
      <c r="U50" s="28">
        <f t="shared" si="110"/>
        <v>2</v>
      </c>
      <c r="V50" s="28">
        <f t="array" ref="V50">IF($I49="","",
IF(
  AND(C50="D",C49&lt;&gt;"D"),
  XLOOKUP($B50,Derived_Variables!$A:$A,Derived_Variables!$N:$N,0)
  + XLOOKUP($B50,Derived_Variables!$A:$A,Derived_Variables!$AE:$AE,0),
  V49+AP49
))</f>
        <v>-1.25</v>
      </c>
      <c r="W50" s="28">
        <f t="shared" ref="W50:X50" si="111">IF($I49="","",W49+AQ49)</f>
        <v>0</v>
      </c>
      <c r="X50" s="28">
        <f t="shared" si="111"/>
        <v>50</v>
      </c>
      <c r="Y50" s="28">
        <f t="array" ref="Y50">IF($I49="","",IF(AND(C50="P",C49&lt;&gt;"P"),IFERROR(XLOOKUP($B50,Lenso_Input!$A:$A,Lenso_Input!$E:$E,0),0),Y49+AS49))</f>
        <v>0</v>
      </c>
      <c r="Z50" s="28">
        <f t="array" ref="Z50">IF($I49="","",IF(AND(C50="Q",C49&lt;&gt;"Q"),IFERROR(XLOOKUP($B50,Lenso_Input!$A:$A,Lenso_Input!$I:$I,0),0),Z49+AT49))</f>
        <v>0</v>
      </c>
      <c r="AA50" s="28" t="str">
        <f t="array" ref="AA50">IF($I49="","",IF(XLOOKUP($B50,Derived_Variables!$A:$A,Derived_Variables!$R:$R,"6/6_target")="6/6_target","20_20_20","40_30_25"))</f>
        <v>20_20_20</v>
      </c>
      <c r="AB50" s="28">
        <f t="array" ref="AB50">IF($I49="","",XLOOKUP(LOWER(XLOOKUP($B50,Derived_Variables!$A:$A,Derived_Variables!$T:$T,"Standard"))&amp;"_sph_step",Calibration!$B:$B,Calibration!$C:$C,0.25))</f>
        <v>0.25</v>
      </c>
      <c r="AC50" s="28">
        <f t="array" ref="AC50">IF($I49="","",XLOOKUP(LOWER(XLOOKUP($B50,Derived_Variables!$A:$A,Derived_Variables!$T:$T,"Standard"))&amp;"_cyl_step",Calibration!$B:$B,Calibration!$C:$C,0.25))</f>
        <v>0.25</v>
      </c>
      <c r="AD50" s="28">
        <f t="array" ref="AD50">IF($I49="","",IF(OR(C50="E",C50="H"),LET(startStep,XLOOKUP("axis_start_step",Calibration!$B:$B,Calibration!$C:$C,5),step1,XLOOKUP("axis_reversal_step_1",Calibration!$B:$B,Calibration!$C:$C,3),step2,XLOOKUP("axis_reversal_step_2",Calibration!$B:$B,Calibration!$C:$C,1),IF(OR(C49&lt;&gt;C50,AZ50="",AZ50="SAME",AZ50="CANT_TELL",I50="",I50="SAME",I50="CANT_TELL"),startStep,IF(OR(AND(AZ50="BETTER_1",I50="BETTER_2"),AND(AZ50="BETTER_2",I50="BETTER_1")),IF(AD49&gt;step1,step1,step2),AD49))),0))</f>
        <v>0</v>
      </c>
      <c r="AE50" s="28" t="str">
        <f t="array" ref="AE50">IF($I49="","",XLOOKUP($B50,Derived_Variables!$A:$A,Derived_Variables!$AD:$AD,"No_Fog"))</f>
        <v>Strong_Fog</v>
      </c>
      <c r="AF50" s="28">
        <f t="array" ref="AF50">IF($I49="","",XLOOKUP($B50,Derived_Variables!$A:$A,Derived_Variables!$AE:$AE,0))</f>
        <v>1</v>
      </c>
      <c r="AG50" s="28" t="str">
        <f t="array" ref="AG50">IF($I49="","",XLOOKUP($B50,Derived_Variables!$A:$A,Derived_Variables!$AF:$AF,""))</f>
        <v>StepDown_0.25</v>
      </c>
      <c r="AH50" s="28" t="str">
        <f t="array" ref="AH50">IF($I49="","",XLOOKUP($B50,Derived_Variables!$A:$A,Derived_Variables!$AG:$AG,""))</f>
        <v>Low</v>
      </c>
      <c r="AI50" s="28" t="str">
        <f t="array" ref="AI50">IF($I49="","",XLOOKUP($B50,Derived_Variables!$A:$A,Derived_Variables!$AC:$AC,"Medium"))</f>
        <v>Low</v>
      </c>
      <c r="AJ50" s="28" t="b">
        <f t="array" ref="AJ50">IF($I49="","",XLOOKUP($B50,Derived_Variables!$A:$A,Derived_Variables!$Y:$Y,FALSE))</f>
        <v>0</v>
      </c>
      <c r="AK50" s="28" t="str">
        <f t="array" ref="AK50">IF($I49="","",XLOOKUP($B50,Derived_Variables!$A:$A,Derived_Variables!$AA:$AA,"Normal"))</f>
        <v>Slow</v>
      </c>
      <c r="AL50" s="28" t="str">
        <f t="array" ref="AL50">IF($I49="","",XLOOKUP($B50,Derived_Variables!$A:$A,Derived_Variables!$AB:$AB,"Normal"))</f>
        <v>Relaxed</v>
      </c>
      <c r="AM50" s="28">
        <f t="array" ref="AM50">IF($I50="","",IFS(C50="B",IF(OR(I50="NOT_READABLE",I50="BLURRY"),-AB50,0),C50="G",IFS(I50="RED_CLEARER",XLOOKUP("duochrome_red_step",Calibration!$B:$B,Calibration!$C:$C,-0.25),I50="GREEN_CLEARER",XLOOKUP("duochrome_green_step",Calibration!$B:$B,Calibration!$C:$C,0.25),I50="EQUAL",IF(XLOOKUP($B50,Derived_Variables!$A:$A,Derived_Variables!$S:$S,"Neutral")="Undercorrect",XLOOKUP("undercorrect_step",Calibration!$B:$B,Calibration!$C:$C,0.25),IF(XLOOKUP($B50,Derived_Variables!$A:$A,Derived_Variables!$S:$S,"Neutral")="Overcorrect",-XLOOKUP("overcorrect_step",Calibration!$B:$B,Calibration!$C:$C,0.25),0)),TRUE,0),C50="K",IF(I50="TOP_CLEARER",XLOOKUP("bino_balance_step",Calibration!$B:$B,Calibration!$C:$C,0.25),0),TRUE,0))</f>
        <v>0</v>
      </c>
      <c r="AN50" s="28">
        <f t="shared" si="10"/>
        <v>0</v>
      </c>
      <c r="AO50" s="28">
        <f t="shared" si="11"/>
        <v>0</v>
      </c>
      <c r="AP50" s="28">
        <f t="array" ref="AP50">IF($I50="","",IFS(C50="D",IF(OR(I50="NOT_READABLE",I50="BLURRY"),-AB50,0),C50="J",IFS(I50="RED_CLEARER",XLOOKUP("duochrome_red_step",Calibration!$B:$B,Calibration!$C:$C,-0.25),I50="GREEN_CLEARER",XLOOKUP("duochrome_green_step",Calibration!$B:$B,Calibration!$C:$C,0.25),I50="EQUAL",IF(XLOOKUP($B50,Derived_Variables!$A:$A,Derived_Variables!$S:$S,"Neutral")="Undercorrect",XLOOKUP("undercorrect_step",Calibration!$B:$B,Calibration!$C:$C,0.25),IF(XLOOKUP($B50,Derived_Variables!$A:$A,Derived_Variables!$S:$S,"Neutral")="Overcorrect",-XLOOKUP("overcorrect_step",Calibration!$B:$B,Calibration!$C:$C,0.25),0)),TRUE,0),C50="K",IF(I50="BOTTOM_CLEARER",XLOOKUP("bino_balance_step",Calibration!$B:$B,Calibration!$C:$C,0.25),0),TRUE,0))</f>
        <v>-0.25</v>
      </c>
      <c r="AQ50" s="28">
        <f t="shared" si="12"/>
        <v>0</v>
      </c>
      <c r="AR50" s="28">
        <f t="shared" si="13"/>
        <v>0</v>
      </c>
      <c r="AS50" s="28">
        <f t="array" ref="AS50">IF($I50="","",IF(C50="P",IF(OR(I50="NOT_READABLE",I50="BLURRY"),XLOOKUP("near_add_step",Calibration!$B:$B,Calibration!$C:$C,0.25),0),IF(C50="R",IF(I50="NOT_CLEAR",XLOOKUP("near_add_step",Calibration!$B:$B,Calibration!$C:$C,0.25),0),0)))</f>
        <v>0</v>
      </c>
      <c r="AT50" s="28">
        <f t="array" ref="AT50">IF($I50="","",IF(C50="Q",IF(OR(I50="NOT_READABLE",I50="BLURRY"),XLOOKUP("near_add_step",Calibration!$B:$B,Calibration!$C:$C,0.25),0),IF(C50="R",IF(I50="NOT_CLEAR",XLOOKUP("near_add_step",Calibration!$B:$B,Calibration!$C:$C,0.25),0),0)))</f>
        <v>0</v>
      </c>
      <c r="AU50" s="28" t="str">
        <f t="array" ref="AU50">IF($I50="","",IF(G50="SNELLEN_FEET",IF(I50="READABLE",IFERROR(XLOOKUP(XLOOKUP(R50,Chart_Scale_Distance!B:B,Chart_Scale_Distance!A:A)+1,Chart_Scale_Distance!A:A,Chart_Scale_Distance!B:B),R50),R50),R50))</f>
        <v>20_20_20</v>
      </c>
      <c r="AV50" s="28">
        <f t="array" ref="AV50">IF($I49="","",IFERROR(XLOOKUP(R50,Chart_Scale_Distance!$B:$B,Chart_Scale_Distance!$A:$A,""),""))</f>
        <v>6</v>
      </c>
      <c r="AW50" s="28">
        <f t="array" ref="AW50">IF($I49="","",IFERROR(XLOOKUP(AA50,Chart_Scale_Distance!$B:$B,Chart_Scale_Distance!$A:$A,""),""))</f>
        <v>6</v>
      </c>
      <c r="AX50" s="28">
        <f t="shared" si="14"/>
        <v>0</v>
      </c>
      <c r="AY50" s="28">
        <f t="shared" si="15"/>
        <v>1</v>
      </c>
      <c r="AZ50" s="28" t="str">
        <f t="shared" si="16"/>
        <v/>
      </c>
      <c r="BA50" s="28">
        <f t="shared" si="17"/>
        <v>1</v>
      </c>
      <c r="BB50" s="28">
        <f t="shared" si="18"/>
        <v>0</v>
      </c>
      <c r="BC50" s="28" t="str">
        <f t="array" ref="BC50">IF($I50="","",LET(
conf,AI50,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duoMax,XLOOKUP($B50,Derived_Variables!$A:$A,Derived_Variables!$AI:$AI,4),
axisTol,XLOOKUP($B50,Derived_Variables!$A:$A,Derived_Variables!$W:$W,1),
maxStart,XLOOKUP($B50,Derived_Variables!$A:$A,Derived_Variables!$U:$U,1.25),
maxAR,XLOOKUP($B50,Derived_Variables!$A:$A,Derived_Variables!$V:$V,3),
anom,XLOOKUP($B50,Derived_Variables!$A:$A,Derived_Variables!$Z:$Z,FALSE),
reStart,XLOOKUP($B50,Derived_Variables!$A:$A,Derived_Variables!$K:$K,0),
leStart,XLOOKUP($B50,Derived_Variables!$A:$A,Derived_Variables!$N:$N,0),
reAR,XLOOKUP($B50,AR_Input!$A:$A,AR_Input!$B:$B,reStart),
leAR,XLOOKUP($B50,AR_Input!$A:$A,AR_Input!$E:$E,leStart),
reEsc,AND(anom,OR(ABS((S50+AM50)-reStart)&gt;maxStart,ABS((S50+AM50)-reAR)&gt;maxAR)),
leEsc,AND(anom,OR(ABS((V50+AP50)-leStart)&gt;maxStart,ABS((V50+AP50)-leAR)&gt;maxAR)),
phaseMax,IFS(
 AK50="Fast",
   IFS(
     OR(C50="B",C50="D"),XLOOKUP("timeout_coarse_fast",Calibration!$B:$B,Calibration!$C:$C,24),
     OR(C50="E",C50="F",C50="H",C50="I"),XLOOKUP("timeout_jcc_fast",Calibration!$B:$B,Calibration!$C:$C,10),
     OR(C50="G",C50="J"),XLOOKUP("timeout_duochrome_fast",Calibration!$B:$B,Calibration!$C:$C,8),
     C50="K",XLOOKUP("timeout_bino_fast",Calibration!$B:$B,Calibration!$C:$C,10),
     OR(C50="P",C50="Q",C50="R"),XLOOKUP("timeout_near_fast",Calibration!$B:$B,Calibration!$C:$C,16),
     TRUE,XLOOKUP("timeout_coarse_fast",Calibration!$B:$B,Calibration!$C:$C,24)
   ),
 AK50="Normal",
   IFS(
     OR(C50="B",C50="D"),XLOOKUP("timeout_coarse_normal",Calibration!$B:$B,Calibration!$C:$C,36),
     OR(C50="E",C50="F",C50="H",C50="I"),XLOOKUP("timeout_jcc_normal",Calibration!$B:$B,Calibration!$C:$C,14),
     OR(C50="G",C50="J"),XLOOKUP("timeout_duochrome_normal",Calibration!$B:$B,Calibration!$C:$C,10),
     C50="K",XLOOKUP("timeout_bino_normal",Calibration!$B:$B,Calibration!$C:$C,14),
     OR(C50="P",C50="Q",C50="R"),XLOOKUP("timeout_near_normal",Calibration!$B:$B,Calibration!$C:$C,22),
     TRUE,XLOOKUP("timeout_coarse_normal",Calibration!$B:$B,Calibration!$C:$C,36)
   ),
 TRUE,
   IFS(
     OR(C50="B",C50="D"),XLOOKUP("timeout_coarse_slow",Calibration!$B:$B,Calibration!$C:$C,48),
     OR(C50="E",C50="F",C50="H",C50="I"),XLOOKUP("timeout_jcc_slow",Calibration!$B:$B,Calibration!$C:$C,18),
     OR(C50="G",C50="J"),XLOOKUP("timeout_duochrome_slow",Calibration!$B:$B,Calibration!$C:$C,12),
     C50="K",XLOOKUP("timeout_bino_slow",Calibration!$B:$B,Calibration!$C:$C,18),
     OR(C50="P",C50="Q",C50="R"),XLOOKUP("timeout_near_slow",Calibration!$B:$B,Calibration!$C:$C,28),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AJ50=TRUE,"ESCALATE",
C50="A",
IF(OR(I50="NOT_READABLE",I50="BLURRY",AND(R50="20_20_20",I50="READABLE")),"B","A"),
C50="B",
IF(reEsc,"ESCALATE",IF(AY50&gt;=phaseMax,"ESCALATE",IF(AND(AV50&gt;=AW50,I50="READABLE"),"E","B"))),
C50="E",
IF(AY50&gt;=phaseMax,"ESCALATE",IF(OR(I50="SAME",I50="CANT_TELL",AD50&lt;axisTol),"F","E")),
C50="F",
IF(AY50&gt;=phaseMax,"ESCALATE",IF(AX50&gt;=powerSameN,"G","F")),
C50="G",
IF(AY50&gt;=phaseMax,"ESCALATE",IF(OR(AX50&gt;=duoEqualN,BB50&gt;=duoMax),"D","G")),
C50="D",
IF(leEsc,"ESCALATE",IF(AY50&gt;=phaseMax,"ESCALATE",IF(AND(AV50&gt;=AW50,I50="READABLE"),"H","D"))),
C50="H",
IF(AY50&gt;=phaseMax,"ESCALATE",IF(OR(I50="SAME",I50="CANT_TELL",AD50&lt;axisTol),"I","H")),
C50="I",
IF(AY50&gt;=phaseMax,"ESCALATE",IF(AX50&gt;=powerSameN,"J","I")),
C50="J",
IF(AY50&gt;=phaseMax,"ESCALATE",IF(OR(AX50&gt;=duoEqualN,BB50&gt;=duoMax),"K","J")),
C50="K",
IF(AY50&gt;=phaseMax,"ESCALATE",IF(AX50&gt;=binoSameN,IF(XLOOKUP($B50,Derived_Variables!$A:$A,Derived_Variables!$AJ:$AJ,FALSE)=TRUE,"P","END"),"K")),
C50="P",
IF(AY50&gt;=phaseMax,"ESCALATE",IF(OR(I50="READABLE",I50="SAME"),"Q","P")),
C50="Q",
IF(AY50&gt;=phaseMax,"ESCALATE",IF(OR(I50="READABLE",I50="SAME"),"R","Q")),
C50="R",
IF(AY50&gt;=phaseMax,"ESCALATE",IF(OR(I50=nearTarget,I50="SAME"),"END","R")),
TRUE,"END"
)))</f>
        <v>J</v>
      </c>
      <c r="BD50" s="28" t="b">
        <f t="shared" si="19"/>
        <v>1</v>
      </c>
    </row>
    <row r="51" ht="15.75" customHeight="1">
      <c r="A51" s="28">
        <f t="shared" si="3"/>
        <v>50</v>
      </c>
      <c r="B51" s="28">
        <f t="shared" si="4"/>
        <v>6</v>
      </c>
      <c r="C51" s="28" t="str">
        <f t="shared" si="5"/>
        <v>J</v>
      </c>
      <c r="D51" s="28" t="str">
        <f t="array" ref="D51">IF($I50="","",XLOOKUP(C51,FSM_State_Map!A:A,FSM_State_Map!B:B,""))</f>
        <v>Duochrome LE</v>
      </c>
      <c r="E51" s="28" t="str">
        <f t="array" ref="E51">IF($I50="","",XLOOKUP(C51,FSM_State_Map!A:A,FSM_State_Map!C:C,""))</f>
        <v>DUOCHROME</v>
      </c>
      <c r="F51" s="28" t="str">
        <f t="array" ref="F51">IF($I50="","",XLOOKUP(E51,Phase_UI_Map!A:A,Phase_UI_Map!B:B,""))</f>
        <v>DUOCHROME</v>
      </c>
      <c r="G51" s="28" t="str">
        <f t="array" ref="G51">IF($I50="","",XLOOKUP(E51,Phase_UI_Map!A:A,Phase_UI_Map!C:C,""))</f>
        <v>RED_GREEN_DUOCHROME</v>
      </c>
      <c r="H51" s="28" t="str">
        <f t="array" ref="H51">IF($I50="","",XLOOKUP(E51,Phase_UI_Map!A:A,Phase_UI_Map!D:D,""))</f>
        <v>COLOR_CHOICE</v>
      </c>
      <c r="I51" s="29" t="s">
        <v>224</v>
      </c>
      <c r="J51" s="28" t="str">
        <f>IFERROR(__xludf.DUMMYFUNCTION("IF($I50="""","""",IFERROR(INDEX(FILTER(Response_Lists!$B:$B,Response_Lists!$A:$A=$H51),1),""""))"),"RED_CLEARER")</f>
        <v>RED_CLEARER</v>
      </c>
      <c r="K51" s="28" t="str">
        <f>IFERROR(__xludf.DUMMYFUNCTION("IF($I50="""","""",IFERROR(INDEX(FILTER(Response_Lists!$B:$B,Response_Lists!$A:$A=$H51),2),""""))"),"GREEN_CLEARER")</f>
        <v>GREEN_CLEARER</v>
      </c>
      <c r="L51" s="28" t="str">
        <f>IFERROR(__xludf.DUMMYFUNCTION("IF($I50="""","""",IFERROR(INDEX(FILTER(Response_Lists!$B:$B,Response_Lists!$A:$A=$H51),3),""""))"),"EQUAL")</f>
        <v>EQUAL</v>
      </c>
      <c r="M51" s="28" t="str">
        <f>IFERROR(__xludf.DUMMYFUNCTION("IF($I50="""","""",IFERROR(INDEX(FILTER(Response_Lists!$B:$B,Response_Lists!$A:$A=$H51),4),""""))"),"CANT_TELL")</f>
        <v>CANT_TELL</v>
      </c>
      <c r="N51" s="28" t="str">
        <f>IFERROR(__xludf.DUMMYFUNCTION("IF($I50="""","""",IFERROR(INDEX(FILTER(Response_Lists!$B:$B,Response_Lists!$A:$A=$H51),5),""""))"),"")</f>
        <v/>
      </c>
      <c r="O51" s="28" t="str">
        <f>IFERROR(__xludf.DUMMYFUNCTION("IF($I50="""","""",IFERROR(INDEX(FILTER(Response_Lists!$B:$B,Response_Lists!$A:$A=$H51),6),""""))"),"")</f>
        <v/>
      </c>
      <c r="P51" s="28" t="str">
        <f t="shared" si="6"/>
        <v>Which is clearer: RED or GREEN?</v>
      </c>
      <c r="Q51" s="28" t="str">
        <f t="array" ref="Q51">IF($I50="","",XLOOKUP(C51,FSM_State_Map!A:A,FSM_State_Map!D:D,""))</f>
        <v>LE</v>
      </c>
      <c r="R51" s="28" t="str">
        <f t="shared" si="7"/>
        <v>20_20_20</v>
      </c>
      <c r="S51" s="28">
        <f t="array" ref="S51">IF($I50="","",
IF(
  AND(C51="B",C50&lt;&gt;"B"),
  XLOOKUP($B51,Derived_Variables!$A:$A,Derived_Variables!$K:$K,0)
  + XLOOKUP($B51,Derived_Variables!$A:$A,Derived_Variables!$AE:$AE,0),
  S50+AM50
))</f>
        <v>-1.25</v>
      </c>
      <c r="T51" s="28">
        <f t="shared" ref="T51:U51" si="112">IF($I50="","",T50+AN50)</f>
        <v>-0.25</v>
      </c>
      <c r="U51" s="28">
        <f t="shared" si="112"/>
        <v>2</v>
      </c>
      <c r="V51" s="28">
        <f t="array" ref="V51">IF($I50="","",
IF(
  AND(C51="D",C50&lt;&gt;"D"),
  XLOOKUP($B51,Derived_Variables!$A:$A,Derived_Variables!$N:$N,0)
  + XLOOKUP($B51,Derived_Variables!$A:$A,Derived_Variables!$AE:$AE,0),
  V50+AP50
))</f>
        <v>-1.5</v>
      </c>
      <c r="W51" s="28">
        <f t="shared" ref="W51:X51" si="113">IF($I50="","",W50+AQ50)</f>
        <v>0</v>
      </c>
      <c r="X51" s="28">
        <f t="shared" si="113"/>
        <v>50</v>
      </c>
      <c r="Y51" s="28">
        <f t="array" ref="Y51">IF($I50="","",IF(AND(C51="P",C50&lt;&gt;"P"),IFERROR(XLOOKUP($B51,Lenso_Input!$A:$A,Lenso_Input!$E:$E,0),0),Y50+AS50))</f>
        <v>0</v>
      </c>
      <c r="Z51" s="28">
        <f t="array" ref="Z51">IF($I50="","",IF(AND(C51="Q",C50&lt;&gt;"Q"),IFERROR(XLOOKUP($B51,Lenso_Input!$A:$A,Lenso_Input!$I:$I,0),0),Z50+AT50))</f>
        <v>0</v>
      </c>
      <c r="AA51" s="28" t="str">
        <f t="array" ref="AA51">IF($I50="","",IF(XLOOKUP($B51,Derived_Variables!$A:$A,Derived_Variables!$R:$R,"6/6_target")="6/6_target","20_20_20","40_30_25"))</f>
        <v>20_20_20</v>
      </c>
      <c r="AB51" s="28">
        <f t="array" ref="AB51">IF($I50="","",XLOOKUP(LOWER(XLOOKUP($B51,Derived_Variables!$A:$A,Derived_Variables!$T:$T,"Standard"))&amp;"_sph_step",Calibration!$B:$B,Calibration!$C:$C,0.25))</f>
        <v>0.25</v>
      </c>
      <c r="AC51" s="28">
        <f t="array" ref="AC51">IF($I50="","",XLOOKUP(LOWER(XLOOKUP($B51,Derived_Variables!$A:$A,Derived_Variables!$T:$T,"Standard"))&amp;"_cyl_step",Calibration!$B:$B,Calibration!$C:$C,0.25))</f>
        <v>0.25</v>
      </c>
      <c r="AD51" s="28">
        <f t="array" ref="AD51">IF($I50="","",IF(OR(C51="E",C51="H"),LET(startStep,XLOOKUP("axis_start_step",Calibration!$B:$B,Calibration!$C:$C,5),step1,XLOOKUP("axis_reversal_step_1",Calibration!$B:$B,Calibration!$C:$C,3),step2,XLOOKUP("axis_reversal_step_2",Calibration!$B:$B,Calibration!$C:$C,1),IF(OR(C50&lt;&gt;C51,AZ51="",AZ51="SAME",AZ51="CANT_TELL",I51="",I51="SAME",I51="CANT_TELL"),startStep,IF(OR(AND(AZ51="BETTER_1",I51="BETTER_2"),AND(AZ51="BETTER_2",I51="BETTER_1")),IF(AD50&gt;step1,step1,step2),AD50))),0))</f>
        <v>0</v>
      </c>
      <c r="AE51" s="28" t="str">
        <f t="array" ref="AE51">IF($I50="","",XLOOKUP($B51,Derived_Variables!$A:$A,Derived_Variables!$AD:$AD,"No_Fog"))</f>
        <v>Strong_Fog</v>
      </c>
      <c r="AF51" s="28">
        <f t="array" ref="AF51">IF($I50="","",XLOOKUP($B51,Derived_Variables!$A:$A,Derived_Variables!$AE:$AE,0))</f>
        <v>1</v>
      </c>
      <c r="AG51" s="28" t="str">
        <f t="array" ref="AG51">IF($I50="","",XLOOKUP($B51,Derived_Variables!$A:$A,Derived_Variables!$AF:$AF,""))</f>
        <v>StepDown_0.25</v>
      </c>
      <c r="AH51" s="28" t="str">
        <f t="array" ref="AH51">IF($I50="","",XLOOKUP($B51,Derived_Variables!$A:$A,Derived_Variables!$AG:$AG,""))</f>
        <v>Low</v>
      </c>
      <c r="AI51" s="28" t="str">
        <f t="array" ref="AI51">IF($I50="","",XLOOKUP($B51,Derived_Variables!$A:$A,Derived_Variables!$AC:$AC,"Medium"))</f>
        <v>Low</v>
      </c>
      <c r="AJ51" s="28" t="b">
        <f t="array" ref="AJ51">IF($I50="","",XLOOKUP($B51,Derived_Variables!$A:$A,Derived_Variables!$Y:$Y,FALSE))</f>
        <v>0</v>
      </c>
      <c r="AK51" s="28" t="str">
        <f t="array" ref="AK51">IF($I50="","",XLOOKUP($B51,Derived_Variables!$A:$A,Derived_Variables!$AA:$AA,"Normal"))</f>
        <v>Slow</v>
      </c>
      <c r="AL51" s="28" t="str">
        <f t="array" ref="AL51">IF($I50="","",XLOOKUP($B51,Derived_Variables!$A:$A,Derived_Variables!$AB:$AB,"Normal"))</f>
        <v>Relaxed</v>
      </c>
      <c r="AM51" s="28">
        <f t="array" ref="AM51">IF($I51="","",IFS(C51="B",IF(OR(I51="NOT_READABLE",I51="BLURRY"),-AB51,0),C51="G",IFS(I51="RED_CLEARER",XLOOKUP("duochrome_red_step",Calibration!$B:$B,Calibration!$C:$C,-0.25),I51="GREEN_CLEARER",XLOOKUP("duochrome_green_step",Calibration!$B:$B,Calibration!$C:$C,0.25),I51="EQUAL",IF(XLOOKUP($B51,Derived_Variables!$A:$A,Derived_Variables!$S:$S,"Neutral")="Undercorrect",XLOOKUP("undercorrect_step",Calibration!$B:$B,Calibration!$C:$C,0.25),IF(XLOOKUP($B51,Derived_Variables!$A:$A,Derived_Variables!$S:$S,"Neutral")="Overcorrect",-XLOOKUP("overcorrect_step",Calibration!$B:$B,Calibration!$C:$C,0.25),0)),TRUE,0),C51="K",IF(I51="TOP_CLEARER",XLOOKUP("bino_balance_step",Calibration!$B:$B,Calibration!$C:$C,0.25),0),TRUE,0))</f>
        <v>0</v>
      </c>
      <c r="AN51" s="28">
        <f t="shared" si="10"/>
        <v>0</v>
      </c>
      <c r="AO51" s="28">
        <f t="shared" si="11"/>
        <v>0</v>
      </c>
      <c r="AP51" s="28">
        <f t="array" ref="AP51">IF($I51="","",IFS(C51="D",IF(OR(I51="NOT_READABLE",I51="BLURRY"),-AB51,0),C51="J",IFS(I51="RED_CLEARER",XLOOKUP("duochrome_red_step",Calibration!$B:$B,Calibration!$C:$C,-0.25),I51="GREEN_CLEARER",XLOOKUP("duochrome_green_step",Calibration!$B:$B,Calibration!$C:$C,0.25),I51="EQUAL",IF(XLOOKUP($B51,Derived_Variables!$A:$A,Derived_Variables!$S:$S,"Neutral")="Undercorrect",XLOOKUP("undercorrect_step",Calibration!$B:$B,Calibration!$C:$C,0.25),IF(XLOOKUP($B51,Derived_Variables!$A:$A,Derived_Variables!$S:$S,"Neutral")="Overcorrect",-XLOOKUP("overcorrect_step",Calibration!$B:$B,Calibration!$C:$C,0.25),0)),TRUE,0),C51="K",IF(I51="BOTTOM_CLEARER",XLOOKUP("bino_balance_step",Calibration!$B:$B,Calibration!$C:$C,0.25),0),TRUE,0))</f>
        <v>0.25</v>
      </c>
      <c r="AQ51" s="28">
        <f t="shared" si="12"/>
        <v>0</v>
      </c>
      <c r="AR51" s="28">
        <f t="shared" si="13"/>
        <v>0</v>
      </c>
      <c r="AS51" s="28">
        <f t="array" ref="AS51">IF($I51="","",IF(C51="P",IF(OR(I51="NOT_READABLE",I51="BLURRY"),XLOOKUP("near_add_step",Calibration!$B:$B,Calibration!$C:$C,0.25),0),IF(C51="R",IF(I51="NOT_CLEAR",XLOOKUP("near_add_step",Calibration!$B:$B,Calibration!$C:$C,0.25),0),0)))</f>
        <v>0</v>
      </c>
      <c r="AT51" s="28">
        <f t="array" ref="AT51">IF($I51="","",IF(C51="Q",IF(OR(I51="NOT_READABLE",I51="BLURRY"),XLOOKUP("near_add_step",Calibration!$B:$B,Calibration!$C:$C,0.25),0),IF(C51="R",IF(I51="NOT_CLEAR",XLOOKUP("near_add_step",Calibration!$B:$B,Calibration!$C:$C,0.25),0),0)))</f>
        <v>0</v>
      </c>
      <c r="AU51" s="28" t="str">
        <f t="array" ref="AU51">IF($I51="","",IF(G51="SNELLEN_FEET",IF(I51="READABLE",IFERROR(XLOOKUP(XLOOKUP(R51,Chart_Scale_Distance!B:B,Chart_Scale_Distance!A:A)+1,Chart_Scale_Distance!A:A,Chart_Scale_Distance!B:B),R51),R51),R51))</f>
        <v>20_20_20</v>
      </c>
      <c r="AV51" s="28">
        <f t="array" ref="AV51">IF($I50="","",IFERROR(XLOOKUP(R51,Chart_Scale_Distance!$B:$B,Chart_Scale_Distance!$A:$A,""),""))</f>
        <v>6</v>
      </c>
      <c r="AW51" s="28">
        <f t="array" ref="AW51">IF($I50="","",IFERROR(XLOOKUP(AA51,Chart_Scale_Distance!$B:$B,Chart_Scale_Distance!$A:$A,""),""))</f>
        <v>6</v>
      </c>
      <c r="AX51" s="28">
        <f t="shared" si="14"/>
        <v>0</v>
      </c>
      <c r="AY51" s="28">
        <f t="shared" si="15"/>
        <v>2</v>
      </c>
      <c r="AZ51" s="28" t="str">
        <f t="shared" si="16"/>
        <v/>
      </c>
      <c r="BA51" s="28">
        <f t="shared" si="17"/>
        <v>2</v>
      </c>
      <c r="BB51" s="28">
        <f t="shared" si="18"/>
        <v>1</v>
      </c>
      <c r="BC51" s="28" t="str">
        <f t="array" ref="BC51">IF($I51="","",LET(
conf,AI51,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duoMax,XLOOKUP($B51,Derived_Variables!$A:$A,Derived_Variables!$AI:$AI,4),
axisTol,XLOOKUP($B51,Derived_Variables!$A:$A,Derived_Variables!$W:$W,1),
maxStart,XLOOKUP($B51,Derived_Variables!$A:$A,Derived_Variables!$U:$U,1.25),
maxAR,XLOOKUP($B51,Derived_Variables!$A:$A,Derived_Variables!$V:$V,3),
anom,XLOOKUP($B51,Derived_Variables!$A:$A,Derived_Variables!$Z:$Z,FALSE),
reStart,XLOOKUP($B51,Derived_Variables!$A:$A,Derived_Variables!$K:$K,0),
leStart,XLOOKUP($B51,Derived_Variables!$A:$A,Derived_Variables!$N:$N,0),
reAR,XLOOKUP($B51,AR_Input!$A:$A,AR_Input!$B:$B,reStart),
leAR,XLOOKUP($B51,AR_Input!$A:$A,AR_Input!$E:$E,leStart),
reEsc,AND(anom,OR(ABS((S51+AM51)-reStart)&gt;maxStart,ABS((S51+AM51)-reAR)&gt;maxAR)),
leEsc,AND(anom,OR(ABS((V51+AP51)-leStart)&gt;maxStart,ABS((V51+AP51)-leAR)&gt;maxAR)),
phaseMax,IFS(
 AK51="Fast",
   IFS(
     OR(C51="B",C51="D"),XLOOKUP("timeout_coarse_fast",Calibration!$B:$B,Calibration!$C:$C,24),
     OR(C51="E",C51="F",C51="H",C51="I"),XLOOKUP("timeout_jcc_fast",Calibration!$B:$B,Calibration!$C:$C,10),
     OR(C51="G",C51="J"),XLOOKUP("timeout_duochrome_fast",Calibration!$B:$B,Calibration!$C:$C,8),
     C51="K",XLOOKUP("timeout_bino_fast",Calibration!$B:$B,Calibration!$C:$C,10),
     OR(C51="P",C51="Q",C51="R"),XLOOKUP("timeout_near_fast",Calibration!$B:$B,Calibration!$C:$C,16),
     TRUE,XLOOKUP("timeout_coarse_fast",Calibration!$B:$B,Calibration!$C:$C,24)
   ),
 AK51="Normal",
   IFS(
     OR(C51="B",C51="D"),XLOOKUP("timeout_coarse_normal",Calibration!$B:$B,Calibration!$C:$C,36),
     OR(C51="E",C51="F",C51="H",C51="I"),XLOOKUP("timeout_jcc_normal",Calibration!$B:$B,Calibration!$C:$C,14),
     OR(C51="G",C51="J"),XLOOKUP("timeout_duochrome_normal",Calibration!$B:$B,Calibration!$C:$C,10),
     C51="K",XLOOKUP("timeout_bino_normal",Calibration!$B:$B,Calibration!$C:$C,14),
     OR(C51="P",C51="Q",C51="R"),XLOOKUP("timeout_near_normal",Calibration!$B:$B,Calibration!$C:$C,22),
     TRUE,XLOOKUP("timeout_coarse_normal",Calibration!$B:$B,Calibration!$C:$C,36)
   ),
 TRUE,
   IFS(
     OR(C51="B",C51="D"),XLOOKUP("timeout_coarse_slow",Calibration!$B:$B,Calibration!$C:$C,48),
     OR(C51="E",C51="F",C51="H",C51="I"),XLOOKUP("timeout_jcc_slow",Calibration!$B:$B,Calibration!$C:$C,18),
     OR(C51="G",C51="J"),XLOOKUP("timeout_duochrome_slow",Calibration!$B:$B,Calibration!$C:$C,12),
     C51="K",XLOOKUP("timeout_bino_slow",Calibration!$B:$B,Calibration!$C:$C,18),
     OR(C51="P",C51="Q",C51="R"),XLOOKUP("timeout_near_slow",Calibration!$B:$B,Calibration!$C:$C,28),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AJ51=TRUE,"ESCALATE",
C51="A",
IF(OR(I51="NOT_READABLE",I51="BLURRY",AND(R51="20_20_20",I51="READABLE")),"B","A"),
C51="B",
IF(reEsc,"ESCALATE",IF(AY51&gt;=phaseMax,"ESCALATE",IF(AND(AV51&gt;=AW51,I51="READABLE"),"E","B"))),
C51="E",
IF(AY51&gt;=phaseMax,"ESCALATE",IF(OR(I51="SAME",I51="CANT_TELL",AD51&lt;axisTol),"F","E")),
C51="F",
IF(AY51&gt;=phaseMax,"ESCALATE",IF(AX51&gt;=powerSameN,"G","F")),
C51="G",
IF(AY51&gt;=phaseMax,"ESCALATE",IF(OR(AX51&gt;=duoEqualN,BB51&gt;=duoMax),"D","G")),
C51="D",
IF(leEsc,"ESCALATE",IF(AY51&gt;=phaseMax,"ESCALATE",IF(AND(AV51&gt;=AW51,I51="READABLE"),"H","D"))),
C51="H",
IF(AY51&gt;=phaseMax,"ESCALATE",IF(OR(I51="SAME",I51="CANT_TELL",AD51&lt;axisTol),"I","H")),
C51="I",
IF(AY51&gt;=phaseMax,"ESCALATE",IF(AX51&gt;=powerSameN,"J","I")),
C51="J",
IF(AY51&gt;=phaseMax,"ESCALATE",IF(OR(AX51&gt;=duoEqualN,BB51&gt;=duoMax),"K","J")),
C51="K",
IF(AY51&gt;=phaseMax,"ESCALATE",IF(AX51&gt;=binoSameN,IF(XLOOKUP($B51,Derived_Variables!$A:$A,Derived_Variables!$AJ:$AJ,FALSE)=TRUE,"P","END"),"K")),
C51="P",
IF(AY51&gt;=phaseMax,"ESCALATE",IF(OR(I51="READABLE",I51="SAME"),"Q","P")),
C51="Q",
IF(AY51&gt;=phaseMax,"ESCALATE",IF(OR(I51="READABLE",I51="SAME"),"R","Q")),
C51="R",
IF(AY51&gt;=phaseMax,"ESCALATE",IF(OR(I51=nearTarget,I51="SAME"),"END","R")),
TRUE,"END"
)))</f>
        <v>J</v>
      </c>
      <c r="BD51" s="28" t="b">
        <f t="shared" si="19"/>
        <v>1</v>
      </c>
    </row>
    <row r="52" ht="15.75" customHeight="1">
      <c r="A52" s="28">
        <f t="shared" si="3"/>
        <v>51</v>
      </c>
      <c r="B52" s="28">
        <f t="shared" si="4"/>
        <v>6</v>
      </c>
      <c r="C52" s="28" t="str">
        <f t="shared" si="5"/>
        <v>J</v>
      </c>
      <c r="D52" s="28" t="str">
        <f t="array" ref="D52">IF($I51="","",XLOOKUP(C52,FSM_State_Map!A:A,FSM_State_Map!B:B,""))</f>
        <v>Duochrome LE</v>
      </c>
      <c r="E52" s="28" t="str">
        <f t="array" ref="E52">IF($I51="","",XLOOKUP(C52,FSM_State_Map!A:A,FSM_State_Map!C:C,""))</f>
        <v>DUOCHROME</v>
      </c>
      <c r="F52" s="28" t="str">
        <f t="array" ref="F52">IF($I51="","",XLOOKUP(E52,Phase_UI_Map!A:A,Phase_UI_Map!B:B,""))</f>
        <v>DUOCHROME</v>
      </c>
      <c r="G52" s="28" t="str">
        <f t="array" ref="G52">IF($I51="","",XLOOKUP(E52,Phase_UI_Map!A:A,Phase_UI_Map!C:C,""))</f>
        <v>RED_GREEN_DUOCHROME</v>
      </c>
      <c r="H52" s="28" t="str">
        <f t="array" ref="H52">IF($I51="","",XLOOKUP(E52,Phase_UI_Map!A:A,Phase_UI_Map!D:D,""))</f>
        <v>COLOR_CHOICE</v>
      </c>
      <c r="I52" s="29" t="s">
        <v>223</v>
      </c>
      <c r="J52" s="28" t="str">
        <f>IFERROR(__xludf.DUMMYFUNCTION("IF($I51="""","""",IFERROR(INDEX(FILTER(Response_Lists!$B:$B,Response_Lists!$A:$A=$H52),1),""""))"),"RED_CLEARER")</f>
        <v>RED_CLEARER</v>
      </c>
      <c r="K52" s="28" t="str">
        <f>IFERROR(__xludf.DUMMYFUNCTION("IF($I51="""","""",IFERROR(INDEX(FILTER(Response_Lists!$B:$B,Response_Lists!$A:$A=$H52),2),""""))"),"GREEN_CLEARER")</f>
        <v>GREEN_CLEARER</v>
      </c>
      <c r="L52" s="28" t="str">
        <f>IFERROR(__xludf.DUMMYFUNCTION("IF($I51="""","""",IFERROR(INDEX(FILTER(Response_Lists!$B:$B,Response_Lists!$A:$A=$H52),3),""""))"),"EQUAL")</f>
        <v>EQUAL</v>
      </c>
      <c r="M52" s="28" t="str">
        <f>IFERROR(__xludf.DUMMYFUNCTION("IF($I51="""","""",IFERROR(INDEX(FILTER(Response_Lists!$B:$B,Response_Lists!$A:$A=$H52),4),""""))"),"CANT_TELL")</f>
        <v>CANT_TELL</v>
      </c>
      <c r="N52" s="28" t="str">
        <f>IFERROR(__xludf.DUMMYFUNCTION("IF($I51="""","""",IFERROR(INDEX(FILTER(Response_Lists!$B:$B,Response_Lists!$A:$A=$H52),5),""""))"),"")</f>
        <v/>
      </c>
      <c r="O52" s="28" t="str">
        <f>IFERROR(__xludf.DUMMYFUNCTION("IF($I51="""","""",IFERROR(INDEX(FILTER(Response_Lists!$B:$B,Response_Lists!$A:$A=$H52),6),""""))"),"")</f>
        <v/>
      </c>
      <c r="P52" s="28" t="str">
        <f t="shared" si="6"/>
        <v>Which is clearer: RED or GREEN?</v>
      </c>
      <c r="Q52" s="28" t="str">
        <f t="array" ref="Q52">IF($I51="","",XLOOKUP(C52,FSM_State_Map!A:A,FSM_State_Map!D:D,""))</f>
        <v>LE</v>
      </c>
      <c r="R52" s="28" t="str">
        <f t="shared" si="7"/>
        <v>20_20_20</v>
      </c>
      <c r="S52" s="28">
        <f t="array" ref="S52">IF($I51="","",
IF(
  AND(C52="B",C51&lt;&gt;"B"),
  XLOOKUP($B52,Derived_Variables!$A:$A,Derived_Variables!$K:$K,0)
  + XLOOKUP($B52,Derived_Variables!$A:$A,Derived_Variables!$AE:$AE,0),
  S51+AM51
))</f>
        <v>-1.25</v>
      </c>
      <c r="T52" s="28">
        <f t="shared" ref="T52:U52" si="114">IF($I51="","",T51+AN51)</f>
        <v>-0.25</v>
      </c>
      <c r="U52" s="28">
        <f t="shared" si="114"/>
        <v>2</v>
      </c>
      <c r="V52" s="28">
        <f t="array" ref="V52">IF($I51="","",
IF(
  AND(C52="D",C51&lt;&gt;"D"),
  XLOOKUP($B52,Derived_Variables!$A:$A,Derived_Variables!$N:$N,0)
  + XLOOKUP($B52,Derived_Variables!$A:$A,Derived_Variables!$AE:$AE,0),
  V51+AP51
))</f>
        <v>-1.25</v>
      </c>
      <c r="W52" s="28">
        <f t="shared" ref="W52:X52" si="115">IF($I51="","",W51+AQ51)</f>
        <v>0</v>
      </c>
      <c r="X52" s="28">
        <f t="shared" si="115"/>
        <v>50</v>
      </c>
      <c r="Y52" s="28">
        <f t="array" ref="Y52">IF($I51="","",IF(AND(C52="P",C51&lt;&gt;"P"),IFERROR(XLOOKUP($B52,Lenso_Input!$A:$A,Lenso_Input!$E:$E,0),0),Y51+AS51))</f>
        <v>0</v>
      </c>
      <c r="Z52" s="28">
        <f t="array" ref="Z52">IF($I51="","",IF(AND(C52="Q",C51&lt;&gt;"Q"),IFERROR(XLOOKUP($B52,Lenso_Input!$A:$A,Lenso_Input!$I:$I,0),0),Z51+AT51))</f>
        <v>0</v>
      </c>
      <c r="AA52" s="28" t="str">
        <f t="array" ref="AA52">IF($I51="","",IF(XLOOKUP($B52,Derived_Variables!$A:$A,Derived_Variables!$R:$R,"6/6_target")="6/6_target","20_20_20","40_30_25"))</f>
        <v>20_20_20</v>
      </c>
      <c r="AB52" s="28">
        <f t="array" ref="AB52">IF($I51="","",XLOOKUP(LOWER(XLOOKUP($B52,Derived_Variables!$A:$A,Derived_Variables!$T:$T,"Standard"))&amp;"_sph_step",Calibration!$B:$B,Calibration!$C:$C,0.25))</f>
        <v>0.25</v>
      </c>
      <c r="AC52" s="28">
        <f t="array" ref="AC52">IF($I51="","",XLOOKUP(LOWER(XLOOKUP($B52,Derived_Variables!$A:$A,Derived_Variables!$T:$T,"Standard"))&amp;"_cyl_step",Calibration!$B:$B,Calibration!$C:$C,0.25))</f>
        <v>0.25</v>
      </c>
      <c r="AD52" s="28">
        <f t="array" ref="AD52">IF($I51="","",IF(OR(C52="E",C52="H"),LET(startStep,XLOOKUP("axis_start_step",Calibration!$B:$B,Calibration!$C:$C,5),step1,XLOOKUP("axis_reversal_step_1",Calibration!$B:$B,Calibration!$C:$C,3),step2,XLOOKUP("axis_reversal_step_2",Calibration!$B:$B,Calibration!$C:$C,1),IF(OR(C51&lt;&gt;C52,AZ52="",AZ52="SAME",AZ52="CANT_TELL",I52="",I52="SAME",I52="CANT_TELL"),startStep,IF(OR(AND(AZ52="BETTER_1",I52="BETTER_2"),AND(AZ52="BETTER_2",I52="BETTER_1")),IF(AD51&gt;step1,step1,step2),AD51))),0))</f>
        <v>0</v>
      </c>
      <c r="AE52" s="28" t="str">
        <f t="array" ref="AE52">IF($I51="","",XLOOKUP($B52,Derived_Variables!$A:$A,Derived_Variables!$AD:$AD,"No_Fog"))</f>
        <v>Strong_Fog</v>
      </c>
      <c r="AF52" s="28">
        <f t="array" ref="AF52">IF($I51="","",XLOOKUP($B52,Derived_Variables!$A:$A,Derived_Variables!$AE:$AE,0))</f>
        <v>1</v>
      </c>
      <c r="AG52" s="28" t="str">
        <f t="array" ref="AG52">IF($I51="","",XLOOKUP($B52,Derived_Variables!$A:$A,Derived_Variables!$AF:$AF,""))</f>
        <v>StepDown_0.25</v>
      </c>
      <c r="AH52" s="28" t="str">
        <f t="array" ref="AH52">IF($I51="","",XLOOKUP($B52,Derived_Variables!$A:$A,Derived_Variables!$AG:$AG,""))</f>
        <v>Low</v>
      </c>
      <c r="AI52" s="28" t="str">
        <f t="array" ref="AI52">IF($I51="","",XLOOKUP($B52,Derived_Variables!$A:$A,Derived_Variables!$AC:$AC,"Medium"))</f>
        <v>Low</v>
      </c>
      <c r="AJ52" s="28" t="b">
        <f t="array" ref="AJ52">IF($I51="","",XLOOKUP($B52,Derived_Variables!$A:$A,Derived_Variables!$Y:$Y,FALSE))</f>
        <v>0</v>
      </c>
      <c r="AK52" s="28" t="str">
        <f t="array" ref="AK52">IF($I51="","",XLOOKUP($B52,Derived_Variables!$A:$A,Derived_Variables!$AA:$AA,"Normal"))</f>
        <v>Slow</v>
      </c>
      <c r="AL52" s="28" t="str">
        <f t="array" ref="AL52">IF($I51="","",XLOOKUP($B52,Derived_Variables!$A:$A,Derived_Variables!$AB:$AB,"Normal"))</f>
        <v>Relaxed</v>
      </c>
      <c r="AM52" s="28">
        <f t="array" ref="AM52">IF($I52="","",IFS(C52="B",IF(OR(I52="NOT_READABLE",I52="BLURRY"),-AB52,0),C52="G",IFS(I52="RED_CLEARER",XLOOKUP("duochrome_red_step",Calibration!$B:$B,Calibration!$C:$C,-0.25),I52="GREEN_CLEARER",XLOOKUP("duochrome_green_step",Calibration!$B:$B,Calibration!$C:$C,0.25),I52="EQUAL",IF(XLOOKUP($B52,Derived_Variables!$A:$A,Derived_Variables!$S:$S,"Neutral")="Undercorrect",XLOOKUP("undercorrect_step",Calibration!$B:$B,Calibration!$C:$C,0.25),IF(XLOOKUP($B52,Derived_Variables!$A:$A,Derived_Variables!$S:$S,"Neutral")="Overcorrect",-XLOOKUP("overcorrect_step",Calibration!$B:$B,Calibration!$C:$C,0.25),0)),TRUE,0),C52="K",IF(I52="TOP_CLEARER",XLOOKUP("bino_balance_step",Calibration!$B:$B,Calibration!$C:$C,0.25),0),TRUE,0))</f>
        <v>0</v>
      </c>
      <c r="AN52" s="28">
        <f t="shared" si="10"/>
        <v>0</v>
      </c>
      <c r="AO52" s="28">
        <f t="shared" si="11"/>
        <v>0</v>
      </c>
      <c r="AP52" s="28">
        <f t="array" ref="AP52">IF($I52="","",IFS(C52="D",IF(OR(I52="NOT_READABLE",I52="BLURRY"),-AB52,0),C52="J",IFS(I52="RED_CLEARER",XLOOKUP("duochrome_red_step",Calibration!$B:$B,Calibration!$C:$C,-0.25),I52="GREEN_CLEARER",XLOOKUP("duochrome_green_step",Calibration!$B:$B,Calibration!$C:$C,0.25),I52="EQUAL",IF(XLOOKUP($B52,Derived_Variables!$A:$A,Derived_Variables!$S:$S,"Neutral")="Undercorrect",XLOOKUP("undercorrect_step",Calibration!$B:$B,Calibration!$C:$C,0.25),IF(XLOOKUP($B52,Derived_Variables!$A:$A,Derived_Variables!$S:$S,"Neutral")="Overcorrect",-XLOOKUP("overcorrect_step",Calibration!$B:$B,Calibration!$C:$C,0.25),0)),TRUE,0),C52="K",IF(I52="BOTTOM_CLEARER",XLOOKUP("bino_balance_step",Calibration!$B:$B,Calibration!$C:$C,0.25),0),TRUE,0))</f>
        <v>-0.25</v>
      </c>
      <c r="AQ52" s="28">
        <f t="shared" si="12"/>
        <v>0</v>
      </c>
      <c r="AR52" s="28">
        <f t="shared" si="13"/>
        <v>0</v>
      </c>
      <c r="AS52" s="28">
        <f t="array" ref="AS52">IF($I52="","",IF(C52="P",IF(OR(I52="NOT_READABLE",I52="BLURRY"),XLOOKUP("near_add_step",Calibration!$B:$B,Calibration!$C:$C,0.25),0),IF(C52="R",IF(I52="NOT_CLEAR",XLOOKUP("near_add_step",Calibration!$B:$B,Calibration!$C:$C,0.25),0),0)))</f>
        <v>0</v>
      </c>
      <c r="AT52" s="28">
        <f t="array" ref="AT52">IF($I52="","",IF(C52="Q",IF(OR(I52="NOT_READABLE",I52="BLURRY"),XLOOKUP("near_add_step",Calibration!$B:$B,Calibration!$C:$C,0.25),0),IF(C52="R",IF(I52="NOT_CLEAR",XLOOKUP("near_add_step",Calibration!$B:$B,Calibration!$C:$C,0.25),0),0)))</f>
        <v>0</v>
      </c>
      <c r="AU52" s="28" t="str">
        <f t="array" ref="AU52">IF($I52="","",IF(G52="SNELLEN_FEET",IF(I52="READABLE",IFERROR(XLOOKUP(XLOOKUP(R52,Chart_Scale_Distance!B:B,Chart_Scale_Distance!A:A)+1,Chart_Scale_Distance!A:A,Chart_Scale_Distance!B:B),R52),R52),R52))</f>
        <v>20_20_20</v>
      </c>
      <c r="AV52" s="28">
        <f t="array" ref="AV52">IF($I51="","",IFERROR(XLOOKUP(R52,Chart_Scale_Distance!$B:$B,Chart_Scale_Distance!$A:$A,""),""))</f>
        <v>6</v>
      </c>
      <c r="AW52" s="28">
        <f t="array" ref="AW52">IF($I51="","",IFERROR(XLOOKUP(AA52,Chart_Scale_Distance!$B:$B,Chart_Scale_Distance!$A:$A,""),""))</f>
        <v>6</v>
      </c>
      <c r="AX52" s="28">
        <f t="shared" si="14"/>
        <v>0</v>
      </c>
      <c r="AY52" s="28">
        <f t="shared" si="15"/>
        <v>3</v>
      </c>
      <c r="AZ52" s="28" t="str">
        <f t="shared" si="16"/>
        <v/>
      </c>
      <c r="BA52" s="28">
        <f t="shared" si="17"/>
        <v>3</v>
      </c>
      <c r="BB52" s="28">
        <f t="shared" si="18"/>
        <v>2</v>
      </c>
      <c r="BC52" s="28" t="str">
        <f t="array" ref="BC52">IF($I52="","",LET(
conf,AI52,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duoMax,XLOOKUP($B52,Derived_Variables!$A:$A,Derived_Variables!$AI:$AI,4),
axisTol,XLOOKUP($B52,Derived_Variables!$A:$A,Derived_Variables!$W:$W,1),
maxStart,XLOOKUP($B52,Derived_Variables!$A:$A,Derived_Variables!$U:$U,1.25),
maxAR,XLOOKUP($B52,Derived_Variables!$A:$A,Derived_Variables!$V:$V,3),
anom,XLOOKUP($B52,Derived_Variables!$A:$A,Derived_Variables!$Z:$Z,FALSE),
reStart,XLOOKUP($B52,Derived_Variables!$A:$A,Derived_Variables!$K:$K,0),
leStart,XLOOKUP($B52,Derived_Variables!$A:$A,Derived_Variables!$N:$N,0),
reAR,XLOOKUP($B52,AR_Input!$A:$A,AR_Input!$B:$B,reStart),
leAR,XLOOKUP($B52,AR_Input!$A:$A,AR_Input!$E:$E,leStart),
reEsc,AND(anom,OR(ABS((S52+AM52)-reStart)&gt;maxStart,ABS((S52+AM52)-reAR)&gt;maxAR)),
leEsc,AND(anom,OR(ABS((V52+AP52)-leStart)&gt;maxStart,ABS((V52+AP52)-leAR)&gt;maxAR)),
phaseMax,IFS(
 AK52="Fast",
   IFS(
     OR(C52="B",C52="D"),XLOOKUP("timeout_coarse_fast",Calibration!$B:$B,Calibration!$C:$C,24),
     OR(C52="E",C52="F",C52="H",C52="I"),XLOOKUP("timeout_jcc_fast",Calibration!$B:$B,Calibration!$C:$C,10),
     OR(C52="G",C52="J"),XLOOKUP("timeout_duochrome_fast",Calibration!$B:$B,Calibration!$C:$C,8),
     C52="K",XLOOKUP("timeout_bino_fast",Calibration!$B:$B,Calibration!$C:$C,10),
     OR(C52="P",C52="Q",C52="R"),XLOOKUP("timeout_near_fast",Calibration!$B:$B,Calibration!$C:$C,16),
     TRUE,XLOOKUP("timeout_coarse_fast",Calibration!$B:$B,Calibration!$C:$C,24)
   ),
 AK52="Normal",
   IFS(
     OR(C52="B",C52="D"),XLOOKUP("timeout_coarse_normal",Calibration!$B:$B,Calibration!$C:$C,36),
     OR(C52="E",C52="F",C52="H",C52="I"),XLOOKUP("timeout_jcc_normal",Calibration!$B:$B,Calibration!$C:$C,14),
     OR(C52="G",C52="J"),XLOOKUP("timeout_duochrome_normal",Calibration!$B:$B,Calibration!$C:$C,10),
     C52="K",XLOOKUP("timeout_bino_normal",Calibration!$B:$B,Calibration!$C:$C,14),
     OR(C52="P",C52="Q",C52="R"),XLOOKUP("timeout_near_normal",Calibration!$B:$B,Calibration!$C:$C,22),
     TRUE,XLOOKUP("timeout_coarse_normal",Calibration!$B:$B,Calibration!$C:$C,36)
   ),
 TRUE,
   IFS(
     OR(C52="B",C52="D"),XLOOKUP("timeout_coarse_slow",Calibration!$B:$B,Calibration!$C:$C,48),
     OR(C52="E",C52="F",C52="H",C52="I"),XLOOKUP("timeout_jcc_slow",Calibration!$B:$B,Calibration!$C:$C,18),
     OR(C52="G",C52="J"),XLOOKUP("timeout_duochrome_slow",Calibration!$B:$B,Calibration!$C:$C,12),
     C52="K",XLOOKUP("timeout_bino_slow",Calibration!$B:$B,Calibration!$C:$C,18),
     OR(C52="P",C52="Q",C52="R"),XLOOKUP("timeout_near_slow",Calibration!$B:$B,Calibration!$C:$C,28),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AJ52=TRUE,"ESCALATE",
C52="A",
IF(OR(I52="NOT_READABLE",I52="BLURRY",AND(R52="20_20_20",I52="READABLE")),"B","A"),
C52="B",
IF(reEsc,"ESCALATE",IF(AY52&gt;=phaseMax,"ESCALATE",IF(AND(AV52&gt;=AW52,I52="READABLE"),"E","B"))),
C52="E",
IF(AY52&gt;=phaseMax,"ESCALATE",IF(OR(I52="SAME",I52="CANT_TELL",AD52&lt;axisTol),"F","E")),
C52="F",
IF(AY52&gt;=phaseMax,"ESCALATE",IF(AX52&gt;=powerSameN,"G","F")),
C52="G",
IF(AY52&gt;=phaseMax,"ESCALATE",IF(OR(AX52&gt;=duoEqualN,BB52&gt;=duoMax),"D","G")),
C52="D",
IF(leEsc,"ESCALATE",IF(AY52&gt;=phaseMax,"ESCALATE",IF(AND(AV52&gt;=AW52,I52="READABLE"),"H","D"))),
C52="H",
IF(AY52&gt;=phaseMax,"ESCALATE",IF(OR(I52="SAME",I52="CANT_TELL",AD52&lt;axisTol),"I","H")),
C52="I",
IF(AY52&gt;=phaseMax,"ESCALATE",IF(AX52&gt;=powerSameN,"J","I")),
C52="J",
IF(AY52&gt;=phaseMax,"ESCALATE",IF(OR(AX52&gt;=duoEqualN,BB52&gt;=duoMax),"K","J")),
C52="K",
IF(AY52&gt;=phaseMax,"ESCALATE",IF(AX52&gt;=binoSameN,IF(XLOOKUP($B52,Derived_Variables!$A:$A,Derived_Variables!$AJ:$AJ,FALSE)=TRUE,"P","END"),"K")),
C52="P",
IF(AY52&gt;=phaseMax,"ESCALATE",IF(OR(I52="READABLE",I52="SAME"),"Q","P")),
C52="Q",
IF(AY52&gt;=phaseMax,"ESCALATE",IF(OR(I52="READABLE",I52="SAME"),"R","Q")),
C52="R",
IF(AY52&gt;=phaseMax,"ESCALATE",IF(OR(I52=nearTarget,I52="SAME"),"END","R")),
TRUE,"END"
)))</f>
        <v>J</v>
      </c>
      <c r="BD52" s="28" t="b">
        <f t="shared" si="19"/>
        <v>1</v>
      </c>
    </row>
    <row r="53" ht="15.75" customHeight="1">
      <c r="A53" s="28">
        <f t="shared" si="3"/>
        <v>52</v>
      </c>
      <c r="B53" s="28">
        <f t="shared" si="4"/>
        <v>6</v>
      </c>
      <c r="C53" s="28" t="str">
        <f t="shared" si="5"/>
        <v>J</v>
      </c>
      <c r="D53" s="28" t="str">
        <f t="array" ref="D53">IF($I52="","",XLOOKUP(C53,FSM_State_Map!A:A,FSM_State_Map!B:B,""))</f>
        <v>Duochrome LE</v>
      </c>
      <c r="E53" s="28" t="str">
        <f t="array" ref="E53">IF($I52="","",XLOOKUP(C53,FSM_State_Map!A:A,FSM_State_Map!C:C,""))</f>
        <v>DUOCHROME</v>
      </c>
      <c r="F53" s="28" t="str">
        <f t="array" ref="F53">IF($I52="","",XLOOKUP(E53,Phase_UI_Map!A:A,Phase_UI_Map!B:B,""))</f>
        <v>DUOCHROME</v>
      </c>
      <c r="G53" s="28" t="str">
        <f t="array" ref="G53">IF($I52="","",XLOOKUP(E53,Phase_UI_Map!A:A,Phase_UI_Map!C:C,""))</f>
        <v>RED_GREEN_DUOCHROME</v>
      </c>
      <c r="H53" s="28" t="str">
        <f t="array" ref="H53">IF($I52="","",XLOOKUP(E53,Phase_UI_Map!A:A,Phase_UI_Map!D:D,""))</f>
        <v>COLOR_CHOICE</v>
      </c>
      <c r="I53" s="29" t="s">
        <v>224</v>
      </c>
      <c r="J53" s="28" t="str">
        <f>IFERROR(__xludf.DUMMYFUNCTION("IF($I52="""","""",IFERROR(INDEX(FILTER(Response_Lists!$B:$B,Response_Lists!$A:$A=$H53),1),""""))"),"RED_CLEARER")</f>
        <v>RED_CLEARER</v>
      </c>
      <c r="K53" s="28" t="str">
        <f>IFERROR(__xludf.DUMMYFUNCTION("IF($I52="""","""",IFERROR(INDEX(FILTER(Response_Lists!$B:$B,Response_Lists!$A:$A=$H53),2),""""))"),"GREEN_CLEARER")</f>
        <v>GREEN_CLEARER</v>
      </c>
      <c r="L53" s="28" t="str">
        <f>IFERROR(__xludf.DUMMYFUNCTION("IF($I52="""","""",IFERROR(INDEX(FILTER(Response_Lists!$B:$B,Response_Lists!$A:$A=$H53),3),""""))"),"EQUAL")</f>
        <v>EQUAL</v>
      </c>
      <c r="M53" s="28" t="str">
        <f>IFERROR(__xludf.DUMMYFUNCTION("IF($I52="""","""",IFERROR(INDEX(FILTER(Response_Lists!$B:$B,Response_Lists!$A:$A=$H53),4),""""))"),"CANT_TELL")</f>
        <v>CANT_TELL</v>
      </c>
      <c r="N53" s="28" t="str">
        <f>IFERROR(__xludf.DUMMYFUNCTION("IF($I52="""","""",IFERROR(INDEX(FILTER(Response_Lists!$B:$B,Response_Lists!$A:$A=$H53),5),""""))"),"")</f>
        <v/>
      </c>
      <c r="O53" s="28" t="str">
        <f>IFERROR(__xludf.DUMMYFUNCTION("IF($I52="""","""",IFERROR(INDEX(FILTER(Response_Lists!$B:$B,Response_Lists!$A:$A=$H53),6),""""))"),"")</f>
        <v/>
      </c>
      <c r="P53" s="28" t="str">
        <f t="shared" si="6"/>
        <v>Which is clearer: RED or GREEN?</v>
      </c>
      <c r="Q53" s="28" t="str">
        <f t="array" ref="Q53">IF($I52="","",XLOOKUP(C53,FSM_State_Map!A:A,FSM_State_Map!D:D,""))</f>
        <v>LE</v>
      </c>
      <c r="R53" s="28" t="str">
        <f t="shared" si="7"/>
        <v>20_20_20</v>
      </c>
      <c r="S53" s="28">
        <f t="array" ref="S53">IF($I52="","",
IF(
  AND(C53="B",C52&lt;&gt;"B"),
  XLOOKUP($B53,Derived_Variables!$A:$A,Derived_Variables!$K:$K,0)
  + XLOOKUP($B53,Derived_Variables!$A:$A,Derived_Variables!$AE:$AE,0),
  S52+AM52
))</f>
        <v>-1.25</v>
      </c>
      <c r="T53" s="28">
        <f t="shared" ref="T53:U53" si="116">IF($I52="","",T52+AN52)</f>
        <v>-0.25</v>
      </c>
      <c r="U53" s="28">
        <f t="shared" si="116"/>
        <v>2</v>
      </c>
      <c r="V53" s="28">
        <f t="array" ref="V53">IF($I52="","",
IF(
  AND(C53="D",C52&lt;&gt;"D"),
  XLOOKUP($B53,Derived_Variables!$A:$A,Derived_Variables!$N:$N,0)
  + XLOOKUP($B53,Derived_Variables!$A:$A,Derived_Variables!$AE:$AE,0),
  V52+AP52
))</f>
        <v>-1.5</v>
      </c>
      <c r="W53" s="28">
        <f t="shared" ref="W53:X53" si="117">IF($I52="","",W52+AQ52)</f>
        <v>0</v>
      </c>
      <c r="X53" s="28">
        <f t="shared" si="117"/>
        <v>50</v>
      </c>
      <c r="Y53" s="28">
        <f t="array" ref="Y53">IF($I52="","",IF(AND(C53="P",C52&lt;&gt;"P"),IFERROR(XLOOKUP($B53,Lenso_Input!$A:$A,Lenso_Input!$E:$E,0),0),Y52+AS52))</f>
        <v>0</v>
      </c>
      <c r="Z53" s="28">
        <f t="array" ref="Z53">IF($I52="","",IF(AND(C53="Q",C52&lt;&gt;"Q"),IFERROR(XLOOKUP($B53,Lenso_Input!$A:$A,Lenso_Input!$I:$I,0),0),Z52+AT52))</f>
        <v>0</v>
      </c>
      <c r="AA53" s="28" t="str">
        <f t="array" ref="AA53">IF($I52="","",IF(XLOOKUP($B53,Derived_Variables!$A:$A,Derived_Variables!$R:$R,"6/6_target")="6/6_target","20_20_20","40_30_25"))</f>
        <v>20_20_20</v>
      </c>
      <c r="AB53" s="28">
        <f t="array" ref="AB53">IF($I52="","",XLOOKUP(LOWER(XLOOKUP($B53,Derived_Variables!$A:$A,Derived_Variables!$T:$T,"Standard"))&amp;"_sph_step",Calibration!$B:$B,Calibration!$C:$C,0.25))</f>
        <v>0.25</v>
      </c>
      <c r="AC53" s="28">
        <f t="array" ref="AC53">IF($I52="","",XLOOKUP(LOWER(XLOOKUP($B53,Derived_Variables!$A:$A,Derived_Variables!$T:$T,"Standard"))&amp;"_cyl_step",Calibration!$B:$B,Calibration!$C:$C,0.25))</f>
        <v>0.25</v>
      </c>
      <c r="AD53" s="28">
        <f t="array" ref="AD53">IF($I52="","",IF(OR(C53="E",C53="H"),LET(startStep,XLOOKUP("axis_start_step",Calibration!$B:$B,Calibration!$C:$C,5),step1,XLOOKUP("axis_reversal_step_1",Calibration!$B:$B,Calibration!$C:$C,3),step2,XLOOKUP("axis_reversal_step_2",Calibration!$B:$B,Calibration!$C:$C,1),IF(OR(C52&lt;&gt;C53,AZ53="",AZ53="SAME",AZ53="CANT_TELL",I53="",I53="SAME",I53="CANT_TELL"),startStep,IF(OR(AND(AZ53="BETTER_1",I53="BETTER_2"),AND(AZ53="BETTER_2",I53="BETTER_1")),IF(AD52&gt;step1,step1,step2),AD52))),0))</f>
        <v>0</v>
      </c>
      <c r="AE53" s="28" t="str">
        <f t="array" ref="AE53">IF($I52="","",XLOOKUP($B53,Derived_Variables!$A:$A,Derived_Variables!$AD:$AD,"No_Fog"))</f>
        <v>Strong_Fog</v>
      </c>
      <c r="AF53" s="28">
        <f t="array" ref="AF53">IF($I52="","",XLOOKUP($B53,Derived_Variables!$A:$A,Derived_Variables!$AE:$AE,0))</f>
        <v>1</v>
      </c>
      <c r="AG53" s="28" t="str">
        <f t="array" ref="AG53">IF($I52="","",XLOOKUP($B53,Derived_Variables!$A:$A,Derived_Variables!$AF:$AF,""))</f>
        <v>StepDown_0.25</v>
      </c>
      <c r="AH53" s="28" t="str">
        <f t="array" ref="AH53">IF($I52="","",XLOOKUP($B53,Derived_Variables!$A:$A,Derived_Variables!$AG:$AG,""))</f>
        <v>Low</v>
      </c>
      <c r="AI53" s="28" t="str">
        <f t="array" ref="AI53">IF($I52="","",XLOOKUP($B53,Derived_Variables!$A:$A,Derived_Variables!$AC:$AC,"Medium"))</f>
        <v>Low</v>
      </c>
      <c r="AJ53" s="28" t="b">
        <f t="array" ref="AJ53">IF($I52="","",XLOOKUP($B53,Derived_Variables!$A:$A,Derived_Variables!$Y:$Y,FALSE))</f>
        <v>0</v>
      </c>
      <c r="AK53" s="28" t="str">
        <f t="array" ref="AK53">IF($I52="","",XLOOKUP($B53,Derived_Variables!$A:$A,Derived_Variables!$AA:$AA,"Normal"))</f>
        <v>Slow</v>
      </c>
      <c r="AL53" s="28" t="str">
        <f t="array" ref="AL53">IF($I52="","",XLOOKUP($B53,Derived_Variables!$A:$A,Derived_Variables!$AB:$AB,"Normal"))</f>
        <v>Relaxed</v>
      </c>
      <c r="AM53" s="28">
        <f t="array" ref="AM53">IF($I53="","",IFS(C53="B",IF(OR(I53="NOT_READABLE",I53="BLURRY"),-AB53,0),C53="G",IFS(I53="RED_CLEARER",XLOOKUP("duochrome_red_step",Calibration!$B:$B,Calibration!$C:$C,-0.25),I53="GREEN_CLEARER",XLOOKUP("duochrome_green_step",Calibration!$B:$B,Calibration!$C:$C,0.25),I53="EQUAL",IF(XLOOKUP($B53,Derived_Variables!$A:$A,Derived_Variables!$S:$S,"Neutral")="Undercorrect",XLOOKUP("undercorrect_step",Calibration!$B:$B,Calibration!$C:$C,0.25),IF(XLOOKUP($B53,Derived_Variables!$A:$A,Derived_Variables!$S:$S,"Neutral")="Overcorrect",-XLOOKUP("overcorrect_step",Calibration!$B:$B,Calibration!$C:$C,0.25),0)),TRUE,0),C53="K",IF(I53="TOP_CLEARER",XLOOKUP("bino_balance_step",Calibration!$B:$B,Calibration!$C:$C,0.25),0),TRUE,0))</f>
        <v>0</v>
      </c>
      <c r="AN53" s="28">
        <f t="shared" si="10"/>
        <v>0</v>
      </c>
      <c r="AO53" s="28">
        <f t="shared" si="11"/>
        <v>0</v>
      </c>
      <c r="AP53" s="28">
        <f t="array" ref="AP53">IF($I53="","",IFS(C53="D",IF(OR(I53="NOT_READABLE",I53="BLURRY"),-AB53,0),C53="J",IFS(I53="RED_CLEARER",XLOOKUP("duochrome_red_step",Calibration!$B:$B,Calibration!$C:$C,-0.25),I53="GREEN_CLEARER",XLOOKUP("duochrome_green_step",Calibration!$B:$B,Calibration!$C:$C,0.25),I53="EQUAL",IF(XLOOKUP($B53,Derived_Variables!$A:$A,Derived_Variables!$S:$S,"Neutral")="Undercorrect",XLOOKUP("undercorrect_step",Calibration!$B:$B,Calibration!$C:$C,0.25),IF(XLOOKUP($B53,Derived_Variables!$A:$A,Derived_Variables!$S:$S,"Neutral")="Overcorrect",-XLOOKUP("overcorrect_step",Calibration!$B:$B,Calibration!$C:$C,0.25),0)),TRUE,0),C53="K",IF(I53="BOTTOM_CLEARER",XLOOKUP("bino_balance_step",Calibration!$B:$B,Calibration!$C:$C,0.25),0),TRUE,0))</f>
        <v>0.25</v>
      </c>
      <c r="AQ53" s="28">
        <f t="shared" si="12"/>
        <v>0</v>
      </c>
      <c r="AR53" s="28">
        <f t="shared" si="13"/>
        <v>0</v>
      </c>
      <c r="AS53" s="28">
        <f t="array" ref="AS53">IF($I53="","",IF(C53="P",IF(OR(I53="NOT_READABLE",I53="BLURRY"),XLOOKUP("near_add_step",Calibration!$B:$B,Calibration!$C:$C,0.25),0),IF(C53="R",IF(I53="NOT_CLEAR",XLOOKUP("near_add_step",Calibration!$B:$B,Calibration!$C:$C,0.25),0),0)))</f>
        <v>0</v>
      </c>
      <c r="AT53" s="28">
        <f t="array" ref="AT53">IF($I53="","",IF(C53="Q",IF(OR(I53="NOT_READABLE",I53="BLURRY"),XLOOKUP("near_add_step",Calibration!$B:$B,Calibration!$C:$C,0.25),0),IF(C53="R",IF(I53="NOT_CLEAR",XLOOKUP("near_add_step",Calibration!$B:$B,Calibration!$C:$C,0.25),0),0)))</f>
        <v>0</v>
      </c>
      <c r="AU53" s="28" t="str">
        <f t="array" ref="AU53">IF($I53="","",IF(G53="SNELLEN_FEET",IF(I53="READABLE",IFERROR(XLOOKUP(XLOOKUP(R53,Chart_Scale_Distance!B:B,Chart_Scale_Distance!A:A)+1,Chart_Scale_Distance!A:A,Chart_Scale_Distance!B:B),R53),R53),R53))</f>
        <v>20_20_20</v>
      </c>
      <c r="AV53" s="28">
        <f t="array" ref="AV53">IF($I52="","",IFERROR(XLOOKUP(R53,Chart_Scale_Distance!$B:$B,Chart_Scale_Distance!$A:$A,""),""))</f>
        <v>6</v>
      </c>
      <c r="AW53" s="28">
        <f t="array" ref="AW53">IF($I52="","",IFERROR(XLOOKUP(AA53,Chart_Scale_Distance!$B:$B,Chart_Scale_Distance!$A:$A,""),""))</f>
        <v>6</v>
      </c>
      <c r="AX53" s="28">
        <f t="shared" si="14"/>
        <v>0</v>
      </c>
      <c r="AY53" s="28">
        <f t="shared" si="15"/>
        <v>4</v>
      </c>
      <c r="AZ53" s="28" t="str">
        <f t="shared" si="16"/>
        <v/>
      </c>
      <c r="BA53" s="28">
        <f t="shared" si="17"/>
        <v>4</v>
      </c>
      <c r="BB53" s="28">
        <f t="shared" si="18"/>
        <v>3</v>
      </c>
      <c r="BC53" s="28" t="str">
        <f t="array" ref="BC53">IF($I53="","",LET(
conf,AI53,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duoMax,XLOOKUP($B53,Derived_Variables!$A:$A,Derived_Variables!$AI:$AI,4),
axisTol,XLOOKUP($B53,Derived_Variables!$A:$A,Derived_Variables!$W:$W,1),
maxStart,XLOOKUP($B53,Derived_Variables!$A:$A,Derived_Variables!$U:$U,1.25),
maxAR,XLOOKUP($B53,Derived_Variables!$A:$A,Derived_Variables!$V:$V,3),
anom,XLOOKUP($B53,Derived_Variables!$A:$A,Derived_Variables!$Z:$Z,FALSE),
reStart,XLOOKUP($B53,Derived_Variables!$A:$A,Derived_Variables!$K:$K,0),
leStart,XLOOKUP($B53,Derived_Variables!$A:$A,Derived_Variables!$N:$N,0),
reAR,XLOOKUP($B53,AR_Input!$A:$A,AR_Input!$B:$B,reStart),
leAR,XLOOKUP($B53,AR_Input!$A:$A,AR_Input!$E:$E,leStart),
reEsc,AND(anom,OR(ABS((S53+AM53)-reStart)&gt;maxStart,ABS((S53+AM53)-reAR)&gt;maxAR)),
leEsc,AND(anom,OR(ABS((V53+AP53)-leStart)&gt;maxStart,ABS((V53+AP53)-leAR)&gt;maxAR)),
phaseMax,IFS(
 AK53="Fast",
   IFS(
     OR(C53="B",C53="D"),XLOOKUP("timeout_coarse_fast",Calibration!$B:$B,Calibration!$C:$C,24),
     OR(C53="E",C53="F",C53="H",C53="I"),XLOOKUP("timeout_jcc_fast",Calibration!$B:$B,Calibration!$C:$C,10),
     OR(C53="G",C53="J"),XLOOKUP("timeout_duochrome_fast",Calibration!$B:$B,Calibration!$C:$C,8),
     C53="K",XLOOKUP("timeout_bino_fast",Calibration!$B:$B,Calibration!$C:$C,10),
     OR(C53="P",C53="Q",C53="R"),XLOOKUP("timeout_near_fast",Calibration!$B:$B,Calibration!$C:$C,16),
     TRUE,XLOOKUP("timeout_coarse_fast",Calibration!$B:$B,Calibration!$C:$C,24)
   ),
 AK53="Normal",
   IFS(
     OR(C53="B",C53="D"),XLOOKUP("timeout_coarse_normal",Calibration!$B:$B,Calibration!$C:$C,36),
     OR(C53="E",C53="F",C53="H",C53="I"),XLOOKUP("timeout_jcc_normal",Calibration!$B:$B,Calibration!$C:$C,14),
     OR(C53="G",C53="J"),XLOOKUP("timeout_duochrome_normal",Calibration!$B:$B,Calibration!$C:$C,10),
     C53="K",XLOOKUP("timeout_bino_normal",Calibration!$B:$B,Calibration!$C:$C,14),
     OR(C53="P",C53="Q",C53="R"),XLOOKUP("timeout_near_normal",Calibration!$B:$B,Calibration!$C:$C,22),
     TRUE,XLOOKUP("timeout_coarse_normal",Calibration!$B:$B,Calibration!$C:$C,36)
   ),
 TRUE,
   IFS(
     OR(C53="B",C53="D"),XLOOKUP("timeout_coarse_slow",Calibration!$B:$B,Calibration!$C:$C,48),
     OR(C53="E",C53="F",C53="H",C53="I"),XLOOKUP("timeout_jcc_slow",Calibration!$B:$B,Calibration!$C:$C,18),
     OR(C53="G",C53="J"),XLOOKUP("timeout_duochrome_slow",Calibration!$B:$B,Calibration!$C:$C,12),
     C53="K",XLOOKUP("timeout_bino_slow",Calibration!$B:$B,Calibration!$C:$C,18),
     OR(C53="P",C53="Q",C53="R"),XLOOKUP("timeout_near_slow",Calibration!$B:$B,Calibration!$C:$C,28),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AJ53=TRUE,"ESCALATE",
C53="A",
IF(OR(I53="NOT_READABLE",I53="BLURRY",AND(R53="20_20_20",I53="READABLE")),"B","A"),
C53="B",
IF(reEsc,"ESCALATE",IF(AY53&gt;=phaseMax,"ESCALATE",IF(AND(AV53&gt;=AW53,I53="READABLE"),"E","B"))),
C53="E",
IF(AY53&gt;=phaseMax,"ESCALATE",IF(OR(I53="SAME",I53="CANT_TELL",AD53&lt;axisTol),"F","E")),
C53="F",
IF(AY53&gt;=phaseMax,"ESCALATE",IF(AX53&gt;=powerSameN,"G","F")),
C53="G",
IF(AY53&gt;=phaseMax,"ESCALATE",IF(OR(AX53&gt;=duoEqualN,BB53&gt;=duoMax),"D","G")),
C53="D",
IF(leEsc,"ESCALATE",IF(AY53&gt;=phaseMax,"ESCALATE",IF(AND(AV53&gt;=AW53,I53="READABLE"),"H","D"))),
C53="H",
IF(AY53&gt;=phaseMax,"ESCALATE",IF(OR(I53="SAME",I53="CANT_TELL",AD53&lt;axisTol),"I","H")),
C53="I",
IF(AY53&gt;=phaseMax,"ESCALATE",IF(AX53&gt;=powerSameN,"J","I")),
C53="J",
IF(AY53&gt;=phaseMax,"ESCALATE",IF(OR(AX53&gt;=duoEqualN,BB53&gt;=duoMax),"K","J")),
C53="K",
IF(AY53&gt;=phaseMax,"ESCALATE",IF(AX53&gt;=binoSameN,IF(XLOOKUP($B53,Derived_Variables!$A:$A,Derived_Variables!$AJ:$AJ,FALSE)=TRUE,"P","END"),"K")),
C53="P",
IF(AY53&gt;=phaseMax,"ESCALATE",IF(OR(I53="READABLE",I53="SAME"),"Q","P")),
C53="Q",
IF(AY53&gt;=phaseMax,"ESCALATE",IF(OR(I53="READABLE",I53="SAME"),"R","Q")),
C53="R",
IF(AY53&gt;=phaseMax,"ESCALATE",IF(OR(I53=nearTarget,I53="SAME"),"END","R")),
TRUE,"END"
)))</f>
        <v>J</v>
      </c>
      <c r="BD53" s="28" t="b">
        <f t="shared" si="19"/>
        <v>1</v>
      </c>
    </row>
    <row r="54" ht="15.75" customHeight="1">
      <c r="A54" s="28">
        <f t="shared" si="3"/>
        <v>53</v>
      </c>
      <c r="B54" s="28">
        <f t="shared" si="4"/>
        <v>6</v>
      </c>
      <c r="C54" s="28" t="str">
        <f t="shared" si="5"/>
        <v>J</v>
      </c>
      <c r="D54" s="28" t="str">
        <f t="array" ref="D54">IF($I53="","",XLOOKUP(C54,FSM_State_Map!A:A,FSM_State_Map!B:B,""))</f>
        <v>Duochrome LE</v>
      </c>
      <c r="E54" s="28" t="str">
        <f t="array" ref="E54">IF($I53="","",XLOOKUP(C54,FSM_State_Map!A:A,FSM_State_Map!C:C,""))</f>
        <v>DUOCHROME</v>
      </c>
      <c r="F54" s="28" t="str">
        <f t="array" ref="F54">IF($I53="","",XLOOKUP(E54,Phase_UI_Map!A:A,Phase_UI_Map!B:B,""))</f>
        <v>DUOCHROME</v>
      </c>
      <c r="G54" s="28" t="str">
        <f t="array" ref="G54">IF($I53="","",XLOOKUP(E54,Phase_UI_Map!A:A,Phase_UI_Map!C:C,""))</f>
        <v>RED_GREEN_DUOCHROME</v>
      </c>
      <c r="H54" s="28" t="str">
        <f t="array" ref="H54">IF($I53="","",XLOOKUP(E54,Phase_UI_Map!A:A,Phase_UI_Map!D:D,""))</f>
        <v>COLOR_CHOICE</v>
      </c>
      <c r="I54" s="29" t="s">
        <v>223</v>
      </c>
      <c r="J54" s="28" t="str">
        <f>IFERROR(__xludf.DUMMYFUNCTION("IF($I53="""","""",IFERROR(INDEX(FILTER(Response_Lists!$B:$B,Response_Lists!$A:$A=$H54),1),""""))"),"RED_CLEARER")</f>
        <v>RED_CLEARER</v>
      </c>
      <c r="K54" s="28" t="str">
        <f>IFERROR(__xludf.DUMMYFUNCTION("IF($I53="""","""",IFERROR(INDEX(FILTER(Response_Lists!$B:$B,Response_Lists!$A:$A=$H54),2),""""))"),"GREEN_CLEARER")</f>
        <v>GREEN_CLEARER</v>
      </c>
      <c r="L54" s="28" t="str">
        <f>IFERROR(__xludf.DUMMYFUNCTION("IF($I53="""","""",IFERROR(INDEX(FILTER(Response_Lists!$B:$B,Response_Lists!$A:$A=$H54),3),""""))"),"EQUAL")</f>
        <v>EQUAL</v>
      </c>
      <c r="M54" s="28" t="str">
        <f>IFERROR(__xludf.DUMMYFUNCTION("IF($I53="""","""",IFERROR(INDEX(FILTER(Response_Lists!$B:$B,Response_Lists!$A:$A=$H54),4),""""))"),"CANT_TELL")</f>
        <v>CANT_TELL</v>
      </c>
      <c r="N54" s="28" t="str">
        <f>IFERROR(__xludf.DUMMYFUNCTION("IF($I53="""","""",IFERROR(INDEX(FILTER(Response_Lists!$B:$B,Response_Lists!$A:$A=$H54),5),""""))"),"")</f>
        <v/>
      </c>
      <c r="O54" s="28" t="str">
        <f>IFERROR(__xludf.DUMMYFUNCTION("IF($I53="""","""",IFERROR(INDEX(FILTER(Response_Lists!$B:$B,Response_Lists!$A:$A=$H54),6),""""))"),"")</f>
        <v/>
      </c>
      <c r="P54" s="28" t="str">
        <f t="shared" si="6"/>
        <v>Which is clearer: RED or GREEN?</v>
      </c>
      <c r="Q54" s="28" t="str">
        <f t="array" ref="Q54">IF($I53="","",XLOOKUP(C54,FSM_State_Map!A:A,FSM_State_Map!D:D,""))</f>
        <v>LE</v>
      </c>
      <c r="R54" s="28" t="str">
        <f t="shared" si="7"/>
        <v>20_20_20</v>
      </c>
      <c r="S54" s="28">
        <f t="array" ref="S54">IF($I53="","",
IF(
  AND(C54="B",C53&lt;&gt;"B"),
  XLOOKUP($B54,Derived_Variables!$A:$A,Derived_Variables!$K:$K,0)
  + XLOOKUP($B54,Derived_Variables!$A:$A,Derived_Variables!$AE:$AE,0),
  S53+AM53
))</f>
        <v>-1.25</v>
      </c>
      <c r="T54" s="28">
        <f t="shared" ref="T54:U54" si="118">IF($I53="","",T53+AN53)</f>
        <v>-0.25</v>
      </c>
      <c r="U54" s="28">
        <f t="shared" si="118"/>
        <v>2</v>
      </c>
      <c r="V54" s="28">
        <f t="array" ref="V54">IF($I53="","",
IF(
  AND(C54="D",C53&lt;&gt;"D"),
  XLOOKUP($B54,Derived_Variables!$A:$A,Derived_Variables!$N:$N,0)
  + XLOOKUP($B54,Derived_Variables!$A:$A,Derived_Variables!$AE:$AE,0),
  V53+AP53
))</f>
        <v>-1.25</v>
      </c>
      <c r="W54" s="28">
        <f t="shared" ref="W54:X54" si="119">IF($I53="","",W53+AQ53)</f>
        <v>0</v>
      </c>
      <c r="X54" s="28">
        <f t="shared" si="119"/>
        <v>50</v>
      </c>
      <c r="Y54" s="28">
        <f t="array" ref="Y54">IF($I53="","",IF(AND(C54="P",C53&lt;&gt;"P"),IFERROR(XLOOKUP($B54,Lenso_Input!$A:$A,Lenso_Input!$E:$E,0),0),Y53+AS53))</f>
        <v>0</v>
      </c>
      <c r="Z54" s="28">
        <f t="array" ref="Z54">IF($I53="","",IF(AND(C54="Q",C53&lt;&gt;"Q"),IFERROR(XLOOKUP($B54,Lenso_Input!$A:$A,Lenso_Input!$I:$I,0),0),Z53+AT53))</f>
        <v>0</v>
      </c>
      <c r="AA54" s="28" t="str">
        <f t="array" ref="AA54">IF($I53="","",IF(XLOOKUP($B54,Derived_Variables!$A:$A,Derived_Variables!$R:$R,"6/6_target")="6/6_target","20_20_20","40_30_25"))</f>
        <v>20_20_20</v>
      </c>
      <c r="AB54" s="28">
        <f t="array" ref="AB54">IF($I53="","",XLOOKUP(LOWER(XLOOKUP($B54,Derived_Variables!$A:$A,Derived_Variables!$T:$T,"Standard"))&amp;"_sph_step",Calibration!$B:$B,Calibration!$C:$C,0.25))</f>
        <v>0.25</v>
      </c>
      <c r="AC54" s="28">
        <f t="array" ref="AC54">IF($I53="","",XLOOKUP(LOWER(XLOOKUP($B54,Derived_Variables!$A:$A,Derived_Variables!$T:$T,"Standard"))&amp;"_cyl_step",Calibration!$B:$B,Calibration!$C:$C,0.25))</f>
        <v>0.25</v>
      </c>
      <c r="AD54" s="28">
        <f t="array" ref="AD54">IF($I53="","",IF(OR(C54="E",C54="H"),LET(startStep,XLOOKUP("axis_start_step",Calibration!$B:$B,Calibration!$C:$C,5),step1,XLOOKUP("axis_reversal_step_1",Calibration!$B:$B,Calibration!$C:$C,3),step2,XLOOKUP("axis_reversal_step_2",Calibration!$B:$B,Calibration!$C:$C,1),IF(OR(C53&lt;&gt;C54,AZ54="",AZ54="SAME",AZ54="CANT_TELL",I54="",I54="SAME",I54="CANT_TELL"),startStep,IF(OR(AND(AZ54="BETTER_1",I54="BETTER_2"),AND(AZ54="BETTER_2",I54="BETTER_1")),IF(AD53&gt;step1,step1,step2),AD53))),0))</f>
        <v>0</v>
      </c>
      <c r="AE54" s="28" t="str">
        <f t="array" ref="AE54">IF($I53="","",XLOOKUP($B54,Derived_Variables!$A:$A,Derived_Variables!$AD:$AD,"No_Fog"))</f>
        <v>Strong_Fog</v>
      </c>
      <c r="AF54" s="28">
        <f t="array" ref="AF54">IF($I53="","",XLOOKUP($B54,Derived_Variables!$A:$A,Derived_Variables!$AE:$AE,0))</f>
        <v>1</v>
      </c>
      <c r="AG54" s="28" t="str">
        <f t="array" ref="AG54">IF($I53="","",XLOOKUP($B54,Derived_Variables!$A:$A,Derived_Variables!$AF:$AF,""))</f>
        <v>StepDown_0.25</v>
      </c>
      <c r="AH54" s="28" t="str">
        <f t="array" ref="AH54">IF($I53="","",XLOOKUP($B54,Derived_Variables!$A:$A,Derived_Variables!$AG:$AG,""))</f>
        <v>Low</v>
      </c>
      <c r="AI54" s="28" t="str">
        <f t="array" ref="AI54">IF($I53="","",XLOOKUP($B54,Derived_Variables!$A:$A,Derived_Variables!$AC:$AC,"Medium"))</f>
        <v>Low</v>
      </c>
      <c r="AJ54" s="28" t="b">
        <f t="array" ref="AJ54">IF($I53="","",XLOOKUP($B54,Derived_Variables!$A:$A,Derived_Variables!$Y:$Y,FALSE))</f>
        <v>0</v>
      </c>
      <c r="AK54" s="28" t="str">
        <f t="array" ref="AK54">IF($I53="","",XLOOKUP($B54,Derived_Variables!$A:$A,Derived_Variables!$AA:$AA,"Normal"))</f>
        <v>Slow</v>
      </c>
      <c r="AL54" s="28" t="str">
        <f t="array" ref="AL54">IF($I53="","",XLOOKUP($B54,Derived_Variables!$A:$A,Derived_Variables!$AB:$AB,"Normal"))</f>
        <v>Relaxed</v>
      </c>
      <c r="AM54" s="28">
        <f t="array" ref="AM54">IF($I54="","",IFS(C54="B",IF(OR(I54="NOT_READABLE",I54="BLURRY"),-AB54,0),C54="G",IFS(I54="RED_CLEARER",XLOOKUP("duochrome_red_step",Calibration!$B:$B,Calibration!$C:$C,-0.25),I54="GREEN_CLEARER",XLOOKUP("duochrome_green_step",Calibration!$B:$B,Calibration!$C:$C,0.25),I54="EQUAL",IF(XLOOKUP($B54,Derived_Variables!$A:$A,Derived_Variables!$S:$S,"Neutral")="Undercorrect",XLOOKUP("undercorrect_step",Calibration!$B:$B,Calibration!$C:$C,0.25),IF(XLOOKUP($B54,Derived_Variables!$A:$A,Derived_Variables!$S:$S,"Neutral")="Overcorrect",-XLOOKUP("overcorrect_step",Calibration!$B:$B,Calibration!$C:$C,0.25),0)),TRUE,0),C54="K",IF(I54="TOP_CLEARER",XLOOKUP("bino_balance_step",Calibration!$B:$B,Calibration!$C:$C,0.25),0),TRUE,0))</f>
        <v>0</v>
      </c>
      <c r="AN54" s="28">
        <f t="shared" si="10"/>
        <v>0</v>
      </c>
      <c r="AO54" s="28">
        <f t="shared" si="11"/>
        <v>0</v>
      </c>
      <c r="AP54" s="28">
        <f t="array" ref="AP54">IF($I54="","",IFS(C54="D",IF(OR(I54="NOT_READABLE",I54="BLURRY"),-AB54,0),C54="J",IFS(I54="RED_CLEARER",XLOOKUP("duochrome_red_step",Calibration!$B:$B,Calibration!$C:$C,-0.25),I54="GREEN_CLEARER",XLOOKUP("duochrome_green_step",Calibration!$B:$B,Calibration!$C:$C,0.25),I54="EQUAL",IF(XLOOKUP($B54,Derived_Variables!$A:$A,Derived_Variables!$S:$S,"Neutral")="Undercorrect",XLOOKUP("undercorrect_step",Calibration!$B:$B,Calibration!$C:$C,0.25),IF(XLOOKUP($B54,Derived_Variables!$A:$A,Derived_Variables!$S:$S,"Neutral")="Overcorrect",-XLOOKUP("overcorrect_step",Calibration!$B:$B,Calibration!$C:$C,0.25),0)),TRUE,0),C54="K",IF(I54="BOTTOM_CLEARER",XLOOKUP("bino_balance_step",Calibration!$B:$B,Calibration!$C:$C,0.25),0),TRUE,0))</f>
        <v>-0.25</v>
      </c>
      <c r="AQ54" s="28">
        <f t="shared" si="12"/>
        <v>0</v>
      </c>
      <c r="AR54" s="28">
        <f t="shared" si="13"/>
        <v>0</v>
      </c>
      <c r="AS54" s="28">
        <f t="array" ref="AS54">IF($I54="","",IF(C54="P",IF(OR(I54="NOT_READABLE",I54="BLURRY"),XLOOKUP("near_add_step",Calibration!$B:$B,Calibration!$C:$C,0.25),0),IF(C54="R",IF(I54="NOT_CLEAR",XLOOKUP("near_add_step",Calibration!$B:$B,Calibration!$C:$C,0.25),0),0)))</f>
        <v>0</v>
      </c>
      <c r="AT54" s="28">
        <f t="array" ref="AT54">IF($I54="","",IF(C54="Q",IF(OR(I54="NOT_READABLE",I54="BLURRY"),XLOOKUP("near_add_step",Calibration!$B:$B,Calibration!$C:$C,0.25),0),IF(C54="R",IF(I54="NOT_CLEAR",XLOOKUP("near_add_step",Calibration!$B:$B,Calibration!$C:$C,0.25),0),0)))</f>
        <v>0</v>
      </c>
      <c r="AU54" s="28" t="str">
        <f t="array" ref="AU54">IF($I54="","",IF(G54="SNELLEN_FEET",IF(I54="READABLE",IFERROR(XLOOKUP(XLOOKUP(R54,Chart_Scale_Distance!B:B,Chart_Scale_Distance!A:A)+1,Chart_Scale_Distance!A:A,Chart_Scale_Distance!B:B),R54),R54),R54))</f>
        <v>20_20_20</v>
      </c>
      <c r="AV54" s="28">
        <f t="array" ref="AV54">IF($I53="","",IFERROR(XLOOKUP(R54,Chart_Scale_Distance!$B:$B,Chart_Scale_Distance!$A:$A,""),""))</f>
        <v>6</v>
      </c>
      <c r="AW54" s="28">
        <f t="array" ref="AW54">IF($I53="","",IFERROR(XLOOKUP(AA54,Chart_Scale_Distance!$B:$B,Chart_Scale_Distance!$A:$A,""),""))</f>
        <v>6</v>
      </c>
      <c r="AX54" s="28">
        <f t="shared" si="14"/>
        <v>0</v>
      </c>
      <c r="AY54" s="28">
        <f t="shared" si="15"/>
        <v>5</v>
      </c>
      <c r="AZ54" s="28" t="str">
        <f t="shared" si="16"/>
        <v/>
      </c>
      <c r="BA54" s="28">
        <f t="shared" si="17"/>
        <v>5</v>
      </c>
      <c r="BB54" s="28">
        <f t="shared" si="18"/>
        <v>4</v>
      </c>
      <c r="BC54" s="28" t="str">
        <f t="array" ref="BC54">IF($I54="","",LET(
conf,AI54,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duoMax,XLOOKUP($B54,Derived_Variables!$A:$A,Derived_Variables!$AI:$AI,4),
axisTol,XLOOKUP($B54,Derived_Variables!$A:$A,Derived_Variables!$W:$W,1),
maxStart,XLOOKUP($B54,Derived_Variables!$A:$A,Derived_Variables!$U:$U,1.25),
maxAR,XLOOKUP($B54,Derived_Variables!$A:$A,Derived_Variables!$V:$V,3),
anom,XLOOKUP($B54,Derived_Variables!$A:$A,Derived_Variables!$Z:$Z,FALSE),
reStart,XLOOKUP($B54,Derived_Variables!$A:$A,Derived_Variables!$K:$K,0),
leStart,XLOOKUP($B54,Derived_Variables!$A:$A,Derived_Variables!$N:$N,0),
reAR,XLOOKUP($B54,AR_Input!$A:$A,AR_Input!$B:$B,reStart),
leAR,XLOOKUP($B54,AR_Input!$A:$A,AR_Input!$E:$E,leStart),
reEsc,AND(anom,OR(ABS((S54+AM54)-reStart)&gt;maxStart,ABS((S54+AM54)-reAR)&gt;maxAR)),
leEsc,AND(anom,OR(ABS((V54+AP54)-leStart)&gt;maxStart,ABS((V54+AP54)-leAR)&gt;maxAR)),
phaseMax,IFS(
 AK54="Fast",
   IFS(
     OR(C54="B",C54="D"),XLOOKUP("timeout_coarse_fast",Calibration!$B:$B,Calibration!$C:$C,24),
     OR(C54="E",C54="F",C54="H",C54="I"),XLOOKUP("timeout_jcc_fast",Calibration!$B:$B,Calibration!$C:$C,10),
     OR(C54="G",C54="J"),XLOOKUP("timeout_duochrome_fast",Calibration!$B:$B,Calibration!$C:$C,8),
     C54="K",XLOOKUP("timeout_bino_fast",Calibration!$B:$B,Calibration!$C:$C,10),
     OR(C54="P",C54="Q",C54="R"),XLOOKUP("timeout_near_fast",Calibration!$B:$B,Calibration!$C:$C,16),
     TRUE,XLOOKUP("timeout_coarse_fast",Calibration!$B:$B,Calibration!$C:$C,24)
   ),
 AK54="Normal",
   IFS(
     OR(C54="B",C54="D"),XLOOKUP("timeout_coarse_normal",Calibration!$B:$B,Calibration!$C:$C,36),
     OR(C54="E",C54="F",C54="H",C54="I"),XLOOKUP("timeout_jcc_normal",Calibration!$B:$B,Calibration!$C:$C,14),
     OR(C54="G",C54="J"),XLOOKUP("timeout_duochrome_normal",Calibration!$B:$B,Calibration!$C:$C,10),
     C54="K",XLOOKUP("timeout_bino_normal",Calibration!$B:$B,Calibration!$C:$C,14),
     OR(C54="P",C54="Q",C54="R"),XLOOKUP("timeout_near_normal",Calibration!$B:$B,Calibration!$C:$C,22),
     TRUE,XLOOKUP("timeout_coarse_normal",Calibration!$B:$B,Calibration!$C:$C,36)
   ),
 TRUE,
   IFS(
     OR(C54="B",C54="D"),XLOOKUP("timeout_coarse_slow",Calibration!$B:$B,Calibration!$C:$C,48),
     OR(C54="E",C54="F",C54="H",C54="I"),XLOOKUP("timeout_jcc_slow",Calibration!$B:$B,Calibration!$C:$C,18),
     OR(C54="G",C54="J"),XLOOKUP("timeout_duochrome_slow",Calibration!$B:$B,Calibration!$C:$C,12),
     C54="K",XLOOKUP("timeout_bino_slow",Calibration!$B:$B,Calibration!$C:$C,18),
     OR(C54="P",C54="Q",C54="R"),XLOOKUP("timeout_near_slow",Calibration!$B:$B,Calibration!$C:$C,28),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AJ54=TRUE,"ESCALATE",
C54="A",
IF(OR(I54="NOT_READABLE",I54="BLURRY",AND(R54="20_20_20",I54="READABLE")),"B","A"),
C54="B",
IF(reEsc,"ESCALATE",IF(AY54&gt;=phaseMax,"ESCALATE",IF(AND(AV54&gt;=AW54,I54="READABLE"),"E","B"))),
C54="E",
IF(AY54&gt;=phaseMax,"ESCALATE",IF(OR(I54="SAME",I54="CANT_TELL",AD54&lt;axisTol),"F","E")),
C54="F",
IF(AY54&gt;=phaseMax,"ESCALATE",IF(AX54&gt;=powerSameN,"G","F")),
C54="G",
IF(AY54&gt;=phaseMax,"ESCALATE",IF(OR(AX54&gt;=duoEqualN,BB54&gt;=duoMax),"D","G")),
C54="D",
IF(leEsc,"ESCALATE",IF(AY54&gt;=phaseMax,"ESCALATE",IF(AND(AV54&gt;=AW54,I54="READABLE"),"H","D"))),
C54="H",
IF(AY54&gt;=phaseMax,"ESCALATE",IF(OR(I54="SAME",I54="CANT_TELL",AD54&lt;axisTol),"I","H")),
C54="I",
IF(AY54&gt;=phaseMax,"ESCALATE",IF(AX54&gt;=powerSameN,"J","I")),
C54="J",
IF(AY54&gt;=phaseMax,"ESCALATE",IF(OR(AX54&gt;=duoEqualN,BB54&gt;=duoMax),"K","J")),
C54="K",
IF(AY54&gt;=phaseMax,"ESCALATE",IF(AX54&gt;=binoSameN,IF(XLOOKUP($B54,Derived_Variables!$A:$A,Derived_Variables!$AJ:$AJ,FALSE)=TRUE,"P","END"),"K")),
C54="P",
IF(AY54&gt;=phaseMax,"ESCALATE",IF(OR(I54="READABLE",I54="SAME"),"Q","P")),
C54="Q",
IF(AY54&gt;=phaseMax,"ESCALATE",IF(OR(I54="READABLE",I54="SAME"),"R","Q")),
C54="R",
IF(AY54&gt;=phaseMax,"ESCALATE",IF(OR(I54=nearTarget,I54="SAME"),"END","R")),
TRUE,"END"
)))</f>
        <v>J</v>
      </c>
      <c r="BD54" s="28" t="b">
        <f t="shared" si="19"/>
        <v>1</v>
      </c>
    </row>
    <row r="55" ht="15.75" customHeight="1">
      <c r="A55" s="28">
        <f t="shared" si="3"/>
        <v>54</v>
      </c>
      <c r="B55" s="28">
        <f t="shared" si="4"/>
        <v>6</v>
      </c>
      <c r="C55" s="28" t="str">
        <f t="shared" si="5"/>
        <v>J</v>
      </c>
      <c r="D55" s="28" t="str">
        <f t="array" ref="D55">IF($I54="","",XLOOKUP(C55,FSM_State_Map!A:A,FSM_State_Map!B:B,""))</f>
        <v>Duochrome LE</v>
      </c>
      <c r="E55" s="28" t="str">
        <f t="array" ref="E55">IF($I54="","",XLOOKUP(C55,FSM_State_Map!A:A,FSM_State_Map!C:C,""))</f>
        <v>DUOCHROME</v>
      </c>
      <c r="F55" s="28" t="str">
        <f t="array" ref="F55">IF($I54="","",XLOOKUP(E55,Phase_UI_Map!A:A,Phase_UI_Map!B:B,""))</f>
        <v>DUOCHROME</v>
      </c>
      <c r="G55" s="28" t="str">
        <f t="array" ref="G55">IF($I54="","",XLOOKUP(E55,Phase_UI_Map!A:A,Phase_UI_Map!C:C,""))</f>
        <v>RED_GREEN_DUOCHROME</v>
      </c>
      <c r="H55" s="28" t="str">
        <f t="array" ref="H55">IF($I54="","",XLOOKUP(E55,Phase_UI_Map!A:A,Phase_UI_Map!D:D,""))</f>
        <v>COLOR_CHOICE</v>
      </c>
      <c r="I55" s="29" t="s">
        <v>223</v>
      </c>
      <c r="J55" s="28" t="str">
        <f>IFERROR(__xludf.DUMMYFUNCTION("IF($I54="""","""",IFERROR(INDEX(FILTER(Response_Lists!$B:$B,Response_Lists!$A:$A=$H55),1),""""))"),"RED_CLEARER")</f>
        <v>RED_CLEARER</v>
      </c>
      <c r="K55" s="28" t="str">
        <f>IFERROR(__xludf.DUMMYFUNCTION("IF($I54="""","""",IFERROR(INDEX(FILTER(Response_Lists!$B:$B,Response_Lists!$A:$A=$H55),2),""""))"),"GREEN_CLEARER")</f>
        <v>GREEN_CLEARER</v>
      </c>
      <c r="L55" s="28" t="str">
        <f>IFERROR(__xludf.DUMMYFUNCTION("IF($I54="""","""",IFERROR(INDEX(FILTER(Response_Lists!$B:$B,Response_Lists!$A:$A=$H55),3),""""))"),"EQUAL")</f>
        <v>EQUAL</v>
      </c>
      <c r="M55" s="28" t="str">
        <f>IFERROR(__xludf.DUMMYFUNCTION("IF($I54="""","""",IFERROR(INDEX(FILTER(Response_Lists!$B:$B,Response_Lists!$A:$A=$H55),4),""""))"),"CANT_TELL")</f>
        <v>CANT_TELL</v>
      </c>
      <c r="N55" s="28" t="str">
        <f>IFERROR(__xludf.DUMMYFUNCTION("IF($I54="""","""",IFERROR(INDEX(FILTER(Response_Lists!$B:$B,Response_Lists!$A:$A=$H55),5),""""))"),"")</f>
        <v/>
      </c>
      <c r="O55" s="28" t="str">
        <f>IFERROR(__xludf.DUMMYFUNCTION("IF($I54="""","""",IFERROR(INDEX(FILTER(Response_Lists!$B:$B,Response_Lists!$A:$A=$H55),6),""""))"),"")</f>
        <v/>
      </c>
      <c r="P55" s="28" t="str">
        <f t="shared" si="6"/>
        <v>Which is clearer: RED or GREEN?</v>
      </c>
      <c r="Q55" s="28" t="str">
        <f t="array" ref="Q55">IF($I54="","",XLOOKUP(C55,FSM_State_Map!A:A,FSM_State_Map!D:D,""))</f>
        <v>LE</v>
      </c>
      <c r="R55" s="28" t="str">
        <f t="shared" si="7"/>
        <v>20_20_20</v>
      </c>
      <c r="S55" s="28">
        <f t="array" ref="S55">IF($I54="","",
IF(
  AND(C55="B",C54&lt;&gt;"B"),
  XLOOKUP($B55,Derived_Variables!$A:$A,Derived_Variables!$K:$K,0)
  + XLOOKUP($B55,Derived_Variables!$A:$A,Derived_Variables!$AE:$AE,0),
  S54+AM54
))</f>
        <v>-1.25</v>
      </c>
      <c r="T55" s="28">
        <f t="shared" ref="T55:U55" si="120">IF($I54="","",T54+AN54)</f>
        <v>-0.25</v>
      </c>
      <c r="U55" s="28">
        <f t="shared" si="120"/>
        <v>2</v>
      </c>
      <c r="V55" s="28">
        <f t="array" ref="V55">IF($I54="","",
IF(
  AND(C55="D",C54&lt;&gt;"D"),
  XLOOKUP($B55,Derived_Variables!$A:$A,Derived_Variables!$N:$N,0)
  + XLOOKUP($B55,Derived_Variables!$A:$A,Derived_Variables!$AE:$AE,0),
  V54+AP54
))</f>
        <v>-1.5</v>
      </c>
      <c r="W55" s="28">
        <f t="shared" ref="W55:X55" si="121">IF($I54="","",W54+AQ54)</f>
        <v>0</v>
      </c>
      <c r="X55" s="28">
        <f t="shared" si="121"/>
        <v>50</v>
      </c>
      <c r="Y55" s="28">
        <f t="array" ref="Y55">IF($I54="","",IF(AND(C55="P",C54&lt;&gt;"P"),IFERROR(XLOOKUP($B55,Lenso_Input!$A:$A,Lenso_Input!$E:$E,0),0),Y54+AS54))</f>
        <v>0</v>
      </c>
      <c r="Z55" s="28">
        <f t="array" ref="Z55">IF($I54="","",IF(AND(C55="Q",C54&lt;&gt;"Q"),IFERROR(XLOOKUP($B55,Lenso_Input!$A:$A,Lenso_Input!$I:$I,0),0),Z54+AT54))</f>
        <v>0</v>
      </c>
      <c r="AA55" s="28" t="str">
        <f t="array" ref="AA55">IF($I54="","",IF(XLOOKUP($B55,Derived_Variables!$A:$A,Derived_Variables!$R:$R,"6/6_target")="6/6_target","20_20_20","40_30_25"))</f>
        <v>20_20_20</v>
      </c>
      <c r="AB55" s="28">
        <f t="array" ref="AB55">IF($I54="","",XLOOKUP(LOWER(XLOOKUP($B55,Derived_Variables!$A:$A,Derived_Variables!$T:$T,"Standard"))&amp;"_sph_step",Calibration!$B:$B,Calibration!$C:$C,0.25))</f>
        <v>0.25</v>
      </c>
      <c r="AC55" s="28">
        <f t="array" ref="AC55">IF($I54="","",XLOOKUP(LOWER(XLOOKUP($B55,Derived_Variables!$A:$A,Derived_Variables!$T:$T,"Standard"))&amp;"_cyl_step",Calibration!$B:$B,Calibration!$C:$C,0.25))</f>
        <v>0.25</v>
      </c>
      <c r="AD55" s="28">
        <f t="array" ref="AD55">IF($I54="","",IF(OR(C55="E",C55="H"),LET(startStep,XLOOKUP("axis_start_step",Calibration!$B:$B,Calibration!$C:$C,5),step1,XLOOKUP("axis_reversal_step_1",Calibration!$B:$B,Calibration!$C:$C,3),step2,XLOOKUP("axis_reversal_step_2",Calibration!$B:$B,Calibration!$C:$C,1),IF(OR(C54&lt;&gt;C55,AZ55="",AZ55="SAME",AZ55="CANT_TELL",I55="",I55="SAME",I55="CANT_TELL"),startStep,IF(OR(AND(AZ55="BETTER_1",I55="BETTER_2"),AND(AZ55="BETTER_2",I55="BETTER_1")),IF(AD54&gt;step1,step1,step2),AD54))),0))</f>
        <v>0</v>
      </c>
      <c r="AE55" s="28" t="str">
        <f t="array" ref="AE55">IF($I54="","",XLOOKUP($B55,Derived_Variables!$A:$A,Derived_Variables!$AD:$AD,"No_Fog"))</f>
        <v>Strong_Fog</v>
      </c>
      <c r="AF55" s="28">
        <f t="array" ref="AF55">IF($I54="","",XLOOKUP($B55,Derived_Variables!$A:$A,Derived_Variables!$AE:$AE,0))</f>
        <v>1</v>
      </c>
      <c r="AG55" s="28" t="str">
        <f t="array" ref="AG55">IF($I54="","",XLOOKUP($B55,Derived_Variables!$A:$A,Derived_Variables!$AF:$AF,""))</f>
        <v>StepDown_0.25</v>
      </c>
      <c r="AH55" s="28" t="str">
        <f t="array" ref="AH55">IF($I54="","",XLOOKUP($B55,Derived_Variables!$A:$A,Derived_Variables!$AG:$AG,""))</f>
        <v>Low</v>
      </c>
      <c r="AI55" s="28" t="str">
        <f t="array" ref="AI55">IF($I54="","",XLOOKUP($B55,Derived_Variables!$A:$A,Derived_Variables!$AC:$AC,"Medium"))</f>
        <v>Low</v>
      </c>
      <c r="AJ55" s="28" t="b">
        <f t="array" ref="AJ55">IF($I54="","",XLOOKUP($B55,Derived_Variables!$A:$A,Derived_Variables!$Y:$Y,FALSE))</f>
        <v>0</v>
      </c>
      <c r="AK55" s="28" t="str">
        <f t="array" ref="AK55">IF($I54="","",XLOOKUP($B55,Derived_Variables!$A:$A,Derived_Variables!$AA:$AA,"Normal"))</f>
        <v>Slow</v>
      </c>
      <c r="AL55" s="28" t="str">
        <f t="array" ref="AL55">IF($I54="","",XLOOKUP($B55,Derived_Variables!$A:$A,Derived_Variables!$AB:$AB,"Normal"))</f>
        <v>Relaxed</v>
      </c>
      <c r="AM55" s="28">
        <f t="array" ref="AM55">IF($I55="","",IFS(C55="B",IF(OR(I55="NOT_READABLE",I55="BLURRY"),-AB55,0),C55="G",IFS(I55="RED_CLEARER",XLOOKUP("duochrome_red_step",Calibration!$B:$B,Calibration!$C:$C,-0.25),I55="GREEN_CLEARER",XLOOKUP("duochrome_green_step",Calibration!$B:$B,Calibration!$C:$C,0.25),I55="EQUAL",IF(XLOOKUP($B55,Derived_Variables!$A:$A,Derived_Variables!$S:$S,"Neutral")="Undercorrect",XLOOKUP("undercorrect_step",Calibration!$B:$B,Calibration!$C:$C,0.25),IF(XLOOKUP($B55,Derived_Variables!$A:$A,Derived_Variables!$S:$S,"Neutral")="Overcorrect",-XLOOKUP("overcorrect_step",Calibration!$B:$B,Calibration!$C:$C,0.25),0)),TRUE,0),C55="K",IF(I55="TOP_CLEARER",XLOOKUP("bino_balance_step",Calibration!$B:$B,Calibration!$C:$C,0.25),0),TRUE,0))</f>
        <v>0</v>
      </c>
      <c r="AN55" s="28">
        <f t="shared" si="10"/>
        <v>0</v>
      </c>
      <c r="AO55" s="28">
        <f t="shared" si="11"/>
        <v>0</v>
      </c>
      <c r="AP55" s="28">
        <f t="array" ref="AP55">IF($I55="","",IFS(C55="D",IF(OR(I55="NOT_READABLE",I55="BLURRY"),-AB55,0),C55="J",IFS(I55="RED_CLEARER",XLOOKUP("duochrome_red_step",Calibration!$B:$B,Calibration!$C:$C,-0.25),I55="GREEN_CLEARER",XLOOKUP("duochrome_green_step",Calibration!$B:$B,Calibration!$C:$C,0.25),I55="EQUAL",IF(XLOOKUP($B55,Derived_Variables!$A:$A,Derived_Variables!$S:$S,"Neutral")="Undercorrect",XLOOKUP("undercorrect_step",Calibration!$B:$B,Calibration!$C:$C,0.25),IF(XLOOKUP($B55,Derived_Variables!$A:$A,Derived_Variables!$S:$S,"Neutral")="Overcorrect",-XLOOKUP("overcorrect_step",Calibration!$B:$B,Calibration!$C:$C,0.25),0)),TRUE,0),C55="K",IF(I55="BOTTOM_CLEARER",XLOOKUP("bino_balance_step",Calibration!$B:$B,Calibration!$C:$C,0.25),0),TRUE,0))</f>
        <v>-0.25</v>
      </c>
      <c r="AQ55" s="28">
        <f t="shared" si="12"/>
        <v>0</v>
      </c>
      <c r="AR55" s="28">
        <f t="shared" si="13"/>
        <v>0</v>
      </c>
      <c r="AS55" s="28">
        <f t="array" ref="AS55">IF($I55="","",IF(C55="P",IF(OR(I55="NOT_READABLE",I55="BLURRY"),XLOOKUP("near_add_step",Calibration!$B:$B,Calibration!$C:$C,0.25),0),IF(C55="R",IF(I55="NOT_CLEAR",XLOOKUP("near_add_step",Calibration!$B:$B,Calibration!$C:$C,0.25),0),0)))</f>
        <v>0</v>
      </c>
      <c r="AT55" s="28">
        <f t="array" ref="AT55">IF($I55="","",IF(C55="Q",IF(OR(I55="NOT_READABLE",I55="BLURRY"),XLOOKUP("near_add_step",Calibration!$B:$B,Calibration!$C:$C,0.25),0),IF(C55="R",IF(I55="NOT_CLEAR",XLOOKUP("near_add_step",Calibration!$B:$B,Calibration!$C:$C,0.25),0),0)))</f>
        <v>0</v>
      </c>
      <c r="AU55" s="28" t="str">
        <f t="array" ref="AU55">IF($I55="","",IF(G55="SNELLEN_FEET",IF(I55="READABLE",IFERROR(XLOOKUP(XLOOKUP(R55,Chart_Scale_Distance!B:B,Chart_Scale_Distance!A:A)+1,Chart_Scale_Distance!A:A,Chart_Scale_Distance!B:B),R55),R55),R55))</f>
        <v>20_20_20</v>
      </c>
      <c r="AV55" s="28">
        <f t="array" ref="AV55">IF($I54="","",IFERROR(XLOOKUP(R55,Chart_Scale_Distance!$B:$B,Chart_Scale_Distance!$A:$A,""),""))</f>
        <v>6</v>
      </c>
      <c r="AW55" s="28">
        <f t="array" ref="AW55">IF($I54="","",IFERROR(XLOOKUP(AA55,Chart_Scale_Distance!$B:$B,Chart_Scale_Distance!$A:$A,""),""))</f>
        <v>6</v>
      </c>
      <c r="AX55" s="28">
        <f t="shared" si="14"/>
        <v>0</v>
      </c>
      <c r="AY55" s="28">
        <f t="shared" si="15"/>
        <v>6</v>
      </c>
      <c r="AZ55" s="28" t="str">
        <f t="shared" si="16"/>
        <v/>
      </c>
      <c r="BA55" s="28">
        <f t="shared" si="17"/>
        <v>6</v>
      </c>
      <c r="BB55" s="28">
        <f t="shared" si="18"/>
        <v>4</v>
      </c>
      <c r="BC55" s="28" t="str">
        <f t="array" ref="BC55">IF($I55="","",LET(
conf,AI55,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duoMax,XLOOKUP($B55,Derived_Variables!$A:$A,Derived_Variables!$AI:$AI,4),
axisTol,XLOOKUP($B55,Derived_Variables!$A:$A,Derived_Variables!$W:$W,1),
maxStart,XLOOKUP($B55,Derived_Variables!$A:$A,Derived_Variables!$U:$U,1.25),
maxAR,XLOOKUP($B55,Derived_Variables!$A:$A,Derived_Variables!$V:$V,3),
anom,XLOOKUP($B55,Derived_Variables!$A:$A,Derived_Variables!$Z:$Z,FALSE),
reStart,XLOOKUP($B55,Derived_Variables!$A:$A,Derived_Variables!$K:$K,0),
leStart,XLOOKUP($B55,Derived_Variables!$A:$A,Derived_Variables!$N:$N,0),
reAR,XLOOKUP($B55,AR_Input!$A:$A,AR_Input!$B:$B,reStart),
leAR,XLOOKUP($B55,AR_Input!$A:$A,AR_Input!$E:$E,leStart),
reEsc,AND(anom,OR(ABS((S55+AM55)-reStart)&gt;maxStart,ABS((S55+AM55)-reAR)&gt;maxAR)),
leEsc,AND(anom,OR(ABS((V55+AP55)-leStart)&gt;maxStart,ABS((V55+AP55)-leAR)&gt;maxAR)),
phaseMax,IFS(
 AK55="Fast",
   IFS(
     OR(C55="B",C55="D"),XLOOKUP("timeout_coarse_fast",Calibration!$B:$B,Calibration!$C:$C,24),
     OR(C55="E",C55="F",C55="H",C55="I"),XLOOKUP("timeout_jcc_fast",Calibration!$B:$B,Calibration!$C:$C,10),
     OR(C55="G",C55="J"),XLOOKUP("timeout_duochrome_fast",Calibration!$B:$B,Calibration!$C:$C,8),
     C55="K",XLOOKUP("timeout_bino_fast",Calibration!$B:$B,Calibration!$C:$C,10),
     OR(C55="P",C55="Q",C55="R"),XLOOKUP("timeout_near_fast",Calibration!$B:$B,Calibration!$C:$C,16),
     TRUE,XLOOKUP("timeout_coarse_fast",Calibration!$B:$B,Calibration!$C:$C,24)
   ),
 AK55="Normal",
   IFS(
     OR(C55="B",C55="D"),XLOOKUP("timeout_coarse_normal",Calibration!$B:$B,Calibration!$C:$C,36),
     OR(C55="E",C55="F",C55="H",C55="I"),XLOOKUP("timeout_jcc_normal",Calibration!$B:$B,Calibration!$C:$C,14),
     OR(C55="G",C55="J"),XLOOKUP("timeout_duochrome_normal",Calibration!$B:$B,Calibration!$C:$C,10),
     C55="K",XLOOKUP("timeout_bino_normal",Calibration!$B:$B,Calibration!$C:$C,14),
     OR(C55="P",C55="Q",C55="R"),XLOOKUP("timeout_near_normal",Calibration!$B:$B,Calibration!$C:$C,22),
     TRUE,XLOOKUP("timeout_coarse_normal",Calibration!$B:$B,Calibration!$C:$C,36)
   ),
 TRUE,
   IFS(
     OR(C55="B",C55="D"),XLOOKUP("timeout_coarse_slow",Calibration!$B:$B,Calibration!$C:$C,48),
     OR(C55="E",C55="F",C55="H",C55="I"),XLOOKUP("timeout_jcc_slow",Calibration!$B:$B,Calibration!$C:$C,18),
     OR(C55="G",C55="J"),XLOOKUP("timeout_duochrome_slow",Calibration!$B:$B,Calibration!$C:$C,12),
     C55="K",XLOOKUP("timeout_bino_slow",Calibration!$B:$B,Calibration!$C:$C,18),
     OR(C55="P",C55="Q",C55="R"),XLOOKUP("timeout_near_slow",Calibration!$B:$B,Calibration!$C:$C,28),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AJ55=TRUE,"ESCALATE",
C55="A",
IF(OR(I55="NOT_READABLE",I55="BLURRY",AND(R55="20_20_20",I55="READABLE")),"B","A"),
C55="B",
IF(reEsc,"ESCALATE",IF(AY55&gt;=phaseMax,"ESCALATE",IF(AND(AV55&gt;=AW55,I55="READABLE"),"E","B"))),
C55="E",
IF(AY55&gt;=phaseMax,"ESCALATE",IF(OR(I55="SAME",I55="CANT_TELL",AD55&lt;axisTol),"F","E")),
C55="F",
IF(AY55&gt;=phaseMax,"ESCALATE",IF(AX55&gt;=powerSameN,"G","F")),
C55="G",
IF(AY55&gt;=phaseMax,"ESCALATE",IF(OR(AX55&gt;=duoEqualN,BB55&gt;=duoMax),"D","G")),
C55="D",
IF(leEsc,"ESCALATE",IF(AY55&gt;=phaseMax,"ESCALATE",IF(AND(AV55&gt;=AW55,I55="READABLE"),"H","D"))),
C55="H",
IF(AY55&gt;=phaseMax,"ESCALATE",IF(OR(I55="SAME",I55="CANT_TELL",AD55&lt;axisTol),"I","H")),
C55="I",
IF(AY55&gt;=phaseMax,"ESCALATE",IF(AX55&gt;=powerSameN,"J","I")),
C55="J",
IF(AY55&gt;=phaseMax,"ESCALATE",IF(OR(AX55&gt;=duoEqualN,BB55&gt;=duoMax),"K","J")),
C55="K",
IF(AY55&gt;=phaseMax,"ESCALATE",IF(AX55&gt;=binoSameN,IF(XLOOKUP($B55,Derived_Variables!$A:$A,Derived_Variables!$AJ:$AJ,FALSE)=TRUE,"P","END"),"K")),
C55="P",
IF(AY55&gt;=phaseMax,"ESCALATE",IF(OR(I55="READABLE",I55="SAME"),"Q","P")),
C55="Q",
IF(AY55&gt;=phaseMax,"ESCALATE",IF(OR(I55="READABLE",I55="SAME"),"R","Q")),
C55="R",
IF(AY55&gt;=phaseMax,"ESCALATE",IF(OR(I55=nearTarget,I55="SAME"),"END","R")),
TRUE,"END"
)))</f>
        <v>J</v>
      </c>
      <c r="BD55" s="28" t="b">
        <f t="shared" si="19"/>
        <v>1</v>
      </c>
    </row>
    <row r="56" ht="15.75" customHeight="1">
      <c r="A56" s="28">
        <f t="shared" si="3"/>
        <v>55</v>
      </c>
      <c r="B56" s="28">
        <f t="shared" si="4"/>
        <v>6</v>
      </c>
      <c r="C56" s="28" t="str">
        <f t="shared" si="5"/>
        <v>J</v>
      </c>
      <c r="D56" s="28" t="str">
        <f t="array" ref="D56">IF($I55="","",XLOOKUP(C56,FSM_State_Map!A:A,FSM_State_Map!B:B,""))</f>
        <v>Duochrome LE</v>
      </c>
      <c r="E56" s="28" t="str">
        <f t="array" ref="E56">IF($I55="","",XLOOKUP(C56,FSM_State_Map!A:A,FSM_State_Map!C:C,""))</f>
        <v>DUOCHROME</v>
      </c>
      <c r="F56" s="28" t="str">
        <f t="array" ref="F56">IF($I55="","",XLOOKUP(E56,Phase_UI_Map!A:A,Phase_UI_Map!B:B,""))</f>
        <v>DUOCHROME</v>
      </c>
      <c r="G56" s="28" t="str">
        <f t="array" ref="G56">IF($I55="","",XLOOKUP(E56,Phase_UI_Map!A:A,Phase_UI_Map!C:C,""))</f>
        <v>RED_GREEN_DUOCHROME</v>
      </c>
      <c r="H56" s="28" t="str">
        <f t="array" ref="H56">IF($I55="","",XLOOKUP(E56,Phase_UI_Map!A:A,Phase_UI_Map!D:D,""))</f>
        <v>COLOR_CHOICE</v>
      </c>
      <c r="I56" s="29" t="s">
        <v>224</v>
      </c>
      <c r="J56" s="28" t="str">
        <f>IFERROR(__xludf.DUMMYFUNCTION("IF($I55="""","""",IFERROR(INDEX(FILTER(Response_Lists!$B:$B,Response_Lists!$A:$A=$H56),1),""""))"),"RED_CLEARER")</f>
        <v>RED_CLEARER</v>
      </c>
      <c r="K56" s="28" t="str">
        <f>IFERROR(__xludf.DUMMYFUNCTION("IF($I55="""","""",IFERROR(INDEX(FILTER(Response_Lists!$B:$B,Response_Lists!$A:$A=$H56),2),""""))"),"GREEN_CLEARER")</f>
        <v>GREEN_CLEARER</v>
      </c>
      <c r="L56" s="28" t="str">
        <f>IFERROR(__xludf.DUMMYFUNCTION("IF($I55="""","""",IFERROR(INDEX(FILTER(Response_Lists!$B:$B,Response_Lists!$A:$A=$H56),3),""""))"),"EQUAL")</f>
        <v>EQUAL</v>
      </c>
      <c r="M56" s="28" t="str">
        <f>IFERROR(__xludf.DUMMYFUNCTION("IF($I55="""","""",IFERROR(INDEX(FILTER(Response_Lists!$B:$B,Response_Lists!$A:$A=$H56),4),""""))"),"CANT_TELL")</f>
        <v>CANT_TELL</v>
      </c>
      <c r="N56" s="28" t="str">
        <f>IFERROR(__xludf.DUMMYFUNCTION("IF($I55="""","""",IFERROR(INDEX(FILTER(Response_Lists!$B:$B,Response_Lists!$A:$A=$H56),5),""""))"),"")</f>
        <v/>
      </c>
      <c r="O56" s="28" t="str">
        <f>IFERROR(__xludf.DUMMYFUNCTION("IF($I55="""","""",IFERROR(INDEX(FILTER(Response_Lists!$B:$B,Response_Lists!$A:$A=$H56),6),""""))"),"")</f>
        <v/>
      </c>
      <c r="P56" s="28" t="str">
        <f t="shared" si="6"/>
        <v>Which is clearer: RED or GREEN?</v>
      </c>
      <c r="Q56" s="28" t="str">
        <f t="array" ref="Q56">IF($I55="","",XLOOKUP(C56,FSM_State_Map!A:A,FSM_State_Map!D:D,""))</f>
        <v>LE</v>
      </c>
      <c r="R56" s="28" t="str">
        <f t="shared" si="7"/>
        <v>20_20_20</v>
      </c>
      <c r="S56" s="28">
        <f t="array" ref="S56">IF($I55="","",
IF(
  AND(C56="B",C55&lt;&gt;"B"),
  XLOOKUP($B56,Derived_Variables!$A:$A,Derived_Variables!$K:$K,0)
  + XLOOKUP($B56,Derived_Variables!$A:$A,Derived_Variables!$AE:$AE,0),
  S55+AM55
))</f>
        <v>-1.25</v>
      </c>
      <c r="T56" s="28">
        <f t="shared" ref="T56:U56" si="122">IF($I55="","",T55+AN55)</f>
        <v>-0.25</v>
      </c>
      <c r="U56" s="28">
        <f t="shared" si="122"/>
        <v>2</v>
      </c>
      <c r="V56" s="28">
        <f t="array" ref="V56">IF($I55="","",
IF(
  AND(C56="D",C55&lt;&gt;"D"),
  XLOOKUP($B56,Derived_Variables!$A:$A,Derived_Variables!$N:$N,0)
  + XLOOKUP($B56,Derived_Variables!$A:$A,Derived_Variables!$AE:$AE,0),
  V55+AP55
))</f>
        <v>-1.75</v>
      </c>
      <c r="W56" s="28">
        <f t="shared" ref="W56:X56" si="123">IF($I55="","",W55+AQ55)</f>
        <v>0</v>
      </c>
      <c r="X56" s="28">
        <f t="shared" si="123"/>
        <v>50</v>
      </c>
      <c r="Y56" s="28">
        <f t="array" ref="Y56">IF($I55="","",IF(AND(C56="P",C55&lt;&gt;"P"),IFERROR(XLOOKUP($B56,Lenso_Input!$A:$A,Lenso_Input!$E:$E,0),0),Y55+AS55))</f>
        <v>0</v>
      </c>
      <c r="Z56" s="28">
        <f t="array" ref="Z56">IF($I55="","",IF(AND(C56="Q",C55&lt;&gt;"Q"),IFERROR(XLOOKUP($B56,Lenso_Input!$A:$A,Lenso_Input!$I:$I,0),0),Z55+AT55))</f>
        <v>0</v>
      </c>
      <c r="AA56" s="28" t="str">
        <f t="array" ref="AA56">IF($I55="","",IF(XLOOKUP($B56,Derived_Variables!$A:$A,Derived_Variables!$R:$R,"6/6_target")="6/6_target","20_20_20","40_30_25"))</f>
        <v>20_20_20</v>
      </c>
      <c r="AB56" s="28">
        <f t="array" ref="AB56">IF($I55="","",XLOOKUP(LOWER(XLOOKUP($B56,Derived_Variables!$A:$A,Derived_Variables!$T:$T,"Standard"))&amp;"_sph_step",Calibration!$B:$B,Calibration!$C:$C,0.25))</f>
        <v>0.25</v>
      </c>
      <c r="AC56" s="28">
        <f t="array" ref="AC56">IF($I55="","",XLOOKUP(LOWER(XLOOKUP($B56,Derived_Variables!$A:$A,Derived_Variables!$T:$T,"Standard"))&amp;"_cyl_step",Calibration!$B:$B,Calibration!$C:$C,0.25))</f>
        <v>0.25</v>
      </c>
      <c r="AD56" s="28">
        <f t="array" ref="AD56">IF($I55="","",IF(OR(C56="E",C56="H"),LET(startStep,XLOOKUP("axis_start_step",Calibration!$B:$B,Calibration!$C:$C,5),step1,XLOOKUP("axis_reversal_step_1",Calibration!$B:$B,Calibration!$C:$C,3),step2,XLOOKUP("axis_reversal_step_2",Calibration!$B:$B,Calibration!$C:$C,1),IF(OR(C55&lt;&gt;C56,AZ56="",AZ56="SAME",AZ56="CANT_TELL",I56="",I56="SAME",I56="CANT_TELL"),startStep,IF(OR(AND(AZ56="BETTER_1",I56="BETTER_2"),AND(AZ56="BETTER_2",I56="BETTER_1")),IF(AD55&gt;step1,step1,step2),AD55))),0))</f>
        <v>0</v>
      </c>
      <c r="AE56" s="28" t="str">
        <f t="array" ref="AE56">IF($I55="","",XLOOKUP($B56,Derived_Variables!$A:$A,Derived_Variables!$AD:$AD,"No_Fog"))</f>
        <v>Strong_Fog</v>
      </c>
      <c r="AF56" s="28">
        <f t="array" ref="AF56">IF($I55="","",XLOOKUP($B56,Derived_Variables!$A:$A,Derived_Variables!$AE:$AE,0))</f>
        <v>1</v>
      </c>
      <c r="AG56" s="28" t="str">
        <f t="array" ref="AG56">IF($I55="","",XLOOKUP($B56,Derived_Variables!$A:$A,Derived_Variables!$AF:$AF,""))</f>
        <v>StepDown_0.25</v>
      </c>
      <c r="AH56" s="28" t="str">
        <f t="array" ref="AH56">IF($I55="","",XLOOKUP($B56,Derived_Variables!$A:$A,Derived_Variables!$AG:$AG,""))</f>
        <v>Low</v>
      </c>
      <c r="AI56" s="28" t="str">
        <f t="array" ref="AI56">IF($I55="","",XLOOKUP($B56,Derived_Variables!$A:$A,Derived_Variables!$AC:$AC,"Medium"))</f>
        <v>Low</v>
      </c>
      <c r="AJ56" s="28" t="b">
        <f t="array" ref="AJ56">IF($I55="","",XLOOKUP($B56,Derived_Variables!$A:$A,Derived_Variables!$Y:$Y,FALSE))</f>
        <v>0</v>
      </c>
      <c r="AK56" s="28" t="str">
        <f t="array" ref="AK56">IF($I55="","",XLOOKUP($B56,Derived_Variables!$A:$A,Derived_Variables!$AA:$AA,"Normal"))</f>
        <v>Slow</v>
      </c>
      <c r="AL56" s="28" t="str">
        <f t="array" ref="AL56">IF($I55="","",XLOOKUP($B56,Derived_Variables!$A:$A,Derived_Variables!$AB:$AB,"Normal"))</f>
        <v>Relaxed</v>
      </c>
      <c r="AM56" s="28">
        <f t="array" ref="AM56">IF($I56="","",IFS(C56="B",IF(OR(I56="NOT_READABLE",I56="BLURRY"),-AB56,0),C56="G",IFS(I56="RED_CLEARER",XLOOKUP("duochrome_red_step",Calibration!$B:$B,Calibration!$C:$C,-0.25),I56="GREEN_CLEARER",XLOOKUP("duochrome_green_step",Calibration!$B:$B,Calibration!$C:$C,0.25),I56="EQUAL",IF(XLOOKUP($B56,Derived_Variables!$A:$A,Derived_Variables!$S:$S,"Neutral")="Undercorrect",XLOOKUP("undercorrect_step",Calibration!$B:$B,Calibration!$C:$C,0.25),IF(XLOOKUP($B56,Derived_Variables!$A:$A,Derived_Variables!$S:$S,"Neutral")="Overcorrect",-XLOOKUP("overcorrect_step",Calibration!$B:$B,Calibration!$C:$C,0.25),0)),TRUE,0),C56="K",IF(I56="TOP_CLEARER",XLOOKUP("bino_balance_step",Calibration!$B:$B,Calibration!$C:$C,0.25),0),TRUE,0))</f>
        <v>0</v>
      </c>
      <c r="AN56" s="28">
        <f t="shared" si="10"/>
        <v>0</v>
      </c>
      <c r="AO56" s="28">
        <f t="shared" si="11"/>
        <v>0</v>
      </c>
      <c r="AP56" s="28">
        <f t="array" ref="AP56">IF($I56="","",IFS(C56="D",IF(OR(I56="NOT_READABLE",I56="BLURRY"),-AB56,0),C56="J",IFS(I56="RED_CLEARER",XLOOKUP("duochrome_red_step",Calibration!$B:$B,Calibration!$C:$C,-0.25),I56="GREEN_CLEARER",XLOOKUP("duochrome_green_step",Calibration!$B:$B,Calibration!$C:$C,0.25),I56="EQUAL",IF(XLOOKUP($B56,Derived_Variables!$A:$A,Derived_Variables!$S:$S,"Neutral")="Undercorrect",XLOOKUP("undercorrect_step",Calibration!$B:$B,Calibration!$C:$C,0.25),IF(XLOOKUP($B56,Derived_Variables!$A:$A,Derived_Variables!$S:$S,"Neutral")="Overcorrect",-XLOOKUP("overcorrect_step",Calibration!$B:$B,Calibration!$C:$C,0.25),0)),TRUE,0),C56="K",IF(I56="BOTTOM_CLEARER",XLOOKUP("bino_balance_step",Calibration!$B:$B,Calibration!$C:$C,0.25),0),TRUE,0))</f>
        <v>0.25</v>
      </c>
      <c r="AQ56" s="28">
        <f t="shared" si="12"/>
        <v>0</v>
      </c>
      <c r="AR56" s="28">
        <f t="shared" si="13"/>
        <v>0</v>
      </c>
      <c r="AS56" s="28">
        <f t="array" ref="AS56">IF($I56="","",IF(C56="P",IF(OR(I56="NOT_READABLE",I56="BLURRY"),XLOOKUP("near_add_step",Calibration!$B:$B,Calibration!$C:$C,0.25),0),IF(C56="R",IF(I56="NOT_CLEAR",XLOOKUP("near_add_step",Calibration!$B:$B,Calibration!$C:$C,0.25),0),0)))</f>
        <v>0</v>
      </c>
      <c r="AT56" s="28">
        <f t="array" ref="AT56">IF($I56="","",IF(C56="Q",IF(OR(I56="NOT_READABLE",I56="BLURRY"),XLOOKUP("near_add_step",Calibration!$B:$B,Calibration!$C:$C,0.25),0),IF(C56="R",IF(I56="NOT_CLEAR",XLOOKUP("near_add_step",Calibration!$B:$B,Calibration!$C:$C,0.25),0),0)))</f>
        <v>0</v>
      </c>
      <c r="AU56" s="28" t="str">
        <f t="array" ref="AU56">IF($I56="","",IF(G56="SNELLEN_FEET",IF(I56="READABLE",IFERROR(XLOOKUP(XLOOKUP(R56,Chart_Scale_Distance!B:B,Chart_Scale_Distance!A:A)+1,Chart_Scale_Distance!A:A,Chart_Scale_Distance!B:B),R56),R56),R56))</f>
        <v>20_20_20</v>
      </c>
      <c r="AV56" s="28">
        <f t="array" ref="AV56">IF($I55="","",IFERROR(XLOOKUP(R56,Chart_Scale_Distance!$B:$B,Chart_Scale_Distance!$A:$A,""),""))</f>
        <v>6</v>
      </c>
      <c r="AW56" s="28">
        <f t="array" ref="AW56">IF($I55="","",IFERROR(XLOOKUP(AA56,Chart_Scale_Distance!$B:$B,Chart_Scale_Distance!$A:$A,""),""))</f>
        <v>6</v>
      </c>
      <c r="AX56" s="28">
        <f t="shared" si="14"/>
        <v>0</v>
      </c>
      <c r="AY56" s="28">
        <f t="shared" si="15"/>
        <v>7</v>
      </c>
      <c r="AZ56" s="28" t="str">
        <f t="shared" si="16"/>
        <v/>
      </c>
      <c r="BA56" s="28">
        <f t="shared" si="17"/>
        <v>7</v>
      </c>
      <c r="BB56" s="28">
        <f t="shared" si="18"/>
        <v>5</v>
      </c>
      <c r="BC56" s="28" t="str">
        <f t="array" ref="BC56">IF($I56="","",LET(
conf,AI56,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duoMax,XLOOKUP($B56,Derived_Variables!$A:$A,Derived_Variables!$AI:$AI,4),
axisTol,XLOOKUP($B56,Derived_Variables!$A:$A,Derived_Variables!$W:$W,1),
maxStart,XLOOKUP($B56,Derived_Variables!$A:$A,Derived_Variables!$U:$U,1.25),
maxAR,XLOOKUP($B56,Derived_Variables!$A:$A,Derived_Variables!$V:$V,3),
anom,XLOOKUP($B56,Derived_Variables!$A:$A,Derived_Variables!$Z:$Z,FALSE),
reStart,XLOOKUP($B56,Derived_Variables!$A:$A,Derived_Variables!$K:$K,0),
leStart,XLOOKUP($B56,Derived_Variables!$A:$A,Derived_Variables!$N:$N,0),
reAR,XLOOKUP($B56,AR_Input!$A:$A,AR_Input!$B:$B,reStart),
leAR,XLOOKUP($B56,AR_Input!$A:$A,AR_Input!$E:$E,leStart),
reEsc,AND(anom,OR(ABS((S56+AM56)-reStart)&gt;maxStart,ABS((S56+AM56)-reAR)&gt;maxAR)),
leEsc,AND(anom,OR(ABS((V56+AP56)-leStart)&gt;maxStart,ABS((V56+AP56)-leAR)&gt;maxAR)),
phaseMax,IFS(
 AK56="Fast",
   IFS(
     OR(C56="B",C56="D"),XLOOKUP("timeout_coarse_fast",Calibration!$B:$B,Calibration!$C:$C,24),
     OR(C56="E",C56="F",C56="H",C56="I"),XLOOKUP("timeout_jcc_fast",Calibration!$B:$B,Calibration!$C:$C,10),
     OR(C56="G",C56="J"),XLOOKUP("timeout_duochrome_fast",Calibration!$B:$B,Calibration!$C:$C,8),
     C56="K",XLOOKUP("timeout_bino_fast",Calibration!$B:$B,Calibration!$C:$C,10),
     OR(C56="P",C56="Q",C56="R"),XLOOKUP("timeout_near_fast",Calibration!$B:$B,Calibration!$C:$C,16),
     TRUE,XLOOKUP("timeout_coarse_fast",Calibration!$B:$B,Calibration!$C:$C,24)
   ),
 AK56="Normal",
   IFS(
     OR(C56="B",C56="D"),XLOOKUP("timeout_coarse_normal",Calibration!$B:$B,Calibration!$C:$C,36),
     OR(C56="E",C56="F",C56="H",C56="I"),XLOOKUP("timeout_jcc_normal",Calibration!$B:$B,Calibration!$C:$C,14),
     OR(C56="G",C56="J"),XLOOKUP("timeout_duochrome_normal",Calibration!$B:$B,Calibration!$C:$C,10),
     C56="K",XLOOKUP("timeout_bino_normal",Calibration!$B:$B,Calibration!$C:$C,14),
     OR(C56="P",C56="Q",C56="R"),XLOOKUP("timeout_near_normal",Calibration!$B:$B,Calibration!$C:$C,22),
     TRUE,XLOOKUP("timeout_coarse_normal",Calibration!$B:$B,Calibration!$C:$C,36)
   ),
 TRUE,
   IFS(
     OR(C56="B",C56="D"),XLOOKUP("timeout_coarse_slow",Calibration!$B:$B,Calibration!$C:$C,48),
     OR(C56="E",C56="F",C56="H",C56="I"),XLOOKUP("timeout_jcc_slow",Calibration!$B:$B,Calibration!$C:$C,18),
     OR(C56="G",C56="J"),XLOOKUP("timeout_duochrome_slow",Calibration!$B:$B,Calibration!$C:$C,12),
     C56="K",XLOOKUP("timeout_bino_slow",Calibration!$B:$B,Calibration!$C:$C,18),
     OR(C56="P",C56="Q",C56="R"),XLOOKUP("timeout_near_slow",Calibration!$B:$B,Calibration!$C:$C,28),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AJ56=TRUE,"ESCALATE",
C56="A",
IF(OR(I56="NOT_READABLE",I56="BLURRY",AND(R56="20_20_20",I56="READABLE")),"B","A"),
C56="B",
IF(reEsc,"ESCALATE",IF(AY56&gt;=phaseMax,"ESCALATE",IF(AND(AV56&gt;=AW56,I56="READABLE"),"E","B"))),
C56="E",
IF(AY56&gt;=phaseMax,"ESCALATE",IF(OR(I56="SAME",I56="CANT_TELL",AD56&lt;axisTol),"F","E")),
C56="F",
IF(AY56&gt;=phaseMax,"ESCALATE",IF(AX56&gt;=powerSameN,"G","F")),
C56="G",
IF(AY56&gt;=phaseMax,"ESCALATE",IF(OR(AX56&gt;=duoEqualN,BB56&gt;=duoMax),"D","G")),
C56="D",
IF(leEsc,"ESCALATE",IF(AY56&gt;=phaseMax,"ESCALATE",IF(AND(AV56&gt;=AW56,I56="READABLE"),"H","D"))),
C56="H",
IF(AY56&gt;=phaseMax,"ESCALATE",IF(OR(I56="SAME",I56="CANT_TELL",AD56&lt;axisTol),"I","H")),
C56="I",
IF(AY56&gt;=phaseMax,"ESCALATE",IF(AX56&gt;=powerSameN,"J","I")),
C56="J",
IF(AY56&gt;=phaseMax,"ESCALATE",IF(OR(AX56&gt;=duoEqualN,BB56&gt;=duoMax),"K","J")),
C56="K",
IF(AY56&gt;=phaseMax,"ESCALATE",IF(AX56&gt;=binoSameN,IF(XLOOKUP($B56,Derived_Variables!$A:$A,Derived_Variables!$AJ:$AJ,FALSE)=TRUE,"P","END"),"K")),
C56="P",
IF(AY56&gt;=phaseMax,"ESCALATE",IF(OR(I56="READABLE",I56="SAME"),"Q","P")),
C56="Q",
IF(AY56&gt;=phaseMax,"ESCALATE",IF(OR(I56="READABLE",I56="SAME"),"R","Q")),
C56="R",
IF(AY56&gt;=phaseMax,"ESCALATE",IF(OR(I56=nearTarget,I56="SAME"),"END","R")),
TRUE,"END"
)))</f>
        <v>K</v>
      </c>
      <c r="BD56" s="28" t="b">
        <f t="shared" si="19"/>
        <v>1</v>
      </c>
    </row>
    <row r="57" ht="15.75" customHeight="1">
      <c r="A57" s="28">
        <f t="shared" si="3"/>
        <v>56</v>
      </c>
      <c r="B57" s="28">
        <f t="shared" si="4"/>
        <v>6</v>
      </c>
      <c r="C57" s="28" t="str">
        <f t="shared" si="5"/>
        <v>K</v>
      </c>
      <c r="D57" s="28" t="str">
        <f t="array" ref="D57">IF($I56="","",XLOOKUP(C57,FSM_State_Map!A:A,FSM_State_Map!B:B,""))</f>
        <v>Binocular Balance</v>
      </c>
      <c r="E57" s="28" t="str">
        <f t="array" ref="E57">IF($I56="","",XLOOKUP(C57,FSM_State_Map!A:A,FSM_State_Map!C:C,""))</f>
        <v>BINOC_BALANCE</v>
      </c>
      <c r="F57" s="28" t="str">
        <f t="array" ref="F57">IF($I56="","",XLOOKUP(E57,Phase_UI_Map!A:A,Phase_UI_Map!B:B,""))</f>
        <v>BINOC_BALANCE</v>
      </c>
      <c r="G57" s="28" t="str">
        <f t="array" ref="G57">IF($I56="","",XLOOKUP(E57,Phase_UI_Map!A:A,Phase_UI_Map!C:C,""))</f>
        <v>POLARIZED_BALANCE</v>
      </c>
      <c r="H57" s="28" t="str">
        <f t="array" ref="H57">IF($I56="","",XLOOKUP(E57,Phase_UI_Map!A:A,Phase_UI_Map!D:D,""))</f>
        <v>TOP_BOTTOM</v>
      </c>
      <c r="I57" s="29" t="s">
        <v>225</v>
      </c>
      <c r="J57" s="28" t="str">
        <f>IFERROR(__xludf.DUMMYFUNCTION("IF($I56="""","""",IFERROR(INDEX(FILTER(Response_Lists!$B:$B,Response_Lists!$A:$A=$H57),1),""""))"),"TOP_CLEARER")</f>
        <v>TOP_CLEARER</v>
      </c>
      <c r="K57" s="28" t="str">
        <f>IFERROR(__xludf.DUMMYFUNCTION("IF($I56="""","""",IFERROR(INDEX(FILTER(Response_Lists!$B:$B,Response_Lists!$A:$A=$H57),2),""""))"),"BOTTOM_CLEARER")</f>
        <v>BOTTOM_CLEARER</v>
      </c>
      <c r="L57" s="28" t="str">
        <f>IFERROR(__xludf.DUMMYFUNCTION("IF($I56="""","""",IFERROR(INDEX(FILTER(Response_Lists!$B:$B,Response_Lists!$A:$A=$H57),3),""""))"),"SAME")</f>
        <v>SAME</v>
      </c>
      <c r="M57" s="28" t="str">
        <f>IFERROR(__xludf.DUMMYFUNCTION("IF($I56="""","""",IFERROR(INDEX(FILTER(Response_Lists!$B:$B,Response_Lists!$A:$A=$H57),4),""""))"),"CANT_TELL")</f>
        <v>CANT_TELL</v>
      </c>
      <c r="N57" s="28" t="str">
        <f>IFERROR(__xludf.DUMMYFUNCTION("IF($I56="""","""",IFERROR(INDEX(FILTER(Response_Lists!$B:$B,Response_Lists!$A:$A=$H57),5),""""))"),"")</f>
        <v/>
      </c>
      <c r="O57" s="28" t="str">
        <f>IFERROR(__xludf.DUMMYFUNCTION("IF($I56="""","""",IFERROR(INDEX(FILTER(Response_Lists!$B:$B,Response_Lists!$A:$A=$H57),6),""""))"),"")</f>
        <v/>
      </c>
      <c r="P57" s="28" t="str">
        <f t="shared" si="6"/>
        <v>Which is clearer: TOP or BOTTOM?</v>
      </c>
      <c r="Q57" s="28" t="str">
        <f t="array" ref="Q57">IF($I56="","",XLOOKUP(C57,FSM_State_Map!A:A,FSM_State_Map!D:D,""))</f>
        <v>BIN</v>
      </c>
      <c r="R57" s="28" t="str">
        <f t="shared" si="7"/>
        <v>20_20_20</v>
      </c>
      <c r="S57" s="28">
        <f t="array" ref="S57">IF($I56="","",
IF(
  AND(C57="B",C56&lt;&gt;"B"),
  XLOOKUP($B57,Derived_Variables!$A:$A,Derived_Variables!$K:$K,0)
  + XLOOKUP($B57,Derived_Variables!$A:$A,Derived_Variables!$AE:$AE,0),
  S56+AM56
))</f>
        <v>-1.25</v>
      </c>
      <c r="T57" s="28">
        <f t="shared" ref="T57:U57" si="124">IF($I56="","",T56+AN56)</f>
        <v>-0.25</v>
      </c>
      <c r="U57" s="28">
        <f t="shared" si="124"/>
        <v>2</v>
      </c>
      <c r="V57" s="28">
        <f t="array" ref="V57">IF($I56="","",
IF(
  AND(C57="D",C56&lt;&gt;"D"),
  XLOOKUP($B57,Derived_Variables!$A:$A,Derived_Variables!$N:$N,0)
  + XLOOKUP($B57,Derived_Variables!$A:$A,Derived_Variables!$AE:$AE,0),
  V56+AP56
))</f>
        <v>-1.5</v>
      </c>
      <c r="W57" s="28">
        <f t="shared" ref="W57:X57" si="125">IF($I56="","",W56+AQ56)</f>
        <v>0</v>
      </c>
      <c r="X57" s="28">
        <f t="shared" si="125"/>
        <v>50</v>
      </c>
      <c r="Y57" s="28">
        <f t="array" ref="Y57">IF($I56="","",IF(AND(C57="P",C56&lt;&gt;"P"),IFERROR(XLOOKUP($B57,Lenso_Input!$A:$A,Lenso_Input!$E:$E,0),0),Y56+AS56))</f>
        <v>0</v>
      </c>
      <c r="Z57" s="28">
        <f t="array" ref="Z57">IF($I56="","",IF(AND(C57="Q",C56&lt;&gt;"Q"),IFERROR(XLOOKUP($B57,Lenso_Input!$A:$A,Lenso_Input!$I:$I,0),0),Z56+AT56))</f>
        <v>0</v>
      </c>
      <c r="AA57" s="28" t="str">
        <f t="array" ref="AA57">IF($I56="","",IF(XLOOKUP($B57,Derived_Variables!$A:$A,Derived_Variables!$R:$R,"6/6_target")="6/6_target","20_20_20","40_30_25"))</f>
        <v>20_20_20</v>
      </c>
      <c r="AB57" s="28">
        <f t="array" ref="AB57">IF($I56="","",XLOOKUP(LOWER(XLOOKUP($B57,Derived_Variables!$A:$A,Derived_Variables!$T:$T,"Standard"))&amp;"_sph_step",Calibration!$B:$B,Calibration!$C:$C,0.25))</f>
        <v>0.25</v>
      </c>
      <c r="AC57" s="28">
        <f t="array" ref="AC57">IF($I56="","",XLOOKUP(LOWER(XLOOKUP($B57,Derived_Variables!$A:$A,Derived_Variables!$T:$T,"Standard"))&amp;"_cyl_step",Calibration!$B:$B,Calibration!$C:$C,0.25))</f>
        <v>0.25</v>
      </c>
      <c r="AD57" s="28">
        <f t="array" ref="AD57">IF($I56="","",IF(OR(C57="E",C57="H"),LET(startStep,XLOOKUP("axis_start_step",Calibration!$B:$B,Calibration!$C:$C,5),step1,XLOOKUP("axis_reversal_step_1",Calibration!$B:$B,Calibration!$C:$C,3),step2,XLOOKUP("axis_reversal_step_2",Calibration!$B:$B,Calibration!$C:$C,1),IF(OR(C56&lt;&gt;C57,AZ57="",AZ57="SAME",AZ57="CANT_TELL",I57="",I57="SAME",I57="CANT_TELL"),startStep,IF(OR(AND(AZ57="BETTER_1",I57="BETTER_2"),AND(AZ57="BETTER_2",I57="BETTER_1")),IF(AD56&gt;step1,step1,step2),AD56))),0))</f>
        <v>0</v>
      </c>
      <c r="AE57" s="28" t="str">
        <f t="array" ref="AE57">IF($I56="","",XLOOKUP($B57,Derived_Variables!$A:$A,Derived_Variables!$AD:$AD,"No_Fog"))</f>
        <v>Strong_Fog</v>
      </c>
      <c r="AF57" s="28">
        <f t="array" ref="AF57">IF($I56="","",XLOOKUP($B57,Derived_Variables!$A:$A,Derived_Variables!$AE:$AE,0))</f>
        <v>1</v>
      </c>
      <c r="AG57" s="28" t="str">
        <f t="array" ref="AG57">IF($I56="","",XLOOKUP($B57,Derived_Variables!$A:$A,Derived_Variables!$AF:$AF,""))</f>
        <v>StepDown_0.25</v>
      </c>
      <c r="AH57" s="28" t="str">
        <f t="array" ref="AH57">IF($I56="","",XLOOKUP($B57,Derived_Variables!$A:$A,Derived_Variables!$AG:$AG,""))</f>
        <v>Low</v>
      </c>
      <c r="AI57" s="28" t="str">
        <f t="array" ref="AI57">IF($I56="","",XLOOKUP($B57,Derived_Variables!$A:$A,Derived_Variables!$AC:$AC,"Medium"))</f>
        <v>Low</v>
      </c>
      <c r="AJ57" s="28" t="b">
        <f t="array" ref="AJ57">IF($I56="","",XLOOKUP($B57,Derived_Variables!$A:$A,Derived_Variables!$Y:$Y,FALSE))</f>
        <v>0</v>
      </c>
      <c r="AK57" s="28" t="str">
        <f t="array" ref="AK57">IF($I56="","",XLOOKUP($B57,Derived_Variables!$A:$A,Derived_Variables!$AA:$AA,"Normal"))</f>
        <v>Slow</v>
      </c>
      <c r="AL57" s="28" t="str">
        <f t="array" ref="AL57">IF($I56="","",XLOOKUP($B57,Derived_Variables!$A:$A,Derived_Variables!$AB:$AB,"Normal"))</f>
        <v>Relaxed</v>
      </c>
      <c r="AM57" s="28">
        <f t="array" ref="AM57">IF($I57="","",IFS(C57="B",IF(OR(I57="NOT_READABLE",I57="BLURRY"),-AB57,0),C57="G",IFS(I57="RED_CLEARER",XLOOKUP("duochrome_red_step",Calibration!$B:$B,Calibration!$C:$C,-0.25),I57="GREEN_CLEARER",XLOOKUP("duochrome_green_step",Calibration!$B:$B,Calibration!$C:$C,0.25),I57="EQUAL",IF(XLOOKUP($B57,Derived_Variables!$A:$A,Derived_Variables!$S:$S,"Neutral")="Undercorrect",XLOOKUP("undercorrect_step",Calibration!$B:$B,Calibration!$C:$C,0.25),IF(XLOOKUP($B57,Derived_Variables!$A:$A,Derived_Variables!$S:$S,"Neutral")="Overcorrect",-XLOOKUP("overcorrect_step",Calibration!$B:$B,Calibration!$C:$C,0.25),0)),TRUE,0),C57="K",IF(I57="TOP_CLEARER",XLOOKUP("bino_balance_step",Calibration!$B:$B,Calibration!$C:$C,0.25),0),TRUE,0))</f>
        <v>0.25</v>
      </c>
      <c r="AN57" s="28">
        <f t="shared" si="10"/>
        <v>0</v>
      </c>
      <c r="AO57" s="28">
        <f t="shared" si="11"/>
        <v>0</v>
      </c>
      <c r="AP57" s="28">
        <f t="array" ref="AP57">IF($I57="","",IFS(C57="D",IF(OR(I57="NOT_READABLE",I57="BLURRY"),-AB57,0),C57="J",IFS(I57="RED_CLEARER",XLOOKUP("duochrome_red_step",Calibration!$B:$B,Calibration!$C:$C,-0.25),I57="GREEN_CLEARER",XLOOKUP("duochrome_green_step",Calibration!$B:$B,Calibration!$C:$C,0.25),I57="EQUAL",IF(XLOOKUP($B57,Derived_Variables!$A:$A,Derived_Variables!$S:$S,"Neutral")="Undercorrect",XLOOKUP("undercorrect_step",Calibration!$B:$B,Calibration!$C:$C,0.25),IF(XLOOKUP($B57,Derived_Variables!$A:$A,Derived_Variables!$S:$S,"Neutral")="Overcorrect",-XLOOKUP("overcorrect_step",Calibration!$B:$B,Calibration!$C:$C,0.25),0)),TRUE,0),C57="K",IF(I57="BOTTOM_CLEARER",XLOOKUP("bino_balance_step",Calibration!$B:$B,Calibration!$C:$C,0.25),0),TRUE,0))</f>
        <v>0</v>
      </c>
      <c r="AQ57" s="28">
        <f t="shared" si="12"/>
        <v>0</v>
      </c>
      <c r="AR57" s="28">
        <f t="shared" si="13"/>
        <v>0</v>
      </c>
      <c r="AS57" s="28">
        <f t="array" ref="AS57">IF($I57="","",IF(C57="P",IF(OR(I57="NOT_READABLE",I57="BLURRY"),XLOOKUP("near_add_step",Calibration!$B:$B,Calibration!$C:$C,0.25),0),IF(C57="R",IF(I57="NOT_CLEAR",XLOOKUP("near_add_step",Calibration!$B:$B,Calibration!$C:$C,0.25),0),0)))</f>
        <v>0</v>
      </c>
      <c r="AT57" s="28">
        <f t="array" ref="AT57">IF($I57="","",IF(C57="Q",IF(OR(I57="NOT_READABLE",I57="BLURRY"),XLOOKUP("near_add_step",Calibration!$B:$B,Calibration!$C:$C,0.25),0),IF(C57="R",IF(I57="NOT_CLEAR",XLOOKUP("near_add_step",Calibration!$B:$B,Calibration!$C:$C,0.25),0),0)))</f>
        <v>0</v>
      </c>
      <c r="AU57" s="28" t="str">
        <f t="array" ref="AU57">IF($I57="","",IF(G57="SNELLEN_FEET",IF(I57="READABLE",IFERROR(XLOOKUP(XLOOKUP(R57,Chart_Scale_Distance!B:B,Chart_Scale_Distance!A:A)+1,Chart_Scale_Distance!A:A,Chart_Scale_Distance!B:B),R57),R57),R57))</f>
        <v>20_20_20</v>
      </c>
      <c r="AV57" s="28">
        <f t="array" ref="AV57">IF($I56="","",IFERROR(XLOOKUP(R57,Chart_Scale_Distance!$B:$B,Chart_Scale_Distance!$A:$A,""),""))</f>
        <v>6</v>
      </c>
      <c r="AW57" s="28">
        <f t="array" ref="AW57">IF($I56="","",IFERROR(XLOOKUP(AA57,Chart_Scale_Distance!$B:$B,Chart_Scale_Distance!$A:$A,""),""))</f>
        <v>6</v>
      </c>
      <c r="AX57" s="28">
        <f t="shared" si="14"/>
        <v>0</v>
      </c>
      <c r="AY57" s="28">
        <f t="shared" si="15"/>
        <v>1</v>
      </c>
      <c r="AZ57" s="28" t="str">
        <f t="shared" si="16"/>
        <v/>
      </c>
      <c r="BA57" s="28">
        <f t="shared" si="17"/>
        <v>0</v>
      </c>
      <c r="BB57" s="28">
        <f t="shared" si="18"/>
        <v>0</v>
      </c>
      <c r="BC57" s="28" t="str">
        <f t="array" ref="BC57">IF($I57="","",LET(
conf,AI57,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duoMax,XLOOKUP($B57,Derived_Variables!$A:$A,Derived_Variables!$AI:$AI,4),
axisTol,XLOOKUP($B57,Derived_Variables!$A:$A,Derived_Variables!$W:$W,1),
maxStart,XLOOKUP($B57,Derived_Variables!$A:$A,Derived_Variables!$U:$U,1.25),
maxAR,XLOOKUP($B57,Derived_Variables!$A:$A,Derived_Variables!$V:$V,3),
anom,XLOOKUP($B57,Derived_Variables!$A:$A,Derived_Variables!$Z:$Z,FALSE),
reStart,XLOOKUP($B57,Derived_Variables!$A:$A,Derived_Variables!$K:$K,0),
leStart,XLOOKUP($B57,Derived_Variables!$A:$A,Derived_Variables!$N:$N,0),
reAR,XLOOKUP($B57,AR_Input!$A:$A,AR_Input!$B:$B,reStart),
leAR,XLOOKUP($B57,AR_Input!$A:$A,AR_Input!$E:$E,leStart),
reEsc,AND(anom,OR(ABS((S57+AM57)-reStart)&gt;maxStart,ABS((S57+AM57)-reAR)&gt;maxAR)),
leEsc,AND(anom,OR(ABS((V57+AP57)-leStart)&gt;maxStart,ABS((V57+AP57)-leAR)&gt;maxAR)),
phaseMax,IFS(
 AK57="Fast",
   IFS(
     OR(C57="B",C57="D"),XLOOKUP("timeout_coarse_fast",Calibration!$B:$B,Calibration!$C:$C,24),
     OR(C57="E",C57="F",C57="H",C57="I"),XLOOKUP("timeout_jcc_fast",Calibration!$B:$B,Calibration!$C:$C,10),
     OR(C57="G",C57="J"),XLOOKUP("timeout_duochrome_fast",Calibration!$B:$B,Calibration!$C:$C,8),
     C57="K",XLOOKUP("timeout_bino_fast",Calibration!$B:$B,Calibration!$C:$C,10),
     OR(C57="P",C57="Q",C57="R"),XLOOKUP("timeout_near_fast",Calibration!$B:$B,Calibration!$C:$C,16),
     TRUE,XLOOKUP("timeout_coarse_fast",Calibration!$B:$B,Calibration!$C:$C,24)
   ),
 AK57="Normal",
   IFS(
     OR(C57="B",C57="D"),XLOOKUP("timeout_coarse_normal",Calibration!$B:$B,Calibration!$C:$C,36),
     OR(C57="E",C57="F",C57="H",C57="I"),XLOOKUP("timeout_jcc_normal",Calibration!$B:$B,Calibration!$C:$C,14),
     OR(C57="G",C57="J"),XLOOKUP("timeout_duochrome_normal",Calibration!$B:$B,Calibration!$C:$C,10),
     C57="K",XLOOKUP("timeout_bino_normal",Calibration!$B:$B,Calibration!$C:$C,14),
     OR(C57="P",C57="Q",C57="R"),XLOOKUP("timeout_near_normal",Calibration!$B:$B,Calibration!$C:$C,22),
     TRUE,XLOOKUP("timeout_coarse_normal",Calibration!$B:$B,Calibration!$C:$C,36)
   ),
 TRUE,
   IFS(
     OR(C57="B",C57="D"),XLOOKUP("timeout_coarse_slow",Calibration!$B:$B,Calibration!$C:$C,48),
     OR(C57="E",C57="F",C57="H",C57="I"),XLOOKUP("timeout_jcc_slow",Calibration!$B:$B,Calibration!$C:$C,18),
     OR(C57="G",C57="J"),XLOOKUP("timeout_duochrome_slow",Calibration!$B:$B,Calibration!$C:$C,12),
     C57="K",XLOOKUP("timeout_bino_slow",Calibration!$B:$B,Calibration!$C:$C,18),
     OR(C57="P",C57="Q",C57="R"),XLOOKUP("timeout_near_slow",Calibration!$B:$B,Calibration!$C:$C,28),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AJ57=TRUE,"ESCALATE",
C57="A",
IF(OR(I57="NOT_READABLE",I57="BLURRY",AND(R57="20_20_20",I57="READABLE")),"B","A"),
C57="B",
IF(reEsc,"ESCALATE",IF(AY57&gt;=phaseMax,"ESCALATE",IF(AND(AV57&gt;=AW57,I57="READABLE"),"E","B"))),
C57="E",
IF(AY57&gt;=phaseMax,"ESCALATE",IF(OR(I57="SAME",I57="CANT_TELL",AD57&lt;axisTol),"F","E")),
C57="F",
IF(AY57&gt;=phaseMax,"ESCALATE",IF(AX57&gt;=powerSameN,"G","F")),
C57="G",
IF(AY57&gt;=phaseMax,"ESCALATE",IF(OR(AX57&gt;=duoEqualN,BB57&gt;=duoMax),"D","G")),
C57="D",
IF(leEsc,"ESCALATE",IF(AY57&gt;=phaseMax,"ESCALATE",IF(AND(AV57&gt;=AW57,I57="READABLE"),"H","D"))),
C57="H",
IF(AY57&gt;=phaseMax,"ESCALATE",IF(OR(I57="SAME",I57="CANT_TELL",AD57&lt;axisTol),"I","H")),
C57="I",
IF(AY57&gt;=phaseMax,"ESCALATE",IF(AX57&gt;=powerSameN,"J","I")),
C57="J",
IF(AY57&gt;=phaseMax,"ESCALATE",IF(OR(AX57&gt;=duoEqualN,BB57&gt;=duoMax),"K","J")),
C57="K",
IF(AY57&gt;=phaseMax,"ESCALATE",IF(AX57&gt;=binoSameN,IF(XLOOKUP($B57,Derived_Variables!$A:$A,Derived_Variables!$AJ:$AJ,FALSE)=TRUE,"P","END"),"K")),
C57="P",
IF(AY57&gt;=phaseMax,"ESCALATE",IF(OR(I57="READABLE",I57="SAME"),"Q","P")),
C57="Q",
IF(AY57&gt;=phaseMax,"ESCALATE",IF(OR(I57="READABLE",I57="SAME"),"R","Q")),
C57="R",
IF(AY57&gt;=phaseMax,"ESCALATE",IF(OR(I57=nearTarget,I57="SAME"),"END","R")),
TRUE,"END"
)))</f>
        <v>K</v>
      </c>
      <c r="BD57" s="28" t="b">
        <f t="shared" si="19"/>
        <v>1</v>
      </c>
    </row>
    <row r="58" ht="15.75" customHeight="1">
      <c r="A58" s="28">
        <f t="shared" si="3"/>
        <v>57</v>
      </c>
      <c r="B58" s="28">
        <f t="shared" si="4"/>
        <v>6</v>
      </c>
      <c r="C58" s="28" t="str">
        <f t="shared" si="5"/>
        <v>K</v>
      </c>
      <c r="D58" s="28" t="str">
        <f t="array" ref="D58">IF($I57="","",XLOOKUP(C58,FSM_State_Map!A:A,FSM_State_Map!B:B,""))</f>
        <v>Binocular Balance</v>
      </c>
      <c r="E58" s="28" t="str">
        <f t="array" ref="E58">IF($I57="","",XLOOKUP(C58,FSM_State_Map!A:A,FSM_State_Map!C:C,""))</f>
        <v>BINOC_BALANCE</v>
      </c>
      <c r="F58" s="28" t="str">
        <f t="array" ref="F58">IF($I57="","",XLOOKUP(E58,Phase_UI_Map!A:A,Phase_UI_Map!B:B,""))</f>
        <v>BINOC_BALANCE</v>
      </c>
      <c r="G58" s="28" t="str">
        <f t="array" ref="G58">IF($I57="","",XLOOKUP(E58,Phase_UI_Map!A:A,Phase_UI_Map!C:C,""))</f>
        <v>POLARIZED_BALANCE</v>
      </c>
      <c r="H58" s="28" t="str">
        <f t="array" ref="H58">IF($I57="","",XLOOKUP(E58,Phase_UI_Map!A:A,Phase_UI_Map!D:D,""))</f>
        <v>TOP_BOTTOM</v>
      </c>
      <c r="I58" s="29" t="s">
        <v>222</v>
      </c>
      <c r="J58" s="28" t="str">
        <f>IFERROR(__xludf.DUMMYFUNCTION("IF($I57="""","""",IFERROR(INDEX(FILTER(Response_Lists!$B:$B,Response_Lists!$A:$A=$H58),1),""""))"),"TOP_CLEARER")</f>
        <v>TOP_CLEARER</v>
      </c>
      <c r="K58" s="28" t="str">
        <f>IFERROR(__xludf.DUMMYFUNCTION("IF($I57="""","""",IFERROR(INDEX(FILTER(Response_Lists!$B:$B,Response_Lists!$A:$A=$H58),2),""""))"),"BOTTOM_CLEARER")</f>
        <v>BOTTOM_CLEARER</v>
      </c>
      <c r="L58" s="28" t="str">
        <f>IFERROR(__xludf.DUMMYFUNCTION("IF($I57="""","""",IFERROR(INDEX(FILTER(Response_Lists!$B:$B,Response_Lists!$A:$A=$H58),3),""""))"),"SAME")</f>
        <v>SAME</v>
      </c>
      <c r="M58" s="28" t="str">
        <f>IFERROR(__xludf.DUMMYFUNCTION("IF($I57="""","""",IFERROR(INDEX(FILTER(Response_Lists!$B:$B,Response_Lists!$A:$A=$H58),4),""""))"),"CANT_TELL")</f>
        <v>CANT_TELL</v>
      </c>
      <c r="N58" s="28" t="str">
        <f>IFERROR(__xludf.DUMMYFUNCTION("IF($I57="""","""",IFERROR(INDEX(FILTER(Response_Lists!$B:$B,Response_Lists!$A:$A=$H58),5),""""))"),"")</f>
        <v/>
      </c>
      <c r="O58" s="28" t="str">
        <f>IFERROR(__xludf.DUMMYFUNCTION("IF($I57="""","""",IFERROR(INDEX(FILTER(Response_Lists!$B:$B,Response_Lists!$A:$A=$H58),6),""""))"),"")</f>
        <v/>
      </c>
      <c r="P58" s="28" t="str">
        <f t="shared" si="6"/>
        <v>Which is clearer: TOP or BOTTOM?</v>
      </c>
      <c r="Q58" s="28" t="str">
        <f t="array" ref="Q58">IF($I57="","",XLOOKUP(C58,FSM_State_Map!A:A,FSM_State_Map!D:D,""))</f>
        <v>BIN</v>
      </c>
      <c r="R58" s="28" t="str">
        <f t="shared" si="7"/>
        <v>20_20_20</v>
      </c>
      <c r="S58" s="28">
        <f t="array" ref="S58">IF($I57="","",
IF(
  AND(C58="B",C57&lt;&gt;"B"),
  XLOOKUP($B58,Derived_Variables!$A:$A,Derived_Variables!$K:$K,0)
  + XLOOKUP($B58,Derived_Variables!$A:$A,Derived_Variables!$AE:$AE,0),
  S57+AM57
))</f>
        <v>-1</v>
      </c>
      <c r="T58" s="28">
        <f t="shared" ref="T58:U58" si="126">IF($I57="","",T57+AN57)</f>
        <v>-0.25</v>
      </c>
      <c r="U58" s="28">
        <f t="shared" si="126"/>
        <v>2</v>
      </c>
      <c r="V58" s="28">
        <f t="array" ref="V58">IF($I57="","",
IF(
  AND(C58="D",C57&lt;&gt;"D"),
  XLOOKUP($B58,Derived_Variables!$A:$A,Derived_Variables!$N:$N,0)
  + XLOOKUP($B58,Derived_Variables!$A:$A,Derived_Variables!$AE:$AE,0),
  V57+AP57
))</f>
        <v>-1.5</v>
      </c>
      <c r="W58" s="28">
        <f t="shared" ref="W58:X58" si="127">IF($I57="","",W57+AQ57)</f>
        <v>0</v>
      </c>
      <c r="X58" s="28">
        <f t="shared" si="127"/>
        <v>50</v>
      </c>
      <c r="Y58" s="28">
        <f t="array" ref="Y58">IF($I57="","",IF(AND(C58="P",C57&lt;&gt;"P"),IFERROR(XLOOKUP($B58,Lenso_Input!$A:$A,Lenso_Input!$E:$E,0),0),Y57+AS57))</f>
        <v>0</v>
      </c>
      <c r="Z58" s="28">
        <f t="array" ref="Z58">IF($I57="","",IF(AND(C58="Q",C57&lt;&gt;"Q"),IFERROR(XLOOKUP($B58,Lenso_Input!$A:$A,Lenso_Input!$I:$I,0),0),Z57+AT57))</f>
        <v>0</v>
      </c>
      <c r="AA58" s="28" t="str">
        <f t="array" ref="AA58">IF($I57="","",IF(XLOOKUP($B58,Derived_Variables!$A:$A,Derived_Variables!$R:$R,"6/6_target")="6/6_target","20_20_20","40_30_25"))</f>
        <v>20_20_20</v>
      </c>
      <c r="AB58" s="28">
        <f t="array" ref="AB58">IF($I57="","",XLOOKUP(LOWER(XLOOKUP($B58,Derived_Variables!$A:$A,Derived_Variables!$T:$T,"Standard"))&amp;"_sph_step",Calibration!$B:$B,Calibration!$C:$C,0.25))</f>
        <v>0.25</v>
      </c>
      <c r="AC58" s="28">
        <f t="array" ref="AC58">IF($I57="","",XLOOKUP(LOWER(XLOOKUP($B58,Derived_Variables!$A:$A,Derived_Variables!$T:$T,"Standard"))&amp;"_cyl_step",Calibration!$B:$B,Calibration!$C:$C,0.25))</f>
        <v>0.25</v>
      </c>
      <c r="AD58" s="28">
        <f t="array" ref="AD58">IF($I57="","",IF(OR(C58="E",C58="H"),LET(startStep,XLOOKUP("axis_start_step",Calibration!$B:$B,Calibration!$C:$C,5),step1,XLOOKUP("axis_reversal_step_1",Calibration!$B:$B,Calibration!$C:$C,3),step2,XLOOKUP("axis_reversal_step_2",Calibration!$B:$B,Calibration!$C:$C,1),IF(OR(C57&lt;&gt;C58,AZ58="",AZ58="SAME",AZ58="CANT_TELL",I58="",I58="SAME",I58="CANT_TELL"),startStep,IF(OR(AND(AZ58="BETTER_1",I58="BETTER_2"),AND(AZ58="BETTER_2",I58="BETTER_1")),IF(AD57&gt;step1,step1,step2),AD57))),0))</f>
        <v>0</v>
      </c>
      <c r="AE58" s="28" t="str">
        <f t="array" ref="AE58">IF($I57="","",XLOOKUP($B58,Derived_Variables!$A:$A,Derived_Variables!$AD:$AD,"No_Fog"))</f>
        <v>Strong_Fog</v>
      </c>
      <c r="AF58" s="28">
        <f t="array" ref="AF58">IF($I57="","",XLOOKUP($B58,Derived_Variables!$A:$A,Derived_Variables!$AE:$AE,0))</f>
        <v>1</v>
      </c>
      <c r="AG58" s="28" t="str">
        <f t="array" ref="AG58">IF($I57="","",XLOOKUP($B58,Derived_Variables!$A:$A,Derived_Variables!$AF:$AF,""))</f>
        <v>StepDown_0.25</v>
      </c>
      <c r="AH58" s="28" t="str">
        <f t="array" ref="AH58">IF($I57="","",XLOOKUP($B58,Derived_Variables!$A:$A,Derived_Variables!$AG:$AG,""))</f>
        <v>Low</v>
      </c>
      <c r="AI58" s="28" t="str">
        <f t="array" ref="AI58">IF($I57="","",XLOOKUP($B58,Derived_Variables!$A:$A,Derived_Variables!$AC:$AC,"Medium"))</f>
        <v>Low</v>
      </c>
      <c r="AJ58" s="28" t="b">
        <f t="array" ref="AJ58">IF($I57="","",XLOOKUP($B58,Derived_Variables!$A:$A,Derived_Variables!$Y:$Y,FALSE))</f>
        <v>0</v>
      </c>
      <c r="AK58" s="28" t="str">
        <f t="array" ref="AK58">IF($I57="","",XLOOKUP($B58,Derived_Variables!$A:$A,Derived_Variables!$AA:$AA,"Normal"))</f>
        <v>Slow</v>
      </c>
      <c r="AL58" s="28" t="str">
        <f t="array" ref="AL58">IF($I57="","",XLOOKUP($B58,Derived_Variables!$A:$A,Derived_Variables!$AB:$AB,"Normal"))</f>
        <v>Relaxed</v>
      </c>
      <c r="AM58" s="28">
        <f t="array" ref="AM58">IF($I58="","",IFS(C58="B",IF(OR(I58="NOT_READABLE",I58="BLURRY"),-AB58,0),C58="G",IFS(I58="RED_CLEARER",XLOOKUP("duochrome_red_step",Calibration!$B:$B,Calibration!$C:$C,-0.25),I58="GREEN_CLEARER",XLOOKUP("duochrome_green_step",Calibration!$B:$B,Calibration!$C:$C,0.25),I58="EQUAL",IF(XLOOKUP($B58,Derived_Variables!$A:$A,Derived_Variables!$S:$S,"Neutral")="Undercorrect",XLOOKUP("undercorrect_step",Calibration!$B:$B,Calibration!$C:$C,0.25),IF(XLOOKUP($B58,Derived_Variables!$A:$A,Derived_Variables!$S:$S,"Neutral")="Overcorrect",-XLOOKUP("overcorrect_step",Calibration!$B:$B,Calibration!$C:$C,0.25),0)),TRUE,0),C58="K",IF(I58="TOP_CLEARER",XLOOKUP("bino_balance_step",Calibration!$B:$B,Calibration!$C:$C,0.25),0),TRUE,0))</f>
        <v>0</v>
      </c>
      <c r="AN58" s="28">
        <f t="shared" si="10"/>
        <v>0</v>
      </c>
      <c r="AO58" s="28">
        <f t="shared" si="11"/>
        <v>0</v>
      </c>
      <c r="AP58" s="28">
        <f t="array" ref="AP58">IF($I58="","",IFS(C58="D",IF(OR(I58="NOT_READABLE",I58="BLURRY"),-AB58,0),C58="J",IFS(I58="RED_CLEARER",XLOOKUP("duochrome_red_step",Calibration!$B:$B,Calibration!$C:$C,-0.25),I58="GREEN_CLEARER",XLOOKUP("duochrome_green_step",Calibration!$B:$B,Calibration!$C:$C,0.25),I58="EQUAL",IF(XLOOKUP($B58,Derived_Variables!$A:$A,Derived_Variables!$S:$S,"Neutral")="Undercorrect",XLOOKUP("undercorrect_step",Calibration!$B:$B,Calibration!$C:$C,0.25),IF(XLOOKUP($B58,Derived_Variables!$A:$A,Derived_Variables!$S:$S,"Neutral")="Overcorrect",-XLOOKUP("overcorrect_step",Calibration!$B:$B,Calibration!$C:$C,0.25),0)),TRUE,0),C58="K",IF(I58="BOTTOM_CLEARER",XLOOKUP("bino_balance_step",Calibration!$B:$B,Calibration!$C:$C,0.25),0),TRUE,0))</f>
        <v>0</v>
      </c>
      <c r="AQ58" s="28">
        <f t="shared" si="12"/>
        <v>0</v>
      </c>
      <c r="AR58" s="28">
        <f t="shared" si="13"/>
        <v>0</v>
      </c>
      <c r="AS58" s="28">
        <f t="array" ref="AS58">IF($I58="","",IF(C58="P",IF(OR(I58="NOT_READABLE",I58="BLURRY"),XLOOKUP("near_add_step",Calibration!$B:$B,Calibration!$C:$C,0.25),0),IF(C58="R",IF(I58="NOT_CLEAR",XLOOKUP("near_add_step",Calibration!$B:$B,Calibration!$C:$C,0.25),0),0)))</f>
        <v>0</v>
      </c>
      <c r="AT58" s="28">
        <f t="array" ref="AT58">IF($I58="","",IF(C58="Q",IF(OR(I58="NOT_READABLE",I58="BLURRY"),XLOOKUP("near_add_step",Calibration!$B:$B,Calibration!$C:$C,0.25),0),IF(C58="R",IF(I58="NOT_CLEAR",XLOOKUP("near_add_step",Calibration!$B:$B,Calibration!$C:$C,0.25),0),0)))</f>
        <v>0</v>
      </c>
      <c r="AU58" s="28" t="str">
        <f t="array" ref="AU58">IF($I58="","",IF(G58="SNELLEN_FEET",IF(I58="READABLE",IFERROR(XLOOKUP(XLOOKUP(R58,Chart_Scale_Distance!B:B,Chart_Scale_Distance!A:A)+1,Chart_Scale_Distance!A:A,Chart_Scale_Distance!B:B),R58),R58),R58))</f>
        <v>20_20_20</v>
      </c>
      <c r="AV58" s="28">
        <f t="array" ref="AV58">IF($I57="","",IFERROR(XLOOKUP(R58,Chart_Scale_Distance!$B:$B,Chart_Scale_Distance!$A:$A,""),""))</f>
        <v>6</v>
      </c>
      <c r="AW58" s="28">
        <f t="array" ref="AW58">IF($I57="","",IFERROR(XLOOKUP(AA58,Chart_Scale_Distance!$B:$B,Chart_Scale_Distance!$A:$A,""),""))</f>
        <v>6</v>
      </c>
      <c r="AX58" s="28">
        <f t="shared" si="14"/>
        <v>1</v>
      </c>
      <c r="AY58" s="28">
        <f t="shared" si="15"/>
        <v>2</v>
      </c>
      <c r="AZ58" s="28" t="str">
        <f t="shared" si="16"/>
        <v/>
      </c>
      <c r="BA58" s="28">
        <f t="shared" si="17"/>
        <v>0</v>
      </c>
      <c r="BB58" s="28">
        <f t="shared" si="18"/>
        <v>0</v>
      </c>
      <c r="BC58" s="28" t="str">
        <f t="array" ref="BC58">IF($I58="","",LET(
conf,AI58,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duoMax,XLOOKUP($B58,Derived_Variables!$A:$A,Derived_Variables!$AI:$AI,4),
axisTol,XLOOKUP($B58,Derived_Variables!$A:$A,Derived_Variables!$W:$W,1),
maxStart,XLOOKUP($B58,Derived_Variables!$A:$A,Derived_Variables!$U:$U,1.25),
maxAR,XLOOKUP($B58,Derived_Variables!$A:$A,Derived_Variables!$V:$V,3),
anom,XLOOKUP($B58,Derived_Variables!$A:$A,Derived_Variables!$Z:$Z,FALSE),
reStart,XLOOKUP($B58,Derived_Variables!$A:$A,Derived_Variables!$K:$K,0),
leStart,XLOOKUP($B58,Derived_Variables!$A:$A,Derived_Variables!$N:$N,0),
reAR,XLOOKUP($B58,AR_Input!$A:$A,AR_Input!$B:$B,reStart),
leAR,XLOOKUP($B58,AR_Input!$A:$A,AR_Input!$E:$E,leStart),
reEsc,AND(anom,OR(ABS((S58+AM58)-reStart)&gt;maxStart,ABS((S58+AM58)-reAR)&gt;maxAR)),
leEsc,AND(anom,OR(ABS((V58+AP58)-leStart)&gt;maxStart,ABS((V58+AP58)-leAR)&gt;maxAR)),
phaseMax,IFS(
 AK58="Fast",
   IFS(
     OR(C58="B",C58="D"),XLOOKUP("timeout_coarse_fast",Calibration!$B:$B,Calibration!$C:$C,24),
     OR(C58="E",C58="F",C58="H",C58="I"),XLOOKUP("timeout_jcc_fast",Calibration!$B:$B,Calibration!$C:$C,10),
     OR(C58="G",C58="J"),XLOOKUP("timeout_duochrome_fast",Calibration!$B:$B,Calibration!$C:$C,8),
     C58="K",XLOOKUP("timeout_bino_fast",Calibration!$B:$B,Calibration!$C:$C,10),
     OR(C58="P",C58="Q",C58="R"),XLOOKUP("timeout_near_fast",Calibration!$B:$B,Calibration!$C:$C,16),
     TRUE,XLOOKUP("timeout_coarse_fast",Calibration!$B:$B,Calibration!$C:$C,24)
   ),
 AK58="Normal",
   IFS(
     OR(C58="B",C58="D"),XLOOKUP("timeout_coarse_normal",Calibration!$B:$B,Calibration!$C:$C,36),
     OR(C58="E",C58="F",C58="H",C58="I"),XLOOKUP("timeout_jcc_normal",Calibration!$B:$B,Calibration!$C:$C,14),
     OR(C58="G",C58="J"),XLOOKUP("timeout_duochrome_normal",Calibration!$B:$B,Calibration!$C:$C,10),
     C58="K",XLOOKUP("timeout_bino_normal",Calibration!$B:$B,Calibration!$C:$C,14),
     OR(C58="P",C58="Q",C58="R"),XLOOKUP("timeout_near_normal",Calibration!$B:$B,Calibration!$C:$C,22),
     TRUE,XLOOKUP("timeout_coarse_normal",Calibration!$B:$B,Calibration!$C:$C,36)
   ),
 TRUE,
   IFS(
     OR(C58="B",C58="D"),XLOOKUP("timeout_coarse_slow",Calibration!$B:$B,Calibration!$C:$C,48),
     OR(C58="E",C58="F",C58="H",C58="I"),XLOOKUP("timeout_jcc_slow",Calibration!$B:$B,Calibration!$C:$C,18),
     OR(C58="G",C58="J"),XLOOKUP("timeout_duochrome_slow",Calibration!$B:$B,Calibration!$C:$C,12),
     C58="K",XLOOKUP("timeout_bino_slow",Calibration!$B:$B,Calibration!$C:$C,18),
     OR(C58="P",C58="Q",C58="R"),XLOOKUP("timeout_near_slow",Calibration!$B:$B,Calibration!$C:$C,28),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AJ58=TRUE,"ESCALATE",
C58="A",
IF(OR(I58="NOT_READABLE",I58="BLURRY",AND(R58="20_20_20",I58="READABLE")),"B","A"),
C58="B",
IF(reEsc,"ESCALATE",IF(AY58&gt;=phaseMax,"ESCALATE",IF(AND(AV58&gt;=AW58,I58="READABLE"),"E","B"))),
C58="E",
IF(AY58&gt;=phaseMax,"ESCALATE",IF(OR(I58="SAME",I58="CANT_TELL",AD58&lt;axisTol),"F","E")),
C58="F",
IF(AY58&gt;=phaseMax,"ESCALATE",IF(AX58&gt;=powerSameN,"G","F")),
C58="G",
IF(AY58&gt;=phaseMax,"ESCALATE",IF(OR(AX58&gt;=duoEqualN,BB58&gt;=duoMax),"D","G")),
C58="D",
IF(leEsc,"ESCALATE",IF(AY58&gt;=phaseMax,"ESCALATE",IF(AND(AV58&gt;=AW58,I58="READABLE"),"H","D"))),
C58="H",
IF(AY58&gt;=phaseMax,"ESCALATE",IF(OR(I58="SAME",I58="CANT_TELL",AD58&lt;axisTol),"I","H")),
C58="I",
IF(AY58&gt;=phaseMax,"ESCALATE",IF(AX58&gt;=powerSameN,"J","I")),
C58="J",
IF(AY58&gt;=phaseMax,"ESCALATE",IF(OR(AX58&gt;=duoEqualN,BB58&gt;=duoMax),"K","J")),
C58="K",
IF(AY58&gt;=phaseMax,"ESCALATE",IF(AX58&gt;=binoSameN,IF(XLOOKUP($B58,Derived_Variables!$A:$A,Derived_Variables!$AJ:$AJ,FALSE)=TRUE,"P","END"),"K")),
C58="P",
IF(AY58&gt;=phaseMax,"ESCALATE",IF(OR(I58="READABLE",I58="SAME"),"Q","P")),
C58="Q",
IF(AY58&gt;=phaseMax,"ESCALATE",IF(OR(I58="READABLE",I58="SAME"),"R","Q")),
C58="R",
IF(AY58&gt;=phaseMax,"ESCALATE",IF(OR(I58=nearTarget,I58="SAME"),"END","R")),
TRUE,"END"
)))</f>
        <v>P</v>
      </c>
      <c r="BD58" s="28" t="b">
        <f t="shared" si="19"/>
        <v>1</v>
      </c>
    </row>
    <row r="59" ht="15.75" customHeight="1">
      <c r="A59" s="28">
        <f t="shared" si="3"/>
        <v>58</v>
      </c>
      <c r="B59" s="28">
        <f t="shared" si="4"/>
        <v>6</v>
      </c>
      <c r="C59" s="28" t="str">
        <f t="shared" si="5"/>
        <v>P</v>
      </c>
      <c r="D59" s="28" t="str">
        <f t="array" ref="D59">IF($I58="","",XLOOKUP(C59,FSM_State_Map!A:A,FSM_State_Map!B:B,""))</f>
        <v>Near ADD RE</v>
      </c>
      <c r="E59" s="28" t="str">
        <f t="array" ref="E59">IF($I58="","",XLOOKUP(C59,FSM_State_Map!A:A,FSM_State_Map!C:C,""))</f>
        <v>NEAR_ADD</v>
      </c>
      <c r="F59" s="28" t="str">
        <f t="array" ref="F59">IF($I58="","",XLOOKUP(E59,Phase_UI_Map!A:A,Phase_UI_Map!B:B,""))</f>
        <v>NEAR_VA</v>
      </c>
      <c r="G59" s="28" t="str">
        <f t="array" ref="G59">IF($I58="","",XLOOKUP(E59,Phase_UI_Map!A:A,Phase_UI_Map!C:C,""))</f>
        <v>NEAR_TEXT</v>
      </c>
      <c r="H59" s="28" t="str">
        <f t="array" ref="H59">IF($I58="","",XLOOKUP(E59,Phase_UI_Map!A:A,Phase_UI_Map!D:D,""))</f>
        <v>NEAR_READABILITY</v>
      </c>
      <c r="I59" s="29" t="s">
        <v>219</v>
      </c>
      <c r="J59" s="28" t="str">
        <f>IFERROR(__xludf.DUMMYFUNCTION("IF($I58="""","""",IFERROR(INDEX(FILTER(Response_Lists!$B:$B,Response_Lists!$A:$A=$H59),1),""""))"),"READABLE")</f>
        <v>READABLE</v>
      </c>
      <c r="K59" s="28" t="str">
        <f>IFERROR(__xludf.DUMMYFUNCTION("IF($I58="""","""",IFERROR(INDEX(FILTER(Response_Lists!$B:$B,Response_Lists!$A:$A=$H59),2),""""))"),"NOT_READABLE")</f>
        <v>NOT_READABLE</v>
      </c>
      <c r="L59" s="28" t="str">
        <f>IFERROR(__xludf.DUMMYFUNCTION("IF($I58="""","""",IFERROR(INDEX(FILTER(Response_Lists!$B:$B,Response_Lists!$A:$A=$H59),3),""""))"),"BLURRY")</f>
        <v>BLURRY</v>
      </c>
      <c r="M59" s="28" t="str">
        <f>IFERROR(__xludf.DUMMYFUNCTION("IF($I58="""","""",IFERROR(INDEX(FILTER(Response_Lists!$B:$B,Response_Lists!$A:$A=$H59),4),""""))"),"SAME")</f>
        <v>SAME</v>
      </c>
      <c r="N59" s="28" t="str">
        <f>IFERROR(__xludf.DUMMYFUNCTION("IF($I58="""","""",IFERROR(INDEX(FILTER(Response_Lists!$B:$B,Response_Lists!$A:$A=$H59),5),""""))"),"CANT_TELL")</f>
        <v>CANT_TELL</v>
      </c>
      <c r="O59" s="28" t="str">
        <f>IFERROR(__xludf.DUMMYFUNCTION("IF($I58="""","""",IFERROR(INDEX(FILTER(Response_Lists!$B:$B,Response_Lists!$A:$A=$H59),6),""""))"),"")</f>
        <v/>
      </c>
      <c r="P59" s="28" t="str">
        <f t="shared" si="6"/>
        <v>Can you read the near target clearly?</v>
      </c>
      <c r="Q59" s="28" t="str">
        <f t="array" ref="Q59">IF($I58="","",XLOOKUP(C59,FSM_State_Map!A:A,FSM_State_Map!D:D,""))</f>
        <v>RE</v>
      </c>
      <c r="R59" s="28" t="str">
        <f t="shared" si="7"/>
        <v>20_20_20</v>
      </c>
      <c r="S59" s="28">
        <f t="array" ref="S59">IF($I58="","",
IF(
  AND(C59="B",C58&lt;&gt;"B"),
  XLOOKUP($B59,Derived_Variables!$A:$A,Derived_Variables!$K:$K,0)
  + XLOOKUP($B59,Derived_Variables!$A:$A,Derived_Variables!$AE:$AE,0),
  S58+AM58
))</f>
        <v>-1</v>
      </c>
      <c r="T59" s="28">
        <f t="shared" ref="T59:U59" si="128">IF($I58="","",T58+AN58)</f>
        <v>-0.25</v>
      </c>
      <c r="U59" s="28">
        <f t="shared" si="128"/>
        <v>2</v>
      </c>
      <c r="V59" s="28">
        <f t="array" ref="V59">IF($I58="","",
IF(
  AND(C59="D",C58&lt;&gt;"D"),
  XLOOKUP($B59,Derived_Variables!$A:$A,Derived_Variables!$N:$N,0)
  + XLOOKUP($B59,Derived_Variables!$A:$A,Derived_Variables!$AE:$AE,0),
  V58+AP58
))</f>
        <v>-1.5</v>
      </c>
      <c r="W59" s="28">
        <f t="shared" ref="W59:X59" si="129">IF($I58="","",W58+AQ58)</f>
        <v>0</v>
      </c>
      <c r="X59" s="28">
        <f t="shared" si="129"/>
        <v>50</v>
      </c>
      <c r="Y59" s="28">
        <f t="array" ref="Y59">IF($I58="","",IF(AND(C59="P",C58&lt;&gt;"P"),IFERROR(XLOOKUP($B59,Lenso_Input!$A:$A,Lenso_Input!$E:$E,0),0),Y58+AS58))</f>
        <v>0</v>
      </c>
      <c r="Z59" s="28">
        <f t="array" ref="Z59">IF($I58="","",IF(AND(C59="Q",C58&lt;&gt;"Q"),IFERROR(XLOOKUP($B59,Lenso_Input!$A:$A,Lenso_Input!$I:$I,0),0),Z58+AT58))</f>
        <v>0</v>
      </c>
      <c r="AA59" s="28" t="str">
        <f t="array" ref="AA59">IF($I58="","",IF(XLOOKUP($B59,Derived_Variables!$A:$A,Derived_Variables!$R:$R,"6/6_target")="6/6_target","20_20_20","40_30_25"))</f>
        <v>20_20_20</v>
      </c>
      <c r="AB59" s="28">
        <f t="array" ref="AB59">IF($I58="","",XLOOKUP(LOWER(XLOOKUP($B59,Derived_Variables!$A:$A,Derived_Variables!$T:$T,"Standard"))&amp;"_sph_step",Calibration!$B:$B,Calibration!$C:$C,0.25))</f>
        <v>0.25</v>
      </c>
      <c r="AC59" s="28">
        <f t="array" ref="AC59">IF($I58="","",XLOOKUP(LOWER(XLOOKUP($B59,Derived_Variables!$A:$A,Derived_Variables!$T:$T,"Standard"))&amp;"_cyl_step",Calibration!$B:$B,Calibration!$C:$C,0.25))</f>
        <v>0.25</v>
      </c>
      <c r="AD59" s="28">
        <f t="array" ref="AD59">IF($I58="","",IF(OR(C59="E",C59="H"),LET(startStep,XLOOKUP("axis_start_step",Calibration!$B:$B,Calibration!$C:$C,5),step1,XLOOKUP("axis_reversal_step_1",Calibration!$B:$B,Calibration!$C:$C,3),step2,XLOOKUP("axis_reversal_step_2",Calibration!$B:$B,Calibration!$C:$C,1),IF(OR(C58&lt;&gt;C59,AZ59="",AZ59="SAME",AZ59="CANT_TELL",I59="",I59="SAME",I59="CANT_TELL"),startStep,IF(OR(AND(AZ59="BETTER_1",I59="BETTER_2"),AND(AZ59="BETTER_2",I59="BETTER_1")),IF(AD58&gt;step1,step1,step2),AD58))),0))</f>
        <v>0</v>
      </c>
      <c r="AE59" s="28" t="str">
        <f t="array" ref="AE59">IF($I58="","",XLOOKUP($B59,Derived_Variables!$A:$A,Derived_Variables!$AD:$AD,"No_Fog"))</f>
        <v>Strong_Fog</v>
      </c>
      <c r="AF59" s="28">
        <f t="array" ref="AF59">IF($I58="","",XLOOKUP($B59,Derived_Variables!$A:$A,Derived_Variables!$AE:$AE,0))</f>
        <v>1</v>
      </c>
      <c r="AG59" s="28" t="str">
        <f t="array" ref="AG59">IF($I58="","",XLOOKUP($B59,Derived_Variables!$A:$A,Derived_Variables!$AF:$AF,""))</f>
        <v>StepDown_0.25</v>
      </c>
      <c r="AH59" s="28" t="str">
        <f t="array" ref="AH59">IF($I58="","",XLOOKUP($B59,Derived_Variables!$A:$A,Derived_Variables!$AG:$AG,""))</f>
        <v>Low</v>
      </c>
      <c r="AI59" s="28" t="str">
        <f t="array" ref="AI59">IF($I58="","",XLOOKUP($B59,Derived_Variables!$A:$A,Derived_Variables!$AC:$AC,"Medium"))</f>
        <v>Low</v>
      </c>
      <c r="AJ59" s="28" t="b">
        <f t="array" ref="AJ59">IF($I58="","",XLOOKUP($B59,Derived_Variables!$A:$A,Derived_Variables!$Y:$Y,FALSE))</f>
        <v>0</v>
      </c>
      <c r="AK59" s="28" t="str">
        <f t="array" ref="AK59">IF($I58="","",XLOOKUP($B59,Derived_Variables!$A:$A,Derived_Variables!$AA:$AA,"Normal"))</f>
        <v>Slow</v>
      </c>
      <c r="AL59" s="28" t="str">
        <f t="array" ref="AL59">IF($I58="","",XLOOKUP($B59,Derived_Variables!$A:$A,Derived_Variables!$AB:$AB,"Normal"))</f>
        <v>Relaxed</v>
      </c>
      <c r="AM59" s="28">
        <f t="array" ref="AM59">IF($I59="","",IFS(C59="B",IF(OR(I59="NOT_READABLE",I59="BLURRY"),-AB59,0),C59="G",IFS(I59="RED_CLEARER",XLOOKUP("duochrome_red_step",Calibration!$B:$B,Calibration!$C:$C,-0.25),I59="GREEN_CLEARER",XLOOKUP("duochrome_green_step",Calibration!$B:$B,Calibration!$C:$C,0.25),I59="EQUAL",IF(XLOOKUP($B59,Derived_Variables!$A:$A,Derived_Variables!$S:$S,"Neutral")="Undercorrect",XLOOKUP("undercorrect_step",Calibration!$B:$B,Calibration!$C:$C,0.25),IF(XLOOKUP($B59,Derived_Variables!$A:$A,Derived_Variables!$S:$S,"Neutral")="Overcorrect",-XLOOKUP("overcorrect_step",Calibration!$B:$B,Calibration!$C:$C,0.25),0)),TRUE,0),C59="K",IF(I59="TOP_CLEARER",XLOOKUP("bino_balance_step",Calibration!$B:$B,Calibration!$C:$C,0.25),0),TRUE,0))</f>
        <v>0</v>
      </c>
      <c r="AN59" s="28">
        <f t="shared" si="10"/>
        <v>0</v>
      </c>
      <c r="AO59" s="28">
        <f t="shared" si="11"/>
        <v>0</v>
      </c>
      <c r="AP59" s="28">
        <f t="array" ref="AP59">IF($I59="","",IFS(C59="D",IF(OR(I59="NOT_READABLE",I59="BLURRY"),-AB59,0),C59="J",IFS(I59="RED_CLEARER",XLOOKUP("duochrome_red_step",Calibration!$B:$B,Calibration!$C:$C,-0.25),I59="GREEN_CLEARER",XLOOKUP("duochrome_green_step",Calibration!$B:$B,Calibration!$C:$C,0.25),I59="EQUAL",IF(XLOOKUP($B59,Derived_Variables!$A:$A,Derived_Variables!$S:$S,"Neutral")="Undercorrect",XLOOKUP("undercorrect_step",Calibration!$B:$B,Calibration!$C:$C,0.25),IF(XLOOKUP($B59,Derived_Variables!$A:$A,Derived_Variables!$S:$S,"Neutral")="Overcorrect",-XLOOKUP("overcorrect_step",Calibration!$B:$B,Calibration!$C:$C,0.25),0)),TRUE,0),C59="K",IF(I59="BOTTOM_CLEARER",XLOOKUP("bino_balance_step",Calibration!$B:$B,Calibration!$C:$C,0.25),0),TRUE,0))</f>
        <v>0</v>
      </c>
      <c r="AQ59" s="28">
        <f t="shared" si="12"/>
        <v>0</v>
      </c>
      <c r="AR59" s="28">
        <f t="shared" si="13"/>
        <v>0</v>
      </c>
      <c r="AS59" s="28">
        <f t="array" ref="AS59">IF($I59="","",IF(C59="P",IF(OR(I59="NOT_READABLE",I59="BLURRY"),XLOOKUP("near_add_step",Calibration!$B:$B,Calibration!$C:$C,0.25),0),IF(C59="R",IF(I59="NOT_CLEAR",XLOOKUP("near_add_step",Calibration!$B:$B,Calibration!$C:$C,0.25),0),0)))</f>
        <v>0.25</v>
      </c>
      <c r="AT59" s="28">
        <f t="array" ref="AT59">IF($I59="","",IF(C59="Q",IF(OR(I59="NOT_READABLE",I59="BLURRY"),XLOOKUP("near_add_step",Calibration!$B:$B,Calibration!$C:$C,0.25),0),IF(C59="R",IF(I59="NOT_CLEAR",XLOOKUP("near_add_step",Calibration!$B:$B,Calibration!$C:$C,0.25),0),0)))</f>
        <v>0</v>
      </c>
      <c r="AU59" s="28" t="str">
        <f t="array" ref="AU59">IF($I59="","",IF(G59="SNELLEN_FEET",IF(I59="READABLE",IFERROR(XLOOKUP(XLOOKUP(R59,Chart_Scale_Distance!B:B,Chart_Scale_Distance!A:A)+1,Chart_Scale_Distance!A:A,Chart_Scale_Distance!B:B),R59),R59),R59))</f>
        <v>20_20_20</v>
      </c>
      <c r="AV59" s="28">
        <f t="array" ref="AV59">IF($I58="","",IFERROR(XLOOKUP(R59,Chart_Scale_Distance!$B:$B,Chart_Scale_Distance!$A:$A,""),""))</f>
        <v>6</v>
      </c>
      <c r="AW59" s="28">
        <f t="array" ref="AW59">IF($I58="","",IFERROR(XLOOKUP(AA59,Chart_Scale_Distance!$B:$B,Chart_Scale_Distance!$A:$A,""),""))</f>
        <v>6</v>
      </c>
      <c r="AX59" s="28">
        <f t="shared" si="14"/>
        <v>0</v>
      </c>
      <c r="AY59" s="28">
        <f t="shared" si="15"/>
        <v>1</v>
      </c>
      <c r="AZ59" s="28" t="str">
        <f t="shared" si="16"/>
        <v/>
      </c>
      <c r="BA59" s="28">
        <f t="shared" si="17"/>
        <v>0</v>
      </c>
      <c r="BB59" s="28">
        <f t="shared" si="18"/>
        <v>0</v>
      </c>
      <c r="BC59" s="28" t="str">
        <f t="array" ref="BC59">IF($I59="","",LET(
conf,AI59,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duoMax,XLOOKUP($B59,Derived_Variables!$A:$A,Derived_Variables!$AI:$AI,4),
axisTol,XLOOKUP($B59,Derived_Variables!$A:$A,Derived_Variables!$W:$W,1),
maxStart,XLOOKUP($B59,Derived_Variables!$A:$A,Derived_Variables!$U:$U,1.25),
maxAR,XLOOKUP($B59,Derived_Variables!$A:$A,Derived_Variables!$V:$V,3),
anom,XLOOKUP($B59,Derived_Variables!$A:$A,Derived_Variables!$Z:$Z,FALSE),
reStart,XLOOKUP($B59,Derived_Variables!$A:$A,Derived_Variables!$K:$K,0),
leStart,XLOOKUP($B59,Derived_Variables!$A:$A,Derived_Variables!$N:$N,0),
reAR,XLOOKUP($B59,AR_Input!$A:$A,AR_Input!$B:$B,reStart),
leAR,XLOOKUP($B59,AR_Input!$A:$A,AR_Input!$E:$E,leStart),
reEsc,AND(anom,OR(ABS((S59+AM59)-reStart)&gt;maxStart,ABS((S59+AM59)-reAR)&gt;maxAR)),
leEsc,AND(anom,OR(ABS((V59+AP59)-leStart)&gt;maxStart,ABS((V59+AP59)-leAR)&gt;maxAR)),
phaseMax,IFS(
 AK59="Fast",
   IFS(
     OR(C59="B",C59="D"),XLOOKUP("timeout_coarse_fast",Calibration!$B:$B,Calibration!$C:$C,24),
     OR(C59="E",C59="F",C59="H",C59="I"),XLOOKUP("timeout_jcc_fast",Calibration!$B:$B,Calibration!$C:$C,10),
     OR(C59="G",C59="J"),XLOOKUP("timeout_duochrome_fast",Calibration!$B:$B,Calibration!$C:$C,8),
     C59="K",XLOOKUP("timeout_bino_fast",Calibration!$B:$B,Calibration!$C:$C,10),
     OR(C59="P",C59="Q",C59="R"),XLOOKUP("timeout_near_fast",Calibration!$B:$B,Calibration!$C:$C,16),
     TRUE,XLOOKUP("timeout_coarse_fast",Calibration!$B:$B,Calibration!$C:$C,24)
   ),
 AK59="Normal",
   IFS(
     OR(C59="B",C59="D"),XLOOKUP("timeout_coarse_normal",Calibration!$B:$B,Calibration!$C:$C,36),
     OR(C59="E",C59="F",C59="H",C59="I"),XLOOKUP("timeout_jcc_normal",Calibration!$B:$B,Calibration!$C:$C,14),
     OR(C59="G",C59="J"),XLOOKUP("timeout_duochrome_normal",Calibration!$B:$B,Calibration!$C:$C,10),
     C59="K",XLOOKUP("timeout_bino_normal",Calibration!$B:$B,Calibration!$C:$C,14),
     OR(C59="P",C59="Q",C59="R"),XLOOKUP("timeout_near_normal",Calibration!$B:$B,Calibration!$C:$C,22),
     TRUE,XLOOKUP("timeout_coarse_normal",Calibration!$B:$B,Calibration!$C:$C,36)
   ),
 TRUE,
   IFS(
     OR(C59="B",C59="D"),XLOOKUP("timeout_coarse_slow",Calibration!$B:$B,Calibration!$C:$C,48),
     OR(C59="E",C59="F",C59="H",C59="I"),XLOOKUP("timeout_jcc_slow",Calibration!$B:$B,Calibration!$C:$C,18),
     OR(C59="G",C59="J"),XLOOKUP("timeout_duochrome_slow",Calibration!$B:$B,Calibration!$C:$C,12),
     C59="K",XLOOKUP("timeout_bino_slow",Calibration!$B:$B,Calibration!$C:$C,18),
     OR(C59="P",C59="Q",C59="R"),XLOOKUP("timeout_near_slow",Calibration!$B:$B,Calibration!$C:$C,28),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AJ59=TRUE,"ESCALATE",
C59="A",
IF(OR(I59="NOT_READABLE",I59="BLURRY",AND(R59="20_20_20",I59="READABLE")),"B","A"),
C59="B",
IF(reEsc,"ESCALATE",IF(AY59&gt;=phaseMax,"ESCALATE",IF(AND(AV59&gt;=AW59,I59="READABLE"),"E","B"))),
C59="E",
IF(AY59&gt;=phaseMax,"ESCALATE",IF(OR(I59="SAME",I59="CANT_TELL",AD59&lt;axisTol),"F","E")),
C59="F",
IF(AY59&gt;=phaseMax,"ESCALATE",IF(AX59&gt;=powerSameN,"G","F")),
C59="G",
IF(AY59&gt;=phaseMax,"ESCALATE",IF(OR(AX59&gt;=duoEqualN,BB59&gt;=duoMax),"D","G")),
C59="D",
IF(leEsc,"ESCALATE",IF(AY59&gt;=phaseMax,"ESCALATE",IF(AND(AV59&gt;=AW59,I59="READABLE"),"H","D"))),
C59="H",
IF(AY59&gt;=phaseMax,"ESCALATE",IF(OR(I59="SAME",I59="CANT_TELL",AD59&lt;axisTol),"I","H")),
C59="I",
IF(AY59&gt;=phaseMax,"ESCALATE",IF(AX59&gt;=powerSameN,"J","I")),
C59="J",
IF(AY59&gt;=phaseMax,"ESCALATE",IF(OR(AX59&gt;=duoEqualN,BB59&gt;=duoMax),"K","J")),
C59="K",
IF(AY59&gt;=phaseMax,"ESCALATE",IF(AX59&gt;=binoSameN,IF(XLOOKUP($B59,Derived_Variables!$A:$A,Derived_Variables!$AJ:$AJ,FALSE)=TRUE,"P","END"),"K")),
C59="P",
IF(AY59&gt;=phaseMax,"ESCALATE",IF(OR(I59="READABLE",I59="SAME"),"Q","P")),
C59="Q",
IF(AY59&gt;=phaseMax,"ESCALATE",IF(OR(I59="READABLE",I59="SAME"),"R","Q")),
C59="R",
IF(AY59&gt;=phaseMax,"ESCALATE",IF(OR(I59=nearTarget,I59="SAME"),"END","R")),
TRUE,"END"
)))</f>
        <v>P</v>
      </c>
      <c r="BD59" s="28" t="b">
        <f t="shared" si="19"/>
        <v>1</v>
      </c>
    </row>
    <row r="60" ht="15.75" customHeight="1">
      <c r="A60" s="28">
        <f t="shared" si="3"/>
        <v>59</v>
      </c>
      <c r="B60" s="28">
        <f t="shared" si="4"/>
        <v>6</v>
      </c>
      <c r="C60" s="28" t="str">
        <f t="shared" si="5"/>
        <v>P</v>
      </c>
      <c r="D60" s="28" t="str">
        <f t="array" ref="D60">IF($I59="","",XLOOKUP(C60,FSM_State_Map!A:A,FSM_State_Map!B:B,""))</f>
        <v>Near ADD RE</v>
      </c>
      <c r="E60" s="28" t="str">
        <f t="array" ref="E60">IF($I59="","",XLOOKUP(C60,FSM_State_Map!A:A,FSM_State_Map!C:C,""))</f>
        <v>NEAR_ADD</v>
      </c>
      <c r="F60" s="28" t="str">
        <f t="array" ref="F60">IF($I59="","",XLOOKUP(E60,Phase_UI_Map!A:A,Phase_UI_Map!B:B,""))</f>
        <v>NEAR_VA</v>
      </c>
      <c r="G60" s="28" t="str">
        <f t="array" ref="G60">IF($I59="","",XLOOKUP(E60,Phase_UI_Map!A:A,Phase_UI_Map!C:C,""))</f>
        <v>NEAR_TEXT</v>
      </c>
      <c r="H60" s="28" t="str">
        <f t="array" ref="H60">IF($I59="","",XLOOKUP(E60,Phase_UI_Map!A:A,Phase_UI_Map!D:D,""))</f>
        <v>NEAR_READABILITY</v>
      </c>
      <c r="I60" s="29" t="s">
        <v>219</v>
      </c>
      <c r="J60" s="28" t="str">
        <f>IFERROR(__xludf.DUMMYFUNCTION("IF($I59="""","""",IFERROR(INDEX(FILTER(Response_Lists!$B:$B,Response_Lists!$A:$A=$H60),1),""""))"),"READABLE")</f>
        <v>READABLE</v>
      </c>
      <c r="K60" s="28" t="str">
        <f>IFERROR(__xludf.DUMMYFUNCTION("IF($I59="""","""",IFERROR(INDEX(FILTER(Response_Lists!$B:$B,Response_Lists!$A:$A=$H60),2),""""))"),"NOT_READABLE")</f>
        <v>NOT_READABLE</v>
      </c>
      <c r="L60" s="28" t="str">
        <f>IFERROR(__xludf.DUMMYFUNCTION("IF($I59="""","""",IFERROR(INDEX(FILTER(Response_Lists!$B:$B,Response_Lists!$A:$A=$H60),3),""""))"),"BLURRY")</f>
        <v>BLURRY</v>
      </c>
      <c r="M60" s="28" t="str">
        <f>IFERROR(__xludf.DUMMYFUNCTION("IF($I59="""","""",IFERROR(INDEX(FILTER(Response_Lists!$B:$B,Response_Lists!$A:$A=$H60),4),""""))"),"SAME")</f>
        <v>SAME</v>
      </c>
      <c r="N60" s="28" t="str">
        <f>IFERROR(__xludf.DUMMYFUNCTION("IF($I59="""","""",IFERROR(INDEX(FILTER(Response_Lists!$B:$B,Response_Lists!$A:$A=$H60),5),""""))"),"CANT_TELL")</f>
        <v>CANT_TELL</v>
      </c>
      <c r="O60" s="28" t="str">
        <f>IFERROR(__xludf.DUMMYFUNCTION("IF($I59="""","""",IFERROR(INDEX(FILTER(Response_Lists!$B:$B,Response_Lists!$A:$A=$H60),6),""""))"),"")</f>
        <v/>
      </c>
      <c r="P60" s="28" t="str">
        <f t="shared" si="6"/>
        <v>Can you read the near target clearly?</v>
      </c>
      <c r="Q60" s="28" t="str">
        <f t="array" ref="Q60">IF($I59="","",XLOOKUP(C60,FSM_State_Map!A:A,FSM_State_Map!D:D,""))</f>
        <v>RE</v>
      </c>
      <c r="R60" s="28" t="str">
        <f t="shared" si="7"/>
        <v>20_20_20</v>
      </c>
      <c r="S60" s="28">
        <f t="array" ref="S60">IF($I59="","",
IF(
  AND(C60="B",C59&lt;&gt;"B"),
  XLOOKUP($B60,Derived_Variables!$A:$A,Derived_Variables!$K:$K,0)
  + XLOOKUP($B60,Derived_Variables!$A:$A,Derived_Variables!$AE:$AE,0),
  S59+AM59
))</f>
        <v>-1</v>
      </c>
      <c r="T60" s="28">
        <f t="shared" ref="T60:U60" si="130">IF($I59="","",T59+AN59)</f>
        <v>-0.25</v>
      </c>
      <c r="U60" s="28">
        <f t="shared" si="130"/>
        <v>2</v>
      </c>
      <c r="V60" s="28">
        <f t="array" ref="V60">IF($I59="","",
IF(
  AND(C60="D",C59&lt;&gt;"D"),
  XLOOKUP($B60,Derived_Variables!$A:$A,Derived_Variables!$N:$N,0)
  + XLOOKUP($B60,Derived_Variables!$A:$A,Derived_Variables!$AE:$AE,0),
  V59+AP59
))</f>
        <v>-1.5</v>
      </c>
      <c r="W60" s="28">
        <f t="shared" ref="W60:X60" si="131">IF($I59="","",W59+AQ59)</f>
        <v>0</v>
      </c>
      <c r="X60" s="28">
        <f t="shared" si="131"/>
        <v>50</v>
      </c>
      <c r="Y60" s="28">
        <f t="array" ref="Y60">IF($I59="","",IF(AND(C60="P",C59&lt;&gt;"P"),IFERROR(XLOOKUP($B60,Lenso_Input!$A:$A,Lenso_Input!$E:$E,0),0),Y59+AS59))</f>
        <v>0.25</v>
      </c>
      <c r="Z60" s="28">
        <f t="array" ref="Z60">IF($I59="","",IF(AND(C60="Q",C59&lt;&gt;"Q"),IFERROR(XLOOKUP($B60,Lenso_Input!$A:$A,Lenso_Input!$I:$I,0),0),Z59+AT59))</f>
        <v>0</v>
      </c>
      <c r="AA60" s="28" t="str">
        <f t="array" ref="AA60">IF($I59="","",IF(XLOOKUP($B60,Derived_Variables!$A:$A,Derived_Variables!$R:$R,"6/6_target")="6/6_target","20_20_20","40_30_25"))</f>
        <v>20_20_20</v>
      </c>
      <c r="AB60" s="28">
        <f t="array" ref="AB60">IF($I59="","",XLOOKUP(LOWER(XLOOKUP($B60,Derived_Variables!$A:$A,Derived_Variables!$T:$T,"Standard"))&amp;"_sph_step",Calibration!$B:$B,Calibration!$C:$C,0.25))</f>
        <v>0.25</v>
      </c>
      <c r="AC60" s="28">
        <f t="array" ref="AC60">IF($I59="","",XLOOKUP(LOWER(XLOOKUP($B60,Derived_Variables!$A:$A,Derived_Variables!$T:$T,"Standard"))&amp;"_cyl_step",Calibration!$B:$B,Calibration!$C:$C,0.25))</f>
        <v>0.25</v>
      </c>
      <c r="AD60" s="28">
        <f t="array" ref="AD60">IF($I59="","",IF(OR(C60="E",C60="H"),LET(startStep,XLOOKUP("axis_start_step",Calibration!$B:$B,Calibration!$C:$C,5),step1,XLOOKUP("axis_reversal_step_1",Calibration!$B:$B,Calibration!$C:$C,3),step2,XLOOKUP("axis_reversal_step_2",Calibration!$B:$B,Calibration!$C:$C,1),IF(OR(C59&lt;&gt;C60,AZ60="",AZ60="SAME",AZ60="CANT_TELL",I60="",I60="SAME",I60="CANT_TELL"),startStep,IF(OR(AND(AZ60="BETTER_1",I60="BETTER_2"),AND(AZ60="BETTER_2",I60="BETTER_1")),IF(AD59&gt;step1,step1,step2),AD59))),0))</f>
        <v>0</v>
      </c>
      <c r="AE60" s="28" t="str">
        <f t="array" ref="AE60">IF($I59="","",XLOOKUP($B60,Derived_Variables!$A:$A,Derived_Variables!$AD:$AD,"No_Fog"))</f>
        <v>Strong_Fog</v>
      </c>
      <c r="AF60" s="28">
        <f t="array" ref="AF60">IF($I59="","",XLOOKUP($B60,Derived_Variables!$A:$A,Derived_Variables!$AE:$AE,0))</f>
        <v>1</v>
      </c>
      <c r="AG60" s="28" t="str">
        <f t="array" ref="AG60">IF($I59="","",XLOOKUP($B60,Derived_Variables!$A:$A,Derived_Variables!$AF:$AF,""))</f>
        <v>StepDown_0.25</v>
      </c>
      <c r="AH60" s="28" t="str">
        <f t="array" ref="AH60">IF($I59="","",XLOOKUP($B60,Derived_Variables!$A:$A,Derived_Variables!$AG:$AG,""))</f>
        <v>Low</v>
      </c>
      <c r="AI60" s="28" t="str">
        <f t="array" ref="AI60">IF($I59="","",XLOOKUP($B60,Derived_Variables!$A:$A,Derived_Variables!$AC:$AC,"Medium"))</f>
        <v>Low</v>
      </c>
      <c r="AJ60" s="28" t="b">
        <f t="array" ref="AJ60">IF($I59="","",XLOOKUP($B60,Derived_Variables!$A:$A,Derived_Variables!$Y:$Y,FALSE))</f>
        <v>0</v>
      </c>
      <c r="AK60" s="28" t="str">
        <f t="array" ref="AK60">IF($I59="","",XLOOKUP($B60,Derived_Variables!$A:$A,Derived_Variables!$AA:$AA,"Normal"))</f>
        <v>Slow</v>
      </c>
      <c r="AL60" s="28" t="str">
        <f t="array" ref="AL60">IF($I59="","",XLOOKUP($B60,Derived_Variables!$A:$A,Derived_Variables!$AB:$AB,"Normal"))</f>
        <v>Relaxed</v>
      </c>
      <c r="AM60" s="28">
        <f t="array" ref="AM60">IF($I60="","",IFS(C60="B",IF(OR(I60="NOT_READABLE",I60="BLURRY"),-AB60,0),C60="G",IFS(I60="RED_CLEARER",XLOOKUP("duochrome_red_step",Calibration!$B:$B,Calibration!$C:$C,-0.25),I60="GREEN_CLEARER",XLOOKUP("duochrome_green_step",Calibration!$B:$B,Calibration!$C:$C,0.25),I60="EQUAL",IF(XLOOKUP($B60,Derived_Variables!$A:$A,Derived_Variables!$S:$S,"Neutral")="Undercorrect",XLOOKUP("undercorrect_step",Calibration!$B:$B,Calibration!$C:$C,0.25),IF(XLOOKUP($B60,Derived_Variables!$A:$A,Derived_Variables!$S:$S,"Neutral")="Overcorrect",-XLOOKUP("overcorrect_step",Calibration!$B:$B,Calibration!$C:$C,0.25),0)),TRUE,0),C60="K",IF(I60="TOP_CLEARER",XLOOKUP("bino_balance_step",Calibration!$B:$B,Calibration!$C:$C,0.25),0),TRUE,0))</f>
        <v>0</v>
      </c>
      <c r="AN60" s="28">
        <f t="shared" si="10"/>
        <v>0</v>
      </c>
      <c r="AO60" s="28">
        <f t="shared" si="11"/>
        <v>0</v>
      </c>
      <c r="AP60" s="28">
        <f t="array" ref="AP60">IF($I60="","",IFS(C60="D",IF(OR(I60="NOT_READABLE",I60="BLURRY"),-AB60,0),C60="J",IFS(I60="RED_CLEARER",XLOOKUP("duochrome_red_step",Calibration!$B:$B,Calibration!$C:$C,-0.25),I60="GREEN_CLEARER",XLOOKUP("duochrome_green_step",Calibration!$B:$B,Calibration!$C:$C,0.25),I60="EQUAL",IF(XLOOKUP($B60,Derived_Variables!$A:$A,Derived_Variables!$S:$S,"Neutral")="Undercorrect",XLOOKUP("undercorrect_step",Calibration!$B:$B,Calibration!$C:$C,0.25),IF(XLOOKUP($B60,Derived_Variables!$A:$A,Derived_Variables!$S:$S,"Neutral")="Overcorrect",-XLOOKUP("overcorrect_step",Calibration!$B:$B,Calibration!$C:$C,0.25),0)),TRUE,0),C60="K",IF(I60="BOTTOM_CLEARER",XLOOKUP("bino_balance_step",Calibration!$B:$B,Calibration!$C:$C,0.25),0),TRUE,0))</f>
        <v>0</v>
      </c>
      <c r="AQ60" s="28">
        <f t="shared" si="12"/>
        <v>0</v>
      </c>
      <c r="AR60" s="28">
        <f t="shared" si="13"/>
        <v>0</v>
      </c>
      <c r="AS60" s="28">
        <f t="array" ref="AS60">IF($I60="","",IF(C60="P",IF(OR(I60="NOT_READABLE",I60="BLURRY"),XLOOKUP("near_add_step",Calibration!$B:$B,Calibration!$C:$C,0.25),0),IF(C60="R",IF(I60="NOT_CLEAR",XLOOKUP("near_add_step",Calibration!$B:$B,Calibration!$C:$C,0.25),0),0)))</f>
        <v>0.25</v>
      </c>
      <c r="AT60" s="28">
        <f t="array" ref="AT60">IF($I60="","",IF(C60="Q",IF(OR(I60="NOT_READABLE",I60="BLURRY"),XLOOKUP("near_add_step",Calibration!$B:$B,Calibration!$C:$C,0.25),0),IF(C60="R",IF(I60="NOT_CLEAR",XLOOKUP("near_add_step",Calibration!$B:$B,Calibration!$C:$C,0.25),0),0)))</f>
        <v>0</v>
      </c>
      <c r="AU60" s="28" t="str">
        <f t="array" ref="AU60">IF($I60="","",IF(G60="SNELLEN_FEET",IF(I60="READABLE",IFERROR(XLOOKUP(XLOOKUP(R60,Chart_Scale_Distance!B:B,Chart_Scale_Distance!A:A)+1,Chart_Scale_Distance!A:A,Chart_Scale_Distance!B:B),R60),R60),R60))</f>
        <v>20_20_20</v>
      </c>
      <c r="AV60" s="28">
        <f t="array" ref="AV60">IF($I59="","",IFERROR(XLOOKUP(R60,Chart_Scale_Distance!$B:$B,Chart_Scale_Distance!$A:$A,""),""))</f>
        <v>6</v>
      </c>
      <c r="AW60" s="28">
        <f t="array" ref="AW60">IF($I59="","",IFERROR(XLOOKUP(AA60,Chart_Scale_Distance!$B:$B,Chart_Scale_Distance!$A:$A,""),""))</f>
        <v>6</v>
      </c>
      <c r="AX60" s="28">
        <f t="shared" si="14"/>
        <v>0</v>
      </c>
      <c r="AY60" s="28">
        <f t="shared" si="15"/>
        <v>2</v>
      </c>
      <c r="AZ60" s="28" t="str">
        <f t="shared" si="16"/>
        <v/>
      </c>
      <c r="BA60" s="28">
        <f t="shared" si="17"/>
        <v>0</v>
      </c>
      <c r="BB60" s="28">
        <f t="shared" si="18"/>
        <v>0</v>
      </c>
      <c r="BC60" s="28" t="str">
        <f t="array" ref="BC60">IF($I60="","",LET(
conf,AI60,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duoMax,XLOOKUP($B60,Derived_Variables!$A:$A,Derived_Variables!$AI:$AI,4),
axisTol,XLOOKUP($B60,Derived_Variables!$A:$A,Derived_Variables!$W:$W,1),
maxStart,XLOOKUP($B60,Derived_Variables!$A:$A,Derived_Variables!$U:$U,1.25),
maxAR,XLOOKUP($B60,Derived_Variables!$A:$A,Derived_Variables!$V:$V,3),
anom,XLOOKUP($B60,Derived_Variables!$A:$A,Derived_Variables!$Z:$Z,FALSE),
reStart,XLOOKUP($B60,Derived_Variables!$A:$A,Derived_Variables!$K:$K,0),
leStart,XLOOKUP($B60,Derived_Variables!$A:$A,Derived_Variables!$N:$N,0),
reAR,XLOOKUP($B60,AR_Input!$A:$A,AR_Input!$B:$B,reStart),
leAR,XLOOKUP($B60,AR_Input!$A:$A,AR_Input!$E:$E,leStart),
reEsc,AND(anom,OR(ABS((S60+AM60)-reStart)&gt;maxStart,ABS((S60+AM60)-reAR)&gt;maxAR)),
leEsc,AND(anom,OR(ABS((V60+AP60)-leStart)&gt;maxStart,ABS((V60+AP60)-leAR)&gt;maxAR)),
phaseMax,IFS(
 AK60="Fast",
   IFS(
     OR(C60="B",C60="D"),XLOOKUP("timeout_coarse_fast",Calibration!$B:$B,Calibration!$C:$C,24),
     OR(C60="E",C60="F",C60="H",C60="I"),XLOOKUP("timeout_jcc_fast",Calibration!$B:$B,Calibration!$C:$C,10),
     OR(C60="G",C60="J"),XLOOKUP("timeout_duochrome_fast",Calibration!$B:$B,Calibration!$C:$C,8),
     C60="K",XLOOKUP("timeout_bino_fast",Calibration!$B:$B,Calibration!$C:$C,10),
     OR(C60="P",C60="Q",C60="R"),XLOOKUP("timeout_near_fast",Calibration!$B:$B,Calibration!$C:$C,16),
     TRUE,XLOOKUP("timeout_coarse_fast",Calibration!$B:$B,Calibration!$C:$C,24)
   ),
 AK60="Normal",
   IFS(
     OR(C60="B",C60="D"),XLOOKUP("timeout_coarse_normal",Calibration!$B:$B,Calibration!$C:$C,36),
     OR(C60="E",C60="F",C60="H",C60="I"),XLOOKUP("timeout_jcc_normal",Calibration!$B:$B,Calibration!$C:$C,14),
     OR(C60="G",C60="J"),XLOOKUP("timeout_duochrome_normal",Calibration!$B:$B,Calibration!$C:$C,10),
     C60="K",XLOOKUP("timeout_bino_normal",Calibration!$B:$B,Calibration!$C:$C,14),
     OR(C60="P",C60="Q",C60="R"),XLOOKUP("timeout_near_normal",Calibration!$B:$B,Calibration!$C:$C,22),
     TRUE,XLOOKUP("timeout_coarse_normal",Calibration!$B:$B,Calibration!$C:$C,36)
   ),
 TRUE,
   IFS(
     OR(C60="B",C60="D"),XLOOKUP("timeout_coarse_slow",Calibration!$B:$B,Calibration!$C:$C,48),
     OR(C60="E",C60="F",C60="H",C60="I"),XLOOKUP("timeout_jcc_slow",Calibration!$B:$B,Calibration!$C:$C,18),
     OR(C60="G",C60="J"),XLOOKUP("timeout_duochrome_slow",Calibration!$B:$B,Calibration!$C:$C,12),
     C60="K",XLOOKUP("timeout_bino_slow",Calibration!$B:$B,Calibration!$C:$C,18),
     OR(C60="P",C60="Q",C60="R"),XLOOKUP("timeout_near_slow",Calibration!$B:$B,Calibration!$C:$C,28),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AJ60=TRUE,"ESCALATE",
C60="A",
IF(OR(I60="NOT_READABLE",I60="BLURRY",AND(R60="20_20_20",I60="READABLE")),"B","A"),
C60="B",
IF(reEsc,"ESCALATE",IF(AY60&gt;=phaseMax,"ESCALATE",IF(AND(AV60&gt;=AW60,I60="READABLE"),"E","B"))),
C60="E",
IF(AY60&gt;=phaseMax,"ESCALATE",IF(OR(I60="SAME",I60="CANT_TELL",AD60&lt;axisTol),"F","E")),
C60="F",
IF(AY60&gt;=phaseMax,"ESCALATE",IF(AX60&gt;=powerSameN,"G","F")),
C60="G",
IF(AY60&gt;=phaseMax,"ESCALATE",IF(OR(AX60&gt;=duoEqualN,BB60&gt;=duoMax),"D","G")),
C60="D",
IF(leEsc,"ESCALATE",IF(AY60&gt;=phaseMax,"ESCALATE",IF(AND(AV60&gt;=AW60,I60="READABLE"),"H","D"))),
C60="H",
IF(AY60&gt;=phaseMax,"ESCALATE",IF(OR(I60="SAME",I60="CANT_TELL",AD60&lt;axisTol),"I","H")),
C60="I",
IF(AY60&gt;=phaseMax,"ESCALATE",IF(AX60&gt;=powerSameN,"J","I")),
C60="J",
IF(AY60&gt;=phaseMax,"ESCALATE",IF(OR(AX60&gt;=duoEqualN,BB60&gt;=duoMax),"K","J")),
C60="K",
IF(AY60&gt;=phaseMax,"ESCALATE",IF(AX60&gt;=binoSameN,IF(XLOOKUP($B60,Derived_Variables!$A:$A,Derived_Variables!$AJ:$AJ,FALSE)=TRUE,"P","END"),"K")),
C60="P",
IF(AY60&gt;=phaseMax,"ESCALATE",IF(OR(I60="READABLE",I60="SAME"),"Q","P")),
C60="Q",
IF(AY60&gt;=phaseMax,"ESCALATE",IF(OR(I60="READABLE",I60="SAME"),"R","Q")),
C60="R",
IF(AY60&gt;=phaseMax,"ESCALATE",IF(OR(I60=nearTarget,I60="SAME"),"END","R")),
TRUE,"END"
)))</f>
        <v>P</v>
      </c>
      <c r="BD60" s="28" t="b">
        <f t="shared" si="19"/>
        <v>1</v>
      </c>
    </row>
    <row r="61" ht="15.75" customHeight="1">
      <c r="A61" s="28">
        <f t="shared" si="3"/>
        <v>60</v>
      </c>
      <c r="B61" s="28">
        <f t="shared" si="4"/>
        <v>6</v>
      </c>
      <c r="C61" s="28" t="str">
        <f t="shared" si="5"/>
        <v>P</v>
      </c>
      <c r="D61" s="28" t="str">
        <f t="array" ref="D61">IF($I60="","",XLOOKUP(C61,FSM_State_Map!A:A,FSM_State_Map!B:B,""))</f>
        <v>Near ADD RE</v>
      </c>
      <c r="E61" s="28" t="str">
        <f t="array" ref="E61">IF($I60="","",XLOOKUP(C61,FSM_State_Map!A:A,FSM_State_Map!C:C,""))</f>
        <v>NEAR_ADD</v>
      </c>
      <c r="F61" s="28" t="str">
        <f t="array" ref="F61">IF($I60="","",XLOOKUP(E61,Phase_UI_Map!A:A,Phase_UI_Map!B:B,""))</f>
        <v>NEAR_VA</v>
      </c>
      <c r="G61" s="28" t="str">
        <f t="array" ref="G61">IF($I60="","",XLOOKUP(E61,Phase_UI_Map!A:A,Phase_UI_Map!C:C,""))</f>
        <v>NEAR_TEXT</v>
      </c>
      <c r="H61" s="28" t="str">
        <f t="array" ref="H61">IF($I60="","",XLOOKUP(E61,Phase_UI_Map!A:A,Phase_UI_Map!D:D,""))</f>
        <v>NEAR_READABILITY</v>
      </c>
      <c r="I61" s="29" t="s">
        <v>219</v>
      </c>
      <c r="J61" s="28" t="str">
        <f>IFERROR(__xludf.DUMMYFUNCTION("IF($I60="""","""",IFERROR(INDEX(FILTER(Response_Lists!$B:$B,Response_Lists!$A:$A=$H61),1),""""))"),"READABLE")</f>
        <v>READABLE</v>
      </c>
      <c r="K61" s="28" t="str">
        <f>IFERROR(__xludf.DUMMYFUNCTION("IF($I60="""","""",IFERROR(INDEX(FILTER(Response_Lists!$B:$B,Response_Lists!$A:$A=$H61),2),""""))"),"NOT_READABLE")</f>
        <v>NOT_READABLE</v>
      </c>
      <c r="L61" s="28" t="str">
        <f>IFERROR(__xludf.DUMMYFUNCTION("IF($I60="""","""",IFERROR(INDEX(FILTER(Response_Lists!$B:$B,Response_Lists!$A:$A=$H61),3),""""))"),"BLURRY")</f>
        <v>BLURRY</v>
      </c>
      <c r="M61" s="28" t="str">
        <f>IFERROR(__xludf.DUMMYFUNCTION("IF($I60="""","""",IFERROR(INDEX(FILTER(Response_Lists!$B:$B,Response_Lists!$A:$A=$H61),4),""""))"),"SAME")</f>
        <v>SAME</v>
      </c>
      <c r="N61" s="28" t="str">
        <f>IFERROR(__xludf.DUMMYFUNCTION("IF($I60="""","""",IFERROR(INDEX(FILTER(Response_Lists!$B:$B,Response_Lists!$A:$A=$H61),5),""""))"),"CANT_TELL")</f>
        <v>CANT_TELL</v>
      </c>
      <c r="O61" s="28" t="str">
        <f>IFERROR(__xludf.DUMMYFUNCTION("IF($I60="""","""",IFERROR(INDEX(FILTER(Response_Lists!$B:$B,Response_Lists!$A:$A=$H61),6),""""))"),"")</f>
        <v/>
      </c>
      <c r="P61" s="28" t="str">
        <f t="shared" si="6"/>
        <v>Can you read the near target clearly?</v>
      </c>
      <c r="Q61" s="28" t="str">
        <f t="array" ref="Q61">IF($I60="","",XLOOKUP(C61,FSM_State_Map!A:A,FSM_State_Map!D:D,""))</f>
        <v>RE</v>
      </c>
      <c r="R61" s="28" t="str">
        <f t="shared" si="7"/>
        <v>20_20_20</v>
      </c>
      <c r="S61" s="28">
        <f t="array" ref="S61">IF($I60="","",
IF(
  AND(C61="B",C60&lt;&gt;"B"),
  XLOOKUP($B61,Derived_Variables!$A:$A,Derived_Variables!$K:$K,0)
  + XLOOKUP($B61,Derived_Variables!$A:$A,Derived_Variables!$AE:$AE,0),
  S60+AM60
))</f>
        <v>-1</v>
      </c>
      <c r="T61" s="28">
        <f t="shared" ref="T61:U61" si="132">IF($I60="","",T60+AN60)</f>
        <v>-0.25</v>
      </c>
      <c r="U61" s="28">
        <f t="shared" si="132"/>
        <v>2</v>
      </c>
      <c r="V61" s="28">
        <f t="array" ref="V61">IF($I60="","",
IF(
  AND(C61="D",C60&lt;&gt;"D"),
  XLOOKUP($B61,Derived_Variables!$A:$A,Derived_Variables!$N:$N,0)
  + XLOOKUP($B61,Derived_Variables!$A:$A,Derived_Variables!$AE:$AE,0),
  V60+AP60
))</f>
        <v>-1.5</v>
      </c>
      <c r="W61" s="28">
        <f t="shared" ref="W61:X61" si="133">IF($I60="","",W60+AQ60)</f>
        <v>0</v>
      </c>
      <c r="X61" s="28">
        <f t="shared" si="133"/>
        <v>50</v>
      </c>
      <c r="Y61" s="28">
        <f t="array" ref="Y61">IF($I60="","",IF(AND(C61="P",C60&lt;&gt;"P"),IFERROR(XLOOKUP($B61,Lenso_Input!$A:$A,Lenso_Input!$E:$E,0),0),Y60+AS60))</f>
        <v>0.5</v>
      </c>
      <c r="Z61" s="28">
        <f t="array" ref="Z61">IF($I60="","",IF(AND(C61="Q",C60&lt;&gt;"Q"),IFERROR(XLOOKUP($B61,Lenso_Input!$A:$A,Lenso_Input!$I:$I,0),0),Z60+AT60))</f>
        <v>0</v>
      </c>
      <c r="AA61" s="28" t="str">
        <f t="array" ref="AA61">IF($I60="","",IF(XLOOKUP($B61,Derived_Variables!$A:$A,Derived_Variables!$R:$R,"6/6_target")="6/6_target","20_20_20","40_30_25"))</f>
        <v>20_20_20</v>
      </c>
      <c r="AB61" s="28">
        <f t="array" ref="AB61">IF($I60="","",XLOOKUP(LOWER(XLOOKUP($B61,Derived_Variables!$A:$A,Derived_Variables!$T:$T,"Standard"))&amp;"_sph_step",Calibration!$B:$B,Calibration!$C:$C,0.25))</f>
        <v>0.25</v>
      </c>
      <c r="AC61" s="28">
        <f t="array" ref="AC61">IF($I60="","",XLOOKUP(LOWER(XLOOKUP($B61,Derived_Variables!$A:$A,Derived_Variables!$T:$T,"Standard"))&amp;"_cyl_step",Calibration!$B:$B,Calibration!$C:$C,0.25))</f>
        <v>0.25</v>
      </c>
      <c r="AD61" s="28">
        <f t="array" ref="AD61">IF($I60="","",IF(OR(C61="E",C61="H"),LET(startStep,XLOOKUP("axis_start_step",Calibration!$B:$B,Calibration!$C:$C,5),step1,XLOOKUP("axis_reversal_step_1",Calibration!$B:$B,Calibration!$C:$C,3),step2,XLOOKUP("axis_reversal_step_2",Calibration!$B:$B,Calibration!$C:$C,1),IF(OR(C60&lt;&gt;C61,AZ61="",AZ61="SAME",AZ61="CANT_TELL",I61="",I61="SAME",I61="CANT_TELL"),startStep,IF(OR(AND(AZ61="BETTER_1",I61="BETTER_2"),AND(AZ61="BETTER_2",I61="BETTER_1")),IF(AD60&gt;step1,step1,step2),AD60))),0))</f>
        <v>0</v>
      </c>
      <c r="AE61" s="28" t="str">
        <f t="array" ref="AE61">IF($I60="","",XLOOKUP($B61,Derived_Variables!$A:$A,Derived_Variables!$AD:$AD,"No_Fog"))</f>
        <v>Strong_Fog</v>
      </c>
      <c r="AF61" s="28">
        <f t="array" ref="AF61">IF($I60="","",XLOOKUP($B61,Derived_Variables!$A:$A,Derived_Variables!$AE:$AE,0))</f>
        <v>1</v>
      </c>
      <c r="AG61" s="28" t="str">
        <f t="array" ref="AG61">IF($I60="","",XLOOKUP($B61,Derived_Variables!$A:$A,Derived_Variables!$AF:$AF,""))</f>
        <v>StepDown_0.25</v>
      </c>
      <c r="AH61" s="28" t="str">
        <f t="array" ref="AH61">IF($I60="","",XLOOKUP($B61,Derived_Variables!$A:$A,Derived_Variables!$AG:$AG,""))</f>
        <v>Low</v>
      </c>
      <c r="AI61" s="28" t="str">
        <f t="array" ref="AI61">IF($I60="","",XLOOKUP($B61,Derived_Variables!$A:$A,Derived_Variables!$AC:$AC,"Medium"))</f>
        <v>Low</v>
      </c>
      <c r="AJ61" s="28" t="b">
        <f t="array" ref="AJ61">IF($I60="","",XLOOKUP($B61,Derived_Variables!$A:$A,Derived_Variables!$Y:$Y,FALSE))</f>
        <v>0</v>
      </c>
      <c r="AK61" s="28" t="str">
        <f t="array" ref="AK61">IF($I60="","",XLOOKUP($B61,Derived_Variables!$A:$A,Derived_Variables!$AA:$AA,"Normal"))</f>
        <v>Slow</v>
      </c>
      <c r="AL61" s="28" t="str">
        <f t="array" ref="AL61">IF($I60="","",XLOOKUP($B61,Derived_Variables!$A:$A,Derived_Variables!$AB:$AB,"Normal"))</f>
        <v>Relaxed</v>
      </c>
      <c r="AM61" s="28">
        <f t="array" ref="AM61">IF($I61="","",IFS(C61="B",IF(OR(I61="NOT_READABLE",I61="BLURRY"),-AB61,0),C61="G",IFS(I61="RED_CLEARER",XLOOKUP("duochrome_red_step",Calibration!$B:$B,Calibration!$C:$C,-0.25),I61="GREEN_CLEARER",XLOOKUP("duochrome_green_step",Calibration!$B:$B,Calibration!$C:$C,0.25),I61="EQUAL",IF(XLOOKUP($B61,Derived_Variables!$A:$A,Derived_Variables!$S:$S,"Neutral")="Undercorrect",XLOOKUP("undercorrect_step",Calibration!$B:$B,Calibration!$C:$C,0.25),IF(XLOOKUP($B61,Derived_Variables!$A:$A,Derived_Variables!$S:$S,"Neutral")="Overcorrect",-XLOOKUP("overcorrect_step",Calibration!$B:$B,Calibration!$C:$C,0.25),0)),TRUE,0),C61="K",IF(I61="TOP_CLEARER",XLOOKUP("bino_balance_step",Calibration!$B:$B,Calibration!$C:$C,0.25),0),TRUE,0))</f>
        <v>0</v>
      </c>
      <c r="AN61" s="28">
        <f t="shared" si="10"/>
        <v>0</v>
      </c>
      <c r="AO61" s="28">
        <f t="shared" si="11"/>
        <v>0</v>
      </c>
      <c r="AP61" s="28">
        <f t="array" ref="AP61">IF($I61="","",IFS(C61="D",IF(OR(I61="NOT_READABLE",I61="BLURRY"),-AB61,0),C61="J",IFS(I61="RED_CLEARER",XLOOKUP("duochrome_red_step",Calibration!$B:$B,Calibration!$C:$C,-0.25),I61="GREEN_CLEARER",XLOOKUP("duochrome_green_step",Calibration!$B:$B,Calibration!$C:$C,0.25),I61="EQUAL",IF(XLOOKUP($B61,Derived_Variables!$A:$A,Derived_Variables!$S:$S,"Neutral")="Undercorrect",XLOOKUP("undercorrect_step",Calibration!$B:$B,Calibration!$C:$C,0.25),IF(XLOOKUP($B61,Derived_Variables!$A:$A,Derived_Variables!$S:$S,"Neutral")="Overcorrect",-XLOOKUP("overcorrect_step",Calibration!$B:$B,Calibration!$C:$C,0.25),0)),TRUE,0),C61="K",IF(I61="BOTTOM_CLEARER",XLOOKUP("bino_balance_step",Calibration!$B:$B,Calibration!$C:$C,0.25),0),TRUE,0))</f>
        <v>0</v>
      </c>
      <c r="AQ61" s="28">
        <f t="shared" si="12"/>
        <v>0</v>
      </c>
      <c r="AR61" s="28">
        <f t="shared" si="13"/>
        <v>0</v>
      </c>
      <c r="AS61" s="28">
        <f t="array" ref="AS61">IF($I61="","",IF(C61="P",IF(OR(I61="NOT_READABLE",I61="BLURRY"),XLOOKUP("near_add_step",Calibration!$B:$B,Calibration!$C:$C,0.25),0),IF(C61="R",IF(I61="NOT_CLEAR",XLOOKUP("near_add_step",Calibration!$B:$B,Calibration!$C:$C,0.25),0),0)))</f>
        <v>0.25</v>
      </c>
      <c r="AT61" s="28">
        <f t="array" ref="AT61">IF($I61="","",IF(C61="Q",IF(OR(I61="NOT_READABLE",I61="BLURRY"),XLOOKUP("near_add_step",Calibration!$B:$B,Calibration!$C:$C,0.25),0),IF(C61="R",IF(I61="NOT_CLEAR",XLOOKUP("near_add_step",Calibration!$B:$B,Calibration!$C:$C,0.25),0),0)))</f>
        <v>0</v>
      </c>
      <c r="AU61" s="28" t="str">
        <f t="array" ref="AU61">IF($I61="","",IF(G61="SNELLEN_FEET",IF(I61="READABLE",IFERROR(XLOOKUP(XLOOKUP(R61,Chart_Scale_Distance!B:B,Chart_Scale_Distance!A:A)+1,Chart_Scale_Distance!A:A,Chart_Scale_Distance!B:B),R61),R61),R61))</f>
        <v>20_20_20</v>
      </c>
      <c r="AV61" s="28">
        <f t="array" ref="AV61">IF($I60="","",IFERROR(XLOOKUP(R61,Chart_Scale_Distance!$B:$B,Chart_Scale_Distance!$A:$A,""),""))</f>
        <v>6</v>
      </c>
      <c r="AW61" s="28">
        <f t="array" ref="AW61">IF($I60="","",IFERROR(XLOOKUP(AA61,Chart_Scale_Distance!$B:$B,Chart_Scale_Distance!$A:$A,""),""))</f>
        <v>6</v>
      </c>
      <c r="AX61" s="28">
        <f t="shared" si="14"/>
        <v>0</v>
      </c>
      <c r="AY61" s="28">
        <f t="shared" si="15"/>
        <v>3</v>
      </c>
      <c r="AZ61" s="28" t="str">
        <f t="shared" si="16"/>
        <v/>
      </c>
      <c r="BA61" s="28">
        <f t="shared" si="17"/>
        <v>0</v>
      </c>
      <c r="BB61" s="28">
        <f t="shared" si="18"/>
        <v>0</v>
      </c>
      <c r="BC61" s="28" t="str">
        <f t="array" ref="BC61">IF($I61="","",LET(
conf,AI61,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duoMax,XLOOKUP($B61,Derived_Variables!$A:$A,Derived_Variables!$AI:$AI,4),
axisTol,XLOOKUP($B61,Derived_Variables!$A:$A,Derived_Variables!$W:$W,1),
maxStart,XLOOKUP($B61,Derived_Variables!$A:$A,Derived_Variables!$U:$U,1.25),
maxAR,XLOOKUP($B61,Derived_Variables!$A:$A,Derived_Variables!$V:$V,3),
anom,XLOOKUP($B61,Derived_Variables!$A:$A,Derived_Variables!$Z:$Z,FALSE),
reStart,XLOOKUP($B61,Derived_Variables!$A:$A,Derived_Variables!$K:$K,0),
leStart,XLOOKUP($B61,Derived_Variables!$A:$A,Derived_Variables!$N:$N,0),
reAR,XLOOKUP($B61,AR_Input!$A:$A,AR_Input!$B:$B,reStart),
leAR,XLOOKUP($B61,AR_Input!$A:$A,AR_Input!$E:$E,leStart),
reEsc,AND(anom,OR(ABS((S61+AM61)-reStart)&gt;maxStart,ABS((S61+AM61)-reAR)&gt;maxAR)),
leEsc,AND(anom,OR(ABS((V61+AP61)-leStart)&gt;maxStart,ABS((V61+AP61)-leAR)&gt;maxAR)),
phaseMax,IFS(
 AK61="Fast",
   IFS(
     OR(C61="B",C61="D"),XLOOKUP("timeout_coarse_fast",Calibration!$B:$B,Calibration!$C:$C,24),
     OR(C61="E",C61="F",C61="H",C61="I"),XLOOKUP("timeout_jcc_fast",Calibration!$B:$B,Calibration!$C:$C,10),
     OR(C61="G",C61="J"),XLOOKUP("timeout_duochrome_fast",Calibration!$B:$B,Calibration!$C:$C,8),
     C61="K",XLOOKUP("timeout_bino_fast",Calibration!$B:$B,Calibration!$C:$C,10),
     OR(C61="P",C61="Q",C61="R"),XLOOKUP("timeout_near_fast",Calibration!$B:$B,Calibration!$C:$C,16),
     TRUE,XLOOKUP("timeout_coarse_fast",Calibration!$B:$B,Calibration!$C:$C,24)
   ),
 AK61="Normal",
   IFS(
     OR(C61="B",C61="D"),XLOOKUP("timeout_coarse_normal",Calibration!$B:$B,Calibration!$C:$C,36),
     OR(C61="E",C61="F",C61="H",C61="I"),XLOOKUP("timeout_jcc_normal",Calibration!$B:$B,Calibration!$C:$C,14),
     OR(C61="G",C61="J"),XLOOKUP("timeout_duochrome_normal",Calibration!$B:$B,Calibration!$C:$C,10),
     C61="K",XLOOKUP("timeout_bino_normal",Calibration!$B:$B,Calibration!$C:$C,14),
     OR(C61="P",C61="Q",C61="R"),XLOOKUP("timeout_near_normal",Calibration!$B:$B,Calibration!$C:$C,22),
     TRUE,XLOOKUP("timeout_coarse_normal",Calibration!$B:$B,Calibration!$C:$C,36)
   ),
 TRUE,
   IFS(
     OR(C61="B",C61="D"),XLOOKUP("timeout_coarse_slow",Calibration!$B:$B,Calibration!$C:$C,48),
     OR(C61="E",C61="F",C61="H",C61="I"),XLOOKUP("timeout_jcc_slow",Calibration!$B:$B,Calibration!$C:$C,18),
     OR(C61="G",C61="J"),XLOOKUP("timeout_duochrome_slow",Calibration!$B:$B,Calibration!$C:$C,12),
     C61="K",XLOOKUP("timeout_bino_slow",Calibration!$B:$B,Calibration!$C:$C,18),
     OR(C61="P",C61="Q",C61="R"),XLOOKUP("timeout_near_slow",Calibration!$B:$B,Calibration!$C:$C,28),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AJ61=TRUE,"ESCALATE",
C61="A",
IF(OR(I61="NOT_READABLE",I61="BLURRY",AND(R61="20_20_20",I61="READABLE")),"B","A"),
C61="B",
IF(reEsc,"ESCALATE",IF(AY61&gt;=phaseMax,"ESCALATE",IF(AND(AV61&gt;=AW61,I61="READABLE"),"E","B"))),
C61="E",
IF(AY61&gt;=phaseMax,"ESCALATE",IF(OR(I61="SAME",I61="CANT_TELL",AD61&lt;axisTol),"F","E")),
C61="F",
IF(AY61&gt;=phaseMax,"ESCALATE",IF(AX61&gt;=powerSameN,"G","F")),
C61="G",
IF(AY61&gt;=phaseMax,"ESCALATE",IF(OR(AX61&gt;=duoEqualN,BB61&gt;=duoMax),"D","G")),
C61="D",
IF(leEsc,"ESCALATE",IF(AY61&gt;=phaseMax,"ESCALATE",IF(AND(AV61&gt;=AW61,I61="READABLE"),"H","D"))),
C61="H",
IF(AY61&gt;=phaseMax,"ESCALATE",IF(OR(I61="SAME",I61="CANT_TELL",AD61&lt;axisTol),"I","H")),
C61="I",
IF(AY61&gt;=phaseMax,"ESCALATE",IF(AX61&gt;=powerSameN,"J","I")),
C61="J",
IF(AY61&gt;=phaseMax,"ESCALATE",IF(OR(AX61&gt;=duoEqualN,BB61&gt;=duoMax),"K","J")),
C61="K",
IF(AY61&gt;=phaseMax,"ESCALATE",IF(AX61&gt;=binoSameN,IF(XLOOKUP($B61,Derived_Variables!$A:$A,Derived_Variables!$AJ:$AJ,FALSE)=TRUE,"P","END"),"K")),
C61="P",
IF(AY61&gt;=phaseMax,"ESCALATE",IF(OR(I61="READABLE",I61="SAME"),"Q","P")),
C61="Q",
IF(AY61&gt;=phaseMax,"ESCALATE",IF(OR(I61="READABLE",I61="SAME"),"R","Q")),
C61="R",
IF(AY61&gt;=phaseMax,"ESCALATE",IF(OR(I61=nearTarget,I61="SAME"),"END","R")),
TRUE,"END"
)))</f>
        <v>P</v>
      </c>
      <c r="BD61" s="28" t="b">
        <f t="shared" si="19"/>
        <v>1</v>
      </c>
    </row>
    <row r="62" ht="15.75" customHeight="1">
      <c r="A62" s="28">
        <f t="shared" si="3"/>
        <v>61</v>
      </c>
      <c r="B62" s="28">
        <f t="shared" si="4"/>
        <v>6</v>
      </c>
      <c r="C62" s="28" t="str">
        <f t="shared" si="5"/>
        <v>P</v>
      </c>
      <c r="D62" s="28" t="str">
        <f t="array" ref="D62">IF($I61="","",XLOOKUP(C62,FSM_State_Map!A:A,FSM_State_Map!B:B,""))</f>
        <v>Near ADD RE</v>
      </c>
      <c r="E62" s="28" t="str">
        <f t="array" ref="E62">IF($I61="","",XLOOKUP(C62,FSM_State_Map!A:A,FSM_State_Map!C:C,""))</f>
        <v>NEAR_ADD</v>
      </c>
      <c r="F62" s="28" t="str">
        <f t="array" ref="F62">IF($I61="","",XLOOKUP(E62,Phase_UI_Map!A:A,Phase_UI_Map!B:B,""))</f>
        <v>NEAR_VA</v>
      </c>
      <c r="G62" s="28" t="str">
        <f t="array" ref="G62">IF($I61="","",XLOOKUP(E62,Phase_UI_Map!A:A,Phase_UI_Map!C:C,""))</f>
        <v>NEAR_TEXT</v>
      </c>
      <c r="H62" s="28" t="str">
        <f t="array" ref="H62">IF($I61="","",XLOOKUP(E62,Phase_UI_Map!A:A,Phase_UI_Map!D:D,""))</f>
        <v>NEAR_READABILITY</v>
      </c>
      <c r="I62" s="29" t="s">
        <v>219</v>
      </c>
      <c r="J62" s="28" t="str">
        <f>IFERROR(__xludf.DUMMYFUNCTION("IF($I61="""","""",IFERROR(INDEX(FILTER(Response_Lists!$B:$B,Response_Lists!$A:$A=$H62),1),""""))"),"READABLE")</f>
        <v>READABLE</v>
      </c>
      <c r="K62" s="28" t="str">
        <f>IFERROR(__xludf.DUMMYFUNCTION("IF($I61="""","""",IFERROR(INDEX(FILTER(Response_Lists!$B:$B,Response_Lists!$A:$A=$H62),2),""""))"),"NOT_READABLE")</f>
        <v>NOT_READABLE</v>
      </c>
      <c r="L62" s="28" t="str">
        <f>IFERROR(__xludf.DUMMYFUNCTION("IF($I61="""","""",IFERROR(INDEX(FILTER(Response_Lists!$B:$B,Response_Lists!$A:$A=$H62),3),""""))"),"BLURRY")</f>
        <v>BLURRY</v>
      </c>
      <c r="M62" s="28" t="str">
        <f>IFERROR(__xludf.DUMMYFUNCTION("IF($I61="""","""",IFERROR(INDEX(FILTER(Response_Lists!$B:$B,Response_Lists!$A:$A=$H62),4),""""))"),"SAME")</f>
        <v>SAME</v>
      </c>
      <c r="N62" s="28" t="str">
        <f>IFERROR(__xludf.DUMMYFUNCTION("IF($I61="""","""",IFERROR(INDEX(FILTER(Response_Lists!$B:$B,Response_Lists!$A:$A=$H62),5),""""))"),"CANT_TELL")</f>
        <v>CANT_TELL</v>
      </c>
      <c r="O62" s="28" t="str">
        <f>IFERROR(__xludf.DUMMYFUNCTION("IF($I61="""","""",IFERROR(INDEX(FILTER(Response_Lists!$B:$B,Response_Lists!$A:$A=$H62),6),""""))"),"")</f>
        <v/>
      </c>
      <c r="P62" s="28" t="str">
        <f t="shared" si="6"/>
        <v>Can you read the near target clearly?</v>
      </c>
      <c r="Q62" s="28" t="str">
        <f t="array" ref="Q62">IF($I61="","",XLOOKUP(C62,FSM_State_Map!A:A,FSM_State_Map!D:D,""))</f>
        <v>RE</v>
      </c>
      <c r="R62" s="28" t="str">
        <f t="shared" si="7"/>
        <v>20_20_20</v>
      </c>
      <c r="S62" s="28">
        <f t="array" ref="S62">IF($I61="","",
IF(
  AND(C62="B",C61&lt;&gt;"B"),
  XLOOKUP($B62,Derived_Variables!$A:$A,Derived_Variables!$K:$K,0)
  + XLOOKUP($B62,Derived_Variables!$A:$A,Derived_Variables!$AE:$AE,0),
  S61+AM61
))</f>
        <v>-1</v>
      </c>
      <c r="T62" s="28">
        <f t="shared" ref="T62:U62" si="134">IF($I61="","",T61+AN61)</f>
        <v>-0.25</v>
      </c>
      <c r="U62" s="28">
        <f t="shared" si="134"/>
        <v>2</v>
      </c>
      <c r="V62" s="28">
        <f t="array" ref="V62">IF($I61="","",
IF(
  AND(C62="D",C61&lt;&gt;"D"),
  XLOOKUP($B62,Derived_Variables!$A:$A,Derived_Variables!$N:$N,0)
  + XLOOKUP($B62,Derived_Variables!$A:$A,Derived_Variables!$AE:$AE,0),
  V61+AP61
))</f>
        <v>-1.5</v>
      </c>
      <c r="W62" s="28">
        <f t="shared" ref="W62:X62" si="135">IF($I61="","",W61+AQ61)</f>
        <v>0</v>
      </c>
      <c r="X62" s="28">
        <f t="shared" si="135"/>
        <v>50</v>
      </c>
      <c r="Y62" s="28">
        <f t="array" ref="Y62">IF($I61="","",IF(AND(C62="P",C61&lt;&gt;"P"),IFERROR(XLOOKUP($B62,Lenso_Input!$A:$A,Lenso_Input!$E:$E,0),0),Y61+AS61))</f>
        <v>0.75</v>
      </c>
      <c r="Z62" s="28">
        <f t="array" ref="Z62">IF($I61="","",IF(AND(C62="Q",C61&lt;&gt;"Q"),IFERROR(XLOOKUP($B62,Lenso_Input!$A:$A,Lenso_Input!$I:$I,0),0),Z61+AT61))</f>
        <v>0</v>
      </c>
      <c r="AA62" s="28" t="str">
        <f t="array" ref="AA62">IF($I61="","",IF(XLOOKUP($B62,Derived_Variables!$A:$A,Derived_Variables!$R:$R,"6/6_target")="6/6_target","20_20_20","40_30_25"))</f>
        <v>20_20_20</v>
      </c>
      <c r="AB62" s="28">
        <f t="array" ref="AB62">IF($I61="","",XLOOKUP(LOWER(XLOOKUP($B62,Derived_Variables!$A:$A,Derived_Variables!$T:$T,"Standard"))&amp;"_sph_step",Calibration!$B:$B,Calibration!$C:$C,0.25))</f>
        <v>0.25</v>
      </c>
      <c r="AC62" s="28">
        <f t="array" ref="AC62">IF($I61="","",XLOOKUP(LOWER(XLOOKUP($B62,Derived_Variables!$A:$A,Derived_Variables!$T:$T,"Standard"))&amp;"_cyl_step",Calibration!$B:$B,Calibration!$C:$C,0.25))</f>
        <v>0.25</v>
      </c>
      <c r="AD62" s="28">
        <f t="array" ref="AD62">IF($I61="","",IF(OR(C62="E",C62="H"),LET(startStep,XLOOKUP("axis_start_step",Calibration!$B:$B,Calibration!$C:$C,5),step1,XLOOKUP("axis_reversal_step_1",Calibration!$B:$B,Calibration!$C:$C,3),step2,XLOOKUP("axis_reversal_step_2",Calibration!$B:$B,Calibration!$C:$C,1),IF(OR(C61&lt;&gt;C62,AZ62="",AZ62="SAME",AZ62="CANT_TELL",I62="",I62="SAME",I62="CANT_TELL"),startStep,IF(OR(AND(AZ62="BETTER_1",I62="BETTER_2"),AND(AZ62="BETTER_2",I62="BETTER_1")),IF(AD61&gt;step1,step1,step2),AD61))),0))</f>
        <v>0</v>
      </c>
      <c r="AE62" s="28" t="str">
        <f t="array" ref="AE62">IF($I61="","",XLOOKUP($B62,Derived_Variables!$A:$A,Derived_Variables!$AD:$AD,"No_Fog"))</f>
        <v>Strong_Fog</v>
      </c>
      <c r="AF62" s="28">
        <f t="array" ref="AF62">IF($I61="","",XLOOKUP($B62,Derived_Variables!$A:$A,Derived_Variables!$AE:$AE,0))</f>
        <v>1</v>
      </c>
      <c r="AG62" s="28" t="str">
        <f t="array" ref="AG62">IF($I61="","",XLOOKUP($B62,Derived_Variables!$A:$A,Derived_Variables!$AF:$AF,""))</f>
        <v>StepDown_0.25</v>
      </c>
      <c r="AH62" s="28" t="str">
        <f t="array" ref="AH62">IF($I61="","",XLOOKUP($B62,Derived_Variables!$A:$A,Derived_Variables!$AG:$AG,""))</f>
        <v>Low</v>
      </c>
      <c r="AI62" s="28" t="str">
        <f t="array" ref="AI62">IF($I61="","",XLOOKUP($B62,Derived_Variables!$A:$A,Derived_Variables!$AC:$AC,"Medium"))</f>
        <v>Low</v>
      </c>
      <c r="AJ62" s="28" t="b">
        <f t="array" ref="AJ62">IF($I61="","",XLOOKUP($B62,Derived_Variables!$A:$A,Derived_Variables!$Y:$Y,FALSE))</f>
        <v>0</v>
      </c>
      <c r="AK62" s="28" t="str">
        <f t="array" ref="AK62">IF($I61="","",XLOOKUP($B62,Derived_Variables!$A:$A,Derived_Variables!$AA:$AA,"Normal"))</f>
        <v>Slow</v>
      </c>
      <c r="AL62" s="28" t="str">
        <f t="array" ref="AL62">IF($I61="","",XLOOKUP($B62,Derived_Variables!$A:$A,Derived_Variables!$AB:$AB,"Normal"))</f>
        <v>Relaxed</v>
      </c>
      <c r="AM62" s="28">
        <f t="array" ref="AM62">IF($I62="","",IFS(C62="B",IF(OR(I62="NOT_READABLE",I62="BLURRY"),-AB62,0),C62="G",IFS(I62="RED_CLEARER",XLOOKUP("duochrome_red_step",Calibration!$B:$B,Calibration!$C:$C,-0.25),I62="GREEN_CLEARER",XLOOKUP("duochrome_green_step",Calibration!$B:$B,Calibration!$C:$C,0.25),I62="EQUAL",IF(XLOOKUP($B62,Derived_Variables!$A:$A,Derived_Variables!$S:$S,"Neutral")="Undercorrect",XLOOKUP("undercorrect_step",Calibration!$B:$B,Calibration!$C:$C,0.25),IF(XLOOKUP($B62,Derived_Variables!$A:$A,Derived_Variables!$S:$S,"Neutral")="Overcorrect",-XLOOKUP("overcorrect_step",Calibration!$B:$B,Calibration!$C:$C,0.25),0)),TRUE,0),C62="K",IF(I62="TOP_CLEARER",XLOOKUP("bino_balance_step",Calibration!$B:$B,Calibration!$C:$C,0.25),0),TRUE,0))</f>
        <v>0</v>
      </c>
      <c r="AN62" s="28">
        <f t="shared" si="10"/>
        <v>0</v>
      </c>
      <c r="AO62" s="28">
        <f t="shared" si="11"/>
        <v>0</v>
      </c>
      <c r="AP62" s="28">
        <f t="array" ref="AP62">IF($I62="","",IFS(C62="D",IF(OR(I62="NOT_READABLE",I62="BLURRY"),-AB62,0),C62="J",IFS(I62="RED_CLEARER",XLOOKUP("duochrome_red_step",Calibration!$B:$B,Calibration!$C:$C,-0.25),I62="GREEN_CLEARER",XLOOKUP("duochrome_green_step",Calibration!$B:$B,Calibration!$C:$C,0.25),I62="EQUAL",IF(XLOOKUP($B62,Derived_Variables!$A:$A,Derived_Variables!$S:$S,"Neutral")="Undercorrect",XLOOKUP("undercorrect_step",Calibration!$B:$B,Calibration!$C:$C,0.25),IF(XLOOKUP($B62,Derived_Variables!$A:$A,Derived_Variables!$S:$S,"Neutral")="Overcorrect",-XLOOKUP("overcorrect_step",Calibration!$B:$B,Calibration!$C:$C,0.25),0)),TRUE,0),C62="K",IF(I62="BOTTOM_CLEARER",XLOOKUP("bino_balance_step",Calibration!$B:$B,Calibration!$C:$C,0.25),0),TRUE,0))</f>
        <v>0</v>
      </c>
      <c r="AQ62" s="28">
        <f t="shared" si="12"/>
        <v>0</v>
      </c>
      <c r="AR62" s="28">
        <f t="shared" si="13"/>
        <v>0</v>
      </c>
      <c r="AS62" s="28">
        <f t="array" ref="AS62">IF($I62="","",IF(C62="P",IF(OR(I62="NOT_READABLE",I62="BLURRY"),XLOOKUP("near_add_step",Calibration!$B:$B,Calibration!$C:$C,0.25),0),IF(C62="R",IF(I62="NOT_CLEAR",XLOOKUP("near_add_step",Calibration!$B:$B,Calibration!$C:$C,0.25),0),0)))</f>
        <v>0.25</v>
      </c>
      <c r="AT62" s="28">
        <f t="array" ref="AT62">IF($I62="","",IF(C62="Q",IF(OR(I62="NOT_READABLE",I62="BLURRY"),XLOOKUP("near_add_step",Calibration!$B:$B,Calibration!$C:$C,0.25),0),IF(C62="R",IF(I62="NOT_CLEAR",XLOOKUP("near_add_step",Calibration!$B:$B,Calibration!$C:$C,0.25),0),0)))</f>
        <v>0</v>
      </c>
      <c r="AU62" s="28" t="str">
        <f t="array" ref="AU62">IF($I62="","",IF(G62="SNELLEN_FEET",IF(I62="READABLE",IFERROR(XLOOKUP(XLOOKUP(R62,Chart_Scale_Distance!B:B,Chart_Scale_Distance!A:A)+1,Chart_Scale_Distance!A:A,Chart_Scale_Distance!B:B),R62),R62),R62))</f>
        <v>20_20_20</v>
      </c>
      <c r="AV62" s="28">
        <f t="array" ref="AV62">IF($I61="","",IFERROR(XLOOKUP(R62,Chart_Scale_Distance!$B:$B,Chart_Scale_Distance!$A:$A,""),""))</f>
        <v>6</v>
      </c>
      <c r="AW62" s="28">
        <f t="array" ref="AW62">IF($I61="","",IFERROR(XLOOKUP(AA62,Chart_Scale_Distance!$B:$B,Chart_Scale_Distance!$A:$A,""),""))</f>
        <v>6</v>
      </c>
      <c r="AX62" s="28">
        <f t="shared" si="14"/>
        <v>0</v>
      </c>
      <c r="AY62" s="28">
        <f t="shared" si="15"/>
        <v>4</v>
      </c>
      <c r="AZ62" s="28" t="str">
        <f t="shared" si="16"/>
        <v/>
      </c>
      <c r="BA62" s="28">
        <f t="shared" si="17"/>
        <v>0</v>
      </c>
      <c r="BB62" s="28">
        <f t="shared" si="18"/>
        <v>0</v>
      </c>
      <c r="BC62" s="28" t="str">
        <f t="array" ref="BC62">IF($I62="","",LET(
conf,AI62,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duoMax,XLOOKUP($B62,Derived_Variables!$A:$A,Derived_Variables!$AI:$AI,4),
axisTol,XLOOKUP($B62,Derived_Variables!$A:$A,Derived_Variables!$W:$W,1),
maxStart,XLOOKUP($B62,Derived_Variables!$A:$A,Derived_Variables!$U:$U,1.25),
maxAR,XLOOKUP($B62,Derived_Variables!$A:$A,Derived_Variables!$V:$V,3),
anom,XLOOKUP($B62,Derived_Variables!$A:$A,Derived_Variables!$Z:$Z,FALSE),
reStart,XLOOKUP($B62,Derived_Variables!$A:$A,Derived_Variables!$K:$K,0),
leStart,XLOOKUP($B62,Derived_Variables!$A:$A,Derived_Variables!$N:$N,0),
reAR,XLOOKUP($B62,AR_Input!$A:$A,AR_Input!$B:$B,reStart),
leAR,XLOOKUP($B62,AR_Input!$A:$A,AR_Input!$E:$E,leStart),
reEsc,AND(anom,OR(ABS((S62+AM62)-reStart)&gt;maxStart,ABS((S62+AM62)-reAR)&gt;maxAR)),
leEsc,AND(anom,OR(ABS((V62+AP62)-leStart)&gt;maxStart,ABS((V62+AP62)-leAR)&gt;maxAR)),
phaseMax,IFS(
 AK62="Fast",
   IFS(
     OR(C62="B",C62="D"),XLOOKUP("timeout_coarse_fast",Calibration!$B:$B,Calibration!$C:$C,24),
     OR(C62="E",C62="F",C62="H",C62="I"),XLOOKUP("timeout_jcc_fast",Calibration!$B:$B,Calibration!$C:$C,10),
     OR(C62="G",C62="J"),XLOOKUP("timeout_duochrome_fast",Calibration!$B:$B,Calibration!$C:$C,8),
     C62="K",XLOOKUP("timeout_bino_fast",Calibration!$B:$B,Calibration!$C:$C,10),
     OR(C62="P",C62="Q",C62="R"),XLOOKUP("timeout_near_fast",Calibration!$B:$B,Calibration!$C:$C,16),
     TRUE,XLOOKUP("timeout_coarse_fast",Calibration!$B:$B,Calibration!$C:$C,24)
   ),
 AK62="Normal",
   IFS(
     OR(C62="B",C62="D"),XLOOKUP("timeout_coarse_normal",Calibration!$B:$B,Calibration!$C:$C,36),
     OR(C62="E",C62="F",C62="H",C62="I"),XLOOKUP("timeout_jcc_normal",Calibration!$B:$B,Calibration!$C:$C,14),
     OR(C62="G",C62="J"),XLOOKUP("timeout_duochrome_normal",Calibration!$B:$B,Calibration!$C:$C,10),
     C62="K",XLOOKUP("timeout_bino_normal",Calibration!$B:$B,Calibration!$C:$C,14),
     OR(C62="P",C62="Q",C62="R"),XLOOKUP("timeout_near_normal",Calibration!$B:$B,Calibration!$C:$C,22),
     TRUE,XLOOKUP("timeout_coarse_normal",Calibration!$B:$B,Calibration!$C:$C,36)
   ),
 TRUE,
   IFS(
     OR(C62="B",C62="D"),XLOOKUP("timeout_coarse_slow",Calibration!$B:$B,Calibration!$C:$C,48),
     OR(C62="E",C62="F",C62="H",C62="I"),XLOOKUP("timeout_jcc_slow",Calibration!$B:$B,Calibration!$C:$C,18),
     OR(C62="G",C62="J"),XLOOKUP("timeout_duochrome_slow",Calibration!$B:$B,Calibration!$C:$C,12),
     C62="K",XLOOKUP("timeout_bino_slow",Calibration!$B:$B,Calibration!$C:$C,18),
     OR(C62="P",C62="Q",C62="R"),XLOOKUP("timeout_near_slow",Calibration!$B:$B,Calibration!$C:$C,28),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AJ62=TRUE,"ESCALATE",
C62="A",
IF(OR(I62="NOT_READABLE",I62="BLURRY",AND(R62="20_20_20",I62="READABLE")),"B","A"),
C62="B",
IF(reEsc,"ESCALATE",IF(AY62&gt;=phaseMax,"ESCALATE",IF(AND(AV62&gt;=AW62,I62="READABLE"),"E","B"))),
C62="E",
IF(AY62&gt;=phaseMax,"ESCALATE",IF(OR(I62="SAME",I62="CANT_TELL",AD62&lt;axisTol),"F","E")),
C62="F",
IF(AY62&gt;=phaseMax,"ESCALATE",IF(AX62&gt;=powerSameN,"G","F")),
C62="G",
IF(AY62&gt;=phaseMax,"ESCALATE",IF(OR(AX62&gt;=duoEqualN,BB62&gt;=duoMax),"D","G")),
C62="D",
IF(leEsc,"ESCALATE",IF(AY62&gt;=phaseMax,"ESCALATE",IF(AND(AV62&gt;=AW62,I62="READABLE"),"H","D"))),
C62="H",
IF(AY62&gt;=phaseMax,"ESCALATE",IF(OR(I62="SAME",I62="CANT_TELL",AD62&lt;axisTol),"I","H")),
C62="I",
IF(AY62&gt;=phaseMax,"ESCALATE",IF(AX62&gt;=powerSameN,"J","I")),
C62="J",
IF(AY62&gt;=phaseMax,"ESCALATE",IF(OR(AX62&gt;=duoEqualN,BB62&gt;=duoMax),"K","J")),
C62="K",
IF(AY62&gt;=phaseMax,"ESCALATE",IF(AX62&gt;=binoSameN,IF(XLOOKUP($B62,Derived_Variables!$A:$A,Derived_Variables!$AJ:$AJ,FALSE)=TRUE,"P","END"),"K")),
C62="P",
IF(AY62&gt;=phaseMax,"ESCALATE",IF(OR(I62="READABLE",I62="SAME"),"Q","P")),
C62="Q",
IF(AY62&gt;=phaseMax,"ESCALATE",IF(OR(I62="READABLE",I62="SAME"),"R","Q")),
C62="R",
IF(AY62&gt;=phaseMax,"ESCALATE",IF(OR(I62=nearTarget,I62="SAME"),"END","R")),
TRUE,"END"
)))</f>
        <v>P</v>
      </c>
      <c r="BD62" s="28" t="b">
        <f t="shared" si="19"/>
        <v>1</v>
      </c>
    </row>
    <row r="63" ht="15.75" customHeight="1">
      <c r="A63" s="28">
        <f t="shared" si="3"/>
        <v>62</v>
      </c>
      <c r="B63" s="28">
        <f t="shared" si="4"/>
        <v>6</v>
      </c>
      <c r="C63" s="28" t="str">
        <f t="shared" si="5"/>
        <v>P</v>
      </c>
      <c r="D63" s="28" t="str">
        <f t="array" ref="D63">IF($I62="","",XLOOKUP(C63,FSM_State_Map!A:A,FSM_State_Map!B:B,""))</f>
        <v>Near ADD RE</v>
      </c>
      <c r="E63" s="28" t="str">
        <f t="array" ref="E63">IF($I62="","",XLOOKUP(C63,FSM_State_Map!A:A,FSM_State_Map!C:C,""))</f>
        <v>NEAR_ADD</v>
      </c>
      <c r="F63" s="28" t="str">
        <f t="array" ref="F63">IF($I62="","",XLOOKUP(E63,Phase_UI_Map!A:A,Phase_UI_Map!B:B,""))</f>
        <v>NEAR_VA</v>
      </c>
      <c r="G63" s="28" t="str">
        <f t="array" ref="G63">IF($I62="","",XLOOKUP(E63,Phase_UI_Map!A:A,Phase_UI_Map!C:C,""))</f>
        <v>NEAR_TEXT</v>
      </c>
      <c r="H63" s="28" t="str">
        <f t="array" ref="H63">IF($I62="","",XLOOKUP(E63,Phase_UI_Map!A:A,Phase_UI_Map!D:D,""))</f>
        <v>NEAR_READABILITY</v>
      </c>
      <c r="I63" s="29" t="s">
        <v>219</v>
      </c>
      <c r="J63" s="28" t="str">
        <f>IFERROR(__xludf.DUMMYFUNCTION("IF($I62="""","""",IFERROR(INDEX(FILTER(Response_Lists!$B:$B,Response_Lists!$A:$A=$H63),1),""""))"),"READABLE")</f>
        <v>READABLE</v>
      </c>
      <c r="K63" s="28" t="str">
        <f>IFERROR(__xludf.DUMMYFUNCTION("IF($I62="""","""",IFERROR(INDEX(FILTER(Response_Lists!$B:$B,Response_Lists!$A:$A=$H63),2),""""))"),"NOT_READABLE")</f>
        <v>NOT_READABLE</v>
      </c>
      <c r="L63" s="28" t="str">
        <f>IFERROR(__xludf.DUMMYFUNCTION("IF($I62="""","""",IFERROR(INDEX(FILTER(Response_Lists!$B:$B,Response_Lists!$A:$A=$H63),3),""""))"),"BLURRY")</f>
        <v>BLURRY</v>
      </c>
      <c r="M63" s="28" t="str">
        <f>IFERROR(__xludf.DUMMYFUNCTION("IF($I62="""","""",IFERROR(INDEX(FILTER(Response_Lists!$B:$B,Response_Lists!$A:$A=$H63),4),""""))"),"SAME")</f>
        <v>SAME</v>
      </c>
      <c r="N63" s="28" t="str">
        <f>IFERROR(__xludf.DUMMYFUNCTION("IF($I62="""","""",IFERROR(INDEX(FILTER(Response_Lists!$B:$B,Response_Lists!$A:$A=$H63),5),""""))"),"CANT_TELL")</f>
        <v>CANT_TELL</v>
      </c>
      <c r="O63" s="28" t="str">
        <f>IFERROR(__xludf.DUMMYFUNCTION("IF($I62="""","""",IFERROR(INDEX(FILTER(Response_Lists!$B:$B,Response_Lists!$A:$A=$H63),6),""""))"),"")</f>
        <v/>
      </c>
      <c r="P63" s="28" t="str">
        <f t="shared" si="6"/>
        <v>Can you read the near target clearly?</v>
      </c>
      <c r="Q63" s="28" t="str">
        <f t="array" ref="Q63">IF($I62="","",XLOOKUP(C63,FSM_State_Map!A:A,FSM_State_Map!D:D,""))</f>
        <v>RE</v>
      </c>
      <c r="R63" s="28" t="str">
        <f t="shared" si="7"/>
        <v>20_20_20</v>
      </c>
      <c r="S63" s="28">
        <f t="array" ref="S63">IF($I62="","",
IF(
  AND(C63="B",C62&lt;&gt;"B"),
  XLOOKUP($B63,Derived_Variables!$A:$A,Derived_Variables!$K:$K,0)
  + XLOOKUP($B63,Derived_Variables!$A:$A,Derived_Variables!$AE:$AE,0),
  S62+AM62
))</f>
        <v>-1</v>
      </c>
      <c r="T63" s="28">
        <f t="shared" ref="T63:U63" si="136">IF($I62="","",T62+AN62)</f>
        <v>-0.25</v>
      </c>
      <c r="U63" s="28">
        <f t="shared" si="136"/>
        <v>2</v>
      </c>
      <c r="V63" s="28">
        <f t="array" ref="V63">IF($I62="","",
IF(
  AND(C63="D",C62&lt;&gt;"D"),
  XLOOKUP($B63,Derived_Variables!$A:$A,Derived_Variables!$N:$N,0)
  + XLOOKUP($B63,Derived_Variables!$A:$A,Derived_Variables!$AE:$AE,0),
  V62+AP62
))</f>
        <v>-1.5</v>
      </c>
      <c r="W63" s="28">
        <f t="shared" ref="W63:X63" si="137">IF($I62="","",W62+AQ62)</f>
        <v>0</v>
      </c>
      <c r="X63" s="28">
        <f t="shared" si="137"/>
        <v>50</v>
      </c>
      <c r="Y63" s="28">
        <f t="array" ref="Y63">IF($I62="","",IF(AND(C63="P",C62&lt;&gt;"P"),IFERROR(XLOOKUP($B63,Lenso_Input!$A:$A,Lenso_Input!$E:$E,0),0),Y62+AS62))</f>
        <v>1</v>
      </c>
      <c r="Z63" s="28">
        <f t="array" ref="Z63">IF($I62="","",IF(AND(C63="Q",C62&lt;&gt;"Q"),IFERROR(XLOOKUP($B63,Lenso_Input!$A:$A,Lenso_Input!$I:$I,0),0),Z62+AT62))</f>
        <v>0</v>
      </c>
      <c r="AA63" s="28" t="str">
        <f t="array" ref="AA63">IF($I62="","",IF(XLOOKUP($B63,Derived_Variables!$A:$A,Derived_Variables!$R:$R,"6/6_target")="6/6_target","20_20_20","40_30_25"))</f>
        <v>20_20_20</v>
      </c>
      <c r="AB63" s="28">
        <f t="array" ref="AB63">IF($I62="","",XLOOKUP(LOWER(XLOOKUP($B63,Derived_Variables!$A:$A,Derived_Variables!$T:$T,"Standard"))&amp;"_sph_step",Calibration!$B:$B,Calibration!$C:$C,0.25))</f>
        <v>0.25</v>
      </c>
      <c r="AC63" s="28">
        <f t="array" ref="AC63">IF($I62="","",XLOOKUP(LOWER(XLOOKUP($B63,Derived_Variables!$A:$A,Derived_Variables!$T:$T,"Standard"))&amp;"_cyl_step",Calibration!$B:$B,Calibration!$C:$C,0.25))</f>
        <v>0.25</v>
      </c>
      <c r="AD63" s="28">
        <f t="array" ref="AD63">IF($I62="","",IF(OR(C63="E",C63="H"),LET(startStep,XLOOKUP("axis_start_step",Calibration!$B:$B,Calibration!$C:$C,5),step1,XLOOKUP("axis_reversal_step_1",Calibration!$B:$B,Calibration!$C:$C,3),step2,XLOOKUP("axis_reversal_step_2",Calibration!$B:$B,Calibration!$C:$C,1),IF(OR(C62&lt;&gt;C63,AZ63="",AZ63="SAME",AZ63="CANT_TELL",I63="",I63="SAME",I63="CANT_TELL"),startStep,IF(OR(AND(AZ63="BETTER_1",I63="BETTER_2"),AND(AZ63="BETTER_2",I63="BETTER_1")),IF(AD62&gt;step1,step1,step2),AD62))),0))</f>
        <v>0</v>
      </c>
      <c r="AE63" s="28" t="str">
        <f t="array" ref="AE63">IF($I62="","",XLOOKUP($B63,Derived_Variables!$A:$A,Derived_Variables!$AD:$AD,"No_Fog"))</f>
        <v>Strong_Fog</v>
      </c>
      <c r="AF63" s="28">
        <f t="array" ref="AF63">IF($I62="","",XLOOKUP($B63,Derived_Variables!$A:$A,Derived_Variables!$AE:$AE,0))</f>
        <v>1</v>
      </c>
      <c r="AG63" s="28" t="str">
        <f t="array" ref="AG63">IF($I62="","",XLOOKUP($B63,Derived_Variables!$A:$A,Derived_Variables!$AF:$AF,""))</f>
        <v>StepDown_0.25</v>
      </c>
      <c r="AH63" s="28" t="str">
        <f t="array" ref="AH63">IF($I62="","",XLOOKUP($B63,Derived_Variables!$A:$A,Derived_Variables!$AG:$AG,""))</f>
        <v>Low</v>
      </c>
      <c r="AI63" s="28" t="str">
        <f t="array" ref="AI63">IF($I62="","",XLOOKUP($B63,Derived_Variables!$A:$A,Derived_Variables!$AC:$AC,"Medium"))</f>
        <v>Low</v>
      </c>
      <c r="AJ63" s="28" t="b">
        <f t="array" ref="AJ63">IF($I62="","",XLOOKUP($B63,Derived_Variables!$A:$A,Derived_Variables!$Y:$Y,FALSE))</f>
        <v>0</v>
      </c>
      <c r="AK63" s="28" t="str">
        <f t="array" ref="AK63">IF($I62="","",XLOOKUP($B63,Derived_Variables!$A:$A,Derived_Variables!$AA:$AA,"Normal"))</f>
        <v>Slow</v>
      </c>
      <c r="AL63" s="28" t="str">
        <f t="array" ref="AL63">IF($I62="","",XLOOKUP($B63,Derived_Variables!$A:$A,Derived_Variables!$AB:$AB,"Normal"))</f>
        <v>Relaxed</v>
      </c>
      <c r="AM63" s="28">
        <f t="array" ref="AM63">IF($I63="","",IFS(C63="B",IF(OR(I63="NOT_READABLE",I63="BLURRY"),-AB63,0),C63="G",IFS(I63="RED_CLEARER",XLOOKUP("duochrome_red_step",Calibration!$B:$B,Calibration!$C:$C,-0.25),I63="GREEN_CLEARER",XLOOKUP("duochrome_green_step",Calibration!$B:$B,Calibration!$C:$C,0.25),I63="EQUAL",IF(XLOOKUP($B63,Derived_Variables!$A:$A,Derived_Variables!$S:$S,"Neutral")="Undercorrect",XLOOKUP("undercorrect_step",Calibration!$B:$B,Calibration!$C:$C,0.25),IF(XLOOKUP($B63,Derived_Variables!$A:$A,Derived_Variables!$S:$S,"Neutral")="Overcorrect",-XLOOKUP("overcorrect_step",Calibration!$B:$B,Calibration!$C:$C,0.25),0)),TRUE,0),C63="K",IF(I63="TOP_CLEARER",XLOOKUP("bino_balance_step",Calibration!$B:$B,Calibration!$C:$C,0.25),0),TRUE,0))</f>
        <v>0</v>
      </c>
      <c r="AN63" s="28">
        <f t="shared" si="10"/>
        <v>0</v>
      </c>
      <c r="AO63" s="28">
        <f t="shared" si="11"/>
        <v>0</v>
      </c>
      <c r="AP63" s="28">
        <f t="array" ref="AP63">IF($I63="","",IFS(C63="D",IF(OR(I63="NOT_READABLE",I63="BLURRY"),-AB63,0),C63="J",IFS(I63="RED_CLEARER",XLOOKUP("duochrome_red_step",Calibration!$B:$B,Calibration!$C:$C,-0.25),I63="GREEN_CLEARER",XLOOKUP("duochrome_green_step",Calibration!$B:$B,Calibration!$C:$C,0.25),I63="EQUAL",IF(XLOOKUP($B63,Derived_Variables!$A:$A,Derived_Variables!$S:$S,"Neutral")="Undercorrect",XLOOKUP("undercorrect_step",Calibration!$B:$B,Calibration!$C:$C,0.25),IF(XLOOKUP($B63,Derived_Variables!$A:$A,Derived_Variables!$S:$S,"Neutral")="Overcorrect",-XLOOKUP("overcorrect_step",Calibration!$B:$B,Calibration!$C:$C,0.25),0)),TRUE,0),C63="K",IF(I63="BOTTOM_CLEARER",XLOOKUP("bino_balance_step",Calibration!$B:$B,Calibration!$C:$C,0.25),0),TRUE,0))</f>
        <v>0</v>
      </c>
      <c r="AQ63" s="28">
        <f t="shared" si="12"/>
        <v>0</v>
      </c>
      <c r="AR63" s="28">
        <f t="shared" si="13"/>
        <v>0</v>
      </c>
      <c r="AS63" s="28">
        <f t="array" ref="AS63">IF($I63="","",IF(C63="P",IF(OR(I63="NOT_READABLE",I63="BLURRY"),XLOOKUP("near_add_step",Calibration!$B:$B,Calibration!$C:$C,0.25),0),IF(C63="R",IF(I63="NOT_CLEAR",XLOOKUP("near_add_step",Calibration!$B:$B,Calibration!$C:$C,0.25),0),0)))</f>
        <v>0.25</v>
      </c>
      <c r="AT63" s="28">
        <f t="array" ref="AT63">IF($I63="","",IF(C63="Q",IF(OR(I63="NOT_READABLE",I63="BLURRY"),XLOOKUP("near_add_step",Calibration!$B:$B,Calibration!$C:$C,0.25),0),IF(C63="R",IF(I63="NOT_CLEAR",XLOOKUP("near_add_step",Calibration!$B:$B,Calibration!$C:$C,0.25),0),0)))</f>
        <v>0</v>
      </c>
      <c r="AU63" s="28" t="str">
        <f t="array" ref="AU63">IF($I63="","",IF(G63="SNELLEN_FEET",IF(I63="READABLE",IFERROR(XLOOKUP(XLOOKUP(R63,Chart_Scale_Distance!B:B,Chart_Scale_Distance!A:A)+1,Chart_Scale_Distance!A:A,Chart_Scale_Distance!B:B),R63),R63),R63))</f>
        <v>20_20_20</v>
      </c>
      <c r="AV63" s="28">
        <f t="array" ref="AV63">IF($I62="","",IFERROR(XLOOKUP(R63,Chart_Scale_Distance!$B:$B,Chart_Scale_Distance!$A:$A,""),""))</f>
        <v>6</v>
      </c>
      <c r="AW63" s="28">
        <f t="array" ref="AW63">IF($I62="","",IFERROR(XLOOKUP(AA63,Chart_Scale_Distance!$B:$B,Chart_Scale_Distance!$A:$A,""),""))</f>
        <v>6</v>
      </c>
      <c r="AX63" s="28">
        <f t="shared" si="14"/>
        <v>0</v>
      </c>
      <c r="AY63" s="28">
        <f t="shared" si="15"/>
        <v>5</v>
      </c>
      <c r="AZ63" s="28" t="str">
        <f t="shared" si="16"/>
        <v/>
      </c>
      <c r="BA63" s="28">
        <f t="shared" si="17"/>
        <v>0</v>
      </c>
      <c r="BB63" s="28">
        <f t="shared" si="18"/>
        <v>0</v>
      </c>
      <c r="BC63" s="28" t="str">
        <f t="array" ref="BC63">IF($I63="","",LET(
conf,AI63,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duoMax,XLOOKUP($B63,Derived_Variables!$A:$A,Derived_Variables!$AI:$AI,4),
axisTol,XLOOKUP($B63,Derived_Variables!$A:$A,Derived_Variables!$W:$W,1),
maxStart,XLOOKUP($B63,Derived_Variables!$A:$A,Derived_Variables!$U:$U,1.25),
maxAR,XLOOKUP($B63,Derived_Variables!$A:$A,Derived_Variables!$V:$V,3),
anom,XLOOKUP($B63,Derived_Variables!$A:$A,Derived_Variables!$Z:$Z,FALSE),
reStart,XLOOKUP($B63,Derived_Variables!$A:$A,Derived_Variables!$K:$K,0),
leStart,XLOOKUP($B63,Derived_Variables!$A:$A,Derived_Variables!$N:$N,0),
reAR,XLOOKUP($B63,AR_Input!$A:$A,AR_Input!$B:$B,reStart),
leAR,XLOOKUP($B63,AR_Input!$A:$A,AR_Input!$E:$E,leStart),
reEsc,AND(anom,OR(ABS((S63+AM63)-reStart)&gt;maxStart,ABS((S63+AM63)-reAR)&gt;maxAR)),
leEsc,AND(anom,OR(ABS((V63+AP63)-leStart)&gt;maxStart,ABS((V63+AP63)-leAR)&gt;maxAR)),
phaseMax,IFS(
 AK63="Fast",
   IFS(
     OR(C63="B",C63="D"),XLOOKUP("timeout_coarse_fast",Calibration!$B:$B,Calibration!$C:$C,24),
     OR(C63="E",C63="F",C63="H",C63="I"),XLOOKUP("timeout_jcc_fast",Calibration!$B:$B,Calibration!$C:$C,10),
     OR(C63="G",C63="J"),XLOOKUP("timeout_duochrome_fast",Calibration!$B:$B,Calibration!$C:$C,8),
     C63="K",XLOOKUP("timeout_bino_fast",Calibration!$B:$B,Calibration!$C:$C,10),
     OR(C63="P",C63="Q",C63="R"),XLOOKUP("timeout_near_fast",Calibration!$B:$B,Calibration!$C:$C,16),
     TRUE,XLOOKUP("timeout_coarse_fast",Calibration!$B:$B,Calibration!$C:$C,24)
   ),
 AK63="Normal",
   IFS(
     OR(C63="B",C63="D"),XLOOKUP("timeout_coarse_normal",Calibration!$B:$B,Calibration!$C:$C,36),
     OR(C63="E",C63="F",C63="H",C63="I"),XLOOKUP("timeout_jcc_normal",Calibration!$B:$B,Calibration!$C:$C,14),
     OR(C63="G",C63="J"),XLOOKUP("timeout_duochrome_normal",Calibration!$B:$B,Calibration!$C:$C,10),
     C63="K",XLOOKUP("timeout_bino_normal",Calibration!$B:$B,Calibration!$C:$C,14),
     OR(C63="P",C63="Q",C63="R"),XLOOKUP("timeout_near_normal",Calibration!$B:$B,Calibration!$C:$C,22),
     TRUE,XLOOKUP("timeout_coarse_normal",Calibration!$B:$B,Calibration!$C:$C,36)
   ),
 TRUE,
   IFS(
     OR(C63="B",C63="D"),XLOOKUP("timeout_coarse_slow",Calibration!$B:$B,Calibration!$C:$C,48),
     OR(C63="E",C63="F",C63="H",C63="I"),XLOOKUP("timeout_jcc_slow",Calibration!$B:$B,Calibration!$C:$C,18),
     OR(C63="G",C63="J"),XLOOKUP("timeout_duochrome_slow",Calibration!$B:$B,Calibration!$C:$C,12),
     C63="K",XLOOKUP("timeout_bino_slow",Calibration!$B:$B,Calibration!$C:$C,18),
     OR(C63="P",C63="Q",C63="R"),XLOOKUP("timeout_near_slow",Calibration!$B:$B,Calibration!$C:$C,28),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AJ63=TRUE,"ESCALATE",
C63="A",
IF(OR(I63="NOT_READABLE",I63="BLURRY",AND(R63="20_20_20",I63="READABLE")),"B","A"),
C63="B",
IF(reEsc,"ESCALATE",IF(AY63&gt;=phaseMax,"ESCALATE",IF(AND(AV63&gt;=AW63,I63="READABLE"),"E","B"))),
C63="E",
IF(AY63&gt;=phaseMax,"ESCALATE",IF(OR(I63="SAME",I63="CANT_TELL",AD63&lt;axisTol),"F","E")),
C63="F",
IF(AY63&gt;=phaseMax,"ESCALATE",IF(AX63&gt;=powerSameN,"G","F")),
C63="G",
IF(AY63&gt;=phaseMax,"ESCALATE",IF(OR(AX63&gt;=duoEqualN,BB63&gt;=duoMax),"D","G")),
C63="D",
IF(leEsc,"ESCALATE",IF(AY63&gt;=phaseMax,"ESCALATE",IF(AND(AV63&gt;=AW63,I63="READABLE"),"H","D"))),
C63="H",
IF(AY63&gt;=phaseMax,"ESCALATE",IF(OR(I63="SAME",I63="CANT_TELL",AD63&lt;axisTol),"I","H")),
C63="I",
IF(AY63&gt;=phaseMax,"ESCALATE",IF(AX63&gt;=powerSameN,"J","I")),
C63="J",
IF(AY63&gt;=phaseMax,"ESCALATE",IF(OR(AX63&gt;=duoEqualN,BB63&gt;=duoMax),"K","J")),
C63="K",
IF(AY63&gt;=phaseMax,"ESCALATE",IF(AX63&gt;=binoSameN,IF(XLOOKUP($B63,Derived_Variables!$A:$A,Derived_Variables!$AJ:$AJ,FALSE)=TRUE,"P","END"),"K")),
C63="P",
IF(AY63&gt;=phaseMax,"ESCALATE",IF(OR(I63="READABLE",I63="SAME"),"Q","P")),
C63="Q",
IF(AY63&gt;=phaseMax,"ESCALATE",IF(OR(I63="READABLE",I63="SAME"),"R","Q")),
C63="R",
IF(AY63&gt;=phaseMax,"ESCALATE",IF(OR(I63=nearTarget,I63="SAME"),"END","R")),
TRUE,"END"
)))</f>
        <v>P</v>
      </c>
      <c r="BD63" s="28" t="b">
        <f t="shared" si="19"/>
        <v>1</v>
      </c>
    </row>
    <row r="64" ht="15.75" customHeight="1">
      <c r="A64" s="28">
        <f t="shared" si="3"/>
        <v>63</v>
      </c>
      <c r="B64" s="28">
        <f t="shared" si="4"/>
        <v>6</v>
      </c>
      <c r="C64" s="28" t="str">
        <f t="shared" si="5"/>
        <v>P</v>
      </c>
      <c r="D64" s="28" t="str">
        <f t="array" ref="D64">IF($I63="","",XLOOKUP(C64,FSM_State_Map!A:A,FSM_State_Map!B:B,""))</f>
        <v>Near ADD RE</v>
      </c>
      <c r="E64" s="28" t="str">
        <f t="array" ref="E64">IF($I63="","",XLOOKUP(C64,FSM_State_Map!A:A,FSM_State_Map!C:C,""))</f>
        <v>NEAR_ADD</v>
      </c>
      <c r="F64" s="28" t="str">
        <f t="array" ref="F64">IF($I63="","",XLOOKUP(E64,Phase_UI_Map!A:A,Phase_UI_Map!B:B,""))</f>
        <v>NEAR_VA</v>
      </c>
      <c r="G64" s="28" t="str">
        <f t="array" ref="G64">IF($I63="","",XLOOKUP(E64,Phase_UI_Map!A:A,Phase_UI_Map!C:C,""))</f>
        <v>NEAR_TEXT</v>
      </c>
      <c r="H64" s="28" t="str">
        <f t="array" ref="H64">IF($I63="","",XLOOKUP(E64,Phase_UI_Map!A:A,Phase_UI_Map!D:D,""))</f>
        <v>NEAR_READABILITY</v>
      </c>
      <c r="I64" s="29" t="s">
        <v>218</v>
      </c>
      <c r="J64" s="28" t="str">
        <f>IFERROR(__xludf.DUMMYFUNCTION("IF($I63="""","""",IFERROR(INDEX(FILTER(Response_Lists!$B:$B,Response_Lists!$A:$A=$H64),1),""""))"),"READABLE")</f>
        <v>READABLE</v>
      </c>
      <c r="K64" s="28" t="str">
        <f>IFERROR(__xludf.DUMMYFUNCTION("IF($I63="""","""",IFERROR(INDEX(FILTER(Response_Lists!$B:$B,Response_Lists!$A:$A=$H64),2),""""))"),"NOT_READABLE")</f>
        <v>NOT_READABLE</v>
      </c>
      <c r="L64" s="28" t="str">
        <f>IFERROR(__xludf.DUMMYFUNCTION("IF($I63="""","""",IFERROR(INDEX(FILTER(Response_Lists!$B:$B,Response_Lists!$A:$A=$H64),3),""""))"),"BLURRY")</f>
        <v>BLURRY</v>
      </c>
      <c r="M64" s="28" t="str">
        <f>IFERROR(__xludf.DUMMYFUNCTION("IF($I63="""","""",IFERROR(INDEX(FILTER(Response_Lists!$B:$B,Response_Lists!$A:$A=$H64),4),""""))"),"SAME")</f>
        <v>SAME</v>
      </c>
      <c r="N64" s="28" t="str">
        <f>IFERROR(__xludf.DUMMYFUNCTION("IF($I63="""","""",IFERROR(INDEX(FILTER(Response_Lists!$B:$B,Response_Lists!$A:$A=$H64),5),""""))"),"CANT_TELL")</f>
        <v>CANT_TELL</v>
      </c>
      <c r="O64" s="28" t="str">
        <f>IFERROR(__xludf.DUMMYFUNCTION("IF($I63="""","""",IFERROR(INDEX(FILTER(Response_Lists!$B:$B,Response_Lists!$A:$A=$H64),6),""""))"),"")</f>
        <v/>
      </c>
      <c r="P64" s="28" t="str">
        <f t="shared" si="6"/>
        <v>Can you read the near target clearly?</v>
      </c>
      <c r="Q64" s="28" t="str">
        <f t="array" ref="Q64">IF($I63="","",XLOOKUP(C64,FSM_State_Map!A:A,FSM_State_Map!D:D,""))</f>
        <v>RE</v>
      </c>
      <c r="R64" s="28" t="str">
        <f t="shared" si="7"/>
        <v>20_20_20</v>
      </c>
      <c r="S64" s="28">
        <f t="array" ref="S64">IF($I63="","",
IF(
  AND(C64="B",C63&lt;&gt;"B"),
  XLOOKUP($B64,Derived_Variables!$A:$A,Derived_Variables!$K:$K,0)
  + XLOOKUP($B64,Derived_Variables!$A:$A,Derived_Variables!$AE:$AE,0),
  S63+AM63
))</f>
        <v>-1</v>
      </c>
      <c r="T64" s="28">
        <f t="shared" ref="T64:U64" si="138">IF($I63="","",T63+AN63)</f>
        <v>-0.25</v>
      </c>
      <c r="U64" s="28">
        <f t="shared" si="138"/>
        <v>2</v>
      </c>
      <c r="V64" s="28">
        <f t="array" ref="V64">IF($I63="","",
IF(
  AND(C64="D",C63&lt;&gt;"D"),
  XLOOKUP($B64,Derived_Variables!$A:$A,Derived_Variables!$N:$N,0)
  + XLOOKUP($B64,Derived_Variables!$A:$A,Derived_Variables!$AE:$AE,0),
  V63+AP63
))</f>
        <v>-1.5</v>
      </c>
      <c r="W64" s="28">
        <f t="shared" ref="W64:X64" si="139">IF($I63="","",W63+AQ63)</f>
        <v>0</v>
      </c>
      <c r="X64" s="28">
        <f t="shared" si="139"/>
        <v>50</v>
      </c>
      <c r="Y64" s="28">
        <f t="array" ref="Y64">IF($I63="","",IF(AND(C64="P",C63&lt;&gt;"P"),IFERROR(XLOOKUP($B64,Lenso_Input!$A:$A,Lenso_Input!$E:$E,0),0),Y63+AS63))</f>
        <v>1.25</v>
      </c>
      <c r="Z64" s="28">
        <f t="array" ref="Z64">IF($I63="","",IF(AND(C64="Q",C63&lt;&gt;"Q"),IFERROR(XLOOKUP($B64,Lenso_Input!$A:$A,Lenso_Input!$I:$I,0),0),Z63+AT63))</f>
        <v>0</v>
      </c>
      <c r="AA64" s="28" t="str">
        <f t="array" ref="AA64">IF($I63="","",IF(XLOOKUP($B64,Derived_Variables!$A:$A,Derived_Variables!$R:$R,"6/6_target")="6/6_target","20_20_20","40_30_25"))</f>
        <v>20_20_20</v>
      </c>
      <c r="AB64" s="28">
        <f t="array" ref="AB64">IF($I63="","",XLOOKUP(LOWER(XLOOKUP($B64,Derived_Variables!$A:$A,Derived_Variables!$T:$T,"Standard"))&amp;"_sph_step",Calibration!$B:$B,Calibration!$C:$C,0.25))</f>
        <v>0.25</v>
      </c>
      <c r="AC64" s="28">
        <f t="array" ref="AC64">IF($I63="","",XLOOKUP(LOWER(XLOOKUP($B64,Derived_Variables!$A:$A,Derived_Variables!$T:$T,"Standard"))&amp;"_cyl_step",Calibration!$B:$B,Calibration!$C:$C,0.25))</f>
        <v>0.25</v>
      </c>
      <c r="AD64" s="28">
        <f t="array" ref="AD64">IF($I63="","",IF(OR(C64="E",C64="H"),LET(startStep,XLOOKUP("axis_start_step",Calibration!$B:$B,Calibration!$C:$C,5),step1,XLOOKUP("axis_reversal_step_1",Calibration!$B:$B,Calibration!$C:$C,3),step2,XLOOKUP("axis_reversal_step_2",Calibration!$B:$B,Calibration!$C:$C,1),IF(OR(C63&lt;&gt;C64,AZ64="",AZ64="SAME",AZ64="CANT_TELL",I64="",I64="SAME",I64="CANT_TELL"),startStep,IF(OR(AND(AZ64="BETTER_1",I64="BETTER_2"),AND(AZ64="BETTER_2",I64="BETTER_1")),IF(AD63&gt;step1,step1,step2),AD63))),0))</f>
        <v>0</v>
      </c>
      <c r="AE64" s="28" t="str">
        <f t="array" ref="AE64">IF($I63="","",XLOOKUP($B64,Derived_Variables!$A:$A,Derived_Variables!$AD:$AD,"No_Fog"))</f>
        <v>Strong_Fog</v>
      </c>
      <c r="AF64" s="28">
        <f t="array" ref="AF64">IF($I63="","",XLOOKUP($B64,Derived_Variables!$A:$A,Derived_Variables!$AE:$AE,0))</f>
        <v>1</v>
      </c>
      <c r="AG64" s="28" t="str">
        <f t="array" ref="AG64">IF($I63="","",XLOOKUP($B64,Derived_Variables!$A:$A,Derived_Variables!$AF:$AF,""))</f>
        <v>StepDown_0.25</v>
      </c>
      <c r="AH64" s="28" t="str">
        <f t="array" ref="AH64">IF($I63="","",XLOOKUP($B64,Derived_Variables!$A:$A,Derived_Variables!$AG:$AG,""))</f>
        <v>Low</v>
      </c>
      <c r="AI64" s="28" t="str">
        <f t="array" ref="AI64">IF($I63="","",XLOOKUP($B64,Derived_Variables!$A:$A,Derived_Variables!$AC:$AC,"Medium"))</f>
        <v>Low</v>
      </c>
      <c r="AJ64" s="28" t="b">
        <f t="array" ref="AJ64">IF($I63="","",XLOOKUP($B64,Derived_Variables!$A:$A,Derived_Variables!$Y:$Y,FALSE))</f>
        <v>0</v>
      </c>
      <c r="AK64" s="28" t="str">
        <f t="array" ref="AK64">IF($I63="","",XLOOKUP($B64,Derived_Variables!$A:$A,Derived_Variables!$AA:$AA,"Normal"))</f>
        <v>Slow</v>
      </c>
      <c r="AL64" s="28" t="str">
        <f t="array" ref="AL64">IF($I63="","",XLOOKUP($B64,Derived_Variables!$A:$A,Derived_Variables!$AB:$AB,"Normal"))</f>
        <v>Relaxed</v>
      </c>
      <c r="AM64" s="28">
        <f t="array" ref="AM64">IF($I64="","",IFS(C64="B",IF(OR(I64="NOT_READABLE",I64="BLURRY"),-AB64,0),C64="G",IFS(I64="RED_CLEARER",XLOOKUP("duochrome_red_step",Calibration!$B:$B,Calibration!$C:$C,-0.25),I64="GREEN_CLEARER",XLOOKUP("duochrome_green_step",Calibration!$B:$B,Calibration!$C:$C,0.25),I64="EQUAL",IF(XLOOKUP($B64,Derived_Variables!$A:$A,Derived_Variables!$S:$S,"Neutral")="Undercorrect",XLOOKUP("undercorrect_step",Calibration!$B:$B,Calibration!$C:$C,0.25),IF(XLOOKUP($B64,Derived_Variables!$A:$A,Derived_Variables!$S:$S,"Neutral")="Overcorrect",-XLOOKUP("overcorrect_step",Calibration!$B:$B,Calibration!$C:$C,0.25),0)),TRUE,0),C64="K",IF(I64="TOP_CLEARER",XLOOKUP("bino_balance_step",Calibration!$B:$B,Calibration!$C:$C,0.25),0),TRUE,0))</f>
        <v>0</v>
      </c>
      <c r="AN64" s="28">
        <f t="shared" si="10"/>
        <v>0</v>
      </c>
      <c r="AO64" s="28">
        <f t="shared" si="11"/>
        <v>0</v>
      </c>
      <c r="AP64" s="28">
        <f t="array" ref="AP64">IF($I64="","",IFS(C64="D",IF(OR(I64="NOT_READABLE",I64="BLURRY"),-AB64,0),C64="J",IFS(I64="RED_CLEARER",XLOOKUP("duochrome_red_step",Calibration!$B:$B,Calibration!$C:$C,-0.25),I64="GREEN_CLEARER",XLOOKUP("duochrome_green_step",Calibration!$B:$B,Calibration!$C:$C,0.25),I64="EQUAL",IF(XLOOKUP($B64,Derived_Variables!$A:$A,Derived_Variables!$S:$S,"Neutral")="Undercorrect",XLOOKUP("undercorrect_step",Calibration!$B:$B,Calibration!$C:$C,0.25),IF(XLOOKUP($B64,Derived_Variables!$A:$A,Derived_Variables!$S:$S,"Neutral")="Overcorrect",-XLOOKUP("overcorrect_step",Calibration!$B:$B,Calibration!$C:$C,0.25),0)),TRUE,0),C64="K",IF(I64="BOTTOM_CLEARER",XLOOKUP("bino_balance_step",Calibration!$B:$B,Calibration!$C:$C,0.25),0),TRUE,0))</f>
        <v>0</v>
      </c>
      <c r="AQ64" s="28">
        <f t="shared" si="12"/>
        <v>0</v>
      </c>
      <c r="AR64" s="28">
        <f t="shared" si="13"/>
        <v>0</v>
      </c>
      <c r="AS64" s="28">
        <f t="array" ref="AS64">IF($I64="","",IF(C64="P",IF(OR(I64="NOT_READABLE",I64="BLURRY"),XLOOKUP("near_add_step",Calibration!$B:$B,Calibration!$C:$C,0.25),0),IF(C64="R",IF(I64="NOT_CLEAR",XLOOKUP("near_add_step",Calibration!$B:$B,Calibration!$C:$C,0.25),0),0)))</f>
        <v>0</v>
      </c>
      <c r="AT64" s="28">
        <f t="array" ref="AT64">IF($I64="","",IF(C64="Q",IF(OR(I64="NOT_READABLE",I64="BLURRY"),XLOOKUP("near_add_step",Calibration!$B:$B,Calibration!$C:$C,0.25),0),IF(C64="R",IF(I64="NOT_CLEAR",XLOOKUP("near_add_step",Calibration!$B:$B,Calibration!$C:$C,0.25),0),0)))</f>
        <v>0</v>
      </c>
      <c r="AU64" s="28" t="str">
        <f t="array" ref="AU64">IF($I64="","",IF(G64="SNELLEN_FEET",IF(I64="READABLE",IFERROR(XLOOKUP(XLOOKUP(R64,Chart_Scale_Distance!B:B,Chart_Scale_Distance!A:A)+1,Chart_Scale_Distance!A:A,Chart_Scale_Distance!B:B),R64),R64),R64))</f>
        <v>20_20_20</v>
      </c>
      <c r="AV64" s="28">
        <f t="array" ref="AV64">IF($I63="","",IFERROR(XLOOKUP(R64,Chart_Scale_Distance!$B:$B,Chart_Scale_Distance!$A:$A,""),""))</f>
        <v>6</v>
      </c>
      <c r="AW64" s="28">
        <f t="array" ref="AW64">IF($I63="","",IFERROR(XLOOKUP(AA64,Chart_Scale_Distance!$B:$B,Chart_Scale_Distance!$A:$A,""),""))</f>
        <v>6</v>
      </c>
      <c r="AX64" s="28">
        <f t="shared" si="14"/>
        <v>0</v>
      </c>
      <c r="AY64" s="28">
        <f t="shared" si="15"/>
        <v>6</v>
      </c>
      <c r="AZ64" s="28" t="str">
        <f t="shared" si="16"/>
        <v/>
      </c>
      <c r="BA64" s="28">
        <f t="shared" si="17"/>
        <v>0</v>
      </c>
      <c r="BB64" s="28">
        <f t="shared" si="18"/>
        <v>0</v>
      </c>
      <c r="BC64" s="28" t="str">
        <f t="array" ref="BC64">IF($I64="","",LET(
conf,AI64,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duoMax,XLOOKUP($B64,Derived_Variables!$A:$A,Derived_Variables!$AI:$AI,4),
axisTol,XLOOKUP($B64,Derived_Variables!$A:$A,Derived_Variables!$W:$W,1),
maxStart,XLOOKUP($B64,Derived_Variables!$A:$A,Derived_Variables!$U:$U,1.25),
maxAR,XLOOKUP($B64,Derived_Variables!$A:$A,Derived_Variables!$V:$V,3),
anom,XLOOKUP($B64,Derived_Variables!$A:$A,Derived_Variables!$Z:$Z,FALSE),
reStart,XLOOKUP($B64,Derived_Variables!$A:$A,Derived_Variables!$K:$K,0),
leStart,XLOOKUP($B64,Derived_Variables!$A:$A,Derived_Variables!$N:$N,0),
reAR,XLOOKUP($B64,AR_Input!$A:$A,AR_Input!$B:$B,reStart),
leAR,XLOOKUP($B64,AR_Input!$A:$A,AR_Input!$E:$E,leStart),
reEsc,AND(anom,OR(ABS((S64+AM64)-reStart)&gt;maxStart,ABS((S64+AM64)-reAR)&gt;maxAR)),
leEsc,AND(anom,OR(ABS((V64+AP64)-leStart)&gt;maxStart,ABS((V64+AP64)-leAR)&gt;maxAR)),
phaseMax,IFS(
 AK64="Fast",
   IFS(
     OR(C64="B",C64="D"),XLOOKUP("timeout_coarse_fast",Calibration!$B:$B,Calibration!$C:$C,24),
     OR(C64="E",C64="F",C64="H",C64="I"),XLOOKUP("timeout_jcc_fast",Calibration!$B:$B,Calibration!$C:$C,10),
     OR(C64="G",C64="J"),XLOOKUP("timeout_duochrome_fast",Calibration!$B:$B,Calibration!$C:$C,8),
     C64="K",XLOOKUP("timeout_bino_fast",Calibration!$B:$B,Calibration!$C:$C,10),
     OR(C64="P",C64="Q",C64="R"),XLOOKUP("timeout_near_fast",Calibration!$B:$B,Calibration!$C:$C,16),
     TRUE,XLOOKUP("timeout_coarse_fast",Calibration!$B:$B,Calibration!$C:$C,24)
   ),
 AK64="Normal",
   IFS(
     OR(C64="B",C64="D"),XLOOKUP("timeout_coarse_normal",Calibration!$B:$B,Calibration!$C:$C,36),
     OR(C64="E",C64="F",C64="H",C64="I"),XLOOKUP("timeout_jcc_normal",Calibration!$B:$B,Calibration!$C:$C,14),
     OR(C64="G",C64="J"),XLOOKUP("timeout_duochrome_normal",Calibration!$B:$B,Calibration!$C:$C,10),
     C64="K",XLOOKUP("timeout_bino_normal",Calibration!$B:$B,Calibration!$C:$C,14),
     OR(C64="P",C64="Q",C64="R"),XLOOKUP("timeout_near_normal",Calibration!$B:$B,Calibration!$C:$C,22),
     TRUE,XLOOKUP("timeout_coarse_normal",Calibration!$B:$B,Calibration!$C:$C,36)
   ),
 TRUE,
   IFS(
     OR(C64="B",C64="D"),XLOOKUP("timeout_coarse_slow",Calibration!$B:$B,Calibration!$C:$C,48),
     OR(C64="E",C64="F",C64="H",C64="I"),XLOOKUP("timeout_jcc_slow",Calibration!$B:$B,Calibration!$C:$C,18),
     OR(C64="G",C64="J"),XLOOKUP("timeout_duochrome_slow",Calibration!$B:$B,Calibration!$C:$C,12),
     C64="K",XLOOKUP("timeout_bino_slow",Calibration!$B:$B,Calibration!$C:$C,18),
     OR(C64="P",C64="Q",C64="R"),XLOOKUP("timeout_near_slow",Calibration!$B:$B,Calibration!$C:$C,28),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AJ64=TRUE,"ESCALATE",
C64="A",
IF(OR(I64="NOT_READABLE",I64="BLURRY",AND(R64="20_20_20",I64="READABLE")),"B","A"),
C64="B",
IF(reEsc,"ESCALATE",IF(AY64&gt;=phaseMax,"ESCALATE",IF(AND(AV64&gt;=AW64,I64="READABLE"),"E","B"))),
C64="E",
IF(AY64&gt;=phaseMax,"ESCALATE",IF(OR(I64="SAME",I64="CANT_TELL",AD64&lt;axisTol),"F","E")),
C64="F",
IF(AY64&gt;=phaseMax,"ESCALATE",IF(AX64&gt;=powerSameN,"G","F")),
C64="G",
IF(AY64&gt;=phaseMax,"ESCALATE",IF(OR(AX64&gt;=duoEqualN,BB64&gt;=duoMax),"D","G")),
C64="D",
IF(leEsc,"ESCALATE",IF(AY64&gt;=phaseMax,"ESCALATE",IF(AND(AV64&gt;=AW64,I64="READABLE"),"H","D"))),
C64="H",
IF(AY64&gt;=phaseMax,"ESCALATE",IF(OR(I64="SAME",I64="CANT_TELL",AD64&lt;axisTol),"I","H")),
C64="I",
IF(AY64&gt;=phaseMax,"ESCALATE",IF(AX64&gt;=powerSameN,"J","I")),
C64="J",
IF(AY64&gt;=phaseMax,"ESCALATE",IF(OR(AX64&gt;=duoEqualN,BB64&gt;=duoMax),"K","J")),
C64="K",
IF(AY64&gt;=phaseMax,"ESCALATE",IF(AX64&gt;=binoSameN,IF(XLOOKUP($B64,Derived_Variables!$A:$A,Derived_Variables!$AJ:$AJ,FALSE)=TRUE,"P","END"),"K")),
C64="P",
IF(AY64&gt;=phaseMax,"ESCALATE",IF(OR(I64="READABLE",I64="SAME"),"Q","P")),
C64="Q",
IF(AY64&gt;=phaseMax,"ESCALATE",IF(OR(I64="READABLE",I64="SAME"),"R","Q")),
C64="R",
IF(AY64&gt;=phaseMax,"ESCALATE",IF(OR(I64=nearTarget,I64="SAME"),"END","R")),
TRUE,"END"
)))</f>
        <v>Q</v>
      </c>
      <c r="BD64" s="28" t="b">
        <f t="shared" si="19"/>
        <v>1</v>
      </c>
    </row>
    <row r="65" ht="15.75" customHeight="1">
      <c r="A65" s="28">
        <f t="shared" si="3"/>
        <v>64</v>
      </c>
      <c r="B65" s="28">
        <f t="shared" si="4"/>
        <v>6</v>
      </c>
      <c r="C65" s="28" t="str">
        <f t="shared" si="5"/>
        <v>Q</v>
      </c>
      <c r="D65" s="28" t="str">
        <f t="array" ref="D65">IF($I64="","",XLOOKUP(C65,FSM_State_Map!A:A,FSM_State_Map!B:B,""))</f>
        <v>Near ADD LE</v>
      </c>
      <c r="E65" s="28" t="str">
        <f t="array" ref="E65">IF($I64="","",XLOOKUP(C65,FSM_State_Map!A:A,FSM_State_Map!C:C,""))</f>
        <v>NEAR_ADD</v>
      </c>
      <c r="F65" s="28" t="str">
        <f t="array" ref="F65">IF($I64="","",XLOOKUP(E65,Phase_UI_Map!A:A,Phase_UI_Map!B:B,""))</f>
        <v>NEAR_VA</v>
      </c>
      <c r="G65" s="28" t="str">
        <f t="array" ref="G65">IF($I64="","",XLOOKUP(E65,Phase_UI_Map!A:A,Phase_UI_Map!C:C,""))</f>
        <v>NEAR_TEXT</v>
      </c>
      <c r="H65" s="28" t="str">
        <f t="array" ref="H65">IF($I64="","",XLOOKUP(E65,Phase_UI_Map!A:A,Phase_UI_Map!D:D,""))</f>
        <v>NEAR_READABILITY</v>
      </c>
      <c r="I65" s="29" t="s">
        <v>219</v>
      </c>
      <c r="J65" s="28" t="str">
        <f>IFERROR(__xludf.DUMMYFUNCTION("IF($I64="""","""",IFERROR(INDEX(FILTER(Response_Lists!$B:$B,Response_Lists!$A:$A=$H65),1),""""))"),"READABLE")</f>
        <v>READABLE</v>
      </c>
      <c r="K65" s="28" t="str">
        <f>IFERROR(__xludf.DUMMYFUNCTION("IF($I64="""","""",IFERROR(INDEX(FILTER(Response_Lists!$B:$B,Response_Lists!$A:$A=$H65),2),""""))"),"NOT_READABLE")</f>
        <v>NOT_READABLE</v>
      </c>
      <c r="L65" s="28" t="str">
        <f>IFERROR(__xludf.DUMMYFUNCTION("IF($I64="""","""",IFERROR(INDEX(FILTER(Response_Lists!$B:$B,Response_Lists!$A:$A=$H65),3),""""))"),"BLURRY")</f>
        <v>BLURRY</v>
      </c>
      <c r="M65" s="28" t="str">
        <f>IFERROR(__xludf.DUMMYFUNCTION("IF($I64="""","""",IFERROR(INDEX(FILTER(Response_Lists!$B:$B,Response_Lists!$A:$A=$H65),4),""""))"),"SAME")</f>
        <v>SAME</v>
      </c>
      <c r="N65" s="28" t="str">
        <f>IFERROR(__xludf.DUMMYFUNCTION("IF($I64="""","""",IFERROR(INDEX(FILTER(Response_Lists!$B:$B,Response_Lists!$A:$A=$H65),5),""""))"),"CANT_TELL")</f>
        <v>CANT_TELL</v>
      </c>
      <c r="O65" s="28" t="str">
        <f>IFERROR(__xludf.DUMMYFUNCTION("IF($I64="""","""",IFERROR(INDEX(FILTER(Response_Lists!$B:$B,Response_Lists!$A:$A=$H65),6),""""))"),"")</f>
        <v/>
      </c>
      <c r="P65" s="28" t="str">
        <f t="shared" si="6"/>
        <v>Can you read the near target clearly?</v>
      </c>
      <c r="Q65" s="28" t="str">
        <f t="array" ref="Q65">IF($I64="","",XLOOKUP(C65,FSM_State_Map!A:A,FSM_State_Map!D:D,""))</f>
        <v>LE</v>
      </c>
      <c r="R65" s="28" t="str">
        <f t="shared" si="7"/>
        <v>20_20_20</v>
      </c>
      <c r="S65" s="28">
        <f t="array" ref="S65">IF($I64="","",
IF(
  AND(C65="B",C64&lt;&gt;"B"),
  XLOOKUP($B65,Derived_Variables!$A:$A,Derived_Variables!$K:$K,0)
  + XLOOKUP($B65,Derived_Variables!$A:$A,Derived_Variables!$AE:$AE,0),
  S64+AM64
))</f>
        <v>-1</v>
      </c>
      <c r="T65" s="28">
        <f t="shared" ref="T65:U65" si="140">IF($I64="","",T64+AN64)</f>
        <v>-0.25</v>
      </c>
      <c r="U65" s="28">
        <f t="shared" si="140"/>
        <v>2</v>
      </c>
      <c r="V65" s="28">
        <f t="array" ref="V65">IF($I64="","",
IF(
  AND(C65="D",C64&lt;&gt;"D"),
  XLOOKUP($B65,Derived_Variables!$A:$A,Derived_Variables!$N:$N,0)
  + XLOOKUP($B65,Derived_Variables!$A:$A,Derived_Variables!$AE:$AE,0),
  V64+AP64
))</f>
        <v>-1.5</v>
      </c>
      <c r="W65" s="28">
        <f t="shared" ref="W65:X65" si="141">IF($I64="","",W64+AQ64)</f>
        <v>0</v>
      </c>
      <c r="X65" s="28">
        <f t="shared" si="141"/>
        <v>50</v>
      </c>
      <c r="Y65" s="28">
        <f t="array" ref="Y65">IF($I64="","",IF(AND(C65="P",C64&lt;&gt;"P"),IFERROR(XLOOKUP($B65,Lenso_Input!$A:$A,Lenso_Input!$E:$E,0),0),Y64+AS64))</f>
        <v>1.25</v>
      </c>
      <c r="Z65" s="28">
        <f t="array" ref="Z65">IF($I64="","",IF(AND(C65="Q",C64&lt;&gt;"Q"),IFERROR(XLOOKUP($B65,Lenso_Input!$A:$A,Lenso_Input!$I:$I,0),0),Z64+AT64))</f>
        <v>0</v>
      </c>
      <c r="AA65" s="28" t="str">
        <f t="array" ref="AA65">IF($I64="","",IF(XLOOKUP($B65,Derived_Variables!$A:$A,Derived_Variables!$R:$R,"6/6_target")="6/6_target","20_20_20","40_30_25"))</f>
        <v>20_20_20</v>
      </c>
      <c r="AB65" s="28">
        <f t="array" ref="AB65">IF($I64="","",XLOOKUP(LOWER(XLOOKUP($B65,Derived_Variables!$A:$A,Derived_Variables!$T:$T,"Standard"))&amp;"_sph_step",Calibration!$B:$B,Calibration!$C:$C,0.25))</f>
        <v>0.25</v>
      </c>
      <c r="AC65" s="28">
        <f t="array" ref="AC65">IF($I64="","",XLOOKUP(LOWER(XLOOKUP($B65,Derived_Variables!$A:$A,Derived_Variables!$T:$T,"Standard"))&amp;"_cyl_step",Calibration!$B:$B,Calibration!$C:$C,0.25))</f>
        <v>0.25</v>
      </c>
      <c r="AD65" s="28">
        <f t="array" ref="AD65">IF($I64="","",IF(OR(C65="E",C65="H"),LET(startStep,XLOOKUP("axis_start_step",Calibration!$B:$B,Calibration!$C:$C,5),step1,XLOOKUP("axis_reversal_step_1",Calibration!$B:$B,Calibration!$C:$C,3),step2,XLOOKUP("axis_reversal_step_2",Calibration!$B:$B,Calibration!$C:$C,1),IF(OR(C64&lt;&gt;C65,AZ65="",AZ65="SAME",AZ65="CANT_TELL",I65="",I65="SAME",I65="CANT_TELL"),startStep,IF(OR(AND(AZ65="BETTER_1",I65="BETTER_2"),AND(AZ65="BETTER_2",I65="BETTER_1")),IF(AD64&gt;step1,step1,step2),AD64))),0))</f>
        <v>0</v>
      </c>
      <c r="AE65" s="28" t="str">
        <f t="array" ref="AE65">IF($I64="","",XLOOKUP($B65,Derived_Variables!$A:$A,Derived_Variables!$AD:$AD,"No_Fog"))</f>
        <v>Strong_Fog</v>
      </c>
      <c r="AF65" s="28">
        <f t="array" ref="AF65">IF($I64="","",XLOOKUP($B65,Derived_Variables!$A:$A,Derived_Variables!$AE:$AE,0))</f>
        <v>1</v>
      </c>
      <c r="AG65" s="28" t="str">
        <f t="array" ref="AG65">IF($I64="","",XLOOKUP($B65,Derived_Variables!$A:$A,Derived_Variables!$AF:$AF,""))</f>
        <v>StepDown_0.25</v>
      </c>
      <c r="AH65" s="28" t="str">
        <f t="array" ref="AH65">IF($I64="","",XLOOKUP($B65,Derived_Variables!$A:$A,Derived_Variables!$AG:$AG,""))</f>
        <v>Low</v>
      </c>
      <c r="AI65" s="28" t="str">
        <f t="array" ref="AI65">IF($I64="","",XLOOKUP($B65,Derived_Variables!$A:$A,Derived_Variables!$AC:$AC,"Medium"))</f>
        <v>Low</v>
      </c>
      <c r="AJ65" s="28" t="b">
        <f t="array" ref="AJ65">IF($I64="","",XLOOKUP($B65,Derived_Variables!$A:$A,Derived_Variables!$Y:$Y,FALSE))</f>
        <v>0</v>
      </c>
      <c r="AK65" s="28" t="str">
        <f t="array" ref="AK65">IF($I64="","",XLOOKUP($B65,Derived_Variables!$A:$A,Derived_Variables!$AA:$AA,"Normal"))</f>
        <v>Slow</v>
      </c>
      <c r="AL65" s="28" t="str">
        <f t="array" ref="AL65">IF($I64="","",XLOOKUP($B65,Derived_Variables!$A:$A,Derived_Variables!$AB:$AB,"Normal"))</f>
        <v>Relaxed</v>
      </c>
      <c r="AM65" s="28">
        <f t="array" ref="AM65">IF($I65="","",IFS(C65="B",IF(OR(I65="NOT_READABLE",I65="BLURRY"),-AB65,0),C65="G",IFS(I65="RED_CLEARER",XLOOKUP("duochrome_red_step",Calibration!$B:$B,Calibration!$C:$C,-0.25),I65="GREEN_CLEARER",XLOOKUP("duochrome_green_step",Calibration!$B:$B,Calibration!$C:$C,0.25),I65="EQUAL",IF(XLOOKUP($B65,Derived_Variables!$A:$A,Derived_Variables!$S:$S,"Neutral")="Undercorrect",XLOOKUP("undercorrect_step",Calibration!$B:$B,Calibration!$C:$C,0.25),IF(XLOOKUP($B65,Derived_Variables!$A:$A,Derived_Variables!$S:$S,"Neutral")="Overcorrect",-XLOOKUP("overcorrect_step",Calibration!$B:$B,Calibration!$C:$C,0.25),0)),TRUE,0),C65="K",IF(I65="TOP_CLEARER",XLOOKUP("bino_balance_step",Calibration!$B:$B,Calibration!$C:$C,0.25),0),TRUE,0))</f>
        <v>0</v>
      </c>
      <c r="AN65" s="28">
        <f t="shared" si="10"/>
        <v>0</v>
      </c>
      <c r="AO65" s="28">
        <f t="shared" si="11"/>
        <v>0</v>
      </c>
      <c r="AP65" s="28">
        <f t="array" ref="AP65">IF($I65="","",IFS(C65="D",IF(OR(I65="NOT_READABLE",I65="BLURRY"),-AB65,0),C65="J",IFS(I65="RED_CLEARER",XLOOKUP("duochrome_red_step",Calibration!$B:$B,Calibration!$C:$C,-0.25),I65="GREEN_CLEARER",XLOOKUP("duochrome_green_step",Calibration!$B:$B,Calibration!$C:$C,0.25),I65="EQUAL",IF(XLOOKUP($B65,Derived_Variables!$A:$A,Derived_Variables!$S:$S,"Neutral")="Undercorrect",XLOOKUP("undercorrect_step",Calibration!$B:$B,Calibration!$C:$C,0.25),IF(XLOOKUP($B65,Derived_Variables!$A:$A,Derived_Variables!$S:$S,"Neutral")="Overcorrect",-XLOOKUP("overcorrect_step",Calibration!$B:$B,Calibration!$C:$C,0.25),0)),TRUE,0),C65="K",IF(I65="BOTTOM_CLEARER",XLOOKUP("bino_balance_step",Calibration!$B:$B,Calibration!$C:$C,0.25),0),TRUE,0))</f>
        <v>0</v>
      </c>
      <c r="AQ65" s="28">
        <f t="shared" si="12"/>
        <v>0</v>
      </c>
      <c r="AR65" s="28">
        <f t="shared" si="13"/>
        <v>0</v>
      </c>
      <c r="AS65" s="28">
        <f t="array" ref="AS65">IF($I65="","",IF(C65="P",IF(OR(I65="NOT_READABLE",I65="BLURRY"),XLOOKUP("near_add_step",Calibration!$B:$B,Calibration!$C:$C,0.25),0),IF(C65="R",IF(I65="NOT_CLEAR",XLOOKUP("near_add_step",Calibration!$B:$B,Calibration!$C:$C,0.25),0),0)))</f>
        <v>0</v>
      </c>
      <c r="AT65" s="28">
        <f t="array" ref="AT65">IF($I65="","",IF(C65="Q",IF(OR(I65="NOT_READABLE",I65="BLURRY"),XLOOKUP("near_add_step",Calibration!$B:$B,Calibration!$C:$C,0.25),0),IF(C65="R",IF(I65="NOT_CLEAR",XLOOKUP("near_add_step",Calibration!$B:$B,Calibration!$C:$C,0.25),0),0)))</f>
        <v>0.25</v>
      </c>
      <c r="AU65" s="28" t="str">
        <f t="array" ref="AU65">IF($I65="","",IF(G65="SNELLEN_FEET",IF(I65="READABLE",IFERROR(XLOOKUP(XLOOKUP(R65,Chart_Scale_Distance!B:B,Chart_Scale_Distance!A:A)+1,Chart_Scale_Distance!A:A,Chart_Scale_Distance!B:B),R65),R65),R65))</f>
        <v>20_20_20</v>
      </c>
      <c r="AV65" s="28">
        <f t="array" ref="AV65">IF($I64="","",IFERROR(XLOOKUP(R65,Chart_Scale_Distance!$B:$B,Chart_Scale_Distance!$A:$A,""),""))</f>
        <v>6</v>
      </c>
      <c r="AW65" s="28">
        <f t="array" ref="AW65">IF($I64="","",IFERROR(XLOOKUP(AA65,Chart_Scale_Distance!$B:$B,Chart_Scale_Distance!$A:$A,""),""))</f>
        <v>6</v>
      </c>
      <c r="AX65" s="28">
        <f t="shared" si="14"/>
        <v>0</v>
      </c>
      <c r="AY65" s="28">
        <f t="shared" si="15"/>
        <v>1</v>
      </c>
      <c r="AZ65" s="28" t="str">
        <f t="shared" si="16"/>
        <v/>
      </c>
      <c r="BA65" s="28">
        <f t="shared" si="17"/>
        <v>0</v>
      </c>
      <c r="BB65" s="28">
        <f t="shared" si="18"/>
        <v>0</v>
      </c>
      <c r="BC65" s="28" t="str">
        <f t="array" ref="BC65">IF($I65="","",LET(
conf,AI65,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duoMax,XLOOKUP($B65,Derived_Variables!$A:$A,Derived_Variables!$AI:$AI,4),
axisTol,XLOOKUP($B65,Derived_Variables!$A:$A,Derived_Variables!$W:$W,1),
maxStart,XLOOKUP($B65,Derived_Variables!$A:$A,Derived_Variables!$U:$U,1.25),
maxAR,XLOOKUP($B65,Derived_Variables!$A:$A,Derived_Variables!$V:$V,3),
anom,XLOOKUP($B65,Derived_Variables!$A:$A,Derived_Variables!$Z:$Z,FALSE),
reStart,XLOOKUP($B65,Derived_Variables!$A:$A,Derived_Variables!$K:$K,0),
leStart,XLOOKUP($B65,Derived_Variables!$A:$A,Derived_Variables!$N:$N,0),
reAR,XLOOKUP($B65,AR_Input!$A:$A,AR_Input!$B:$B,reStart),
leAR,XLOOKUP($B65,AR_Input!$A:$A,AR_Input!$E:$E,leStart),
reEsc,AND(anom,OR(ABS((S65+AM65)-reStart)&gt;maxStart,ABS((S65+AM65)-reAR)&gt;maxAR)),
leEsc,AND(anom,OR(ABS((V65+AP65)-leStart)&gt;maxStart,ABS((V65+AP65)-leAR)&gt;maxAR)),
phaseMax,IFS(
 AK65="Fast",
   IFS(
     OR(C65="B",C65="D"),XLOOKUP("timeout_coarse_fast",Calibration!$B:$B,Calibration!$C:$C,24),
     OR(C65="E",C65="F",C65="H",C65="I"),XLOOKUP("timeout_jcc_fast",Calibration!$B:$B,Calibration!$C:$C,10),
     OR(C65="G",C65="J"),XLOOKUP("timeout_duochrome_fast",Calibration!$B:$B,Calibration!$C:$C,8),
     C65="K",XLOOKUP("timeout_bino_fast",Calibration!$B:$B,Calibration!$C:$C,10),
     OR(C65="P",C65="Q",C65="R"),XLOOKUP("timeout_near_fast",Calibration!$B:$B,Calibration!$C:$C,16),
     TRUE,XLOOKUP("timeout_coarse_fast",Calibration!$B:$B,Calibration!$C:$C,24)
   ),
 AK65="Normal",
   IFS(
     OR(C65="B",C65="D"),XLOOKUP("timeout_coarse_normal",Calibration!$B:$B,Calibration!$C:$C,36),
     OR(C65="E",C65="F",C65="H",C65="I"),XLOOKUP("timeout_jcc_normal",Calibration!$B:$B,Calibration!$C:$C,14),
     OR(C65="G",C65="J"),XLOOKUP("timeout_duochrome_normal",Calibration!$B:$B,Calibration!$C:$C,10),
     C65="K",XLOOKUP("timeout_bino_normal",Calibration!$B:$B,Calibration!$C:$C,14),
     OR(C65="P",C65="Q",C65="R"),XLOOKUP("timeout_near_normal",Calibration!$B:$B,Calibration!$C:$C,22),
     TRUE,XLOOKUP("timeout_coarse_normal",Calibration!$B:$B,Calibration!$C:$C,36)
   ),
 TRUE,
   IFS(
     OR(C65="B",C65="D"),XLOOKUP("timeout_coarse_slow",Calibration!$B:$B,Calibration!$C:$C,48),
     OR(C65="E",C65="F",C65="H",C65="I"),XLOOKUP("timeout_jcc_slow",Calibration!$B:$B,Calibration!$C:$C,18),
     OR(C65="G",C65="J"),XLOOKUP("timeout_duochrome_slow",Calibration!$B:$B,Calibration!$C:$C,12),
     C65="K",XLOOKUP("timeout_bino_slow",Calibration!$B:$B,Calibration!$C:$C,18),
     OR(C65="P",C65="Q",C65="R"),XLOOKUP("timeout_near_slow",Calibration!$B:$B,Calibration!$C:$C,28),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AJ65=TRUE,"ESCALATE",
C65="A",
IF(OR(I65="NOT_READABLE",I65="BLURRY",AND(R65="20_20_20",I65="READABLE")),"B","A"),
C65="B",
IF(reEsc,"ESCALATE",IF(AY65&gt;=phaseMax,"ESCALATE",IF(AND(AV65&gt;=AW65,I65="READABLE"),"E","B"))),
C65="E",
IF(AY65&gt;=phaseMax,"ESCALATE",IF(OR(I65="SAME",I65="CANT_TELL",AD65&lt;axisTol),"F","E")),
C65="F",
IF(AY65&gt;=phaseMax,"ESCALATE",IF(AX65&gt;=powerSameN,"G","F")),
C65="G",
IF(AY65&gt;=phaseMax,"ESCALATE",IF(OR(AX65&gt;=duoEqualN,BB65&gt;=duoMax),"D","G")),
C65="D",
IF(leEsc,"ESCALATE",IF(AY65&gt;=phaseMax,"ESCALATE",IF(AND(AV65&gt;=AW65,I65="READABLE"),"H","D"))),
C65="H",
IF(AY65&gt;=phaseMax,"ESCALATE",IF(OR(I65="SAME",I65="CANT_TELL",AD65&lt;axisTol),"I","H")),
C65="I",
IF(AY65&gt;=phaseMax,"ESCALATE",IF(AX65&gt;=powerSameN,"J","I")),
C65="J",
IF(AY65&gt;=phaseMax,"ESCALATE",IF(OR(AX65&gt;=duoEqualN,BB65&gt;=duoMax),"K","J")),
C65="K",
IF(AY65&gt;=phaseMax,"ESCALATE",IF(AX65&gt;=binoSameN,IF(XLOOKUP($B65,Derived_Variables!$A:$A,Derived_Variables!$AJ:$AJ,FALSE)=TRUE,"P","END"),"K")),
C65="P",
IF(AY65&gt;=phaseMax,"ESCALATE",IF(OR(I65="READABLE",I65="SAME"),"Q","P")),
C65="Q",
IF(AY65&gt;=phaseMax,"ESCALATE",IF(OR(I65="READABLE",I65="SAME"),"R","Q")),
C65="R",
IF(AY65&gt;=phaseMax,"ESCALATE",IF(OR(I65=nearTarget,I65="SAME"),"END","R")),
TRUE,"END"
)))</f>
        <v>Q</v>
      </c>
      <c r="BD65" s="28" t="b">
        <f t="shared" si="19"/>
        <v>1</v>
      </c>
    </row>
    <row r="66" ht="15.75" customHeight="1">
      <c r="A66" s="28">
        <f t="shared" si="3"/>
        <v>65</v>
      </c>
      <c r="B66" s="28">
        <f t="shared" si="4"/>
        <v>6</v>
      </c>
      <c r="C66" s="28" t="str">
        <f t="shared" si="5"/>
        <v>Q</v>
      </c>
      <c r="D66" s="28" t="str">
        <f t="array" ref="D66">IF($I65="","",XLOOKUP(C66,FSM_State_Map!A:A,FSM_State_Map!B:B,""))</f>
        <v>Near ADD LE</v>
      </c>
      <c r="E66" s="28" t="str">
        <f t="array" ref="E66">IF($I65="","",XLOOKUP(C66,FSM_State_Map!A:A,FSM_State_Map!C:C,""))</f>
        <v>NEAR_ADD</v>
      </c>
      <c r="F66" s="28" t="str">
        <f t="array" ref="F66">IF($I65="","",XLOOKUP(E66,Phase_UI_Map!A:A,Phase_UI_Map!B:B,""))</f>
        <v>NEAR_VA</v>
      </c>
      <c r="G66" s="28" t="str">
        <f t="array" ref="G66">IF($I65="","",XLOOKUP(E66,Phase_UI_Map!A:A,Phase_UI_Map!C:C,""))</f>
        <v>NEAR_TEXT</v>
      </c>
      <c r="H66" s="28" t="str">
        <f t="array" ref="H66">IF($I65="","",XLOOKUP(E66,Phase_UI_Map!A:A,Phase_UI_Map!D:D,""))</f>
        <v>NEAR_READABILITY</v>
      </c>
      <c r="I66" s="29" t="s">
        <v>219</v>
      </c>
      <c r="J66" s="28" t="str">
        <f>IFERROR(__xludf.DUMMYFUNCTION("IF($I65="""","""",IFERROR(INDEX(FILTER(Response_Lists!$B:$B,Response_Lists!$A:$A=$H66),1),""""))"),"READABLE")</f>
        <v>READABLE</v>
      </c>
      <c r="K66" s="28" t="str">
        <f>IFERROR(__xludf.DUMMYFUNCTION("IF($I65="""","""",IFERROR(INDEX(FILTER(Response_Lists!$B:$B,Response_Lists!$A:$A=$H66),2),""""))"),"NOT_READABLE")</f>
        <v>NOT_READABLE</v>
      </c>
      <c r="L66" s="28" t="str">
        <f>IFERROR(__xludf.DUMMYFUNCTION("IF($I65="""","""",IFERROR(INDEX(FILTER(Response_Lists!$B:$B,Response_Lists!$A:$A=$H66),3),""""))"),"BLURRY")</f>
        <v>BLURRY</v>
      </c>
      <c r="M66" s="28" t="str">
        <f>IFERROR(__xludf.DUMMYFUNCTION("IF($I65="""","""",IFERROR(INDEX(FILTER(Response_Lists!$B:$B,Response_Lists!$A:$A=$H66),4),""""))"),"SAME")</f>
        <v>SAME</v>
      </c>
      <c r="N66" s="28" t="str">
        <f>IFERROR(__xludf.DUMMYFUNCTION("IF($I65="""","""",IFERROR(INDEX(FILTER(Response_Lists!$B:$B,Response_Lists!$A:$A=$H66),5),""""))"),"CANT_TELL")</f>
        <v>CANT_TELL</v>
      </c>
      <c r="O66" s="28" t="str">
        <f>IFERROR(__xludf.DUMMYFUNCTION("IF($I65="""","""",IFERROR(INDEX(FILTER(Response_Lists!$B:$B,Response_Lists!$A:$A=$H66),6),""""))"),"")</f>
        <v/>
      </c>
      <c r="P66" s="28" t="str">
        <f t="shared" si="6"/>
        <v>Can you read the near target clearly?</v>
      </c>
      <c r="Q66" s="28" t="str">
        <f t="array" ref="Q66">IF($I65="","",XLOOKUP(C66,FSM_State_Map!A:A,FSM_State_Map!D:D,""))</f>
        <v>LE</v>
      </c>
      <c r="R66" s="28" t="str">
        <f t="shared" si="7"/>
        <v>20_20_20</v>
      </c>
      <c r="S66" s="28">
        <f t="array" ref="S66">IF($I65="","",
IF(
  AND(C66="B",C65&lt;&gt;"B"),
  XLOOKUP($B66,Derived_Variables!$A:$A,Derived_Variables!$K:$K,0)
  + XLOOKUP($B66,Derived_Variables!$A:$A,Derived_Variables!$AE:$AE,0),
  S65+AM65
))</f>
        <v>-1</v>
      </c>
      <c r="T66" s="28">
        <f t="shared" ref="T66:U66" si="142">IF($I65="","",T65+AN65)</f>
        <v>-0.25</v>
      </c>
      <c r="U66" s="28">
        <f t="shared" si="142"/>
        <v>2</v>
      </c>
      <c r="V66" s="28">
        <f t="array" ref="V66">IF($I65="","",
IF(
  AND(C66="D",C65&lt;&gt;"D"),
  XLOOKUP($B66,Derived_Variables!$A:$A,Derived_Variables!$N:$N,0)
  + XLOOKUP($B66,Derived_Variables!$A:$A,Derived_Variables!$AE:$AE,0),
  V65+AP65
))</f>
        <v>-1.5</v>
      </c>
      <c r="W66" s="28">
        <f t="shared" ref="W66:X66" si="143">IF($I65="","",W65+AQ65)</f>
        <v>0</v>
      </c>
      <c r="X66" s="28">
        <f t="shared" si="143"/>
        <v>50</v>
      </c>
      <c r="Y66" s="28">
        <f t="array" ref="Y66">IF($I65="","",IF(AND(C66="P",C65&lt;&gt;"P"),IFERROR(XLOOKUP($B66,Lenso_Input!$A:$A,Lenso_Input!$E:$E,0),0),Y65+AS65))</f>
        <v>1.25</v>
      </c>
      <c r="Z66" s="28">
        <f t="array" ref="Z66">IF($I65="","",IF(AND(C66="Q",C65&lt;&gt;"Q"),IFERROR(XLOOKUP($B66,Lenso_Input!$A:$A,Lenso_Input!$I:$I,0),0),Z65+AT65))</f>
        <v>0.25</v>
      </c>
      <c r="AA66" s="28" t="str">
        <f t="array" ref="AA66">IF($I65="","",IF(XLOOKUP($B66,Derived_Variables!$A:$A,Derived_Variables!$R:$R,"6/6_target")="6/6_target","20_20_20","40_30_25"))</f>
        <v>20_20_20</v>
      </c>
      <c r="AB66" s="28">
        <f t="array" ref="AB66">IF($I65="","",XLOOKUP(LOWER(XLOOKUP($B66,Derived_Variables!$A:$A,Derived_Variables!$T:$T,"Standard"))&amp;"_sph_step",Calibration!$B:$B,Calibration!$C:$C,0.25))</f>
        <v>0.25</v>
      </c>
      <c r="AC66" s="28">
        <f t="array" ref="AC66">IF($I65="","",XLOOKUP(LOWER(XLOOKUP($B66,Derived_Variables!$A:$A,Derived_Variables!$T:$T,"Standard"))&amp;"_cyl_step",Calibration!$B:$B,Calibration!$C:$C,0.25))</f>
        <v>0.25</v>
      </c>
      <c r="AD66" s="28">
        <f t="array" ref="AD66">IF($I65="","",IF(OR(C66="E",C66="H"),LET(startStep,XLOOKUP("axis_start_step",Calibration!$B:$B,Calibration!$C:$C,5),step1,XLOOKUP("axis_reversal_step_1",Calibration!$B:$B,Calibration!$C:$C,3),step2,XLOOKUP("axis_reversal_step_2",Calibration!$B:$B,Calibration!$C:$C,1),IF(OR(C65&lt;&gt;C66,AZ66="",AZ66="SAME",AZ66="CANT_TELL",I66="",I66="SAME",I66="CANT_TELL"),startStep,IF(OR(AND(AZ66="BETTER_1",I66="BETTER_2"),AND(AZ66="BETTER_2",I66="BETTER_1")),IF(AD65&gt;step1,step1,step2),AD65))),0))</f>
        <v>0</v>
      </c>
      <c r="AE66" s="28" t="str">
        <f t="array" ref="AE66">IF($I65="","",XLOOKUP($B66,Derived_Variables!$A:$A,Derived_Variables!$AD:$AD,"No_Fog"))</f>
        <v>Strong_Fog</v>
      </c>
      <c r="AF66" s="28">
        <f t="array" ref="AF66">IF($I65="","",XLOOKUP($B66,Derived_Variables!$A:$A,Derived_Variables!$AE:$AE,0))</f>
        <v>1</v>
      </c>
      <c r="AG66" s="28" t="str">
        <f t="array" ref="AG66">IF($I65="","",XLOOKUP($B66,Derived_Variables!$A:$A,Derived_Variables!$AF:$AF,""))</f>
        <v>StepDown_0.25</v>
      </c>
      <c r="AH66" s="28" t="str">
        <f t="array" ref="AH66">IF($I65="","",XLOOKUP($B66,Derived_Variables!$A:$A,Derived_Variables!$AG:$AG,""))</f>
        <v>Low</v>
      </c>
      <c r="AI66" s="28" t="str">
        <f t="array" ref="AI66">IF($I65="","",XLOOKUP($B66,Derived_Variables!$A:$A,Derived_Variables!$AC:$AC,"Medium"))</f>
        <v>Low</v>
      </c>
      <c r="AJ66" s="28" t="b">
        <f t="array" ref="AJ66">IF($I65="","",XLOOKUP($B66,Derived_Variables!$A:$A,Derived_Variables!$Y:$Y,FALSE))</f>
        <v>0</v>
      </c>
      <c r="AK66" s="28" t="str">
        <f t="array" ref="AK66">IF($I65="","",XLOOKUP($B66,Derived_Variables!$A:$A,Derived_Variables!$AA:$AA,"Normal"))</f>
        <v>Slow</v>
      </c>
      <c r="AL66" s="28" t="str">
        <f t="array" ref="AL66">IF($I65="","",XLOOKUP($B66,Derived_Variables!$A:$A,Derived_Variables!$AB:$AB,"Normal"))</f>
        <v>Relaxed</v>
      </c>
      <c r="AM66" s="28">
        <f t="array" ref="AM66">IF($I66="","",IFS(C66="B",IF(OR(I66="NOT_READABLE",I66="BLURRY"),-AB66,0),C66="G",IFS(I66="RED_CLEARER",XLOOKUP("duochrome_red_step",Calibration!$B:$B,Calibration!$C:$C,-0.25),I66="GREEN_CLEARER",XLOOKUP("duochrome_green_step",Calibration!$B:$B,Calibration!$C:$C,0.25),I66="EQUAL",IF(XLOOKUP($B66,Derived_Variables!$A:$A,Derived_Variables!$S:$S,"Neutral")="Undercorrect",XLOOKUP("undercorrect_step",Calibration!$B:$B,Calibration!$C:$C,0.25),IF(XLOOKUP($B66,Derived_Variables!$A:$A,Derived_Variables!$S:$S,"Neutral")="Overcorrect",-XLOOKUP("overcorrect_step",Calibration!$B:$B,Calibration!$C:$C,0.25),0)),TRUE,0),C66="K",IF(I66="TOP_CLEARER",XLOOKUP("bino_balance_step",Calibration!$B:$B,Calibration!$C:$C,0.25),0),TRUE,0))</f>
        <v>0</v>
      </c>
      <c r="AN66" s="28">
        <f t="shared" si="10"/>
        <v>0</v>
      </c>
      <c r="AO66" s="28">
        <f t="shared" si="11"/>
        <v>0</v>
      </c>
      <c r="AP66" s="28">
        <f t="array" ref="AP66">IF($I66="","",IFS(C66="D",IF(OR(I66="NOT_READABLE",I66="BLURRY"),-AB66,0),C66="J",IFS(I66="RED_CLEARER",XLOOKUP("duochrome_red_step",Calibration!$B:$B,Calibration!$C:$C,-0.25),I66="GREEN_CLEARER",XLOOKUP("duochrome_green_step",Calibration!$B:$B,Calibration!$C:$C,0.25),I66="EQUAL",IF(XLOOKUP($B66,Derived_Variables!$A:$A,Derived_Variables!$S:$S,"Neutral")="Undercorrect",XLOOKUP("undercorrect_step",Calibration!$B:$B,Calibration!$C:$C,0.25),IF(XLOOKUP($B66,Derived_Variables!$A:$A,Derived_Variables!$S:$S,"Neutral")="Overcorrect",-XLOOKUP("overcorrect_step",Calibration!$B:$B,Calibration!$C:$C,0.25),0)),TRUE,0),C66="K",IF(I66="BOTTOM_CLEARER",XLOOKUP("bino_balance_step",Calibration!$B:$B,Calibration!$C:$C,0.25),0),TRUE,0))</f>
        <v>0</v>
      </c>
      <c r="AQ66" s="28">
        <f t="shared" si="12"/>
        <v>0</v>
      </c>
      <c r="AR66" s="28">
        <f t="shared" si="13"/>
        <v>0</v>
      </c>
      <c r="AS66" s="28">
        <f t="array" ref="AS66">IF($I66="","",IF(C66="P",IF(OR(I66="NOT_READABLE",I66="BLURRY"),XLOOKUP("near_add_step",Calibration!$B:$B,Calibration!$C:$C,0.25),0),IF(C66="R",IF(I66="NOT_CLEAR",XLOOKUP("near_add_step",Calibration!$B:$B,Calibration!$C:$C,0.25),0),0)))</f>
        <v>0</v>
      </c>
      <c r="AT66" s="28">
        <f t="array" ref="AT66">IF($I66="","",IF(C66="Q",IF(OR(I66="NOT_READABLE",I66="BLURRY"),XLOOKUP("near_add_step",Calibration!$B:$B,Calibration!$C:$C,0.25),0),IF(C66="R",IF(I66="NOT_CLEAR",XLOOKUP("near_add_step",Calibration!$B:$B,Calibration!$C:$C,0.25),0),0)))</f>
        <v>0.25</v>
      </c>
      <c r="AU66" s="28" t="str">
        <f t="array" ref="AU66">IF($I66="","",IF(G66="SNELLEN_FEET",IF(I66="READABLE",IFERROR(XLOOKUP(XLOOKUP(R66,Chart_Scale_Distance!B:B,Chart_Scale_Distance!A:A)+1,Chart_Scale_Distance!A:A,Chart_Scale_Distance!B:B),R66),R66),R66))</f>
        <v>20_20_20</v>
      </c>
      <c r="AV66" s="28">
        <f t="array" ref="AV66">IF($I65="","",IFERROR(XLOOKUP(R66,Chart_Scale_Distance!$B:$B,Chart_Scale_Distance!$A:$A,""),""))</f>
        <v>6</v>
      </c>
      <c r="AW66" s="28">
        <f t="array" ref="AW66">IF($I65="","",IFERROR(XLOOKUP(AA66,Chart_Scale_Distance!$B:$B,Chart_Scale_Distance!$A:$A,""),""))</f>
        <v>6</v>
      </c>
      <c r="AX66" s="28">
        <f t="shared" si="14"/>
        <v>0</v>
      </c>
      <c r="AY66" s="28">
        <f t="shared" si="15"/>
        <v>2</v>
      </c>
      <c r="AZ66" s="28" t="str">
        <f t="shared" si="16"/>
        <v/>
      </c>
      <c r="BA66" s="28">
        <f t="shared" si="17"/>
        <v>0</v>
      </c>
      <c r="BB66" s="28">
        <f t="shared" si="18"/>
        <v>0</v>
      </c>
      <c r="BC66" s="28" t="str">
        <f t="array" ref="BC66">IF($I66="","",LET(
conf,AI66,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duoMax,XLOOKUP($B66,Derived_Variables!$A:$A,Derived_Variables!$AI:$AI,4),
axisTol,XLOOKUP($B66,Derived_Variables!$A:$A,Derived_Variables!$W:$W,1),
maxStart,XLOOKUP($B66,Derived_Variables!$A:$A,Derived_Variables!$U:$U,1.25),
maxAR,XLOOKUP($B66,Derived_Variables!$A:$A,Derived_Variables!$V:$V,3),
anom,XLOOKUP($B66,Derived_Variables!$A:$A,Derived_Variables!$Z:$Z,FALSE),
reStart,XLOOKUP($B66,Derived_Variables!$A:$A,Derived_Variables!$K:$K,0),
leStart,XLOOKUP($B66,Derived_Variables!$A:$A,Derived_Variables!$N:$N,0),
reAR,XLOOKUP($B66,AR_Input!$A:$A,AR_Input!$B:$B,reStart),
leAR,XLOOKUP($B66,AR_Input!$A:$A,AR_Input!$E:$E,leStart),
reEsc,AND(anom,OR(ABS((S66+AM66)-reStart)&gt;maxStart,ABS((S66+AM66)-reAR)&gt;maxAR)),
leEsc,AND(anom,OR(ABS((V66+AP66)-leStart)&gt;maxStart,ABS((V66+AP66)-leAR)&gt;maxAR)),
phaseMax,IFS(
 AK66="Fast",
   IFS(
     OR(C66="B",C66="D"),XLOOKUP("timeout_coarse_fast",Calibration!$B:$B,Calibration!$C:$C,24),
     OR(C66="E",C66="F",C66="H",C66="I"),XLOOKUP("timeout_jcc_fast",Calibration!$B:$B,Calibration!$C:$C,10),
     OR(C66="G",C66="J"),XLOOKUP("timeout_duochrome_fast",Calibration!$B:$B,Calibration!$C:$C,8),
     C66="K",XLOOKUP("timeout_bino_fast",Calibration!$B:$B,Calibration!$C:$C,10),
     OR(C66="P",C66="Q",C66="R"),XLOOKUP("timeout_near_fast",Calibration!$B:$B,Calibration!$C:$C,16),
     TRUE,XLOOKUP("timeout_coarse_fast",Calibration!$B:$B,Calibration!$C:$C,24)
   ),
 AK66="Normal",
   IFS(
     OR(C66="B",C66="D"),XLOOKUP("timeout_coarse_normal",Calibration!$B:$B,Calibration!$C:$C,36),
     OR(C66="E",C66="F",C66="H",C66="I"),XLOOKUP("timeout_jcc_normal",Calibration!$B:$B,Calibration!$C:$C,14),
     OR(C66="G",C66="J"),XLOOKUP("timeout_duochrome_normal",Calibration!$B:$B,Calibration!$C:$C,10),
     C66="K",XLOOKUP("timeout_bino_normal",Calibration!$B:$B,Calibration!$C:$C,14),
     OR(C66="P",C66="Q",C66="R"),XLOOKUP("timeout_near_normal",Calibration!$B:$B,Calibration!$C:$C,22),
     TRUE,XLOOKUP("timeout_coarse_normal",Calibration!$B:$B,Calibration!$C:$C,36)
   ),
 TRUE,
   IFS(
     OR(C66="B",C66="D"),XLOOKUP("timeout_coarse_slow",Calibration!$B:$B,Calibration!$C:$C,48),
     OR(C66="E",C66="F",C66="H",C66="I"),XLOOKUP("timeout_jcc_slow",Calibration!$B:$B,Calibration!$C:$C,18),
     OR(C66="G",C66="J"),XLOOKUP("timeout_duochrome_slow",Calibration!$B:$B,Calibration!$C:$C,12),
     C66="K",XLOOKUP("timeout_bino_slow",Calibration!$B:$B,Calibration!$C:$C,18),
     OR(C66="P",C66="Q",C66="R"),XLOOKUP("timeout_near_slow",Calibration!$B:$B,Calibration!$C:$C,28),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AJ66=TRUE,"ESCALATE",
C66="A",
IF(OR(I66="NOT_READABLE",I66="BLURRY",AND(R66="20_20_20",I66="READABLE")),"B","A"),
C66="B",
IF(reEsc,"ESCALATE",IF(AY66&gt;=phaseMax,"ESCALATE",IF(AND(AV66&gt;=AW66,I66="READABLE"),"E","B"))),
C66="E",
IF(AY66&gt;=phaseMax,"ESCALATE",IF(OR(I66="SAME",I66="CANT_TELL",AD66&lt;axisTol),"F","E")),
C66="F",
IF(AY66&gt;=phaseMax,"ESCALATE",IF(AX66&gt;=powerSameN,"G","F")),
C66="G",
IF(AY66&gt;=phaseMax,"ESCALATE",IF(OR(AX66&gt;=duoEqualN,BB66&gt;=duoMax),"D","G")),
C66="D",
IF(leEsc,"ESCALATE",IF(AY66&gt;=phaseMax,"ESCALATE",IF(AND(AV66&gt;=AW66,I66="READABLE"),"H","D"))),
C66="H",
IF(AY66&gt;=phaseMax,"ESCALATE",IF(OR(I66="SAME",I66="CANT_TELL",AD66&lt;axisTol),"I","H")),
C66="I",
IF(AY66&gt;=phaseMax,"ESCALATE",IF(AX66&gt;=powerSameN,"J","I")),
C66="J",
IF(AY66&gt;=phaseMax,"ESCALATE",IF(OR(AX66&gt;=duoEqualN,BB66&gt;=duoMax),"K","J")),
C66="K",
IF(AY66&gt;=phaseMax,"ESCALATE",IF(AX66&gt;=binoSameN,IF(XLOOKUP($B66,Derived_Variables!$A:$A,Derived_Variables!$AJ:$AJ,FALSE)=TRUE,"P","END"),"K")),
C66="P",
IF(AY66&gt;=phaseMax,"ESCALATE",IF(OR(I66="READABLE",I66="SAME"),"Q","P")),
C66="Q",
IF(AY66&gt;=phaseMax,"ESCALATE",IF(OR(I66="READABLE",I66="SAME"),"R","Q")),
C66="R",
IF(AY66&gt;=phaseMax,"ESCALATE",IF(OR(I66=nearTarget,I66="SAME"),"END","R")),
TRUE,"END"
)))</f>
        <v>Q</v>
      </c>
      <c r="BD66" s="28" t="b">
        <f t="shared" si="19"/>
        <v>1</v>
      </c>
    </row>
    <row r="67" ht="15.75" customHeight="1">
      <c r="A67" s="28">
        <f t="shared" si="3"/>
        <v>66</v>
      </c>
      <c r="B67" s="28">
        <f t="shared" si="4"/>
        <v>6</v>
      </c>
      <c r="C67" s="28" t="str">
        <f t="shared" si="5"/>
        <v>Q</v>
      </c>
      <c r="D67" s="28" t="str">
        <f t="array" ref="D67">IF($I66="","",XLOOKUP(C67,FSM_State_Map!A:A,FSM_State_Map!B:B,""))</f>
        <v>Near ADD LE</v>
      </c>
      <c r="E67" s="28" t="str">
        <f t="array" ref="E67">IF($I66="","",XLOOKUP(C67,FSM_State_Map!A:A,FSM_State_Map!C:C,""))</f>
        <v>NEAR_ADD</v>
      </c>
      <c r="F67" s="28" t="str">
        <f t="array" ref="F67">IF($I66="","",XLOOKUP(E67,Phase_UI_Map!A:A,Phase_UI_Map!B:B,""))</f>
        <v>NEAR_VA</v>
      </c>
      <c r="G67" s="28" t="str">
        <f t="array" ref="G67">IF($I66="","",XLOOKUP(E67,Phase_UI_Map!A:A,Phase_UI_Map!C:C,""))</f>
        <v>NEAR_TEXT</v>
      </c>
      <c r="H67" s="28" t="str">
        <f t="array" ref="H67">IF($I66="","",XLOOKUP(E67,Phase_UI_Map!A:A,Phase_UI_Map!D:D,""))</f>
        <v>NEAR_READABILITY</v>
      </c>
      <c r="I67" s="29" t="s">
        <v>219</v>
      </c>
      <c r="J67" s="28" t="str">
        <f>IFERROR(__xludf.DUMMYFUNCTION("IF($I66="""","""",IFERROR(INDEX(FILTER(Response_Lists!$B:$B,Response_Lists!$A:$A=$H67),1),""""))"),"READABLE")</f>
        <v>READABLE</v>
      </c>
      <c r="K67" s="28" t="str">
        <f>IFERROR(__xludf.DUMMYFUNCTION("IF($I66="""","""",IFERROR(INDEX(FILTER(Response_Lists!$B:$B,Response_Lists!$A:$A=$H67),2),""""))"),"NOT_READABLE")</f>
        <v>NOT_READABLE</v>
      </c>
      <c r="L67" s="28" t="str">
        <f>IFERROR(__xludf.DUMMYFUNCTION("IF($I66="""","""",IFERROR(INDEX(FILTER(Response_Lists!$B:$B,Response_Lists!$A:$A=$H67),3),""""))"),"BLURRY")</f>
        <v>BLURRY</v>
      </c>
      <c r="M67" s="28" t="str">
        <f>IFERROR(__xludf.DUMMYFUNCTION("IF($I66="""","""",IFERROR(INDEX(FILTER(Response_Lists!$B:$B,Response_Lists!$A:$A=$H67),4),""""))"),"SAME")</f>
        <v>SAME</v>
      </c>
      <c r="N67" s="28" t="str">
        <f>IFERROR(__xludf.DUMMYFUNCTION("IF($I66="""","""",IFERROR(INDEX(FILTER(Response_Lists!$B:$B,Response_Lists!$A:$A=$H67),5),""""))"),"CANT_TELL")</f>
        <v>CANT_TELL</v>
      </c>
      <c r="O67" s="28" t="str">
        <f>IFERROR(__xludf.DUMMYFUNCTION("IF($I66="""","""",IFERROR(INDEX(FILTER(Response_Lists!$B:$B,Response_Lists!$A:$A=$H67),6),""""))"),"")</f>
        <v/>
      </c>
      <c r="P67" s="28" t="str">
        <f t="shared" si="6"/>
        <v>Can you read the near target clearly?</v>
      </c>
      <c r="Q67" s="28" t="str">
        <f t="array" ref="Q67">IF($I66="","",XLOOKUP(C67,FSM_State_Map!A:A,FSM_State_Map!D:D,""))</f>
        <v>LE</v>
      </c>
      <c r="R67" s="28" t="str">
        <f t="shared" si="7"/>
        <v>20_20_20</v>
      </c>
      <c r="S67" s="28">
        <f t="array" ref="S67">IF($I66="","",
IF(
  AND(C67="B",C66&lt;&gt;"B"),
  XLOOKUP($B67,Derived_Variables!$A:$A,Derived_Variables!$K:$K,0)
  + XLOOKUP($B67,Derived_Variables!$A:$A,Derived_Variables!$AE:$AE,0),
  S66+AM66
))</f>
        <v>-1</v>
      </c>
      <c r="T67" s="28">
        <f t="shared" ref="T67:U67" si="144">IF($I66="","",T66+AN66)</f>
        <v>-0.25</v>
      </c>
      <c r="U67" s="28">
        <f t="shared" si="144"/>
        <v>2</v>
      </c>
      <c r="V67" s="28">
        <f t="array" ref="V67">IF($I66="","",
IF(
  AND(C67="D",C66&lt;&gt;"D"),
  XLOOKUP($B67,Derived_Variables!$A:$A,Derived_Variables!$N:$N,0)
  + XLOOKUP($B67,Derived_Variables!$A:$A,Derived_Variables!$AE:$AE,0),
  V66+AP66
))</f>
        <v>-1.5</v>
      </c>
      <c r="W67" s="28">
        <f t="shared" ref="W67:X67" si="145">IF($I66="","",W66+AQ66)</f>
        <v>0</v>
      </c>
      <c r="X67" s="28">
        <f t="shared" si="145"/>
        <v>50</v>
      </c>
      <c r="Y67" s="28">
        <f t="array" ref="Y67">IF($I66="","",IF(AND(C67="P",C66&lt;&gt;"P"),IFERROR(XLOOKUP($B67,Lenso_Input!$A:$A,Lenso_Input!$E:$E,0),0),Y66+AS66))</f>
        <v>1.25</v>
      </c>
      <c r="Z67" s="28">
        <f t="array" ref="Z67">IF($I66="","",IF(AND(C67="Q",C66&lt;&gt;"Q"),IFERROR(XLOOKUP($B67,Lenso_Input!$A:$A,Lenso_Input!$I:$I,0),0),Z66+AT66))</f>
        <v>0.5</v>
      </c>
      <c r="AA67" s="28" t="str">
        <f t="array" ref="AA67">IF($I66="","",IF(XLOOKUP($B67,Derived_Variables!$A:$A,Derived_Variables!$R:$R,"6/6_target")="6/6_target","20_20_20","40_30_25"))</f>
        <v>20_20_20</v>
      </c>
      <c r="AB67" s="28">
        <f t="array" ref="AB67">IF($I66="","",XLOOKUP(LOWER(XLOOKUP($B67,Derived_Variables!$A:$A,Derived_Variables!$T:$T,"Standard"))&amp;"_sph_step",Calibration!$B:$B,Calibration!$C:$C,0.25))</f>
        <v>0.25</v>
      </c>
      <c r="AC67" s="28">
        <f t="array" ref="AC67">IF($I66="","",XLOOKUP(LOWER(XLOOKUP($B67,Derived_Variables!$A:$A,Derived_Variables!$T:$T,"Standard"))&amp;"_cyl_step",Calibration!$B:$B,Calibration!$C:$C,0.25))</f>
        <v>0.25</v>
      </c>
      <c r="AD67" s="28">
        <f t="array" ref="AD67">IF($I66="","",IF(OR(C67="E",C67="H"),LET(startStep,XLOOKUP("axis_start_step",Calibration!$B:$B,Calibration!$C:$C,5),step1,XLOOKUP("axis_reversal_step_1",Calibration!$B:$B,Calibration!$C:$C,3),step2,XLOOKUP("axis_reversal_step_2",Calibration!$B:$B,Calibration!$C:$C,1),IF(OR(C66&lt;&gt;C67,AZ67="",AZ67="SAME",AZ67="CANT_TELL",I67="",I67="SAME",I67="CANT_TELL"),startStep,IF(OR(AND(AZ67="BETTER_1",I67="BETTER_2"),AND(AZ67="BETTER_2",I67="BETTER_1")),IF(AD66&gt;step1,step1,step2),AD66))),0))</f>
        <v>0</v>
      </c>
      <c r="AE67" s="28" t="str">
        <f t="array" ref="AE67">IF($I66="","",XLOOKUP($B67,Derived_Variables!$A:$A,Derived_Variables!$AD:$AD,"No_Fog"))</f>
        <v>Strong_Fog</v>
      </c>
      <c r="AF67" s="28">
        <f t="array" ref="AF67">IF($I66="","",XLOOKUP($B67,Derived_Variables!$A:$A,Derived_Variables!$AE:$AE,0))</f>
        <v>1</v>
      </c>
      <c r="AG67" s="28" t="str">
        <f t="array" ref="AG67">IF($I66="","",XLOOKUP($B67,Derived_Variables!$A:$A,Derived_Variables!$AF:$AF,""))</f>
        <v>StepDown_0.25</v>
      </c>
      <c r="AH67" s="28" t="str">
        <f t="array" ref="AH67">IF($I66="","",XLOOKUP($B67,Derived_Variables!$A:$A,Derived_Variables!$AG:$AG,""))</f>
        <v>Low</v>
      </c>
      <c r="AI67" s="28" t="str">
        <f t="array" ref="AI67">IF($I66="","",XLOOKUP($B67,Derived_Variables!$A:$A,Derived_Variables!$AC:$AC,"Medium"))</f>
        <v>Low</v>
      </c>
      <c r="AJ67" s="28" t="b">
        <f t="array" ref="AJ67">IF($I66="","",XLOOKUP($B67,Derived_Variables!$A:$A,Derived_Variables!$Y:$Y,FALSE))</f>
        <v>0</v>
      </c>
      <c r="AK67" s="28" t="str">
        <f t="array" ref="AK67">IF($I66="","",XLOOKUP($B67,Derived_Variables!$A:$A,Derived_Variables!$AA:$AA,"Normal"))</f>
        <v>Slow</v>
      </c>
      <c r="AL67" s="28" t="str">
        <f t="array" ref="AL67">IF($I66="","",XLOOKUP($B67,Derived_Variables!$A:$A,Derived_Variables!$AB:$AB,"Normal"))</f>
        <v>Relaxed</v>
      </c>
      <c r="AM67" s="28">
        <f t="array" ref="AM67">IF($I67="","",IFS(C67="B",IF(OR(I67="NOT_READABLE",I67="BLURRY"),-AB67,0),C67="G",IFS(I67="RED_CLEARER",XLOOKUP("duochrome_red_step",Calibration!$B:$B,Calibration!$C:$C,-0.25),I67="GREEN_CLEARER",XLOOKUP("duochrome_green_step",Calibration!$B:$B,Calibration!$C:$C,0.25),I67="EQUAL",IF(XLOOKUP($B67,Derived_Variables!$A:$A,Derived_Variables!$S:$S,"Neutral")="Undercorrect",XLOOKUP("undercorrect_step",Calibration!$B:$B,Calibration!$C:$C,0.25),IF(XLOOKUP($B67,Derived_Variables!$A:$A,Derived_Variables!$S:$S,"Neutral")="Overcorrect",-XLOOKUP("overcorrect_step",Calibration!$B:$B,Calibration!$C:$C,0.25),0)),TRUE,0),C67="K",IF(I67="TOP_CLEARER",XLOOKUP("bino_balance_step",Calibration!$B:$B,Calibration!$C:$C,0.25),0),TRUE,0))</f>
        <v>0</v>
      </c>
      <c r="AN67" s="28">
        <f t="shared" si="10"/>
        <v>0</v>
      </c>
      <c r="AO67" s="28">
        <f t="shared" si="11"/>
        <v>0</v>
      </c>
      <c r="AP67" s="28">
        <f t="array" ref="AP67">IF($I67="","",IFS(C67="D",IF(OR(I67="NOT_READABLE",I67="BLURRY"),-AB67,0),C67="J",IFS(I67="RED_CLEARER",XLOOKUP("duochrome_red_step",Calibration!$B:$B,Calibration!$C:$C,-0.25),I67="GREEN_CLEARER",XLOOKUP("duochrome_green_step",Calibration!$B:$B,Calibration!$C:$C,0.25),I67="EQUAL",IF(XLOOKUP($B67,Derived_Variables!$A:$A,Derived_Variables!$S:$S,"Neutral")="Undercorrect",XLOOKUP("undercorrect_step",Calibration!$B:$B,Calibration!$C:$C,0.25),IF(XLOOKUP($B67,Derived_Variables!$A:$A,Derived_Variables!$S:$S,"Neutral")="Overcorrect",-XLOOKUP("overcorrect_step",Calibration!$B:$B,Calibration!$C:$C,0.25),0)),TRUE,0),C67="K",IF(I67="BOTTOM_CLEARER",XLOOKUP("bino_balance_step",Calibration!$B:$B,Calibration!$C:$C,0.25),0),TRUE,0))</f>
        <v>0</v>
      </c>
      <c r="AQ67" s="28">
        <f t="shared" si="12"/>
        <v>0</v>
      </c>
      <c r="AR67" s="28">
        <f t="shared" si="13"/>
        <v>0</v>
      </c>
      <c r="AS67" s="28">
        <f t="array" ref="AS67">IF($I67="","",IF(C67="P",IF(OR(I67="NOT_READABLE",I67="BLURRY"),XLOOKUP("near_add_step",Calibration!$B:$B,Calibration!$C:$C,0.25),0),IF(C67="R",IF(I67="NOT_CLEAR",XLOOKUP("near_add_step",Calibration!$B:$B,Calibration!$C:$C,0.25),0),0)))</f>
        <v>0</v>
      </c>
      <c r="AT67" s="28">
        <f t="array" ref="AT67">IF($I67="","",IF(C67="Q",IF(OR(I67="NOT_READABLE",I67="BLURRY"),XLOOKUP("near_add_step",Calibration!$B:$B,Calibration!$C:$C,0.25),0),IF(C67="R",IF(I67="NOT_CLEAR",XLOOKUP("near_add_step",Calibration!$B:$B,Calibration!$C:$C,0.25),0),0)))</f>
        <v>0.25</v>
      </c>
      <c r="AU67" s="28" t="str">
        <f t="array" ref="AU67">IF($I67="","",IF(G67="SNELLEN_FEET",IF(I67="READABLE",IFERROR(XLOOKUP(XLOOKUP(R67,Chart_Scale_Distance!B:B,Chart_Scale_Distance!A:A)+1,Chart_Scale_Distance!A:A,Chart_Scale_Distance!B:B),R67),R67),R67))</f>
        <v>20_20_20</v>
      </c>
      <c r="AV67" s="28">
        <f t="array" ref="AV67">IF($I66="","",IFERROR(XLOOKUP(R67,Chart_Scale_Distance!$B:$B,Chart_Scale_Distance!$A:$A,""),""))</f>
        <v>6</v>
      </c>
      <c r="AW67" s="28">
        <f t="array" ref="AW67">IF($I66="","",IFERROR(XLOOKUP(AA67,Chart_Scale_Distance!$B:$B,Chart_Scale_Distance!$A:$A,""),""))</f>
        <v>6</v>
      </c>
      <c r="AX67" s="28">
        <f t="shared" si="14"/>
        <v>0</v>
      </c>
      <c r="AY67" s="28">
        <f t="shared" si="15"/>
        <v>3</v>
      </c>
      <c r="AZ67" s="28" t="str">
        <f t="shared" si="16"/>
        <v/>
      </c>
      <c r="BA67" s="28">
        <f t="shared" si="17"/>
        <v>0</v>
      </c>
      <c r="BB67" s="28">
        <f t="shared" si="18"/>
        <v>0</v>
      </c>
      <c r="BC67" s="28" t="str">
        <f t="array" ref="BC67">IF($I67="","",LET(
conf,AI67,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duoMax,XLOOKUP($B67,Derived_Variables!$A:$A,Derived_Variables!$AI:$AI,4),
axisTol,XLOOKUP($B67,Derived_Variables!$A:$A,Derived_Variables!$W:$W,1),
maxStart,XLOOKUP($B67,Derived_Variables!$A:$A,Derived_Variables!$U:$U,1.25),
maxAR,XLOOKUP($B67,Derived_Variables!$A:$A,Derived_Variables!$V:$V,3),
anom,XLOOKUP($B67,Derived_Variables!$A:$A,Derived_Variables!$Z:$Z,FALSE),
reStart,XLOOKUP($B67,Derived_Variables!$A:$A,Derived_Variables!$K:$K,0),
leStart,XLOOKUP($B67,Derived_Variables!$A:$A,Derived_Variables!$N:$N,0),
reAR,XLOOKUP($B67,AR_Input!$A:$A,AR_Input!$B:$B,reStart),
leAR,XLOOKUP($B67,AR_Input!$A:$A,AR_Input!$E:$E,leStart),
reEsc,AND(anom,OR(ABS((S67+AM67)-reStart)&gt;maxStart,ABS((S67+AM67)-reAR)&gt;maxAR)),
leEsc,AND(anom,OR(ABS((V67+AP67)-leStart)&gt;maxStart,ABS((V67+AP67)-leAR)&gt;maxAR)),
phaseMax,IFS(
 AK67="Fast",
   IFS(
     OR(C67="B",C67="D"),XLOOKUP("timeout_coarse_fast",Calibration!$B:$B,Calibration!$C:$C,24),
     OR(C67="E",C67="F",C67="H",C67="I"),XLOOKUP("timeout_jcc_fast",Calibration!$B:$B,Calibration!$C:$C,10),
     OR(C67="G",C67="J"),XLOOKUP("timeout_duochrome_fast",Calibration!$B:$B,Calibration!$C:$C,8),
     C67="K",XLOOKUP("timeout_bino_fast",Calibration!$B:$B,Calibration!$C:$C,10),
     OR(C67="P",C67="Q",C67="R"),XLOOKUP("timeout_near_fast",Calibration!$B:$B,Calibration!$C:$C,16),
     TRUE,XLOOKUP("timeout_coarse_fast",Calibration!$B:$B,Calibration!$C:$C,24)
   ),
 AK67="Normal",
   IFS(
     OR(C67="B",C67="D"),XLOOKUP("timeout_coarse_normal",Calibration!$B:$B,Calibration!$C:$C,36),
     OR(C67="E",C67="F",C67="H",C67="I"),XLOOKUP("timeout_jcc_normal",Calibration!$B:$B,Calibration!$C:$C,14),
     OR(C67="G",C67="J"),XLOOKUP("timeout_duochrome_normal",Calibration!$B:$B,Calibration!$C:$C,10),
     C67="K",XLOOKUP("timeout_bino_normal",Calibration!$B:$B,Calibration!$C:$C,14),
     OR(C67="P",C67="Q",C67="R"),XLOOKUP("timeout_near_normal",Calibration!$B:$B,Calibration!$C:$C,22),
     TRUE,XLOOKUP("timeout_coarse_normal",Calibration!$B:$B,Calibration!$C:$C,36)
   ),
 TRUE,
   IFS(
     OR(C67="B",C67="D"),XLOOKUP("timeout_coarse_slow",Calibration!$B:$B,Calibration!$C:$C,48),
     OR(C67="E",C67="F",C67="H",C67="I"),XLOOKUP("timeout_jcc_slow",Calibration!$B:$B,Calibration!$C:$C,18),
     OR(C67="G",C67="J"),XLOOKUP("timeout_duochrome_slow",Calibration!$B:$B,Calibration!$C:$C,12),
     C67="K",XLOOKUP("timeout_bino_slow",Calibration!$B:$B,Calibration!$C:$C,18),
     OR(C67="P",C67="Q",C67="R"),XLOOKUP("timeout_near_slow",Calibration!$B:$B,Calibration!$C:$C,28),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AJ67=TRUE,"ESCALATE",
C67="A",
IF(OR(I67="NOT_READABLE",I67="BLURRY",AND(R67="20_20_20",I67="READABLE")),"B","A"),
C67="B",
IF(reEsc,"ESCALATE",IF(AY67&gt;=phaseMax,"ESCALATE",IF(AND(AV67&gt;=AW67,I67="READABLE"),"E","B"))),
C67="E",
IF(AY67&gt;=phaseMax,"ESCALATE",IF(OR(I67="SAME",I67="CANT_TELL",AD67&lt;axisTol),"F","E")),
C67="F",
IF(AY67&gt;=phaseMax,"ESCALATE",IF(AX67&gt;=powerSameN,"G","F")),
C67="G",
IF(AY67&gt;=phaseMax,"ESCALATE",IF(OR(AX67&gt;=duoEqualN,BB67&gt;=duoMax),"D","G")),
C67="D",
IF(leEsc,"ESCALATE",IF(AY67&gt;=phaseMax,"ESCALATE",IF(AND(AV67&gt;=AW67,I67="READABLE"),"H","D"))),
C67="H",
IF(AY67&gt;=phaseMax,"ESCALATE",IF(OR(I67="SAME",I67="CANT_TELL",AD67&lt;axisTol),"I","H")),
C67="I",
IF(AY67&gt;=phaseMax,"ESCALATE",IF(AX67&gt;=powerSameN,"J","I")),
C67="J",
IF(AY67&gt;=phaseMax,"ESCALATE",IF(OR(AX67&gt;=duoEqualN,BB67&gt;=duoMax),"K","J")),
C67="K",
IF(AY67&gt;=phaseMax,"ESCALATE",IF(AX67&gt;=binoSameN,IF(XLOOKUP($B67,Derived_Variables!$A:$A,Derived_Variables!$AJ:$AJ,FALSE)=TRUE,"P","END"),"K")),
C67="P",
IF(AY67&gt;=phaseMax,"ESCALATE",IF(OR(I67="READABLE",I67="SAME"),"Q","P")),
C67="Q",
IF(AY67&gt;=phaseMax,"ESCALATE",IF(OR(I67="READABLE",I67="SAME"),"R","Q")),
C67="R",
IF(AY67&gt;=phaseMax,"ESCALATE",IF(OR(I67=nearTarget,I67="SAME"),"END","R")),
TRUE,"END"
)))</f>
        <v>Q</v>
      </c>
      <c r="BD67" s="28" t="b">
        <f t="shared" si="19"/>
        <v>1</v>
      </c>
    </row>
    <row r="68" ht="15.75" customHeight="1">
      <c r="A68" s="28">
        <f t="shared" si="3"/>
        <v>67</v>
      </c>
      <c r="B68" s="28">
        <f t="shared" si="4"/>
        <v>6</v>
      </c>
      <c r="C68" s="28" t="str">
        <f t="shared" si="5"/>
        <v>Q</v>
      </c>
      <c r="D68" s="28" t="str">
        <f t="array" ref="D68">IF($I67="","",XLOOKUP(C68,FSM_State_Map!A:A,FSM_State_Map!B:B,""))</f>
        <v>Near ADD LE</v>
      </c>
      <c r="E68" s="28" t="str">
        <f t="array" ref="E68">IF($I67="","",XLOOKUP(C68,FSM_State_Map!A:A,FSM_State_Map!C:C,""))</f>
        <v>NEAR_ADD</v>
      </c>
      <c r="F68" s="28" t="str">
        <f t="array" ref="F68">IF($I67="","",XLOOKUP(E68,Phase_UI_Map!A:A,Phase_UI_Map!B:B,""))</f>
        <v>NEAR_VA</v>
      </c>
      <c r="G68" s="28" t="str">
        <f t="array" ref="G68">IF($I67="","",XLOOKUP(E68,Phase_UI_Map!A:A,Phase_UI_Map!C:C,""))</f>
        <v>NEAR_TEXT</v>
      </c>
      <c r="H68" s="28" t="str">
        <f t="array" ref="H68">IF($I67="","",XLOOKUP(E68,Phase_UI_Map!A:A,Phase_UI_Map!D:D,""))</f>
        <v>NEAR_READABILITY</v>
      </c>
      <c r="I68" s="29" t="s">
        <v>219</v>
      </c>
      <c r="J68" s="28" t="str">
        <f>IFERROR(__xludf.DUMMYFUNCTION("IF($I67="""","""",IFERROR(INDEX(FILTER(Response_Lists!$B:$B,Response_Lists!$A:$A=$H68),1),""""))"),"READABLE")</f>
        <v>READABLE</v>
      </c>
      <c r="K68" s="28" t="str">
        <f>IFERROR(__xludf.DUMMYFUNCTION("IF($I67="""","""",IFERROR(INDEX(FILTER(Response_Lists!$B:$B,Response_Lists!$A:$A=$H68),2),""""))"),"NOT_READABLE")</f>
        <v>NOT_READABLE</v>
      </c>
      <c r="L68" s="28" t="str">
        <f>IFERROR(__xludf.DUMMYFUNCTION("IF($I67="""","""",IFERROR(INDEX(FILTER(Response_Lists!$B:$B,Response_Lists!$A:$A=$H68),3),""""))"),"BLURRY")</f>
        <v>BLURRY</v>
      </c>
      <c r="M68" s="28" t="str">
        <f>IFERROR(__xludf.DUMMYFUNCTION("IF($I67="""","""",IFERROR(INDEX(FILTER(Response_Lists!$B:$B,Response_Lists!$A:$A=$H68),4),""""))"),"SAME")</f>
        <v>SAME</v>
      </c>
      <c r="N68" s="28" t="str">
        <f>IFERROR(__xludf.DUMMYFUNCTION("IF($I67="""","""",IFERROR(INDEX(FILTER(Response_Lists!$B:$B,Response_Lists!$A:$A=$H68),5),""""))"),"CANT_TELL")</f>
        <v>CANT_TELL</v>
      </c>
      <c r="O68" s="28" t="str">
        <f>IFERROR(__xludf.DUMMYFUNCTION("IF($I67="""","""",IFERROR(INDEX(FILTER(Response_Lists!$B:$B,Response_Lists!$A:$A=$H68),6),""""))"),"")</f>
        <v/>
      </c>
      <c r="P68" s="28" t="str">
        <f t="shared" si="6"/>
        <v>Can you read the near target clearly?</v>
      </c>
      <c r="Q68" s="28" t="str">
        <f t="array" ref="Q68">IF($I67="","",XLOOKUP(C68,FSM_State_Map!A:A,FSM_State_Map!D:D,""))</f>
        <v>LE</v>
      </c>
      <c r="R68" s="28" t="str">
        <f t="shared" si="7"/>
        <v>20_20_20</v>
      </c>
      <c r="S68" s="28">
        <f t="array" ref="S68">IF($I67="","",
IF(
  AND(C68="B",C67&lt;&gt;"B"),
  XLOOKUP($B68,Derived_Variables!$A:$A,Derived_Variables!$K:$K,0)
  + XLOOKUP($B68,Derived_Variables!$A:$A,Derived_Variables!$AE:$AE,0),
  S67+AM67
))</f>
        <v>-1</v>
      </c>
      <c r="T68" s="28">
        <f t="shared" ref="T68:U68" si="146">IF($I67="","",T67+AN67)</f>
        <v>-0.25</v>
      </c>
      <c r="U68" s="28">
        <f t="shared" si="146"/>
        <v>2</v>
      </c>
      <c r="V68" s="28">
        <f t="array" ref="V68">IF($I67="","",
IF(
  AND(C68="D",C67&lt;&gt;"D"),
  XLOOKUP($B68,Derived_Variables!$A:$A,Derived_Variables!$N:$N,0)
  + XLOOKUP($B68,Derived_Variables!$A:$A,Derived_Variables!$AE:$AE,0),
  V67+AP67
))</f>
        <v>-1.5</v>
      </c>
      <c r="W68" s="28">
        <f t="shared" ref="W68:X68" si="147">IF($I67="","",W67+AQ67)</f>
        <v>0</v>
      </c>
      <c r="X68" s="28">
        <f t="shared" si="147"/>
        <v>50</v>
      </c>
      <c r="Y68" s="28">
        <f t="array" ref="Y68">IF($I67="","",IF(AND(C68="P",C67&lt;&gt;"P"),IFERROR(XLOOKUP($B68,Lenso_Input!$A:$A,Lenso_Input!$E:$E,0),0),Y67+AS67))</f>
        <v>1.25</v>
      </c>
      <c r="Z68" s="28">
        <f t="array" ref="Z68">IF($I67="","",IF(AND(C68="Q",C67&lt;&gt;"Q"),IFERROR(XLOOKUP($B68,Lenso_Input!$A:$A,Lenso_Input!$I:$I,0),0),Z67+AT67))</f>
        <v>0.75</v>
      </c>
      <c r="AA68" s="28" t="str">
        <f t="array" ref="AA68">IF($I67="","",IF(XLOOKUP($B68,Derived_Variables!$A:$A,Derived_Variables!$R:$R,"6/6_target")="6/6_target","20_20_20","40_30_25"))</f>
        <v>20_20_20</v>
      </c>
      <c r="AB68" s="28">
        <f t="array" ref="AB68">IF($I67="","",XLOOKUP(LOWER(XLOOKUP($B68,Derived_Variables!$A:$A,Derived_Variables!$T:$T,"Standard"))&amp;"_sph_step",Calibration!$B:$B,Calibration!$C:$C,0.25))</f>
        <v>0.25</v>
      </c>
      <c r="AC68" s="28">
        <f t="array" ref="AC68">IF($I67="","",XLOOKUP(LOWER(XLOOKUP($B68,Derived_Variables!$A:$A,Derived_Variables!$T:$T,"Standard"))&amp;"_cyl_step",Calibration!$B:$B,Calibration!$C:$C,0.25))</f>
        <v>0.25</v>
      </c>
      <c r="AD68" s="28">
        <f t="array" ref="AD68">IF($I67="","",IF(OR(C68="E",C68="H"),LET(startStep,XLOOKUP("axis_start_step",Calibration!$B:$B,Calibration!$C:$C,5),step1,XLOOKUP("axis_reversal_step_1",Calibration!$B:$B,Calibration!$C:$C,3),step2,XLOOKUP("axis_reversal_step_2",Calibration!$B:$B,Calibration!$C:$C,1),IF(OR(C67&lt;&gt;C68,AZ68="",AZ68="SAME",AZ68="CANT_TELL",I68="",I68="SAME",I68="CANT_TELL"),startStep,IF(OR(AND(AZ68="BETTER_1",I68="BETTER_2"),AND(AZ68="BETTER_2",I68="BETTER_1")),IF(AD67&gt;step1,step1,step2),AD67))),0))</f>
        <v>0</v>
      </c>
      <c r="AE68" s="28" t="str">
        <f t="array" ref="AE68">IF($I67="","",XLOOKUP($B68,Derived_Variables!$A:$A,Derived_Variables!$AD:$AD,"No_Fog"))</f>
        <v>Strong_Fog</v>
      </c>
      <c r="AF68" s="28">
        <f t="array" ref="AF68">IF($I67="","",XLOOKUP($B68,Derived_Variables!$A:$A,Derived_Variables!$AE:$AE,0))</f>
        <v>1</v>
      </c>
      <c r="AG68" s="28" t="str">
        <f t="array" ref="AG68">IF($I67="","",XLOOKUP($B68,Derived_Variables!$A:$A,Derived_Variables!$AF:$AF,""))</f>
        <v>StepDown_0.25</v>
      </c>
      <c r="AH68" s="28" t="str">
        <f t="array" ref="AH68">IF($I67="","",XLOOKUP($B68,Derived_Variables!$A:$A,Derived_Variables!$AG:$AG,""))</f>
        <v>Low</v>
      </c>
      <c r="AI68" s="28" t="str">
        <f t="array" ref="AI68">IF($I67="","",XLOOKUP($B68,Derived_Variables!$A:$A,Derived_Variables!$AC:$AC,"Medium"))</f>
        <v>Low</v>
      </c>
      <c r="AJ68" s="28" t="b">
        <f t="array" ref="AJ68">IF($I67="","",XLOOKUP($B68,Derived_Variables!$A:$A,Derived_Variables!$Y:$Y,FALSE))</f>
        <v>0</v>
      </c>
      <c r="AK68" s="28" t="str">
        <f t="array" ref="AK68">IF($I67="","",XLOOKUP($B68,Derived_Variables!$A:$A,Derived_Variables!$AA:$AA,"Normal"))</f>
        <v>Slow</v>
      </c>
      <c r="AL68" s="28" t="str">
        <f t="array" ref="AL68">IF($I67="","",XLOOKUP($B68,Derived_Variables!$A:$A,Derived_Variables!$AB:$AB,"Normal"))</f>
        <v>Relaxed</v>
      </c>
      <c r="AM68" s="28">
        <f t="array" ref="AM68">IF($I68="","",IFS(C68="B",IF(OR(I68="NOT_READABLE",I68="BLURRY"),-AB68,0),C68="G",IFS(I68="RED_CLEARER",XLOOKUP("duochrome_red_step",Calibration!$B:$B,Calibration!$C:$C,-0.25),I68="GREEN_CLEARER",XLOOKUP("duochrome_green_step",Calibration!$B:$B,Calibration!$C:$C,0.25),I68="EQUAL",IF(XLOOKUP($B68,Derived_Variables!$A:$A,Derived_Variables!$S:$S,"Neutral")="Undercorrect",XLOOKUP("undercorrect_step",Calibration!$B:$B,Calibration!$C:$C,0.25),IF(XLOOKUP($B68,Derived_Variables!$A:$A,Derived_Variables!$S:$S,"Neutral")="Overcorrect",-XLOOKUP("overcorrect_step",Calibration!$B:$B,Calibration!$C:$C,0.25),0)),TRUE,0),C68="K",IF(I68="TOP_CLEARER",XLOOKUP("bino_balance_step",Calibration!$B:$B,Calibration!$C:$C,0.25),0),TRUE,0))</f>
        <v>0</v>
      </c>
      <c r="AN68" s="28">
        <f t="shared" si="10"/>
        <v>0</v>
      </c>
      <c r="AO68" s="28">
        <f t="shared" si="11"/>
        <v>0</v>
      </c>
      <c r="AP68" s="28">
        <f t="array" ref="AP68">IF($I68="","",IFS(C68="D",IF(OR(I68="NOT_READABLE",I68="BLURRY"),-AB68,0),C68="J",IFS(I68="RED_CLEARER",XLOOKUP("duochrome_red_step",Calibration!$B:$B,Calibration!$C:$C,-0.25),I68="GREEN_CLEARER",XLOOKUP("duochrome_green_step",Calibration!$B:$B,Calibration!$C:$C,0.25),I68="EQUAL",IF(XLOOKUP($B68,Derived_Variables!$A:$A,Derived_Variables!$S:$S,"Neutral")="Undercorrect",XLOOKUP("undercorrect_step",Calibration!$B:$B,Calibration!$C:$C,0.25),IF(XLOOKUP($B68,Derived_Variables!$A:$A,Derived_Variables!$S:$S,"Neutral")="Overcorrect",-XLOOKUP("overcorrect_step",Calibration!$B:$B,Calibration!$C:$C,0.25),0)),TRUE,0),C68="K",IF(I68="BOTTOM_CLEARER",XLOOKUP("bino_balance_step",Calibration!$B:$B,Calibration!$C:$C,0.25),0),TRUE,0))</f>
        <v>0</v>
      </c>
      <c r="AQ68" s="28">
        <f t="shared" si="12"/>
        <v>0</v>
      </c>
      <c r="AR68" s="28">
        <f t="shared" si="13"/>
        <v>0</v>
      </c>
      <c r="AS68" s="28">
        <f t="array" ref="AS68">IF($I68="","",IF(C68="P",IF(OR(I68="NOT_READABLE",I68="BLURRY"),XLOOKUP("near_add_step",Calibration!$B:$B,Calibration!$C:$C,0.25),0),IF(C68="R",IF(I68="NOT_CLEAR",XLOOKUP("near_add_step",Calibration!$B:$B,Calibration!$C:$C,0.25),0),0)))</f>
        <v>0</v>
      </c>
      <c r="AT68" s="28">
        <f t="array" ref="AT68">IF($I68="","",IF(C68="Q",IF(OR(I68="NOT_READABLE",I68="BLURRY"),XLOOKUP("near_add_step",Calibration!$B:$B,Calibration!$C:$C,0.25),0),IF(C68="R",IF(I68="NOT_CLEAR",XLOOKUP("near_add_step",Calibration!$B:$B,Calibration!$C:$C,0.25),0),0)))</f>
        <v>0.25</v>
      </c>
      <c r="AU68" s="28" t="str">
        <f t="array" ref="AU68">IF($I68="","",IF(G68="SNELLEN_FEET",IF(I68="READABLE",IFERROR(XLOOKUP(XLOOKUP(R68,Chart_Scale_Distance!B:B,Chart_Scale_Distance!A:A)+1,Chart_Scale_Distance!A:A,Chart_Scale_Distance!B:B),R68),R68),R68))</f>
        <v>20_20_20</v>
      </c>
      <c r="AV68" s="28">
        <f t="array" ref="AV68">IF($I67="","",IFERROR(XLOOKUP(R68,Chart_Scale_Distance!$B:$B,Chart_Scale_Distance!$A:$A,""),""))</f>
        <v>6</v>
      </c>
      <c r="AW68" s="28">
        <f t="array" ref="AW68">IF($I67="","",IFERROR(XLOOKUP(AA68,Chart_Scale_Distance!$B:$B,Chart_Scale_Distance!$A:$A,""),""))</f>
        <v>6</v>
      </c>
      <c r="AX68" s="28">
        <f t="shared" si="14"/>
        <v>0</v>
      </c>
      <c r="AY68" s="28">
        <f t="shared" si="15"/>
        <v>4</v>
      </c>
      <c r="AZ68" s="28" t="str">
        <f t="shared" si="16"/>
        <v/>
      </c>
      <c r="BA68" s="28">
        <f t="shared" si="17"/>
        <v>0</v>
      </c>
      <c r="BB68" s="28">
        <f t="shared" si="18"/>
        <v>0</v>
      </c>
      <c r="BC68" s="28" t="str">
        <f t="array" ref="BC68">IF($I68="","",LET(
conf,AI68,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duoMax,XLOOKUP($B68,Derived_Variables!$A:$A,Derived_Variables!$AI:$AI,4),
axisTol,XLOOKUP($B68,Derived_Variables!$A:$A,Derived_Variables!$W:$W,1),
maxStart,XLOOKUP($B68,Derived_Variables!$A:$A,Derived_Variables!$U:$U,1.25),
maxAR,XLOOKUP($B68,Derived_Variables!$A:$A,Derived_Variables!$V:$V,3),
anom,XLOOKUP($B68,Derived_Variables!$A:$A,Derived_Variables!$Z:$Z,FALSE),
reStart,XLOOKUP($B68,Derived_Variables!$A:$A,Derived_Variables!$K:$K,0),
leStart,XLOOKUP($B68,Derived_Variables!$A:$A,Derived_Variables!$N:$N,0),
reAR,XLOOKUP($B68,AR_Input!$A:$A,AR_Input!$B:$B,reStart),
leAR,XLOOKUP($B68,AR_Input!$A:$A,AR_Input!$E:$E,leStart),
reEsc,AND(anom,OR(ABS((S68+AM68)-reStart)&gt;maxStart,ABS((S68+AM68)-reAR)&gt;maxAR)),
leEsc,AND(anom,OR(ABS((V68+AP68)-leStart)&gt;maxStart,ABS((V68+AP68)-leAR)&gt;maxAR)),
phaseMax,IFS(
 AK68="Fast",
   IFS(
     OR(C68="B",C68="D"),XLOOKUP("timeout_coarse_fast",Calibration!$B:$B,Calibration!$C:$C,24),
     OR(C68="E",C68="F",C68="H",C68="I"),XLOOKUP("timeout_jcc_fast",Calibration!$B:$B,Calibration!$C:$C,10),
     OR(C68="G",C68="J"),XLOOKUP("timeout_duochrome_fast",Calibration!$B:$B,Calibration!$C:$C,8),
     C68="K",XLOOKUP("timeout_bino_fast",Calibration!$B:$B,Calibration!$C:$C,10),
     OR(C68="P",C68="Q",C68="R"),XLOOKUP("timeout_near_fast",Calibration!$B:$B,Calibration!$C:$C,16),
     TRUE,XLOOKUP("timeout_coarse_fast",Calibration!$B:$B,Calibration!$C:$C,24)
   ),
 AK68="Normal",
   IFS(
     OR(C68="B",C68="D"),XLOOKUP("timeout_coarse_normal",Calibration!$B:$B,Calibration!$C:$C,36),
     OR(C68="E",C68="F",C68="H",C68="I"),XLOOKUP("timeout_jcc_normal",Calibration!$B:$B,Calibration!$C:$C,14),
     OR(C68="G",C68="J"),XLOOKUP("timeout_duochrome_normal",Calibration!$B:$B,Calibration!$C:$C,10),
     C68="K",XLOOKUP("timeout_bino_normal",Calibration!$B:$B,Calibration!$C:$C,14),
     OR(C68="P",C68="Q",C68="R"),XLOOKUP("timeout_near_normal",Calibration!$B:$B,Calibration!$C:$C,22),
     TRUE,XLOOKUP("timeout_coarse_normal",Calibration!$B:$B,Calibration!$C:$C,36)
   ),
 TRUE,
   IFS(
     OR(C68="B",C68="D"),XLOOKUP("timeout_coarse_slow",Calibration!$B:$B,Calibration!$C:$C,48),
     OR(C68="E",C68="F",C68="H",C68="I"),XLOOKUP("timeout_jcc_slow",Calibration!$B:$B,Calibration!$C:$C,18),
     OR(C68="G",C68="J"),XLOOKUP("timeout_duochrome_slow",Calibration!$B:$B,Calibration!$C:$C,12),
     C68="K",XLOOKUP("timeout_bino_slow",Calibration!$B:$B,Calibration!$C:$C,18),
     OR(C68="P",C68="Q",C68="R"),XLOOKUP("timeout_near_slow",Calibration!$B:$B,Calibration!$C:$C,28),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AJ68=TRUE,"ESCALATE",
C68="A",
IF(OR(I68="NOT_READABLE",I68="BLURRY",AND(R68="20_20_20",I68="READABLE")),"B","A"),
C68="B",
IF(reEsc,"ESCALATE",IF(AY68&gt;=phaseMax,"ESCALATE",IF(AND(AV68&gt;=AW68,I68="READABLE"),"E","B"))),
C68="E",
IF(AY68&gt;=phaseMax,"ESCALATE",IF(OR(I68="SAME",I68="CANT_TELL",AD68&lt;axisTol),"F","E")),
C68="F",
IF(AY68&gt;=phaseMax,"ESCALATE",IF(AX68&gt;=powerSameN,"G","F")),
C68="G",
IF(AY68&gt;=phaseMax,"ESCALATE",IF(OR(AX68&gt;=duoEqualN,BB68&gt;=duoMax),"D","G")),
C68="D",
IF(leEsc,"ESCALATE",IF(AY68&gt;=phaseMax,"ESCALATE",IF(AND(AV68&gt;=AW68,I68="READABLE"),"H","D"))),
C68="H",
IF(AY68&gt;=phaseMax,"ESCALATE",IF(OR(I68="SAME",I68="CANT_TELL",AD68&lt;axisTol),"I","H")),
C68="I",
IF(AY68&gt;=phaseMax,"ESCALATE",IF(AX68&gt;=powerSameN,"J","I")),
C68="J",
IF(AY68&gt;=phaseMax,"ESCALATE",IF(OR(AX68&gt;=duoEqualN,BB68&gt;=duoMax),"K","J")),
C68="K",
IF(AY68&gt;=phaseMax,"ESCALATE",IF(AX68&gt;=binoSameN,IF(XLOOKUP($B68,Derived_Variables!$A:$A,Derived_Variables!$AJ:$AJ,FALSE)=TRUE,"P","END"),"K")),
C68="P",
IF(AY68&gt;=phaseMax,"ESCALATE",IF(OR(I68="READABLE",I68="SAME"),"Q","P")),
C68="Q",
IF(AY68&gt;=phaseMax,"ESCALATE",IF(OR(I68="READABLE",I68="SAME"),"R","Q")),
C68="R",
IF(AY68&gt;=phaseMax,"ESCALATE",IF(OR(I68=nearTarget,I68="SAME"),"END","R")),
TRUE,"END"
)))</f>
        <v>Q</v>
      </c>
      <c r="BD68" s="28" t="b">
        <f t="shared" si="19"/>
        <v>1</v>
      </c>
    </row>
    <row r="69" ht="15.75" customHeight="1">
      <c r="A69" s="28">
        <f t="shared" si="3"/>
        <v>68</v>
      </c>
      <c r="B69" s="28">
        <f t="shared" si="4"/>
        <v>6</v>
      </c>
      <c r="C69" s="28" t="str">
        <f t="shared" si="5"/>
        <v>Q</v>
      </c>
      <c r="D69" s="28" t="str">
        <f t="array" ref="D69">IF($I68="","",XLOOKUP(C69,FSM_State_Map!A:A,FSM_State_Map!B:B,""))</f>
        <v>Near ADD LE</v>
      </c>
      <c r="E69" s="28" t="str">
        <f t="array" ref="E69">IF($I68="","",XLOOKUP(C69,FSM_State_Map!A:A,FSM_State_Map!C:C,""))</f>
        <v>NEAR_ADD</v>
      </c>
      <c r="F69" s="28" t="str">
        <f t="array" ref="F69">IF($I68="","",XLOOKUP(E69,Phase_UI_Map!A:A,Phase_UI_Map!B:B,""))</f>
        <v>NEAR_VA</v>
      </c>
      <c r="G69" s="28" t="str">
        <f t="array" ref="G69">IF($I68="","",XLOOKUP(E69,Phase_UI_Map!A:A,Phase_UI_Map!C:C,""))</f>
        <v>NEAR_TEXT</v>
      </c>
      <c r="H69" s="28" t="str">
        <f t="array" ref="H69">IF($I68="","",XLOOKUP(E69,Phase_UI_Map!A:A,Phase_UI_Map!D:D,""))</f>
        <v>NEAR_READABILITY</v>
      </c>
      <c r="I69" s="29" t="s">
        <v>219</v>
      </c>
      <c r="J69" s="28" t="str">
        <f>IFERROR(__xludf.DUMMYFUNCTION("IF($I68="""","""",IFERROR(INDEX(FILTER(Response_Lists!$B:$B,Response_Lists!$A:$A=$H69),1),""""))"),"READABLE")</f>
        <v>READABLE</v>
      </c>
      <c r="K69" s="28" t="str">
        <f>IFERROR(__xludf.DUMMYFUNCTION("IF($I68="""","""",IFERROR(INDEX(FILTER(Response_Lists!$B:$B,Response_Lists!$A:$A=$H69),2),""""))"),"NOT_READABLE")</f>
        <v>NOT_READABLE</v>
      </c>
      <c r="L69" s="28" t="str">
        <f>IFERROR(__xludf.DUMMYFUNCTION("IF($I68="""","""",IFERROR(INDEX(FILTER(Response_Lists!$B:$B,Response_Lists!$A:$A=$H69),3),""""))"),"BLURRY")</f>
        <v>BLURRY</v>
      </c>
      <c r="M69" s="28" t="str">
        <f>IFERROR(__xludf.DUMMYFUNCTION("IF($I68="""","""",IFERROR(INDEX(FILTER(Response_Lists!$B:$B,Response_Lists!$A:$A=$H69),4),""""))"),"SAME")</f>
        <v>SAME</v>
      </c>
      <c r="N69" s="28" t="str">
        <f>IFERROR(__xludf.DUMMYFUNCTION("IF($I68="""","""",IFERROR(INDEX(FILTER(Response_Lists!$B:$B,Response_Lists!$A:$A=$H69),5),""""))"),"CANT_TELL")</f>
        <v>CANT_TELL</v>
      </c>
      <c r="O69" s="28" t="str">
        <f>IFERROR(__xludf.DUMMYFUNCTION("IF($I68="""","""",IFERROR(INDEX(FILTER(Response_Lists!$B:$B,Response_Lists!$A:$A=$H69),6),""""))"),"")</f>
        <v/>
      </c>
      <c r="P69" s="28" t="str">
        <f t="shared" si="6"/>
        <v>Can you read the near target clearly?</v>
      </c>
      <c r="Q69" s="28" t="str">
        <f t="array" ref="Q69">IF($I68="","",XLOOKUP(C69,FSM_State_Map!A:A,FSM_State_Map!D:D,""))</f>
        <v>LE</v>
      </c>
      <c r="R69" s="28" t="str">
        <f t="shared" si="7"/>
        <v>20_20_20</v>
      </c>
      <c r="S69" s="28">
        <f t="array" ref="S69">IF($I68="","",
IF(
  AND(C69="B",C68&lt;&gt;"B"),
  XLOOKUP($B69,Derived_Variables!$A:$A,Derived_Variables!$K:$K,0)
  + XLOOKUP($B69,Derived_Variables!$A:$A,Derived_Variables!$AE:$AE,0),
  S68+AM68
))</f>
        <v>-1</v>
      </c>
      <c r="T69" s="28">
        <f t="shared" ref="T69:U69" si="148">IF($I68="","",T68+AN68)</f>
        <v>-0.25</v>
      </c>
      <c r="U69" s="28">
        <f t="shared" si="148"/>
        <v>2</v>
      </c>
      <c r="V69" s="28">
        <f t="array" ref="V69">IF($I68="","",
IF(
  AND(C69="D",C68&lt;&gt;"D"),
  XLOOKUP($B69,Derived_Variables!$A:$A,Derived_Variables!$N:$N,0)
  + XLOOKUP($B69,Derived_Variables!$A:$A,Derived_Variables!$AE:$AE,0),
  V68+AP68
))</f>
        <v>-1.5</v>
      </c>
      <c r="W69" s="28">
        <f t="shared" ref="W69:X69" si="149">IF($I68="","",W68+AQ68)</f>
        <v>0</v>
      </c>
      <c r="X69" s="28">
        <f t="shared" si="149"/>
        <v>50</v>
      </c>
      <c r="Y69" s="28">
        <f t="array" ref="Y69">IF($I68="","",IF(AND(C69="P",C68&lt;&gt;"P"),IFERROR(XLOOKUP($B69,Lenso_Input!$A:$A,Lenso_Input!$E:$E,0),0),Y68+AS68))</f>
        <v>1.25</v>
      </c>
      <c r="Z69" s="28">
        <f t="array" ref="Z69">IF($I68="","",IF(AND(C69="Q",C68&lt;&gt;"Q"),IFERROR(XLOOKUP($B69,Lenso_Input!$A:$A,Lenso_Input!$I:$I,0),0),Z68+AT68))</f>
        <v>1</v>
      </c>
      <c r="AA69" s="28" t="str">
        <f t="array" ref="AA69">IF($I68="","",IF(XLOOKUP($B69,Derived_Variables!$A:$A,Derived_Variables!$R:$R,"6/6_target")="6/6_target","20_20_20","40_30_25"))</f>
        <v>20_20_20</v>
      </c>
      <c r="AB69" s="28">
        <f t="array" ref="AB69">IF($I68="","",XLOOKUP(LOWER(XLOOKUP($B69,Derived_Variables!$A:$A,Derived_Variables!$T:$T,"Standard"))&amp;"_sph_step",Calibration!$B:$B,Calibration!$C:$C,0.25))</f>
        <v>0.25</v>
      </c>
      <c r="AC69" s="28">
        <f t="array" ref="AC69">IF($I68="","",XLOOKUP(LOWER(XLOOKUP($B69,Derived_Variables!$A:$A,Derived_Variables!$T:$T,"Standard"))&amp;"_cyl_step",Calibration!$B:$B,Calibration!$C:$C,0.25))</f>
        <v>0.25</v>
      </c>
      <c r="AD69" s="28">
        <f t="array" ref="AD69">IF($I68="","",IF(OR(C69="E",C69="H"),LET(startStep,XLOOKUP("axis_start_step",Calibration!$B:$B,Calibration!$C:$C,5),step1,XLOOKUP("axis_reversal_step_1",Calibration!$B:$B,Calibration!$C:$C,3),step2,XLOOKUP("axis_reversal_step_2",Calibration!$B:$B,Calibration!$C:$C,1),IF(OR(C68&lt;&gt;C69,AZ69="",AZ69="SAME",AZ69="CANT_TELL",I69="",I69="SAME",I69="CANT_TELL"),startStep,IF(OR(AND(AZ69="BETTER_1",I69="BETTER_2"),AND(AZ69="BETTER_2",I69="BETTER_1")),IF(AD68&gt;step1,step1,step2),AD68))),0))</f>
        <v>0</v>
      </c>
      <c r="AE69" s="28" t="str">
        <f t="array" ref="AE69">IF($I68="","",XLOOKUP($B69,Derived_Variables!$A:$A,Derived_Variables!$AD:$AD,"No_Fog"))</f>
        <v>Strong_Fog</v>
      </c>
      <c r="AF69" s="28">
        <f t="array" ref="AF69">IF($I68="","",XLOOKUP($B69,Derived_Variables!$A:$A,Derived_Variables!$AE:$AE,0))</f>
        <v>1</v>
      </c>
      <c r="AG69" s="28" t="str">
        <f t="array" ref="AG69">IF($I68="","",XLOOKUP($B69,Derived_Variables!$A:$A,Derived_Variables!$AF:$AF,""))</f>
        <v>StepDown_0.25</v>
      </c>
      <c r="AH69" s="28" t="str">
        <f t="array" ref="AH69">IF($I68="","",XLOOKUP($B69,Derived_Variables!$A:$A,Derived_Variables!$AG:$AG,""))</f>
        <v>Low</v>
      </c>
      <c r="AI69" s="28" t="str">
        <f t="array" ref="AI69">IF($I68="","",XLOOKUP($B69,Derived_Variables!$A:$A,Derived_Variables!$AC:$AC,"Medium"))</f>
        <v>Low</v>
      </c>
      <c r="AJ69" s="28" t="b">
        <f t="array" ref="AJ69">IF($I68="","",XLOOKUP($B69,Derived_Variables!$A:$A,Derived_Variables!$Y:$Y,FALSE))</f>
        <v>0</v>
      </c>
      <c r="AK69" s="28" t="str">
        <f t="array" ref="AK69">IF($I68="","",XLOOKUP($B69,Derived_Variables!$A:$A,Derived_Variables!$AA:$AA,"Normal"))</f>
        <v>Slow</v>
      </c>
      <c r="AL69" s="28" t="str">
        <f t="array" ref="AL69">IF($I68="","",XLOOKUP($B69,Derived_Variables!$A:$A,Derived_Variables!$AB:$AB,"Normal"))</f>
        <v>Relaxed</v>
      </c>
      <c r="AM69" s="28">
        <f t="array" ref="AM69">IF($I69="","",IFS(C69="B",IF(OR(I69="NOT_READABLE",I69="BLURRY"),-AB69,0),C69="G",IFS(I69="RED_CLEARER",XLOOKUP("duochrome_red_step",Calibration!$B:$B,Calibration!$C:$C,-0.25),I69="GREEN_CLEARER",XLOOKUP("duochrome_green_step",Calibration!$B:$B,Calibration!$C:$C,0.25),I69="EQUAL",IF(XLOOKUP($B69,Derived_Variables!$A:$A,Derived_Variables!$S:$S,"Neutral")="Undercorrect",XLOOKUP("undercorrect_step",Calibration!$B:$B,Calibration!$C:$C,0.25),IF(XLOOKUP($B69,Derived_Variables!$A:$A,Derived_Variables!$S:$S,"Neutral")="Overcorrect",-XLOOKUP("overcorrect_step",Calibration!$B:$B,Calibration!$C:$C,0.25),0)),TRUE,0),C69="K",IF(I69="TOP_CLEARER",XLOOKUP("bino_balance_step",Calibration!$B:$B,Calibration!$C:$C,0.25),0),TRUE,0))</f>
        <v>0</v>
      </c>
      <c r="AN69" s="28">
        <f t="shared" si="10"/>
        <v>0</v>
      </c>
      <c r="AO69" s="28">
        <f t="shared" si="11"/>
        <v>0</v>
      </c>
      <c r="AP69" s="28">
        <f t="array" ref="AP69">IF($I69="","",IFS(C69="D",IF(OR(I69="NOT_READABLE",I69="BLURRY"),-AB69,0),C69="J",IFS(I69="RED_CLEARER",XLOOKUP("duochrome_red_step",Calibration!$B:$B,Calibration!$C:$C,-0.25),I69="GREEN_CLEARER",XLOOKUP("duochrome_green_step",Calibration!$B:$B,Calibration!$C:$C,0.25),I69="EQUAL",IF(XLOOKUP($B69,Derived_Variables!$A:$A,Derived_Variables!$S:$S,"Neutral")="Undercorrect",XLOOKUP("undercorrect_step",Calibration!$B:$B,Calibration!$C:$C,0.25),IF(XLOOKUP($B69,Derived_Variables!$A:$A,Derived_Variables!$S:$S,"Neutral")="Overcorrect",-XLOOKUP("overcorrect_step",Calibration!$B:$B,Calibration!$C:$C,0.25),0)),TRUE,0),C69="K",IF(I69="BOTTOM_CLEARER",XLOOKUP("bino_balance_step",Calibration!$B:$B,Calibration!$C:$C,0.25),0),TRUE,0))</f>
        <v>0</v>
      </c>
      <c r="AQ69" s="28">
        <f t="shared" si="12"/>
        <v>0</v>
      </c>
      <c r="AR69" s="28">
        <f t="shared" si="13"/>
        <v>0</v>
      </c>
      <c r="AS69" s="28">
        <f t="array" ref="AS69">IF($I69="","",IF(C69="P",IF(OR(I69="NOT_READABLE",I69="BLURRY"),XLOOKUP("near_add_step",Calibration!$B:$B,Calibration!$C:$C,0.25),0),IF(C69="R",IF(I69="NOT_CLEAR",XLOOKUP("near_add_step",Calibration!$B:$B,Calibration!$C:$C,0.25),0),0)))</f>
        <v>0</v>
      </c>
      <c r="AT69" s="28">
        <f t="array" ref="AT69">IF($I69="","",IF(C69="Q",IF(OR(I69="NOT_READABLE",I69="BLURRY"),XLOOKUP("near_add_step",Calibration!$B:$B,Calibration!$C:$C,0.25),0),IF(C69="R",IF(I69="NOT_CLEAR",XLOOKUP("near_add_step",Calibration!$B:$B,Calibration!$C:$C,0.25),0),0)))</f>
        <v>0.25</v>
      </c>
      <c r="AU69" s="28" t="str">
        <f t="array" ref="AU69">IF($I69="","",IF(G69="SNELLEN_FEET",IF(I69="READABLE",IFERROR(XLOOKUP(XLOOKUP(R69,Chart_Scale_Distance!B:B,Chart_Scale_Distance!A:A)+1,Chart_Scale_Distance!A:A,Chart_Scale_Distance!B:B),R69),R69),R69))</f>
        <v>20_20_20</v>
      </c>
      <c r="AV69" s="28">
        <f t="array" ref="AV69">IF($I68="","",IFERROR(XLOOKUP(R69,Chart_Scale_Distance!$B:$B,Chart_Scale_Distance!$A:$A,""),""))</f>
        <v>6</v>
      </c>
      <c r="AW69" s="28">
        <f t="array" ref="AW69">IF($I68="","",IFERROR(XLOOKUP(AA69,Chart_Scale_Distance!$B:$B,Chart_Scale_Distance!$A:$A,""),""))</f>
        <v>6</v>
      </c>
      <c r="AX69" s="28">
        <f t="shared" si="14"/>
        <v>0</v>
      </c>
      <c r="AY69" s="28">
        <f t="shared" si="15"/>
        <v>5</v>
      </c>
      <c r="AZ69" s="28" t="str">
        <f t="shared" si="16"/>
        <v/>
      </c>
      <c r="BA69" s="28">
        <f t="shared" si="17"/>
        <v>0</v>
      </c>
      <c r="BB69" s="28">
        <f t="shared" si="18"/>
        <v>0</v>
      </c>
      <c r="BC69" s="28" t="str">
        <f t="array" ref="BC69">IF($I69="","",LET(
conf,AI69,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duoMax,XLOOKUP($B69,Derived_Variables!$A:$A,Derived_Variables!$AI:$AI,4),
axisTol,XLOOKUP($B69,Derived_Variables!$A:$A,Derived_Variables!$W:$W,1),
maxStart,XLOOKUP($B69,Derived_Variables!$A:$A,Derived_Variables!$U:$U,1.25),
maxAR,XLOOKUP($B69,Derived_Variables!$A:$A,Derived_Variables!$V:$V,3),
anom,XLOOKUP($B69,Derived_Variables!$A:$A,Derived_Variables!$Z:$Z,FALSE),
reStart,XLOOKUP($B69,Derived_Variables!$A:$A,Derived_Variables!$K:$K,0),
leStart,XLOOKUP($B69,Derived_Variables!$A:$A,Derived_Variables!$N:$N,0),
reAR,XLOOKUP($B69,AR_Input!$A:$A,AR_Input!$B:$B,reStart),
leAR,XLOOKUP($B69,AR_Input!$A:$A,AR_Input!$E:$E,leStart),
reEsc,AND(anom,OR(ABS((S69+AM69)-reStart)&gt;maxStart,ABS((S69+AM69)-reAR)&gt;maxAR)),
leEsc,AND(anom,OR(ABS((V69+AP69)-leStart)&gt;maxStart,ABS((V69+AP69)-leAR)&gt;maxAR)),
phaseMax,IFS(
 AK69="Fast",
   IFS(
     OR(C69="B",C69="D"),XLOOKUP("timeout_coarse_fast",Calibration!$B:$B,Calibration!$C:$C,24),
     OR(C69="E",C69="F",C69="H",C69="I"),XLOOKUP("timeout_jcc_fast",Calibration!$B:$B,Calibration!$C:$C,10),
     OR(C69="G",C69="J"),XLOOKUP("timeout_duochrome_fast",Calibration!$B:$B,Calibration!$C:$C,8),
     C69="K",XLOOKUP("timeout_bino_fast",Calibration!$B:$B,Calibration!$C:$C,10),
     OR(C69="P",C69="Q",C69="R"),XLOOKUP("timeout_near_fast",Calibration!$B:$B,Calibration!$C:$C,16),
     TRUE,XLOOKUP("timeout_coarse_fast",Calibration!$B:$B,Calibration!$C:$C,24)
   ),
 AK69="Normal",
   IFS(
     OR(C69="B",C69="D"),XLOOKUP("timeout_coarse_normal",Calibration!$B:$B,Calibration!$C:$C,36),
     OR(C69="E",C69="F",C69="H",C69="I"),XLOOKUP("timeout_jcc_normal",Calibration!$B:$B,Calibration!$C:$C,14),
     OR(C69="G",C69="J"),XLOOKUP("timeout_duochrome_normal",Calibration!$B:$B,Calibration!$C:$C,10),
     C69="K",XLOOKUP("timeout_bino_normal",Calibration!$B:$B,Calibration!$C:$C,14),
     OR(C69="P",C69="Q",C69="R"),XLOOKUP("timeout_near_normal",Calibration!$B:$B,Calibration!$C:$C,22),
     TRUE,XLOOKUP("timeout_coarse_normal",Calibration!$B:$B,Calibration!$C:$C,36)
   ),
 TRUE,
   IFS(
     OR(C69="B",C69="D"),XLOOKUP("timeout_coarse_slow",Calibration!$B:$B,Calibration!$C:$C,48),
     OR(C69="E",C69="F",C69="H",C69="I"),XLOOKUP("timeout_jcc_slow",Calibration!$B:$B,Calibration!$C:$C,18),
     OR(C69="G",C69="J"),XLOOKUP("timeout_duochrome_slow",Calibration!$B:$B,Calibration!$C:$C,12),
     C69="K",XLOOKUP("timeout_bino_slow",Calibration!$B:$B,Calibration!$C:$C,18),
     OR(C69="P",C69="Q",C69="R"),XLOOKUP("timeout_near_slow",Calibration!$B:$B,Calibration!$C:$C,28),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AJ69=TRUE,"ESCALATE",
C69="A",
IF(OR(I69="NOT_READABLE",I69="BLURRY",AND(R69="20_20_20",I69="READABLE")),"B","A"),
C69="B",
IF(reEsc,"ESCALATE",IF(AY69&gt;=phaseMax,"ESCALATE",IF(AND(AV69&gt;=AW69,I69="READABLE"),"E","B"))),
C69="E",
IF(AY69&gt;=phaseMax,"ESCALATE",IF(OR(I69="SAME",I69="CANT_TELL",AD69&lt;axisTol),"F","E")),
C69="F",
IF(AY69&gt;=phaseMax,"ESCALATE",IF(AX69&gt;=powerSameN,"G","F")),
C69="G",
IF(AY69&gt;=phaseMax,"ESCALATE",IF(OR(AX69&gt;=duoEqualN,BB69&gt;=duoMax),"D","G")),
C69="D",
IF(leEsc,"ESCALATE",IF(AY69&gt;=phaseMax,"ESCALATE",IF(AND(AV69&gt;=AW69,I69="READABLE"),"H","D"))),
C69="H",
IF(AY69&gt;=phaseMax,"ESCALATE",IF(OR(I69="SAME",I69="CANT_TELL",AD69&lt;axisTol),"I","H")),
C69="I",
IF(AY69&gt;=phaseMax,"ESCALATE",IF(AX69&gt;=powerSameN,"J","I")),
C69="J",
IF(AY69&gt;=phaseMax,"ESCALATE",IF(OR(AX69&gt;=duoEqualN,BB69&gt;=duoMax),"K","J")),
C69="K",
IF(AY69&gt;=phaseMax,"ESCALATE",IF(AX69&gt;=binoSameN,IF(XLOOKUP($B69,Derived_Variables!$A:$A,Derived_Variables!$AJ:$AJ,FALSE)=TRUE,"P","END"),"K")),
C69="P",
IF(AY69&gt;=phaseMax,"ESCALATE",IF(OR(I69="READABLE",I69="SAME"),"Q","P")),
C69="Q",
IF(AY69&gt;=phaseMax,"ESCALATE",IF(OR(I69="READABLE",I69="SAME"),"R","Q")),
C69="R",
IF(AY69&gt;=phaseMax,"ESCALATE",IF(OR(I69=nearTarget,I69="SAME"),"END","R")),
TRUE,"END"
)))</f>
        <v>Q</v>
      </c>
      <c r="BD69" s="28" t="b">
        <f t="shared" si="19"/>
        <v>1</v>
      </c>
    </row>
    <row r="70" ht="15.75" customHeight="1">
      <c r="A70" s="28">
        <f t="shared" si="3"/>
        <v>69</v>
      </c>
      <c r="B70" s="28">
        <f t="shared" si="4"/>
        <v>6</v>
      </c>
      <c r="C70" s="28" t="str">
        <f t="shared" si="5"/>
        <v>Q</v>
      </c>
      <c r="D70" s="28" t="str">
        <f t="array" ref="D70">IF($I69="","",XLOOKUP(C70,FSM_State_Map!A:A,FSM_State_Map!B:B,""))</f>
        <v>Near ADD LE</v>
      </c>
      <c r="E70" s="28" t="str">
        <f t="array" ref="E70">IF($I69="","",XLOOKUP(C70,FSM_State_Map!A:A,FSM_State_Map!C:C,""))</f>
        <v>NEAR_ADD</v>
      </c>
      <c r="F70" s="28" t="str">
        <f t="array" ref="F70">IF($I69="","",XLOOKUP(E70,Phase_UI_Map!A:A,Phase_UI_Map!B:B,""))</f>
        <v>NEAR_VA</v>
      </c>
      <c r="G70" s="28" t="str">
        <f t="array" ref="G70">IF($I69="","",XLOOKUP(E70,Phase_UI_Map!A:A,Phase_UI_Map!C:C,""))</f>
        <v>NEAR_TEXT</v>
      </c>
      <c r="H70" s="28" t="str">
        <f t="array" ref="H70">IF($I69="","",XLOOKUP(E70,Phase_UI_Map!A:A,Phase_UI_Map!D:D,""))</f>
        <v>NEAR_READABILITY</v>
      </c>
      <c r="I70" s="29" t="s">
        <v>219</v>
      </c>
      <c r="J70" s="28" t="str">
        <f>IFERROR(__xludf.DUMMYFUNCTION("IF($I69="""","""",IFERROR(INDEX(FILTER(Response_Lists!$B:$B,Response_Lists!$A:$A=$H70),1),""""))"),"READABLE")</f>
        <v>READABLE</v>
      </c>
      <c r="K70" s="28" t="str">
        <f>IFERROR(__xludf.DUMMYFUNCTION("IF($I69="""","""",IFERROR(INDEX(FILTER(Response_Lists!$B:$B,Response_Lists!$A:$A=$H70),2),""""))"),"NOT_READABLE")</f>
        <v>NOT_READABLE</v>
      </c>
      <c r="L70" s="28" t="str">
        <f>IFERROR(__xludf.DUMMYFUNCTION("IF($I69="""","""",IFERROR(INDEX(FILTER(Response_Lists!$B:$B,Response_Lists!$A:$A=$H70),3),""""))"),"BLURRY")</f>
        <v>BLURRY</v>
      </c>
      <c r="M70" s="28" t="str">
        <f>IFERROR(__xludf.DUMMYFUNCTION("IF($I69="""","""",IFERROR(INDEX(FILTER(Response_Lists!$B:$B,Response_Lists!$A:$A=$H70),4),""""))"),"SAME")</f>
        <v>SAME</v>
      </c>
      <c r="N70" s="28" t="str">
        <f>IFERROR(__xludf.DUMMYFUNCTION("IF($I69="""","""",IFERROR(INDEX(FILTER(Response_Lists!$B:$B,Response_Lists!$A:$A=$H70),5),""""))"),"CANT_TELL")</f>
        <v>CANT_TELL</v>
      </c>
      <c r="O70" s="28" t="str">
        <f>IFERROR(__xludf.DUMMYFUNCTION("IF($I69="""","""",IFERROR(INDEX(FILTER(Response_Lists!$B:$B,Response_Lists!$A:$A=$H70),6),""""))"),"")</f>
        <v/>
      </c>
      <c r="P70" s="28" t="str">
        <f t="shared" si="6"/>
        <v>Can you read the near target clearly?</v>
      </c>
      <c r="Q70" s="28" t="str">
        <f t="array" ref="Q70">IF($I69="","",XLOOKUP(C70,FSM_State_Map!A:A,FSM_State_Map!D:D,""))</f>
        <v>LE</v>
      </c>
      <c r="R70" s="28" t="str">
        <f t="shared" si="7"/>
        <v>20_20_20</v>
      </c>
      <c r="S70" s="28">
        <f t="array" ref="S70">IF($I69="","",
IF(
  AND(C70="B",C69&lt;&gt;"B"),
  XLOOKUP($B70,Derived_Variables!$A:$A,Derived_Variables!$K:$K,0)
  + XLOOKUP($B70,Derived_Variables!$A:$A,Derived_Variables!$AE:$AE,0),
  S69+AM69
))</f>
        <v>-1</v>
      </c>
      <c r="T70" s="28">
        <f t="shared" ref="T70:U70" si="150">IF($I69="","",T69+AN69)</f>
        <v>-0.25</v>
      </c>
      <c r="U70" s="28">
        <f t="shared" si="150"/>
        <v>2</v>
      </c>
      <c r="V70" s="28">
        <f t="array" ref="V70">IF($I69="","",
IF(
  AND(C70="D",C69&lt;&gt;"D"),
  XLOOKUP($B70,Derived_Variables!$A:$A,Derived_Variables!$N:$N,0)
  + XLOOKUP($B70,Derived_Variables!$A:$A,Derived_Variables!$AE:$AE,0),
  V69+AP69
))</f>
        <v>-1.5</v>
      </c>
      <c r="W70" s="28">
        <f t="shared" ref="W70:X70" si="151">IF($I69="","",W69+AQ69)</f>
        <v>0</v>
      </c>
      <c r="X70" s="28">
        <f t="shared" si="151"/>
        <v>50</v>
      </c>
      <c r="Y70" s="28">
        <f t="array" ref="Y70">IF($I69="","",IF(AND(C70="P",C69&lt;&gt;"P"),IFERROR(XLOOKUP($B70,Lenso_Input!$A:$A,Lenso_Input!$E:$E,0),0),Y69+AS69))</f>
        <v>1.25</v>
      </c>
      <c r="Z70" s="28">
        <f t="array" ref="Z70">IF($I69="","",IF(AND(C70="Q",C69&lt;&gt;"Q"),IFERROR(XLOOKUP($B70,Lenso_Input!$A:$A,Lenso_Input!$I:$I,0),0),Z69+AT69))</f>
        <v>1.25</v>
      </c>
      <c r="AA70" s="28" t="str">
        <f t="array" ref="AA70">IF($I69="","",IF(XLOOKUP($B70,Derived_Variables!$A:$A,Derived_Variables!$R:$R,"6/6_target")="6/6_target","20_20_20","40_30_25"))</f>
        <v>20_20_20</v>
      </c>
      <c r="AB70" s="28">
        <f t="array" ref="AB70">IF($I69="","",XLOOKUP(LOWER(XLOOKUP($B70,Derived_Variables!$A:$A,Derived_Variables!$T:$T,"Standard"))&amp;"_sph_step",Calibration!$B:$B,Calibration!$C:$C,0.25))</f>
        <v>0.25</v>
      </c>
      <c r="AC70" s="28">
        <f t="array" ref="AC70">IF($I69="","",XLOOKUP(LOWER(XLOOKUP($B70,Derived_Variables!$A:$A,Derived_Variables!$T:$T,"Standard"))&amp;"_cyl_step",Calibration!$B:$B,Calibration!$C:$C,0.25))</f>
        <v>0.25</v>
      </c>
      <c r="AD70" s="28">
        <f t="array" ref="AD70">IF($I69="","",IF(OR(C70="E",C70="H"),LET(startStep,XLOOKUP("axis_start_step",Calibration!$B:$B,Calibration!$C:$C,5),step1,XLOOKUP("axis_reversal_step_1",Calibration!$B:$B,Calibration!$C:$C,3),step2,XLOOKUP("axis_reversal_step_2",Calibration!$B:$B,Calibration!$C:$C,1),IF(OR(C69&lt;&gt;C70,AZ70="",AZ70="SAME",AZ70="CANT_TELL",I70="",I70="SAME",I70="CANT_TELL"),startStep,IF(OR(AND(AZ70="BETTER_1",I70="BETTER_2"),AND(AZ70="BETTER_2",I70="BETTER_1")),IF(AD69&gt;step1,step1,step2),AD69))),0))</f>
        <v>0</v>
      </c>
      <c r="AE70" s="28" t="str">
        <f t="array" ref="AE70">IF($I69="","",XLOOKUP($B70,Derived_Variables!$A:$A,Derived_Variables!$AD:$AD,"No_Fog"))</f>
        <v>Strong_Fog</v>
      </c>
      <c r="AF70" s="28">
        <f t="array" ref="AF70">IF($I69="","",XLOOKUP($B70,Derived_Variables!$A:$A,Derived_Variables!$AE:$AE,0))</f>
        <v>1</v>
      </c>
      <c r="AG70" s="28" t="str">
        <f t="array" ref="AG70">IF($I69="","",XLOOKUP($B70,Derived_Variables!$A:$A,Derived_Variables!$AF:$AF,""))</f>
        <v>StepDown_0.25</v>
      </c>
      <c r="AH70" s="28" t="str">
        <f t="array" ref="AH70">IF($I69="","",XLOOKUP($B70,Derived_Variables!$A:$A,Derived_Variables!$AG:$AG,""))</f>
        <v>Low</v>
      </c>
      <c r="AI70" s="28" t="str">
        <f t="array" ref="AI70">IF($I69="","",XLOOKUP($B70,Derived_Variables!$A:$A,Derived_Variables!$AC:$AC,"Medium"))</f>
        <v>Low</v>
      </c>
      <c r="AJ70" s="28" t="b">
        <f t="array" ref="AJ70">IF($I69="","",XLOOKUP($B70,Derived_Variables!$A:$A,Derived_Variables!$Y:$Y,FALSE))</f>
        <v>0</v>
      </c>
      <c r="AK70" s="28" t="str">
        <f t="array" ref="AK70">IF($I69="","",XLOOKUP($B70,Derived_Variables!$A:$A,Derived_Variables!$AA:$AA,"Normal"))</f>
        <v>Slow</v>
      </c>
      <c r="AL70" s="28" t="str">
        <f t="array" ref="AL70">IF($I69="","",XLOOKUP($B70,Derived_Variables!$A:$A,Derived_Variables!$AB:$AB,"Normal"))</f>
        <v>Relaxed</v>
      </c>
      <c r="AM70" s="28">
        <f t="array" ref="AM70">IF($I70="","",IFS(C70="B",IF(OR(I70="NOT_READABLE",I70="BLURRY"),-AB70,0),C70="G",IFS(I70="RED_CLEARER",XLOOKUP("duochrome_red_step",Calibration!$B:$B,Calibration!$C:$C,-0.25),I70="GREEN_CLEARER",XLOOKUP("duochrome_green_step",Calibration!$B:$B,Calibration!$C:$C,0.25),I70="EQUAL",IF(XLOOKUP($B70,Derived_Variables!$A:$A,Derived_Variables!$S:$S,"Neutral")="Undercorrect",XLOOKUP("undercorrect_step",Calibration!$B:$B,Calibration!$C:$C,0.25),IF(XLOOKUP($B70,Derived_Variables!$A:$A,Derived_Variables!$S:$S,"Neutral")="Overcorrect",-XLOOKUP("overcorrect_step",Calibration!$B:$B,Calibration!$C:$C,0.25),0)),TRUE,0),C70="K",IF(I70="TOP_CLEARER",XLOOKUP("bino_balance_step",Calibration!$B:$B,Calibration!$C:$C,0.25),0),TRUE,0))</f>
        <v>0</v>
      </c>
      <c r="AN70" s="28">
        <f t="shared" si="10"/>
        <v>0</v>
      </c>
      <c r="AO70" s="28">
        <f t="shared" si="11"/>
        <v>0</v>
      </c>
      <c r="AP70" s="28">
        <f t="array" ref="AP70">IF($I70="","",IFS(C70="D",IF(OR(I70="NOT_READABLE",I70="BLURRY"),-AB70,0),C70="J",IFS(I70="RED_CLEARER",XLOOKUP("duochrome_red_step",Calibration!$B:$B,Calibration!$C:$C,-0.25),I70="GREEN_CLEARER",XLOOKUP("duochrome_green_step",Calibration!$B:$B,Calibration!$C:$C,0.25),I70="EQUAL",IF(XLOOKUP($B70,Derived_Variables!$A:$A,Derived_Variables!$S:$S,"Neutral")="Undercorrect",XLOOKUP("undercorrect_step",Calibration!$B:$B,Calibration!$C:$C,0.25),IF(XLOOKUP($B70,Derived_Variables!$A:$A,Derived_Variables!$S:$S,"Neutral")="Overcorrect",-XLOOKUP("overcorrect_step",Calibration!$B:$B,Calibration!$C:$C,0.25),0)),TRUE,0),C70="K",IF(I70="BOTTOM_CLEARER",XLOOKUP("bino_balance_step",Calibration!$B:$B,Calibration!$C:$C,0.25),0),TRUE,0))</f>
        <v>0</v>
      </c>
      <c r="AQ70" s="28">
        <f t="shared" si="12"/>
        <v>0</v>
      </c>
      <c r="AR70" s="28">
        <f t="shared" si="13"/>
        <v>0</v>
      </c>
      <c r="AS70" s="28">
        <f t="array" ref="AS70">IF($I70="","",IF(C70="P",IF(OR(I70="NOT_READABLE",I70="BLURRY"),XLOOKUP("near_add_step",Calibration!$B:$B,Calibration!$C:$C,0.25),0),IF(C70="R",IF(I70="NOT_CLEAR",XLOOKUP("near_add_step",Calibration!$B:$B,Calibration!$C:$C,0.25),0),0)))</f>
        <v>0</v>
      </c>
      <c r="AT70" s="28">
        <f t="array" ref="AT70">IF($I70="","",IF(C70="Q",IF(OR(I70="NOT_READABLE",I70="BLURRY"),XLOOKUP("near_add_step",Calibration!$B:$B,Calibration!$C:$C,0.25),0),IF(C70="R",IF(I70="NOT_CLEAR",XLOOKUP("near_add_step",Calibration!$B:$B,Calibration!$C:$C,0.25),0),0)))</f>
        <v>0.25</v>
      </c>
      <c r="AU70" s="28" t="str">
        <f t="array" ref="AU70">IF($I70="","",IF(G70="SNELLEN_FEET",IF(I70="READABLE",IFERROR(XLOOKUP(XLOOKUP(R70,Chart_Scale_Distance!B:B,Chart_Scale_Distance!A:A)+1,Chart_Scale_Distance!A:A,Chart_Scale_Distance!B:B),R70),R70),R70))</f>
        <v>20_20_20</v>
      </c>
      <c r="AV70" s="28">
        <f t="array" ref="AV70">IF($I69="","",IFERROR(XLOOKUP(R70,Chart_Scale_Distance!$B:$B,Chart_Scale_Distance!$A:$A,""),""))</f>
        <v>6</v>
      </c>
      <c r="AW70" s="28">
        <f t="array" ref="AW70">IF($I69="","",IFERROR(XLOOKUP(AA70,Chart_Scale_Distance!$B:$B,Chart_Scale_Distance!$A:$A,""),""))</f>
        <v>6</v>
      </c>
      <c r="AX70" s="28">
        <f t="shared" si="14"/>
        <v>0</v>
      </c>
      <c r="AY70" s="28">
        <f t="shared" si="15"/>
        <v>6</v>
      </c>
      <c r="AZ70" s="28" t="str">
        <f t="shared" si="16"/>
        <v/>
      </c>
      <c r="BA70" s="28">
        <f t="shared" si="17"/>
        <v>0</v>
      </c>
      <c r="BB70" s="28">
        <f t="shared" si="18"/>
        <v>0</v>
      </c>
      <c r="BC70" s="28" t="str">
        <f t="array" ref="BC70">IF($I70="","",LET(
conf,AI70,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duoMax,XLOOKUP($B70,Derived_Variables!$A:$A,Derived_Variables!$AI:$AI,4),
axisTol,XLOOKUP($B70,Derived_Variables!$A:$A,Derived_Variables!$W:$W,1),
maxStart,XLOOKUP($B70,Derived_Variables!$A:$A,Derived_Variables!$U:$U,1.25),
maxAR,XLOOKUP($B70,Derived_Variables!$A:$A,Derived_Variables!$V:$V,3),
anom,XLOOKUP($B70,Derived_Variables!$A:$A,Derived_Variables!$Z:$Z,FALSE),
reStart,XLOOKUP($B70,Derived_Variables!$A:$A,Derived_Variables!$K:$K,0),
leStart,XLOOKUP($B70,Derived_Variables!$A:$A,Derived_Variables!$N:$N,0),
reAR,XLOOKUP($B70,AR_Input!$A:$A,AR_Input!$B:$B,reStart),
leAR,XLOOKUP($B70,AR_Input!$A:$A,AR_Input!$E:$E,leStart),
reEsc,AND(anom,OR(ABS((S70+AM70)-reStart)&gt;maxStart,ABS((S70+AM70)-reAR)&gt;maxAR)),
leEsc,AND(anom,OR(ABS((V70+AP70)-leStart)&gt;maxStart,ABS((V70+AP70)-leAR)&gt;maxAR)),
phaseMax,IFS(
 AK70="Fast",
   IFS(
     OR(C70="B",C70="D"),XLOOKUP("timeout_coarse_fast",Calibration!$B:$B,Calibration!$C:$C,24),
     OR(C70="E",C70="F",C70="H",C70="I"),XLOOKUP("timeout_jcc_fast",Calibration!$B:$B,Calibration!$C:$C,10),
     OR(C70="G",C70="J"),XLOOKUP("timeout_duochrome_fast",Calibration!$B:$B,Calibration!$C:$C,8),
     C70="K",XLOOKUP("timeout_bino_fast",Calibration!$B:$B,Calibration!$C:$C,10),
     OR(C70="P",C70="Q",C70="R"),XLOOKUP("timeout_near_fast",Calibration!$B:$B,Calibration!$C:$C,16),
     TRUE,XLOOKUP("timeout_coarse_fast",Calibration!$B:$B,Calibration!$C:$C,24)
   ),
 AK70="Normal",
   IFS(
     OR(C70="B",C70="D"),XLOOKUP("timeout_coarse_normal",Calibration!$B:$B,Calibration!$C:$C,36),
     OR(C70="E",C70="F",C70="H",C70="I"),XLOOKUP("timeout_jcc_normal",Calibration!$B:$B,Calibration!$C:$C,14),
     OR(C70="G",C70="J"),XLOOKUP("timeout_duochrome_normal",Calibration!$B:$B,Calibration!$C:$C,10),
     C70="K",XLOOKUP("timeout_bino_normal",Calibration!$B:$B,Calibration!$C:$C,14),
     OR(C70="P",C70="Q",C70="R"),XLOOKUP("timeout_near_normal",Calibration!$B:$B,Calibration!$C:$C,22),
     TRUE,XLOOKUP("timeout_coarse_normal",Calibration!$B:$B,Calibration!$C:$C,36)
   ),
 TRUE,
   IFS(
     OR(C70="B",C70="D"),XLOOKUP("timeout_coarse_slow",Calibration!$B:$B,Calibration!$C:$C,48),
     OR(C70="E",C70="F",C70="H",C70="I"),XLOOKUP("timeout_jcc_slow",Calibration!$B:$B,Calibration!$C:$C,18),
     OR(C70="G",C70="J"),XLOOKUP("timeout_duochrome_slow",Calibration!$B:$B,Calibration!$C:$C,12),
     C70="K",XLOOKUP("timeout_bino_slow",Calibration!$B:$B,Calibration!$C:$C,18),
     OR(C70="P",C70="Q",C70="R"),XLOOKUP("timeout_near_slow",Calibration!$B:$B,Calibration!$C:$C,28),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AJ70=TRUE,"ESCALATE",
C70="A",
IF(OR(I70="NOT_READABLE",I70="BLURRY",AND(R70="20_20_20",I70="READABLE")),"B","A"),
C70="B",
IF(reEsc,"ESCALATE",IF(AY70&gt;=phaseMax,"ESCALATE",IF(AND(AV70&gt;=AW70,I70="READABLE"),"E","B"))),
C70="E",
IF(AY70&gt;=phaseMax,"ESCALATE",IF(OR(I70="SAME",I70="CANT_TELL",AD70&lt;axisTol),"F","E")),
C70="F",
IF(AY70&gt;=phaseMax,"ESCALATE",IF(AX70&gt;=powerSameN,"G","F")),
C70="G",
IF(AY70&gt;=phaseMax,"ESCALATE",IF(OR(AX70&gt;=duoEqualN,BB70&gt;=duoMax),"D","G")),
C70="D",
IF(leEsc,"ESCALATE",IF(AY70&gt;=phaseMax,"ESCALATE",IF(AND(AV70&gt;=AW70,I70="READABLE"),"H","D"))),
C70="H",
IF(AY70&gt;=phaseMax,"ESCALATE",IF(OR(I70="SAME",I70="CANT_TELL",AD70&lt;axisTol),"I","H")),
C70="I",
IF(AY70&gt;=phaseMax,"ESCALATE",IF(AX70&gt;=powerSameN,"J","I")),
C70="J",
IF(AY70&gt;=phaseMax,"ESCALATE",IF(OR(AX70&gt;=duoEqualN,BB70&gt;=duoMax),"K","J")),
C70="K",
IF(AY70&gt;=phaseMax,"ESCALATE",IF(AX70&gt;=binoSameN,IF(XLOOKUP($B70,Derived_Variables!$A:$A,Derived_Variables!$AJ:$AJ,FALSE)=TRUE,"P","END"),"K")),
C70="P",
IF(AY70&gt;=phaseMax,"ESCALATE",IF(OR(I70="READABLE",I70="SAME"),"Q","P")),
C70="Q",
IF(AY70&gt;=phaseMax,"ESCALATE",IF(OR(I70="READABLE",I70="SAME"),"R","Q")),
C70="R",
IF(AY70&gt;=phaseMax,"ESCALATE",IF(OR(I70=nearTarget,I70="SAME"),"END","R")),
TRUE,"END"
)))</f>
        <v>Q</v>
      </c>
      <c r="BD70" s="28" t="b">
        <f t="shared" si="19"/>
        <v>1</v>
      </c>
    </row>
    <row r="71" ht="15.75" customHeight="1">
      <c r="A71" s="28">
        <f t="shared" si="3"/>
        <v>70</v>
      </c>
      <c r="B71" s="28">
        <f t="shared" si="4"/>
        <v>6</v>
      </c>
      <c r="C71" s="28" t="str">
        <f t="shared" si="5"/>
        <v>Q</v>
      </c>
      <c r="D71" s="28" t="str">
        <f t="array" ref="D71">IF($I70="","",XLOOKUP(C71,FSM_State_Map!A:A,FSM_State_Map!B:B,""))</f>
        <v>Near ADD LE</v>
      </c>
      <c r="E71" s="28" t="str">
        <f t="array" ref="E71">IF($I70="","",XLOOKUP(C71,FSM_State_Map!A:A,FSM_State_Map!C:C,""))</f>
        <v>NEAR_ADD</v>
      </c>
      <c r="F71" s="28" t="str">
        <f t="array" ref="F71">IF($I70="","",XLOOKUP(E71,Phase_UI_Map!A:A,Phase_UI_Map!B:B,""))</f>
        <v>NEAR_VA</v>
      </c>
      <c r="G71" s="28" t="str">
        <f t="array" ref="G71">IF($I70="","",XLOOKUP(E71,Phase_UI_Map!A:A,Phase_UI_Map!C:C,""))</f>
        <v>NEAR_TEXT</v>
      </c>
      <c r="H71" s="28" t="str">
        <f t="array" ref="H71">IF($I70="","",XLOOKUP(E71,Phase_UI_Map!A:A,Phase_UI_Map!D:D,""))</f>
        <v>NEAR_READABILITY</v>
      </c>
      <c r="I71" s="29" t="s">
        <v>218</v>
      </c>
      <c r="J71" s="28" t="str">
        <f>IFERROR(__xludf.DUMMYFUNCTION("IF($I70="""","""",IFERROR(INDEX(FILTER(Response_Lists!$B:$B,Response_Lists!$A:$A=$H71),1),""""))"),"READABLE")</f>
        <v>READABLE</v>
      </c>
      <c r="K71" s="28" t="str">
        <f>IFERROR(__xludf.DUMMYFUNCTION("IF($I70="""","""",IFERROR(INDEX(FILTER(Response_Lists!$B:$B,Response_Lists!$A:$A=$H71),2),""""))"),"NOT_READABLE")</f>
        <v>NOT_READABLE</v>
      </c>
      <c r="L71" s="28" t="str">
        <f>IFERROR(__xludf.DUMMYFUNCTION("IF($I70="""","""",IFERROR(INDEX(FILTER(Response_Lists!$B:$B,Response_Lists!$A:$A=$H71),3),""""))"),"BLURRY")</f>
        <v>BLURRY</v>
      </c>
      <c r="M71" s="28" t="str">
        <f>IFERROR(__xludf.DUMMYFUNCTION("IF($I70="""","""",IFERROR(INDEX(FILTER(Response_Lists!$B:$B,Response_Lists!$A:$A=$H71),4),""""))"),"SAME")</f>
        <v>SAME</v>
      </c>
      <c r="N71" s="28" t="str">
        <f>IFERROR(__xludf.DUMMYFUNCTION("IF($I70="""","""",IFERROR(INDEX(FILTER(Response_Lists!$B:$B,Response_Lists!$A:$A=$H71),5),""""))"),"CANT_TELL")</f>
        <v>CANT_TELL</v>
      </c>
      <c r="O71" s="28" t="str">
        <f>IFERROR(__xludf.DUMMYFUNCTION("IF($I70="""","""",IFERROR(INDEX(FILTER(Response_Lists!$B:$B,Response_Lists!$A:$A=$H71),6),""""))"),"")</f>
        <v/>
      </c>
      <c r="P71" s="28" t="str">
        <f t="shared" si="6"/>
        <v>Can you read the near target clearly?</v>
      </c>
      <c r="Q71" s="28" t="str">
        <f t="array" ref="Q71">IF($I70="","",XLOOKUP(C71,FSM_State_Map!A:A,FSM_State_Map!D:D,""))</f>
        <v>LE</v>
      </c>
      <c r="R71" s="28" t="str">
        <f t="shared" si="7"/>
        <v>20_20_20</v>
      </c>
      <c r="S71" s="28">
        <f t="array" ref="S71">IF($I70="","",
IF(
  AND(C71="B",C70&lt;&gt;"B"),
  XLOOKUP($B71,Derived_Variables!$A:$A,Derived_Variables!$K:$K,0)
  + XLOOKUP($B71,Derived_Variables!$A:$A,Derived_Variables!$AE:$AE,0),
  S70+AM70
))</f>
        <v>-1</v>
      </c>
      <c r="T71" s="28">
        <f t="shared" ref="T71:U71" si="152">IF($I70="","",T70+AN70)</f>
        <v>-0.25</v>
      </c>
      <c r="U71" s="28">
        <f t="shared" si="152"/>
        <v>2</v>
      </c>
      <c r="V71" s="28">
        <f t="array" ref="V71">IF($I70="","",
IF(
  AND(C71="D",C70&lt;&gt;"D"),
  XLOOKUP($B71,Derived_Variables!$A:$A,Derived_Variables!$N:$N,0)
  + XLOOKUP($B71,Derived_Variables!$A:$A,Derived_Variables!$AE:$AE,0),
  V70+AP70
))</f>
        <v>-1.5</v>
      </c>
      <c r="W71" s="28">
        <f t="shared" ref="W71:X71" si="153">IF($I70="","",W70+AQ70)</f>
        <v>0</v>
      </c>
      <c r="X71" s="28">
        <f t="shared" si="153"/>
        <v>50</v>
      </c>
      <c r="Y71" s="28">
        <f t="array" ref="Y71">IF($I70="","",IF(AND(C71="P",C70&lt;&gt;"P"),IFERROR(XLOOKUP($B71,Lenso_Input!$A:$A,Lenso_Input!$E:$E,0),0),Y70+AS70))</f>
        <v>1.25</v>
      </c>
      <c r="Z71" s="28">
        <f t="array" ref="Z71">IF($I70="","",IF(AND(C71="Q",C70&lt;&gt;"Q"),IFERROR(XLOOKUP($B71,Lenso_Input!$A:$A,Lenso_Input!$I:$I,0),0),Z70+AT70))</f>
        <v>1.5</v>
      </c>
      <c r="AA71" s="28" t="str">
        <f t="array" ref="AA71">IF($I70="","",IF(XLOOKUP($B71,Derived_Variables!$A:$A,Derived_Variables!$R:$R,"6/6_target")="6/6_target","20_20_20","40_30_25"))</f>
        <v>20_20_20</v>
      </c>
      <c r="AB71" s="28">
        <f t="array" ref="AB71">IF($I70="","",XLOOKUP(LOWER(XLOOKUP($B71,Derived_Variables!$A:$A,Derived_Variables!$T:$T,"Standard"))&amp;"_sph_step",Calibration!$B:$B,Calibration!$C:$C,0.25))</f>
        <v>0.25</v>
      </c>
      <c r="AC71" s="28">
        <f t="array" ref="AC71">IF($I70="","",XLOOKUP(LOWER(XLOOKUP($B71,Derived_Variables!$A:$A,Derived_Variables!$T:$T,"Standard"))&amp;"_cyl_step",Calibration!$B:$B,Calibration!$C:$C,0.25))</f>
        <v>0.25</v>
      </c>
      <c r="AD71" s="28">
        <f t="array" ref="AD71">IF($I70="","",IF(OR(C71="E",C71="H"),LET(startStep,XLOOKUP("axis_start_step",Calibration!$B:$B,Calibration!$C:$C,5),step1,XLOOKUP("axis_reversal_step_1",Calibration!$B:$B,Calibration!$C:$C,3),step2,XLOOKUP("axis_reversal_step_2",Calibration!$B:$B,Calibration!$C:$C,1),IF(OR(C70&lt;&gt;C71,AZ71="",AZ71="SAME",AZ71="CANT_TELL",I71="",I71="SAME",I71="CANT_TELL"),startStep,IF(OR(AND(AZ71="BETTER_1",I71="BETTER_2"),AND(AZ71="BETTER_2",I71="BETTER_1")),IF(AD70&gt;step1,step1,step2),AD70))),0))</f>
        <v>0</v>
      </c>
      <c r="AE71" s="28" t="str">
        <f t="array" ref="AE71">IF($I70="","",XLOOKUP($B71,Derived_Variables!$A:$A,Derived_Variables!$AD:$AD,"No_Fog"))</f>
        <v>Strong_Fog</v>
      </c>
      <c r="AF71" s="28">
        <f t="array" ref="AF71">IF($I70="","",XLOOKUP($B71,Derived_Variables!$A:$A,Derived_Variables!$AE:$AE,0))</f>
        <v>1</v>
      </c>
      <c r="AG71" s="28" t="str">
        <f t="array" ref="AG71">IF($I70="","",XLOOKUP($B71,Derived_Variables!$A:$A,Derived_Variables!$AF:$AF,""))</f>
        <v>StepDown_0.25</v>
      </c>
      <c r="AH71" s="28" t="str">
        <f t="array" ref="AH71">IF($I70="","",XLOOKUP($B71,Derived_Variables!$A:$A,Derived_Variables!$AG:$AG,""))</f>
        <v>Low</v>
      </c>
      <c r="AI71" s="28" t="str">
        <f t="array" ref="AI71">IF($I70="","",XLOOKUP($B71,Derived_Variables!$A:$A,Derived_Variables!$AC:$AC,"Medium"))</f>
        <v>Low</v>
      </c>
      <c r="AJ71" s="28" t="b">
        <f t="array" ref="AJ71">IF($I70="","",XLOOKUP($B71,Derived_Variables!$A:$A,Derived_Variables!$Y:$Y,FALSE))</f>
        <v>0</v>
      </c>
      <c r="AK71" s="28" t="str">
        <f t="array" ref="AK71">IF($I70="","",XLOOKUP($B71,Derived_Variables!$A:$A,Derived_Variables!$AA:$AA,"Normal"))</f>
        <v>Slow</v>
      </c>
      <c r="AL71" s="28" t="str">
        <f t="array" ref="AL71">IF($I70="","",XLOOKUP($B71,Derived_Variables!$A:$A,Derived_Variables!$AB:$AB,"Normal"))</f>
        <v>Relaxed</v>
      </c>
      <c r="AM71" s="28">
        <f t="array" ref="AM71">IF($I71="","",IFS(C71="B",IF(OR(I71="NOT_READABLE",I71="BLURRY"),-AB71,0),C71="G",IFS(I71="RED_CLEARER",XLOOKUP("duochrome_red_step",Calibration!$B:$B,Calibration!$C:$C,-0.25),I71="GREEN_CLEARER",XLOOKUP("duochrome_green_step",Calibration!$B:$B,Calibration!$C:$C,0.25),I71="EQUAL",IF(XLOOKUP($B71,Derived_Variables!$A:$A,Derived_Variables!$S:$S,"Neutral")="Undercorrect",XLOOKUP("undercorrect_step",Calibration!$B:$B,Calibration!$C:$C,0.25),IF(XLOOKUP($B71,Derived_Variables!$A:$A,Derived_Variables!$S:$S,"Neutral")="Overcorrect",-XLOOKUP("overcorrect_step",Calibration!$B:$B,Calibration!$C:$C,0.25),0)),TRUE,0),C71="K",IF(I71="TOP_CLEARER",XLOOKUP("bino_balance_step",Calibration!$B:$B,Calibration!$C:$C,0.25),0),TRUE,0))</f>
        <v>0</v>
      </c>
      <c r="AN71" s="28">
        <f t="shared" si="10"/>
        <v>0</v>
      </c>
      <c r="AO71" s="28">
        <f t="shared" si="11"/>
        <v>0</v>
      </c>
      <c r="AP71" s="28">
        <f t="array" ref="AP71">IF($I71="","",IFS(C71="D",IF(OR(I71="NOT_READABLE",I71="BLURRY"),-AB71,0),C71="J",IFS(I71="RED_CLEARER",XLOOKUP("duochrome_red_step",Calibration!$B:$B,Calibration!$C:$C,-0.25),I71="GREEN_CLEARER",XLOOKUP("duochrome_green_step",Calibration!$B:$B,Calibration!$C:$C,0.25),I71="EQUAL",IF(XLOOKUP($B71,Derived_Variables!$A:$A,Derived_Variables!$S:$S,"Neutral")="Undercorrect",XLOOKUP("undercorrect_step",Calibration!$B:$B,Calibration!$C:$C,0.25),IF(XLOOKUP($B71,Derived_Variables!$A:$A,Derived_Variables!$S:$S,"Neutral")="Overcorrect",-XLOOKUP("overcorrect_step",Calibration!$B:$B,Calibration!$C:$C,0.25),0)),TRUE,0),C71="K",IF(I71="BOTTOM_CLEARER",XLOOKUP("bino_balance_step",Calibration!$B:$B,Calibration!$C:$C,0.25),0),TRUE,0))</f>
        <v>0</v>
      </c>
      <c r="AQ71" s="28">
        <f t="shared" si="12"/>
        <v>0</v>
      </c>
      <c r="AR71" s="28">
        <f t="shared" si="13"/>
        <v>0</v>
      </c>
      <c r="AS71" s="28">
        <f t="array" ref="AS71">IF($I71="","",IF(C71="P",IF(OR(I71="NOT_READABLE",I71="BLURRY"),XLOOKUP("near_add_step",Calibration!$B:$B,Calibration!$C:$C,0.25),0),IF(C71="R",IF(I71="NOT_CLEAR",XLOOKUP("near_add_step",Calibration!$B:$B,Calibration!$C:$C,0.25),0),0)))</f>
        <v>0</v>
      </c>
      <c r="AT71" s="28">
        <f t="array" ref="AT71">IF($I71="","",IF(C71="Q",IF(OR(I71="NOT_READABLE",I71="BLURRY"),XLOOKUP("near_add_step",Calibration!$B:$B,Calibration!$C:$C,0.25),0),IF(C71="R",IF(I71="NOT_CLEAR",XLOOKUP("near_add_step",Calibration!$B:$B,Calibration!$C:$C,0.25),0),0)))</f>
        <v>0</v>
      </c>
      <c r="AU71" s="28" t="str">
        <f t="array" ref="AU71">IF($I71="","",IF(G71="SNELLEN_FEET",IF(I71="READABLE",IFERROR(XLOOKUP(XLOOKUP(R71,Chart_Scale_Distance!B:B,Chart_Scale_Distance!A:A)+1,Chart_Scale_Distance!A:A,Chart_Scale_Distance!B:B),R71),R71),R71))</f>
        <v>20_20_20</v>
      </c>
      <c r="AV71" s="28">
        <f t="array" ref="AV71">IF($I70="","",IFERROR(XLOOKUP(R71,Chart_Scale_Distance!$B:$B,Chart_Scale_Distance!$A:$A,""),""))</f>
        <v>6</v>
      </c>
      <c r="AW71" s="28">
        <f t="array" ref="AW71">IF($I70="","",IFERROR(XLOOKUP(AA71,Chart_Scale_Distance!$B:$B,Chart_Scale_Distance!$A:$A,""),""))</f>
        <v>6</v>
      </c>
      <c r="AX71" s="28">
        <f t="shared" si="14"/>
        <v>0</v>
      </c>
      <c r="AY71" s="28">
        <f t="shared" si="15"/>
        <v>7</v>
      </c>
      <c r="AZ71" s="28" t="str">
        <f t="shared" si="16"/>
        <v/>
      </c>
      <c r="BA71" s="28">
        <f t="shared" si="17"/>
        <v>0</v>
      </c>
      <c r="BB71" s="28">
        <f t="shared" si="18"/>
        <v>0</v>
      </c>
      <c r="BC71" s="28" t="str">
        <f t="array" ref="BC71">IF($I71="","",LET(
conf,AI71,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duoMax,XLOOKUP($B71,Derived_Variables!$A:$A,Derived_Variables!$AI:$AI,4),
axisTol,XLOOKUP($B71,Derived_Variables!$A:$A,Derived_Variables!$W:$W,1),
maxStart,XLOOKUP($B71,Derived_Variables!$A:$A,Derived_Variables!$U:$U,1.25),
maxAR,XLOOKUP($B71,Derived_Variables!$A:$A,Derived_Variables!$V:$V,3),
anom,XLOOKUP($B71,Derived_Variables!$A:$A,Derived_Variables!$Z:$Z,FALSE),
reStart,XLOOKUP($B71,Derived_Variables!$A:$A,Derived_Variables!$K:$K,0),
leStart,XLOOKUP($B71,Derived_Variables!$A:$A,Derived_Variables!$N:$N,0),
reAR,XLOOKUP($B71,AR_Input!$A:$A,AR_Input!$B:$B,reStart),
leAR,XLOOKUP($B71,AR_Input!$A:$A,AR_Input!$E:$E,leStart),
reEsc,AND(anom,OR(ABS((S71+AM71)-reStart)&gt;maxStart,ABS((S71+AM71)-reAR)&gt;maxAR)),
leEsc,AND(anom,OR(ABS((V71+AP71)-leStart)&gt;maxStart,ABS((V71+AP71)-leAR)&gt;maxAR)),
phaseMax,IFS(
 AK71="Fast",
   IFS(
     OR(C71="B",C71="D"),XLOOKUP("timeout_coarse_fast",Calibration!$B:$B,Calibration!$C:$C,24),
     OR(C71="E",C71="F",C71="H",C71="I"),XLOOKUP("timeout_jcc_fast",Calibration!$B:$B,Calibration!$C:$C,10),
     OR(C71="G",C71="J"),XLOOKUP("timeout_duochrome_fast",Calibration!$B:$B,Calibration!$C:$C,8),
     C71="K",XLOOKUP("timeout_bino_fast",Calibration!$B:$B,Calibration!$C:$C,10),
     OR(C71="P",C71="Q",C71="R"),XLOOKUP("timeout_near_fast",Calibration!$B:$B,Calibration!$C:$C,16),
     TRUE,XLOOKUP("timeout_coarse_fast",Calibration!$B:$B,Calibration!$C:$C,24)
   ),
 AK71="Normal",
   IFS(
     OR(C71="B",C71="D"),XLOOKUP("timeout_coarse_normal",Calibration!$B:$B,Calibration!$C:$C,36),
     OR(C71="E",C71="F",C71="H",C71="I"),XLOOKUP("timeout_jcc_normal",Calibration!$B:$B,Calibration!$C:$C,14),
     OR(C71="G",C71="J"),XLOOKUP("timeout_duochrome_normal",Calibration!$B:$B,Calibration!$C:$C,10),
     C71="K",XLOOKUP("timeout_bino_normal",Calibration!$B:$B,Calibration!$C:$C,14),
     OR(C71="P",C71="Q",C71="R"),XLOOKUP("timeout_near_normal",Calibration!$B:$B,Calibration!$C:$C,22),
     TRUE,XLOOKUP("timeout_coarse_normal",Calibration!$B:$B,Calibration!$C:$C,36)
   ),
 TRUE,
   IFS(
     OR(C71="B",C71="D"),XLOOKUP("timeout_coarse_slow",Calibration!$B:$B,Calibration!$C:$C,48),
     OR(C71="E",C71="F",C71="H",C71="I"),XLOOKUP("timeout_jcc_slow",Calibration!$B:$B,Calibration!$C:$C,18),
     OR(C71="G",C71="J"),XLOOKUP("timeout_duochrome_slow",Calibration!$B:$B,Calibration!$C:$C,12),
     C71="K",XLOOKUP("timeout_bino_slow",Calibration!$B:$B,Calibration!$C:$C,18),
     OR(C71="P",C71="Q",C71="R"),XLOOKUP("timeout_near_slow",Calibration!$B:$B,Calibration!$C:$C,28),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AJ71=TRUE,"ESCALATE",
C71="A",
IF(OR(I71="NOT_READABLE",I71="BLURRY",AND(R71="20_20_20",I71="READABLE")),"B","A"),
C71="B",
IF(reEsc,"ESCALATE",IF(AY71&gt;=phaseMax,"ESCALATE",IF(AND(AV71&gt;=AW71,I71="READABLE"),"E","B"))),
C71="E",
IF(AY71&gt;=phaseMax,"ESCALATE",IF(OR(I71="SAME",I71="CANT_TELL",AD71&lt;axisTol),"F","E")),
C71="F",
IF(AY71&gt;=phaseMax,"ESCALATE",IF(AX71&gt;=powerSameN,"G","F")),
C71="G",
IF(AY71&gt;=phaseMax,"ESCALATE",IF(OR(AX71&gt;=duoEqualN,BB71&gt;=duoMax),"D","G")),
C71="D",
IF(leEsc,"ESCALATE",IF(AY71&gt;=phaseMax,"ESCALATE",IF(AND(AV71&gt;=AW71,I71="READABLE"),"H","D"))),
C71="H",
IF(AY71&gt;=phaseMax,"ESCALATE",IF(OR(I71="SAME",I71="CANT_TELL",AD71&lt;axisTol),"I","H")),
C71="I",
IF(AY71&gt;=phaseMax,"ESCALATE",IF(AX71&gt;=powerSameN,"J","I")),
C71="J",
IF(AY71&gt;=phaseMax,"ESCALATE",IF(OR(AX71&gt;=duoEqualN,BB71&gt;=duoMax),"K","J")),
C71="K",
IF(AY71&gt;=phaseMax,"ESCALATE",IF(AX71&gt;=binoSameN,IF(XLOOKUP($B71,Derived_Variables!$A:$A,Derived_Variables!$AJ:$AJ,FALSE)=TRUE,"P","END"),"K")),
C71="P",
IF(AY71&gt;=phaseMax,"ESCALATE",IF(OR(I71="READABLE",I71="SAME"),"Q","P")),
C71="Q",
IF(AY71&gt;=phaseMax,"ESCALATE",IF(OR(I71="READABLE",I71="SAME"),"R","Q")),
C71="R",
IF(AY71&gt;=phaseMax,"ESCALATE",IF(OR(I71=nearTarget,I71="SAME"),"END","R")),
TRUE,"END"
)))</f>
        <v>R</v>
      </c>
      <c r="BD71" s="28" t="b">
        <f t="shared" si="19"/>
        <v>1</v>
      </c>
    </row>
    <row r="72" ht="15.75" customHeight="1">
      <c r="A72" s="28">
        <f t="shared" si="3"/>
        <v>71</v>
      </c>
      <c r="B72" s="28">
        <f t="shared" si="4"/>
        <v>6</v>
      </c>
      <c r="C72" s="28" t="str">
        <f t="shared" si="5"/>
        <v>R</v>
      </c>
      <c r="D72" s="28" t="str">
        <f t="array" ref="D72">IF($I71="","",XLOOKUP(C72,FSM_State_Map!A:A,FSM_State_Map!B:B,""))</f>
        <v>Near Binocular Verify</v>
      </c>
      <c r="E72" s="28" t="str">
        <f t="array" ref="E72">IF($I71="","",XLOOKUP(C72,FSM_State_Map!A:A,FSM_State_Map!C:C,""))</f>
        <v>NEAR_BINOC</v>
      </c>
      <c r="F72" s="28" t="str">
        <f t="array" ref="F72">IF($I71="","",XLOOKUP(E72,Phase_UI_Map!A:A,Phase_UI_Map!B:B,""))</f>
        <v>NEAR_BINOC</v>
      </c>
      <c r="G72" s="28" t="str">
        <f t="array" ref="G72">IF($I71="","",XLOOKUP(E72,Phase_UI_Map!A:A,Phase_UI_Map!C:C,""))</f>
        <v>NEAR_TEXT</v>
      </c>
      <c r="H72" s="28" t="str">
        <f t="array" ref="H72">IF($I71="","",XLOOKUP(E72,Phase_UI_Map!A:A,Phase_UI_Map!D:D,""))</f>
        <v>NEAR_BINOC</v>
      </c>
      <c r="I72" s="29" t="s">
        <v>226</v>
      </c>
      <c r="J72" s="28" t="str">
        <f>IFERROR(__xludf.DUMMYFUNCTION("IF($I71="""","""",IFERROR(INDEX(FILTER(Response_Lists!$B:$B,Response_Lists!$A:$A=$H72),1),""""))"),"TARGET_OK")</f>
        <v>TARGET_OK</v>
      </c>
      <c r="K72" s="28" t="str">
        <f>IFERROR(__xludf.DUMMYFUNCTION("IF($I71="""","""",IFERROR(INDEX(FILTER(Response_Lists!$B:$B,Response_Lists!$A:$A=$H72),2),""""))"),"NOT_CLEAR")</f>
        <v>NOT_CLEAR</v>
      </c>
      <c r="L72" s="28" t="str">
        <f>IFERROR(__xludf.DUMMYFUNCTION("IF($I71="""","""",IFERROR(INDEX(FILTER(Response_Lists!$B:$B,Response_Lists!$A:$A=$H72),3),""""))"),"SAME")</f>
        <v>SAME</v>
      </c>
      <c r="M72" s="28" t="str">
        <f>IFERROR(__xludf.DUMMYFUNCTION("IF($I71="""","""",IFERROR(INDEX(FILTER(Response_Lists!$B:$B,Response_Lists!$A:$A=$H72),4),""""))"),"CANT_TELL")</f>
        <v>CANT_TELL</v>
      </c>
      <c r="N72" s="28" t="str">
        <f>IFERROR(__xludf.DUMMYFUNCTION("IF($I71="""","""",IFERROR(INDEX(FILTER(Response_Lists!$B:$B,Response_Lists!$A:$A=$H72),5),""""))"),"")</f>
        <v/>
      </c>
      <c r="O72" s="28" t="str">
        <f>IFERROR(__xludf.DUMMYFUNCTION("IF($I71="""","""",IFERROR(INDEX(FILTER(Response_Lists!$B:$B,Response_Lists!$A:$A=$H72),6),""""))"),"")</f>
        <v/>
      </c>
      <c r="P72" s="28" t="str">
        <f t="shared" si="6"/>
        <v>Is near clear and comfortable? (TARGET_OK/NOT_CLEAR)</v>
      </c>
      <c r="Q72" s="28" t="str">
        <f t="array" ref="Q72">IF($I71="","",XLOOKUP(C72,FSM_State_Map!A:A,FSM_State_Map!D:D,""))</f>
        <v>BIN</v>
      </c>
      <c r="R72" s="28" t="str">
        <f t="shared" si="7"/>
        <v>20_20_20</v>
      </c>
      <c r="S72" s="28">
        <f t="array" ref="S72">IF($I71="","",
IF(
  AND(C72="B",C71&lt;&gt;"B"),
  XLOOKUP($B72,Derived_Variables!$A:$A,Derived_Variables!$K:$K,0)
  + XLOOKUP($B72,Derived_Variables!$A:$A,Derived_Variables!$AE:$AE,0),
  S71+AM71
))</f>
        <v>-1</v>
      </c>
      <c r="T72" s="28">
        <f t="shared" ref="T72:U72" si="154">IF($I71="","",T71+AN71)</f>
        <v>-0.25</v>
      </c>
      <c r="U72" s="28">
        <f t="shared" si="154"/>
        <v>2</v>
      </c>
      <c r="V72" s="28">
        <f t="array" ref="V72">IF($I71="","",
IF(
  AND(C72="D",C71&lt;&gt;"D"),
  XLOOKUP($B72,Derived_Variables!$A:$A,Derived_Variables!$N:$N,0)
  + XLOOKUP($B72,Derived_Variables!$A:$A,Derived_Variables!$AE:$AE,0),
  V71+AP71
))</f>
        <v>-1.5</v>
      </c>
      <c r="W72" s="28">
        <f t="shared" ref="W72:X72" si="155">IF($I71="","",W71+AQ71)</f>
        <v>0</v>
      </c>
      <c r="X72" s="28">
        <f t="shared" si="155"/>
        <v>50</v>
      </c>
      <c r="Y72" s="28">
        <f t="array" ref="Y72">IF($I71="","",IF(AND(C72="P",C71&lt;&gt;"P"),IFERROR(XLOOKUP($B72,Lenso_Input!$A:$A,Lenso_Input!$E:$E,0),0),Y71+AS71))</f>
        <v>1.25</v>
      </c>
      <c r="Z72" s="28">
        <f t="array" ref="Z72">IF($I71="","",IF(AND(C72="Q",C71&lt;&gt;"Q"),IFERROR(XLOOKUP($B72,Lenso_Input!$A:$A,Lenso_Input!$I:$I,0),0),Z71+AT71))</f>
        <v>1.5</v>
      </c>
      <c r="AA72" s="28" t="str">
        <f t="array" ref="AA72">IF($I71="","",IF(XLOOKUP($B72,Derived_Variables!$A:$A,Derived_Variables!$R:$R,"6/6_target")="6/6_target","20_20_20","40_30_25"))</f>
        <v>20_20_20</v>
      </c>
      <c r="AB72" s="28">
        <f t="array" ref="AB72">IF($I71="","",XLOOKUP(LOWER(XLOOKUP($B72,Derived_Variables!$A:$A,Derived_Variables!$T:$T,"Standard"))&amp;"_sph_step",Calibration!$B:$B,Calibration!$C:$C,0.25))</f>
        <v>0.25</v>
      </c>
      <c r="AC72" s="28">
        <f t="array" ref="AC72">IF($I71="","",XLOOKUP(LOWER(XLOOKUP($B72,Derived_Variables!$A:$A,Derived_Variables!$T:$T,"Standard"))&amp;"_cyl_step",Calibration!$B:$B,Calibration!$C:$C,0.25))</f>
        <v>0.25</v>
      </c>
      <c r="AD72" s="28">
        <f t="array" ref="AD72">IF($I71="","",IF(OR(C72="E",C72="H"),LET(startStep,XLOOKUP("axis_start_step",Calibration!$B:$B,Calibration!$C:$C,5),step1,XLOOKUP("axis_reversal_step_1",Calibration!$B:$B,Calibration!$C:$C,3),step2,XLOOKUP("axis_reversal_step_2",Calibration!$B:$B,Calibration!$C:$C,1),IF(OR(C71&lt;&gt;C72,AZ72="",AZ72="SAME",AZ72="CANT_TELL",I72="",I72="SAME",I72="CANT_TELL"),startStep,IF(OR(AND(AZ72="BETTER_1",I72="BETTER_2"),AND(AZ72="BETTER_2",I72="BETTER_1")),IF(AD71&gt;step1,step1,step2),AD71))),0))</f>
        <v>0</v>
      </c>
      <c r="AE72" s="28" t="str">
        <f t="array" ref="AE72">IF($I71="","",XLOOKUP($B72,Derived_Variables!$A:$A,Derived_Variables!$AD:$AD,"No_Fog"))</f>
        <v>Strong_Fog</v>
      </c>
      <c r="AF72" s="28">
        <f t="array" ref="AF72">IF($I71="","",XLOOKUP($B72,Derived_Variables!$A:$A,Derived_Variables!$AE:$AE,0))</f>
        <v>1</v>
      </c>
      <c r="AG72" s="28" t="str">
        <f t="array" ref="AG72">IF($I71="","",XLOOKUP($B72,Derived_Variables!$A:$A,Derived_Variables!$AF:$AF,""))</f>
        <v>StepDown_0.25</v>
      </c>
      <c r="AH72" s="28" t="str">
        <f t="array" ref="AH72">IF($I71="","",XLOOKUP($B72,Derived_Variables!$A:$A,Derived_Variables!$AG:$AG,""))</f>
        <v>Low</v>
      </c>
      <c r="AI72" s="28" t="str">
        <f t="array" ref="AI72">IF($I71="","",XLOOKUP($B72,Derived_Variables!$A:$A,Derived_Variables!$AC:$AC,"Medium"))</f>
        <v>Low</v>
      </c>
      <c r="AJ72" s="28" t="b">
        <f t="array" ref="AJ72">IF($I71="","",XLOOKUP($B72,Derived_Variables!$A:$A,Derived_Variables!$Y:$Y,FALSE))</f>
        <v>0</v>
      </c>
      <c r="AK72" s="28" t="str">
        <f t="array" ref="AK72">IF($I71="","",XLOOKUP($B72,Derived_Variables!$A:$A,Derived_Variables!$AA:$AA,"Normal"))</f>
        <v>Slow</v>
      </c>
      <c r="AL72" s="28" t="str">
        <f t="array" ref="AL72">IF($I71="","",XLOOKUP($B72,Derived_Variables!$A:$A,Derived_Variables!$AB:$AB,"Normal"))</f>
        <v>Relaxed</v>
      </c>
      <c r="AM72" s="28">
        <f t="array" ref="AM72">IF($I72="","",IFS(C72="B",IF(OR(I72="NOT_READABLE",I72="BLURRY"),-AB72,0),C72="G",IFS(I72="RED_CLEARER",XLOOKUP("duochrome_red_step",Calibration!$B:$B,Calibration!$C:$C,-0.25),I72="GREEN_CLEARER",XLOOKUP("duochrome_green_step",Calibration!$B:$B,Calibration!$C:$C,0.25),I72="EQUAL",IF(XLOOKUP($B72,Derived_Variables!$A:$A,Derived_Variables!$S:$S,"Neutral")="Undercorrect",XLOOKUP("undercorrect_step",Calibration!$B:$B,Calibration!$C:$C,0.25),IF(XLOOKUP($B72,Derived_Variables!$A:$A,Derived_Variables!$S:$S,"Neutral")="Overcorrect",-XLOOKUP("overcorrect_step",Calibration!$B:$B,Calibration!$C:$C,0.25),0)),TRUE,0),C72="K",IF(I72="TOP_CLEARER",XLOOKUP("bino_balance_step",Calibration!$B:$B,Calibration!$C:$C,0.25),0),TRUE,0))</f>
        <v>0</v>
      </c>
      <c r="AN72" s="28">
        <f t="shared" si="10"/>
        <v>0</v>
      </c>
      <c r="AO72" s="28">
        <f t="shared" si="11"/>
        <v>0</v>
      </c>
      <c r="AP72" s="28">
        <f t="array" ref="AP72">IF($I72="","",IFS(C72="D",IF(OR(I72="NOT_READABLE",I72="BLURRY"),-AB72,0),C72="J",IFS(I72="RED_CLEARER",XLOOKUP("duochrome_red_step",Calibration!$B:$B,Calibration!$C:$C,-0.25),I72="GREEN_CLEARER",XLOOKUP("duochrome_green_step",Calibration!$B:$B,Calibration!$C:$C,0.25),I72="EQUAL",IF(XLOOKUP($B72,Derived_Variables!$A:$A,Derived_Variables!$S:$S,"Neutral")="Undercorrect",XLOOKUP("undercorrect_step",Calibration!$B:$B,Calibration!$C:$C,0.25),IF(XLOOKUP($B72,Derived_Variables!$A:$A,Derived_Variables!$S:$S,"Neutral")="Overcorrect",-XLOOKUP("overcorrect_step",Calibration!$B:$B,Calibration!$C:$C,0.25),0)),TRUE,0),C72="K",IF(I72="BOTTOM_CLEARER",XLOOKUP("bino_balance_step",Calibration!$B:$B,Calibration!$C:$C,0.25),0),TRUE,0))</f>
        <v>0</v>
      </c>
      <c r="AQ72" s="28">
        <f t="shared" si="12"/>
        <v>0</v>
      </c>
      <c r="AR72" s="28">
        <f t="shared" si="13"/>
        <v>0</v>
      </c>
      <c r="AS72" s="28">
        <f t="array" ref="AS72">IF($I72="","",IF(C72="P",IF(OR(I72="NOT_READABLE",I72="BLURRY"),XLOOKUP("near_add_step",Calibration!$B:$B,Calibration!$C:$C,0.25),0),IF(C72="R",IF(I72="NOT_CLEAR",XLOOKUP("near_add_step",Calibration!$B:$B,Calibration!$C:$C,0.25),0),0)))</f>
        <v>0</v>
      </c>
      <c r="AT72" s="28">
        <f t="array" ref="AT72">IF($I72="","",IF(C72="Q",IF(OR(I72="NOT_READABLE",I72="BLURRY"),XLOOKUP("near_add_step",Calibration!$B:$B,Calibration!$C:$C,0.25),0),IF(C72="R",IF(I72="NOT_CLEAR",XLOOKUP("near_add_step",Calibration!$B:$B,Calibration!$C:$C,0.25),0),0)))</f>
        <v>0</v>
      </c>
      <c r="AU72" s="28" t="str">
        <f t="array" ref="AU72">IF($I72="","",IF(G72="SNELLEN_FEET",IF(I72="READABLE",IFERROR(XLOOKUP(XLOOKUP(R72,Chart_Scale_Distance!B:B,Chart_Scale_Distance!A:A)+1,Chart_Scale_Distance!A:A,Chart_Scale_Distance!B:B),R72),R72),R72))</f>
        <v>20_20_20</v>
      </c>
      <c r="AV72" s="28">
        <f t="array" ref="AV72">IF($I71="","",IFERROR(XLOOKUP(R72,Chart_Scale_Distance!$B:$B,Chart_Scale_Distance!$A:$A,""),""))</f>
        <v>6</v>
      </c>
      <c r="AW72" s="28">
        <f t="array" ref="AW72">IF($I71="","",IFERROR(XLOOKUP(AA72,Chart_Scale_Distance!$B:$B,Chart_Scale_Distance!$A:$A,""),""))</f>
        <v>6</v>
      </c>
      <c r="AX72" s="28">
        <f t="shared" si="14"/>
        <v>0</v>
      </c>
      <c r="AY72" s="28">
        <f t="shared" si="15"/>
        <v>1</v>
      </c>
      <c r="AZ72" s="28" t="str">
        <f t="shared" si="16"/>
        <v/>
      </c>
      <c r="BA72" s="28">
        <f t="shared" si="17"/>
        <v>0</v>
      </c>
      <c r="BB72" s="28">
        <f t="shared" si="18"/>
        <v>0</v>
      </c>
      <c r="BC72" s="28" t="str">
        <f t="array" ref="BC72">IF($I72="","",LET(
conf,AI72,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duoMax,XLOOKUP($B72,Derived_Variables!$A:$A,Derived_Variables!$AI:$AI,4),
axisTol,XLOOKUP($B72,Derived_Variables!$A:$A,Derived_Variables!$W:$W,1),
maxStart,XLOOKUP($B72,Derived_Variables!$A:$A,Derived_Variables!$U:$U,1.25),
maxAR,XLOOKUP($B72,Derived_Variables!$A:$A,Derived_Variables!$V:$V,3),
anom,XLOOKUP($B72,Derived_Variables!$A:$A,Derived_Variables!$Z:$Z,FALSE),
reStart,XLOOKUP($B72,Derived_Variables!$A:$A,Derived_Variables!$K:$K,0),
leStart,XLOOKUP($B72,Derived_Variables!$A:$A,Derived_Variables!$N:$N,0),
reAR,XLOOKUP($B72,AR_Input!$A:$A,AR_Input!$B:$B,reStart),
leAR,XLOOKUP($B72,AR_Input!$A:$A,AR_Input!$E:$E,leStart),
reEsc,AND(anom,OR(ABS((S72+AM72)-reStart)&gt;maxStart,ABS((S72+AM72)-reAR)&gt;maxAR)),
leEsc,AND(anom,OR(ABS((V72+AP72)-leStart)&gt;maxStart,ABS((V72+AP72)-leAR)&gt;maxAR)),
phaseMax,IFS(
 AK72="Fast",
   IFS(
     OR(C72="B",C72="D"),XLOOKUP("timeout_coarse_fast",Calibration!$B:$B,Calibration!$C:$C,24),
     OR(C72="E",C72="F",C72="H",C72="I"),XLOOKUP("timeout_jcc_fast",Calibration!$B:$B,Calibration!$C:$C,10),
     OR(C72="G",C72="J"),XLOOKUP("timeout_duochrome_fast",Calibration!$B:$B,Calibration!$C:$C,8),
     C72="K",XLOOKUP("timeout_bino_fast",Calibration!$B:$B,Calibration!$C:$C,10),
     OR(C72="P",C72="Q",C72="R"),XLOOKUP("timeout_near_fast",Calibration!$B:$B,Calibration!$C:$C,16),
     TRUE,XLOOKUP("timeout_coarse_fast",Calibration!$B:$B,Calibration!$C:$C,24)
   ),
 AK72="Normal",
   IFS(
     OR(C72="B",C72="D"),XLOOKUP("timeout_coarse_normal",Calibration!$B:$B,Calibration!$C:$C,36),
     OR(C72="E",C72="F",C72="H",C72="I"),XLOOKUP("timeout_jcc_normal",Calibration!$B:$B,Calibration!$C:$C,14),
     OR(C72="G",C72="J"),XLOOKUP("timeout_duochrome_normal",Calibration!$B:$B,Calibration!$C:$C,10),
     C72="K",XLOOKUP("timeout_bino_normal",Calibration!$B:$B,Calibration!$C:$C,14),
     OR(C72="P",C72="Q",C72="R"),XLOOKUP("timeout_near_normal",Calibration!$B:$B,Calibration!$C:$C,22),
     TRUE,XLOOKUP("timeout_coarse_normal",Calibration!$B:$B,Calibration!$C:$C,36)
   ),
 TRUE,
   IFS(
     OR(C72="B",C72="D"),XLOOKUP("timeout_coarse_slow",Calibration!$B:$B,Calibration!$C:$C,48),
     OR(C72="E",C72="F",C72="H",C72="I"),XLOOKUP("timeout_jcc_slow",Calibration!$B:$B,Calibration!$C:$C,18),
     OR(C72="G",C72="J"),XLOOKUP("timeout_duochrome_slow",Calibration!$B:$B,Calibration!$C:$C,12),
     C72="K",XLOOKUP("timeout_bino_slow",Calibration!$B:$B,Calibration!$C:$C,18),
     OR(C72="P",C72="Q",C72="R"),XLOOKUP("timeout_near_slow",Calibration!$B:$B,Calibration!$C:$C,28),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AJ72=TRUE,"ESCALATE",
C72="A",
IF(OR(I72="NOT_READABLE",I72="BLURRY",AND(R72="20_20_20",I72="READABLE")),"B","A"),
C72="B",
IF(reEsc,"ESCALATE",IF(AY72&gt;=phaseMax,"ESCALATE",IF(AND(AV72&gt;=AW72,I72="READABLE"),"E","B"))),
C72="E",
IF(AY72&gt;=phaseMax,"ESCALATE",IF(OR(I72="SAME",I72="CANT_TELL",AD72&lt;axisTol),"F","E")),
C72="F",
IF(AY72&gt;=phaseMax,"ESCALATE",IF(AX72&gt;=powerSameN,"G","F")),
C72="G",
IF(AY72&gt;=phaseMax,"ESCALATE",IF(OR(AX72&gt;=duoEqualN,BB72&gt;=duoMax),"D","G")),
C72="D",
IF(leEsc,"ESCALATE",IF(AY72&gt;=phaseMax,"ESCALATE",IF(AND(AV72&gt;=AW72,I72="READABLE"),"H","D"))),
C72="H",
IF(AY72&gt;=phaseMax,"ESCALATE",IF(OR(I72="SAME",I72="CANT_TELL",AD72&lt;axisTol),"I","H")),
C72="I",
IF(AY72&gt;=phaseMax,"ESCALATE",IF(AX72&gt;=powerSameN,"J","I")),
C72="J",
IF(AY72&gt;=phaseMax,"ESCALATE",IF(OR(AX72&gt;=duoEqualN,BB72&gt;=duoMax),"K","J")),
C72="K",
IF(AY72&gt;=phaseMax,"ESCALATE",IF(AX72&gt;=binoSameN,IF(XLOOKUP($B72,Derived_Variables!$A:$A,Derived_Variables!$AJ:$AJ,FALSE)=TRUE,"P","END"),"K")),
C72="P",
IF(AY72&gt;=phaseMax,"ESCALATE",IF(OR(I72="READABLE",I72="SAME"),"Q","P")),
C72="Q",
IF(AY72&gt;=phaseMax,"ESCALATE",IF(OR(I72="READABLE",I72="SAME"),"R","Q")),
C72="R",
IF(AY72&gt;=phaseMax,"ESCALATE",IF(OR(I72=nearTarget,I72="SAME"),"END","R")),
TRUE,"END"
)))</f>
        <v>END</v>
      </c>
      <c r="BD72" s="28" t="b">
        <f t="shared" si="19"/>
        <v>1</v>
      </c>
    </row>
    <row r="73" ht="15.75" customHeight="1">
      <c r="A73" s="28">
        <f t="shared" si="3"/>
        <v>72</v>
      </c>
      <c r="B73" s="28">
        <f t="shared" si="4"/>
        <v>6</v>
      </c>
      <c r="C73" s="28" t="str">
        <f t="shared" si="5"/>
        <v>END</v>
      </c>
      <c r="D73" s="28" t="str">
        <f t="array" ref="D73">IF($I72="","",XLOOKUP(C73,FSM_State_Map!A:A,FSM_State_Map!B:B,""))</f>
        <v>End</v>
      </c>
      <c r="E73" s="28" t="str">
        <f t="array" ref="E73">IF($I72="","",XLOOKUP(C73,FSM_State_Map!A:A,FSM_State_Map!C:C,""))</f>
        <v>END</v>
      </c>
      <c r="F73" s="28" t="str">
        <f t="array" ref="F73">IF($I72="","",XLOOKUP(E73,Phase_UI_Map!A:A,Phase_UI_Map!B:B,""))</f>
        <v/>
      </c>
      <c r="G73" s="28" t="str">
        <f t="array" ref="G73">IF($I72="","",XLOOKUP(E73,Phase_UI_Map!A:A,Phase_UI_Map!C:C,""))</f>
        <v/>
      </c>
      <c r="H73" s="28" t="str">
        <f t="array" ref="H73">IF($I72="","",XLOOKUP(E73,Phase_UI_Map!A:A,Phase_UI_Map!D:D,""))</f>
        <v/>
      </c>
      <c r="I73" s="29"/>
      <c r="J73" s="28" t="str">
        <f>IFERROR(__xludf.DUMMYFUNCTION("IF($I72="""","""",IFERROR(INDEX(FILTER(Response_Lists!$B:$B,Response_Lists!$A:$A=$H73),1),""""))"),"")</f>
        <v/>
      </c>
      <c r="K73" s="28" t="str">
        <f>IFERROR(__xludf.DUMMYFUNCTION("IF($I72="""","""",IFERROR(INDEX(FILTER(Response_Lists!$B:$B,Response_Lists!$A:$A=$H73),2),""""))"),"")</f>
        <v/>
      </c>
      <c r="L73" s="28" t="str">
        <f>IFERROR(__xludf.DUMMYFUNCTION("IF($I72="""","""",IFERROR(INDEX(FILTER(Response_Lists!$B:$B,Response_Lists!$A:$A=$H73),3),""""))"),"")</f>
        <v/>
      </c>
      <c r="M73" s="28" t="str">
        <f>IFERROR(__xludf.DUMMYFUNCTION("IF($I72="""","""",IFERROR(INDEX(FILTER(Response_Lists!$B:$B,Response_Lists!$A:$A=$H73),4),""""))"),"")</f>
        <v/>
      </c>
      <c r="N73" s="28" t="str">
        <f>IFERROR(__xludf.DUMMYFUNCTION("IF($I72="""","""",IFERROR(INDEX(FILTER(Response_Lists!$B:$B,Response_Lists!$A:$A=$H73),5),""""))"),"")</f>
        <v/>
      </c>
      <c r="O73" s="28" t="str">
        <f>IFERROR(__xludf.DUMMYFUNCTION("IF($I72="""","""",IFERROR(INDEX(FILTER(Response_Lists!$B:$B,Response_Lists!$A:$A=$H73),6),""""))"),"")</f>
        <v/>
      </c>
      <c r="P73" s="28" t="str">
        <f t="shared" si="6"/>
        <v/>
      </c>
      <c r="Q73" s="28" t="str">
        <f t="array" ref="Q73">IF($I72="","",XLOOKUP(C73,FSM_State_Map!A:A,FSM_State_Map!D:D,""))</f>
        <v>BIN</v>
      </c>
      <c r="R73" s="28" t="str">
        <f t="shared" si="7"/>
        <v>20_20_20</v>
      </c>
      <c r="S73" s="28">
        <f t="array" ref="S73">IF($I72="","",
IF(
  AND(C73="B",C72&lt;&gt;"B"),
  XLOOKUP($B73,Derived_Variables!$A:$A,Derived_Variables!$K:$K,0)
  + XLOOKUP($B73,Derived_Variables!$A:$A,Derived_Variables!$AE:$AE,0),
  S72+AM72
))</f>
        <v>-1</v>
      </c>
      <c r="T73" s="28">
        <f t="shared" ref="T73:U73" si="156">IF($I72="","",T72+AN72)</f>
        <v>-0.25</v>
      </c>
      <c r="U73" s="28">
        <f t="shared" si="156"/>
        <v>2</v>
      </c>
      <c r="V73" s="28">
        <f t="array" ref="V73">IF($I72="","",
IF(
  AND(C73="D",C72&lt;&gt;"D"),
  XLOOKUP($B73,Derived_Variables!$A:$A,Derived_Variables!$N:$N,0)
  + XLOOKUP($B73,Derived_Variables!$A:$A,Derived_Variables!$AE:$AE,0),
  V72+AP72
))</f>
        <v>-1.5</v>
      </c>
      <c r="W73" s="28">
        <f t="shared" ref="W73:X73" si="157">IF($I72="","",W72+AQ72)</f>
        <v>0</v>
      </c>
      <c r="X73" s="28">
        <f t="shared" si="157"/>
        <v>50</v>
      </c>
      <c r="Y73" s="28">
        <f t="array" ref="Y73">IF($I72="","",IF(AND(C73="P",C72&lt;&gt;"P"),IFERROR(XLOOKUP($B73,Lenso_Input!$A:$A,Lenso_Input!$E:$E,0),0),Y72+AS72))</f>
        <v>1.25</v>
      </c>
      <c r="Z73" s="28">
        <f t="array" ref="Z73">IF($I72="","",IF(AND(C73="Q",C72&lt;&gt;"Q"),IFERROR(XLOOKUP($B73,Lenso_Input!$A:$A,Lenso_Input!$I:$I,0),0),Z72+AT72))</f>
        <v>1.5</v>
      </c>
      <c r="AA73" s="28" t="str">
        <f t="array" ref="AA73">IF($I72="","",IF(XLOOKUP($B73,Derived_Variables!$A:$A,Derived_Variables!$R:$R,"6/6_target")="6/6_target","20_20_20","40_30_25"))</f>
        <v>20_20_20</v>
      </c>
      <c r="AB73" s="28">
        <f t="array" ref="AB73">IF($I72="","",XLOOKUP(LOWER(XLOOKUP($B73,Derived_Variables!$A:$A,Derived_Variables!$T:$T,"Standard"))&amp;"_sph_step",Calibration!$B:$B,Calibration!$C:$C,0.25))</f>
        <v>0.25</v>
      </c>
      <c r="AC73" s="28">
        <f t="array" ref="AC73">IF($I72="","",XLOOKUP(LOWER(XLOOKUP($B73,Derived_Variables!$A:$A,Derived_Variables!$T:$T,"Standard"))&amp;"_cyl_step",Calibration!$B:$B,Calibration!$C:$C,0.25))</f>
        <v>0.25</v>
      </c>
      <c r="AD73" s="28">
        <f t="array" ref="AD73">IF($I72="","",IF(OR(C73="E",C73="H"),LET(startStep,XLOOKUP("axis_start_step",Calibration!$B:$B,Calibration!$C:$C,5),step1,XLOOKUP("axis_reversal_step_1",Calibration!$B:$B,Calibration!$C:$C,3),step2,XLOOKUP("axis_reversal_step_2",Calibration!$B:$B,Calibration!$C:$C,1),IF(OR(C72&lt;&gt;C73,AZ73="",AZ73="SAME",AZ73="CANT_TELL",I73="",I73="SAME",I73="CANT_TELL"),startStep,IF(OR(AND(AZ73="BETTER_1",I73="BETTER_2"),AND(AZ73="BETTER_2",I73="BETTER_1")),IF(AD72&gt;step1,step1,step2),AD72))),0))</f>
        <v>0</v>
      </c>
      <c r="AE73" s="28" t="str">
        <f t="array" ref="AE73">IF($I72="","",XLOOKUP($B73,Derived_Variables!$A:$A,Derived_Variables!$AD:$AD,"No_Fog"))</f>
        <v>Strong_Fog</v>
      </c>
      <c r="AF73" s="28">
        <f t="array" ref="AF73">IF($I72="","",XLOOKUP($B73,Derived_Variables!$A:$A,Derived_Variables!$AE:$AE,0))</f>
        <v>1</v>
      </c>
      <c r="AG73" s="28" t="str">
        <f t="array" ref="AG73">IF($I72="","",XLOOKUP($B73,Derived_Variables!$A:$A,Derived_Variables!$AF:$AF,""))</f>
        <v>StepDown_0.25</v>
      </c>
      <c r="AH73" s="28" t="str">
        <f t="array" ref="AH73">IF($I72="","",XLOOKUP($B73,Derived_Variables!$A:$A,Derived_Variables!$AG:$AG,""))</f>
        <v>Low</v>
      </c>
      <c r="AI73" s="28" t="str">
        <f t="array" ref="AI73">IF($I72="","",XLOOKUP($B73,Derived_Variables!$A:$A,Derived_Variables!$AC:$AC,"Medium"))</f>
        <v>Low</v>
      </c>
      <c r="AJ73" s="28" t="b">
        <f t="array" ref="AJ73">IF($I72="","",XLOOKUP($B73,Derived_Variables!$A:$A,Derived_Variables!$Y:$Y,FALSE))</f>
        <v>0</v>
      </c>
      <c r="AK73" s="28" t="str">
        <f t="array" ref="AK73">IF($I72="","",XLOOKUP($B73,Derived_Variables!$A:$A,Derived_Variables!$AA:$AA,"Normal"))</f>
        <v>Slow</v>
      </c>
      <c r="AL73" s="28" t="str">
        <f t="array" ref="AL73">IF($I72="","",XLOOKUP($B73,Derived_Variables!$A:$A,Derived_Variables!$AB:$AB,"Normal"))</f>
        <v>Relaxed</v>
      </c>
      <c r="AM73" s="28" t="str">
        <f t="array" ref="AM73">IF($I73="","",IFS(C73="B",IF(OR(I73="NOT_READABLE",I73="BLURRY"),-AB73,0),C73="G",IFS(I73="RED_CLEARER",XLOOKUP("duochrome_red_step",Calibration!$B:$B,Calibration!$C:$C,-0.25),I73="GREEN_CLEARER",XLOOKUP("duochrome_green_step",Calibration!$B:$B,Calibration!$C:$C,0.25),I73="EQUAL",IF(XLOOKUP($B73,Derived_Variables!$A:$A,Derived_Variables!$S:$S,"Neutral")="Undercorrect",XLOOKUP("undercorrect_step",Calibration!$B:$B,Calibration!$C:$C,0.25),IF(XLOOKUP($B73,Derived_Variables!$A:$A,Derived_Variables!$S:$S,"Neutral")="Overcorrect",-XLOOKUP("overcorrect_step",Calibration!$B:$B,Calibration!$C:$C,0.25),0)),TRUE,0),C73="K",IF(I73="TOP_CLEARER",XLOOKUP("bino_balance_step",Calibration!$B:$B,Calibration!$C:$C,0.25),0),TRUE,0))</f>
        <v/>
      </c>
      <c r="AN73" s="28" t="str">
        <f t="shared" si="10"/>
        <v/>
      </c>
      <c r="AO73" s="28" t="str">
        <f t="shared" si="11"/>
        <v/>
      </c>
      <c r="AP73" s="28" t="str">
        <f t="array" ref="AP73">IF($I73="","",IFS(C73="D",IF(OR(I73="NOT_READABLE",I73="BLURRY"),-AB73,0),C73="J",IFS(I73="RED_CLEARER",XLOOKUP("duochrome_red_step",Calibration!$B:$B,Calibration!$C:$C,-0.25),I73="GREEN_CLEARER",XLOOKUP("duochrome_green_step",Calibration!$B:$B,Calibration!$C:$C,0.25),I73="EQUAL",IF(XLOOKUP($B73,Derived_Variables!$A:$A,Derived_Variables!$S:$S,"Neutral")="Undercorrect",XLOOKUP("undercorrect_step",Calibration!$B:$B,Calibration!$C:$C,0.25),IF(XLOOKUP($B73,Derived_Variables!$A:$A,Derived_Variables!$S:$S,"Neutral")="Overcorrect",-XLOOKUP("overcorrect_step",Calibration!$B:$B,Calibration!$C:$C,0.25),0)),TRUE,0),C73="K",IF(I73="BOTTOM_CLEARER",XLOOKUP("bino_balance_step",Calibration!$B:$B,Calibration!$C:$C,0.25),0),TRUE,0))</f>
        <v/>
      </c>
      <c r="AQ73" s="28" t="str">
        <f t="shared" si="12"/>
        <v/>
      </c>
      <c r="AR73" s="28" t="str">
        <f t="shared" si="13"/>
        <v/>
      </c>
      <c r="AS73" s="28" t="str">
        <f t="array" ref="AS73">IF($I73="","",IF(C73="P",IF(OR(I73="NOT_READABLE",I73="BLURRY"),XLOOKUP("near_add_step",Calibration!$B:$B,Calibration!$C:$C,0.25),0),IF(C73="R",IF(I73="NOT_CLEAR",XLOOKUP("near_add_step",Calibration!$B:$B,Calibration!$C:$C,0.25),0),0)))</f>
        <v/>
      </c>
      <c r="AT73" s="28" t="str">
        <f t="array" ref="AT73">IF($I73="","",IF(C73="Q",IF(OR(I73="NOT_READABLE",I73="BLURRY"),XLOOKUP("near_add_step",Calibration!$B:$B,Calibration!$C:$C,0.25),0),IF(C73="R",IF(I73="NOT_CLEAR",XLOOKUP("near_add_step",Calibration!$B:$B,Calibration!$C:$C,0.25),0),0)))</f>
        <v/>
      </c>
      <c r="AU73" s="28" t="str">
        <f t="array" ref="AU73">IF($I73="","",IF(G73="SNELLEN_FEET",IF(I73="READABLE",IFERROR(XLOOKUP(XLOOKUP(R73,Chart_Scale_Distance!B:B,Chart_Scale_Distance!A:A)+1,Chart_Scale_Distance!A:A,Chart_Scale_Distance!B:B),R73),R73),R73))</f>
        <v/>
      </c>
      <c r="AV73" s="28">
        <f t="array" ref="AV73">IF($I72="","",IFERROR(XLOOKUP(R73,Chart_Scale_Distance!$B:$B,Chart_Scale_Distance!$A:$A,""),""))</f>
        <v>6</v>
      </c>
      <c r="AW73" s="28">
        <f t="array" ref="AW73">IF($I72="","",IFERROR(XLOOKUP(AA73,Chart_Scale_Distance!$B:$B,Chart_Scale_Distance!$A:$A,""),""))</f>
        <v>6</v>
      </c>
      <c r="AX73" s="28" t="str">
        <f t="shared" si="14"/>
        <v/>
      </c>
      <c r="AY73" s="28" t="str">
        <f t="shared" si="15"/>
        <v/>
      </c>
      <c r="AZ73" s="28" t="str">
        <f t="shared" si="16"/>
        <v/>
      </c>
      <c r="BA73" s="28" t="str">
        <f t="shared" si="17"/>
        <v/>
      </c>
      <c r="BB73" s="28" t="str">
        <f t="shared" si="18"/>
        <v/>
      </c>
      <c r="BC73" s="28" t="str">
        <f t="array" ref="BC73">IF($I73="","",LET(
conf,AI73,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duoMax,XLOOKUP($B73,Derived_Variables!$A:$A,Derived_Variables!$AI:$AI,4),
axisTol,XLOOKUP($B73,Derived_Variables!$A:$A,Derived_Variables!$W:$W,1),
maxStart,XLOOKUP($B73,Derived_Variables!$A:$A,Derived_Variables!$U:$U,1.25),
maxAR,XLOOKUP($B73,Derived_Variables!$A:$A,Derived_Variables!$V:$V,3),
anom,XLOOKUP($B73,Derived_Variables!$A:$A,Derived_Variables!$Z:$Z,FALSE),
reStart,XLOOKUP($B73,Derived_Variables!$A:$A,Derived_Variables!$K:$K,0),
leStart,XLOOKUP($B73,Derived_Variables!$A:$A,Derived_Variables!$N:$N,0),
reAR,XLOOKUP($B73,AR_Input!$A:$A,AR_Input!$B:$B,reStart),
leAR,XLOOKUP($B73,AR_Input!$A:$A,AR_Input!$E:$E,leStart),
reEsc,AND(anom,OR(ABS((S73+AM73)-reStart)&gt;maxStart,ABS((S73+AM73)-reAR)&gt;maxAR)),
leEsc,AND(anom,OR(ABS((V73+AP73)-leStart)&gt;maxStart,ABS((V73+AP73)-leAR)&gt;maxAR)),
phaseMax,IFS(
 AK73="Fast",
   IFS(
     OR(C73="B",C73="D"),XLOOKUP("timeout_coarse_fast",Calibration!$B:$B,Calibration!$C:$C,24),
     OR(C73="E",C73="F",C73="H",C73="I"),XLOOKUP("timeout_jcc_fast",Calibration!$B:$B,Calibration!$C:$C,10),
     OR(C73="G",C73="J"),XLOOKUP("timeout_duochrome_fast",Calibration!$B:$B,Calibration!$C:$C,8),
     C73="K",XLOOKUP("timeout_bino_fast",Calibration!$B:$B,Calibration!$C:$C,10),
     OR(C73="P",C73="Q",C73="R"),XLOOKUP("timeout_near_fast",Calibration!$B:$B,Calibration!$C:$C,16),
     TRUE,XLOOKUP("timeout_coarse_fast",Calibration!$B:$B,Calibration!$C:$C,24)
   ),
 AK73="Normal",
   IFS(
     OR(C73="B",C73="D"),XLOOKUP("timeout_coarse_normal",Calibration!$B:$B,Calibration!$C:$C,36),
     OR(C73="E",C73="F",C73="H",C73="I"),XLOOKUP("timeout_jcc_normal",Calibration!$B:$B,Calibration!$C:$C,14),
     OR(C73="G",C73="J"),XLOOKUP("timeout_duochrome_normal",Calibration!$B:$B,Calibration!$C:$C,10),
     C73="K",XLOOKUP("timeout_bino_normal",Calibration!$B:$B,Calibration!$C:$C,14),
     OR(C73="P",C73="Q",C73="R"),XLOOKUP("timeout_near_normal",Calibration!$B:$B,Calibration!$C:$C,22),
     TRUE,XLOOKUP("timeout_coarse_normal",Calibration!$B:$B,Calibration!$C:$C,36)
   ),
 TRUE,
   IFS(
     OR(C73="B",C73="D"),XLOOKUP("timeout_coarse_slow",Calibration!$B:$B,Calibration!$C:$C,48),
     OR(C73="E",C73="F",C73="H",C73="I"),XLOOKUP("timeout_jcc_slow",Calibration!$B:$B,Calibration!$C:$C,18),
     OR(C73="G",C73="J"),XLOOKUP("timeout_duochrome_slow",Calibration!$B:$B,Calibration!$C:$C,12),
     C73="K",XLOOKUP("timeout_bino_slow",Calibration!$B:$B,Calibration!$C:$C,18),
     OR(C73="P",C73="Q",C73="R"),XLOOKUP("timeout_near_slow",Calibration!$B:$B,Calibration!$C:$C,28),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AJ73=TRUE,"ESCALATE",
C73="A",
IF(OR(I73="NOT_READABLE",I73="BLURRY",AND(R73="20_20_20",I73="READABLE")),"B","A"),
C73="B",
IF(reEsc,"ESCALATE",IF(AY73&gt;=phaseMax,"ESCALATE",IF(AND(AV73&gt;=AW73,I73="READABLE"),"E","B"))),
C73="E",
IF(AY73&gt;=phaseMax,"ESCALATE",IF(OR(I73="SAME",I73="CANT_TELL",AD73&lt;axisTol),"F","E")),
C73="F",
IF(AY73&gt;=phaseMax,"ESCALATE",IF(AX73&gt;=powerSameN,"G","F")),
C73="G",
IF(AY73&gt;=phaseMax,"ESCALATE",IF(OR(AX73&gt;=duoEqualN,BB73&gt;=duoMax),"D","G")),
C73="D",
IF(leEsc,"ESCALATE",IF(AY73&gt;=phaseMax,"ESCALATE",IF(AND(AV73&gt;=AW73,I73="READABLE"),"H","D"))),
C73="H",
IF(AY73&gt;=phaseMax,"ESCALATE",IF(OR(I73="SAME",I73="CANT_TELL",AD73&lt;axisTol),"I","H")),
C73="I",
IF(AY73&gt;=phaseMax,"ESCALATE",IF(AX73&gt;=powerSameN,"J","I")),
C73="J",
IF(AY73&gt;=phaseMax,"ESCALATE",IF(OR(AX73&gt;=duoEqualN,BB73&gt;=duoMax),"K","J")),
C73="K",
IF(AY73&gt;=phaseMax,"ESCALATE",IF(AX73&gt;=binoSameN,IF(XLOOKUP($B73,Derived_Variables!$A:$A,Derived_Variables!$AJ:$AJ,FALSE)=TRUE,"P","END"),"K")),
C73="P",
IF(AY73&gt;=phaseMax,"ESCALATE",IF(OR(I73="READABLE",I73="SAME"),"Q","P")),
C73="Q",
IF(AY73&gt;=phaseMax,"ESCALATE",IF(OR(I73="READABLE",I73="SAME"),"R","Q")),
C73="R",
IF(AY73&gt;=phaseMax,"ESCALATE",IF(OR(I73=nearTarget,I73="SAME"),"END","R")),
TRUE,"END"
)))</f>
        <v/>
      </c>
      <c r="BD73" s="28" t="b">
        <f t="shared" si="19"/>
        <v>1</v>
      </c>
    </row>
    <row r="74" ht="15.75" customHeight="1">
      <c r="A74" s="28">
        <f t="shared" si="3"/>
        <v>73</v>
      </c>
      <c r="B74" s="28">
        <f t="shared" si="4"/>
        <v>6</v>
      </c>
      <c r="C74" s="28" t="str">
        <f t="shared" si="5"/>
        <v/>
      </c>
      <c r="D74" s="28" t="str">
        <f t="array" ref="D74">IF($I73="","",XLOOKUP(C74,FSM_State_Map!A:A,FSM_State_Map!B:B,""))</f>
        <v/>
      </c>
      <c r="E74" s="28" t="str">
        <f t="array" ref="E74">IF($I73="","",XLOOKUP(C74,FSM_State_Map!A:A,FSM_State_Map!C:C,""))</f>
        <v/>
      </c>
      <c r="F74" s="28" t="str">
        <f t="array" ref="F74">IF($I73="","",XLOOKUP(E74,Phase_UI_Map!A:A,Phase_UI_Map!B:B,""))</f>
        <v/>
      </c>
      <c r="G74" s="28" t="str">
        <f t="array" ref="G74">IF($I73="","",XLOOKUP(E74,Phase_UI_Map!A:A,Phase_UI_Map!C:C,""))</f>
        <v/>
      </c>
      <c r="H74" s="28" t="str">
        <f t="array" ref="H74">IF($I73="","",XLOOKUP(E74,Phase_UI_Map!A:A,Phase_UI_Map!D:D,""))</f>
        <v/>
      </c>
      <c r="I74" s="29"/>
      <c r="J74" s="28" t="str">
        <f>IFERROR(__xludf.DUMMYFUNCTION("IF($I73="""","""",IFERROR(INDEX(FILTER(Response_Lists!$B:$B,Response_Lists!$A:$A=$H74),1),""""))"),"")</f>
        <v/>
      </c>
      <c r="K74" s="28" t="str">
        <f>IFERROR(__xludf.DUMMYFUNCTION("IF($I73="""","""",IFERROR(INDEX(FILTER(Response_Lists!$B:$B,Response_Lists!$A:$A=$H74),2),""""))"),"")</f>
        <v/>
      </c>
      <c r="L74" s="28" t="str">
        <f>IFERROR(__xludf.DUMMYFUNCTION("IF($I73="""","""",IFERROR(INDEX(FILTER(Response_Lists!$B:$B,Response_Lists!$A:$A=$H74),3),""""))"),"")</f>
        <v/>
      </c>
      <c r="M74" s="28" t="str">
        <f>IFERROR(__xludf.DUMMYFUNCTION("IF($I73="""","""",IFERROR(INDEX(FILTER(Response_Lists!$B:$B,Response_Lists!$A:$A=$H74),4),""""))"),"")</f>
        <v/>
      </c>
      <c r="N74" s="28" t="str">
        <f>IFERROR(__xludf.DUMMYFUNCTION("IF($I73="""","""",IFERROR(INDEX(FILTER(Response_Lists!$B:$B,Response_Lists!$A:$A=$H74),5),""""))"),"")</f>
        <v/>
      </c>
      <c r="O74" s="28" t="str">
        <f>IFERROR(__xludf.DUMMYFUNCTION("IF($I73="""","""",IFERROR(INDEX(FILTER(Response_Lists!$B:$B,Response_Lists!$A:$A=$H74),6),""""))"),"")</f>
        <v/>
      </c>
      <c r="P74" s="28" t="str">
        <f t="shared" si="6"/>
        <v/>
      </c>
      <c r="Q74" s="28" t="str">
        <f t="array" ref="Q74">IF($I73="","",XLOOKUP(C74,FSM_State_Map!A:A,FSM_State_Map!D:D,""))</f>
        <v/>
      </c>
      <c r="R74" s="28" t="str">
        <f t="shared" si="7"/>
        <v/>
      </c>
      <c r="S74" s="28" t="str">
        <f t="array" ref="S74">IF($I73="","",
IF(
  AND(C74="B",C73&lt;&gt;"B"),
  XLOOKUP($B74,Derived_Variables!$A:$A,Derived_Variables!$K:$K,0)
  + XLOOKUP($B74,Derived_Variables!$A:$A,Derived_Variables!$AE:$AE,0),
  S73+AM73
))</f>
        <v/>
      </c>
      <c r="T74" s="28" t="str">
        <f t="shared" ref="T74:U74" si="158">IF($I73="","",T73+AN73)</f>
        <v/>
      </c>
      <c r="U74" s="28" t="str">
        <f t="shared" si="158"/>
        <v/>
      </c>
      <c r="V74" s="28" t="str">
        <f t="array" ref="V74">IF($I73="","",
IF(
  AND(C74="D",C73&lt;&gt;"D"),
  XLOOKUP($B74,Derived_Variables!$A:$A,Derived_Variables!$N:$N,0)
  + XLOOKUP($B74,Derived_Variables!$A:$A,Derived_Variables!$AE:$AE,0),
  V73+AP73
))</f>
        <v/>
      </c>
      <c r="W74" s="28" t="str">
        <f t="shared" ref="W74:X74" si="159">IF($I73="","",W73+AQ73)</f>
        <v/>
      </c>
      <c r="X74" s="28" t="str">
        <f t="shared" si="159"/>
        <v/>
      </c>
      <c r="Y74" s="28" t="str">
        <f t="array" ref="Y74">IF($I73="","",IF(AND(C74="P",C73&lt;&gt;"P"),IFERROR(XLOOKUP($B74,Lenso_Input!$A:$A,Lenso_Input!$E:$E,0),0),Y73+AS73))</f>
        <v/>
      </c>
      <c r="Z74" s="28" t="str">
        <f t="array" ref="Z74">IF($I73="","",IF(AND(C74="Q",C73&lt;&gt;"Q"),IFERROR(XLOOKUP($B74,Lenso_Input!$A:$A,Lenso_Input!$I:$I,0),0),Z73+AT73))</f>
        <v/>
      </c>
      <c r="AA74" s="28" t="str">
        <f t="array" ref="AA74">IF($I73="","",IF(XLOOKUP($B74,Derived_Variables!$A:$A,Derived_Variables!$R:$R,"6/6_target")="6/6_target","20_20_20","40_30_25"))</f>
        <v/>
      </c>
      <c r="AB74" s="28" t="str">
        <f t="array" ref="AB74">IF($I73="","",XLOOKUP(LOWER(XLOOKUP($B74,Derived_Variables!$A:$A,Derived_Variables!$T:$T,"Standard"))&amp;"_sph_step",Calibration!$B:$B,Calibration!$C:$C,0.25))</f>
        <v/>
      </c>
      <c r="AC74" s="28" t="str">
        <f t="array" ref="AC74">IF($I73="","",XLOOKUP(LOWER(XLOOKUP($B74,Derived_Variables!$A:$A,Derived_Variables!$T:$T,"Standard"))&amp;"_cyl_step",Calibration!$B:$B,Calibration!$C:$C,0.25))</f>
        <v/>
      </c>
      <c r="AD74" s="28" t="str">
        <f t="array" ref="AD74">IF($I73="","",IF(OR(C74="E",C74="H"),LET(startStep,XLOOKUP("axis_start_step",Calibration!$B:$B,Calibration!$C:$C,5),step1,XLOOKUP("axis_reversal_step_1",Calibration!$B:$B,Calibration!$C:$C,3),step2,XLOOKUP("axis_reversal_step_2",Calibration!$B:$B,Calibration!$C:$C,1),IF(OR(C73&lt;&gt;C74,AZ74="",AZ74="SAME",AZ74="CANT_TELL",I74="",I74="SAME",I74="CANT_TELL"),startStep,IF(OR(AND(AZ74="BETTER_1",I74="BETTER_2"),AND(AZ74="BETTER_2",I74="BETTER_1")),IF(AD73&gt;step1,step1,step2),AD73))),0))</f>
        <v/>
      </c>
      <c r="AE74" s="28" t="str">
        <f t="array" ref="AE74">IF($I73="","",XLOOKUP($B74,Derived_Variables!$A:$A,Derived_Variables!$AD:$AD,"No_Fog"))</f>
        <v/>
      </c>
      <c r="AF74" s="28" t="str">
        <f t="array" ref="AF74">IF($I73="","",XLOOKUP($B74,Derived_Variables!$A:$A,Derived_Variables!$AE:$AE,0))</f>
        <v/>
      </c>
      <c r="AG74" s="28" t="str">
        <f t="array" ref="AG74">IF($I73="","",XLOOKUP($B74,Derived_Variables!$A:$A,Derived_Variables!$AF:$AF,""))</f>
        <v/>
      </c>
      <c r="AH74" s="28" t="str">
        <f t="array" ref="AH74">IF($I73="","",XLOOKUP($B74,Derived_Variables!$A:$A,Derived_Variables!$AG:$AG,""))</f>
        <v/>
      </c>
      <c r="AI74" s="28" t="str">
        <f t="array" ref="AI74">IF($I73="","",XLOOKUP($B74,Derived_Variables!$A:$A,Derived_Variables!$AC:$AC,"Medium"))</f>
        <v/>
      </c>
      <c r="AJ74" s="28" t="str">
        <f t="array" ref="AJ74">IF($I73="","",XLOOKUP($B74,Derived_Variables!$A:$A,Derived_Variables!$Y:$Y,FALSE))</f>
        <v/>
      </c>
      <c r="AK74" s="28" t="str">
        <f t="array" ref="AK74">IF($I73="","",XLOOKUP($B74,Derived_Variables!$A:$A,Derived_Variables!$AA:$AA,"Normal"))</f>
        <v/>
      </c>
      <c r="AL74" s="28" t="str">
        <f t="array" ref="AL74">IF($I73="","",XLOOKUP($B74,Derived_Variables!$A:$A,Derived_Variables!$AB:$AB,"Normal"))</f>
        <v/>
      </c>
      <c r="AM74" s="28" t="str">
        <f t="array" ref="AM74">IF($I74="","",IFS(C74="B",IF(OR(I74="NOT_READABLE",I74="BLURRY"),-AB74,0),C74="G",IFS(I74="RED_CLEARER",XLOOKUP("duochrome_red_step",Calibration!$B:$B,Calibration!$C:$C,-0.25),I74="GREEN_CLEARER",XLOOKUP("duochrome_green_step",Calibration!$B:$B,Calibration!$C:$C,0.25),I74="EQUAL",IF(XLOOKUP($B74,Derived_Variables!$A:$A,Derived_Variables!$S:$S,"Neutral")="Undercorrect",XLOOKUP("undercorrect_step",Calibration!$B:$B,Calibration!$C:$C,0.25),IF(XLOOKUP($B74,Derived_Variables!$A:$A,Derived_Variables!$S:$S,"Neutral")="Overcorrect",-XLOOKUP("overcorrect_step",Calibration!$B:$B,Calibration!$C:$C,0.25),0)),TRUE,0),C74="K",IF(I74="TOP_CLEARER",XLOOKUP("bino_balance_step",Calibration!$B:$B,Calibration!$C:$C,0.25),0),TRUE,0))</f>
        <v/>
      </c>
      <c r="AN74" s="28" t="str">
        <f t="shared" si="10"/>
        <v/>
      </c>
      <c r="AO74" s="28" t="str">
        <f t="shared" si="11"/>
        <v/>
      </c>
      <c r="AP74" s="28" t="str">
        <f t="array" ref="AP74">IF($I74="","",IFS(C74="D",IF(OR(I74="NOT_READABLE",I74="BLURRY"),-AB74,0),C74="J",IFS(I74="RED_CLEARER",XLOOKUP("duochrome_red_step",Calibration!$B:$B,Calibration!$C:$C,-0.25),I74="GREEN_CLEARER",XLOOKUP("duochrome_green_step",Calibration!$B:$B,Calibration!$C:$C,0.25),I74="EQUAL",IF(XLOOKUP($B74,Derived_Variables!$A:$A,Derived_Variables!$S:$S,"Neutral")="Undercorrect",XLOOKUP("undercorrect_step",Calibration!$B:$B,Calibration!$C:$C,0.25),IF(XLOOKUP($B74,Derived_Variables!$A:$A,Derived_Variables!$S:$S,"Neutral")="Overcorrect",-XLOOKUP("overcorrect_step",Calibration!$B:$B,Calibration!$C:$C,0.25),0)),TRUE,0),C74="K",IF(I74="BOTTOM_CLEARER",XLOOKUP("bino_balance_step",Calibration!$B:$B,Calibration!$C:$C,0.25),0),TRUE,0))</f>
        <v/>
      </c>
      <c r="AQ74" s="28" t="str">
        <f t="shared" si="12"/>
        <v/>
      </c>
      <c r="AR74" s="28" t="str">
        <f t="shared" si="13"/>
        <v/>
      </c>
      <c r="AS74" s="28" t="str">
        <f t="array" ref="AS74">IF($I74="","",IF(C74="P",IF(OR(I74="NOT_READABLE",I74="BLURRY"),XLOOKUP("near_add_step",Calibration!$B:$B,Calibration!$C:$C,0.25),0),IF(C74="R",IF(I74="NOT_CLEAR",XLOOKUP("near_add_step",Calibration!$B:$B,Calibration!$C:$C,0.25),0),0)))</f>
        <v/>
      </c>
      <c r="AT74" s="28" t="str">
        <f t="array" ref="AT74">IF($I74="","",IF(C74="Q",IF(OR(I74="NOT_READABLE",I74="BLURRY"),XLOOKUP("near_add_step",Calibration!$B:$B,Calibration!$C:$C,0.25),0),IF(C74="R",IF(I74="NOT_CLEAR",XLOOKUP("near_add_step",Calibration!$B:$B,Calibration!$C:$C,0.25),0),0)))</f>
        <v/>
      </c>
      <c r="AU74" s="28" t="str">
        <f t="array" ref="AU74">IF($I74="","",IF(G74="SNELLEN_FEET",IF(I74="READABLE",IFERROR(XLOOKUP(XLOOKUP(R74,Chart_Scale_Distance!B:B,Chart_Scale_Distance!A:A)+1,Chart_Scale_Distance!A:A,Chart_Scale_Distance!B:B),R74),R74),R74))</f>
        <v/>
      </c>
      <c r="AV74" s="28" t="str">
        <f t="array" ref="AV74">IF($I73="","",IFERROR(XLOOKUP(R74,Chart_Scale_Distance!$B:$B,Chart_Scale_Distance!$A:$A,""),""))</f>
        <v/>
      </c>
      <c r="AW74" s="28" t="str">
        <f t="array" ref="AW74">IF($I73="","",IFERROR(XLOOKUP(AA74,Chart_Scale_Distance!$B:$B,Chart_Scale_Distance!$A:$A,""),""))</f>
        <v/>
      </c>
      <c r="AX74" s="28" t="str">
        <f t="shared" si="14"/>
        <v/>
      </c>
      <c r="AY74" s="28" t="str">
        <f t="shared" si="15"/>
        <v/>
      </c>
      <c r="AZ74" s="28" t="str">
        <f t="shared" si="16"/>
        <v/>
      </c>
      <c r="BA74" s="28" t="str">
        <f t="shared" si="17"/>
        <v/>
      </c>
      <c r="BB74" s="28" t="str">
        <f t="shared" si="18"/>
        <v/>
      </c>
      <c r="BC74" s="28" t="str">
        <f t="array" ref="BC74">IF($I74="","",LET(
conf,AI74,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duoMax,XLOOKUP($B74,Derived_Variables!$A:$A,Derived_Variables!$AI:$AI,4),
axisTol,XLOOKUP($B74,Derived_Variables!$A:$A,Derived_Variables!$W:$W,1),
maxStart,XLOOKUP($B74,Derived_Variables!$A:$A,Derived_Variables!$U:$U,1.25),
maxAR,XLOOKUP($B74,Derived_Variables!$A:$A,Derived_Variables!$V:$V,3),
anom,XLOOKUP($B74,Derived_Variables!$A:$A,Derived_Variables!$Z:$Z,FALSE),
reStart,XLOOKUP($B74,Derived_Variables!$A:$A,Derived_Variables!$K:$K,0),
leStart,XLOOKUP($B74,Derived_Variables!$A:$A,Derived_Variables!$N:$N,0),
reAR,XLOOKUP($B74,AR_Input!$A:$A,AR_Input!$B:$B,reStart),
leAR,XLOOKUP($B74,AR_Input!$A:$A,AR_Input!$E:$E,leStart),
reEsc,AND(anom,OR(ABS((S74+AM74)-reStart)&gt;maxStart,ABS((S74+AM74)-reAR)&gt;maxAR)),
leEsc,AND(anom,OR(ABS((V74+AP74)-leStart)&gt;maxStart,ABS((V74+AP74)-leAR)&gt;maxAR)),
phaseMax,IFS(
 AK74="Fast",
   IFS(
     OR(C74="B",C74="D"),XLOOKUP("timeout_coarse_fast",Calibration!$B:$B,Calibration!$C:$C,24),
     OR(C74="E",C74="F",C74="H",C74="I"),XLOOKUP("timeout_jcc_fast",Calibration!$B:$B,Calibration!$C:$C,10),
     OR(C74="G",C74="J"),XLOOKUP("timeout_duochrome_fast",Calibration!$B:$B,Calibration!$C:$C,8),
     C74="K",XLOOKUP("timeout_bino_fast",Calibration!$B:$B,Calibration!$C:$C,10),
     OR(C74="P",C74="Q",C74="R"),XLOOKUP("timeout_near_fast",Calibration!$B:$B,Calibration!$C:$C,16),
     TRUE,XLOOKUP("timeout_coarse_fast",Calibration!$B:$B,Calibration!$C:$C,24)
   ),
 AK74="Normal",
   IFS(
     OR(C74="B",C74="D"),XLOOKUP("timeout_coarse_normal",Calibration!$B:$B,Calibration!$C:$C,36),
     OR(C74="E",C74="F",C74="H",C74="I"),XLOOKUP("timeout_jcc_normal",Calibration!$B:$B,Calibration!$C:$C,14),
     OR(C74="G",C74="J"),XLOOKUP("timeout_duochrome_normal",Calibration!$B:$B,Calibration!$C:$C,10),
     C74="K",XLOOKUP("timeout_bino_normal",Calibration!$B:$B,Calibration!$C:$C,14),
     OR(C74="P",C74="Q",C74="R"),XLOOKUP("timeout_near_normal",Calibration!$B:$B,Calibration!$C:$C,22),
     TRUE,XLOOKUP("timeout_coarse_normal",Calibration!$B:$B,Calibration!$C:$C,36)
   ),
 TRUE,
   IFS(
     OR(C74="B",C74="D"),XLOOKUP("timeout_coarse_slow",Calibration!$B:$B,Calibration!$C:$C,48),
     OR(C74="E",C74="F",C74="H",C74="I"),XLOOKUP("timeout_jcc_slow",Calibration!$B:$B,Calibration!$C:$C,18),
     OR(C74="G",C74="J"),XLOOKUP("timeout_duochrome_slow",Calibration!$B:$B,Calibration!$C:$C,12),
     C74="K",XLOOKUP("timeout_bino_slow",Calibration!$B:$B,Calibration!$C:$C,18),
     OR(C74="P",C74="Q",C74="R"),XLOOKUP("timeout_near_slow",Calibration!$B:$B,Calibration!$C:$C,28),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AJ74=TRUE,"ESCALATE",
C74="A",
IF(OR(I74="NOT_READABLE",I74="BLURRY",AND(R74="20_20_20",I74="READABLE")),"B","A"),
C74="B",
IF(reEsc,"ESCALATE",IF(AY74&gt;=phaseMax,"ESCALATE",IF(AND(AV74&gt;=AW74,I74="READABLE"),"E","B"))),
C74="E",
IF(AY74&gt;=phaseMax,"ESCALATE",IF(OR(I74="SAME",I74="CANT_TELL",AD74&lt;axisTol),"F","E")),
C74="F",
IF(AY74&gt;=phaseMax,"ESCALATE",IF(AX74&gt;=powerSameN,"G","F")),
C74="G",
IF(AY74&gt;=phaseMax,"ESCALATE",IF(OR(AX74&gt;=duoEqualN,BB74&gt;=duoMax),"D","G")),
C74="D",
IF(leEsc,"ESCALATE",IF(AY74&gt;=phaseMax,"ESCALATE",IF(AND(AV74&gt;=AW74,I74="READABLE"),"H","D"))),
C74="H",
IF(AY74&gt;=phaseMax,"ESCALATE",IF(OR(I74="SAME",I74="CANT_TELL",AD74&lt;axisTol),"I","H")),
C74="I",
IF(AY74&gt;=phaseMax,"ESCALATE",IF(AX74&gt;=powerSameN,"J","I")),
C74="J",
IF(AY74&gt;=phaseMax,"ESCALATE",IF(OR(AX74&gt;=duoEqualN,BB74&gt;=duoMax),"K","J")),
C74="K",
IF(AY74&gt;=phaseMax,"ESCALATE",IF(AX74&gt;=binoSameN,IF(XLOOKUP($B74,Derived_Variables!$A:$A,Derived_Variables!$AJ:$AJ,FALSE)=TRUE,"P","END"),"K")),
C74="P",
IF(AY74&gt;=phaseMax,"ESCALATE",IF(OR(I74="READABLE",I74="SAME"),"Q","P")),
C74="Q",
IF(AY74&gt;=phaseMax,"ESCALATE",IF(OR(I74="READABLE",I74="SAME"),"R","Q")),
C74="R",
IF(AY74&gt;=phaseMax,"ESCALATE",IF(OR(I74=nearTarget,I74="SAME"),"END","R")),
TRUE,"END"
)))</f>
        <v/>
      </c>
      <c r="BD74" s="28" t="b">
        <f t="shared" si="19"/>
        <v>0</v>
      </c>
    </row>
    <row r="75" ht="15.75" customHeight="1">
      <c r="A75" s="28">
        <f t="shared" si="3"/>
        <v>74</v>
      </c>
      <c r="B75" s="28">
        <f t="shared" si="4"/>
        <v>6</v>
      </c>
      <c r="C75" s="28" t="str">
        <f t="shared" si="5"/>
        <v/>
      </c>
      <c r="D75" s="28" t="str">
        <f t="array" ref="D75">IF($I74="","",XLOOKUP(C75,FSM_State_Map!A:A,FSM_State_Map!B:B,""))</f>
        <v/>
      </c>
      <c r="E75" s="28" t="str">
        <f t="array" ref="E75">IF($I74="","",XLOOKUP(C75,FSM_State_Map!A:A,FSM_State_Map!C:C,""))</f>
        <v/>
      </c>
      <c r="F75" s="28" t="str">
        <f t="array" ref="F75">IF($I74="","",XLOOKUP(E75,Phase_UI_Map!A:A,Phase_UI_Map!B:B,""))</f>
        <v/>
      </c>
      <c r="G75" s="28" t="str">
        <f t="array" ref="G75">IF($I74="","",XLOOKUP(E75,Phase_UI_Map!A:A,Phase_UI_Map!C:C,""))</f>
        <v/>
      </c>
      <c r="H75" s="28" t="str">
        <f t="array" ref="H75">IF($I74="","",XLOOKUP(E75,Phase_UI_Map!A:A,Phase_UI_Map!D:D,""))</f>
        <v/>
      </c>
      <c r="I75" s="29"/>
      <c r="J75" s="28" t="str">
        <f>IFERROR(__xludf.DUMMYFUNCTION("IF($I74="""","""",IFERROR(INDEX(FILTER(Response_Lists!$B:$B,Response_Lists!$A:$A=$H75),1),""""))"),"")</f>
        <v/>
      </c>
      <c r="K75" s="28" t="str">
        <f>IFERROR(__xludf.DUMMYFUNCTION("IF($I74="""","""",IFERROR(INDEX(FILTER(Response_Lists!$B:$B,Response_Lists!$A:$A=$H75),2),""""))"),"")</f>
        <v/>
      </c>
      <c r="L75" s="28" t="str">
        <f>IFERROR(__xludf.DUMMYFUNCTION("IF($I74="""","""",IFERROR(INDEX(FILTER(Response_Lists!$B:$B,Response_Lists!$A:$A=$H75),3),""""))"),"")</f>
        <v/>
      </c>
      <c r="M75" s="28" t="str">
        <f>IFERROR(__xludf.DUMMYFUNCTION("IF($I74="""","""",IFERROR(INDEX(FILTER(Response_Lists!$B:$B,Response_Lists!$A:$A=$H75),4),""""))"),"")</f>
        <v/>
      </c>
      <c r="N75" s="28" t="str">
        <f>IFERROR(__xludf.DUMMYFUNCTION("IF($I74="""","""",IFERROR(INDEX(FILTER(Response_Lists!$B:$B,Response_Lists!$A:$A=$H75),5),""""))"),"")</f>
        <v/>
      </c>
      <c r="O75" s="28" t="str">
        <f>IFERROR(__xludf.DUMMYFUNCTION("IF($I74="""","""",IFERROR(INDEX(FILTER(Response_Lists!$B:$B,Response_Lists!$A:$A=$H75),6),""""))"),"")</f>
        <v/>
      </c>
      <c r="P75" s="28" t="str">
        <f t="shared" si="6"/>
        <v/>
      </c>
      <c r="Q75" s="28" t="str">
        <f t="array" ref="Q75">IF($I74="","",XLOOKUP(C75,FSM_State_Map!A:A,FSM_State_Map!D:D,""))</f>
        <v/>
      </c>
      <c r="R75" s="28" t="str">
        <f t="shared" si="7"/>
        <v/>
      </c>
      <c r="S75" s="28" t="str">
        <f t="array" ref="S75">IF($I74="","",
IF(
  AND(C75="B",C74&lt;&gt;"B"),
  XLOOKUP($B75,Derived_Variables!$A:$A,Derived_Variables!$K:$K,0)
  + XLOOKUP($B75,Derived_Variables!$A:$A,Derived_Variables!$AE:$AE,0),
  S74+AM74
))</f>
        <v/>
      </c>
      <c r="T75" s="28" t="str">
        <f t="shared" ref="T75:U75" si="160">IF($I74="","",T74+AN74)</f>
        <v/>
      </c>
      <c r="U75" s="28" t="str">
        <f t="shared" si="160"/>
        <v/>
      </c>
      <c r="V75" s="28" t="str">
        <f t="array" ref="V75">IF($I74="","",
IF(
  AND(C75="D",C74&lt;&gt;"D"),
  XLOOKUP($B75,Derived_Variables!$A:$A,Derived_Variables!$N:$N,0)
  + XLOOKUP($B75,Derived_Variables!$A:$A,Derived_Variables!$AE:$AE,0),
  V74+AP74
))</f>
        <v/>
      </c>
      <c r="W75" s="28" t="str">
        <f t="shared" ref="W75:X75" si="161">IF($I74="","",W74+AQ74)</f>
        <v/>
      </c>
      <c r="X75" s="28" t="str">
        <f t="shared" si="161"/>
        <v/>
      </c>
      <c r="Y75" s="28" t="str">
        <f t="array" ref="Y75">IF($I74="","",IF(AND(C75="P",C74&lt;&gt;"P"),IFERROR(XLOOKUP($B75,Lenso_Input!$A:$A,Lenso_Input!$E:$E,0),0),Y74+AS74))</f>
        <v/>
      </c>
      <c r="Z75" s="28" t="str">
        <f t="array" ref="Z75">IF($I74="","",IF(AND(C75="Q",C74&lt;&gt;"Q"),IFERROR(XLOOKUP($B75,Lenso_Input!$A:$A,Lenso_Input!$I:$I,0),0),Z74+AT74))</f>
        <v/>
      </c>
      <c r="AA75" s="28" t="str">
        <f t="array" ref="AA75">IF($I74="","",IF(XLOOKUP($B75,Derived_Variables!$A:$A,Derived_Variables!$R:$R,"6/6_target")="6/6_target","20_20_20","40_30_25"))</f>
        <v/>
      </c>
      <c r="AB75" s="28" t="str">
        <f t="array" ref="AB75">IF($I74="","",XLOOKUP(LOWER(XLOOKUP($B75,Derived_Variables!$A:$A,Derived_Variables!$T:$T,"Standard"))&amp;"_sph_step",Calibration!$B:$B,Calibration!$C:$C,0.25))</f>
        <v/>
      </c>
      <c r="AC75" s="28" t="str">
        <f t="array" ref="AC75">IF($I74="","",XLOOKUP(LOWER(XLOOKUP($B75,Derived_Variables!$A:$A,Derived_Variables!$T:$T,"Standard"))&amp;"_cyl_step",Calibration!$B:$B,Calibration!$C:$C,0.25))</f>
        <v/>
      </c>
      <c r="AD75" s="28" t="str">
        <f t="array" ref="AD75">IF($I74="","",IF(OR(C75="E",C75="H"),LET(startStep,XLOOKUP("axis_start_step",Calibration!$B:$B,Calibration!$C:$C,5),step1,XLOOKUP("axis_reversal_step_1",Calibration!$B:$B,Calibration!$C:$C,3),step2,XLOOKUP("axis_reversal_step_2",Calibration!$B:$B,Calibration!$C:$C,1),IF(OR(C74&lt;&gt;C75,AZ75="",AZ75="SAME",AZ75="CANT_TELL",I75="",I75="SAME",I75="CANT_TELL"),startStep,IF(OR(AND(AZ75="BETTER_1",I75="BETTER_2"),AND(AZ75="BETTER_2",I75="BETTER_1")),IF(AD74&gt;step1,step1,step2),AD74))),0))</f>
        <v/>
      </c>
      <c r="AE75" s="28" t="str">
        <f t="array" ref="AE75">IF($I74="","",XLOOKUP($B75,Derived_Variables!$A:$A,Derived_Variables!$AD:$AD,"No_Fog"))</f>
        <v/>
      </c>
      <c r="AF75" s="28" t="str">
        <f t="array" ref="AF75">IF($I74="","",XLOOKUP($B75,Derived_Variables!$A:$A,Derived_Variables!$AE:$AE,0))</f>
        <v/>
      </c>
      <c r="AG75" s="28" t="str">
        <f t="array" ref="AG75">IF($I74="","",XLOOKUP($B75,Derived_Variables!$A:$A,Derived_Variables!$AF:$AF,""))</f>
        <v/>
      </c>
      <c r="AH75" s="28" t="str">
        <f t="array" ref="AH75">IF($I74="","",XLOOKUP($B75,Derived_Variables!$A:$A,Derived_Variables!$AG:$AG,""))</f>
        <v/>
      </c>
      <c r="AI75" s="28" t="str">
        <f t="array" ref="AI75">IF($I74="","",XLOOKUP($B75,Derived_Variables!$A:$A,Derived_Variables!$AC:$AC,"Medium"))</f>
        <v/>
      </c>
      <c r="AJ75" s="28" t="str">
        <f t="array" ref="AJ75">IF($I74="","",XLOOKUP($B75,Derived_Variables!$A:$A,Derived_Variables!$Y:$Y,FALSE))</f>
        <v/>
      </c>
      <c r="AK75" s="28" t="str">
        <f t="array" ref="AK75">IF($I74="","",XLOOKUP($B75,Derived_Variables!$A:$A,Derived_Variables!$AA:$AA,"Normal"))</f>
        <v/>
      </c>
      <c r="AL75" s="28" t="str">
        <f t="array" ref="AL75">IF($I74="","",XLOOKUP($B75,Derived_Variables!$A:$A,Derived_Variables!$AB:$AB,"Normal"))</f>
        <v/>
      </c>
      <c r="AM75" s="28" t="str">
        <f t="array" ref="AM75">IF($I75="","",IFS(C75="B",IF(OR(I75="NOT_READABLE",I75="BLURRY"),-AB75,0),C75="G",IFS(I75="RED_CLEARER",XLOOKUP("duochrome_red_step",Calibration!$B:$B,Calibration!$C:$C,-0.25),I75="GREEN_CLEARER",XLOOKUP("duochrome_green_step",Calibration!$B:$B,Calibration!$C:$C,0.25),I75="EQUAL",IF(XLOOKUP($B75,Derived_Variables!$A:$A,Derived_Variables!$S:$S,"Neutral")="Undercorrect",XLOOKUP("undercorrect_step",Calibration!$B:$B,Calibration!$C:$C,0.25),IF(XLOOKUP($B75,Derived_Variables!$A:$A,Derived_Variables!$S:$S,"Neutral")="Overcorrect",-XLOOKUP("overcorrect_step",Calibration!$B:$B,Calibration!$C:$C,0.25),0)),TRUE,0),C75="K",IF(I75="TOP_CLEARER",XLOOKUP("bino_balance_step",Calibration!$B:$B,Calibration!$C:$C,0.25),0),TRUE,0))</f>
        <v/>
      </c>
      <c r="AN75" s="28" t="str">
        <f t="shared" si="10"/>
        <v/>
      </c>
      <c r="AO75" s="28" t="str">
        <f t="shared" si="11"/>
        <v/>
      </c>
      <c r="AP75" s="28" t="str">
        <f t="array" ref="AP75">IF($I75="","",IFS(C75="D",IF(OR(I75="NOT_READABLE",I75="BLURRY"),-AB75,0),C75="J",IFS(I75="RED_CLEARER",XLOOKUP("duochrome_red_step",Calibration!$B:$B,Calibration!$C:$C,-0.25),I75="GREEN_CLEARER",XLOOKUP("duochrome_green_step",Calibration!$B:$B,Calibration!$C:$C,0.25),I75="EQUAL",IF(XLOOKUP($B75,Derived_Variables!$A:$A,Derived_Variables!$S:$S,"Neutral")="Undercorrect",XLOOKUP("undercorrect_step",Calibration!$B:$B,Calibration!$C:$C,0.25),IF(XLOOKUP($B75,Derived_Variables!$A:$A,Derived_Variables!$S:$S,"Neutral")="Overcorrect",-XLOOKUP("overcorrect_step",Calibration!$B:$B,Calibration!$C:$C,0.25),0)),TRUE,0),C75="K",IF(I75="BOTTOM_CLEARER",XLOOKUP("bino_balance_step",Calibration!$B:$B,Calibration!$C:$C,0.25),0),TRUE,0))</f>
        <v/>
      </c>
      <c r="AQ75" s="28" t="str">
        <f t="shared" si="12"/>
        <v/>
      </c>
      <c r="AR75" s="28" t="str">
        <f t="shared" si="13"/>
        <v/>
      </c>
      <c r="AS75" s="28" t="str">
        <f t="array" ref="AS75">IF($I75="","",IF(C75="P",IF(OR(I75="NOT_READABLE",I75="BLURRY"),XLOOKUP("near_add_step",Calibration!$B:$B,Calibration!$C:$C,0.25),0),IF(C75="R",IF(I75="NOT_CLEAR",XLOOKUP("near_add_step",Calibration!$B:$B,Calibration!$C:$C,0.25),0),0)))</f>
        <v/>
      </c>
      <c r="AT75" s="28" t="str">
        <f t="array" ref="AT75">IF($I75="","",IF(C75="Q",IF(OR(I75="NOT_READABLE",I75="BLURRY"),XLOOKUP("near_add_step",Calibration!$B:$B,Calibration!$C:$C,0.25),0),IF(C75="R",IF(I75="NOT_CLEAR",XLOOKUP("near_add_step",Calibration!$B:$B,Calibration!$C:$C,0.25),0),0)))</f>
        <v/>
      </c>
      <c r="AU75" s="28" t="str">
        <f t="array" ref="AU75">IF($I75="","",IF(G75="SNELLEN_FEET",IF(I75="READABLE",IFERROR(XLOOKUP(XLOOKUP(R75,Chart_Scale_Distance!B:B,Chart_Scale_Distance!A:A)+1,Chart_Scale_Distance!A:A,Chart_Scale_Distance!B:B),R75),R75),R75))</f>
        <v/>
      </c>
      <c r="AV75" s="28" t="str">
        <f t="array" ref="AV75">IF($I74="","",IFERROR(XLOOKUP(R75,Chart_Scale_Distance!$B:$B,Chart_Scale_Distance!$A:$A,""),""))</f>
        <v/>
      </c>
      <c r="AW75" s="28" t="str">
        <f t="array" ref="AW75">IF($I74="","",IFERROR(XLOOKUP(AA75,Chart_Scale_Distance!$B:$B,Chart_Scale_Distance!$A:$A,""),""))</f>
        <v/>
      </c>
      <c r="AX75" s="28" t="str">
        <f t="shared" si="14"/>
        <v/>
      </c>
      <c r="AY75" s="28" t="str">
        <f t="shared" si="15"/>
        <v/>
      </c>
      <c r="AZ75" s="28" t="str">
        <f t="shared" si="16"/>
        <v/>
      </c>
      <c r="BA75" s="28" t="str">
        <f t="shared" si="17"/>
        <v/>
      </c>
      <c r="BB75" s="28" t="str">
        <f t="shared" si="18"/>
        <v/>
      </c>
      <c r="BC75" s="28" t="str">
        <f t="array" ref="BC75">IF($I75="","",LET(
conf,AI75,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duoMax,XLOOKUP($B75,Derived_Variables!$A:$A,Derived_Variables!$AI:$AI,4),
axisTol,XLOOKUP($B75,Derived_Variables!$A:$A,Derived_Variables!$W:$W,1),
maxStart,XLOOKUP($B75,Derived_Variables!$A:$A,Derived_Variables!$U:$U,1.25),
maxAR,XLOOKUP($B75,Derived_Variables!$A:$A,Derived_Variables!$V:$V,3),
anom,XLOOKUP($B75,Derived_Variables!$A:$A,Derived_Variables!$Z:$Z,FALSE),
reStart,XLOOKUP($B75,Derived_Variables!$A:$A,Derived_Variables!$K:$K,0),
leStart,XLOOKUP($B75,Derived_Variables!$A:$A,Derived_Variables!$N:$N,0),
reAR,XLOOKUP($B75,AR_Input!$A:$A,AR_Input!$B:$B,reStart),
leAR,XLOOKUP($B75,AR_Input!$A:$A,AR_Input!$E:$E,leStart),
reEsc,AND(anom,OR(ABS((S75+AM75)-reStart)&gt;maxStart,ABS((S75+AM75)-reAR)&gt;maxAR)),
leEsc,AND(anom,OR(ABS((V75+AP75)-leStart)&gt;maxStart,ABS((V75+AP75)-leAR)&gt;maxAR)),
phaseMax,IFS(
 AK75="Fast",
   IFS(
     OR(C75="B",C75="D"),XLOOKUP("timeout_coarse_fast",Calibration!$B:$B,Calibration!$C:$C,24),
     OR(C75="E",C75="F",C75="H",C75="I"),XLOOKUP("timeout_jcc_fast",Calibration!$B:$B,Calibration!$C:$C,10),
     OR(C75="G",C75="J"),XLOOKUP("timeout_duochrome_fast",Calibration!$B:$B,Calibration!$C:$C,8),
     C75="K",XLOOKUP("timeout_bino_fast",Calibration!$B:$B,Calibration!$C:$C,10),
     OR(C75="P",C75="Q",C75="R"),XLOOKUP("timeout_near_fast",Calibration!$B:$B,Calibration!$C:$C,16),
     TRUE,XLOOKUP("timeout_coarse_fast",Calibration!$B:$B,Calibration!$C:$C,24)
   ),
 AK75="Normal",
   IFS(
     OR(C75="B",C75="D"),XLOOKUP("timeout_coarse_normal",Calibration!$B:$B,Calibration!$C:$C,36),
     OR(C75="E",C75="F",C75="H",C75="I"),XLOOKUP("timeout_jcc_normal",Calibration!$B:$B,Calibration!$C:$C,14),
     OR(C75="G",C75="J"),XLOOKUP("timeout_duochrome_normal",Calibration!$B:$B,Calibration!$C:$C,10),
     C75="K",XLOOKUP("timeout_bino_normal",Calibration!$B:$B,Calibration!$C:$C,14),
     OR(C75="P",C75="Q",C75="R"),XLOOKUP("timeout_near_normal",Calibration!$B:$B,Calibration!$C:$C,22),
     TRUE,XLOOKUP("timeout_coarse_normal",Calibration!$B:$B,Calibration!$C:$C,36)
   ),
 TRUE,
   IFS(
     OR(C75="B",C75="D"),XLOOKUP("timeout_coarse_slow",Calibration!$B:$B,Calibration!$C:$C,48),
     OR(C75="E",C75="F",C75="H",C75="I"),XLOOKUP("timeout_jcc_slow",Calibration!$B:$B,Calibration!$C:$C,18),
     OR(C75="G",C75="J"),XLOOKUP("timeout_duochrome_slow",Calibration!$B:$B,Calibration!$C:$C,12),
     C75="K",XLOOKUP("timeout_bino_slow",Calibration!$B:$B,Calibration!$C:$C,18),
     OR(C75="P",C75="Q",C75="R"),XLOOKUP("timeout_near_slow",Calibration!$B:$B,Calibration!$C:$C,28),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AJ75=TRUE,"ESCALATE",
C75="A",
IF(OR(I75="NOT_READABLE",I75="BLURRY",AND(R75="20_20_20",I75="READABLE")),"B","A"),
C75="B",
IF(reEsc,"ESCALATE",IF(AY75&gt;=phaseMax,"ESCALATE",IF(AND(AV75&gt;=AW75,I75="READABLE"),"E","B"))),
C75="E",
IF(AY75&gt;=phaseMax,"ESCALATE",IF(OR(I75="SAME",I75="CANT_TELL",AD75&lt;axisTol),"F","E")),
C75="F",
IF(AY75&gt;=phaseMax,"ESCALATE",IF(AX75&gt;=powerSameN,"G","F")),
C75="G",
IF(AY75&gt;=phaseMax,"ESCALATE",IF(OR(AX75&gt;=duoEqualN,BB75&gt;=duoMax),"D","G")),
C75="D",
IF(leEsc,"ESCALATE",IF(AY75&gt;=phaseMax,"ESCALATE",IF(AND(AV75&gt;=AW75,I75="READABLE"),"H","D"))),
C75="H",
IF(AY75&gt;=phaseMax,"ESCALATE",IF(OR(I75="SAME",I75="CANT_TELL",AD75&lt;axisTol),"I","H")),
C75="I",
IF(AY75&gt;=phaseMax,"ESCALATE",IF(AX75&gt;=powerSameN,"J","I")),
C75="J",
IF(AY75&gt;=phaseMax,"ESCALATE",IF(OR(AX75&gt;=duoEqualN,BB75&gt;=duoMax),"K","J")),
C75="K",
IF(AY75&gt;=phaseMax,"ESCALATE",IF(AX75&gt;=binoSameN,IF(XLOOKUP($B75,Derived_Variables!$A:$A,Derived_Variables!$AJ:$AJ,FALSE)=TRUE,"P","END"),"K")),
C75="P",
IF(AY75&gt;=phaseMax,"ESCALATE",IF(OR(I75="READABLE",I75="SAME"),"Q","P")),
C75="Q",
IF(AY75&gt;=phaseMax,"ESCALATE",IF(OR(I75="READABLE",I75="SAME"),"R","Q")),
C75="R",
IF(AY75&gt;=phaseMax,"ESCALATE",IF(OR(I75=nearTarget,I75="SAME"),"END","R")),
TRUE,"END"
)))</f>
        <v/>
      </c>
      <c r="BD75" s="28" t="b">
        <f t="shared" si="19"/>
        <v>0</v>
      </c>
    </row>
    <row r="76" ht="15.75" customHeight="1">
      <c r="A76" s="28">
        <f t="shared" si="3"/>
        <v>75</v>
      </c>
      <c r="B76" s="28">
        <f t="shared" si="4"/>
        <v>6</v>
      </c>
      <c r="C76" s="28" t="str">
        <f t="shared" si="5"/>
        <v/>
      </c>
      <c r="D76" s="28" t="str">
        <f t="array" ref="D76">IF($I75="","",XLOOKUP(C76,FSM_State_Map!A:A,FSM_State_Map!B:B,""))</f>
        <v/>
      </c>
      <c r="E76" s="28" t="str">
        <f t="array" ref="E76">IF($I75="","",XLOOKUP(C76,FSM_State_Map!A:A,FSM_State_Map!C:C,""))</f>
        <v/>
      </c>
      <c r="F76" s="28" t="str">
        <f t="array" ref="F76">IF($I75="","",XLOOKUP(E76,Phase_UI_Map!A:A,Phase_UI_Map!B:B,""))</f>
        <v/>
      </c>
      <c r="G76" s="28" t="str">
        <f t="array" ref="G76">IF($I75="","",XLOOKUP(E76,Phase_UI_Map!A:A,Phase_UI_Map!C:C,""))</f>
        <v/>
      </c>
      <c r="H76" s="28" t="str">
        <f t="array" ref="H76">IF($I75="","",XLOOKUP(E76,Phase_UI_Map!A:A,Phase_UI_Map!D:D,""))</f>
        <v/>
      </c>
      <c r="I76" s="29"/>
      <c r="J76" s="28" t="str">
        <f>IFERROR(__xludf.DUMMYFUNCTION("IF($I75="""","""",IFERROR(INDEX(FILTER(Response_Lists!$B:$B,Response_Lists!$A:$A=$H76),1),""""))"),"")</f>
        <v/>
      </c>
      <c r="K76" s="28" t="str">
        <f>IFERROR(__xludf.DUMMYFUNCTION("IF($I75="""","""",IFERROR(INDEX(FILTER(Response_Lists!$B:$B,Response_Lists!$A:$A=$H76),2),""""))"),"")</f>
        <v/>
      </c>
      <c r="L76" s="28" t="str">
        <f>IFERROR(__xludf.DUMMYFUNCTION("IF($I75="""","""",IFERROR(INDEX(FILTER(Response_Lists!$B:$B,Response_Lists!$A:$A=$H76),3),""""))"),"")</f>
        <v/>
      </c>
      <c r="M76" s="28" t="str">
        <f>IFERROR(__xludf.DUMMYFUNCTION("IF($I75="""","""",IFERROR(INDEX(FILTER(Response_Lists!$B:$B,Response_Lists!$A:$A=$H76),4),""""))"),"")</f>
        <v/>
      </c>
      <c r="N76" s="28" t="str">
        <f>IFERROR(__xludf.DUMMYFUNCTION("IF($I75="""","""",IFERROR(INDEX(FILTER(Response_Lists!$B:$B,Response_Lists!$A:$A=$H76),5),""""))"),"")</f>
        <v/>
      </c>
      <c r="O76" s="28" t="str">
        <f>IFERROR(__xludf.DUMMYFUNCTION("IF($I75="""","""",IFERROR(INDEX(FILTER(Response_Lists!$B:$B,Response_Lists!$A:$A=$H76),6),""""))"),"")</f>
        <v/>
      </c>
      <c r="P76" s="28" t="str">
        <f t="shared" si="6"/>
        <v/>
      </c>
      <c r="Q76" s="28" t="str">
        <f t="array" ref="Q76">IF($I75="","",XLOOKUP(C76,FSM_State_Map!A:A,FSM_State_Map!D:D,""))</f>
        <v/>
      </c>
      <c r="R76" s="28" t="str">
        <f t="shared" si="7"/>
        <v/>
      </c>
      <c r="S76" s="28" t="str">
        <f t="array" ref="S76">IF($I75="","",
IF(
  AND(C76="B",C75&lt;&gt;"B"),
  XLOOKUP($B76,Derived_Variables!$A:$A,Derived_Variables!$K:$K,0)
  + XLOOKUP($B76,Derived_Variables!$A:$A,Derived_Variables!$AE:$AE,0),
  S75+AM75
))</f>
        <v/>
      </c>
      <c r="T76" s="28" t="str">
        <f t="shared" ref="T76:U76" si="162">IF($I75="","",T75+AN75)</f>
        <v/>
      </c>
      <c r="U76" s="28" t="str">
        <f t="shared" si="162"/>
        <v/>
      </c>
      <c r="V76" s="28" t="str">
        <f t="array" ref="V76">IF($I75="","",
IF(
  AND(C76="D",C75&lt;&gt;"D"),
  XLOOKUP($B76,Derived_Variables!$A:$A,Derived_Variables!$N:$N,0)
  + XLOOKUP($B76,Derived_Variables!$A:$A,Derived_Variables!$AE:$AE,0),
  V75+AP75
))</f>
        <v/>
      </c>
      <c r="W76" s="28" t="str">
        <f t="shared" ref="W76:X76" si="163">IF($I75="","",W75+AQ75)</f>
        <v/>
      </c>
      <c r="X76" s="28" t="str">
        <f t="shared" si="163"/>
        <v/>
      </c>
      <c r="Y76" s="28" t="str">
        <f t="array" ref="Y76">IF($I75="","",IF(AND(C76="P",C75&lt;&gt;"P"),IFERROR(XLOOKUP($B76,Lenso_Input!$A:$A,Lenso_Input!$E:$E,0),0),Y75+AS75))</f>
        <v/>
      </c>
      <c r="Z76" s="28" t="str">
        <f t="array" ref="Z76">IF($I75="","",IF(AND(C76="Q",C75&lt;&gt;"Q"),IFERROR(XLOOKUP($B76,Lenso_Input!$A:$A,Lenso_Input!$I:$I,0),0),Z75+AT75))</f>
        <v/>
      </c>
      <c r="AA76" s="28" t="str">
        <f t="array" ref="AA76">IF($I75="","",IF(XLOOKUP($B76,Derived_Variables!$A:$A,Derived_Variables!$R:$R,"6/6_target")="6/6_target","20_20_20","40_30_25"))</f>
        <v/>
      </c>
      <c r="AB76" s="28" t="str">
        <f t="array" ref="AB76">IF($I75="","",XLOOKUP(LOWER(XLOOKUP($B76,Derived_Variables!$A:$A,Derived_Variables!$T:$T,"Standard"))&amp;"_sph_step",Calibration!$B:$B,Calibration!$C:$C,0.25))</f>
        <v/>
      </c>
      <c r="AC76" s="28" t="str">
        <f t="array" ref="AC76">IF($I75="","",XLOOKUP(LOWER(XLOOKUP($B76,Derived_Variables!$A:$A,Derived_Variables!$T:$T,"Standard"))&amp;"_cyl_step",Calibration!$B:$B,Calibration!$C:$C,0.25))</f>
        <v/>
      </c>
      <c r="AD76" s="28" t="str">
        <f t="array" ref="AD76">IF($I75="","",IF(OR(C76="E",C76="H"),LET(startStep,XLOOKUP("axis_start_step",Calibration!$B:$B,Calibration!$C:$C,5),step1,XLOOKUP("axis_reversal_step_1",Calibration!$B:$B,Calibration!$C:$C,3),step2,XLOOKUP("axis_reversal_step_2",Calibration!$B:$B,Calibration!$C:$C,1),IF(OR(C75&lt;&gt;C76,AZ76="",AZ76="SAME",AZ76="CANT_TELL",I76="",I76="SAME",I76="CANT_TELL"),startStep,IF(OR(AND(AZ76="BETTER_1",I76="BETTER_2"),AND(AZ76="BETTER_2",I76="BETTER_1")),IF(AD75&gt;step1,step1,step2),AD75))),0))</f>
        <v/>
      </c>
      <c r="AE76" s="28" t="str">
        <f t="array" ref="AE76">IF($I75="","",XLOOKUP($B76,Derived_Variables!$A:$A,Derived_Variables!$AD:$AD,"No_Fog"))</f>
        <v/>
      </c>
      <c r="AF76" s="28" t="str">
        <f t="array" ref="AF76">IF($I75="","",XLOOKUP($B76,Derived_Variables!$A:$A,Derived_Variables!$AE:$AE,0))</f>
        <v/>
      </c>
      <c r="AG76" s="28" t="str">
        <f t="array" ref="AG76">IF($I75="","",XLOOKUP($B76,Derived_Variables!$A:$A,Derived_Variables!$AF:$AF,""))</f>
        <v/>
      </c>
      <c r="AH76" s="28" t="str">
        <f t="array" ref="AH76">IF($I75="","",XLOOKUP($B76,Derived_Variables!$A:$A,Derived_Variables!$AG:$AG,""))</f>
        <v/>
      </c>
      <c r="AI76" s="28" t="str">
        <f t="array" ref="AI76">IF($I75="","",XLOOKUP($B76,Derived_Variables!$A:$A,Derived_Variables!$AC:$AC,"Medium"))</f>
        <v/>
      </c>
      <c r="AJ76" s="28" t="str">
        <f t="array" ref="AJ76">IF($I75="","",XLOOKUP($B76,Derived_Variables!$A:$A,Derived_Variables!$Y:$Y,FALSE))</f>
        <v/>
      </c>
      <c r="AK76" s="28" t="str">
        <f t="array" ref="AK76">IF($I75="","",XLOOKUP($B76,Derived_Variables!$A:$A,Derived_Variables!$AA:$AA,"Normal"))</f>
        <v/>
      </c>
      <c r="AL76" s="28" t="str">
        <f t="array" ref="AL76">IF($I75="","",XLOOKUP($B76,Derived_Variables!$A:$A,Derived_Variables!$AB:$AB,"Normal"))</f>
        <v/>
      </c>
      <c r="AM76" s="28" t="str">
        <f t="array" ref="AM76">IF($I76="","",IFS(C76="B",IF(OR(I76="NOT_READABLE",I76="BLURRY"),-AB76,0),C76="G",IFS(I76="RED_CLEARER",XLOOKUP("duochrome_red_step",Calibration!$B:$B,Calibration!$C:$C,-0.25),I76="GREEN_CLEARER",XLOOKUP("duochrome_green_step",Calibration!$B:$B,Calibration!$C:$C,0.25),I76="EQUAL",IF(XLOOKUP($B76,Derived_Variables!$A:$A,Derived_Variables!$S:$S,"Neutral")="Undercorrect",XLOOKUP("undercorrect_step",Calibration!$B:$B,Calibration!$C:$C,0.25),IF(XLOOKUP($B76,Derived_Variables!$A:$A,Derived_Variables!$S:$S,"Neutral")="Overcorrect",-XLOOKUP("overcorrect_step",Calibration!$B:$B,Calibration!$C:$C,0.25),0)),TRUE,0),C76="K",IF(I76="TOP_CLEARER",XLOOKUP("bino_balance_step",Calibration!$B:$B,Calibration!$C:$C,0.25),0),TRUE,0))</f>
        <v/>
      </c>
      <c r="AN76" s="28" t="str">
        <f t="shared" si="10"/>
        <v/>
      </c>
      <c r="AO76" s="28" t="str">
        <f t="shared" si="11"/>
        <v/>
      </c>
      <c r="AP76" s="28" t="str">
        <f t="array" ref="AP76">IF($I76="","",IFS(C76="D",IF(OR(I76="NOT_READABLE",I76="BLURRY"),-AB76,0),C76="J",IFS(I76="RED_CLEARER",XLOOKUP("duochrome_red_step",Calibration!$B:$B,Calibration!$C:$C,-0.25),I76="GREEN_CLEARER",XLOOKUP("duochrome_green_step",Calibration!$B:$B,Calibration!$C:$C,0.25),I76="EQUAL",IF(XLOOKUP($B76,Derived_Variables!$A:$A,Derived_Variables!$S:$S,"Neutral")="Undercorrect",XLOOKUP("undercorrect_step",Calibration!$B:$B,Calibration!$C:$C,0.25),IF(XLOOKUP($B76,Derived_Variables!$A:$A,Derived_Variables!$S:$S,"Neutral")="Overcorrect",-XLOOKUP("overcorrect_step",Calibration!$B:$B,Calibration!$C:$C,0.25),0)),TRUE,0),C76="K",IF(I76="BOTTOM_CLEARER",XLOOKUP("bino_balance_step",Calibration!$B:$B,Calibration!$C:$C,0.25),0),TRUE,0))</f>
        <v/>
      </c>
      <c r="AQ76" s="28" t="str">
        <f t="shared" si="12"/>
        <v/>
      </c>
      <c r="AR76" s="28" t="str">
        <f t="shared" si="13"/>
        <v/>
      </c>
      <c r="AS76" s="28" t="str">
        <f t="array" ref="AS76">IF($I76="","",IF(C76="P",IF(OR(I76="NOT_READABLE",I76="BLURRY"),XLOOKUP("near_add_step",Calibration!$B:$B,Calibration!$C:$C,0.25),0),IF(C76="R",IF(I76="NOT_CLEAR",XLOOKUP("near_add_step",Calibration!$B:$B,Calibration!$C:$C,0.25),0),0)))</f>
        <v/>
      </c>
      <c r="AT76" s="28" t="str">
        <f t="array" ref="AT76">IF($I76="","",IF(C76="Q",IF(OR(I76="NOT_READABLE",I76="BLURRY"),XLOOKUP("near_add_step",Calibration!$B:$B,Calibration!$C:$C,0.25),0),IF(C76="R",IF(I76="NOT_CLEAR",XLOOKUP("near_add_step",Calibration!$B:$B,Calibration!$C:$C,0.25),0),0)))</f>
        <v/>
      </c>
      <c r="AU76" s="28" t="str">
        <f t="array" ref="AU76">IF($I76="","",IF(G76="SNELLEN_FEET",IF(I76="READABLE",IFERROR(XLOOKUP(XLOOKUP(R76,Chart_Scale_Distance!B:B,Chart_Scale_Distance!A:A)+1,Chart_Scale_Distance!A:A,Chart_Scale_Distance!B:B),R76),R76),R76))</f>
        <v/>
      </c>
      <c r="AV76" s="28" t="str">
        <f t="array" ref="AV76">IF($I75="","",IFERROR(XLOOKUP(R76,Chart_Scale_Distance!$B:$B,Chart_Scale_Distance!$A:$A,""),""))</f>
        <v/>
      </c>
      <c r="AW76" s="28" t="str">
        <f t="array" ref="AW76">IF($I75="","",IFERROR(XLOOKUP(AA76,Chart_Scale_Distance!$B:$B,Chart_Scale_Distance!$A:$A,""),""))</f>
        <v/>
      </c>
      <c r="AX76" s="28" t="str">
        <f t="shared" si="14"/>
        <v/>
      </c>
      <c r="AY76" s="28" t="str">
        <f t="shared" si="15"/>
        <v/>
      </c>
      <c r="AZ76" s="28" t="str">
        <f t="shared" si="16"/>
        <v/>
      </c>
      <c r="BA76" s="28" t="str">
        <f t="shared" si="17"/>
        <v/>
      </c>
      <c r="BB76" s="28" t="str">
        <f t="shared" si="18"/>
        <v/>
      </c>
      <c r="BC76" s="28" t="str">
        <f t="array" ref="BC76">IF($I76="","",LET(
conf,AI76,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duoMax,XLOOKUP($B76,Derived_Variables!$A:$A,Derived_Variables!$AI:$AI,4),
axisTol,XLOOKUP($B76,Derived_Variables!$A:$A,Derived_Variables!$W:$W,1),
maxStart,XLOOKUP($B76,Derived_Variables!$A:$A,Derived_Variables!$U:$U,1.25),
maxAR,XLOOKUP($B76,Derived_Variables!$A:$A,Derived_Variables!$V:$V,3),
anom,XLOOKUP($B76,Derived_Variables!$A:$A,Derived_Variables!$Z:$Z,FALSE),
reStart,XLOOKUP($B76,Derived_Variables!$A:$A,Derived_Variables!$K:$K,0),
leStart,XLOOKUP($B76,Derived_Variables!$A:$A,Derived_Variables!$N:$N,0),
reAR,XLOOKUP($B76,AR_Input!$A:$A,AR_Input!$B:$B,reStart),
leAR,XLOOKUP($B76,AR_Input!$A:$A,AR_Input!$E:$E,leStart),
reEsc,AND(anom,OR(ABS((S76+AM76)-reStart)&gt;maxStart,ABS((S76+AM76)-reAR)&gt;maxAR)),
leEsc,AND(anom,OR(ABS((V76+AP76)-leStart)&gt;maxStart,ABS((V76+AP76)-leAR)&gt;maxAR)),
phaseMax,IFS(
 AK76="Fast",
   IFS(
     OR(C76="B",C76="D"),XLOOKUP("timeout_coarse_fast",Calibration!$B:$B,Calibration!$C:$C,24),
     OR(C76="E",C76="F",C76="H",C76="I"),XLOOKUP("timeout_jcc_fast",Calibration!$B:$B,Calibration!$C:$C,10),
     OR(C76="G",C76="J"),XLOOKUP("timeout_duochrome_fast",Calibration!$B:$B,Calibration!$C:$C,8),
     C76="K",XLOOKUP("timeout_bino_fast",Calibration!$B:$B,Calibration!$C:$C,10),
     OR(C76="P",C76="Q",C76="R"),XLOOKUP("timeout_near_fast",Calibration!$B:$B,Calibration!$C:$C,16),
     TRUE,XLOOKUP("timeout_coarse_fast",Calibration!$B:$B,Calibration!$C:$C,24)
   ),
 AK76="Normal",
   IFS(
     OR(C76="B",C76="D"),XLOOKUP("timeout_coarse_normal",Calibration!$B:$B,Calibration!$C:$C,36),
     OR(C76="E",C76="F",C76="H",C76="I"),XLOOKUP("timeout_jcc_normal",Calibration!$B:$B,Calibration!$C:$C,14),
     OR(C76="G",C76="J"),XLOOKUP("timeout_duochrome_normal",Calibration!$B:$B,Calibration!$C:$C,10),
     C76="K",XLOOKUP("timeout_bino_normal",Calibration!$B:$B,Calibration!$C:$C,14),
     OR(C76="P",C76="Q",C76="R"),XLOOKUP("timeout_near_normal",Calibration!$B:$B,Calibration!$C:$C,22),
     TRUE,XLOOKUP("timeout_coarse_normal",Calibration!$B:$B,Calibration!$C:$C,36)
   ),
 TRUE,
   IFS(
     OR(C76="B",C76="D"),XLOOKUP("timeout_coarse_slow",Calibration!$B:$B,Calibration!$C:$C,48),
     OR(C76="E",C76="F",C76="H",C76="I"),XLOOKUP("timeout_jcc_slow",Calibration!$B:$B,Calibration!$C:$C,18),
     OR(C76="G",C76="J"),XLOOKUP("timeout_duochrome_slow",Calibration!$B:$B,Calibration!$C:$C,12),
     C76="K",XLOOKUP("timeout_bino_slow",Calibration!$B:$B,Calibration!$C:$C,18),
     OR(C76="P",C76="Q",C76="R"),XLOOKUP("timeout_near_slow",Calibration!$B:$B,Calibration!$C:$C,28),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AJ76=TRUE,"ESCALATE",
C76="A",
IF(OR(I76="NOT_READABLE",I76="BLURRY",AND(R76="20_20_20",I76="READABLE")),"B","A"),
C76="B",
IF(reEsc,"ESCALATE",IF(AY76&gt;=phaseMax,"ESCALATE",IF(AND(AV76&gt;=AW76,I76="READABLE"),"E","B"))),
C76="E",
IF(AY76&gt;=phaseMax,"ESCALATE",IF(OR(I76="SAME",I76="CANT_TELL",AD76&lt;axisTol),"F","E")),
C76="F",
IF(AY76&gt;=phaseMax,"ESCALATE",IF(AX76&gt;=powerSameN,"G","F")),
C76="G",
IF(AY76&gt;=phaseMax,"ESCALATE",IF(OR(AX76&gt;=duoEqualN,BB76&gt;=duoMax),"D","G")),
C76="D",
IF(leEsc,"ESCALATE",IF(AY76&gt;=phaseMax,"ESCALATE",IF(AND(AV76&gt;=AW76,I76="READABLE"),"H","D"))),
C76="H",
IF(AY76&gt;=phaseMax,"ESCALATE",IF(OR(I76="SAME",I76="CANT_TELL",AD76&lt;axisTol),"I","H")),
C76="I",
IF(AY76&gt;=phaseMax,"ESCALATE",IF(AX76&gt;=powerSameN,"J","I")),
C76="J",
IF(AY76&gt;=phaseMax,"ESCALATE",IF(OR(AX76&gt;=duoEqualN,BB76&gt;=duoMax),"K","J")),
C76="K",
IF(AY76&gt;=phaseMax,"ESCALATE",IF(AX76&gt;=binoSameN,IF(XLOOKUP($B76,Derived_Variables!$A:$A,Derived_Variables!$AJ:$AJ,FALSE)=TRUE,"P","END"),"K")),
C76="P",
IF(AY76&gt;=phaseMax,"ESCALATE",IF(OR(I76="READABLE",I76="SAME"),"Q","P")),
C76="Q",
IF(AY76&gt;=phaseMax,"ESCALATE",IF(OR(I76="READABLE",I76="SAME"),"R","Q")),
C76="R",
IF(AY76&gt;=phaseMax,"ESCALATE",IF(OR(I76=nearTarget,I76="SAME"),"END","R")),
TRUE,"END"
)))</f>
        <v/>
      </c>
      <c r="BD76" s="28" t="b">
        <f t="shared" si="19"/>
        <v>0</v>
      </c>
    </row>
    <row r="77" ht="15.75" customHeight="1">
      <c r="A77" s="28">
        <f t="shared" si="3"/>
        <v>76</v>
      </c>
      <c r="B77" s="28">
        <f t="shared" si="4"/>
        <v>6</v>
      </c>
      <c r="C77" s="28" t="str">
        <f t="shared" si="5"/>
        <v/>
      </c>
      <c r="D77" s="28" t="str">
        <f t="array" ref="D77">IF($I76="","",XLOOKUP(C77,FSM_State_Map!A:A,FSM_State_Map!B:B,""))</f>
        <v/>
      </c>
      <c r="E77" s="28" t="str">
        <f t="array" ref="E77">IF($I76="","",XLOOKUP(C77,FSM_State_Map!A:A,FSM_State_Map!C:C,""))</f>
        <v/>
      </c>
      <c r="F77" s="28" t="str">
        <f t="array" ref="F77">IF($I76="","",XLOOKUP(E77,Phase_UI_Map!A:A,Phase_UI_Map!B:B,""))</f>
        <v/>
      </c>
      <c r="G77" s="28" t="str">
        <f t="array" ref="G77">IF($I76="","",XLOOKUP(E77,Phase_UI_Map!A:A,Phase_UI_Map!C:C,""))</f>
        <v/>
      </c>
      <c r="H77" s="28" t="str">
        <f t="array" ref="H77">IF($I76="","",XLOOKUP(E77,Phase_UI_Map!A:A,Phase_UI_Map!D:D,""))</f>
        <v/>
      </c>
      <c r="I77" s="29"/>
      <c r="J77" s="28" t="str">
        <f>IFERROR(__xludf.DUMMYFUNCTION("IF($I76="""","""",IFERROR(INDEX(FILTER(Response_Lists!$B:$B,Response_Lists!$A:$A=$H77),1),""""))"),"")</f>
        <v/>
      </c>
      <c r="K77" s="28" t="str">
        <f>IFERROR(__xludf.DUMMYFUNCTION("IF($I76="""","""",IFERROR(INDEX(FILTER(Response_Lists!$B:$B,Response_Lists!$A:$A=$H77),2),""""))"),"")</f>
        <v/>
      </c>
      <c r="L77" s="28" t="str">
        <f>IFERROR(__xludf.DUMMYFUNCTION("IF($I76="""","""",IFERROR(INDEX(FILTER(Response_Lists!$B:$B,Response_Lists!$A:$A=$H77),3),""""))"),"")</f>
        <v/>
      </c>
      <c r="M77" s="28" t="str">
        <f>IFERROR(__xludf.DUMMYFUNCTION("IF($I76="""","""",IFERROR(INDEX(FILTER(Response_Lists!$B:$B,Response_Lists!$A:$A=$H77),4),""""))"),"")</f>
        <v/>
      </c>
      <c r="N77" s="28" t="str">
        <f>IFERROR(__xludf.DUMMYFUNCTION("IF($I76="""","""",IFERROR(INDEX(FILTER(Response_Lists!$B:$B,Response_Lists!$A:$A=$H77),5),""""))"),"")</f>
        <v/>
      </c>
      <c r="O77" s="28" t="str">
        <f>IFERROR(__xludf.DUMMYFUNCTION("IF($I76="""","""",IFERROR(INDEX(FILTER(Response_Lists!$B:$B,Response_Lists!$A:$A=$H77),6),""""))"),"")</f>
        <v/>
      </c>
      <c r="P77" s="28" t="str">
        <f t="shared" si="6"/>
        <v/>
      </c>
      <c r="Q77" s="28" t="str">
        <f t="array" ref="Q77">IF($I76="","",XLOOKUP(C77,FSM_State_Map!A:A,FSM_State_Map!D:D,""))</f>
        <v/>
      </c>
      <c r="R77" s="28" t="str">
        <f t="shared" si="7"/>
        <v/>
      </c>
      <c r="S77" s="28" t="str">
        <f t="array" ref="S77">IF($I76="","",
IF(
  AND(C77="B",C76&lt;&gt;"B"),
  XLOOKUP($B77,Derived_Variables!$A:$A,Derived_Variables!$K:$K,0)
  + XLOOKUP($B77,Derived_Variables!$A:$A,Derived_Variables!$AE:$AE,0),
  S76+AM76
))</f>
        <v/>
      </c>
      <c r="T77" s="28" t="str">
        <f t="shared" ref="T77:U77" si="164">IF($I76="","",T76+AN76)</f>
        <v/>
      </c>
      <c r="U77" s="28" t="str">
        <f t="shared" si="164"/>
        <v/>
      </c>
      <c r="V77" s="28" t="str">
        <f t="array" ref="V77">IF($I76="","",
IF(
  AND(C77="D",C76&lt;&gt;"D"),
  XLOOKUP($B77,Derived_Variables!$A:$A,Derived_Variables!$N:$N,0)
  + XLOOKUP($B77,Derived_Variables!$A:$A,Derived_Variables!$AE:$AE,0),
  V76+AP76
))</f>
        <v/>
      </c>
      <c r="W77" s="28" t="str">
        <f t="shared" ref="W77:X77" si="165">IF($I76="","",W76+AQ76)</f>
        <v/>
      </c>
      <c r="X77" s="28" t="str">
        <f t="shared" si="165"/>
        <v/>
      </c>
      <c r="Y77" s="28" t="str">
        <f t="array" ref="Y77">IF($I76="","",IF(AND(C77="P",C76&lt;&gt;"P"),IFERROR(XLOOKUP($B77,Lenso_Input!$A:$A,Lenso_Input!$E:$E,0),0),Y76+AS76))</f>
        <v/>
      </c>
      <c r="Z77" s="28" t="str">
        <f t="array" ref="Z77">IF($I76="","",IF(AND(C77="Q",C76&lt;&gt;"Q"),IFERROR(XLOOKUP($B77,Lenso_Input!$A:$A,Lenso_Input!$I:$I,0),0),Z76+AT76))</f>
        <v/>
      </c>
      <c r="AA77" s="28" t="str">
        <f t="array" ref="AA77">IF($I76="","",IF(XLOOKUP($B77,Derived_Variables!$A:$A,Derived_Variables!$R:$R,"6/6_target")="6/6_target","20_20_20","40_30_25"))</f>
        <v/>
      </c>
      <c r="AB77" s="28" t="str">
        <f t="array" ref="AB77">IF($I76="","",XLOOKUP(LOWER(XLOOKUP($B77,Derived_Variables!$A:$A,Derived_Variables!$T:$T,"Standard"))&amp;"_sph_step",Calibration!$B:$B,Calibration!$C:$C,0.25))</f>
        <v/>
      </c>
      <c r="AC77" s="28" t="str">
        <f t="array" ref="AC77">IF($I76="","",XLOOKUP(LOWER(XLOOKUP($B77,Derived_Variables!$A:$A,Derived_Variables!$T:$T,"Standard"))&amp;"_cyl_step",Calibration!$B:$B,Calibration!$C:$C,0.25))</f>
        <v/>
      </c>
      <c r="AD77" s="28" t="str">
        <f t="array" ref="AD77">IF($I76="","",IF(OR(C77="E",C77="H"),LET(startStep,XLOOKUP("axis_start_step",Calibration!$B:$B,Calibration!$C:$C,5),step1,XLOOKUP("axis_reversal_step_1",Calibration!$B:$B,Calibration!$C:$C,3),step2,XLOOKUP("axis_reversal_step_2",Calibration!$B:$B,Calibration!$C:$C,1),IF(OR(C76&lt;&gt;C77,AZ77="",AZ77="SAME",AZ77="CANT_TELL",I77="",I77="SAME",I77="CANT_TELL"),startStep,IF(OR(AND(AZ77="BETTER_1",I77="BETTER_2"),AND(AZ77="BETTER_2",I77="BETTER_1")),IF(AD76&gt;step1,step1,step2),AD76))),0))</f>
        <v/>
      </c>
      <c r="AE77" s="28" t="str">
        <f t="array" ref="AE77">IF($I76="","",XLOOKUP($B77,Derived_Variables!$A:$A,Derived_Variables!$AD:$AD,"No_Fog"))</f>
        <v/>
      </c>
      <c r="AF77" s="28" t="str">
        <f t="array" ref="AF77">IF($I76="","",XLOOKUP($B77,Derived_Variables!$A:$A,Derived_Variables!$AE:$AE,0))</f>
        <v/>
      </c>
      <c r="AG77" s="28" t="str">
        <f t="array" ref="AG77">IF($I76="","",XLOOKUP($B77,Derived_Variables!$A:$A,Derived_Variables!$AF:$AF,""))</f>
        <v/>
      </c>
      <c r="AH77" s="28" t="str">
        <f t="array" ref="AH77">IF($I76="","",XLOOKUP($B77,Derived_Variables!$A:$A,Derived_Variables!$AG:$AG,""))</f>
        <v/>
      </c>
      <c r="AI77" s="28" t="str">
        <f t="array" ref="AI77">IF($I76="","",XLOOKUP($B77,Derived_Variables!$A:$A,Derived_Variables!$AC:$AC,"Medium"))</f>
        <v/>
      </c>
      <c r="AJ77" s="28" t="str">
        <f t="array" ref="AJ77">IF($I76="","",XLOOKUP($B77,Derived_Variables!$A:$A,Derived_Variables!$Y:$Y,FALSE))</f>
        <v/>
      </c>
      <c r="AK77" s="28" t="str">
        <f t="array" ref="AK77">IF($I76="","",XLOOKUP($B77,Derived_Variables!$A:$A,Derived_Variables!$AA:$AA,"Normal"))</f>
        <v/>
      </c>
      <c r="AL77" s="28" t="str">
        <f t="array" ref="AL77">IF($I76="","",XLOOKUP($B77,Derived_Variables!$A:$A,Derived_Variables!$AB:$AB,"Normal"))</f>
        <v/>
      </c>
      <c r="AM77" s="28" t="str">
        <f t="array" ref="AM77">IF($I77="","",IFS(C77="B",IF(OR(I77="NOT_READABLE",I77="BLURRY"),-AB77,0),C77="G",IFS(I77="RED_CLEARER",XLOOKUP("duochrome_red_step",Calibration!$B:$B,Calibration!$C:$C,-0.25),I77="GREEN_CLEARER",XLOOKUP("duochrome_green_step",Calibration!$B:$B,Calibration!$C:$C,0.25),I77="EQUAL",IF(XLOOKUP($B77,Derived_Variables!$A:$A,Derived_Variables!$S:$S,"Neutral")="Undercorrect",XLOOKUP("undercorrect_step",Calibration!$B:$B,Calibration!$C:$C,0.25),IF(XLOOKUP($B77,Derived_Variables!$A:$A,Derived_Variables!$S:$S,"Neutral")="Overcorrect",-XLOOKUP("overcorrect_step",Calibration!$B:$B,Calibration!$C:$C,0.25),0)),TRUE,0),C77="K",IF(I77="TOP_CLEARER",XLOOKUP("bino_balance_step",Calibration!$B:$B,Calibration!$C:$C,0.25),0),TRUE,0))</f>
        <v/>
      </c>
      <c r="AN77" s="28" t="str">
        <f t="shared" si="10"/>
        <v/>
      </c>
      <c r="AO77" s="28" t="str">
        <f t="shared" si="11"/>
        <v/>
      </c>
      <c r="AP77" s="28" t="str">
        <f t="array" ref="AP77">IF($I77="","",IFS(C77="D",IF(OR(I77="NOT_READABLE",I77="BLURRY"),-AB77,0),C77="J",IFS(I77="RED_CLEARER",XLOOKUP("duochrome_red_step",Calibration!$B:$B,Calibration!$C:$C,-0.25),I77="GREEN_CLEARER",XLOOKUP("duochrome_green_step",Calibration!$B:$B,Calibration!$C:$C,0.25),I77="EQUAL",IF(XLOOKUP($B77,Derived_Variables!$A:$A,Derived_Variables!$S:$S,"Neutral")="Undercorrect",XLOOKUP("undercorrect_step",Calibration!$B:$B,Calibration!$C:$C,0.25),IF(XLOOKUP($B77,Derived_Variables!$A:$A,Derived_Variables!$S:$S,"Neutral")="Overcorrect",-XLOOKUP("overcorrect_step",Calibration!$B:$B,Calibration!$C:$C,0.25),0)),TRUE,0),C77="K",IF(I77="BOTTOM_CLEARER",XLOOKUP("bino_balance_step",Calibration!$B:$B,Calibration!$C:$C,0.25),0),TRUE,0))</f>
        <v/>
      </c>
      <c r="AQ77" s="28" t="str">
        <f t="shared" si="12"/>
        <v/>
      </c>
      <c r="AR77" s="28" t="str">
        <f t="shared" si="13"/>
        <v/>
      </c>
      <c r="AS77" s="28" t="str">
        <f t="array" ref="AS77">IF($I77="","",IF(C77="P",IF(OR(I77="NOT_READABLE",I77="BLURRY"),XLOOKUP("near_add_step",Calibration!$B:$B,Calibration!$C:$C,0.25),0),IF(C77="R",IF(I77="NOT_CLEAR",XLOOKUP("near_add_step",Calibration!$B:$B,Calibration!$C:$C,0.25),0),0)))</f>
        <v/>
      </c>
      <c r="AT77" s="28" t="str">
        <f t="array" ref="AT77">IF($I77="","",IF(C77="Q",IF(OR(I77="NOT_READABLE",I77="BLURRY"),XLOOKUP("near_add_step",Calibration!$B:$B,Calibration!$C:$C,0.25),0),IF(C77="R",IF(I77="NOT_CLEAR",XLOOKUP("near_add_step",Calibration!$B:$B,Calibration!$C:$C,0.25),0),0)))</f>
        <v/>
      </c>
      <c r="AU77" s="28" t="str">
        <f t="array" ref="AU77">IF($I77="","",IF(G77="SNELLEN_FEET",IF(I77="READABLE",IFERROR(XLOOKUP(XLOOKUP(R77,Chart_Scale_Distance!B:B,Chart_Scale_Distance!A:A)+1,Chart_Scale_Distance!A:A,Chart_Scale_Distance!B:B),R77),R77),R77))</f>
        <v/>
      </c>
      <c r="AV77" s="28" t="str">
        <f t="array" ref="AV77">IF($I76="","",IFERROR(XLOOKUP(R77,Chart_Scale_Distance!$B:$B,Chart_Scale_Distance!$A:$A,""),""))</f>
        <v/>
      </c>
      <c r="AW77" s="28" t="str">
        <f t="array" ref="AW77">IF($I76="","",IFERROR(XLOOKUP(AA77,Chart_Scale_Distance!$B:$B,Chart_Scale_Distance!$A:$A,""),""))</f>
        <v/>
      </c>
      <c r="AX77" s="28" t="str">
        <f t="shared" si="14"/>
        <v/>
      </c>
      <c r="AY77" s="28" t="str">
        <f t="shared" si="15"/>
        <v/>
      </c>
      <c r="AZ77" s="28" t="str">
        <f t="shared" si="16"/>
        <v/>
      </c>
      <c r="BA77" s="28" t="str">
        <f t="shared" si="17"/>
        <v/>
      </c>
      <c r="BB77" s="28" t="str">
        <f t="shared" si="18"/>
        <v/>
      </c>
      <c r="BC77" s="28" t="str">
        <f t="array" ref="BC77">IF($I77="","",LET(
conf,AI77,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duoMax,XLOOKUP($B77,Derived_Variables!$A:$A,Derived_Variables!$AI:$AI,4),
axisTol,XLOOKUP($B77,Derived_Variables!$A:$A,Derived_Variables!$W:$W,1),
maxStart,XLOOKUP($B77,Derived_Variables!$A:$A,Derived_Variables!$U:$U,1.25),
maxAR,XLOOKUP($B77,Derived_Variables!$A:$A,Derived_Variables!$V:$V,3),
anom,XLOOKUP($B77,Derived_Variables!$A:$A,Derived_Variables!$Z:$Z,FALSE),
reStart,XLOOKUP($B77,Derived_Variables!$A:$A,Derived_Variables!$K:$K,0),
leStart,XLOOKUP($B77,Derived_Variables!$A:$A,Derived_Variables!$N:$N,0),
reAR,XLOOKUP($B77,AR_Input!$A:$A,AR_Input!$B:$B,reStart),
leAR,XLOOKUP($B77,AR_Input!$A:$A,AR_Input!$E:$E,leStart),
reEsc,AND(anom,OR(ABS((S77+AM77)-reStart)&gt;maxStart,ABS((S77+AM77)-reAR)&gt;maxAR)),
leEsc,AND(anom,OR(ABS((V77+AP77)-leStart)&gt;maxStart,ABS((V77+AP77)-leAR)&gt;maxAR)),
phaseMax,IFS(
 AK77="Fast",
   IFS(
     OR(C77="B",C77="D"),XLOOKUP("timeout_coarse_fast",Calibration!$B:$B,Calibration!$C:$C,24),
     OR(C77="E",C77="F",C77="H",C77="I"),XLOOKUP("timeout_jcc_fast",Calibration!$B:$B,Calibration!$C:$C,10),
     OR(C77="G",C77="J"),XLOOKUP("timeout_duochrome_fast",Calibration!$B:$B,Calibration!$C:$C,8),
     C77="K",XLOOKUP("timeout_bino_fast",Calibration!$B:$B,Calibration!$C:$C,10),
     OR(C77="P",C77="Q",C77="R"),XLOOKUP("timeout_near_fast",Calibration!$B:$B,Calibration!$C:$C,16),
     TRUE,XLOOKUP("timeout_coarse_fast",Calibration!$B:$B,Calibration!$C:$C,24)
   ),
 AK77="Normal",
   IFS(
     OR(C77="B",C77="D"),XLOOKUP("timeout_coarse_normal",Calibration!$B:$B,Calibration!$C:$C,36),
     OR(C77="E",C77="F",C77="H",C77="I"),XLOOKUP("timeout_jcc_normal",Calibration!$B:$B,Calibration!$C:$C,14),
     OR(C77="G",C77="J"),XLOOKUP("timeout_duochrome_normal",Calibration!$B:$B,Calibration!$C:$C,10),
     C77="K",XLOOKUP("timeout_bino_normal",Calibration!$B:$B,Calibration!$C:$C,14),
     OR(C77="P",C77="Q",C77="R"),XLOOKUP("timeout_near_normal",Calibration!$B:$B,Calibration!$C:$C,22),
     TRUE,XLOOKUP("timeout_coarse_normal",Calibration!$B:$B,Calibration!$C:$C,36)
   ),
 TRUE,
   IFS(
     OR(C77="B",C77="D"),XLOOKUP("timeout_coarse_slow",Calibration!$B:$B,Calibration!$C:$C,48),
     OR(C77="E",C77="F",C77="H",C77="I"),XLOOKUP("timeout_jcc_slow",Calibration!$B:$B,Calibration!$C:$C,18),
     OR(C77="G",C77="J"),XLOOKUP("timeout_duochrome_slow",Calibration!$B:$B,Calibration!$C:$C,12),
     C77="K",XLOOKUP("timeout_bino_slow",Calibration!$B:$B,Calibration!$C:$C,18),
     OR(C77="P",C77="Q",C77="R"),XLOOKUP("timeout_near_slow",Calibration!$B:$B,Calibration!$C:$C,28),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AJ77=TRUE,"ESCALATE",
C77="A",
IF(OR(I77="NOT_READABLE",I77="BLURRY",AND(R77="20_20_20",I77="READABLE")),"B","A"),
C77="B",
IF(reEsc,"ESCALATE",IF(AY77&gt;=phaseMax,"ESCALATE",IF(AND(AV77&gt;=AW77,I77="READABLE"),"E","B"))),
C77="E",
IF(AY77&gt;=phaseMax,"ESCALATE",IF(OR(I77="SAME",I77="CANT_TELL",AD77&lt;axisTol),"F","E")),
C77="F",
IF(AY77&gt;=phaseMax,"ESCALATE",IF(AX77&gt;=powerSameN,"G","F")),
C77="G",
IF(AY77&gt;=phaseMax,"ESCALATE",IF(OR(AX77&gt;=duoEqualN,BB77&gt;=duoMax),"D","G")),
C77="D",
IF(leEsc,"ESCALATE",IF(AY77&gt;=phaseMax,"ESCALATE",IF(AND(AV77&gt;=AW77,I77="READABLE"),"H","D"))),
C77="H",
IF(AY77&gt;=phaseMax,"ESCALATE",IF(OR(I77="SAME",I77="CANT_TELL",AD77&lt;axisTol),"I","H")),
C77="I",
IF(AY77&gt;=phaseMax,"ESCALATE",IF(AX77&gt;=powerSameN,"J","I")),
C77="J",
IF(AY77&gt;=phaseMax,"ESCALATE",IF(OR(AX77&gt;=duoEqualN,BB77&gt;=duoMax),"K","J")),
C77="K",
IF(AY77&gt;=phaseMax,"ESCALATE",IF(AX77&gt;=binoSameN,IF(XLOOKUP($B77,Derived_Variables!$A:$A,Derived_Variables!$AJ:$AJ,FALSE)=TRUE,"P","END"),"K")),
C77="P",
IF(AY77&gt;=phaseMax,"ESCALATE",IF(OR(I77="READABLE",I77="SAME"),"Q","P")),
C77="Q",
IF(AY77&gt;=phaseMax,"ESCALATE",IF(OR(I77="READABLE",I77="SAME"),"R","Q")),
C77="R",
IF(AY77&gt;=phaseMax,"ESCALATE",IF(OR(I77=nearTarget,I77="SAME"),"END","R")),
TRUE,"END"
)))</f>
        <v/>
      </c>
      <c r="BD77" s="28" t="b">
        <f t="shared" si="19"/>
        <v>0</v>
      </c>
    </row>
    <row r="78" ht="15.75" customHeight="1">
      <c r="A78" s="28">
        <f t="shared" si="3"/>
        <v>77</v>
      </c>
      <c r="B78" s="28">
        <f t="shared" si="4"/>
        <v>6</v>
      </c>
      <c r="C78" s="28" t="str">
        <f t="shared" si="5"/>
        <v/>
      </c>
      <c r="D78" s="28" t="str">
        <f t="array" ref="D78">IF($I77="","",XLOOKUP(C78,FSM_State_Map!A:A,FSM_State_Map!B:B,""))</f>
        <v/>
      </c>
      <c r="E78" s="28" t="str">
        <f t="array" ref="E78">IF($I77="","",XLOOKUP(C78,FSM_State_Map!A:A,FSM_State_Map!C:C,""))</f>
        <v/>
      </c>
      <c r="F78" s="28" t="str">
        <f t="array" ref="F78">IF($I77="","",XLOOKUP(E78,Phase_UI_Map!A:A,Phase_UI_Map!B:B,""))</f>
        <v/>
      </c>
      <c r="G78" s="28" t="str">
        <f t="array" ref="G78">IF($I77="","",XLOOKUP(E78,Phase_UI_Map!A:A,Phase_UI_Map!C:C,""))</f>
        <v/>
      </c>
      <c r="H78" s="28" t="str">
        <f t="array" ref="H78">IF($I77="","",XLOOKUP(E78,Phase_UI_Map!A:A,Phase_UI_Map!D:D,""))</f>
        <v/>
      </c>
      <c r="I78" s="29"/>
      <c r="J78" s="28" t="str">
        <f>IFERROR(__xludf.DUMMYFUNCTION("IF($I77="""","""",IFERROR(INDEX(FILTER(Response_Lists!$B:$B,Response_Lists!$A:$A=$H78),1),""""))"),"")</f>
        <v/>
      </c>
      <c r="K78" s="28" t="str">
        <f>IFERROR(__xludf.DUMMYFUNCTION("IF($I77="""","""",IFERROR(INDEX(FILTER(Response_Lists!$B:$B,Response_Lists!$A:$A=$H78),2),""""))"),"")</f>
        <v/>
      </c>
      <c r="L78" s="28" t="str">
        <f>IFERROR(__xludf.DUMMYFUNCTION("IF($I77="""","""",IFERROR(INDEX(FILTER(Response_Lists!$B:$B,Response_Lists!$A:$A=$H78),3),""""))"),"")</f>
        <v/>
      </c>
      <c r="M78" s="28" t="str">
        <f>IFERROR(__xludf.DUMMYFUNCTION("IF($I77="""","""",IFERROR(INDEX(FILTER(Response_Lists!$B:$B,Response_Lists!$A:$A=$H78),4),""""))"),"")</f>
        <v/>
      </c>
      <c r="N78" s="28" t="str">
        <f>IFERROR(__xludf.DUMMYFUNCTION("IF($I77="""","""",IFERROR(INDEX(FILTER(Response_Lists!$B:$B,Response_Lists!$A:$A=$H78),5),""""))"),"")</f>
        <v/>
      </c>
      <c r="O78" s="28" t="str">
        <f>IFERROR(__xludf.DUMMYFUNCTION("IF($I77="""","""",IFERROR(INDEX(FILTER(Response_Lists!$B:$B,Response_Lists!$A:$A=$H78),6),""""))"),"")</f>
        <v/>
      </c>
      <c r="P78" s="28" t="str">
        <f t="shared" si="6"/>
        <v/>
      </c>
      <c r="Q78" s="28" t="str">
        <f t="array" ref="Q78">IF($I77="","",XLOOKUP(C78,FSM_State_Map!A:A,FSM_State_Map!D:D,""))</f>
        <v/>
      </c>
      <c r="R78" s="28" t="str">
        <f t="shared" si="7"/>
        <v/>
      </c>
      <c r="S78" s="28" t="str">
        <f t="array" ref="S78">IF($I77="","",
IF(
  AND(C78="B",C77&lt;&gt;"B"),
  XLOOKUP($B78,Derived_Variables!$A:$A,Derived_Variables!$K:$K,0)
  + XLOOKUP($B78,Derived_Variables!$A:$A,Derived_Variables!$AE:$AE,0),
  S77+AM77
))</f>
        <v/>
      </c>
      <c r="T78" s="28" t="str">
        <f t="shared" ref="T78:U78" si="166">IF($I77="","",T77+AN77)</f>
        <v/>
      </c>
      <c r="U78" s="28" t="str">
        <f t="shared" si="166"/>
        <v/>
      </c>
      <c r="V78" s="28" t="str">
        <f t="array" ref="V78">IF($I77="","",
IF(
  AND(C78="D",C77&lt;&gt;"D"),
  XLOOKUP($B78,Derived_Variables!$A:$A,Derived_Variables!$N:$N,0)
  + XLOOKUP($B78,Derived_Variables!$A:$A,Derived_Variables!$AE:$AE,0),
  V77+AP77
))</f>
        <v/>
      </c>
      <c r="W78" s="28" t="str">
        <f t="shared" ref="W78:X78" si="167">IF($I77="","",W77+AQ77)</f>
        <v/>
      </c>
      <c r="X78" s="28" t="str">
        <f t="shared" si="167"/>
        <v/>
      </c>
      <c r="Y78" s="28" t="str">
        <f t="array" ref="Y78">IF($I77="","",IF(AND(C78="P",C77&lt;&gt;"P"),IFERROR(XLOOKUP($B78,Lenso_Input!$A:$A,Lenso_Input!$E:$E,0),0),Y77+AS77))</f>
        <v/>
      </c>
      <c r="Z78" s="28" t="str">
        <f t="array" ref="Z78">IF($I77="","",IF(AND(C78="Q",C77&lt;&gt;"Q"),IFERROR(XLOOKUP($B78,Lenso_Input!$A:$A,Lenso_Input!$I:$I,0),0),Z77+AT77))</f>
        <v/>
      </c>
      <c r="AA78" s="28" t="str">
        <f t="array" ref="AA78">IF($I77="","",IF(XLOOKUP($B78,Derived_Variables!$A:$A,Derived_Variables!$R:$R,"6/6_target")="6/6_target","20_20_20","40_30_25"))</f>
        <v/>
      </c>
      <c r="AB78" s="28" t="str">
        <f t="array" ref="AB78">IF($I77="","",XLOOKUP(LOWER(XLOOKUP($B78,Derived_Variables!$A:$A,Derived_Variables!$T:$T,"Standard"))&amp;"_sph_step",Calibration!$B:$B,Calibration!$C:$C,0.25))</f>
        <v/>
      </c>
      <c r="AC78" s="28" t="str">
        <f t="array" ref="AC78">IF($I77="","",XLOOKUP(LOWER(XLOOKUP($B78,Derived_Variables!$A:$A,Derived_Variables!$T:$T,"Standard"))&amp;"_cyl_step",Calibration!$B:$B,Calibration!$C:$C,0.25))</f>
        <v/>
      </c>
      <c r="AD78" s="28" t="str">
        <f t="array" ref="AD78">IF($I77="","",IF(OR(C78="E",C78="H"),LET(startStep,XLOOKUP("axis_start_step",Calibration!$B:$B,Calibration!$C:$C,5),step1,XLOOKUP("axis_reversal_step_1",Calibration!$B:$B,Calibration!$C:$C,3),step2,XLOOKUP("axis_reversal_step_2",Calibration!$B:$B,Calibration!$C:$C,1),IF(OR(C77&lt;&gt;C78,AZ78="",AZ78="SAME",AZ78="CANT_TELL",I78="",I78="SAME",I78="CANT_TELL"),startStep,IF(OR(AND(AZ78="BETTER_1",I78="BETTER_2"),AND(AZ78="BETTER_2",I78="BETTER_1")),IF(AD77&gt;step1,step1,step2),AD77))),0))</f>
        <v/>
      </c>
      <c r="AE78" s="28" t="str">
        <f t="array" ref="AE78">IF($I77="","",XLOOKUP($B78,Derived_Variables!$A:$A,Derived_Variables!$AD:$AD,"No_Fog"))</f>
        <v/>
      </c>
      <c r="AF78" s="28" t="str">
        <f t="array" ref="AF78">IF($I77="","",XLOOKUP($B78,Derived_Variables!$A:$A,Derived_Variables!$AE:$AE,0))</f>
        <v/>
      </c>
      <c r="AG78" s="28" t="str">
        <f t="array" ref="AG78">IF($I77="","",XLOOKUP($B78,Derived_Variables!$A:$A,Derived_Variables!$AF:$AF,""))</f>
        <v/>
      </c>
      <c r="AH78" s="28" t="str">
        <f t="array" ref="AH78">IF($I77="","",XLOOKUP($B78,Derived_Variables!$A:$A,Derived_Variables!$AG:$AG,""))</f>
        <v/>
      </c>
      <c r="AI78" s="28" t="str">
        <f t="array" ref="AI78">IF($I77="","",XLOOKUP($B78,Derived_Variables!$A:$A,Derived_Variables!$AC:$AC,"Medium"))</f>
        <v/>
      </c>
      <c r="AJ78" s="28" t="str">
        <f t="array" ref="AJ78">IF($I77="","",XLOOKUP($B78,Derived_Variables!$A:$A,Derived_Variables!$Y:$Y,FALSE))</f>
        <v/>
      </c>
      <c r="AK78" s="28" t="str">
        <f t="array" ref="AK78">IF($I77="","",XLOOKUP($B78,Derived_Variables!$A:$A,Derived_Variables!$AA:$AA,"Normal"))</f>
        <v/>
      </c>
      <c r="AL78" s="28" t="str">
        <f t="array" ref="AL78">IF($I77="","",XLOOKUP($B78,Derived_Variables!$A:$A,Derived_Variables!$AB:$AB,"Normal"))</f>
        <v/>
      </c>
      <c r="AM78" s="28" t="str">
        <f t="array" ref="AM78">IF($I78="","",IFS(C78="B",IF(OR(I78="NOT_READABLE",I78="BLURRY"),-AB78,0),C78="G",IFS(I78="RED_CLEARER",XLOOKUP("duochrome_red_step",Calibration!$B:$B,Calibration!$C:$C,-0.25),I78="GREEN_CLEARER",XLOOKUP("duochrome_green_step",Calibration!$B:$B,Calibration!$C:$C,0.25),I78="EQUAL",IF(XLOOKUP($B78,Derived_Variables!$A:$A,Derived_Variables!$S:$S,"Neutral")="Undercorrect",XLOOKUP("undercorrect_step",Calibration!$B:$B,Calibration!$C:$C,0.25),IF(XLOOKUP($B78,Derived_Variables!$A:$A,Derived_Variables!$S:$S,"Neutral")="Overcorrect",-XLOOKUP("overcorrect_step",Calibration!$B:$B,Calibration!$C:$C,0.25),0)),TRUE,0),C78="K",IF(I78="TOP_CLEARER",XLOOKUP("bino_balance_step",Calibration!$B:$B,Calibration!$C:$C,0.25),0),TRUE,0))</f>
        <v/>
      </c>
      <c r="AN78" s="28" t="str">
        <f t="shared" si="10"/>
        <v/>
      </c>
      <c r="AO78" s="28" t="str">
        <f t="shared" si="11"/>
        <v/>
      </c>
      <c r="AP78" s="28" t="str">
        <f t="array" ref="AP78">IF($I78="","",IFS(C78="D",IF(OR(I78="NOT_READABLE",I78="BLURRY"),-AB78,0),C78="J",IFS(I78="RED_CLEARER",XLOOKUP("duochrome_red_step",Calibration!$B:$B,Calibration!$C:$C,-0.25),I78="GREEN_CLEARER",XLOOKUP("duochrome_green_step",Calibration!$B:$B,Calibration!$C:$C,0.25),I78="EQUAL",IF(XLOOKUP($B78,Derived_Variables!$A:$A,Derived_Variables!$S:$S,"Neutral")="Undercorrect",XLOOKUP("undercorrect_step",Calibration!$B:$B,Calibration!$C:$C,0.25),IF(XLOOKUP($B78,Derived_Variables!$A:$A,Derived_Variables!$S:$S,"Neutral")="Overcorrect",-XLOOKUP("overcorrect_step",Calibration!$B:$B,Calibration!$C:$C,0.25),0)),TRUE,0),C78="K",IF(I78="BOTTOM_CLEARER",XLOOKUP("bino_balance_step",Calibration!$B:$B,Calibration!$C:$C,0.25),0),TRUE,0))</f>
        <v/>
      </c>
      <c r="AQ78" s="28" t="str">
        <f t="shared" si="12"/>
        <v/>
      </c>
      <c r="AR78" s="28" t="str">
        <f t="shared" si="13"/>
        <v/>
      </c>
      <c r="AS78" s="28" t="str">
        <f t="array" ref="AS78">IF($I78="","",IF(C78="P",IF(OR(I78="NOT_READABLE",I78="BLURRY"),XLOOKUP("near_add_step",Calibration!$B:$B,Calibration!$C:$C,0.25),0),IF(C78="R",IF(I78="NOT_CLEAR",XLOOKUP("near_add_step",Calibration!$B:$B,Calibration!$C:$C,0.25),0),0)))</f>
        <v/>
      </c>
      <c r="AT78" s="28" t="str">
        <f t="array" ref="AT78">IF($I78="","",IF(C78="Q",IF(OR(I78="NOT_READABLE",I78="BLURRY"),XLOOKUP("near_add_step",Calibration!$B:$B,Calibration!$C:$C,0.25),0),IF(C78="R",IF(I78="NOT_CLEAR",XLOOKUP("near_add_step",Calibration!$B:$B,Calibration!$C:$C,0.25),0),0)))</f>
        <v/>
      </c>
      <c r="AU78" s="28" t="str">
        <f t="array" ref="AU78">IF($I78="","",IF(G78="SNELLEN_FEET",IF(I78="READABLE",IFERROR(XLOOKUP(XLOOKUP(R78,Chart_Scale_Distance!B:B,Chart_Scale_Distance!A:A)+1,Chart_Scale_Distance!A:A,Chart_Scale_Distance!B:B),R78),R78),R78))</f>
        <v/>
      </c>
      <c r="AV78" s="28" t="str">
        <f t="array" ref="AV78">IF($I77="","",IFERROR(XLOOKUP(R78,Chart_Scale_Distance!$B:$B,Chart_Scale_Distance!$A:$A,""),""))</f>
        <v/>
      </c>
      <c r="AW78" s="28" t="str">
        <f t="array" ref="AW78">IF($I77="","",IFERROR(XLOOKUP(AA78,Chart_Scale_Distance!$B:$B,Chart_Scale_Distance!$A:$A,""),""))</f>
        <v/>
      </c>
      <c r="AX78" s="28" t="str">
        <f t="shared" si="14"/>
        <v/>
      </c>
      <c r="AY78" s="28" t="str">
        <f t="shared" si="15"/>
        <v/>
      </c>
      <c r="AZ78" s="28" t="str">
        <f t="shared" si="16"/>
        <v/>
      </c>
      <c r="BA78" s="28" t="str">
        <f t="shared" si="17"/>
        <v/>
      </c>
      <c r="BB78" s="28" t="str">
        <f t="shared" si="18"/>
        <v/>
      </c>
      <c r="BC78" s="28" t="str">
        <f t="array" ref="BC78">IF($I78="","",LET(
conf,AI78,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duoMax,XLOOKUP($B78,Derived_Variables!$A:$A,Derived_Variables!$AI:$AI,4),
axisTol,XLOOKUP($B78,Derived_Variables!$A:$A,Derived_Variables!$W:$W,1),
maxStart,XLOOKUP($B78,Derived_Variables!$A:$A,Derived_Variables!$U:$U,1.25),
maxAR,XLOOKUP($B78,Derived_Variables!$A:$A,Derived_Variables!$V:$V,3),
anom,XLOOKUP($B78,Derived_Variables!$A:$A,Derived_Variables!$Z:$Z,FALSE),
reStart,XLOOKUP($B78,Derived_Variables!$A:$A,Derived_Variables!$K:$K,0),
leStart,XLOOKUP($B78,Derived_Variables!$A:$A,Derived_Variables!$N:$N,0),
reAR,XLOOKUP($B78,AR_Input!$A:$A,AR_Input!$B:$B,reStart),
leAR,XLOOKUP($B78,AR_Input!$A:$A,AR_Input!$E:$E,leStart),
reEsc,AND(anom,OR(ABS((S78+AM78)-reStart)&gt;maxStart,ABS((S78+AM78)-reAR)&gt;maxAR)),
leEsc,AND(anom,OR(ABS((V78+AP78)-leStart)&gt;maxStart,ABS((V78+AP78)-leAR)&gt;maxAR)),
phaseMax,IFS(
 AK78="Fast",
   IFS(
     OR(C78="B",C78="D"),XLOOKUP("timeout_coarse_fast",Calibration!$B:$B,Calibration!$C:$C,24),
     OR(C78="E",C78="F",C78="H",C78="I"),XLOOKUP("timeout_jcc_fast",Calibration!$B:$B,Calibration!$C:$C,10),
     OR(C78="G",C78="J"),XLOOKUP("timeout_duochrome_fast",Calibration!$B:$B,Calibration!$C:$C,8),
     C78="K",XLOOKUP("timeout_bino_fast",Calibration!$B:$B,Calibration!$C:$C,10),
     OR(C78="P",C78="Q",C78="R"),XLOOKUP("timeout_near_fast",Calibration!$B:$B,Calibration!$C:$C,16),
     TRUE,XLOOKUP("timeout_coarse_fast",Calibration!$B:$B,Calibration!$C:$C,24)
   ),
 AK78="Normal",
   IFS(
     OR(C78="B",C78="D"),XLOOKUP("timeout_coarse_normal",Calibration!$B:$B,Calibration!$C:$C,36),
     OR(C78="E",C78="F",C78="H",C78="I"),XLOOKUP("timeout_jcc_normal",Calibration!$B:$B,Calibration!$C:$C,14),
     OR(C78="G",C78="J"),XLOOKUP("timeout_duochrome_normal",Calibration!$B:$B,Calibration!$C:$C,10),
     C78="K",XLOOKUP("timeout_bino_normal",Calibration!$B:$B,Calibration!$C:$C,14),
     OR(C78="P",C78="Q",C78="R"),XLOOKUP("timeout_near_normal",Calibration!$B:$B,Calibration!$C:$C,22),
     TRUE,XLOOKUP("timeout_coarse_normal",Calibration!$B:$B,Calibration!$C:$C,36)
   ),
 TRUE,
   IFS(
     OR(C78="B",C78="D"),XLOOKUP("timeout_coarse_slow",Calibration!$B:$B,Calibration!$C:$C,48),
     OR(C78="E",C78="F",C78="H",C78="I"),XLOOKUP("timeout_jcc_slow",Calibration!$B:$B,Calibration!$C:$C,18),
     OR(C78="G",C78="J"),XLOOKUP("timeout_duochrome_slow",Calibration!$B:$B,Calibration!$C:$C,12),
     C78="K",XLOOKUP("timeout_bino_slow",Calibration!$B:$B,Calibration!$C:$C,18),
     OR(C78="P",C78="Q",C78="R"),XLOOKUP("timeout_near_slow",Calibration!$B:$B,Calibration!$C:$C,28),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AJ78=TRUE,"ESCALATE",
C78="A",
IF(OR(I78="NOT_READABLE",I78="BLURRY",AND(R78="20_20_20",I78="READABLE")),"B","A"),
C78="B",
IF(reEsc,"ESCALATE",IF(AY78&gt;=phaseMax,"ESCALATE",IF(AND(AV78&gt;=AW78,I78="READABLE"),"E","B"))),
C78="E",
IF(AY78&gt;=phaseMax,"ESCALATE",IF(OR(I78="SAME",I78="CANT_TELL",AD78&lt;axisTol),"F","E")),
C78="F",
IF(AY78&gt;=phaseMax,"ESCALATE",IF(AX78&gt;=powerSameN,"G","F")),
C78="G",
IF(AY78&gt;=phaseMax,"ESCALATE",IF(OR(AX78&gt;=duoEqualN,BB78&gt;=duoMax),"D","G")),
C78="D",
IF(leEsc,"ESCALATE",IF(AY78&gt;=phaseMax,"ESCALATE",IF(AND(AV78&gt;=AW78,I78="READABLE"),"H","D"))),
C78="H",
IF(AY78&gt;=phaseMax,"ESCALATE",IF(OR(I78="SAME",I78="CANT_TELL",AD78&lt;axisTol),"I","H")),
C78="I",
IF(AY78&gt;=phaseMax,"ESCALATE",IF(AX78&gt;=powerSameN,"J","I")),
C78="J",
IF(AY78&gt;=phaseMax,"ESCALATE",IF(OR(AX78&gt;=duoEqualN,BB78&gt;=duoMax),"K","J")),
C78="K",
IF(AY78&gt;=phaseMax,"ESCALATE",IF(AX78&gt;=binoSameN,IF(XLOOKUP($B78,Derived_Variables!$A:$A,Derived_Variables!$AJ:$AJ,FALSE)=TRUE,"P","END"),"K")),
C78="P",
IF(AY78&gt;=phaseMax,"ESCALATE",IF(OR(I78="READABLE",I78="SAME"),"Q","P")),
C78="Q",
IF(AY78&gt;=phaseMax,"ESCALATE",IF(OR(I78="READABLE",I78="SAME"),"R","Q")),
C78="R",
IF(AY78&gt;=phaseMax,"ESCALATE",IF(OR(I78=nearTarget,I78="SAME"),"END","R")),
TRUE,"END"
)))</f>
        <v/>
      </c>
      <c r="BD78" s="28" t="b">
        <f t="shared" si="19"/>
        <v>0</v>
      </c>
    </row>
    <row r="79" ht="15.75" customHeight="1">
      <c r="A79" s="28">
        <f t="shared" si="3"/>
        <v>78</v>
      </c>
      <c r="B79" s="28">
        <f t="shared" si="4"/>
        <v>6</v>
      </c>
      <c r="C79" s="28" t="str">
        <f t="shared" si="5"/>
        <v/>
      </c>
      <c r="D79" s="28" t="str">
        <f t="array" ref="D79">IF($I78="","",XLOOKUP(C79,FSM_State_Map!A:A,FSM_State_Map!B:B,""))</f>
        <v/>
      </c>
      <c r="E79" s="28" t="str">
        <f t="array" ref="E79">IF($I78="","",XLOOKUP(C79,FSM_State_Map!A:A,FSM_State_Map!C:C,""))</f>
        <v/>
      </c>
      <c r="F79" s="28" t="str">
        <f t="array" ref="F79">IF($I78="","",XLOOKUP(E79,Phase_UI_Map!A:A,Phase_UI_Map!B:B,""))</f>
        <v/>
      </c>
      <c r="G79" s="28" t="str">
        <f t="array" ref="G79">IF($I78="","",XLOOKUP(E79,Phase_UI_Map!A:A,Phase_UI_Map!C:C,""))</f>
        <v/>
      </c>
      <c r="H79" s="28" t="str">
        <f t="array" ref="H79">IF($I78="","",XLOOKUP(E79,Phase_UI_Map!A:A,Phase_UI_Map!D:D,""))</f>
        <v/>
      </c>
      <c r="I79" s="29"/>
      <c r="J79" s="28" t="str">
        <f>IFERROR(__xludf.DUMMYFUNCTION("IF($I78="""","""",IFERROR(INDEX(FILTER(Response_Lists!$B:$B,Response_Lists!$A:$A=$H79),1),""""))"),"")</f>
        <v/>
      </c>
      <c r="K79" s="28" t="str">
        <f>IFERROR(__xludf.DUMMYFUNCTION("IF($I78="""","""",IFERROR(INDEX(FILTER(Response_Lists!$B:$B,Response_Lists!$A:$A=$H79),2),""""))"),"")</f>
        <v/>
      </c>
      <c r="L79" s="28" t="str">
        <f>IFERROR(__xludf.DUMMYFUNCTION("IF($I78="""","""",IFERROR(INDEX(FILTER(Response_Lists!$B:$B,Response_Lists!$A:$A=$H79),3),""""))"),"")</f>
        <v/>
      </c>
      <c r="M79" s="28" t="str">
        <f>IFERROR(__xludf.DUMMYFUNCTION("IF($I78="""","""",IFERROR(INDEX(FILTER(Response_Lists!$B:$B,Response_Lists!$A:$A=$H79),4),""""))"),"")</f>
        <v/>
      </c>
      <c r="N79" s="28" t="str">
        <f>IFERROR(__xludf.DUMMYFUNCTION("IF($I78="""","""",IFERROR(INDEX(FILTER(Response_Lists!$B:$B,Response_Lists!$A:$A=$H79),5),""""))"),"")</f>
        <v/>
      </c>
      <c r="O79" s="28" t="str">
        <f>IFERROR(__xludf.DUMMYFUNCTION("IF($I78="""","""",IFERROR(INDEX(FILTER(Response_Lists!$B:$B,Response_Lists!$A:$A=$H79),6),""""))"),"")</f>
        <v/>
      </c>
      <c r="P79" s="28" t="str">
        <f t="shared" si="6"/>
        <v/>
      </c>
      <c r="Q79" s="28" t="str">
        <f t="array" ref="Q79">IF($I78="","",XLOOKUP(C79,FSM_State_Map!A:A,FSM_State_Map!D:D,""))</f>
        <v/>
      </c>
      <c r="R79" s="28" t="str">
        <f t="shared" si="7"/>
        <v/>
      </c>
      <c r="S79" s="28" t="str">
        <f t="array" ref="S79">IF($I78="","",
IF(
  AND(C79="B",C78&lt;&gt;"B"),
  XLOOKUP($B79,Derived_Variables!$A:$A,Derived_Variables!$K:$K,0)
  + XLOOKUP($B79,Derived_Variables!$A:$A,Derived_Variables!$AE:$AE,0),
  S78+AM78
))</f>
        <v/>
      </c>
      <c r="T79" s="28" t="str">
        <f t="shared" ref="T79:U79" si="168">IF($I78="","",T78+AN78)</f>
        <v/>
      </c>
      <c r="U79" s="28" t="str">
        <f t="shared" si="168"/>
        <v/>
      </c>
      <c r="V79" s="28" t="str">
        <f t="array" ref="V79">IF($I78="","",
IF(
  AND(C79="D",C78&lt;&gt;"D"),
  XLOOKUP($B79,Derived_Variables!$A:$A,Derived_Variables!$N:$N,0)
  + XLOOKUP($B79,Derived_Variables!$A:$A,Derived_Variables!$AE:$AE,0),
  V78+AP78
))</f>
        <v/>
      </c>
      <c r="W79" s="28" t="str">
        <f t="shared" ref="W79:X79" si="169">IF($I78="","",W78+AQ78)</f>
        <v/>
      </c>
      <c r="X79" s="28" t="str">
        <f t="shared" si="169"/>
        <v/>
      </c>
      <c r="Y79" s="28" t="str">
        <f t="array" ref="Y79">IF($I78="","",IF(AND(C79="P",C78&lt;&gt;"P"),IFERROR(XLOOKUP($B79,Lenso_Input!$A:$A,Lenso_Input!$E:$E,0),0),Y78+AS78))</f>
        <v/>
      </c>
      <c r="Z79" s="28" t="str">
        <f t="array" ref="Z79">IF($I78="","",IF(AND(C79="Q",C78&lt;&gt;"Q"),IFERROR(XLOOKUP($B79,Lenso_Input!$A:$A,Lenso_Input!$I:$I,0),0),Z78+AT78))</f>
        <v/>
      </c>
      <c r="AA79" s="28" t="str">
        <f t="array" ref="AA79">IF($I78="","",IF(XLOOKUP($B79,Derived_Variables!$A:$A,Derived_Variables!$R:$R,"6/6_target")="6/6_target","20_20_20","40_30_25"))</f>
        <v/>
      </c>
      <c r="AB79" s="28" t="str">
        <f t="array" ref="AB79">IF($I78="","",XLOOKUP(LOWER(XLOOKUP($B79,Derived_Variables!$A:$A,Derived_Variables!$T:$T,"Standard"))&amp;"_sph_step",Calibration!$B:$B,Calibration!$C:$C,0.25))</f>
        <v/>
      </c>
      <c r="AC79" s="28" t="str">
        <f t="array" ref="AC79">IF($I78="","",XLOOKUP(LOWER(XLOOKUP($B79,Derived_Variables!$A:$A,Derived_Variables!$T:$T,"Standard"))&amp;"_cyl_step",Calibration!$B:$B,Calibration!$C:$C,0.25))</f>
        <v/>
      </c>
      <c r="AD79" s="28" t="str">
        <f t="array" ref="AD79">IF($I78="","",IF(OR(C79="E",C79="H"),LET(startStep,XLOOKUP("axis_start_step",Calibration!$B:$B,Calibration!$C:$C,5),step1,XLOOKUP("axis_reversal_step_1",Calibration!$B:$B,Calibration!$C:$C,3),step2,XLOOKUP("axis_reversal_step_2",Calibration!$B:$B,Calibration!$C:$C,1),IF(OR(C78&lt;&gt;C79,AZ79="",AZ79="SAME",AZ79="CANT_TELL",I79="",I79="SAME",I79="CANT_TELL"),startStep,IF(OR(AND(AZ79="BETTER_1",I79="BETTER_2"),AND(AZ79="BETTER_2",I79="BETTER_1")),IF(AD78&gt;step1,step1,step2),AD78))),0))</f>
        <v/>
      </c>
      <c r="AE79" s="28" t="str">
        <f t="array" ref="AE79">IF($I78="","",XLOOKUP($B79,Derived_Variables!$A:$A,Derived_Variables!$AD:$AD,"No_Fog"))</f>
        <v/>
      </c>
      <c r="AF79" s="28" t="str">
        <f t="array" ref="AF79">IF($I78="","",XLOOKUP($B79,Derived_Variables!$A:$A,Derived_Variables!$AE:$AE,0))</f>
        <v/>
      </c>
      <c r="AG79" s="28" t="str">
        <f t="array" ref="AG79">IF($I78="","",XLOOKUP($B79,Derived_Variables!$A:$A,Derived_Variables!$AF:$AF,""))</f>
        <v/>
      </c>
      <c r="AH79" s="28" t="str">
        <f t="array" ref="AH79">IF($I78="","",XLOOKUP($B79,Derived_Variables!$A:$A,Derived_Variables!$AG:$AG,""))</f>
        <v/>
      </c>
      <c r="AI79" s="28" t="str">
        <f t="array" ref="AI79">IF($I78="","",XLOOKUP($B79,Derived_Variables!$A:$A,Derived_Variables!$AC:$AC,"Medium"))</f>
        <v/>
      </c>
      <c r="AJ79" s="28" t="str">
        <f t="array" ref="AJ79">IF($I78="","",XLOOKUP($B79,Derived_Variables!$A:$A,Derived_Variables!$Y:$Y,FALSE))</f>
        <v/>
      </c>
      <c r="AK79" s="28" t="str">
        <f t="array" ref="AK79">IF($I78="","",XLOOKUP($B79,Derived_Variables!$A:$A,Derived_Variables!$AA:$AA,"Normal"))</f>
        <v/>
      </c>
      <c r="AL79" s="28" t="str">
        <f t="array" ref="AL79">IF($I78="","",XLOOKUP($B79,Derived_Variables!$A:$A,Derived_Variables!$AB:$AB,"Normal"))</f>
        <v/>
      </c>
      <c r="AM79" s="28" t="str">
        <f t="array" ref="AM79">IF($I79="","",IFS(C79="B",IF(OR(I79="NOT_READABLE",I79="BLURRY"),-AB79,0),C79="G",IFS(I79="RED_CLEARER",XLOOKUP("duochrome_red_step",Calibration!$B:$B,Calibration!$C:$C,-0.25),I79="GREEN_CLEARER",XLOOKUP("duochrome_green_step",Calibration!$B:$B,Calibration!$C:$C,0.25),I79="EQUAL",IF(XLOOKUP($B79,Derived_Variables!$A:$A,Derived_Variables!$S:$S,"Neutral")="Undercorrect",XLOOKUP("undercorrect_step",Calibration!$B:$B,Calibration!$C:$C,0.25),IF(XLOOKUP($B79,Derived_Variables!$A:$A,Derived_Variables!$S:$S,"Neutral")="Overcorrect",-XLOOKUP("overcorrect_step",Calibration!$B:$B,Calibration!$C:$C,0.25),0)),TRUE,0),C79="K",IF(I79="TOP_CLEARER",XLOOKUP("bino_balance_step",Calibration!$B:$B,Calibration!$C:$C,0.25),0),TRUE,0))</f>
        <v/>
      </c>
      <c r="AN79" s="28" t="str">
        <f t="shared" si="10"/>
        <v/>
      </c>
      <c r="AO79" s="28" t="str">
        <f t="shared" si="11"/>
        <v/>
      </c>
      <c r="AP79" s="28" t="str">
        <f t="array" ref="AP79">IF($I79="","",IFS(C79="D",IF(OR(I79="NOT_READABLE",I79="BLURRY"),-AB79,0),C79="J",IFS(I79="RED_CLEARER",XLOOKUP("duochrome_red_step",Calibration!$B:$B,Calibration!$C:$C,-0.25),I79="GREEN_CLEARER",XLOOKUP("duochrome_green_step",Calibration!$B:$B,Calibration!$C:$C,0.25),I79="EQUAL",IF(XLOOKUP($B79,Derived_Variables!$A:$A,Derived_Variables!$S:$S,"Neutral")="Undercorrect",XLOOKUP("undercorrect_step",Calibration!$B:$B,Calibration!$C:$C,0.25),IF(XLOOKUP($B79,Derived_Variables!$A:$A,Derived_Variables!$S:$S,"Neutral")="Overcorrect",-XLOOKUP("overcorrect_step",Calibration!$B:$B,Calibration!$C:$C,0.25),0)),TRUE,0),C79="K",IF(I79="BOTTOM_CLEARER",XLOOKUP("bino_balance_step",Calibration!$B:$B,Calibration!$C:$C,0.25),0),TRUE,0))</f>
        <v/>
      </c>
      <c r="AQ79" s="28" t="str">
        <f t="shared" si="12"/>
        <v/>
      </c>
      <c r="AR79" s="28" t="str">
        <f t="shared" si="13"/>
        <v/>
      </c>
      <c r="AS79" s="28" t="str">
        <f t="array" ref="AS79">IF($I79="","",IF(C79="P",IF(OR(I79="NOT_READABLE",I79="BLURRY"),XLOOKUP("near_add_step",Calibration!$B:$B,Calibration!$C:$C,0.25),0),IF(C79="R",IF(I79="NOT_CLEAR",XLOOKUP("near_add_step",Calibration!$B:$B,Calibration!$C:$C,0.25),0),0)))</f>
        <v/>
      </c>
      <c r="AT79" s="28" t="str">
        <f t="array" ref="AT79">IF($I79="","",IF(C79="Q",IF(OR(I79="NOT_READABLE",I79="BLURRY"),XLOOKUP("near_add_step",Calibration!$B:$B,Calibration!$C:$C,0.25),0),IF(C79="R",IF(I79="NOT_CLEAR",XLOOKUP("near_add_step",Calibration!$B:$B,Calibration!$C:$C,0.25),0),0)))</f>
        <v/>
      </c>
      <c r="AU79" s="28" t="str">
        <f t="array" ref="AU79">IF($I79="","",IF(G79="SNELLEN_FEET",IF(I79="READABLE",IFERROR(XLOOKUP(XLOOKUP(R79,Chart_Scale_Distance!B:B,Chart_Scale_Distance!A:A)+1,Chart_Scale_Distance!A:A,Chart_Scale_Distance!B:B),R79),R79),R79))</f>
        <v/>
      </c>
      <c r="AV79" s="28" t="str">
        <f t="array" ref="AV79">IF($I78="","",IFERROR(XLOOKUP(R79,Chart_Scale_Distance!$B:$B,Chart_Scale_Distance!$A:$A,""),""))</f>
        <v/>
      </c>
      <c r="AW79" s="28" t="str">
        <f t="array" ref="AW79">IF($I78="","",IFERROR(XLOOKUP(AA79,Chart_Scale_Distance!$B:$B,Chart_Scale_Distance!$A:$A,""),""))</f>
        <v/>
      </c>
      <c r="AX79" s="28" t="str">
        <f t="shared" si="14"/>
        <v/>
      </c>
      <c r="AY79" s="28" t="str">
        <f t="shared" si="15"/>
        <v/>
      </c>
      <c r="AZ79" s="28" t="str">
        <f t="shared" si="16"/>
        <v/>
      </c>
      <c r="BA79" s="28" t="str">
        <f t="shared" si="17"/>
        <v/>
      </c>
      <c r="BB79" s="28" t="str">
        <f t="shared" si="18"/>
        <v/>
      </c>
      <c r="BC79" s="28" t="str">
        <f t="array" ref="BC79">IF($I79="","",LET(
conf,AI79,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duoMax,XLOOKUP($B79,Derived_Variables!$A:$A,Derived_Variables!$AI:$AI,4),
axisTol,XLOOKUP($B79,Derived_Variables!$A:$A,Derived_Variables!$W:$W,1),
maxStart,XLOOKUP($B79,Derived_Variables!$A:$A,Derived_Variables!$U:$U,1.25),
maxAR,XLOOKUP($B79,Derived_Variables!$A:$A,Derived_Variables!$V:$V,3),
anom,XLOOKUP($B79,Derived_Variables!$A:$A,Derived_Variables!$Z:$Z,FALSE),
reStart,XLOOKUP($B79,Derived_Variables!$A:$A,Derived_Variables!$K:$K,0),
leStart,XLOOKUP($B79,Derived_Variables!$A:$A,Derived_Variables!$N:$N,0),
reAR,XLOOKUP($B79,AR_Input!$A:$A,AR_Input!$B:$B,reStart),
leAR,XLOOKUP($B79,AR_Input!$A:$A,AR_Input!$E:$E,leStart),
reEsc,AND(anom,OR(ABS((S79+AM79)-reStart)&gt;maxStart,ABS((S79+AM79)-reAR)&gt;maxAR)),
leEsc,AND(anom,OR(ABS((V79+AP79)-leStart)&gt;maxStart,ABS((V79+AP79)-leAR)&gt;maxAR)),
phaseMax,IFS(
 AK79="Fast",
   IFS(
     OR(C79="B",C79="D"),XLOOKUP("timeout_coarse_fast",Calibration!$B:$B,Calibration!$C:$C,24),
     OR(C79="E",C79="F",C79="H",C79="I"),XLOOKUP("timeout_jcc_fast",Calibration!$B:$B,Calibration!$C:$C,10),
     OR(C79="G",C79="J"),XLOOKUP("timeout_duochrome_fast",Calibration!$B:$B,Calibration!$C:$C,8),
     C79="K",XLOOKUP("timeout_bino_fast",Calibration!$B:$B,Calibration!$C:$C,10),
     OR(C79="P",C79="Q",C79="R"),XLOOKUP("timeout_near_fast",Calibration!$B:$B,Calibration!$C:$C,16),
     TRUE,XLOOKUP("timeout_coarse_fast",Calibration!$B:$B,Calibration!$C:$C,24)
   ),
 AK79="Normal",
   IFS(
     OR(C79="B",C79="D"),XLOOKUP("timeout_coarse_normal",Calibration!$B:$B,Calibration!$C:$C,36),
     OR(C79="E",C79="F",C79="H",C79="I"),XLOOKUP("timeout_jcc_normal",Calibration!$B:$B,Calibration!$C:$C,14),
     OR(C79="G",C79="J"),XLOOKUP("timeout_duochrome_normal",Calibration!$B:$B,Calibration!$C:$C,10),
     C79="K",XLOOKUP("timeout_bino_normal",Calibration!$B:$B,Calibration!$C:$C,14),
     OR(C79="P",C79="Q",C79="R"),XLOOKUP("timeout_near_normal",Calibration!$B:$B,Calibration!$C:$C,22),
     TRUE,XLOOKUP("timeout_coarse_normal",Calibration!$B:$B,Calibration!$C:$C,36)
   ),
 TRUE,
   IFS(
     OR(C79="B",C79="D"),XLOOKUP("timeout_coarse_slow",Calibration!$B:$B,Calibration!$C:$C,48),
     OR(C79="E",C79="F",C79="H",C79="I"),XLOOKUP("timeout_jcc_slow",Calibration!$B:$B,Calibration!$C:$C,18),
     OR(C79="G",C79="J"),XLOOKUP("timeout_duochrome_slow",Calibration!$B:$B,Calibration!$C:$C,12),
     C79="K",XLOOKUP("timeout_bino_slow",Calibration!$B:$B,Calibration!$C:$C,18),
     OR(C79="P",C79="Q",C79="R"),XLOOKUP("timeout_near_slow",Calibration!$B:$B,Calibration!$C:$C,28),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AJ79=TRUE,"ESCALATE",
C79="A",
IF(OR(I79="NOT_READABLE",I79="BLURRY",AND(R79="20_20_20",I79="READABLE")),"B","A"),
C79="B",
IF(reEsc,"ESCALATE",IF(AY79&gt;=phaseMax,"ESCALATE",IF(AND(AV79&gt;=AW79,I79="READABLE"),"E","B"))),
C79="E",
IF(AY79&gt;=phaseMax,"ESCALATE",IF(OR(I79="SAME",I79="CANT_TELL",AD79&lt;axisTol),"F","E")),
C79="F",
IF(AY79&gt;=phaseMax,"ESCALATE",IF(AX79&gt;=powerSameN,"G","F")),
C79="G",
IF(AY79&gt;=phaseMax,"ESCALATE",IF(OR(AX79&gt;=duoEqualN,BB79&gt;=duoMax),"D","G")),
C79="D",
IF(leEsc,"ESCALATE",IF(AY79&gt;=phaseMax,"ESCALATE",IF(AND(AV79&gt;=AW79,I79="READABLE"),"H","D"))),
C79="H",
IF(AY79&gt;=phaseMax,"ESCALATE",IF(OR(I79="SAME",I79="CANT_TELL",AD79&lt;axisTol),"I","H")),
C79="I",
IF(AY79&gt;=phaseMax,"ESCALATE",IF(AX79&gt;=powerSameN,"J","I")),
C79="J",
IF(AY79&gt;=phaseMax,"ESCALATE",IF(OR(AX79&gt;=duoEqualN,BB79&gt;=duoMax),"K","J")),
C79="K",
IF(AY79&gt;=phaseMax,"ESCALATE",IF(AX79&gt;=binoSameN,IF(XLOOKUP($B79,Derived_Variables!$A:$A,Derived_Variables!$AJ:$AJ,FALSE)=TRUE,"P","END"),"K")),
C79="P",
IF(AY79&gt;=phaseMax,"ESCALATE",IF(OR(I79="READABLE",I79="SAME"),"Q","P")),
C79="Q",
IF(AY79&gt;=phaseMax,"ESCALATE",IF(OR(I79="READABLE",I79="SAME"),"R","Q")),
C79="R",
IF(AY79&gt;=phaseMax,"ESCALATE",IF(OR(I79=nearTarget,I79="SAME"),"END","R")),
TRUE,"END"
)))</f>
        <v/>
      </c>
      <c r="BD79" s="28" t="b">
        <f t="shared" si="19"/>
        <v>0</v>
      </c>
    </row>
    <row r="80" ht="15.75" customHeight="1">
      <c r="A80" s="28">
        <f t="shared" si="3"/>
        <v>79</v>
      </c>
      <c r="B80" s="28">
        <f t="shared" si="4"/>
        <v>6</v>
      </c>
      <c r="C80" s="28" t="str">
        <f t="shared" si="5"/>
        <v/>
      </c>
      <c r="D80" s="28" t="str">
        <f t="array" ref="D80">IF($I79="","",XLOOKUP(C80,FSM_State_Map!A:A,FSM_State_Map!B:B,""))</f>
        <v/>
      </c>
      <c r="E80" s="28" t="str">
        <f t="array" ref="E80">IF($I79="","",XLOOKUP(C80,FSM_State_Map!A:A,FSM_State_Map!C:C,""))</f>
        <v/>
      </c>
      <c r="F80" s="28" t="str">
        <f t="array" ref="F80">IF($I79="","",XLOOKUP(E80,Phase_UI_Map!A:A,Phase_UI_Map!B:B,""))</f>
        <v/>
      </c>
      <c r="G80" s="28" t="str">
        <f t="array" ref="G80">IF($I79="","",XLOOKUP(E80,Phase_UI_Map!A:A,Phase_UI_Map!C:C,""))</f>
        <v/>
      </c>
      <c r="H80" s="28" t="str">
        <f t="array" ref="H80">IF($I79="","",XLOOKUP(E80,Phase_UI_Map!A:A,Phase_UI_Map!D:D,""))</f>
        <v/>
      </c>
      <c r="I80" s="29"/>
      <c r="J80" s="28" t="str">
        <f>IFERROR(__xludf.DUMMYFUNCTION("IF($I79="""","""",IFERROR(INDEX(FILTER(Response_Lists!$B:$B,Response_Lists!$A:$A=$H80),1),""""))"),"")</f>
        <v/>
      </c>
      <c r="K80" s="28" t="str">
        <f>IFERROR(__xludf.DUMMYFUNCTION("IF($I79="""","""",IFERROR(INDEX(FILTER(Response_Lists!$B:$B,Response_Lists!$A:$A=$H80),2),""""))"),"")</f>
        <v/>
      </c>
      <c r="L80" s="28" t="str">
        <f>IFERROR(__xludf.DUMMYFUNCTION("IF($I79="""","""",IFERROR(INDEX(FILTER(Response_Lists!$B:$B,Response_Lists!$A:$A=$H80),3),""""))"),"")</f>
        <v/>
      </c>
      <c r="M80" s="28" t="str">
        <f>IFERROR(__xludf.DUMMYFUNCTION("IF($I79="""","""",IFERROR(INDEX(FILTER(Response_Lists!$B:$B,Response_Lists!$A:$A=$H80),4),""""))"),"")</f>
        <v/>
      </c>
      <c r="N80" s="28" t="str">
        <f>IFERROR(__xludf.DUMMYFUNCTION("IF($I79="""","""",IFERROR(INDEX(FILTER(Response_Lists!$B:$B,Response_Lists!$A:$A=$H80),5),""""))"),"")</f>
        <v/>
      </c>
      <c r="O80" s="28" t="str">
        <f>IFERROR(__xludf.DUMMYFUNCTION("IF($I79="""","""",IFERROR(INDEX(FILTER(Response_Lists!$B:$B,Response_Lists!$A:$A=$H80),6),""""))"),"")</f>
        <v/>
      </c>
      <c r="P80" s="28" t="str">
        <f t="shared" si="6"/>
        <v/>
      </c>
      <c r="Q80" s="28" t="str">
        <f t="array" ref="Q80">IF($I79="","",XLOOKUP(C80,FSM_State_Map!A:A,FSM_State_Map!D:D,""))</f>
        <v/>
      </c>
      <c r="R80" s="28" t="str">
        <f t="shared" si="7"/>
        <v/>
      </c>
      <c r="S80" s="28" t="str">
        <f t="array" ref="S80">IF($I79="","",
IF(
  AND(C80="B",C79&lt;&gt;"B"),
  XLOOKUP($B80,Derived_Variables!$A:$A,Derived_Variables!$K:$K,0)
  + XLOOKUP($B80,Derived_Variables!$A:$A,Derived_Variables!$AE:$AE,0),
  S79+AM79
))</f>
        <v/>
      </c>
      <c r="T80" s="28" t="str">
        <f t="shared" ref="T80:U80" si="170">IF($I79="","",T79+AN79)</f>
        <v/>
      </c>
      <c r="U80" s="28" t="str">
        <f t="shared" si="170"/>
        <v/>
      </c>
      <c r="V80" s="28" t="str">
        <f t="array" ref="V80">IF($I79="","",
IF(
  AND(C80="D",C79&lt;&gt;"D"),
  XLOOKUP($B80,Derived_Variables!$A:$A,Derived_Variables!$N:$N,0)
  + XLOOKUP($B80,Derived_Variables!$A:$A,Derived_Variables!$AE:$AE,0),
  V79+AP79
))</f>
        <v/>
      </c>
      <c r="W80" s="28" t="str">
        <f t="shared" ref="W80:X80" si="171">IF($I79="","",W79+AQ79)</f>
        <v/>
      </c>
      <c r="X80" s="28" t="str">
        <f t="shared" si="171"/>
        <v/>
      </c>
      <c r="Y80" s="28" t="str">
        <f t="array" ref="Y80">IF($I79="","",IF(AND(C80="P",C79&lt;&gt;"P"),IFERROR(XLOOKUP($B80,Lenso_Input!$A:$A,Lenso_Input!$E:$E,0),0),Y79+AS79))</f>
        <v/>
      </c>
      <c r="Z80" s="28" t="str">
        <f t="array" ref="Z80">IF($I79="","",IF(AND(C80="Q",C79&lt;&gt;"Q"),IFERROR(XLOOKUP($B80,Lenso_Input!$A:$A,Lenso_Input!$I:$I,0),0),Z79+AT79))</f>
        <v/>
      </c>
      <c r="AA80" s="28" t="str">
        <f t="array" ref="AA80">IF($I79="","",IF(XLOOKUP($B80,Derived_Variables!$A:$A,Derived_Variables!$R:$R,"6/6_target")="6/6_target","20_20_20","40_30_25"))</f>
        <v/>
      </c>
      <c r="AB80" s="28" t="str">
        <f t="array" ref="AB80">IF($I79="","",XLOOKUP(LOWER(XLOOKUP($B80,Derived_Variables!$A:$A,Derived_Variables!$T:$T,"Standard"))&amp;"_sph_step",Calibration!$B:$B,Calibration!$C:$C,0.25))</f>
        <v/>
      </c>
      <c r="AC80" s="28" t="str">
        <f t="array" ref="AC80">IF($I79="","",XLOOKUP(LOWER(XLOOKUP($B80,Derived_Variables!$A:$A,Derived_Variables!$T:$T,"Standard"))&amp;"_cyl_step",Calibration!$B:$B,Calibration!$C:$C,0.25))</f>
        <v/>
      </c>
      <c r="AD80" s="28" t="str">
        <f t="array" ref="AD80">IF($I79="","",IF(OR(C80="E",C80="H"),LET(startStep,XLOOKUP("axis_start_step",Calibration!$B:$B,Calibration!$C:$C,5),step1,XLOOKUP("axis_reversal_step_1",Calibration!$B:$B,Calibration!$C:$C,3),step2,XLOOKUP("axis_reversal_step_2",Calibration!$B:$B,Calibration!$C:$C,1),IF(OR(C79&lt;&gt;C80,AZ80="",AZ80="SAME",AZ80="CANT_TELL",I80="",I80="SAME",I80="CANT_TELL"),startStep,IF(OR(AND(AZ80="BETTER_1",I80="BETTER_2"),AND(AZ80="BETTER_2",I80="BETTER_1")),IF(AD79&gt;step1,step1,step2),AD79))),0))</f>
        <v/>
      </c>
      <c r="AE80" s="28" t="str">
        <f t="array" ref="AE80">IF($I79="","",XLOOKUP($B80,Derived_Variables!$A:$A,Derived_Variables!$AD:$AD,"No_Fog"))</f>
        <v/>
      </c>
      <c r="AF80" s="28" t="str">
        <f t="array" ref="AF80">IF($I79="","",XLOOKUP($B80,Derived_Variables!$A:$A,Derived_Variables!$AE:$AE,0))</f>
        <v/>
      </c>
      <c r="AG80" s="28" t="str">
        <f t="array" ref="AG80">IF($I79="","",XLOOKUP($B80,Derived_Variables!$A:$A,Derived_Variables!$AF:$AF,""))</f>
        <v/>
      </c>
      <c r="AH80" s="28" t="str">
        <f t="array" ref="AH80">IF($I79="","",XLOOKUP($B80,Derived_Variables!$A:$A,Derived_Variables!$AG:$AG,""))</f>
        <v/>
      </c>
      <c r="AI80" s="28" t="str">
        <f t="array" ref="AI80">IF($I79="","",XLOOKUP($B80,Derived_Variables!$A:$A,Derived_Variables!$AC:$AC,"Medium"))</f>
        <v/>
      </c>
      <c r="AJ80" s="28" t="str">
        <f t="array" ref="AJ80">IF($I79="","",XLOOKUP($B80,Derived_Variables!$A:$A,Derived_Variables!$Y:$Y,FALSE))</f>
        <v/>
      </c>
      <c r="AK80" s="28" t="str">
        <f t="array" ref="AK80">IF($I79="","",XLOOKUP($B80,Derived_Variables!$A:$A,Derived_Variables!$AA:$AA,"Normal"))</f>
        <v/>
      </c>
      <c r="AL80" s="28" t="str">
        <f t="array" ref="AL80">IF($I79="","",XLOOKUP($B80,Derived_Variables!$A:$A,Derived_Variables!$AB:$AB,"Normal"))</f>
        <v/>
      </c>
      <c r="AM80" s="28" t="str">
        <f t="array" ref="AM80">IF($I80="","",IFS(C80="B",IF(OR(I80="NOT_READABLE",I80="BLURRY"),-AB80,0),C80="G",IFS(I80="RED_CLEARER",XLOOKUP("duochrome_red_step",Calibration!$B:$B,Calibration!$C:$C,-0.25),I80="GREEN_CLEARER",XLOOKUP("duochrome_green_step",Calibration!$B:$B,Calibration!$C:$C,0.25),I80="EQUAL",IF(XLOOKUP($B80,Derived_Variables!$A:$A,Derived_Variables!$S:$S,"Neutral")="Undercorrect",XLOOKUP("undercorrect_step",Calibration!$B:$B,Calibration!$C:$C,0.25),IF(XLOOKUP($B80,Derived_Variables!$A:$A,Derived_Variables!$S:$S,"Neutral")="Overcorrect",-XLOOKUP("overcorrect_step",Calibration!$B:$B,Calibration!$C:$C,0.25),0)),TRUE,0),C80="K",IF(I80="TOP_CLEARER",XLOOKUP("bino_balance_step",Calibration!$B:$B,Calibration!$C:$C,0.25),0),TRUE,0))</f>
        <v/>
      </c>
      <c r="AN80" s="28" t="str">
        <f t="shared" si="10"/>
        <v/>
      </c>
      <c r="AO80" s="28" t="str">
        <f t="shared" si="11"/>
        <v/>
      </c>
      <c r="AP80" s="28" t="str">
        <f t="array" ref="AP80">IF($I80="","",IFS(C80="D",IF(OR(I80="NOT_READABLE",I80="BLURRY"),-AB80,0),C80="J",IFS(I80="RED_CLEARER",XLOOKUP("duochrome_red_step",Calibration!$B:$B,Calibration!$C:$C,-0.25),I80="GREEN_CLEARER",XLOOKUP("duochrome_green_step",Calibration!$B:$B,Calibration!$C:$C,0.25),I80="EQUAL",IF(XLOOKUP($B80,Derived_Variables!$A:$A,Derived_Variables!$S:$S,"Neutral")="Undercorrect",XLOOKUP("undercorrect_step",Calibration!$B:$B,Calibration!$C:$C,0.25),IF(XLOOKUP($B80,Derived_Variables!$A:$A,Derived_Variables!$S:$S,"Neutral")="Overcorrect",-XLOOKUP("overcorrect_step",Calibration!$B:$B,Calibration!$C:$C,0.25),0)),TRUE,0),C80="K",IF(I80="BOTTOM_CLEARER",XLOOKUP("bino_balance_step",Calibration!$B:$B,Calibration!$C:$C,0.25),0),TRUE,0))</f>
        <v/>
      </c>
      <c r="AQ80" s="28" t="str">
        <f t="shared" si="12"/>
        <v/>
      </c>
      <c r="AR80" s="28" t="str">
        <f t="shared" si="13"/>
        <v/>
      </c>
      <c r="AS80" s="28" t="str">
        <f t="array" ref="AS80">IF($I80="","",IF(C80="P",IF(OR(I80="NOT_READABLE",I80="BLURRY"),XLOOKUP("near_add_step",Calibration!$B:$B,Calibration!$C:$C,0.25),0),IF(C80="R",IF(I80="NOT_CLEAR",XLOOKUP("near_add_step",Calibration!$B:$B,Calibration!$C:$C,0.25),0),0)))</f>
        <v/>
      </c>
      <c r="AT80" s="28" t="str">
        <f t="array" ref="AT80">IF($I80="","",IF(C80="Q",IF(OR(I80="NOT_READABLE",I80="BLURRY"),XLOOKUP("near_add_step",Calibration!$B:$B,Calibration!$C:$C,0.25),0),IF(C80="R",IF(I80="NOT_CLEAR",XLOOKUP("near_add_step",Calibration!$B:$B,Calibration!$C:$C,0.25),0),0)))</f>
        <v/>
      </c>
      <c r="AU80" s="28" t="str">
        <f t="array" ref="AU80">IF($I80="","",IF(G80="SNELLEN_FEET",IF(I80="READABLE",IFERROR(XLOOKUP(XLOOKUP(R80,Chart_Scale_Distance!B:B,Chart_Scale_Distance!A:A)+1,Chart_Scale_Distance!A:A,Chart_Scale_Distance!B:B),R80),R80),R80))</f>
        <v/>
      </c>
      <c r="AV80" s="28" t="str">
        <f t="array" ref="AV80">IF($I79="","",IFERROR(XLOOKUP(R80,Chart_Scale_Distance!$B:$B,Chart_Scale_Distance!$A:$A,""),""))</f>
        <v/>
      </c>
      <c r="AW80" s="28" t="str">
        <f t="array" ref="AW80">IF($I79="","",IFERROR(XLOOKUP(AA80,Chart_Scale_Distance!$B:$B,Chart_Scale_Distance!$A:$A,""),""))</f>
        <v/>
      </c>
      <c r="AX80" s="28" t="str">
        <f t="shared" si="14"/>
        <v/>
      </c>
      <c r="AY80" s="28" t="str">
        <f t="shared" si="15"/>
        <v/>
      </c>
      <c r="AZ80" s="28" t="str">
        <f t="shared" si="16"/>
        <v/>
      </c>
      <c r="BA80" s="28" t="str">
        <f t="shared" si="17"/>
        <v/>
      </c>
      <c r="BB80" s="28" t="str">
        <f t="shared" si="18"/>
        <v/>
      </c>
      <c r="BC80" s="28" t="str">
        <f t="array" ref="BC80">IF($I80="","",LET(
conf,AI80,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duoMax,XLOOKUP($B80,Derived_Variables!$A:$A,Derived_Variables!$AI:$AI,4),
axisTol,XLOOKUP($B80,Derived_Variables!$A:$A,Derived_Variables!$W:$W,1),
maxStart,XLOOKUP($B80,Derived_Variables!$A:$A,Derived_Variables!$U:$U,1.25),
maxAR,XLOOKUP($B80,Derived_Variables!$A:$A,Derived_Variables!$V:$V,3),
anom,XLOOKUP($B80,Derived_Variables!$A:$A,Derived_Variables!$Z:$Z,FALSE),
reStart,XLOOKUP($B80,Derived_Variables!$A:$A,Derived_Variables!$K:$K,0),
leStart,XLOOKUP($B80,Derived_Variables!$A:$A,Derived_Variables!$N:$N,0),
reAR,XLOOKUP($B80,AR_Input!$A:$A,AR_Input!$B:$B,reStart),
leAR,XLOOKUP($B80,AR_Input!$A:$A,AR_Input!$E:$E,leStart),
reEsc,AND(anom,OR(ABS((S80+AM80)-reStart)&gt;maxStart,ABS((S80+AM80)-reAR)&gt;maxAR)),
leEsc,AND(anom,OR(ABS((V80+AP80)-leStart)&gt;maxStart,ABS((V80+AP80)-leAR)&gt;maxAR)),
phaseMax,IFS(
 AK80="Fast",
   IFS(
     OR(C80="B",C80="D"),XLOOKUP("timeout_coarse_fast",Calibration!$B:$B,Calibration!$C:$C,24),
     OR(C80="E",C80="F",C80="H",C80="I"),XLOOKUP("timeout_jcc_fast",Calibration!$B:$B,Calibration!$C:$C,10),
     OR(C80="G",C80="J"),XLOOKUP("timeout_duochrome_fast",Calibration!$B:$B,Calibration!$C:$C,8),
     C80="K",XLOOKUP("timeout_bino_fast",Calibration!$B:$B,Calibration!$C:$C,10),
     OR(C80="P",C80="Q",C80="R"),XLOOKUP("timeout_near_fast",Calibration!$B:$B,Calibration!$C:$C,16),
     TRUE,XLOOKUP("timeout_coarse_fast",Calibration!$B:$B,Calibration!$C:$C,24)
   ),
 AK80="Normal",
   IFS(
     OR(C80="B",C80="D"),XLOOKUP("timeout_coarse_normal",Calibration!$B:$B,Calibration!$C:$C,36),
     OR(C80="E",C80="F",C80="H",C80="I"),XLOOKUP("timeout_jcc_normal",Calibration!$B:$B,Calibration!$C:$C,14),
     OR(C80="G",C80="J"),XLOOKUP("timeout_duochrome_normal",Calibration!$B:$B,Calibration!$C:$C,10),
     C80="K",XLOOKUP("timeout_bino_normal",Calibration!$B:$B,Calibration!$C:$C,14),
     OR(C80="P",C80="Q",C80="R"),XLOOKUP("timeout_near_normal",Calibration!$B:$B,Calibration!$C:$C,22),
     TRUE,XLOOKUP("timeout_coarse_normal",Calibration!$B:$B,Calibration!$C:$C,36)
   ),
 TRUE,
   IFS(
     OR(C80="B",C80="D"),XLOOKUP("timeout_coarse_slow",Calibration!$B:$B,Calibration!$C:$C,48),
     OR(C80="E",C80="F",C80="H",C80="I"),XLOOKUP("timeout_jcc_slow",Calibration!$B:$B,Calibration!$C:$C,18),
     OR(C80="G",C80="J"),XLOOKUP("timeout_duochrome_slow",Calibration!$B:$B,Calibration!$C:$C,12),
     C80="K",XLOOKUP("timeout_bino_slow",Calibration!$B:$B,Calibration!$C:$C,18),
     OR(C80="P",C80="Q",C80="R"),XLOOKUP("timeout_near_slow",Calibration!$B:$B,Calibration!$C:$C,28),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AJ80=TRUE,"ESCALATE",
C80="A",
IF(OR(I80="NOT_READABLE",I80="BLURRY",AND(R80="20_20_20",I80="READABLE")),"B","A"),
C80="B",
IF(reEsc,"ESCALATE",IF(AY80&gt;=phaseMax,"ESCALATE",IF(AND(AV80&gt;=AW80,I80="READABLE"),"E","B"))),
C80="E",
IF(AY80&gt;=phaseMax,"ESCALATE",IF(OR(I80="SAME",I80="CANT_TELL",AD80&lt;axisTol),"F","E")),
C80="F",
IF(AY80&gt;=phaseMax,"ESCALATE",IF(AX80&gt;=powerSameN,"G","F")),
C80="G",
IF(AY80&gt;=phaseMax,"ESCALATE",IF(OR(AX80&gt;=duoEqualN,BB80&gt;=duoMax),"D","G")),
C80="D",
IF(leEsc,"ESCALATE",IF(AY80&gt;=phaseMax,"ESCALATE",IF(AND(AV80&gt;=AW80,I80="READABLE"),"H","D"))),
C80="H",
IF(AY80&gt;=phaseMax,"ESCALATE",IF(OR(I80="SAME",I80="CANT_TELL",AD80&lt;axisTol),"I","H")),
C80="I",
IF(AY80&gt;=phaseMax,"ESCALATE",IF(AX80&gt;=powerSameN,"J","I")),
C80="J",
IF(AY80&gt;=phaseMax,"ESCALATE",IF(OR(AX80&gt;=duoEqualN,BB80&gt;=duoMax),"K","J")),
C80="K",
IF(AY80&gt;=phaseMax,"ESCALATE",IF(AX80&gt;=binoSameN,IF(XLOOKUP($B80,Derived_Variables!$A:$A,Derived_Variables!$AJ:$AJ,FALSE)=TRUE,"P","END"),"K")),
C80="P",
IF(AY80&gt;=phaseMax,"ESCALATE",IF(OR(I80="READABLE",I80="SAME"),"Q","P")),
C80="Q",
IF(AY80&gt;=phaseMax,"ESCALATE",IF(OR(I80="READABLE",I80="SAME"),"R","Q")),
C80="R",
IF(AY80&gt;=phaseMax,"ESCALATE",IF(OR(I80=nearTarget,I80="SAME"),"END","R")),
TRUE,"END"
)))</f>
        <v/>
      </c>
      <c r="BD80" s="28" t="b">
        <f t="shared" si="19"/>
        <v>0</v>
      </c>
    </row>
    <row r="81" ht="15.75" customHeight="1">
      <c r="A81" s="28">
        <f t="shared" si="3"/>
        <v>80</v>
      </c>
      <c r="B81" s="28">
        <f t="shared" si="4"/>
        <v>6</v>
      </c>
      <c r="C81" s="28" t="str">
        <f t="shared" si="5"/>
        <v/>
      </c>
      <c r="D81" s="28" t="str">
        <f t="array" ref="D81">IF($I80="","",XLOOKUP(C81,FSM_State_Map!A:A,FSM_State_Map!B:B,""))</f>
        <v/>
      </c>
      <c r="E81" s="28" t="str">
        <f t="array" ref="E81">IF($I80="","",XLOOKUP(C81,FSM_State_Map!A:A,FSM_State_Map!C:C,""))</f>
        <v/>
      </c>
      <c r="F81" s="28" t="str">
        <f t="array" ref="F81">IF($I80="","",XLOOKUP(E81,Phase_UI_Map!A:A,Phase_UI_Map!B:B,""))</f>
        <v/>
      </c>
      <c r="G81" s="28" t="str">
        <f t="array" ref="G81">IF($I80="","",XLOOKUP(E81,Phase_UI_Map!A:A,Phase_UI_Map!C:C,""))</f>
        <v/>
      </c>
      <c r="H81" s="28" t="str">
        <f t="array" ref="H81">IF($I80="","",XLOOKUP(E81,Phase_UI_Map!A:A,Phase_UI_Map!D:D,""))</f>
        <v/>
      </c>
      <c r="I81" s="29"/>
      <c r="J81" s="28" t="str">
        <f>IFERROR(__xludf.DUMMYFUNCTION("IF($I80="""","""",IFERROR(INDEX(FILTER(Response_Lists!$B:$B,Response_Lists!$A:$A=$H81),1),""""))"),"")</f>
        <v/>
      </c>
      <c r="K81" s="28" t="str">
        <f>IFERROR(__xludf.DUMMYFUNCTION("IF($I80="""","""",IFERROR(INDEX(FILTER(Response_Lists!$B:$B,Response_Lists!$A:$A=$H81),2),""""))"),"")</f>
        <v/>
      </c>
      <c r="L81" s="28" t="str">
        <f>IFERROR(__xludf.DUMMYFUNCTION("IF($I80="""","""",IFERROR(INDEX(FILTER(Response_Lists!$B:$B,Response_Lists!$A:$A=$H81),3),""""))"),"")</f>
        <v/>
      </c>
      <c r="M81" s="28" t="str">
        <f>IFERROR(__xludf.DUMMYFUNCTION("IF($I80="""","""",IFERROR(INDEX(FILTER(Response_Lists!$B:$B,Response_Lists!$A:$A=$H81),4),""""))"),"")</f>
        <v/>
      </c>
      <c r="N81" s="28" t="str">
        <f>IFERROR(__xludf.DUMMYFUNCTION("IF($I80="""","""",IFERROR(INDEX(FILTER(Response_Lists!$B:$B,Response_Lists!$A:$A=$H81),5),""""))"),"")</f>
        <v/>
      </c>
      <c r="O81" s="28" t="str">
        <f>IFERROR(__xludf.DUMMYFUNCTION("IF($I80="""","""",IFERROR(INDEX(FILTER(Response_Lists!$B:$B,Response_Lists!$A:$A=$H81),6),""""))"),"")</f>
        <v/>
      </c>
      <c r="P81" s="28" t="str">
        <f t="shared" si="6"/>
        <v/>
      </c>
      <c r="Q81" s="28" t="str">
        <f t="array" ref="Q81">IF($I80="","",XLOOKUP(C81,FSM_State_Map!A:A,FSM_State_Map!D:D,""))</f>
        <v/>
      </c>
      <c r="R81" s="28" t="str">
        <f t="shared" si="7"/>
        <v/>
      </c>
      <c r="S81" s="28" t="str">
        <f t="array" ref="S81">IF($I80="","",
IF(
  AND(C81="B",C80&lt;&gt;"B"),
  XLOOKUP($B81,Derived_Variables!$A:$A,Derived_Variables!$K:$K,0)
  + XLOOKUP($B81,Derived_Variables!$A:$A,Derived_Variables!$AE:$AE,0),
  S80+AM80
))</f>
        <v/>
      </c>
      <c r="T81" s="28" t="str">
        <f t="shared" ref="T81:U81" si="172">IF($I80="","",T80+AN80)</f>
        <v/>
      </c>
      <c r="U81" s="28" t="str">
        <f t="shared" si="172"/>
        <v/>
      </c>
      <c r="V81" s="28" t="str">
        <f t="array" ref="V81">IF($I80="","",
IF(
  AND(C81="D",C80&lt;&gt;"D"),
  XLOOKUP($B81,Derived_Variables!$A:$A,Derived_Variables!$N:$N,0)
  + XLOOKUP($B81,Derived_Variables!$A:$A,Derived_Variables!$AE:$AE,0),
  V80+AP80
))</f>
        <v/>
      </c>
      <c r="W81" s="28" t="str">
        <f t="shared" ref="W81:X81" si="173">IF($I80="","",W80+AQ80)</f>
        <v/>
      </c>
      <c r="X81" s="28" t="str">
        <f t="shared" si="173"/>
        <v/>
      </c>
      <c r="Y81" s="28" t="str">
        <f t="array" ref="Y81">IF($I80="","",IF(AND(C81="P",C80&lt;&gt;"P"),IFERROR(XLOOKUP($B81,Lenso_Input!$A:$A,Lenso_Input!$E:$E,0),0),Y80+AS80))</f>
        <v/>
      </c>
      <c r="Z81" s="28" t="str">
        <f t="array" ref="Z81">IF($I80="","",IF(AND(C81="Q",C80&lt;&gt;"Q"),IFERROR(XLOOKUP($B81,Lenso_Input!$A:$A,Lenso_Input!$I:$I,0),0),Z80+AT80))</f>
        <v/>
      </c>
      <c r="AA81" s="28" t="str">
        <f t="array" ref="AA81">IF($I80="","",IF(XLOOKUP($B81,Derived_Variables!$A:$A,Derived_Variables!$R:$R,"6/6_target")="6/6_target","20_20_20","40_30_25"))</f>
        <v/>
      </c>
      <c r="AB81" s="28" t="str">
        <f t="array" ref="AB81">IF($I80="","",XLOOKUP(LOWER(XLOOKUP($B81,Derived_Variables!$A:$A,Derived_Variables!$T:$T,"Standard"))&amp;"_sph_step",Calibration!$B:$B,Calibration!$C:$C,0.25))</f>
        <v/>
      </c>
      <c r="AC81" s="28" t="str">
        <f t="array" ref="AC81">IF($I80="","",XLOOKUP(LOWER(XLOOKUP($B81,Derived_Variables!$A:$A,Derived_Variables!$T:$T,"Standard"))&amp;"_cyl_step",Calibration!$B:$B,Calibration!$C:$C,0.25))</f>
        <v/>
      </c>
      <c r="AD81" s="28" t="str">
        <f t="array" ref="AD81">IF($I80="","",IF(OR(C81="E",C81="H"),LET(startStep,XLOOKUP("axis_start_step",Calibration!$B:$B,Calibration!$C:$C,5),step1,XLOOKUP("axis_reversal_step_1",Calibration!$B:$B,Calibration!$C:$C,3),step2,XLOOKUP("axis_reversal_step_2",Calibration!$B:$B,Calibration!$C:$C,1),IF(OR(C80&lt;&gt;C81,AZ81="",AZ81="SAME",AZ81="CANT_TELL",I81="",I81="SAME",I81="CANT_TELL"),startStep,IF(OR(AND(AZ81="BETTER_1",I81="BETTER_2"),AND(AZ81="BETTER_2",I81="BETTER_1")),IF(AD80&gt;step1,step1,step2),AD80))),0))</f>
        <v/>
      </c>
      <c r="AE81" s="28" t="str">
        <f t="array" ref="AE81">IF($I80="","",XLOOKUP($B81,Derived_Variables!$A:$A,Derived_Variables!$AD:$AD,"No_Fog"))</f>
        <v/>
      </c>
      <c r="AF81" s="28" t="str">
        <f t="array" ref="AF81">IF($I80="","",XLOOKUP($B81,Derived_Variables!$A:$A,Derived_Variables!$AE:$AE,0))</f>
        <v/>
      </c>
      <c r="AG81" s="28" t="str">
        <f t="array" ref="AG81">IF($I80="","",XLOOKUP($B81,Derived_Variables!$A:$A,Derived_Variables!$AF:$AF,""))</f>
        <v/>
      </c>
      <c r="AH81" s="28" t="str">
        <f t="array" ref="AH81">IF($I80="","",XLOOKUP($B81,Derived_Variables!$A:$A,Derived_Variables!$AG:$AG,""))</f>
        <v/>
      </c>
      <c r="AI81" s="28" t="str">
        <f t="array" ref="AI81">IF($I80="","",XLOOKUP($B81,Derived_Variables!$A:$A,Derived_Variables!$AC:$AC,"Medium"))</f>
        <v/>
      </c>
      <c r="AJ81" s="28" t="str">
        <f t="array" ref="AJ81">IF($I80="","",XLOOKUP($B81,Derived_Variables!$A:$A,Derived_Variables!$Y:$Y,FALSE))</f>
        <v/>
      </c>
      <c r="AK81" s="28" t="str">
        <f t="array" ref="AK81">IF($I80="","",XLOOKUP($B81,Derived_Variables!$A:$A,Derived_Variables!$AA:$AA,"Normal"))</f>
        <v/>
      </c>
      <c r="AL81" s="28" t="str">
        <f t="array" ref="AL81">IF($I80="","",XLOOKUP($B81,Derived_Variables!$A:$A,Derived_Variables!$AB:$AB,"Normal"))</f>
        <v/>
      </c>
      <c r="AM81" s="28" t="str">
        <f t="array" ref="AM81">IF($I81="","",IFS(C81="B",IF(OR(I81="NOT_READABLE",I81="BLURRY"),-AB81,0),C81="G",IFS(I81="RED_CLEARER",XLOOKUP("duochrome_red_step",Calibration!$B:$B,Calibration!$C:$C,-0.25),I81="GREEN_CLEARER",XLOOKUP("duochrome_green_step",Calibration!$B:$B,Calibration!$C:$C,0.25),I81="EQUAL",IF(XLOOKUP($B81,Derived_Variables!$A:$A,Derived_Variables!$S:$S,"Neutral")="Undercorrect",XLOOKUP("undercorrect_step",Calibration!$B:$B,Calibration!$C:$C,0.25),IF(XLOOKUP($B81,Derived_Variables!$A:$A,Derived_Variables!$S:$S,"Neutral")="Overcorrect",-XLOOKUP("overcorrect_step",Calibration!$B:$B,Calibration!$C:$C,0.25),0)),TRUE,0),C81="K",IF(I81="TOP_CLEARER",XLOOKUP("bino_balance_step",Calibration!$B:$B,Calibration!$C:$C,0.25),0),TRUE,0))</f>
        <v/>
      </c>
      <c r="AN81" s="28" t="str">
        <f t="shared" si="10"/>
        <v/>
      </c>
      <c r="AO81" s="28" t="str">
        <f t="shared" si="11"/>
        <v/>
      </c>
      <c r="AP81" s="28" t="str">
        <f t="array" ref="AP81">IF($I81="","",IFS(C81="D",IF(OR(I81="NOT_READABLE",I81="BLURRY"),-AB81,0),C81="J",IFS(I81="RED_CLEARER",XLOOKUP("duochrome_red_step",Calibration!$B:$B,Calibration!$C:$C,-0.25),I81="GREEN_CLEARER",XLOOKUP("duochrome_green_step",Calibration!$B:$B,Calibration!$C:$C,0.25),I81="EQUAL",IF(XLOOKUP($B81,Derived_Variables!$A:$A,Derived_Variables!$S:$S,"Neutral")="Undercorrect",XLOOKUP("undercorrect_step",Calibration!$B:$B,Calibration!$C:$C,0.25),IF(XLOOKUP($B81,Derived_Variables!$A:$A,Derived_Variables!$S:$S,"Neutral")="Overcorrect",-XLOOKUP("overcorrect_step",Calibration!$B:$B,Calibration!$C:$C,0.25),0)),TRUE,0),C81="K",IF(I81="BOTTOM_CLEARER",XLOOKUP("bino_balance_step",Calibration!$B:$B,Calibration!$C:$C,0.25),0),TRUE,0))</f>
        <v/>
      </c>
      <c r="AQ81" s="28" t="str">
        <f t="shared" si="12"/>
        <v/>
      </c>
      <c r="AR81" s="28" t="str">
        <f t="shared" si="13"/>
        <v/>
      </c>
      <c r="AS81" s="28" t="str">
        <f t="array" ref="AS81">IF($I81="","",IF(C81="P",IF(OR(I81="NOT_READABLE",I81="BLURRY"),XLOOKUP("near_add_step",Calibration!$B:$B,Calibration!$C:$C,0.25),0),IF(C81="R",IF(I81="NOT_CLEAR",XLOOKUP("near_add_step",Calibration!$B:$B,Calibration!$C:$C,0.25),0),0)))</f>
        <v/>
      </c>
      <c r="AT81" s="28" t="str">
        <f t="array" ref="AT81">IF($I81="","",IF(C81="Q",IF(OR(I81="NOT_READABLE",I81="BLURRY"),XLOOKUP("near_add_step",Calibration!$B:$B,Calibration!$C:$C,0.25),0),IF(C81="R",IF(I81="NOT_CLEAR",XLOOKUP("near_add_step",Calibration!$B:$B,Calibration!$C:$C,0.25),0),0)))</f>
        <v/>
      </c>
      <c r="AU81" s="28" t="str">
        <f t="array" ref="AU81">IF($I81="","",IF(G81="SNELLEN_FEET",IF(I81="READABLE",IFERROR(XLOOKUP(XLOOKUP(R81,Chart_Scale_Distance!B:B,Chart_Scale_Distance!A:A)+1,Chart_Scale_Distance!A:A,Chart_Scale_Distance!B:B),R81),R81),R81))</f>
        <v/>
      </c>
      <c r="AV81" s="28" t="str">
        <f t="array" ref="AV81">IF($I80="","",IFERROR(XLOOKUP(R81,Chart_Scale_Distance!$B:$B,Chart_Scale_Distance!$A:$A,""),""))</f>
        <v/>
      </c>
      <c r="AW81" s="28" t="str">
        <f t="array" ref="AW81">IF($I80="","",IFERROR(XLOOKUP(AA81,Chart_Scale_Distance!$B:$B,Chart_Scale_Distance!$A:$A,""),""))</f>
        <v/>
      </c>
      <c r="AX81" s="28" t="str">
        <f t="shared" si="14"/>
        <v/>
      </c>
      <c r="AY81" s="28" t="str">
        <f t="shared" si="15"/>
        <v/>
      </c>
      <c r="AZ81" s="28" t="str">
        <f t="shared" si="16"/>
        <v/>
      </c>
      <c r="BA81" s="28" t="str">
        <f t="shared" si="17"/>
        <v/>
      </c>
      <c r="BB81" s="28" t="str">
        <f t="shared" si="18"/>
        <v/>
      </c>
      <c r="BC81" s="28" t="str">
        <f t="array" ref="BC81">IF($I81="","",LET(
conf,AI81,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duoMax,XLOOKUP($B81,Derived_Variables!$A:$A,Derived_Variables!$AI:$AI,4),
axisTol,XLOOKUP($B81,Derived_Variables!$A:$A,Derived_Variables!$W:$W,1),
maxStart,XLOOKUP($B81,Derived_Variables!$A:$A,Derived_Variables!$U:$U,1.25),
maxAR,XLOOKUP($B81,Derived_Variables!$A:$A,Derived_Variables!$V:$V,3),
anom,XLOOKUP($B81,Derived_Variables!$A:$A,Derived_Variables!$Z:$Z,FALSE),
reStart,XLOOKUP($B81,Derived_Variables!$A:$A,Derived_Variables!$K:$K,0),
leStart,XLOOKUP($B81,Derived_Variables!$A:$A,Derived_Variables!$N:$N,0),
reAR,XLOOKUP($B81,AR_Input!$A:$A,AR_Input!$B:$B,reStart),
leAR,XLOOKUP($B81,AR_Input!$A:$A,AR_Input!$E:$E,leStart),
reEsc,AND(anom,OR(ABS((S81+AM81)-reStart)&gt;maxStart,ABS((S81+AM81)-reAR)&gt;maxAR)),
leEsc,AND(anom,OR(ABS((V81+AP81)-leStart)&gt;maxStart,ABS((V81+AP81)-leAR)&gt;maxAR)),
phaseMax,IFS(
 AK81="Fast",
   IFS(
     OR(C81="B",C81="D"),XLOOKUP("timeout_coarse_fast",Calibration!$B:$B,Calibration!$C:$C,24),
     OR(C81="E",C81="F",C81="H",C81="I"),XLOOKUP("timeout_jcc_fast",Calibration!$B:$B,Calibration!$C:$C,10),
     OR(C81="G",C81="J"),XLOOKUP("timeout_duochrome_fast",Calibration!$B:$B,Calibration!$C:$C,8),
     C81="K",XLOOKUP("timeout_bino_fast",Calibration!$B:$B,Calibration!$C:$C,10),
     OR(C81="P",C81="Q",C81="R"),XLOOKUP("timeout_near_fast",Calibration!$B:$B,Calibration!$C:$C,16),
     TRUE,XLOOKUP("timeout_coarse_fast",Calibration!$B:$B,Calibration!$C:$C,24)
   ),
 AK81="Normal",
   IFS(
     OR(C81="B",C81="D"),XLOOKUP("timeout_coarse_normal",Calibration!$B:$B,Calibration!$C:$C,36),
     OR(C81="E",C81="F",C81="H",C81="I"),XLOOKUP("timeout_jcc_normal",Calibration!$B:$B,Calibration!$C:$C,14),
     OR(C81="G",C81="J"),XLOOKUP("timeout_duochrome_normal",Calibration!$B:$B,Calibration!$C:$C,10),
     C81="K",XLOOKUP("timeout_bino_normal",Calibration!$B:$B,Calibration!$C:$C,14),
     OR(C81="P",C81="Q",C81="R"),XLOOKUP("timeout_near_normal",Calibration!$B:$B,Calibration!$C:$C,22),
     TRUE,XLOOKUP("timeout_coarse_normal",Calibration!$B:$B,Calibration!$C:$C,36)
   ),
 TRUE,
   IFS(
     OR(C81="B",C81="D"),XLOOKUP("timeout_coarse_slow",Calibration!$B:$B,Calibration!$C:$C,48),
     OR(C81="E",C81="F",C81="H",C81="I"),XLOOKUP("timeout_jcc_slow",Calibration!$B:$B,Calibration!$C:$C,18),
     OR(C81="G",C81="J"),XLOOKUP("timeout_duochrome_slow",Calibration!$B:$B,Calibration!$C:$C,12),
     C81="K",XLOOKUP("timeout_bino_slow",Calibration!$B:$B,Calibration!$C:$C,18),
     OR(C81="P",C81="Q",C81="R"),XLOOKUP("timeout_near_slow",Calibration!$B:$B,Calibration!$C:$C,28),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AJ81=TRUE,"ESCALATE",
C81="A",
IF(OR(I81="NOT_READABLE",I81="BLURRY",AND(R81="20_20_20",I81="READABLE")),"B","A"),
C81="B",
IF(reEsc,"ESCALATE",IF(AY81&gt;=phaseMax,"ESCALATE",IF(AND(AV81&gt;=AW81,I81="READABLE"),"E","B"))),
C81="E",
IF(AY81&gt;=phaseMax,"ESCALATE",IF(OR(I81="SAME",I81="CANT_TELL",AD81&lt;axisTol),"F","E")),
C81="F",
IF(AY81&gt;=phaseMax,"ESCALATE",IF(AX81&gt;=powerSameN,"G","F")),
C81="G",
IF(AY81&gt;=phaseMax,"ESCALATE",IF(OR(AX81&gt;=duoEqualN,BB81&gt;=duoMax),"D","G")),
C81="D",
IF(leEsc,"ESCALATE",IF(AY81&gt;=phaseMax,"ESCALATE",IF(AND(AV81&gt;=AW81,I81="READABLE"),"H","D"))),
C81="H",
IF(AY81&gt;=phaseMax,"ESCALATE",IF(OR(I81="SAME",I81="CANT_TELL",AD81&lt;axisTol),"I","H")),
C81="I",
IF(AY81&gt;=phaseMax,"ESCALATE",IF(AX81&gt;=powerSameN,"J","I")),
C81="J",
IF(AY81&gt;=phaseMax,"ESCALATE",IF(OR(AX81&gt;=duoEqualN,BB81&gt;=duoMax),"K","J")),
C81="K",
IF(AY81&gt;=phaseMax,"ESCALATE",IF(AX81&gt;=binoSameN,IF(XLOOKUP($B81,Derived_Variables!$A:$A,Derived_Variables!$AJ:$AJ,FALSE)=TRUE,"P","END"),"K")),
C81="P",
IF(AY81&gt;=phaseMax,"ESCALATE",IF(OR(I81="READABLE",I81="SAME"),"Q","P")),
C81="Q",
IF(AY81&gt;=phaseMax,"ESCALATE",IF(OR(I81="READABLE",I81="SAME"),"R","Q")),
C81="R",
IF(AY81&gt;=phaseMax,"ESCALATE",IF(OR(I81=nearTarget,I81="SAME"),"END","R")),
TRUE,"END"
)))</f>
        <v/>
      </c>
      <c r="BD81" s="28" t="b">
        <f t="shared" si="19"/>
        <v>0</v>
      </c>
    </row>
    <row r="82" ht="15.75" customHeight="1">
      <c r="A82" s="28">
        <f t="shared" si="3"/>
        <v>81</v>
      </c>
      <c r="B82" s="28">
        <f t="shared" si="4"/>
        <v>6</v>
      </c>
      <c r="C82" s="28" t="str">
        <f t="shared" si="5"/>
        <v/>
      </c>
      <c r="D82" s="28" t="str">
        <f t="array" ref="D82">IF($I81="","",XLOOKUP(C82,FSM_State_Map!A:A,FSM_State_Map!B:B,""))</f>
        <v/>
      </c>
      <c r="E82" s="28" t="str">
        <f t="array" ref="E82">IF($I81="","",XLOOKUP(C82,FSM_State_Map!A:A,FSM_State_Map!C:C,""))</f>
        <v/>
      </c>
      <c r="F82" s="28" t="str">
        <f t="array" ref="F82">IF($I81="","",XLOOKUP(E82,Phase_UI_Map!A:A,Phase_UI_Map!B:B,""))</f>
        <v/>
      </c>
      <c r="G82" s="28" t="str">
        <f t="array" ref="G82">IF($I81="","",XLOOKUP(E82,Phase_UI_Map!A:A,Phase_UI_Map!C:C,""))</f>
        <v/>
      </c>
      <c r="H82" s="28" t="str">
        <f t="array" ref="H82">IF($I81="","",XLOOKUP(E82,Phase_UI_Map!A:A,Phase_UI_Map!D:D,""))</f>
        <v/>
      </c>
      <c r="I82" s="29"/>
      <c r="J82" s="28" t="str">
        <f>IFERROR(__xludf.DUMMYFUNCTION("IF($I81="""","""",IFERROR(INDEX(FILTER(Response_Lists!$B:$B,Response_Lists!$A:$A=$H82),1),""""))"),"")</f>
        <v/>
      </c>
      <c r="K82" s="28" t="str">
        <f>IFERROR(__xludf.DUMMYFUNCTION("IF($I81="""","""",IFERROR(INDEX(FILTER(Response_Lists!$B:$B,Response_Lists!$A:$A=$H82),2),""""))"),"")</f>
        <v/>
      </c>
      <c r="L82" s="28" t="str">
        <f>IFERROR(__xludf.DUMMYFUNCTION("IF($I81="""","""",IFERROR(INDEX(FILTER(Response_Lists!$B:$B,Response_Lists!$A:$A=$H82),3),""""))"),"")</f>
        <v/>
      </c>
      <c r="M82" s="28" t="str">
        <f>IFERROR(__xludf.DUMMYFUNCTION("IF($I81="""","""",IFERROR(INDEX(FILTER(Response_Lists!$B:$B,Response_Lists!$A:$A=$H82),4),""""))"),"")</f>
        <v/>
      </c>
      <c r="N82" s="28" t="str">
        <f>IFERROR(__xludf.DUMMYFUNCTION("IF($I81="""","""",IFERROR(INDEX(FILTER(Response_Lists!$B:$B,Response_Lists!$A:$A=$H82),5),""""))"),"")</f>
        <v/>
      </c>
      <c r="O82" s="28" t="str">
        <f>IFERROR(__xludf.DUMMYFUNCTION("IF($I81="""","""",IFERROR(INDEX(FILTER(Response_Lists!$B:$B,Response_Lists!$A:$A=$H82),6),""""))"),"")</f>
        <v/>
      </c>
      <c r="P82" s="28" t="str">
        <f t="shared" si="6"/>
        <v/>
      </c>
      <c r="Q82" s="28" t="str">
        <f t="array" ref="Q82">IF($I81="","",XLOOKUP(C82,FSM_State_Map!A:A,FSM_State_Map!D:D,""))</f>
        <v/>
      </c>
      <c r="R82" s="28" t="str">
        <f t="shared" si="7"/>
        <v/>
      </c>
      <c r="S82" s="28" t="str">
        <f t="array" ref="S82">IF($I81="","",
IF(
  AND(C82="B",C81&lt;&gt;"B"),
  XLOOKUP($B82,Derived_Variables!$A:$A,Derived_Variables!$K:$K,0)
  + XLOOKUP($B82,Derived_Variables!$A:$A,Derived_Variables!$AE:$AE,0),
  S81+AM81
))</f>
        <v/>
      </c>
      <c r="T82" s="28" t="str">
        <f t="shared" ref="T82:U82" si="174">IF($I81="","",T81+AN81)</f>
        <v/>
      </c>
      <c r="U82" s="28" t="str">
        <f t="shared" si="174"/>
        <v/>
      </c>
      <c r="V82" s="28" t="str">
        <f t="array" ref="V82">IF($I81="","",
IF(
  AND(C82="D",C81&lt;&gt;"D"),
  XLOOKUP($B82,Derived_Variables!$A:$A,Derived_Variables!$N:$N,0)
  + XLOOKUP($B82,Derived_Variables!$A:$A,Derived_Variables!$AE:$AE,0),
  V81+AP81
))</f>
        <v/>
      </c>
      <c r="W82" s="28" t="str">
        <f t="shared" ref="W82:X82" si="175">IF($I81="","",W81+AQ81)</f>
        <v/>
      </c>
      <c r="X82" s="28" t="str">
        <f t="shared" si="175"/>
        <v/>
      </c>
      <c r="Y82" s="28" t="str">
        <f t="array" ref="Y82">IF($I81="","",IF(AND(C82="P",C81&lt;&gt;"P"),IFERROR(XLOOKUP($B82,Lenso_Input!$A:$A,Lenso_Input!$E:$E,0),0),Y81+AS81))</f>
        <v/>
      </c>
      <c r="Z82" s="28" t="str">
        <f t="array" ref="Z82">IF($I81="","",IF(AND(C82="Q",C81&lt;&gt;"Q"),IFERROR(XLOOKUP($B82,Lenso_Input!$A:$A,Lenso_Input!$I:$I,0),0),Z81+AT81))</f>
        <v/>
      </c>
      <c r="AA82" s="28" t="str">
        <f t="array" ref="AA82">IF($I81="","",IF(XLOOKUP($B82,Derived_Variables!$A:$A,Derived_Variables!$R:$R,"6/6_target")="6/6_target","20_20_20","40_30_25"))</f>
        <v/>
      </c>
      <c r="AB82" s="28" t="str">
        <f t="array" ref="AB82">IF($I81="","",XLOOKUP(LOWER(XLOOKUP($B82,Derived_Variables!$A:$A,Derived_Variables!$T:$T,"Standard"))&amp;"_sph_step",Calibration!$B:$B,Calibration!$C:$C,0.25))</f>
        <v/>
      </c>
      <c r="AC82" s="28" t="str">
        <f t="array" ref="AC82">IF($I81="","",XLOOKUP(LOWER(XLOOKUP($B82,Derived_Variables!$A:$A,Derived_Variables!$T:$T,"Standard"))&amp;"_cyl_step",Calibration!$B:$B,Calibration!$C:$C,0.25))</f>
        <v/>
      </c>
      <c r="AD82" s="28" t="str">
        <f t="array" ref="AD82">IF($I81="","",IF(OR(C82="E",C82="H"),LET(startStep,XLOOKUP("axis_start_step",Calibration!$B:$B,Calibration!$C:$C,5),step1,XLOOKUP("axis_reversal_step_1",Calibration!$B:$B,Calibration!$C:$C,3),step2,XLOOKUP("axis_reversal_step_2",Calibration!$B:$B,Calibration!$C:$C,1),IF(OR(C81&lt;&gt;C82,AZ82="",AZ82="SAME",AZ82="CANT_TELL",I82="",I82="SAME",I82="CANT_TELL"),startStep,IF(OR(AND(AZ82="BETTER_1",I82="BETTER_2"),AND(AZ82="BETTER_2",I82="BETTER_1")),IF(AD81&gt;step1,step1,step2),AD81))),0))</f>
        <v/>
      </c>
      <c r="AE82" s="28" t="str">
        <f t="array" ref="AE82">IF($I81="","",XLOOKUP($B82,Derived_Variables!$A:$A,Derived_Variables!$AD:$AD,"No_Fog"))</f>
        <v/>
      </c>
      <c r="AF82" s="28" t="str">
        <f t="array" ref="AF82">IF($I81="","",XLOOKUP($B82,Derived_Variables!$A:$A,Derived_Variables!$AE:$AE,0))</f>
        <v/>
      </c>
      <c r="AG82" s="28" t="str">
        <f t="array" ref="AG82">IF($I81="","",XLOOKUP($B82,Derived_Variables!$A:$A,Derived_Variables!$AF:$AF,""))</f>
        <v/>
      </c>
      <c r="AH82" s="28" t="str">
        <f t="array" ref="AH82">IF($I81="","",XLOOKUP($B82,Derived_Variables!$A:$A,Derived_Variables!$AG:$AG,""))</f>
        <v/>
      </c>
      <c r="AI82" s="28" t="str">
        <f t="array" ref="AI82">IF($I81="","",XLOOKUP($B82,Derived_Variables!$A:$A,Derived_Variables!$AC:$AC,"Medium"))</f>
        <v/>
      </c>
      <c r="AJ82" s="28" t="str">
        <f t="array" ref="AJ82">IF($I81="","",XLOOKUP($B82,Derived_Variables!$A:$A,Derived_Variables!$Y:$Y,FALSE))</f>
        <v/>
      </c>
      <c r="AK82" s="28" t="str">
        <f t="array" ref="AK82">IF($I81="","",XLOOKUP($B82,Derived_Variables!$A:$A,Derived_Variables!$AA:$AA,"Normal"))</f>
        <v/>
      </c>
      <c r="AL82" s="28" t="str">
        <f t="array" ref="AL82">IF($I81="","",XLOOKUP($B82,Derived_Variables!$A:$A,Derived_Variables!$AB:$AB,"Normal"))</f>
        <v/>
      </c>
      <c r="AM82" s="28" t="str">
        <f t="array" ref="AM82">IF($I82="","",IFS(C82="B",IF(OR(I82="NOT_READABLE",I82="BLURRY"),-AB82,0),C82="G",IFS(I82="RED_CLEARER",XLOOKUP("duochrome_red_step",Calibration!$B:$B,Calibration!$C:$C,-0.25),I82="GREEN_CLEARER",XLOOKUP("duochrome_green_step",Calibration!$B:$B,Calibration!$C:$C,0.25),I82="EQUAL",IF(XLOOKUP($B82,Derived_Variables!$A:$A,Derived_Variables!$S:$S,"Neutral")="Undercorrect",XLOOKUP("undercorrect_step",Calibration!$B:$B,Calibration!$C:$C,0.25),IF(XLOOKUP($B82,Derived_Variables!$A:$A,Derived_Variables!$S:$S,"Neutral")="Overcorrect",-XLOOKUP("overcorrect_step",Calibration!$B:$B,Calibration!$C:$C,0.25),0)),TRUE,0),C82="K",IF(I82="TOP_CLEARER",XLOOKUP("bino_balance_step",Calibration!$B:$B,Calibration!$C:$C,0.25),0),TRUE,0))</f>
        <v/>
      </c>
      <c r="AN82" s="28" t="str">
        <f t="shared" si="10"/>
        <v/>
      </c>
      <c r="AO82" s="28" t="str">
        <f t="shared" si="11"/>
        <v/>
      </c>
      <c r="AP82" s="28" t="str">
        <f t="array" ref="AP82">IF($I82="","",IFS(C82="D",IF(OR(I82="NOT_READABLE",I82="BLURRY"),-AB82,0),C82="J",IFS(I82="RED_CLEARER",XLOOKUP("duochrome_red_step",Calibration!$B:$B,Calibration!$C:$C,-0.25),I82="GREEN_CLEARER",XLOOKUP("duochrome_green_step",Calibration!$B:$B,Calibration!$C:$C,0.25),I82="EQUAL",IF(XLOOKUP($B82,Derived_Variables!$A:$A,Derived_Variables!$S:$S,"Neutral")="Undercorrect",XLOOKUP("undercorrect_step",Calibration!$B:$B,Calibration!$C:$C,0.25),IF(XLOOKUP($B82,Derived_Variables!$A:$A,Derived_Variables!$S:$S,"Neutral")="Overcorrect",-XLOOKUP("overcorrect_step",Calibration!$B:$B,Calibration!$C:$C,0.25),0)),TRUE,0),C82="K",IF(I82="BOTTOM_CLEARER",XLOOKUP("bino_balance_step",Calibration!$B:$B,Calibration!$C:$C,0.25),0),TRUE,0))</f>
        <v/>
      </c>
      <c r="AQ82" s="28" t="str">
        <f t="shared" si="12"/>
        <v/>
      </c>
      <c r="AR82" s="28" t="str">
        <f t="shared" si="13"/>
        <v/>
      </c>
      <c r="AS82" s="28" t="str">
        <f t="array" ref="AS82">IF($I82="","",IF(C82="P",IF(OR(I82="NOT_READABLE",I82="BLURRY"),XLOOKUP("near_add_step",Calibration!$B:$B,Calibration!$C:$C,0.25),0),IF(C82="R",IF(I82="NOT_CLEAR",XLOOKUP("near_add_step",Calibration!$B:$B,Calibration!$C:$C,0.25),0),0)))</f>
        <v/>
      </c>
      <c r="AT82" s="28" t="str">
        <f t="array" ref="AT82">IF($I82="","",IF(C82="Q",IF(OR(I82="NOT_READABLE",I82="BLURRY"),XLOOKUP("near_add_step",Calibration!$B:$B,Calibration!$C:$C,0.25),0),IF(C82="R",IF(I82="NOT_CLEAR",XLOOKUP("near_add_step",Calibration!$B:$B,Calibration!$C:$C,0.25),0),0)))</f>
        <v/>
      </c>
      <c r="AU82" s="28" t="str">
        <f t="array" ref="AU82">IF($I82="","",IF(G82="SNELLEN_FEET",IF(I82="READABLE",IFERROR(XLOOKUP(XLOOKUP(R82,Chart_Scale_Distance!B:B,Chart_Scale_Distance!A:A)+1,Chart_Scale_Distance!A:A,Chart_Scale_Distance!B:B),R82),R82),R82))</f>
        <v/>
      </c>
      <c r="AV82" s="28" t="str">
        <f t="array" ref="AV82">IF($I81="","",IFERROR(XLOOKUP(R82,Chart_Scale_Distance!$B:$B,Chart_Scale_Distance!$A:$A,""),""))</f>
        <v/>
      </c>
      <c r="AW82" s="28" t="str">
        <f t="array" ref="AW82">IF($I81="","",IFERROR(XLOOKUP(AA82,Chart_Scale_Distance!$B:$B,Chart_Scale_Distance!$A:$A,""),""))</f>
        <v/>
      </c>
      <c r="AX82" s="28" t="str">
        <f t="shared" si="14"/>
        <v/>
      </c>
      <c r="AY82" s="28" t="str">
        <f t="shared" si="15"/>
        <v/>
      </c>
      <c r="AZ82" s="28" t="str">
        <f t="shared" si="16"/>
        <v/>
      </c>
      <c r="BA82" s="28" t="str">
        <f t="shared" si="17"/>
        <v/>
      </c>
      <c r="BB82" s="28" t="str">
        <f t="shared" si="18"/>
        <v/>
      </c>
      <c r="BC82" s="28" t="str">
        <f t="array" ref="BC82">IF($I82="","",LET(
conf,AI82,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duoMax,XLOOKUP($B82,Derived_Variables!$A:$A,Derived_Variables!$AI:$AI,4),
axisTol,XLOOKUP($B82,Derived_Variables!$A:$A,Derived_Variables!$W:$W,1),
maxStart,XLOOKUP($B82,Derived_Variables!$A:$A,Derived_Variables!$U:$U,1.25),
maxAR,XLOOKUP($B82,Derived_Variables!$A:$A,Derived_Variables!$V:$V,3),
anom,XLOOKUP($B82,Derived_Variables!$A:$A,Derived_Variables!$Z:$Z,FALSE),
reStart,XLOOKUP($B82,Derived_Variables!$A:$A,Derived_Variables!$K:$K,0),
leStart,XLOOKUP($B82,Derived_Variables!$A:$A,Derived_Variables!$N:$N,0),
reAR,XLOOKUP($B82,AR_Input!$A:$A,AR_Input!$B:$B,reStart),
leAR,XLOOKUP($B82,AR_Input!$A:$A,AR_Input!$E:$E,leStart),
reEsc,AND(anom,OR(ABS((S82+AM82)-reStart)&gt;maxStart,ABS((S82+AM82)-reAR)&gt;maxAR)),
leEsc,AND(anom,OR(ABS((V82+AP82)-leStart)&gt;maxStart,ABS((V82+AP82)-leAR)&gt;maxAR)),
phaseMax,IFS(
 AK82="Fast",
   IFS(
     OR(C82="B",C82="D"),XLOOKUP("timeout_coarse_fast",Calibration!$B:$B,Calibration!$C:$C,24),
     OR(C82="E",C82="F",C82="H",C82="I"),XLOOKUP("timeout_jcc_fast",Calibration!$B:$B,Calibration!$C:$C,10),
     OR(C82="G",C82="J"),XLOOKUP("timeout_duochrome_fast",Calibration!$B:$B,Calibration!$C:$C,8),
     C82="K",XLOOKUP("timeout_bino_fast",Calibration!$B:$B,Calibration!$C:$C,10),
     OR(C82="P",C82="Q",C82="R"),XLOOKUP("timeout_near_fast",Calibration!$B:$B,Calibration!$C:$C,16),
     TRUE,XLOOKUP("timeout_coarse_fast",Calibration!$B:$B,Calibration!$C:$C,24)
   ),
 AK82="Normal",
   IFS(
     OR(C82="B",C82="D"),XLOOKUP("timeout_coarse_normal",Calibration!$B:$B,Calibration!$C:$C,36),
     OR(C82="E",C82="F",C82="H",C82="I"),XLOOKUP("timeout_jcc_normal",Calibration!$B:$B,Calibration!$C:$C,14),
     OR(C82="G",C82="J"),XLOOKUP("timeout_duochrome_normal",Calibration!$B:$B,Calibration!$C:$C,10),
     C82="K",XLOOKUP("timeout_bino_normal",Calibration!$B:$B,Calibration!$C:$C,14),
     OR(C82="P",C82="Q",C82="R"),XLOOKUP("timeout_near_normal",Calibration!$B:$B,Calibration!$C:$C,22),
     TRUE,XLOOKUP("timeout_coarse_normal",Calibration!$B:$B,Calibration!$C:$C,36)
   ),
 TRUE,
   IFS(
     OR(C82="B",C82="D"),XLOOKUP("timeout_coarse_slow",Calibration!$B:$B,Calibration!$C:$C,48),
     OR(C82="E",C82="F",C82="H",C82="I"),XLOOKUP("timeout_jcc_slow",Calibration!$B:$B,Calibration!$C:$C,18),
     OR(C82="G",C82="J"),XLOOKUP("timeout_duochrome_slow",Calibration!$B:$B,Calibration!$C:$C,12),
     C82="K",XLOOKUP("timeout_bino_slow",Calibration!$B:$B,Calibration!$C:$C,18),
     OR(C82="P",C82="Q",C82="R"),XLOOKUP("timeout_near_slow",Calibration!$B:$B,Calibration!$C:$C,28),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AJ82=TRUE,"ESCALATE",
C82="A",
IF(OR(I82="NOT_READABLE",I82="BLURRY",AND(R82="20_20_20",I82="READABLE")),"B","A"),
C82="B",
IF(reEsc,"ESCALATE",IF(AY82&gt;=phaseMax,"ESCALATE",IF(AND(AV82&gt;=AW82,I82="READABLE"),"E","B"))),
C82="E",
IF(AY82&gt;=phaseMax,"ESCALATE",IF(OR(I82="SAME",I82="CANT_TELL",AD82&lt;axisTol),"F","E")),
C82="F",
IF(AY82&gt;=phaseMax,"ESCALATE",IF(AX82&gt;=powerSameN,"G","F")),
C82="G",
IF(AY82&gt;=phaseMax,"ESCALATE",IF(OR(AX82&gt;=duoEqualN,BB82&gt;=duoMax),"D","G")),
C82="D",
IF(leEsc,"ESCALATE",IF(AY82&gt;=phaseMax,"ESCALATE",IF(AND(AV82&gt;=AW82,I82="READABLE"),"H","D"))),
C82="H",
IF(AY82&gt;=phaseMax,"ESCALATE",IF(OR(I82="SAME",I82="CANT_TELL",AD82&lt;axisTol),"I","H")),
C82="I",
IF(AY82&gt;=phaseMax,"ESCALATE",IF(AX82&gt;=powerSameN,"J","I")),
C82="J",
IF(AY82&gt;=phaseMax,"ESCALATE",IF(OR(AX82&gt;=duoEqualN,BB82&gt;=duoMax),"K","J")),
C82="K",
IF(AY82&gt;=phaseMax,"ESCALATE",IF(AX82&gt;=binoSameN,IF(XLOOKUP($B82,Derived_Variables!$A:$A,Derived_Variables!$AJ:$AJ,FALSE)=TRUE,"P","END"),"K")),
C82="P",
IF(AY82&gt;=phaseMax,"ESCALATE",IF(OR(I82="READABLE",I82="SAME"),"Q","P")),
C82="Q",
IF(AY82&gt;=phaseMax,"ESCALATE",IF(OR(I82="READABLE",I82="SAME"),"R","Q")),
C82="R",
IF(AY82&gt;=phaseMax,"ESCALATE",IF(OR(I82=nearTarget,I82="SAME"),"END","R")),
TRUE,"END"
)))</f>
        <v/>
      </c>
      <c r="BD82" s="28" t="b">
        <f t="shared" si="19"/>
        <v>0</v>
      </c>
    </row>
    <row r="83" ht="15.75" customHeight="1">
      <c r="A83" s="28">
        <f t="shared" si="3"/>
        <v>82</v>
      </c>
      <c r="B83" s="28">
        <f t="shared" si="4"/>
        <v>6</v>
      </c>
      <c r="C83" s="28" t="str">
        <f t="shared" si="5"/>
        <v/>
      </c>
      <c r="D83" s="28" t="str">
        <f t="array" ref="D83">IF($I82="","",XLOOKUP(C83,FSM_State_Map!A:A,FSM_State_Map!B:B,""))</f>
        <v/>
      </c>
      <c r="E83" s="28" t="str">
        <f t="array" ref="E83">IF($I82="","",XLOOKUP(C83,FSM_State_Map!A:A,FSM_State_Map!C:C,""))</f>
        <v/>
      </c>
      <c r="F83" s="28" t="str">
        <f t="array" ref="F83">IF($I82="","",XLOOKUP(E83,Phase_UI_Map!A:A,Phase_UI_Map!B:B,""))</f>
        <v/>
      </c>
      <c r="G83" s="28" t="str">
        <f t="array" ref="G83">IF($I82="","",XLOOKUP(E83,Phase_UI_Map!A:A,Phase_UI_Map!C:C,""))</f>
        <v/>
      </c>
      <c r="H83" s="28" t="str">
        <f t="array" ref="H83">IF($I82="","",XLOOKUP(E83,Phase_UI_Map!A:A,Phase_UI_Map!D:D,""))</f>
        <v/>
      </c>
      <c r="I83" s="29"/>
      <c r="J83" s="28" t="str">
        <f>IFERROR(__xludf.DUMMYFUNCTION("IF($I82="""","""",IFERROR(INDEX(FILTER(Response_Lists!$B:$B,Response_Lists!$A:$A=$H83),1),""""))"),"")</f>
        <v/>
      </c>
      <c r="K83" s="28" t="str">
        <f>IFERROR(__xludf.DUMMYFUNCTION("IF($I82="""","""",IFERROR(INDEX(FILTER(Response_Lists!$B:$B,Response_Lists!$A:$A=$H83),2),""""))"),"")</f>
        <v/>
      </c>
      <c r="L83" s="28" t="str">
        <f>IFERROR(__xludf.DUMMYFUNCTION("IF($I82="""","""",IFERROR(INDEX(FILTER(Response_Lists!$B:$B,Response_Lists!$A:$A=$H83),3),""""))"),"")</f>
        <v/>
      </c>
      <c r="M83" s="28" t="str">
        <f>IFERROR(__xludf.DUMMYFUNCTION("IF($I82="""","""",IFERROR(INDEX(FILTER(Response_Lists!$B:$B,Response_Lists!$A:$A=$H83),4),""""))"),"")</f>
        <v/>
      </c>
      <c r="N83" s="28" t="str">
        <f>IFERROR(__xludf.DUMMYFUNCTION("IF($I82="""","""",IFERROR(INDEX(FILTER(Response_Lists!$B:$B,Response_Lists!$A:$A=$H83),5),""""))"),"")</f>
        <v/>
      </c>
      <c r="O83" s="28" t="str">
        <f>IFERROR(__xludf.DUMMYFUNCTION("IF($I82="""","""",IFERROR(INDEX(FILTER(Response_Lists!$B:$B,Response_Lists!$A:$A=$H83),6),""""))"),"")</f>
        <v/>
      </c>
      <c r="P83" s="28" t="str">
        <f t="shared" si="6"/>
        <v/>
      </c>
      <c r="Q83" s="28" t="str">
        <f t="array" ref="Q83">IF($I82="","",XLOOKUP(C83,FSM_State_Map!A:A,FSM_State_Map!D:D,""))</f>
        <v/>
      </c>
      <c r="R83" s="28" t="str">
        <f t="shared" si="7"/>
        <v/>
      </c>
      <c r="S83" s="28" t="str">
        <f t="array" ref="S83">IF($I82="","",
IF(
  AND(C83="B",C82&lt;&gt;"B"),
  XLOOKUP($B83,Derived_Variables!$A:$A,Derived_Variables!$K:$K,0)
  + XLOOKUP($B83,Derived_Variables!$A:$A,Derived_Variables!$AE:$AE,0),
  S82+AM82
))</f>
        <v/>
      </c>
      <c r="T83" s="28" t="str">
        <f t="shared" ref="T83:U83" si="176">IF($I82="","",T82+AN82)</f>
        <v/>
      </c>
      <c r="U83" s="28" t="str">
        <f t="shared" si="176"/>
        <v/>
      </c>
      <c r="V83" s="28" t="str">
        <f t="array" ref="V83">IF($I82="","",
IF(
  AND(C83="D",C82&lt;&gt;"D"),
  XLOOKUP($B83,Derived_Variables!$A:$A,Derived_Variables!$N:$N,0)
  + XLOOKUP($B83,Derived_Variables!$A:$A,Derived_Variables!$AE:$AE,0),
  V82+AP82
))</f>
        <v/>
      </c>
      <c r="W83" s="28" t="str">
        <f t="shared" ref="W83:X83" si="177">IF($I82="","",W82+AQ82)</f>
        <v/>
      </c>
      <c r="X83" s="28" t="str">
        <f t="shared" si="177"/>
        <v/>
      </c>
      <c r="Y83" s="28" t="str">
        <f t="array" ref="Y83">IF($I82="","",IF(AND(C83="P",C82&lt;&gt;"P"),IFERROR(XLOOKUP($B83,Lenso_Input!$A:$A,Lenso_Input!$E:$E,0),0),Y82+AS82))</f>
        <v/>
      </c>
      <c r="Z83" s="28" t="str">
        <f t="array" ref="Z83">IF($I82="","",IF(AND(C83="Q",C82&lt;&gt;"Q"),IFERROR(XLOOKUP($B83,Lenso_Input!$A:$A,Lenso_Input!$I:$I,0),0),Z82+AT82))</f>
        <v/>
      </c>
      <c r="AA83" s="28" t="str">
        <f t="array" ref="AA83">IF($I82="","",IF(XLOOKUP($B83,Derived_Variables!$A:$A,Derived_Variables!$R:$R,"6/6_target")="6/6_target","20_20_20","40_30_25"))</f>
        <v/>
      </c>
      <c r="AB83" s="28" t="str">
        <f t="array" ref="AB83">IF($I82="","",XLOOKUP(LOWER(XLOOKUP($B83,Derived_Variables!$A:$A,Derived_Variables!$T:$T,"Standard"))&amp;"_sph_step",Calibration!$B:$B,Calibration!$C:$C,0.25))</f>
        <v/>
      </c>
      <c r="AC83" s="28" t="str">
        <f t="array" ref="AC83">IF($I82="","",XLOOKUP(LOWER(XLOOKUP($B83,Derived_Variables!$A:$A,Derived_Variables!$T:$T,"Standard"))&amp;"_cyl_step",Calibration!$B:$B,Calibration!$C:$C,0.25))</f>
        <v/>
      </c>
      <c r="AD83" s="28" t="str">
        <f t="array" ref="AD83">IF($I82="","",IF(OR(C83="E",C83="H"),LET(startStep,XLOOKUP("axis_start_step",Calibration!$B:$B,Calibration!$C:$C,5),step1,XLOOKUP("axis_reversal_step_1",Calibration!$B:$B,Calibration!$C:$C,3),step2,XLOOKUP("axis_reversal_step_2",Calibration!$B:$B,Calibration!$C:$C,1),IF(OR(C82&lt;&gt;C83,AZ83="",AZ83="SAME",AZ83="CANT_TELL",I83="",I83="SAME",I83="CANT_TELL"),startStep,IF(OR(AND(AZ83="BETTER_1",I83="BETTER_2"),AND(AZ83="BETTER_2",I83="BETTER_1")),IF(AD82&gt;step1,step1,step2),AD82))),0))</f>
        <v/>
      </c>
      <c r="AE83" s="28" t="str">
        <f t="array" ref="AE83">IF($I82="","",XLOOKUP($B83,Derived_Variables!$A:$A,Derived_Variables!$AD:$AD,"No_Fog"))</f>
        <v/>
      </c>
      <c r="AF83" s="28" t="str">
        <f t="array" ref="AF83">IF($I82="","",XLOOKUP($B83,Derived_Variables!$A:$A,Derived_Variables!$AE:$AE,0))</f>
        <v/>
      </c>
      <c r="AG83" s="28" t="str">
        <f t="array" ref="AG83">IF($I82="","",XLOOKUP($B83,Derived_Variables!$A:$A,Derived_Variables!$AF:$AF,""))</f>
        <v/>
      </c>
      <c r="AH83" s="28" t="str">
        <f t="array" ref="AH83">IF($I82="","",XLOOKUP($B83,Derived_Variables!$A:$A,Derived_Variables!$AG:$AG,""))</f>
        <v/>
      </c>
      <c r="AI83" s="28" t="str">
        <f t="array" ref="AI83">IF($I82="","",XLOOKUP($B83,Derived_Variables!$A:$A,Derived_Variables!$AC:$AC,"Medium"))</f>
        <v/>
      </c>
      <c r="AJ83" s="28" t="str">
        <f t="array" ref="AJ83">IF($I82="","",XLOOKUP($B83,Derived_Variables!$A:$A,Derived_Variables!$Y:$Y,FALSE))</f>
        <v/>
      </c>
      <c r="AK83" s="28" t="str">
        <f t="array" ref="AK83">IF($I82="","",XLOOKUP($B83,Derived_Variables!$A:$A,Derived_Variables!$AA:$AA,"Normal"))</f>
        <v/>
      </c>
      <c r="AL83" s="28" t="str">
        <f t="array" ref="AL83">IF($I82="","",XLOOKUP($B83,Derived_Variables!$A:$A,Derived_Variables!$AB:$AB,"Normal"))</f>
        <v/>
      </c>
      <c r="AM83" s="28" t="str">
        <f t="array" ref="AM83">IF($I83="","",IFS(C83="B",IF(OR(I83="NOT_READABLE",I83="BLURRY"),-AB83,0),C83="G",IFS(I83="RED_CLEARER",XLOOKUP("duochrome_red_step",Calibration!$B:$B,Calibration!$C:$C,-0.25),I83="GREEN_CLEARER",XLOOKUP("duochrome_green_step",Calibration!$B:$B,Calibration!$C:$C,0.25),I83="EQUAL",IF(XLOOKUP($B83,Derived_Variables!$A:$A,Derived_Variables!$S:$S,"Neutral")="Undercorrect",XLOOKUP("undercorrect_step",Calibration!$B:$B,Calibration!$C:$C,0.25),IF(XLOOKUP($B83,Derived_Variables!$A:$A,Derived_Variables!$S:$S,"Neutral")="Overcorrect",-XLOOKUP("overcorrect_step",Calibration!$B:$B,Calibration!$C:$C,0.25),0)),TRUE,0),C83="K",IF(I83="TOP_CLEARER",XLOOKUP("bino_balance_step",Calibration!$B:$B,Calibration!$C:$C,0.25),0),TRUE,0))</f>
        <v/>
      </c>
      <c r="AN83" s="28" t="str">
        <f t="shared" si="10"/>
        <v/>
      </c>
      <c r="AO83" s="28" t="str">
        <f t="shared" si="11"/>
        <v/>
      </c>
      <c r="AP83" s="28" t="str">
        <f t="array" ref="AP83">IF($I83="","",IFS(C83="D",IF(OR(I83="NOT_READABLE",I83="BLURRY"),-AB83,0),C83="J",IFS(I83="RED_CLEARER",XLOOKUP("duochrome_red_step",Calibration!$B:$B,Calibration!$C:$C,-0.25),I83="GREEN_CLEARER",XLOOKUP("duochrome_green_step",Calibration!$B:$B,Calibration!$C:$C,0.25),I83="EQUAL",IF(XLOOKUP($B83,Derived_Variables!$A:$A,Derived_Variables!$S:$S,"Neutral")="Undercorrect",XLOOKUP("undercorrect_step",Calibration!$B:$B,Calibration!$C:$C,0.25),IF(XLOOKUP($B83,Derived_Variables!$A:$A,Derived_Variables!$S:$S,"Neutral")="Overcorrect",-XLOOKUP("overcorrect_step",Calibration!$B:$B,Calibration!$C:$C,0.25),0)),TRUE,0),C83="K",IF(I83="BOTTOM_CLEARER",XLOOKUP("bino_balance_step",Calibration!$B:$B,Calibration!$C:$C,0.25),0),TRUE,0))</f>
        <v/>
      </c>
      <c r="AQ83" s="28" t="str">
        <f t="shared" si="12"/>
        <v/>
      </c>
      <c r="AR83" s="28" t="str">
        <f t="shared" si="13"/>
        <v/>
      </c>
      <c r="AS83" s="28" t="str">
        <f t="array" ref="AS83">IF($I83="","",IF(C83="P",IF(OR(I83="NOT_READABLE",I83="BLURRY"),XLOOKUP("near_add_step",Calibration!$B:$B,Calibration!$C:$C,0.25),0),IF(C83="R",IF(I83="NOT_CLEAR",XLOOKUP("near_add_step",Calibration!$B:$B,Calibration!$C:$C,0.25),0),0)))</f>
        <v/>
      </c>
      <c r="AT83" s="28" t="str">
        <f t="array" ref="AT83">IF($I83="","",IF(C83="Q",IF(OR(I83="NOT_READABLE",I83="BLURRY"),XLOOKUP("near_add_step",Calibration!$B:$B,Calibration!$C:$C,0.25),0),IF(C83="R",IF(I83="NOT_CLEAR",XLOOKUP("near_add_step",Calibration!$B:$B,Calibration!$C:$C,0.25),0),0)))</f>
        <v/>
      </c>
      <c r="AU83" s="28" t="str">
        <f t="array" ref="AU83">IF($I83="","",IF(G83="SNELLEN_FEET",IF(I83="READABLE",IFERROR(XLOOKUP(XLOOKUP(R83,Chart_Scale_Distance!B:B,Chart_Scale_Distance!A:A)+1,Chart_Scale_Distance!A:A,Chart_Scale_Distance!B:B),R83),R83),R83))</f>
        <v/>
      </c>
      <c r="AV83" s="28" t="str">
        <f t="array" ref="AV83">IF($I82="","",IFERROR(XLOOKUP(R83,Chart_Scale_Distance!$B:$B,Chart_Scale_Distance!$A:$A,""),""))</f>
        <v/>
      </c>
      <c r="AW83" s="28" t="str">
        <f t="array" ref="AW83">IF($I82="","",IFERROR(XLOOKUP(AA83,Chart_Scale_Distance!$B:$B,Chart_Scale_Distance!$A:$A,""),""))</f>
        <v/>
      </c>
      <c r="AX83" s="28" t="str">
        <f t="shared" si="14"/>
        <v/>
      </c>
      <c r="AY83" s="28" t="str">
        <f t="shared" si="15"/>
        <v/>
      </c>
      <c r="AZ83" s="28" t="str">
        <f t="shared" si="16"/>
        <v/>
      </c>
      <c r="BA83" s="28" t="str">
        <f t="shared" si="17"/>
        <v/>
      </c>
      <c r="BB83" s="28" t="str">
        <f t="shared" si="18"/>
        <v/>
      </c>
      <c r="BC83" s="28" t="str">
        <f t="array" ref="BC83">IF($I83="","",LET(
conf,AI83,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duoMax,XLOOKUP($B83,Derived_Variables!$A:$A,Derived_Variables!$AI:$AI,4),
axisTol,XLOOKUP($B83,Derived_Variables!$A:$A,Derived_Variables!$W:$W,1),
maxStart,XLOOKUP($B83,Derived_Variables!$A:$A,Derived_Variables!$U:$U,1.25),
maxAR,XLOOKUP($B83,Derived_Variables!$A:$A,Derived_Variables!$V:$V,3),
anom,XLOOKUP($B83,Derived_Variables!$A:$A,Derived_Variables!$Z:$Z,FALSE),
reStart,XLOOKUP($B83,Derived_Variables!$A:$A,Derived_Variables!$K:$K,0),
leStart,XLOOKUP($B83,Derived_Variables!$A:$A,Derived_Variables!$N:$N,0),
reAR,XLOOKUP($B83,AR_Input!$A:$A,AR_Input!$B:$B,reStart),
leAR,XLOOKUP($B83,AR_Input!$A:$A,AR_Input!$E:$E,leStart),
reEsc,AND(anom,OR(ABS((S83+AM83)-reStart)&gt;maxStart,ABS((S83+AM83)-reAR)&gt;maxAR)),
leEsc,AND(anom,OR(ABS((V83+AP83)-leStart)&gt;maxStart,ABS((V83+AP83)-leAR)&gt;maxAR)),
phaseMax,IFS(
 AK83="Fast",
   IFS(
     OR(C83="B",C83="D"),XLOOKUP("timeout_coarse_fast",Calibration!$B:$B,Calibration!$C:$C,24),
     OR(C83="E",C83="F",C83="H",C83="I"),XLOOKUP("timeout_jcc_fast",Calibration!$B:$B,Calibration!$C:$C,10),
     OR(C83="G",C83="J"),XLOOKUP("timeout_duochrome_fast",Calibration!$B:$B,Calibration!$C:$C,8),
     C83="K",XLOOKUP("timeout_bino_fast",Calibration!$B:$B,Calibration!$C:$C,10),
     OR(C83="P",C83="Q",C83="R"),XLOOKUP("timeout_near_fast",Calibration!$B:$B,Calibration!$C:$C,16),
     TRUE,XLOOKUP("timeout_coarse_fast",Calibration!$B:$B,Calibration!$C:$C,24)
   ),
 AK83="Normal",
   IFS(
     OR(C83="B",C83="D"),XLOOKUP("timeout_coarse_normal",Calibration!$B:$B,Calibration!$C:$C,36),
     OR(C83="E",C83="F",C83="H",C83="I"),XLOOKUP("timeout_jcc_normal",Calibration!$B:$B,Calibration!$C:$C,14),
     OR(C83="G",C83="J"),XLOOKUP("timeout_duochrome_normal",Calibration!$B:$B,Calibration!$C:$C,10),
     C83="K",XLOOKUP("timeout_bino_normal",Calibration!$B:$B,Calibration!$C:$C,14),
     OR(C83="P",C83="Q",C83="R"),XLOOKUP("timeout_near_normal",Calibration!$B:$B,Calibration!$C:$C,22),
     TRUE,XLOOKUP("timeout_coarse_normal",Calibration!$B:$B,Calibration!$C:$C,36)
   ),
 TRUE,
   IFS(
     OR(C83="B",C83="D"),XLOOKUP("timeout_coarse_slow",Calibration!$B:$B,Calibration!$C:$C,48),
     OR(C83="E",C83="F",C83="H",C83="I"),XLOOKUP("timeout_jcc_slow",Calibration!$B:$B,Calibration!$C:$C,18),
     OR(C83="G",C83="J"),XLOOKUP("timeout_duochrome_slow",Calibration!$B:$B,Calibration!$C:$C,12),
     C83="K",XLOOKUP("timeout_bino_slow",Calibration!$B:$B,Calibration!$C:$C,18),
     OR(C83="P",C83="Q",C83="R"),XLOOKUP("timeout_near_slow",Calibration!$B:$B,Calibration!$C:$C,28),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AJ83=TRUE,"ESCALATE",
C83="A",
IF(OR(I83="NOT_READABLE",I83="BLURRY",AND(R83="20_20_20",I83="READABLE")),"B","A"),
C83="B",
IF(reEsc,"ESCALATE",IF(AY83&gt;=phaseMax,"ESCALATE",IF(AND(AV83&gt;=AW83,I83="READABLE"),"E","B"))),
C83="E",
IF(AY83&gt;=phaseMax,"ESCALATE",IF(OR(I83="SAME",I83="CANT_TELL",AD83&lt;axisTol),"F","E")),
C83="F",
IF(AY83&gt;=phaseMax,"ESCALATE",IF(AX83&gt;=powerSameN,"G","F")),
C83="G",
IF(AY83&gt;=phaseMax,"ESCALATE",IF(OR(AX83&gt;=duoEqualN,BB83&gt;=duoMax),"D","G")),
C83="D",
IF(leEsc,"ESCALATE",IF(AY83&gt;=phaseMax,"ESCALATE",IF(AND(AV83&gt;=AW83,I83="READABLE"),"H","D"))),
C83="H",
IF(AY83&gt;=phaseMax,"ESCALATE",IF(OR(I83="SAME",I83="CANT_TELL",AD83&lt;axisTol),"I","H")),
C83="I",
IF(AY83&gt;=phaseMax,"ESCALATE",IF(AX83&gt;=powerSameN,"J","I")),
C83="J",
IF(AY83&gt;=phaseMax,"ESCALATE",IF(OR(AX83&gt;=duoEqualN,BB83&gt;=duoMax),"K","J")),
C83="K",
IF(AY83&gt;=phaseMax,"ESCALATE",IF(AX83&gt;=binoSameN,IF(XLOOKUP($B83,Derived_Variables!$A:$A,Derived_Variables!$AJ:$AJ,FALSE)=TRUE,"P","END"),"K")),
C83="P",
IF(AY83&gt;=phaseMax,"ESCALATE",IF(OR(I83="READABLE",I83="SAME"),"Q","P")),
C83="Q",
IF(AY83&gt;=phaseMax,"ESCALATE",IF(OR(I83="READABLE",I83="SAME"),"R","Q")),
C83="R",
IF(AY83&gt;=phaseMax,"ESCALATE",IF(OR(I83=nearTarget,I83="SAME"),"END","R")),
TRUE,"END"
)))</f>
        <v/>
      </c>
      <c r="BD83" s="28" t="b">
        <f t="shared" si="19"/>
        <v>0</v>
      </c>
    </row>
    <row r="84" ht="15.75" customHeight="1">
      <c r="A84" s="28">
        <f t="shared" si="3"/>
        <v>83</v>
      </c>
      <c r="B84" s="28">
        <f t="shared" si="4"/>
        <v>6</v>
      </c>
      <c r="C84" s="28" t="str">
        <f t="shared" si="5"/>
        <v/>
      </c>
      <c r="D84" s="28" t="str">
        <f t="array" ref="D84">IF($I83="","",XLOOKUP(C84,FSM_State_Map!A:A,FSM_State_Map!B:B,""))</f>
        <v/>
      </c>
      <c r="E84" s="28" t="str">
        <f t="array" ref="E84">IF($I83="","",XLOOKUP(C84,FSM_State_Map!A:A,FSM_State_Map!C:C,""))</f>
        <v/>
      </c>
      <c r="F84" s="28" t="str">
        <f t="array" ref="F84">IF($I83="","",XLOOKUP(E84,Phase_UI_Map!A:A,Phase_UI_Map!B:B,""))</f>
        <v/>
      </c>
      <c r="G84" s="28" t="str">
        <f t="array" ref="G84">IF($I83="","",XLOOKUP(E84,Phase_UI_Map!A:A,Phase_UI_Map!C:C,""))</f>
        <v/>
      </c>
      <c r="H84" s="28" t="str">
        <f t="array" ref="H84">IF($I83="","",XLOOKUP(E84,Phase_UI_Map!A:A,Phase_UI_Map!D:D,""))</f>
        <v/>
      </c>
      <c r="I84" s="29"/>
      <c r="J84" s="28" t="str">
        <f>IFERROR(__xludf.DUMMYFUNCTION("IF($I83="""","""",IFERROR(INDEX(FILTER(Response_Lists!$B:$B,Response_Lists!$A:$A=$H84),1),""""))"),"")</f>
        <v/>
      </c>
      <c r="K84" s="28" t="str">
        <f>IFERROR(__xludf.DUMMYFUNCTION("IF($I83="""","""",IFERROR(INDEX(FILTER(Response_Lists!$B:$B,Response_Lists!$A:$A=$H84),2),""""))"),"")</f>
        <v/>
      </c>
      <c r="L84" s="28" t="str">
        <f>IFERROR(__xludf.DUMMYFUNCTION("IF($I83="""","""",IFERROR(INDEX(FILTER(Response_Lists!$B:$B,Response_Lists!$A:$A=$H84),3),""""))"),"")</f>
        <v/>
      </c>
      <c r="M84" s="28" t="str">
        <f>IFERROR(__xludf.DUMMYFUNCTION("IF($I83="""","""",IFERROR(INDEX(FILTER(Response_Lists!$B:$B,Response_Lists!$A:$A=$H84),4),""""))"),"")</f>
        <v/>
      </c>
      <c r="N84" s="28" t="str">
        <f>IFERROR(__xludf.DUMMYFUNCTION("IF($I83="""","""",IFERROR(INDEX(FILTER(Response_Lists!$B:$B,Response_Lists!$A:$A=$H84),5),""""))"),"")</f>
        <v/>
      </c>
      <c r="O84" s="28" t="str">
        <f>IFERROR(__xludf.DUMMYFUNCTION("IF($I83="""","""",IFERROR(INDEX(FILTER(Response_Lists!$B:$B,Response_Lists!$A:$A=$H84),6),""""))"),"")</f>
        <v/>
      </c>
      <c r="P84" s="28" t="str">
        <f t="shared" si="6"/>
        <v/>
      </c>
      <c r="Q84" s="28" t="str">
        <f t="array" ref="Q84">IF($I83="","",XLOOKUP(C84,FSM_State_Map!A:A,FSM_State_Map!D:D,""))</f>
        <v/>
      </c>
      <c r="R84" s="28" t="str">
        <f t="shared" si="7"/>
        <v/>
      </c>
      <c r="S84" s="28" t="str">
        <f t="array" ref="S84">IF($I83="","",
IF(
  AND(C84="B",C83&lt;&gt;"B"),
  XLOOKUP($B84,Derived_Variables!$A:$A,Derived_Variables!$K:$K,0)
  + XLOOKUP($B84,Derived_Variables!$A:$A,Derived_Variables!$AE:$AE,0),
  S83+AM83
))</f>
        <v/>
      </c>
      <c r="T84" s="28" t="str">
        <f t="shared" ref="T84:U84" si="178">IF($I83="","",T83+AN83)</f>
        <v/>
      </c>
      <c r="U84" s="28" t="str">
        <f t="shared" si="178"/>
        <v/>
      </c>
      <c r="V84" s="28" t="str">
        <f t="array" ref="V84">IF($I83="","",
IF(
  AND(C84="D",C83&lt;&gt;"D"),
  XLOOKUP($B84,Derived_Variables!$A:$A,Derived_Variables!$N:$N,0)
  + XLOOKUP($B84,Derived_Variables!$A:$A,Derived_Variables!$AE:$AE,0),
  V83+AP83
))</f>
        <v/>
      </c>
      <c r="W84" s="28" t="str">
        <f t="shared" ref="W84:X84" si="179">IF($I83="","",W83+AQ83)</f>
        <v/>
      </c>
      <c r="X84" s="28" t="str">
        <f t="shared" si="179"/>
        <v/>
      </c>
      <c r="Y84" s="28" t="str">
        <f t="array" ref="Y84">IF($I83="","",IF(AND(C84="P",C83&lt;&gt;"P"),IFERROR(XLOOKUP($B84,Lenso_Input!$A:$A,Lenso_Input!$E:$E,0),0),Y83+AS83))</f>
        <v/>
      </c>
      <c r="Z84" s="28" t="str">
        <f t="array" ref="Z84">IF($I83="","",IF(AND(C84="Q",C83&lt;&gt;"Q"),IFERROR(XLOOKUP($B84,Lenso_Input!$A:$A,Lenso_Input!$I:$I,0),0),Z83+AT83))</f>
        <v/>
      </c>
      <c r="AA84" s="28" t="str">
        <f t="array" ref="AA84">IF($I83="","",IF(XLOOKUP($B84,Derived_Variables!$A:$A,Derived_Variables!$R:$R,"6/6_target")="6/6_target","20_20_20","40_30_25"))</f>
        <v/>
      </c>
      <c r="AB84" s="28" t="str">
        <f t="array" ref="AB84">IF($I83="","",XLOOKUP(LOWER(XLOOKUP($B84,Derived_Variables!$A:$A,Derived_Variables!$T:$T,"Standard"))&amp;"_sph_step",Calibration!$B:$B,Calibration!$C:$C,0.25))</f>
        <v/>
      </c>
      <c r="AC84" s="28" t="str">
        <f t="array" ref="AC84">IF($I83="","",XLOOKUP(LOWER(XLOOKUP($B84,Derived_Variables!$A:$A,Derived_Variables!$T:$T,"Standard"))&amp;"_cyl_step",Calibration!$B:$B,Calibration!$C:$C,0.25))</f>
        <v/>
      </c>
      <c r="AD84" s="28" t="str">
        <f t="array" ref="AD84">IF($I83="","",IF(OR(C84="E",C84="H"),LET(startStep,XLOOKUP("axis_start_step",Calibration!$B:$B,Calibration!$C:$C,5),step1,XLOOKUP("axis_reversal_step_1",Calibration!$B:$B,Calibration!$C:$C,3),step2,XLOOKUP("axis_reversal_step_2",Calibration!$B:$B,Calibration!$C:$C,1),IF(OR(C83&lt;&gt;C84,AZ84="",AZ84="SAME",AZ84="CANT_TELL",I84="",I84="SAME",I84="CANT_TELL"),startStep,IF(OR(AND(AZ84="BETTER_1",I84="BETTER_2"),AND(AZ84="BETTER_2",I84="BETTER_1")),IF(AD83&gt;step1,step1,step2),AD83))),0))</f>
        <v/>
      </c>
      <c r="AE84" s="28" t="str">
        <f t="array" ref="AE84">IF($I83="","",XLOOKUP($B84,Derived_Variables!$A:$A,Derived_Variables!$AD:$AD,"No_Fog"))</f>
        <v/>
      </c>
      <c r="AF84" s="28" t="str">
        <f t="array" ref="AF84">IF($I83="","",XLOOKUP($B84,Derived_Variables!$A:$A,Derived_Variables!$AE:$AE,0))</f>
        <v/>
      </c>
      <c r="AG84" s="28" t="str">
        <f t="array" ref="AG84">IF($I83="","",XLOOKUP($B84,Derived_Variables!$A:$A,Derived_Variables!$AF:$AF,""))</f>
        <v/>
      </c>
      <c r="AH84" s="28" t="str">
        <f t="array" ref="AH84">IF($I83="","",XLOOKUP($B84,Derived_Variables!$A:$A,Derived_Variables!$AG:$AG,""))</f>
        <v/>
      </c>
      <c r="AI84" s="28" t="str">
        <f t="array" ref="AI84">IF($I83="","",XLOOKUP($B84,Derived_Variables!$A:$A,Derived_Variables!$AC:$AC,"Medium"))</f>
        <v/>
      </c>
      <c r="AJ84" s="28" t="str">
        <f t="array" ref="AJ84">IF($I83="","",XLOOKUP($B84,Derived_Variables!$A:$A,Derived_Variables!$Y:$Y,FALSE))</f>
        <v/>
      </c>
      <c r="AK84" s="28" t="str">
        <f t="array" ref="AK84">IF($I83="","",XLOOKUP($B84,Derived_Variables!$A:$A,Derived_Variables!$AA:$AA,"Normal"))</f>
        <v/>
      </c>
      <c r="AL84" s="28" t="str">
        <f t="array" ref="AL84">IF($I83="","",XLOOKUP($B84,Derived_Variables!$A:$A,Derived_Variables!$AB:$AB,"Normal"))</f>
        <v/>
      </c>
      <c r="AM84" s="28" t="str">
        <f t="array" ref="AM84">IF($I84="","",IFS(C84="B",IF(OR(I84="NOT_READABLE",I84="BLURRY"),-AB84,0),C84="G",IFS(I84="RED_CLEARER",XLOOKUP("duochrome_red_step",Calibration!$B:$B,Calibration!$C:$C,-0.25),I84="GREEN_CLEARER",XLOOKUP("duochrome_green_step",Calibration!$B:$B,Calibration!$C:$C,0.25),I84="EQUAL",IF(XLOOKUP($B84,Derived_Variables!$A:$A,Derived_Variables!$S:$S,"Neutral")="Undercorrect",XLOOKUP("undercorrect_step",Calibration!$B:$B,Calibration!$C:$C,0.25),IF(XLOOKUP($B84,Derived_Variables!$A:$A,Derived_Variables!$S:$S,"Neutral")="Overcorrect",-XLOOKUP("overcorrect_step",Calibration!$B:$B,Calibration!$C:$C,0.25),0)),TRUE,0),C84="K",IF(I84="TOP_CLEARER",XLOOKUP("bino_balance_step",Calibration!$B:$B,Calibration!$C:$C,0.25),0),TRUE,0))</f>
        <v/>
      </c>
      <c r="AN84" s="28" t="str">
        <f t="shared" si="10"/>
        <v/>
      </c>
      <c r="AO84" s="28" t="str">
        <f t="shared" si="11"/>
        <v/>
      </c>
      <c r="AP84" s="28" t="str">
        <f t="array" ref="AP84">IF($I84="","",IFS(C84="D",IF(OR(I84="NOT_READABLE",I84="BLURRY"),-AB84,0),C84="J",IFS(I84="RED_CLEARER",XLOOKUP("duochrome_red_step",Calibration!$B:$B,Calibration!$C:$C,-0.25),I84="GREEN_CLEARER",XLOOKUP("duochrome_green_step",Calibration!$B:$B,Calibration!$C:$C,0.25),I84="EQUAL",IF(XLOOKUP($B84,Derived_Variables!$A:$A,Derived_Variables!$S:$S,"Neutral")="Undercorrect",XLOOKUP("undercorrect_step",Calibration!$B:$B,Calibration!$C:$C,0.25),IF(XLOOKUP($B84,Derived_Variables!$A:$A,Derived_Variables!$S:$S,"Neutral")="Overcorrect",-XLOOKUP("overcorrect_step",Calibration!$B:$B,Calibration!$C:$C,0.25),0)),TRUE,0),C84="K",IF(I84="BOTTOM_CLEARER",XLOOKUP("bino_balance_step",Calibration!$B:$B,Calibration!$C:$C,0.25),0),TRUE,0))</f>
        <v/>
      </c>
      <c r="AQ84" s="28" t="str">
        <f t="shared" si="12"/>
        <v/>
      </c>
      <c r="AR84" s="28" t="str">
        <f t="shared" si="13"/>
        <v/>
      </c>
      <c r="AS84" s="28" t="str">
        <f t="array" ref="AS84">IF($I84="","",IF(C84="P",IF(OR(I84="NOT_READABLE",I84="BLURRY"),XLOOKUP("near_add_step",Calibration!$B:$B,Calibration!$C:$C,0.25),0),IF(C84="R",IF(I84="NOT_CLEAR",XLOOKUP("near_add_step",Calibration!$B:$B,Calibration!$C:$C,0.25),0),0)))</f>
        <v/>
      </c>
      <c r="AT84" s="28" t="str">
        <f t="array" ref="AT84">IF($I84="","",IF(C84="Q",IF(OR(I84="NOT_READABLE",I84="BLURRY"),XLOOKUP("near_add_step",Calibration!$B:$B,Calibration!$C:$C,0.25),0),IF(C84="R",IF(I84="NOT_CLEAR",XLOOKUP("near_add_step",Calibration!$B:$B,Calibration!$C:$C,0.25),0),0)))</f>
        <v/>
      </c>
      <c r="AU84" s="28" t="str">
        <f t="array" ref="AU84">IF($I84="","",IF(G84="SNELLEN_FEET",IF(I84="READABLE",IFERROR(XLOOKUP(XLOOKUP(R84,Chart_Scale_Distance!B:B,Chart_Scale_Distance!A:A)+1,Chart_Scale_Distance!A:A,Chart_Scale_Distance!B:B),R84),R84),R84))</f>
        <v/>
      </c>
      <c r="AV84" s="28" t="str">
        <f t="array" ref="AV84">IF($I83="","",IFERROR(XLOOKUP(R84,Chart_Scale_Distance!$B:$B,Chart_Scale_Distance!$A:$A,""),""))</f>
        <v/>
      </c>
      <c r="AW84" s="28" t="str">
        <f t="array" ref="AW84">IF($I83="","",IFERROR(XLOOKUP(AA84,Chart_Scale_Distance!$B:$B,Chart_Scale_Distance!$A:$A,""),""))</f>
        <v/>
      </c>
      <c r="AX84" s="28" t="str">
        <f t="shared" si="14"/>
        <v/>
      </c>
      <c r="AY84" s="28" t="str">
        <f t="shared" si="15"/>
        <v/>
      </c>
      <c r="AZ84" s="28" t="str">
        <f t="shared" si="16"/>
        <v/>
      </c>
      <c r="BA84" s="28" t="str">
        <f t="shared" si="17"/>
        <v/>
      </c>
      <c r="BB84" s="28" t="str">
        <f t="shared" si="18"/>
        <v/>
      </c>
      <c r="BC84" s="28" t="str">
        <f t="array" ref="BC84">IF($I84="","",LET(
conf,AI84,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duoMax,XLOOKUP($B84,Derived_Variables!$A:$A,Derived_Variables!$AI:$AI,4),
axisTol,XLOOKUP($B84,Derived_Variables!$A:$A,Derived_Variables!$W:$W,1),
maxStart,XLOOKUP($B84,Derived_Variables!$A:$A,Derived_Variables!$U:$U,1.25),
maxAR,XLOOKUP($B84,Derived_Variables!$A:$A,Derived_Variables!$V:$V,3),
anom,XLOOKUP($B84,Derived_Variables!$A:$A,Derived_Variables!$Z:$Z,FALSE),
reStart,XLOOKUP($B84,Derived_Variables!$A:$A,Derived_Variables!$K:$K,0),
leStart,XLOOKUP($B84,Derived_Variables!$A:$A,Derived_Variables!$N:$N,0),
reAR,XLOOKUP($B84,AR_Input!$A:$A,AR_Input!$B:$B,reStart),
leAR,XLOOKUP($B84,AR_Input!$A:$A,AR_Input!$E:$E,leStart),
reEsc,AND(anom,OR(ABS((S84+AM84)-reStart)&gt;maxStart,ABS((S84+AM84)-reAR)&gt;maxAR)),
leEsc,AND(anom,OR(ABS((V84+AP84)-leStart)&gt;maxStart,ABS((V84+AP84)-leAR)&gt;maxAR)),
phaseMax,IFS(
 AK84="Fast",
   IFS(
     OR(C84="B",C84="D"),XLOOKUP("timeout_coarse_fast",Calibration!$B:$B,Calibration!$C:$C,24),
     OR(C84="E",C84="F",C84="H",C84="I"),XLOOKUP("timeout_jcc_fast",Calibration!$B:$B,Calibration!$C:$C,10),
     OR(C84="G",C84="J"),XLOOKUP("timeout_duochrome_fast",Calibration!$B:$B,Calibration!$C:$C,8),
     C84="K",XLOOKUP("timeout_bino_fast",Calibration!$B:$B,Calibration!$C:$C,10),
     OR(C84="P",C84="Q",C84="R"),XLOOKUP("timeout_near_fast",Calibration!$B:$B,Calibration!$C:$C,16),
     TRUE,XLOOKUP("timeout_coarse_fast",Calibration!$B:$B,Calibration!$C:$C,24)
   ),
 AK84="Normal",
   IFS(
     OR(C84="B",C84="D"),XLOOKUP("timeout_coarse_normal",Calibration!$B:$B,Calibration!$C:$C,36),
     OR(C84="E",C84="F",C84="H",C84="I"),XLOOKUP("timeout_jcc_normal",Calibration!$B:$B,Calibration!$C:$C,14),
     OR(C84="G",C84="J"),XLOOKUP("timeout_duochrome_normal",Calibration!$B:$B,Calibration!$C:$C,10),
     C84="K",XLOOKUP("timeout_bino_normal",Calibration!$B:$B,Calibration!$C:$C,14),
     OR(C84="P",C84="Q",C84="R"),XLOOKUP("timeout_near_normal",Calibration!$B:$B,Calibration!$C:$C,22),
     TRUE,XLOOKUP("timeout_coarse_normal",Calibration!$B:$B,Calibration!$C:$C,36)
   ),
 TRUE,
   IFS(
     OR(C84="B",C84="D"),XLOOKUP("timeout_coarse_slow",Calibration!$B:$B,Calibration!$C:$C,48),
     OR(C84="E",C84="F",C84="H",C84="I"),XLOOKUP("timeout_jcc_slow",Calibration!$B:$B,Calibration!$C:$C,18),
     OR(C84="G",C84="J"),XLOOKUP("timeout_duochrome_slow",Calibration!$B:$B,Calibration!$C:$C,12),
     C84="K",XLOOKUP("timeout_bino_slow",Calibration!$B:$B,Calibration!$C:$C,18),
     OR(C84="P",C84="Q",C84="R"),XLOOKUP("timeout_near_slow",Calibration!$B:$B,Calibration!$C:$C,28),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AJ84=TRUE,"ESCALATE",
C84="A",
IF(OR(I84="NOT_READABLE",I84="BLURRY",AND(R84="20_20_20",I84="READABLE")),"B","A"),
C84="B",
IF(reEsc,"ESCALATE",IF(AY84&gt;=phaseMax,"ESCALATE",IF(AND(AV84&gt;=AW84,I84="READABLE"),"E","B"))),
C84="E",
IF(AY84&gt;=phaseMax,"ESCALATE",IF(OR(I84="SAME",I84="CANT_TELL",AD84&lt;axisTol),"F","E")),
C84="F",
IF(AY84&gt;=phaseMax,"ESCALATE",IF(AX84&gt;=powerSameN,"G","F")),
C84="G",
IF(AY84&gt;=phaseMax,"ESCALATE",IF(OR(AX84&gt;=duoEqualN,BB84&gt;=duoMax),"D","G")),
C84="D",
IF(leEsc,"ESCALATE",IF(AY84&gt;=phaseMax,"ESCALATE",IF(AND(AV84&gt;=AW84,I84="READABLE"),"H","D"))),
C84="H",
IF(AY84&gt;=phaseMax,"ESCALATE",IF(OR(I84="SAME",I84="CANT_TELL",AD84&lt;axisTol),"I","H")),
C84="I",
IF(AY84&gt;=phaseMax,"ESCALATE",IF(AX84&gt;=powerSameN,"J","I")),
C84="J",
IF(AY84&gt;=phaseMax,"ESCALATE",IF(OR(AX84&gt;=duoEqualN,BB84&gt;=duoMax),"K","J")),
C84="K",
IF(AY84&gt;=phaseMax,"ESCALATE",IF(AX84&gt;=binoSameN,IF(XLOOKUP($B84,Derived_Variables!$A:$A,Derived_Variables!$AJ:$AJ,FALSE)=TRUE,"P","END"),"K")),
C84="P",
IF(AY84&gt;=phaseMax,"ESCALATE",IF(OR(I84="READABLE",I84="SAME"),"Q","P")),
C84="Q",
IF(AY84&gt;=phaseMax,"ESCALATE",IF(OR(I84="READABLE",I84="SAME"),"R","Q")),
C84="R",
IF(AY84&gt;=phaseMax,"ESCALATE",IF(OR(I84=nearTarget,I84="SAME"),"END","R")),
TRUE,"END"
)))</f>
        <v/>
      </c>
      <c r="BD84" s="28" t="b">
        <f t="shared" si="19"/>
        <v>0</v>
      </c>
    </row>
    <row r="85" ht="15.75" customHeight="1">
      <c r="A85" s="28">
        <f t="shared" si="3"/>
        <v>84</v>
      </c>
      <c r="B85" s="28">
        <f t="shared" si="4"/>
        <v>6</v>
      </c>
      <c r="C85" s="28" t="str">
        <f t="shared" si="5"/>
        <v/>
      </c>
      <c r="D85" s="28" t="str">
        <f t="array" ref="D85">IF($I84="","",XLOOKUP(C85,FSM_State_Map!A:A,FSM_State_Map!B:B,""))</f>
        <v/>
      </c>
      <c r="E85" s="28" t="str">
        <f t="array" ref="E85">IF($I84="","",XLOOKUP(C85,FSM_State_Map!A:A,FSM_State_Map!C:C,""))</f>
        <v/>
      </c>
      <c r="F85" s="28" t="str">
        <f t="array" ref="F85">IF($I84="","",XLOOKUP(E85,Phase_UI_Map!A:A,Phase_UI_Map!B:B,""))</f>
        <v/>
      </c>
      <c r="G85" s="28" t="str">
        <f t="array" ref="G85">IF($I84="","",XLOOKUP(E85,Phase_UI_Map!A:A,Phase_UI_Map!C:C,""))</f>
        <v/>
      </c>
      <c r="H85" s="28" t="str">
        <f t="array" ref="H85">IF($I84="","",XLOOKUP(E85,Phase_UI_Map!A:A,Phase_UI_Map!D:D,""))</f>
        <v/>
      </c>
      <c r="I85" s="29"/>
      <c r="J85" s="28" t="str">
        <f>IFERROR(__xludf.DUMMYFUNCTION("IF($I84="""","""",IFERROR(INDEX(FILTER(Response_Lists!$B:$B,Response_Lists!$A:$A=$H85),1),""""))"),"")</f>
        <v/>
      </c>
      <c r="K85" s="28" t="str">
        <f>IFERROR(__xludf.DUMMYFUNCTION("IF($I84="""","""",IFERROR(INDEX(FILTER(Response_Lists!$B:$B,Response_Lists!$A:$A=$H85),2),""""))"),"")</f>
        <v/>
      </c>
      <c r="L85" s="28" t="str">
        <f>IFERROR(__xludf.DUMMYFUNCTION("IF($I84="""","""",IFERROR(INDEX(FILTER(Response_Lists!$B:$B,Response_Lists!$A:$A=$H85),3),""""))"),"")</f>
        <v/>
      </c>
      <c r="M85" s="28" t="str">
        <f>IFERROR(__xludf.DUMMYFUNCTION("IF($I84="""","""",IFERROR(INDEX(FILTER(Response_Lists!$B:$B,Response_Lists!$A:$A=$H85),4),""""))"),"")</f>
        <v/>
      </c>
      <c r="N85" s="28" t="str">
        <f>IFERROR(__xludf.DUMMYFUNCTION("IF($I84="""","""",IFERROR(INDEX(FILTER(Response_Lists!$B:$B,Response_Lists!$A:$A=$H85),5),""""))"),"")</f>
        <v/>
      </c>
      <c r="O85" s="28" t="str">
        <f>IFERROR(__xludf.DUMMYFUNCTION("IF($I84="""","""",IFERROR(INDEX(FILTER(Response_Lists!$B:$B,Response_Lists!$A:$A=$H85),6),""""))"),"")</f>
        <v/>
      </c>
      <c r="P85" s="28" t="str">
        <f t="shared" si="6"/>
        <v/>
      </c>
      <c r="Q85" s="28" t="str">
        <f t="array" ref="Q85">IF($I84="","",XLOOKUP(C85,FSM_State_Map!A:A,FSM_State_Map!D:D,""))</f>
        <v/>
      </c>
      <c r="R85" s="28" t="str">
        <f t="shared" si="7"/>
        <v/>
      </c>
      <c r="S85" s="28" t="str">
        <f t="array" ref="S85">IF($I84="","",
IF(
  AND(C85="B",C84&lt;&gt;"B"),
  XLOOKUP($B85,Derived_Variables!$A:$A,Derived_Variables!$K:$K,0)
  + XLOOKUP($B85,Derived_Variables!$A:$A,Derived_Variables!$AE:$AE,0),
  S84+AM84
))</f>
        <v/>
      </c>
      <c r="T85" s="28" t="str">
        <f t="shared" ref="T85:U85" si="180">IF($I84="","",T84+AN84)</f>
        <v/>
      </c>
      <c r="U85" s="28" t="str">
        <f t="shared" si="180"/>
        <v/>
      </c>
      <c r="V85" s="28" t="str">
        <f t="array" ref="V85">IF($I84="","",
IF(
  AND(C85="D",C84&lt;&gt;"D"),
  XLOOKUP($B85,Derived_Variables!$A:$A,Derived_Variables!$N:$N,0)
  + XLOOKUP($B85,Derived_Variables!$A:$A,Derived_Variables!$AE:$AE,0),
  V84+AP84
))</f>
        <v/>
      </c>
      <c r="W85" s="28" t="str">
        <f t="shared" ref="W85:X85" si="181">IF($I84="","",W84+AQ84)</f>
        <v/>
      </c>
      <c r="X85" s="28" t="str">
        <f t="shared" si="181"/>
        <v/>
      </c>
      <c r="Y85" s="28" t="str">
        <f t="array" ref="Y85">IF($I84="","",IF(AND(C85="P",C84&lt;&gt;"P"),IFERROR(XLOOKUP($B85,Lenso_Input!$A:$A,Lenso_Input!$E:$E,0),0),Y84+AS84))</f>
        <v/>
      </c>
      <c r="Z85" s="28" t="str">
        <f t="array" ref="Z85">IF($I84="","",IF(AND(C85="Q",C84&lt;&gt;"Q"),IFERROR(XLOOKUP($B85,Lenso_Input!$A:$A,Lenso_Input!$I:$I,0),0),Z84+AT84))</f>
        <v/>
      </c>
      <c r="AA85" s="28" t="str">
        <f t="array" ref="AA85">IF($I84="","",IF(XLOOKUP($B85,Derived_Variables!$A:$A,Derived_Variables!$R:$R,"6/6_target")="6/6_target","20_20_20","40_30_25"))</f>
        <v/>
      </c>
      <c r="AB85" s="28" t="str">
        <f t="array" ref="AB85">IF($I84="","",XLOOKUP(LOWER(XLOOKUP($B85,Derived_Variables!$A:$A,Derived_Variables!$T:$T,"Standard"))&amp;"_sph_step",Calibration!$B:$B,Calibration!$C:$C,0.25))</f>
        <v/>
      </c>
      <c r="AC85" s="28" t="str">
        <f t="array" ref="AC85">IF($I84="","",XLOOKUP(LOWER(XLOOKUP($B85,Derived_Variables!$A:$A,Derived_Variables!$T:$T,"Standard"))&amp;"_cyl_step",Calibration!$B:$B,Calibration!$C:$C,0.25))</f>
        <v/>
      </c>
      <c r="AD85" s="28" t="str">
        <f t="array" ref="AD85">IF($I84="","",IF(OR(C85="E",C85="H"),LET(startStep,XLOOKUP("axis_start_step",Calibration!$B:$B,Calibration!$C:$C,5),step1,XLOOKUP("axis_reversal_step_1",Calibration!$B:$B,Calibration!$C:$C,3),step2,XLOOKUP("axis_reversal_step_2",Calibration!$B:$B,Calibration!$C:$C,1),IF(OR(C84&lt;&gt;C85,AZ85="",AZ85="SAME",AZ85="CANT_TELL",I85="",I85="SAME",I85="CANT_TELL"),startStep,IF(OR(AND(AZ85="BETTER_1",I85="BETTER_2"),AND(AZ85="BETTER_2",I85="BETTER_1")),IF(AD84&gt;step1,step1,step2),AD84))),0))</f>
        <v/>
      </c>
      <c r="AE85" s="28" t="str">
        <f t="array" ref="AE85">IF($I84="","",XLOOKUP($B85,Derived_Variables!$A:$A,Derived_Variables!$AD:$AD,"No_Fog"))</f>
        <v/>
      </c>
      <c r="AF85" s="28" t="str">
        <f t="array" ref="AF85">IF($I84="","",XLOOKUP($B85,Derived_Variables!$A:$A,Derived_Variables!$AE:$AE,0))</f>
        <v/>
      </c>
      <c r="AG85" s="28" t="str">
        <f t="array" ref="AG85">IF($I84="","",XLOOKUP($B85,Derived_Variables!$A:$A,Derived_Variables!$AF:$AF,""))</f>
        <v/>
      </c>
      <c r="AH85" s="28" t="str">
        <f t="array" ref="AH85">IF($I84="","",XLOOKUP($B85,Derived_Variables!$A:$A,Derived_Variables!$AG:$AG,""))</f>
        <v/>
      </c>
      <c r="AI85" s="28" t="str">
        <f t="array" ref="AI85">IF($I84="","",XLOOKUP($B85,Derived_Variables!$A:$A,Derived_Variables!$AC:$AC,"Medium"))</f>
        <v/>
      </c>
      <c r="AJ85" s="28" t="str">
        <f t="array" ref="AJ85">IF($I84="","",XLOOKUP($B85,Derived_Variables!$A:$A,Derived_Variables!$Y:$Y,FALSE))</f>
        <v/>
      </c>
      <c r="AK85" s="28" t="str">
        <f t="array" ref="AK85">IF($I84="","",XLOOKUP($B85,Derived_Variables!$A:$A,Derived_Variables!$AA:$AA,"Normal"))</f>
        <v/>
      </c>
      <c r="AL85" s="28" t="str">
        <f t="array" ref="AL85">IF($I84="","",XLOOKUP($B85,Derived_Variables!$A:$A,Derived_Variables!$AB:$AB,"Normal"))</f>
        <v/>
      </c>
      <c r="AM85" s="28" t="str">
        <f t="array" ref="AM85">IF($I85="","",IFS(C85="B",IF(OR(I85="NOT_READABLE",I85="BLURRY"),-AB85,0),C85="G",IFS(I85="RED_CLEARER",XLOOKUP("duochrome_red_step",Calibration!$B:$B,Calibration!$C:$C,-0.25),I85="GREEN_CLEARER",XLOOKUP("duochrome_green_step",Calibration!$B:$B,Calibration!$C:$C,0.25),I85="EQUAL",IF(XLOOKUP($B85,Derived_Variables!$A:$A,Derived_Variables!$S:$S,"Neutral")="Undercorrect",XLOOKUP("undercorrect_step",Calibration!$B:$B,Calibration!$C:$C,0.25),IF(XLOOKUP($B85,Derived_Variables!$A:$A,Derived_Variables!$S:$S,"Neutral")="Overcorrect",-XLOOKUP("overcorrect_step",Calibration!$B:$B,Calibration!$C:$C,0.25),0)),TRUE,0),C85="K",IF(I85="TOP_CLEARER",XLOOKUP("bino_balance_step",Calibration!$B:$B,Calibration!$C:$C,0.25),0),TRUE,0))</f>
        <v/>
      </c>
      <c r="AN85" s="28" t="str">
        <f t="shared" si="10"/>
        <v/>
      </c>
      <c r="AO85" s="28" t="str">
        <f t="shared" si="11"/>
        <v/>
      </c>
      <c r="AP85" s="28" t="str">
        <f t="array" ref="AP85">IF($I85="","",IFS(C85="D",IF(OR(I85="NOT_READABLE",I85="BLURRY"),-AB85,0),C85="J",IFS(I85="RED_CLEARER",XLOOKUP("duochrome_red_step",Calibration!$B:$B,Calibration!$C:$C,-0.25),I85="GREEN_CLEARER",XLOOKUP("duochrome_green_step",Calibration!$B:$B,Calibration!$C:$C,0.25),I85="EQUAL",IF(XLOOKUP($B85,Derived_Variables!$A:$A,Derived_Variables!$S:$S,"Neutral")="Undercorrect",XLOOKUP("undercorrect_step",Calibration!$B:$B,Calibration!$C:$C,0.25),IF(XLOOKUP($B85,Derived_Variables!$A:$A,Derived_Variables!$S:$S,"Neutral")="Overcorrect",-XLOOKUP("overcorrect_step",Calibration!$B:$B,Calibration!$C:$C,0.25),0)),TRUE,0),C85="K",IF(I85="BOTTOM_CLEARER",XLOOKUP("bino_balance_step",Calibration!$B:$B,Calibration!$C:$C,0.25),0),TRUE,0))</f>
        <v/>
      </c>
      <c r="AQ85" s="28" t="str">
        <f t="shared" si="12"/>
        <v/>
      </c>
      <c r="AR85" s="28" t="str">
        <f t="shared" si="13"/>
        <v/>
      </c>
      <c r="AS85" s="28" t="str">
        <f t="array" ref="AS85">IF($I85="","",IF(C85="P",IF(OR(I85="NOT_READABLE",I85="BLURRY"),XLOOKUP("near_add_step",Calibration!$B:$B,Calibration!$C:$C,0.25),0),IF(C85="R",IF(I85="NOT_CLEAR",XLOOKUP("near_add_step",Calibration!$B:$B,Calibration!$C:$C,0.25),0),0)))</f>
        <v/>
      </c>
      <c r="AT85" s="28" t="str">
        <f t="array" ref="AT85">IF($I85="","",IF(C85="Q",IF(OR(I85="NOT_READABLE",I85="BLURRY"),XLOOKUP("near_add_step",Calibration!$B:$B,Calibration!$C:$C,0.25),0),IF(C85="R",IF(I85="NOT_CLEAR",XLOOKUP("near_add_step",Calibration!$B:$B,Calibration!$C:$C,0.25),0),0)))</f>
        <v/>
      </c>
      <c r="AU85" s="28" t="str">
        <f t="array" ref="AU85">IF($I85="","",IF(G85="SNELLEN_FEET",IF(I85="READABLE",IFERROR(XLOOKUP(XLOOKUP(R85,Chart_Scale_Distance!B:B,Chart_Scale_Distance!A:A)+1,Chart_Scale_Distance!A:A,Chart_Scale_Distance!B:B),R85),R85),R85))</f>
        <v/>
      </c>
      <c r="AV85" s="28" t="str">
        <f t="array" ref="AV85">IF($I84="","",IFERROR(XLOOKUP(R85,Chart_Scale_Distance!$B:$B,Chart_Scale_Distance!$A:$A,""),""))</f>
        <v/>
      </c>
      <c r="AW85" s="28" t="str">
        <f t="array" ref="AW85">IF($I84="","",IFERROR(XLOOKUP(AA85,Chart_Scale_Distance!$B:$B,Chart_Scale_Distance!$A:$A,""),""))</f>
        <v/>
      </c>
      <c r="AX85" s="28" t="str">
        <f t="shared" si="14"/>
        <v/>
      </c>
      <c r="AY85" s="28" t="str">
        <f t="shared" si="15"/>
        <v/>
      </c>
      <c r="AZ85" s="28" t="str">
        <f t="shared" si="16"/>
        <v/>
      </c>
      <c r="BA85" s="28" t="str">
        <f t="shared" si="17"/>
        <v/>
      </c>
      <c r="BB85" s="28" t="str">
        <f t="shared" si="18"/>
        <v/>
      </c>
      <c r="BC85" s="28" t="str">
        <f t="array" ref="BC85">IF($I85="","",LET(
conf,AI85,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duoMax,XLOOKUP($B85,Derived_Variables!$A:$A,Derived_Variables!$AI:$AI,4),
axisTol,XLOOKUP($B85,Derived_Variables!$A:$A,Derived_Variables!$W:$W,1),
maxStart,XLOOKUP($B85,Derived_Variables!$A:$A,Derived_Variables!$U:$U,1.25),
maxAR,XLOOKUP($B85,Derived_Variables!$A:$A,Derived_Variables!$V:$V,3),
anom,XLOOKUP($B85,Derived_Variables!$A:$A,Derived_Variables!$Z:$Z,FALSE),
reStart,XLOOKUP($B85,Derived_Variables!$A:$A,Derived_Variables!$K:$K,0),
leStart,XLOOKUP($B85,Derived_Variables!$A:$A,Derived_Variables!$N:$N,0),
reAR,XLOOKUP($B85,AR_Input!$A:$A,AR_Input!$B:$B,reStart),
leAR,XLOOKUP($B85,AR_Input!$A:$A,AR_Input!$E:$E,leStart),
reEsc,AND(anom,OR(ABS((S85+AM85)-reStart)&gt;maxStart,ABS((S85+AM85)-reAR)&gt;maxAR)),
leEsc,AND(anom,OR(ABS((V85+AP85)-leStart)&gt;maxStart,ABS((V85+AP85)-leAR)&gt;maxAR)),
phaseMax,IFS(
 AK85="Fast",
   IFS(
     OR(C85="B",C85="D"),XLOOKUP("timeout_coarse_fast",Calibration!$B:$B,Calibration!$C:$C,24),
     OR(C85="E",C85="F",C85="H",C85="I"),XLOOKUP("timeout_jcc_fast",Calibration!$B:$B,Calibration!$C:$C,10),
     OR(C85="G",C85="J"),XLOOKUP("timeout_duochrome_fast",Calibration!$B:$B,Calibration!$C:$C,8),
     C85="K",XLOOKUP("timeout_bino_fast",Calibration!$B:$B,Calibration!$C:$C,10),
     OR(C85="P",C85="Q",C85="R"),XLOOKUP("timeout_near_fast",Calibration!$B:$B,Calibration!$C:$C,16),
     TRUE,XLOOKUP("timeout_coarse_fast",Calibration!$B:$B,Calibration!$C:$C,24)
   ),
 AK85="Normal",
   IFS(
     OR(C85="B",C85="D"),XLOOKUP("timeout_coarse_normal",Calibration!$B:$B,Calibration!$C:$C,36),
     OR(C85="E",C85="F",C85="H",C85="I"),XLOOKUP("timeout_jcc_normal",Calibration!$B:$B,Calibration!$C:$C,14),
     OR(C85="G",C85="J"),XLOOKUP("timeout_duochrome_normal",Calibration!$B:$B,Calibration!$C:$C,10),
     C85="K",XLOOKUP("timeout_bino_normal",Calibration!$B:$B,Calibration!$C:$C,14),
     OR(C85="P",C85="Q",C85="R"),XLOOKUP("timeout_near_normal",Calibration!$B:$B,Calibration!$C:$C,22),
     TRUE,XLOOKUP("timeout_coarse_normal",Calibration!$B:$B,Calibration!$C:$C,36)
   ),
 TRUE,
   IFS(
     OR(C85="B",C85="D"),XLOOKUP("timeout_coarse_slow",Calibration!$B:$B,Calibration!$C:$C,48),
     OR(C85="E",C85="F",C85="H",C85="I"),XLOOKUP("timeout_jcc_slow",Calibration!$B:$B,Calibration!$C:$C,18),
     OR(C85="G",C85="J"),XLOOKUP("timeout_duochrome_slow",Calibration!$B:$B,Calibration!$C:$C,12),
     C85="K",XLOOKUP("timeout_bino_slow",Calibration!$B:$B,Calibration!$C:$C,18),
     OR(C85="P",C85="Q",C85="R"),XLOOKUP("timeout_near_slow",Calibration!$B:$B,Calibration!$C:$C,28),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AJ85=TRUE,"ESCALATE",
C85="A",
IF(OR(I85="NOT_READABLE",I85="BLURRY",AND(R85="20_20_20",I85="READABLE")),"B","A"),
C85="B",
IF(reEsc,"ESCALATE",IF(AY85&gt;=phaseMax,"ESCALATE",IF(AND(AV85&gt;=AW85,I85="READABLE"),"E","B"))),
C85="E",
IF(AY85&gt;=phaseMax,"ESCALATE",IF(OR(I85="SAME",I85="CANT_TELL",AD85&lt;axisTol),"F","E")),
C85="F",
IF(AY85&gt;=phaseMax,"ESCALATE",IF(AX85&gt;=powerSameN,"G","F")),
C85="G",
IF(AY85&gt;=phaseMax,"ESCALATE",IF(OR(AX85&gt;=duoEqualN,BB85&gt;=duoMax),"D","G")),
C85="D",
IF(leEsc,"ESCALATE",IF(AY85&gt;=phaseMax,"ESCALATE",IF(AND(AV85&gt;=AW85,I85="READABLE"),"H","D"))),
C85="H",
IF(AY85&gt;=phaseMax,"ESCALATE",IF(OR(I85="SAME",I85="CANT_TELL",AD85&lt;axisTol),"I","H")),
C85="I",
IF(AY85&gt;=phaseMax,"ESCALATE",IF(AX85&gt;=powerSameN,"J","I")),
C85="J",
IF(AY85&gt;=phaseMax,"ESCALATE",IF(OR(AX85&gt;=duoEqualN,BB85&gt;=duoMax),"K","J")),
C85="K",
IF(AY85&gt;=phaseMax,"ESCALATE",IF(AX85&gt;=binoSameN,IF(XLOOKUP($B85,Derived_Variables!$A:$A,Derived_Variables!$AJ:$AJ,FALSE)=TRUE,"P","END"),"K")),
C85="P",
IF(AY85&gt;=phaseMax,"ESCALATE",IF(OR(I85="READABLE",I85="SAME"),"Q","P")),
C85="Q",
IF(AY85&gt;=phaseMax,"ESCALATE",IF(OR(I85="READABLE",I85="SAME"),"R","Q")),
C85="R",
IF(AY85&gt;=phaseMax,"ESCALATE",IF(OR(I85=nearTarget,I85="SAME"),"END","R")),
TRUE,"END"
)))</f>
        <v/>
      </c>
      <c r="BD85" s="28" t="b">
        <f t="shared" si="19"/>
        <v>0</v>
      </c>
    </row>
    <row r="86" ht="15.75" customHeight="1">
      <c r="A86" s="28">
        <f t="shared" si="3"/>
        <v>85</v>
      </c>
      <c r="B86" s="28">
        <f t="shared" si="4"/>
        <v>6</v>
      </c>
      <c r="C86" s="28" t="str">
        <f t="shared" si="5"/>
        <v/>
      </c>
      <c r="D86" s="28" t="str">
        <f t="array" ref="D86">IF($I85="","",XLOOKUP(C86,FSM_State_Map!A:A,FSM_State_Map!B:B,""))</f>
        <v/>
      </c>
      <c r="E86" s="28" t="str">
        <f t="array" ref="E86">IF($I85="","",XLOOKUP(C86,FSM_State_Map!A:A,FSM_State_Map!C:C,""))</f>
        <v/>
      </c>
      <c r="F86" s="28" t="str">
        <f t="array" ref="F86">IF($I85="","",XLOOKUP(E86,Phase_UI_Map!A:A,Phase_UI_Map!B:B,""))</f>
        <v/>
      </c>
      <c r="G86" s="28" t="str">
        <f t="array" ref="G86">IF($I85="","",XLOOKUP(E86,Phase_UI_Map!A:A,Phase_UI_Map!C:C,""))</f>
        <v/>
      </c>
      <c r="H86" s="28" t="str">
        <f t="array" ref="H86">IF($I85="","",XLOOKUP(E86,Phase_UI_Map!A:A,Phase_UI_Map!D:D,""))</f>
        <v/>
      </c>
      <c r="I86" s="29"/>
      <c r="J86" s="28" t="str">
        <f>IFERROR(__xludf.DUMMYFUNCTION("IF($I85="""","""",IFERROR(INDEX(FILTER(Response_Lists!$B:$B,Response_Lists!$A:$A=$H86),1),""""))"),"")</f>
        <v/>
      </c>
      <c r="K86" s="28" t="str">
        <f>IFERROR(__xludf.DUMMYFUNCTION("IF($I85="""","""",IFERROR(INDEX(FILTER(Response_Lists!$B:$B,Response_Lists!$A:$A=$H86),2),""""))"),"")</f>
        <v/>
      </c>
      <c r="L86" s="28" t="str">
        <f>IFERROR(__xludf.DUMMYFUNCTION("IF($I85="""","""",IFERROR(INDEX(FILTER(Response_Lists!$B:$B,Response_Lists!$A:$A=$H86),3),""""))"),"")</f>
        <v/>
      </c>
      <c r="M86" s="28" t="str">
        <f>IFERROR(__xludf.DUMMYFUNCTION("IF($I85="""","""",IFERROR(INDEX(FILTER(Response_Lists!$B:$B,Response_Lists!$A:$A=$H86),4),""""))"),"")</f>
        <v/>
      </c>
      <c r="N86" s="28" t="str">
        <f>IFERROR(__xludf.DUMMYFUNCTION("IF($I85="""","""",IFERROR(INDEX(FILTER(Response_Lists!$B:$B,Response_Lists!$A:$A=$H86),5),""""))"),"")</f>
        <v/>
      </c>
      <c r="O86" s="28" t="str">
        <f>IFERROR(__xludf.DUMMYFUNCTION("IF($I85="""","""",IFERROR(INDEX(FILTER(Response_Lists!$B:$B,Response_Lists!$A:$A=$H86),6),""""))"),"")</f>
        <v/>
      </c>
      <c r="P86" s="28" t="str">
        <f t="shared" si="6"/>
        <v/>
      </c>
      <c r="Q86" s="28" t="str">
        <f t="array" ref="Q86">IF($I85="","",XLOOKUP(C86,FSM_State_Map!A:A,FSM_State_Map!D:D,""))</f>
        <v/>
      </c>
      <c r="R86" s="28" t="str">
        <f t="shared" si="7"/>
        <v/>
      </c>
      <c r="S86" s="28" t="str">
        <f t="array" ref="S86">IF($I85="","",
IF(
  AND(C86="B",C85&lt;&gt;"B"),
  XLOOKUP($B86,Derived_Variables!$A:$A,Derived_Variables!$K:$K,0)
  + XLOOKUP($B86,Derived_Variables!$A:$A,Derived_Variables!$AE:$AE,0),
  S85+AM85
))</f>
        <v/>
      </c>
      <c r="T86" s="28" t="str">
        <f t="shared" ref="T86:U86" si="182">IF($I85="","",T85+AN85)</f>
        <v/>
      </c>
      <c r="U86" s="28" t="str">
        <f t="shared" si="182"/>
        <v/>
      </c>
      <c r="V86" s="28" t="str">
        <f t="array" ref="V86">IF($I85="","",
IF(
  AND(C86="D",C85&lt;&gt;"D"),
  XLOOKUP($B86,Derived_Variables!$A:$A,Derived_Variables!$N:$N,0)
  + XLOOKUP($B86,Derived_Variables!$A:$A,Derived_Variables!$AE:$AE,0),
  V85+AP85
))</f>
        <v/>
      </c>
      <c r="W86" s="28" t="str">
        <f t="shared" ref="W86:X86" si="183">IF($I85="","",W85+AQ85)</f>
        <v/>
      </c>
      <c r="X86" s="28" t="str">
        <f t="shared" si="183"/>
        <v/>
      </c>
      <c r="Y86" s="28" t="str">
        <f t="array" ref="Y86">IF($I85="","",IF(AND(C86="P",C85&lt;&gt;"P"),IFERROR(XLOOKUP($B86,Lenso_Input!$A:$A,Lenso_Input!$E:$E,0),0),Y85+AS85))</f>
        <v/>
      </c>
      <c r="Z86" s="28" t="str">
        <f t="array" ref="Z86">IF($I85="","",IF(AND(C86="Q",C85&lt;&gt;"Q"),IFERROR(XLOOKUP($B86,Lenso_Input!$A:$A,Lenso_Input!$I:$I,0),0),Z85+AT85))</f>
        <v/>
      </c>
      <c r="AA86" s="28" t="str">
        <f t="array" ref="AA86">IF($I85="","",IF(XLOOKUP($B86,Derived_Variables!$A:$A,Derived_Variables!$R:$R,"6/6_target")="6/6_target","20_20_20","40_30_25"))</f>
        <v/>
      </c>
      <c r="AB86" s="28" t="str">
        <f t="array" ref="AB86">IF($I85="","",XLOOKUP(LOWER(XLOOKUP($B86,Derived_Variables!$A:$A,Derived_Variables!$T:$T,"Standard"))&amp;"_sph_step",Calibration!$B:$B,Calibration!$C:$C,0.25))</f>
        <v/>
      </c>
      <c r="AC86" s="28" t="str">
        <f t="array" ref="AC86">IF($I85="","",XLOOKUP(LOWER(XLOOKUP($B86,Derived_Variables!$A:$A,Derived_Variables!$T:$T,"Standard"))&amp;"_cyl_step",Calibration!$B:$B,Calibration!$C:$C,0.25))</f>
        <v/>
      </c>
      <c r="AD86" s="28" t="str">
        <f t="array" ref="AD86">IF($I85="","",IF(OR(C86="E",C86="H"),LET(startStep,XLOOKUP("axis_start_step",Calibration!$B:$B,Calibration!$C:$C,5),step1,XLOOKUP("axis_reversal_step_1",Calibration!$B:$B,Calibration!$C:$C,3),step2,XLOOKUP("axis_reversal_step_2",Calibration!$B:$B,Calibration!$C:$C,1),IF(OR(C85&lt;&gt;C86,AZ86="",AZ86="SAME",AZ86="CANT_TELL",I86="",I86="SAME",I86="CANT_TELL"),startStep,IF(OR(AND(AZ86="BETTER_1",I86="BETTER_2"),AND(AZ86="BETTER_2",I86="BETTER_1")),IF(AD85&gt;step1,step1,step2),AD85))),0))</f>
        <v/>
      </c>
      <c r="AE86" s="28" t="str">
        <f t="array" ref="AE86">IF($I85="","",XLOOKUP($B86,Derived_Variables!$A:$A,Derived_Variables!$AD:$AD,"No_Fog"))</f>
        <v/>
      </c>
      <c r="AF86" s="28" t="str">
        <f t="array" ref="AF86">IF($I85="","",XLOOKUP($B86,Derived_Variables!$A:$A,Derived_Variables!$AE:$AE,0))</f>
        <v/>
      </c>
      <c r="AG86" s="28" t="str">
        <f t="array" ref="AG86">IF($I85="","",XLOOKUP($B86,Derived_Variables!$A:$A,Derived_Variables!$AF:$AF,""))</f>
        <v/>
      </c>
      <c r="AH86" s="28" t="str">
        <f t="array" ref="AH86">IF($I85="","",XLOOKUP($B86,Derived_Variables!$A:$A,Derived_Variables!$AG:$AG,""))</f>
        <v/>
      </c>
      <c r="AI86" s="28" t="str">
        <f t="array" ref="AI86">IF($I85="","",XLOOKUP($B86,Derived_Variables!$A:$A,Derived_Variables!$AC:$AC,"Medium"))</f>
        <v/>
      </c>
      <c r="AJ86" s="28" t="str">
        <f t="array" ref="AJ86">IF($I85="","",XLOOKUP($B86,Derived_Variables!$A:$A,Derived_Variables!$Y:$Y,FALSE))</f>
        <v/>
      </c>
      <c r="AK86" s="28" t="str">
        <f t="array" ref="AK86">IF($I85="","",XLOOKUP($B86,Derived_Variables!$A:$A,Derived_Variables!$AA:$AA,"Normal"))</f>
        <v/>
      </c>
      <c r="AL86" s="28" t="str">
        <f t="array" ref="AL86">IF($I85="","",XLOOKUP($B86,Derived_Variables!$A:$A,Derived_Variables!$AB:$AB,"Normal"))</f>
        <v/>
      </c>
      <c r="AM86" s="28" t="str">
        <f t="array" ref="AM86">IF($I86="","",IFS(C86="B",IF(OR(I86="NOT_READABLE",I86="BLURRY"),-AB86,0),C86="G",IFS(I86="RED_CLEARER",XLOOKUP("duochrome_red_step",Calibration!$B:$B,Calibration!$C:$C,-0.25),I86="GREEN_CLEARER",XLOOKUP("duochrome_green_step",Calibration!$B:$B,Calibration!$C:$C,0.25),I86="EQUAL",IF(XLOOKUP($B86,Derived_Variables!$A:$A,Derived_Variables!$S:$S,"Neutral")="Undercorrect",XLOOKUP("undercorrect_step",Calibration!$B:$B,Calibration!$C:$C,0.25),IF(XLOOKUP($B86,Derived_Variables!$A:$A,Derived_Variables!$S:$S,"Neutral")="Overcorrect",-XLOOKUP("overcorrect_step",Calibration!$B:$B,Calibration!$C:$C,0.25),0)),TRUE,0),C86="K",IF(I86="TOP_CLEARER",XLOOKUP("bino_balance_step",Calibration!$B:$B,Calibration!$C:$C,0.25),0),TRUE,0))</f>
        <v/>
      </c>
      <c r="AN86" s="28" t="str">
        <f t="shared" si="10"/>
        <v/>
      </c>
      <c r="AO86" s="28" t="str">
        <f t="shared" si="11"/>
        <v/>
      </c>
      <c r="AP86" s="28" t="str">
        <f t="array" ref="AP86">IF($I86="","",IFS(C86="D",IF(OR(I86="NOT_READABLE",I86="BLURRY"),-AB86,0),C86="J",IFS(I86="RED_CLEARER",XLOOKUP("duochrome_red_step",Calibration!$B:$B,Calibration!$C:$C,-0.25),I86="GREEN_CLEARER",XLOOKUP("duochrome_green_step",Calibration!$B:$B,Calibration!$C:$C,0.25),I86="EQUAL",IF(XLOOKUP($B86,Derived_Variables!$A:$A,Derived_Variables!$S:$S,"Neutral")="Undercorrect",XLOOKUP("undercorrect_step",Calibration!$B:$B,Calibration!$C:$C,0.25),IF(XLOOKUP($B86,Derived_Variables!$A:$A,Derived_Variables!$S:$S,"Neutral")="Overcorrect",-XLOOKUP("overcorrect_step",Calibration!$B:$B,Calibration!$C:$C,0.25),0)),TRUE,0),C86="K",IF(I86="BOTTOM_CLEARER",XLOOKUP("bino_balance_step",Calibration!$B:$B,Calibration!$C:$C,0.25),0),TRUE,0))</f>
        <v/>
      </c>
      <c r="AQ86" s="28" t="str">
        <f t="shared" si="12"/>
        <v/>
      </c>
      <c r="AR86" s="28" t="str">
        <f t="shared" si="13"/>
        <v/>
      </c>
      <c r="AS86" s="28" t="str">
        <f t="array" ref="AS86">IF($I86="","",IF(C86="P",IF(OR(I86="NOT_READABLE",I86="BLURRY"),XLOOKUP("near_add_step",Calibration!$B:$B,Calibration!$C:$C,0.25),0),IF(C86="R",IF(I86="NOT_CLEAR",XLOOKUP("near_add_step",Calibration!$B:$B,Calibration!$C:$C,0.25),0),0)))</f>
        <v/>
      </c>
      <c r="AT86" s="28" t="str">
        <f t="array" ref="AT86">IF($I86="","",IF(C86="Q",IF(OR(I86="NOT_READABLE",I86="BLURRY"),XLOOKUP("near_add_step",Calibration!$B:$B,Calibration!$C:$C,0.25),0),IF(C86="R",IF(I86="NOT_CLEAR",XLOOKUP("near_add_step",Calibration!$B:$B,Calibration!$C:$C,0.25),0),0)))</f>
        <v/>
      </c>
      <c r="AU86" s="28" t="str">
        <f t="array" ref="AU86">IF($I86="","",IF(G86="SNELLEN_FEET",IF(I86="READABLE",IFERROR(XLOOKUP(XLOOKUP(R86,Chart_Scale_Distance!B:B,Chart_Scale_Distance!A:A)+1,Chart_Scale_Distance!A:A,Chart_Scale_Distance!B:B),R86),R86),R86))</f>
        <v/>
      </c>
      <c r="AV86" s="28" t="str">
        <f t="array" ref="AV86">IF($I85="","",IFERROR(XLOOKUP(R86,Chart_Scale_Distance!$B:$B,Chart_Scale_Distance!$A:$A,""),""))</f>
        <v/>
      </c>
      <c r="AW86" s="28" t="str">
        <f t="array" ref="AW86">IF($I85="","",IFERROR(XLOOKUP(AA86,Chart_Scale_Distance!$B:$B,Chart_Scale_Distance!$A:$A,""),""))</f>
        <v/>
      </c>
      <c r="AX86" s="28" t="str">
        <f t="shared" si="14"/>
        <v/>
      </c>
      <c r="AY86" s="28" t="str">
        <f t="shared" si="15"/>
        <v/>
      </c>
      <c r="AZ86" s="28" t="str">
        <f t="shared" si="16"/>
        <v/>
      </c>
      <c r="BA86" s="28" t="str">
        <f t="shared" si="17"/>
        <v/>
      </c>
      <c r="BB86" s="28" t="str">
        <f t="shared" si="18"/>
        <v/>
      </c>
      <c r="BC86" s="28" t="str">
        <f t="array" ref="BC86">IF($I86="","",LET(
conf,AI86,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duoMax,XLOOKUP($B86,Derived_Variables!$A:$A,Derived_Variables!$AI:$AI,4),
axisTol,XLOOKUP($B86,Derived_Variables!$A:$A,Derived_Variables!$W:$W,1),
maxStart,XLOOKUP($B86,Derived_Variables!$A:$A,Derived_Variables!$U:$U,1.25),
maxAR,XLOOKUP($B86,Derived_Variables!$A:$A,Derived_Variables!$V:$V,3),
anom,XLOOKUP($B86,Derived_Variables!$A:$A,Derived_Variables!$Z:$Z,FALSE),
reStart,XLOOKUP($B86,Derived_Variables!$A:$A,Derived_Variables!$K:$K,0),
leStart,XLOOKUP($B86,Derived_Variables!$A:$A,Derived_Variables!$N:$N,0),
reAR,XLOOKUP($B86,AR_Input!$A:$A,AR_Input!$B:$B,reStart),
leAR,XLOOKUP($B86,AR_Input!$A:$A,AR_Input!$E:$E,leStart),
reEsc,AND(anom,OR(ABS((S86+AM86)-reStart)&gt;maxStart,ABS((S86+AM86)-reAR)&gt;maxAR)),
leEsc,AND(anom,OR(ABS((V86+AP86)-leStart)&gt;maxStart,ABS((V86+AP86)-leAR)&gt;maxAR)),
phaseMax,IFS(
 AK86="Fast",
   IFS(
     OR(C86="B",C86="D"),XLOOKUP("timeout_coarse_fast",Calibration!$B:$B,Calibration!$C:$C,24),
     OR(C86="E",C86="F",C86="H",C86="I"),XLOOKUP("timeout_jcc_fast",Calibration!$B:$B,Calibration!$C:$C,10),
     OR(C86="G",C86="J"),XLOOKUP("timeout_duochrome_fast",Calibration!$B:$B,Calibration!$C:$C,8),
     C86="K",XLOOKUP("timeout_bino_fast",Calibration!$B:$B,Calibration!$C:$C,10),
     OR(C86="P",C86="Q",C86="R"),XLOOKUP("timeout_near_fast",Calibration!$B:$B,Calibration!$C:$C,16),
     TRUE,XLOOKUP("timeout_coarse_fast",Calibration!$B:$B,Calibration!$C:$C,24)
   ),
 AK86="Normal",
   IFS(
     OR(C86="B",C86="D"),XLOOKUP("timeout_coarse_normal",Calibration!$B:$B,Calibration!$C:$C,36),
     OR(C86="E",C86="F",C86="H",C86="I"),XLOOKUP("timeout_jcc_normal",Calibration!$B:$B,Calibration!$C:$C,14),
     OR(C86="G",C86="J"),XLOOKUP("timeout_duochrome_normal",Calibration!$B:$B,Calibration!$C:$C,10),
     C86="K",XLOOKUP("timeout_bino_normal",Calibration!$B:$B,Calibration!$C:$C,14),
     OR(C86="P",C86="Q",C86="R"),XLOOKUP("timeout_near_normal",Calibration!$B:$B,Calibration!$C:$C,22),
     TRUE,XLOOKUP("timeout_coarse_normal",Calibration!$B:$B,Calibration!$C:$C,36)
   ),
 TRUE,
   IFS(
     OR(C86="B",C86="D"),XLOOKUP("timeout_coarse_slow",Calibration!$B:$B,Calibration!$C:$C,48),
     OR(C86="E",C86="F",C86="H",C86="I"),XLOOKUP("timeout_jcc_slow",Calibration!$B:$B,Calibration!$C:$C,18),
     OR(C86="G",C86="J"),XLOOKUP("timeout_duochrome_slow",Calibration!$B:$B,Calibration!$C:$C,12),
     C86="K",XLOOKUP("timeout_bino_slow",Calibration!$B:$B,Calibration!$C:$C,18),
     OR(C86="P",C86="Q",C86="R"),XLOOKUP("timeout_near_slow",Calibration!$B:$B,Calibration!$C:$C,28),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AJ86=TRUE,"ESCALATE",
C86="A",
IF(OR(I86="NOT_READABLE",I86="BLURRY",AND(R86="20_20_20",I86="READABLE")),"B","A"),
C86="B",
IF(reEsc,"ESCALATE",IF(AY86&gt;=phaseMax,"ESCALATE",IF(AND(AV86&gt;=AW86,I86="READABLE"),"E","B"))),
C86="E",
IF(AY86&gt;=phaseMax,"ESCALATE",IF(OR(I86="SAME",I86="CANT_TELL",AD86&lt;axisTol),"F","E")),
C86="F",
IF(AY86&gt;=phaseMax,"ESCALATE",IF(AX86&gt;=powerSameN,"G","F")),
C86="G",
IF(AY86&gt;=phaseMax,"ESCALATE",IF(OR(AX86&gt;=duoEqualN,BB86&gt;=duoMax),"D","G")),
C86="D",
IF(leEsc,"ESCALATE",IF(AY86&gt;=phaseMax,"ESCALATE",IF(AND(AV86&gt;=AW86,I86="READABLE"),"H","D"))),
C86="H",
IF(AY86&gt;=phaseMax,"ESCALATE",IF(OR(I86="SAME",I86="CANT_TELL",AD86&lt;axisTol),"I","H")),
C86="I",
IF(AY86&gt;=phaseMax,"ESCALATE",IF(AX86&gt;=powerSameN,"J","I")),
C86="J",
IF(AY86&gt;=phaseMax,"ESCALATE",IF(OR(AX86&gt;=duoEqualN,BB86&gt;=duoMax),"K","J")),
C86="K",
IF(AY86&gt;=phaseMax,"ESCALATE",IF(AX86&gt;=binoSameN,IF(XLOOKUP($B86,Derived_Variables!$A:$A,Derived_Variables!$AJ:$AJ,FALSE)=TRUE,"P","END"),"K")),
C86="P",
IF(AY86&gt;=phaseMax,"ESCALATE",IF(OR(I86="READABLE",I86="SAME"),"Q","P")),
C86="Q",
IF(AY86&gt;=phaseMax,"ESCALATE",IF(OR(I86="READABLE",I86="SAME"),"R","Q")),
C86="R",
IF(AY86&gt;=phaseMax,"ESCALATE",IF(OR(I86=nearTarget,I86="SAME"),"END","R")),
TRUE,"END"
)))</f>
        <v/>
      </c>
      <c r="BD86" s="28" t="b">
        <f t="shared" si="19"/>
        <v>0</v>
      </c>
    </row>
    <row r="87" ht="15.75" customHeight="1">
      <c r="A87" s="28">
        <f t="shared" si="3"/>
        <v>86</v>
      </c>
      <c r="B87" s="28">
        <f t="shared" si="4"/>
        <v>6</v>
      </c>
      <c r="C87" s="28" t="str">
        <f t="shared" si="5"/>
        <v/>
      </c>
      <c r="D87" s="28" t="str">
        <f t="array" ref="D87">IF($I86="","",XLOOKUP(C87,FSM_State_Map!A:A,FSM_State_Map!B:B,""))</f>
        <v/>
      </c>
      <c r="E87" s="28" t="str">
        <f t="array" ref="E87">IF($I86="","",XLOOKUP(C87,FSM_State_Map!A:A,FSM_State_Map!C:C,""))</f>
        <v/>
      </c>
      <c r="F87" s="28" t="str">
        <f t="array" ref="F87">IF($I86="","",XLOOKUP(E87,Phase_UI_Map!A:A,Phase_UI_Map!B:B,""))</f>
        <v/>
      </c>
      <c r="G87" s="28" t="str">
        <f t="array" ref="G87">IF($I86="","",XLOOKUP(E87,Phase_UI_Map!A:A,Phase_UI_Map!C:C,""))</f>
        <v/>
      </c>
      <c r="H87" s="28" t="str">
        <f t="array" ref="H87">IF($I86="","",XLOOKUP(E87,Phase_UI_Map!A:A,Phase_UI_Map!D:D,""))</f>
        <v/>
      </c>
      <c r="I87" s="29"/>
      <c r="J87" s="28" t="str">
        <f>IFERROR(__xludf.DUMMYFUNCTION("IF($I86="""","""",IFERROR(INDEX(FILTER(Response_Lists!$B:$B,Response_Lists!$A:$A=$H87),1),""""))"),"")</f>
        <v/>
      </c>
      <c r="K87" s="28" t="str">
        <f>IFERROR(__xludf.DUMMYFUNCTION("IF($I86="""","""",IFERROR(INDEX(FILTER(Response_Lists!$B:$B,Response_Lists!$A:$A=$H87),2),""""))"),"")</f>
        <v/>
      </c>
      <c r="L87" s="28" t="str">
        <f>IFERROR(__xludf.DUMMYFUNCTION("IF($I86="""","""",IFERROR(INDEX(FILTER(Response_Lists!$B:$B,Response_Lists!$A:$A=$H87),3),""""))"),"")</f>
        <v/>
      </c>
      <c r="M87" s="28" t="str">
        <f>IFERROR(__xludf.DUMMYFUNCTION("IF($I86="""","""",IFERROR(INDEX(FILTER(Response_Lists!$B:$B,Response_Lists!$A:$A=$H87),4),""""))"),"")</f>
        <v/>
      </c>
      <c r="N87" s="28" t="str">
        <f>IFERROR(__xludf.DUMMYFUNCTION("IF($I86="""","""",IFERROR(INDEX(FILTER(Response_Lists!$B:$B,Response_Lists!$A:$A=$H87),5),""""))"),"")</f>
        <v/>
      </c>
      <c r="O87" s="28" t="str">
        <f>IFERROR(__xludf.DUMMYFUNCTION("IF($I86="""","""",IFERROR(INDEX(FILTER(Response_Lists!$B:$B,Response_Lists!$A:$A=$H87),6),""""))"),"")</f>
        <v/>
      </c>
      <c r="P87" s="28" t="str">
        <f t="shared" si="6"/>
        <v/>
      </c>
      <c r="Q87" s="28" t="str">
        <f t="array" ref="Q87">IF($I86="","",XLOOKUP(C87,FSM_State_Map!A:A,FSM_State_Map!D:D,""))</f>
        <v/>
      </c>
      <c r="R87" s="28" t="str">
        <f t="shared" si="7"/>
        <v/>
      </c>
      <c r="S87" s="28" t="str">
        <f t="array" ref="S87">IF($I86="","",
IF(
  AND(C87="B",C86&lt;&gt;"B"),
  XLOOKUP($B87,Derived_Variables!$A:$A,Derived_Variables!$K:$K,0)
  + XLOOKUP($B87,Derived_Variables!$A:$A,Derived_Variables!$AE:$AE,0),
  S86+AM86
))</f>
        <v/>
      </c>
      <c r="T87" s="28" t="str">
        <f t="shared" ref="T87:U87" si="184">IF($I86="","",T86+AN86)</f>
        <v/>
      </c>
      <c r="U87" s="28" t="str">
        <f t="shared" si="184"/>
        <v/>
      </c>
      <c r="V87" s="28" t="str">
        <f t="array" ref="V87">IF($I86="","",
IF(
  AND(C87="D",C86&lt;&gt;"D"),
  XLOOKUP($B87,Derived_Variables!$A:$A,Derived_Variables!$N:$N,0)
  + XLOOKUP($B87,Derived_Variables!$A:$A,Derived_Variables!$AE:$AE,0),
  V86+AP86
))</f>
        <v/>
      </c>
      <c r="W87" s="28" t="str">
        <f t="shared" ref="W87:X87" si="185">IF($I86="","",W86+AQ86)</f>
        <v/>
      </c>
      <c r="X87" s="28" t="str">
        <f t="shared" si="185"/>
        <v/>
      </c>
      <c r="Y87" s="28" t="str">
        <f t="array" ref="Y87">IF($I86="","",IF(AND(C87="P",C86&lt;&gt;"P"),IFERROR(XLOOKUP($B87,Lenso_Input!$A:$A,Lenso_Input!$E:$E,0),0),Y86+AS86))</f>
        <v/>
      </c>
      <c r="Z87" s="28" t="str">
        <f t="array" ref="Z87">IF($I86="","",IF(AND(C87="Q",C86&lt;&gt;"Q"),IFERROR(XLOOKUP($B87,Lenso_Input!$A:$A,Lenso_Input!$I:$I,0),0),Z86+AT86))</f>
        <v/>
      </c>
      <c r="AA87" s="28" t="str">
        <f t="array" ref="AA87">IF($I86="","",IF(XLOOKUP($B87,Derived_Variables!$A:$A,Derived_Variables!$R:$R,"6/6_target")="6/6_target","20_20_20","40_30_25"))</f>
        <v/>
      </c>
      <c r="AB87" s="28" t="str">
        <f t="array" ref="AB87">IF($I86="","",XLOOKUP(LOWER(XLOOKUP($B87,Derived_Variables!$A:$A,Derived_Variables!$T:$T,"Standard"))&amp;"_sph_step",Calibration!$B:$B,Calibration!$C:$C,0.25))</f>
        <v/>
      </c>
      <c r="AC87" s="28" t="str">
        <f t="array" ref="AC87">IF($I86="","",XLOOKUP(LOWER(XLOOKUP($B87,Derived_Variables!$A:$A,Derived_Variables!$T:$T,"Standard"))&amp;"_cyl_step",Calibration!$B:$B,Calibration!$C:$C,0.25))</f>
        <v/>
      </c>
      <c r="AD87" s="28" t="str">
        <f t="array" ref="AD87">IF($I86="","",IF(OR(C87="E",C87="H"),LET(startStep,XLOOKUP("axis_start_step",Calibration!$B:$B,Calibration!$C:$C,5),step1,XLOOKUP("axis_reversal_step_1",Calibration!$B:$B,Calibration!$C:$C,3),step2,XLOOKUP("axis_reversal_step_2",Calibration!$B:$B,Calibration!$C:$C,1),IF(OR(C86&lt;&gt;C87,AZ87="",AZ87="SAME",AZ87="CANT_TELL",I87="",I87="SAME",I87="CANT_TELL"),startStep,IF(OR(AND(AZ87="BETTER_1",I87="BETTER_2"),AND(AZ87="BETTER_2",I87="BETTER_1")),IF(AD86&gt;step1,step1,step2),AD86))),0))</f>
        <v/>
      </c>
      <c r="AE87" s="28" t="str">
        <f t="array" ref="AE87">IF($I86="","",XLOOKUP($B87,Derived_Variables!$A:$A,Derived_Variables!$AD:$AD,"No_Fog"))</f>
        <v/>
      </c>
      <c r="AF87" s="28" t="str">
        <f t="array" ref="AF87">IF($I86="","",XLOOKUP($B87,Derived_Variables!$A:$A,Derived_Variables!$AE:$AE,0))</f>
        <v/>
      </c>
      <c r="AG87" s="28" t="str">
        <f t="array" ref="AG87">IF($I86="","",XLOOKUP($B87,Derived_Variables!$A:$A,Derived_Variables!$AF:$AF,""))</f>
        <v/>
      </c>
      <c r="AH87" s="28" t="str">
        <f t="array" ref="AH87">IF($I86="","",XLOOKUP($B87,Derived_Variables!$A:$A,Derived_Variables!$AG:$AG,""))</f>
        <v/>
      </c>
      <c r="AI87" s="28" t="str">
        <f t="array" ref="AI87">IF($I86="","",XLOOKUP($B87,Derived_Variables!$A:$A,Derived_Variables!$AC:$AC,"Medium"))</f>
        <v/>
      </c>
      <c r="AJ87" s="28" t="str">
        <f t="array" ref="AJ87">IF($I86="","",XLOOKUP($B87,Derived_Variables!$A:$A,Derived_Variables!$Y:$Y,FALSE))</f>
        <v/>
      </c>
      <c r="AK87" s="28" t="str">
        <f t="array" ref="AK87">IF($I86="","",XLOOKUP($B87,Derived_Variables!$A:$A,Derived_Variables!$AA:$AA,"Normal"))</f>
        <v/>
      </c>
      <c r="AL87" s="28" t="str">
        <f t="array" ref="AL87">IF($I86="","",XLOOKUP($B87,Derived_Variables!$A:$A,Derived_Variables!$AB:$AB,"Normal"))</f>
        <v/>
      </c>
      <c r="AM87" s="28" t="str">
        <f t="array" ref="AM87">IF($I87="","",IFS(C87="B",IF(OR(I87="NOT_READABLE",I87="BLURRY"),-AB87,0),C87="G",IFS(I87="RED_CLEARER",XLOOKUP("duochrome_red_step",Calibration!$B:$B,Calibration!$C:$C,-0.25),I87="GREEN_CLEARER",XLOOKUP("duochrome_green_step",Calibration!$B:$B,Calibration!$C:$C,0.25),I87="EQUAL",IF(XLOOKUP($B87,Derived_Variables!$A:$A,Derived_Variables!$S:$S,"Neutral")="Undercorrect",XLOOKUP("undercorrect_step",Calibration!$B:$B,Calibration!$C:$C,0.25),IF(XLOOKUP($B87,Derived_Variables!$A:$A,Derived_Variables!$S:$S,"Neutral")="Overcorrect",-XLOOKUP("overcorrect_step",Calibration!$B:$B,Calibration!$C:$C,0.25),0)),TRUE,0),C87="K",IF(I87="TOP_CLEARER",XLOOKUP("bino_balance_step",Calibration!$B:$B,Calibration!$C:$C,0.25),0),TRUE,0))</f>
        <v/>
      </c>
      <c r="AN87" s="28" t="str">
        <f t="shared" si="10"/>
        <v/>
      </c>
      <c r="AO87" s="28" t="str">
        <f t="shared" si="11"/>
        <v/>
      </c>
      <c r="AP87" s="28" t="str">
        <f t="array" ref="AP87">IF($I87="","",IFS(C87="D",IF(OR(I87="NOT_READABLE",I87="BLURRY"),-AB87,0),C87="J",IFS(I87="RED_CLEARER",XLOOKUP("duochrome_red_step",Calibration!$B:$B,Calibration!$C:$C,-0.25),I87="GREEN_CLEARER",XLOOKUP("duochrome_green_step",Calibration!$B:$B,Calibration!$C:$C,0.25),I87="EQUAL",IF(XLOOKUP($B87,Derived_Variables!$A:$A,Derived_Variables!$S:$S,"Neutral")="Undercorrect",XLOOKUP("undercorrect_step",Calibration!$B:$B,Calibration!$C:$C,0.25),IF(XLOOKUP($B87,Derived_Variables!$A:$A,Derived_Variables!$S:$S,"Neutral")="Overcorrect",-XLOOKUP("overcorrect_step",Calibration!$B:$B,Calibration!$C:$C,0.25),0)),TRUE,0),C87="K",IF(I87="BOTTOM_CLEARER",XLOOKUP("bino_balance_step",Calibration!$B:$B,Calibration!$C:$C,0.25),0),TRUE,0))</f>
        <v/>
      </c>
      <c r="AQ87" s="28" t="str">
        <f t="shared" si="12"/>
        <v/>
      </c>
      <c r="AR87" s="28" t="str">
        <f t="shared" si="13"/>
        <v/>
      </c>
      <c r="AS87" s="28" t="str">
        <f t="array" ref="AS87">IF($I87="","",IF(C87="P",IF(OR(I87="NOT_READABLE",I87="BLURRY"),XLOOKUP("near_add_step",Calibration!$B:$B,Calibration!$C:$C,0.25),0),IF(C87="R",IF(I87="NOT_CLEAR",XLOOKUP("near_add_step",Calibration!$B:$B,Calibration!$C:$C,0.25),0),0)))</f>
        <v/>
      </c>
      <c r="AT87" s="28" t="str">
        <f t="array" ref="AT87">IF($I87="","",IF(C87="Q",IF(OR(I87="NOT_READABLE",I87="BLURRY"),XLOOKUP("near_add_step",Calibration!$B:$B,Calibration!$C:$C,0.25),0),IF(C87="R",IF(I87="NOT_CLEAR",XLOOKUP("near_add_step",Calibration!$B:$B,Calibration!$C:$C,0.25),0),0)))</f>
        <v/>
      </c>
      <c r="AU87" s="28" t="str">
        <f t="array" ref="AU87">IF($I87="","",IF(G87="SNELLEN_FEET",IF(I87="READABLE",IFERROR(XLOOKUP(XLOOKUP(R87,Chart_Scale_Distance!B:B,Chart_Scale_Distance!A:A)+1,Chart_Scale_Distance!A:A,Chart_Scale_Distance!B:B),R87),R87),R87))</f>
        <v/>
      </c>
      <c r="AV87" s="28" t="str">
        <f t="array" ref="AV87">IF($I86="","",IFERROR(XLOOKUP(R87,Chart_Scale_Distance!$B:$B,Chart_Scale_Distance!$A:$A,""),""))</f>
        <v/>
      </c>
      <c r="AW87" s="28" t="str">
        <f t="array" ref="AW87">IF($I86="","",IFERROR(XLOOKUP(AA87,Chart_Scale_Distance!$B:$B,Chart_Scale_Distance!$A:$A,""),""))</f>
        <v/>
      </c>
      <c r="AX87" s="28" t="str">
        <f t="shared" si="14"/>
        <v/>
      </c>
      <c r="AY87" s="28" t="str">
        <f t="shared" si="15"/>
        <v/>
      </c>
      <c r="AZ87" s="28" t="str">
        <f t="shared" si="16"/>
        <v/>
      </c>
      <c r="BA87" s="28" t="str">
        <f t="shared" si="17"/>
        <v/>
      </c>
      <c r="BB87" s="28" t="str">
        <f t="shared" si="18"/>
        <v/>
      </c>
      <c r="BC87" s="28" t="str">
        <f t="array" ref="BC87">IF($I87="","",LET(
conf,AI87,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duoMax,XLOOKUP($B87,Derived_Variables!$A:$A,Derived_Variables!$AI:$AI,4),
axisTol,XLOOKUP($B87,Derived_Variables!$A:$A,Derived_Variables!$W:$W,1),
maxStart,XLOOKUP($B87,Derived_Variables!$A:$A,Derived_Variables!$U:$U,1.25),
maxAR,XLOOKUP($B87,Derived_Variables!$A:$A,Derived_Variables!$V:$V,3),
anom,XLOOKUP($B87,Derived_Variables!$A:$A,Derived_Variables!$Z:$Z,FALSE),
reStart,XLOOKUP($B87,Derived_Variables!$A:$A,Derived_Variables!$K:$K,0),
leStart,XLOOKUP($B87,Derived_Variables!$A:$A,Derived_Variables!$N:$N,0),
reAR,XLOOKUP($B87,AR_Input!$A:$A,AR_Input!$B:$B,reStart),
leAR,XLOOKUP($B87,AR_Input!$A:$A,AR_Input!$E:$E,leStart),
reEsc,AND(anom,OR(ABS((S87+AM87)-reStart)&gt;maxStart,ABS((S87+AM87)-reAR)&gt;maxAR)),
leEsc,AND(anom,OR(ABS((V87+AP87)-leStart)&gt;maxStart,ABS((V87+AP87)-leAR)&gt;maxAR)),
phaseMax,IFS(
 AK87="Fast",
   IFS(
     OR(C87="B",C87="D"),XLOOKUP("timeout_coarse_fast",Calibration!$B:$B,Calibration!$C:$C,24),
     OR(C87="E",C87="F",C87="H",C87="I"),XLOOKUP("timeout_jcc_fast",Calibration!$B:$B,Calibration!$C:$C,10),
     OR(C87="G",C87="J"),XLOOKUP("timeout_duochrome_fast",Calibration!$B:$B,Calibration!$C:$C,8),
     C87="K",XLOOKUP("timeout_bino_fast",Calibration!$B:$B,Calibration!$C:$C,10),
     OR(C87="P",C87="Q",C87="R"),XLOOKUP("timeout_near_fast",Calibration!$B:$B,Calibration!$C:$C,16),
     TRUE,XLOOKUP("timeout_coarse_fast",Calibration!$B:$B,Calibration!$C:$C,24)
   ),
 AK87="Normal",
   IFS(
     OR(C87="B",C87="D"),XLOOKUP("timeout_coarse_normal",Calibration!$B:$B,Calibration!$C:$C,36),
     OR(C87="E",C87="F",C87="H",C87="I"),XLOOKUP("timeout_jcc_normal",Calibration!$B:$B,Calibration!$C:$C,14),
     OR(C87="G",C87="J"),XLOOKUP("timeout_duochrome_normal",Calibration!$B:$B,Calibration!$C:$C,10),
     C87="K",XLOOKUP("timeout_bino_normal",Calibration!$B:$B,Calibration!$C:$C,14),
     OR(C87="P",C87="Q",C87="R"),XLOOKUP("timeout_near_normal",Calibration!$B:$B,Calibration!$C:$C,22),
     TRUE,XLOOKUP("timeout_coarse_normal",Calibration!$B:$B,Calibration!$C:$C,36)
   ),
 TRUE,
   IFS(
     OR(C87="B",C87="D"),XLOOKUP("timeout_coarse_slow",Calibration!$B:$B,Calibration!$C:$C,48),
     OR(C87="E",C87="F",C87="H",C87="I"),XLOOKUP("timeout_jcc_slow",Calibration!$B:$B,Calibration!$C:$C,18),
     OR(C87="G",C87="J"),XLOOKUP("timeout_duochrome_slow",Calibration!$B:$B,Calibration!$C:$C,12),
     C87="K",XLOOKUP("timeout_bino_slow",Calibration!$B:$B,Calibration!$C:$C,18),
     OR(C87="P",C87="Q",C87="R"),XLOOKUP("timeout_near_slow",Calibration!$B:$B,Calibration!$C:$C,28),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AJ87=TRUE,"ESCALATE",
C87="A",
IF(OR(I87="NOT_READABLE",I87="BLURRY",AND(R87="20_20_20",I87="READABLE")),"B","A"),
C87="B",
IF(reEsc,"ESCALATE",IF(AY87&gt;=phaseMax,"ESCALATE",IF(AND(AV87&gt;=AW87,I87="READABLE"),"E","B"))),
C87="E",
IF(AY87&gt;=phaseMax,"ESCALATE",IF(OR(I87="SAME",I87="CANT_TELL",AD87&lt;axisTol),"F","E")),
C87="F",
IF(AY87&gt;=phaseMax,"ESCALATE",IF(AX87&gt;=powerSameN,"G","F")),
C87="G",
IF(AY87&gt;=phaseMax,"ESCALATE",IF(OR(AX87&gt;=duoEqualN,BB87&gt;=duoMax),"D","G")),
C87="D",
IF(leEsc,"ESCALATE",IF(AY87&gt;=phaseMax,"ESCALATE",IF(AND(AV87&gt;=AW87,I87="READABLE"),"H","D"))),
C87="H",
IF(AY87&gt;=phaseMax,"ESCALATE",IF(OR(I87="SAME",I87="CANT_TELL",AD87&lt;axisTol),"I","H")),
C87="I",
IF(AY87&gt;=phaseMax,"ESCALATE",IF(AX87&gt;=powerSameN,"J","I")),
C87="J",
IF(AY87&gt;=phaseMax,"ESCALATE",IF(OR(AX87&gt;=duoEqualN,BB87&gt;=duoMax),"K","J")),
C87="K",
IF(AY87&gt;=phaseMax,"ESCALATE",IF(AX87&gt;=binoSameN,IF(XLOOKUP($B87,Derived_Variables!$A:$A,Derived_Variables!$AJ:$AJ,FALSE)=TRUE,"P","END"),"K")),
C87="P",
IF(AY87&gt;=phaseMax,"ESCALATE",IF(OR(I87="READABLE",I87="SAME"),"Q","P")),
C87="Q",
IF(AY87&gt;=phaseMax,"ESCALATE",IF(OR(I87="READABLE",I87="SAME"),"R","Q")),
C87="R",
IF(AY87&gt;=phaseMax,"ESCALATE",IF(OR(I87=nearTarget,I87="SAME"),"END","R")),
TRUE,"END"
)))</f>
        <v/>
      </c>
      <c r="BD87" s="28" t="b">
        <f t="shared" si="19"/>
        <v>0</v>
      </c>
    </row>
    <row r="88" ht="15.75" customHeight="1">
      <c r="A88" s="28">
        <f t="shared" si="3"/>
        <v>87</v>
      </c>
      <c r="B88" s="28">
        <f t="shared" si="4"/>
        <v>6</v>
      </c>
      <c r="C88" s="28" t="str">
        <f t="shared" si="5"/>
        <v/>
      </c>
      <c r="D88" s="28" t="str">
        <f t="array" ref="D88">IF($I87="","",XLOOKUP(C88,FSM_State_Map!A:A,FSM_State_Map!B:B,""))</f>
        <v/>
      </c>
      <c r="E88" s="28" t="str">
        <f t="array" ref="E88">IF($I87="","",XLOOKUP(C88,FSM_State_Map!A:A,FSM_State_Map!C:C,""))</f>
        <v/>
      </c>
      <c r="F88" s="28" t="str">
        <f t="array" ref="F88">IF($I87="","",XLOOKUP(E88,Phase_UI_Map!A:A,Phase_UI_Map!B:B,""))</f>
        <v/>
      </c>
      <c r="G88" s="28" t="str">
        <f t="array" ref="G88">IF($I87="","",XLOOKUP(E88,Phase_UI_Map!A:A,Phase_UI_Map!C:C,""))</f>
        <v/>
      </c>
      <c r="H88" s="28" t="str">
        <f t="array" ref="H88">IF($I87="","",XLOOKUP(E88,Phase_UI_Map!A:A,Phase_UI_Map!D:D,""))</f>
        <v/>
      </c>
      <c r="I88" s="29"/>
      <c r="J88" s="28" t="str">
        <f>IFERROR(__xludf.DUMMYFUNCTION("IF($I87="""","""",IFERROR(INDEX(FILTER(Response_Lists!$B:$B,Response_Lists!$A:$A=$H88),1),""""))"),"")</f>
        <v/>
      </c>
      <c r="K88" s="28" t="str">
        <f>IFERROR(__xludf.DUMMYFUNCTION("IF($I87="""","""",IFERROR(INDEX(FILTER(Response_Lists!$B:$B,Response_Lists!$A:$A=$H88),2),""""))"),"")</f>
        <v/>
      </c>
      <c r="L88" s="28" t="str">
        <f>IFERROR(__xludf.DUMMYFUNCTION("IF($I87="""","""",IFERROR(INDEX(FILTER(Response_Lists!$B:$B,Response_Lists!$A:$A=$H88),3),""""))"),"")</f>
        <v/>
      </c>
      <c r="M88" s="28" t="str">
        <f>IFERROR(__xludf.DUMMYFUNCTION("IF($I87="""","""",IFERROR(INDEX(FILTER(Response_Lists!$B:$B,Response_Lists!$A:$A=$H88),4),""""))"),"")</f>
        <v/>
      </c>
      <c r="N88" s="28" t="str">
        <f>IFERROR(__xludf.DUMMYFUNCTION("IF($I87="""","""",IFERROR(INDEX(FILTER(Response_Lists!$B:$B,Response_Lists!$A:$A=$H88),5),""""))"),"")</f>
        <v/>
      </c>
      <c r="O88" s="28" t="str">
        <f>IFERROR(__xludf.DUMMYFUNCTION("IF($I87="""","""",IFERROR(INDEX(FILTER(Response_Lists!$B:$B,Response_Lists!$A:$A=$H88),6),""""))"),"")</f>
        <v/>
      </c>
      <c r="P88" s="28" t="str">
        <f t="shared" si="6"/>
        <v/>
      </c>
      <c r="Q88" s="28" t="str">
        <f t="array" ref="Q88">IF($I87="","",XLOOKUP(C88,FSM_State_Map!A:A,FSM_State_Map!D:D,""))</f>
        <v/>
      </c>
      <c r="R88" s="28" t="str">
        <f t="shared" si="7"/>
        <v/>
      </c>
      <c r="S88" s="28" t="str">
        <f t="array" ref="S88">IF($I87="","",
IF(
  AND(C88="B",C87&lt;&gt;"B"),
  XLOOKUP($B88,Derived_Variables!$A:$A,Derived_Variables!$K:$K,0)
  + XLOOKUP($B88,Derived_Variables!$A:$A,Derived_Variables!$AE:$AE,0),
  S87+AM87
))</f>
        <v/>
      </c>
      <c r="T88" s="28" t="str">
        <f t="shared" ref="T88:U88" si="186">IF($I87="","",T87+AN87)</f>
        <v/>
      </c>
      <c r="U88" s="28" t="str">
        <f t="shared" si="186"/>
        <v/>
      </c>
      <c r="V88" s="28" t="str">
        <f t="array" ref="V88">IF($I87="","",
IF(
  AND(C88="D",C87&lt;&gt;"D"),
  XLOOKUP($B88,Derived_Variables!$A:$A,Derived_Variables!$N:$N,0)
  + XLOOKUP($B88,Derived_Variables!$A:$A,Derived_Variables!$AE:$AE,0),
  V87+AP87
))</f>
        <v/>
      </c>
      <c r="W88" s="28" t="str">
        <f t="shared" ref="W88:X88" si="187">IF($I87="","",W87+AQ87)</f>
        <v/>
      </c>
      <c r="X88" s="28" t="str">
        <f t="shared" si="187"/>
        <v/>
      </c>
      <c r="Y88" s="28" t="str">
        <f t="array" ref="Y88">IF($I87="","",IF(AND(C88="P",C87&lt;&gt;"P"),IFERROR(XLOOKUP($B88,Lenso_Input!$A:$A,Lenso_Input!$E:$E,0),0),Y87+AS87))</f>
        <v/>
      </c>
      <c r="Z88" s="28" t="str">
        <f t="array" ref="Z88">IF($I87="","",IF(AND(C88="Q",C87&lt;&gt;"Q"),IFERROR(XLOOKUP($B88,Lenso_Input!$A:$A,Lenso_Input!$I:$I,0),0),Z87+AT87))</f>
        <v/>
      </c>
      <c r="AA88" s="28" t="str">
        <f t="array" ref="AA88">IF($I87="","",IF(XLOOKUP($B88,Derived_Variables!$A:$A,Derived_Variables!$R:$R,"6/6_target")="6/6_target","20_20_20","40_30_25"))</f>
        <v/>
      </c>
      <c r="AB88" s="28" t="str">
        <f t="array" ref="AB88">IF($I87="","",XLOOKUP(LOWER(XLOOKUP($B88,Derived_Variables!$A:$A,Derived_Variables!$T:$T,"Standard"))&amp;"_sph_step",Calibration!$B:$B,Calibration!$C:$C,0.25))</f>
        <v/>
      </c>
      <c r="AC88" s="28" t="str">
        <f t="array" ref="AC88">IF($I87="","",XLOOKUP(LOWER(XLOOKUP($B88,Derived_Variables!$A:$A,Derived_Variables!$T:$T,"Standard"))&amp;"_cyl_step",Calibration!$B:$B,Calibration!$C:$C,0.25))</f>
        <v/>
      </c>
      <c r="AD88" s="28" t="str">
        <f t="array" ref="AD88">IF($I87="","",IF(OR(C88="E",C88="H"),LET(startStep,XLOOKUP("axis_start_step",Calibration!$B:$B,Calibration!$C:$C,5),step1,XLOOKUP("axis_reversal_step_1",Calibration!$B:$B,Calibration!$C:$C,3),step2,XLOOKUP("axis_reversal_step_2",Calibration!$B:$B,Calibration!$C:$C,1),IF(OR(C87&lt;&gt;C88,AZ88="",AZ88="SAME",AZ88="CANT_TELL",I88="",I88="SAME",I88="CANT_TELL"),startStep,IF(OR(AND(AZ88="BETTER_1",I88="BETTER_2"),AND(AZ88="BETTER_2",I88="BETTER_1")),IF(AD87&gt;step1,step1,step2),AD87))),0))</f>
        <v/>
      </c>
      <c r="AE88" s="28" t="str">
        <f t="array" ref="AE88">IF($I87="","",XLOOKUP($B88,Derived_Variables!$A:$A,Derived_Variables!$AD:$AD,"No_Fog"))</f>
        <v/>
      </c>
      <c r="AF88" s="28" t="str">
        <f t="array" ref="AF88">IF($I87="","",XLOOKUP($B88,Derived_Variables!$A:$A,Derived_Variables!$AE:$AE,0))</f>
        <v/>
      </c>
      <c r="AG88" s="28" t="str">
        <f t="array" ref="AG88">IF($I87="","",XLOOKUP($B88,Derived_Variables!$A:$A,Derived_Variables!$AF:$AF,""))</f>
        <v/>
      </c>
      <c r="AH88" s="28" t="str">
        <f t="array" ref="AH88">IF($I87="","",XLOOKUP($B88,Derived_Variables!$A:$A,Derived_Variables!$AG:$AG,""))</f>
        <v/>
      </c>
      <c r="AI88" s="28" t="str">
        <f t="array" ref="AI88">IF($I87="","",XLOOKUP($B88,Derived_Variables!$A:$A,Derived_Variables!$AC:$AC,"Medium"))</f>
        <v/>
      </c>
      <c r="AJ88" s="28" t="str">
        <f t="array" ref="AJ88">IF($I87="","",XLOOKUP($B88,Derived_Variables!$A:$A,Derived_Variables!$Y:$Y,FALSE))</f>
        <v/>
      </c>
      <c r="AK88" s="28" t="str">
        <f t="array" ref="AK88">IF($I87="","",XLOOKUP($B88,Derived_Variables!$A:$A,Derived_Variables!$AA:$AA,"Normal"))</f>
        <v/>
      </c>
      <c r="AL88" s="28" t="str">
        <f t="array" ref="AL88">IF($I87="","",XLOOKUP($B88,Derived_Variables!$A:$A,Derived_Variables!$AB:$AB,"Normal"))</f>
        <v/>
      </c>
      <c r="AM88" s="28" t="str">
        <f t="array" ref="AM88">IF($I88="","",IFS(C88="B",IF(OR(I88="NOT_READABLE",I88="BLURRY"),-AB88,0),C88="G",IFS(I88="RED_CLEARER",XLOOKUP("duochrome_red_step",Calibration!$B:$B,Calibration!$C:$C,-0.25),I88="GREEN_CLEARER",XLOOKUP("duochrome_green_step",Calibration!$B:$B,Calibration!$C:$C,0.25),I88="EQUAL",IF(XLOOKUP($B88,Derived_Variables!$A:$A,Derived_Variables!$S:$S,"Neutral")="Undercorrect",XLOOKUP("undercorrect_step",Calibration!$B:$B,Calibration!$C:$C,0.25),IF(XLOOKUP($B88,Derived_Variables!$A:$A,Derived_Variables!$S:$S,"Neutral")="Overcorrect",-XLOOKUP("overcorrect_step",Calibration!$B:$B,Calibration!$C:$C,0.25),0)),TRUE,0),C88="K",IF(I88="TOP_CLEARER",XLOOKUP("bino_balance_step",Calibration!$B:$B,Calibration!$C:$C,0.25),0),TRUE,0))</f>
        <v/>
      </c>
      <c r="AN88" s="28" t="str">
        <f t="shared" si="10"/>
        <v/>
      </c>
      <c r="AO88" s="28" t="str">
        <f t="shared" si="11"/>
        <v/>
      </c>
      <c r="AP88" s="28" t="str">
        <f t="array" ref="AP88">IF($I88="","",IFS(C88="D",IF(OR(I88="NOT_READABLE",I88="BLURRY"),-AB88,0),C88="J",IFS(I88="RED_CLEARER",XLOOKUP("duochrome_red_step",Calibration!$B:$B,Calibration!$C:$C,-0.25),I88="GREEN_CLEARER",XLOOKUP("duochrome_green_step",Calibration!$B:$B,Calibration!$C:$C,0.25),I88="EQUAL",IF(XLOOKUP($B88,Derived_Variables!$A:$A,Derived_Variables!$S:$S,"Neutral")="Undercorrect",XLOOKUP("undercorrect_step",Calibration!$B:$B,Calibration!$C:$C,0.25),IF(XLOOKUP($B88,Derived_Variables!$A:$A,Derived_Variables!$S:$S,"Neutral")="Overcorrect",-XLOOKUP("overcorrect_step",Calibration!$B:$B,Calibration!$C:$C,0.25),0)),TRUE,0),C88="K",IF(I88="BOTTOM_CLEARER",XLOOKUP("bino_balance_step",Calibration!$B:$B,Calibration!$C:$C,0.25),0),TRUE,0))</f>
        <v/>
      </c>
      <c r="AQ88" s="28" t="str">
        <f t="shared" si="12"/>
        <v/>
      </c>
      <c r="AR88" s="28" t="str">
        <f t="shared" si="13"/>
        <v/>
      </c>
      <c r="AS88" s="28" t="str">
        <f t="array" ref="AS88">IF($I88="","",IF(C88="P",IF(OR(I88="NOT_READABLE",I88="BLURRY"),XLOOKUP("near_add_step",Calibration!$B:$B,Calibration!$C:$C,0.25),0),IF(C88="R",IF(I88="NOT_CLEAR",XLOOKUP("near_add_step",Calibration!$B:$B,Calibration!$C:$C,0.25),0),0)))</f>
        <v/>
      </c>
      <c r="AT88" s="28" t="str">
        <f t="array" ref="AT88">IF($I88="","",IF(C88="Q",IF(OR(I88="NOT_READABLE",I88="BLURRY"),XLOOKUP("near_add_step",Calibration!$B:$B,Calibration!$C:$C,0.25),0),IF(C88="R",IF(I88="NOT_CLEAR",XLOOKUP("near_add_step",Calibration!$B:$B,Calibration!$C:$C,0.25),0),0)))</f>
        <v/>
      </c>
      <c r="AU88" s="28" t="str">
        <f t="array" ref="AU88">IF($I88="","",IF(G88="SNELLEN_FEET",IF(I88="READABLE",IFERROR(XLOOKUP(XLOOKUP(R88,Chart_Scale_Distance!B:B,Chart_Scale_Distance!A:A)+1,Chart_Scale_Distance!A:A,Chart_Scale_Distance!B:B),R88),R88),R88))</f>
        <v/>
      </c>
      <c r="AV88" s="28" t="str">
        <f t="array" ref="AV88">IF($I87="","",IFERROR(XLOOKUP(R88,Chart_Scale_Distance!$B:$B,Chart_Scale_Distance!$A:$A,""),""))</f>
        <v/>
      </c>
      <c r="AW88" s="28" t="str">
        <f t="array" ref="AW88">IF($I87="","",IFERROR(XLOOKUP(AA88,Chart_Scale_Distance!$B:$B,Chart_Scale_Distance!$A:$A,""),""))</f>
        <v/>
      </c>
      <c r="AX88" s="28" t="str">
        <f t="shared" si="14"/>
        <v/>
      </c>
      <c r="AY88" s="28" t="str">
        <f t="shared" si="15"/>
        <v/>
      </c>
      <c r="AZ88" s="28" t="str">
        <f t="shared" si="16"/>
        <v/>
      </c>
      <c r="BA88" s="28" t="str">
        <f t="shared" si="17"/>
        <v/>
      </c>
      <c r="BB88" s="28" t="str">
        <f t="shared" si="18"/>
        <v/>
      </c>
      <c r="BC88" s="28" t="str">
        <f t="array" ref="BC88">IF($I88="","",LET(
conf,AI88,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duoMax,XLOOKUP($B88,Derived_Variables!$A:$A,Derived_Variables!$AI:$AI,4),
axisTol,XLOOKUP($B88,Derived_Variables!$A:$A,Derived_Variables!$W:$W,1),
maxStart,XLOOKUP($B88,Derived_Variables!$A:$A,Derived_Variables!$U:$U,1.25),
maxAR,XLOOKUP($B88,Derived_Variables!$A:$A,Derived_Variables!$V:$V,3),
anom,XLOOKUP($B88,Derived_Variables!$A:$A,Derived_Variables!$Z:$Z,FALSE),
reStart,XLOOKUP($B88,Derived_Variables!$A:$A,Derived_Variables!$K:$K,0),
leStart,XLOOKUP($B88,Derived_Variables!$A:$A,Derived_Variables!$N:$N,0),
reAR,XLOOKUP($B88,AR_Input!$A:$A,AR_Input!$B:$B,reStart),
leAR,XLOOKUP($B88,AR_Input!$A:$A,AR_Input!$E:$E,leStart),
reEsc,AND(anom,OR(ABS((S88+AM88)-reStart)&gt;maxStart,ABS((S88+AM88)-reAR)&gt;maxAR)),
leEsc,AND(anom,OR(ABS((V88+AP88)-leStart)&gt;maxStart,ABS((V88+AP88)-leAR)&gt;maxAR)),
phaseMax,IFS(
 AK88="Fast",
   IFS(
     OR(C88="B",C88="D"),XLOOKUP("timeout_coarse_fast",Calibration!$B:$B,Calibration!$C:$C,24),
     OR(C88="E",C88="F",C88="H",C88="I"),XLOOKUP("timeout_jcc_fast",Calibration!$B:$B,Calibration!$C:$C,10),
     OR(C88="G",C88="J"),XLOOKUP("timeout_duochrome_fast",Calibration!$B:$B,Calibration!$C:$C,8),
     C88="K",XLOOKUP("timeout_bino_fast",Calibration!$B:$B,Calibration!$C:$C,10),
     OR(C88="P",C88="Q",C88="R"),XLOOKUP("timeout_near_fast",Calibration!$B:$B,Calibration!$C:$C,16),
     TRUE,XLOOKUP("timeout_coarse_fast",Calibration!$B:$B,Calibration!$C:$C,24)
   ),
 AK88="Normal",
   IFS(
     OR(C88="B",C88="D"),XLOOKUP("timeout_coarse_normal",Calibration!$B:$B,Calibration!$C:$C,36),
     OR(C88="E",C88="F",C88="H",C88="I"),XLOOKUP("timeout_jcc_normal",Calibration!$B:$B,Calibration!$C:$C,14),
     OR(C88="G",C88="J"),XLOOKUP("timeout_duochrome_normal",Calibration!$B:$B,Calibration!$C:$C,10),
     C88="K",XLOOKUP("timeout_bino_normal",Calibration!$B:$B,Calibration!$C:$C,14),
     OR(C88="P",C88="Q",C88="R"),XLOOKUP("timeout_near_normal",Calibration!$B:$B,Calibration!$C:$C,22),
     TRUE,XLOOKUP("timeout_coarse_normal",Calibration!$B:$B,Calibration!$C:$C,36)
   ),
 TRUE,
   IFS(
     OR(C88="B",C88="D"),XLOOKUP("timeout_coarse_slow",Calibration!$B:$B,Calibration!$C:$C,48),
     OR(C88="E",C88="F",C88="H",C88="I"),XLOOKUP("timeout_jcc_slow",Calibration!$B:$B,Calibration!$C:$C,18),
     OR(C88="G",C88="J"),XLOOKUP("timeout_duochrome_slow",Calibration!$B:$B,Calibration!$C:$C,12),
     C88="K",XLOOKUP("timeout_bino_slow",Calibration!$B:$B,Calibration!$C:$C,18),
     OR(C88="P",C88="Q",C88="R"),XLOOKUP("timeout_near_slow",Calibration!$B:$B,Calibration!$C:$C,28),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AJ88=TRUE,"ESCALATE",
C88="A",
IF(OR(I88="NOT_READABLE",I88="BLURRY",AND(R88="20_20_20",I88="READABLE")),"B","A"),
C88="B",
IF(reEsc,"ESCALATE",IF(AY88&gt;=phaseMax,"ESCALATE",IF(AND(AV88&gt;=AW88,I88="READABLE"),"E","B"))),
C88="E",
IF(AY88&gt;=phaseMax,"ESCALATE",IF(OR(I88="SAME",I88="CANT_TELL",AD88&lt;axisTol),"F","E")),
C88="F",
IF(AY88&gt;=phaseMax,"ESCALATE",IF(AX88&gt;=powerSameN,"G","F")),
C88="G",
IF(AY88&gt;=phaseMax,"ESCALATE",IF(OR(AX88&gt;=duoEqualN,BB88&gt;=duoMax),"D","G")),
C88="D",
IF(leEsc,"ESCALATE",IF(AY88&gt;=phaseMax,"ESCALATE",IF(AND(AV88&gt;=AW88,I88="READABLE"),"H","D"))),
C88="H",
IF(AY88&gt;=phaseMax,"ESCALATE",IF(OR(I88="SAME",I88="CANT_TELL",AD88&lt;axisTol),"I","H")),
C88="I",
IF(AY88&gt;=phaseMax,"ESCALATE",IF(AX88&gt;=powerSameN,"J","I")),
C88="J",
IF(AY88&gt;=phaseMax,"ESCALATE",IF(OR(AX88&gt;=duoEqualN,BB88&gt;=duoMax),"K","J")),
C88="K",
IF(AY88&gt;=phaseMax,"ESCALATE",IF(AX88&gt;=binoSameN,IF(XLOOKUP($B88,Derived_Variables!$A:$A,Derived_Variables!$AJ:$AJ,FALSE)=TRUE,"P","END"),"K")),
C88="P",
IF(AY88&gt;=phaseMax,"ESCALATE",IF(OR(I88="READABLE",I88="SAME"),"Q","P")),
C88="Q",
IF(AY88&gt;=phaseMax,"ESCALATE",IF(OR(I88="READABLE",I88="SAME"),"R","Q")),
C88="R",
IF(AY88&gt;=phaseMax,"ESCALATE",IF(OR(I88=nearTarget,I88="SAME"),"END","R")),
TRUE,"END"
)))</f>
        <v/>
      </c>
      <c r="BD88" s="28" t="b">
        <f t="shared" si="19"/>
        <v>0</v>
      </c>
    </row>
    <row r="89" ht="15.75" customHeight="1">
      <c r="A89" s="28">
        <f t="shared" si="3"/>
        <v>88</v>
      </c>
      <c r="B89" s="28">
        <f t="shared" si="4"/>
        <v>6</v>
      </c>
      <c r="C89" s="28" t="str">
        <f t="shared" si="5"/>
        <v/>
      </c>
      <c r="D89" s="28" t="str">
        <f t="array" ref="D89">IF($I88="","",XLOOKUP(C89,FSM_State_Map!A:A,FSM_State_Map!B:B,""))</f>
        <v/>
      </c>
      <c r="E89" s="28" t="str">
        <f t="array" ref="E89">IF($I88="","",XLOOKUP(C89,FSM_State_Map!A:A,FSM_State_Map!C:C,""))</f>
        <v/>
      </c>
      <c r="F89" s="28" t="str">
        <f t="array" ref="F89">IF($I88="","",XLOOKUP(E89,Phase_UI_Map!A:A,Phase_UI_Map!B:B,""))</f>
        <v/>
      </c>
      <c r="G89" s="28" t="str">
        <f t="array" ref="G89">IF($I88="","",XLOOKUP(E89,Phase_UI_Map!A:A,Phase_UI_Map!C:C,""))</f>
        <v/>
      </c>
      <c r="H89" s="28" t="str">
        <f t="array" ref="H89">IF($I88="","",XLOOKUP(E89,Phase_UI_Map!A:A,Phase_UI_Map!D:D,""))</f>
        <v/>
      </c>
      <c r="I89" s="29"/>
      <c r="J89" s="28" t="str">
        <f>IFERROR(__xludf.DUMMYFUNCTION("IF($I88="""","""",IFERROR(INDEX(FILTER(Response_Lists!$B:$B,Response_Lists!$A:$A=$H89),1),""""))"),"")</f>
        <v/>
      </c>
      <c r="K89" s="28" t="str">
        <f>IFERROR(__xludf.DUMMYFUNCTION("IF($I88="""","""",IFERROR(INDEX(FILTER(Response_Lists!$B:$B,Response_Lists!$A:$A=$H89),2),""""))"),"")</f>
        <v/>
      </c>
      <c r="L89" s="28" t="str">
        <f>IFERROR(__xludf.DUMMYFUNCTION("IF($I88="""","""",IFERROR(INDEX(FILTER(Response_Lists!$B:$B,Response_Lists!$A:$A=$H89),3),""""))"),"")</f>
        <v/>
      </c>
      <c r="M89" s="28" t="str">
        <f>IFERROR(__xludf.DUMMYFUNCTION("IF($I88="""","""",IFERROR(INDEX(FILTER(Response_Lists!$B:$B,Response_Lists!$A:$A=$H89),4),""""))"),"")</f>
        <v/>
      </c>
      <c r="N89" s="28" t="str">
        <f>IFERROR(__xludf.DUMMYFUNCTION("IF($I88="""","""",IFERROR(INDEX(FILTER(Response_Lists!$B:$B,Response_Lists!$A:$A=$H89),5),""""))"),"")</f>
        <v/>
      </c>
      <c r="O89" s="28" t="str">
        <f>IFERROR(__xludf.DUMMYFUNCTION("IF($I88="""","""",IFERROR(INDEX(FILTER(Response_Lists!$B:$B,Response_Lists!$A:$A=$H89),6),""""))"),"")</f>
        <v/>
      </c>
      <c r="P89" s="28" t="str">
        <f t="shared" si="6"/>
        <v/>
      </c>
      <c r="Q89" s="28" t="str">
        <f t="array" ref="Q89">IF($I88="","",XLOOKUP(C89,FSM_State_Map!A:A,FSM_State_Map!D:D,""))</f>
        <v/>
      </c>
      <c r="R89" s="28" t="str">
        <f t="shared" si="7"/>
        <v/>
      </c>
      <c r="S89" s="28" t="str">
        <f t="array" ref="S89">IF($I88="","",
IF(
  AND(C89="B",C88&lt;&gt;"B"),
  XLOOKUP($B89,Derived_Variables!$A:$A,Derived_Variables!$K:$K,0)
  + XLOOKUP($B89,Derived_Variables!$A:$A,Derived_Variables!$AE:$AE,0),
  S88+AM88
))</f>
        <v/>
      </c>
      <c r="T89" s="28" t="str">
        <f t="shared" ref="T89:U89" si="188">IF($I88="","",T88+AN88)</f>
        <v/>
      </c>
      <c r="U89" s="28" t="str">
        <f t="shared" si="188"/>
        <v/>
      </c>
      <c r="V89" s="28" t="str">
        <f t="array" ref="V89">IF($I88="","",
IF(
  AND(C89="D",C88&lt;&gt;"D"),
  XLOOKUP($B89,Derived_Variables!$A:$A,Derived_Variables!$N:$N,0)
  + XLOOKUP($B89,Derived_Variables!$A:$A,Derived_Variables!$AE:$AE,0),
  V88+AP88
))</f>
        <v/>
      </c>
      <c r="W89" s="28" t="str">
        <f t="shared" ref="W89:X89" si="189">IF($I88="","",W88+AQ88)</f>
        <v/>
      </c>
      <c r="X89" s="28" t="str">
        <f t="shared" si="189"/>
        <v/>
      </c>
      <c r="Y89" s="28" t="str">
        <f t="array" ref="Y89">IF($I88="","",IF(AND(C89="P",C88&lt;&gt;"P"),IFERROR(XLOOKUP($B89,Lenso_Input!$A:$A,Lenso_Input!$E:$E,0),0),Y88+AS88))</f>
        <v/>
      </c>
      <c r="Z89" s="28" t="str">
        <f t="array" ref="Z89">IF($I88="","",IF(AND(C89="Q",C88&lt;&gt;"Q"),IFERROR(XLOOKUP($B89,Lenso_Input!$A:$A,Lenso_Input!$I:$I,0),0),Z88+AT88))</f>
        <v/>
      </c>
      <c r="AA89" s="28" t="str">
        <f t="array" ref="AA89">IF($I88="","",IF(XLOOKUP($B89,Derived_Variables!$A:$A,Derived_Variables!$R:$R,"6/6_target")="6/6_target","20_20_20","40_30_25"))</f>
        <v/>
      </c>
      <c r="AB89" s="28" t="str">
        <f t="array" ref="AB89">IF($I88="","",XLOOKUP(LOWER(XLOOKUP($B89,Derived_Variables!$A:$A,Derived_Variables!$T:$T,"Standard"))&amp;"_sph_step",Calibration!$B:$B,Calibration!$C:$C,0.25))</f>
        <v/>
      </c>
      <c r="AC89" s="28" t="str">
        <f t="array" ref="AC89">IF($I88="","",XLOOKUP(LOWER(XLOOKUP($B89,Derived_Variables!$A:$A,Derived_Variables!$T:$T,"Standard"))&amp;"_cyl_step",Calibration!$B:$B,Calibration!$C:$C,0.25))</f>
        <v/>
      </c>
      <c r="AD89" s="28" t="str">
        <f t="array" ref="AD89">IF($I88="","",IF(OR(C89="E",C89="H"),LET(startStep,XLOOKUP("axis_start_step",Calibration!$B:$B,Calibration!$C:$C,5),step1,XLOOKUP("axis_reversal_step_1",Calibration!$B:$B,Calibration!$C:$C,3),step2,XLOOKUP("axis_reversal_step_2",Calibration!$B:$B,Calibration!$C:$C,1),IF(OR(C88&lt;&gt;C89,AZ89="",AZ89="SAME",AZ89="CANT_TELL",I89="",I89="SAME",I89="CANT_TELL"),startStep,IF(OR(AND(AZ89="BETTER_1",I89="BETTER_2"),AND(AZ89="BETTER_2",I89="BETTER_1")),IF(AD88&gt;step1,step1,step2),AD88))),0))</f>
        <v/>
      </c>
      <c r="AE89" s="28" t="str">
        <f t="array" ref="AE89">IF($I88="","",XLOOKUP($B89,Derived_Variables!$A:$A,Derived_Variables!$AD:$AD,"No_Fog"))</f>
        <v/>
      </c>
      <c r="AF89" s="28" t="str">
        <f t="array" ref="AF89">IF($I88="","",XLOOKUP($B89,Derived_Variables!$A:$A,Derived_Variables!$AE:$AE,0))</f>
        <v/>
      </c>
      <c r="AG89" s="28" t="str">
        <f t="array" ref="AG89">IF($I88="","",XLOOKUP($B89,Derived_Variables!$A:$A,Derived_Variables!$AF:$AF,""))</f>
        <v/>
      </c>
      <c r="AH89" s="28" t="str">
        <f t="array" ref="AH89">IF($I88="","",XLOOKUP($B89,Derived_Variables!$A:$A,Derived_Variables!$AG:$AG,""))</f>
        <v/>
      </c>
      <c r="AI89" s="28" t="str">
        <f t="array" ref="AI89">IF($I88="","",XLOOKUP($B89,Derived_Variables!$A:$A,Derived_Variables!$AC:$AC,"Medium"))</f>
        <v/>
      </c>
      <c r="AJ89" s="28" t="str">
        <f t="array" ref="AJ89">IF($I88="","",XLOOKUP($B89,Derived_Variables!$A:$A,Derived_Variables!$Y:$Y,FALSE))</f>
        <v/>
      </c>
      <c r="AK89" s="28" t="str">
        <f t="array" ref="AK89">IF($I88="","",XLOOKUP($B89,Derived_Variables!$A:$A,Derived_Variables!$AA:$AA,"Normal"))</f>
        <v/>
      </c>
      <c r="AL89" s="28" t="str">
        <f t="array" ref="AL89">IF($I88="","",XLOOKUP($B89,Derived_Variables!$A:$A,Derived_Variables!$AB:$AB,"Normal"))</f>
        <v/>
      </c>
      <c r="AM89" s="28" t="str">
        <f t="array" ref="AM89">IF($I89="","",IFS(C89="B",IF(OR(I89="NOT_READABLE",I89="BLURRY"),-AB89,0),C89="G",IFS(I89="RED_CLEARER",XLOOKUP("duochrome_red_step",Calibration!$B:$B,Calibration!$C:$C,-0.25),I89="GREEN_CLEARER",XLOOKUP("duochrome_green_step",Calibration!$B:$B,Calibration!$C:$C,0.25),I89="EQUAL",IF(XLOOKUP($B89,Derived_Variables!$A:$A,Derived_Variables!$S:$S,"Neutral")="Undercorrect",XLOOKUP("undercorrect_step",Calibration!$B:$B,Calibration!$C:$C,0.25),IF(XLOOKUP($B89,Derived_Variables!$A:$A,Derived_Variables!$S:$S,"Neutral")="Overcorrect",-XLOOKUP("overcorrect_step",Calibration!$B:$B,Calibration!$C:$C,0.25),0)),TRUE,0),C89="K",IF(I89="TOP_CLEARER",XLOOKUP("bino_balance_step",Calibration!$B:$B,Calibration!$C:$C,0.25),0),TRUE,0))</f>
        <v/>
      </c>
      <c r="AN89" s="28" t="str">
        <f t="shared" si="10"/>
        <v/>
      </c>
      <c r="AO89" s="28" t="str">
        <f t="shared" si="11"/>
        <v/>
      </c>
      <c r="AP89" s="28" t="str">
        <f t="array" ref="AP89">IF($I89="","",IFS(C89="D",IF(OR(I89="NOT_READABLE",I89="BLURRY"),-AB89,0),C89="J",IFS(I89="RED_CLEARER",XLOOKUP("duochrome_red_step",Calibration!$B:$B,Calibration!$C:$C,-0.25),I89="GREEN_CLEARER",XLOOKUP("duochrome_green_step",Calibration!$B:$B,Calibration!$C:$C,0.25),I89="EQUAL",IF(XLOOKUP($B89,Derived_Variables!$A:$A,Derived_Variables!$S:$S,"Neutral")="Undercorrect",XLOOKUP("undercorrect_step",Calibration!$B:$B,Calibration!$C:$C,0.25),IF(XLOOKUP($B89,Derived_Variables!$A:$A,Derived_Variables!$S:$S,"Neutral")="Overcorrect",-XLOOKUP("overcorrect_step",Calibration!$B:$B,Calibration!$C:$C,0.25),0)),TRUE,0),C89="K",IF(I89="BOTTOM_CLEARER",XLOOKUP("bino_balance_step",Calibration!$B:$B,Calibration!$C:$C,0.25),0),TRUE,0))</f>
        <v/>
      </c>
      <c r="AQ89" s="28" t="str">
        <f t="shared" si="12"/>
        <v/>
      </c>
      <c r="AR89" s="28" t="str">
        <f t="shared" si="13"/>
        <v/>
      </c>
      <c r="AS89" s="28" t="str">
        <f t="array" ref="AS89">IF($I89="","",IF(C89="P",IF(OR(I89="NOT_READABLE",I89="BLURRY"),XLOOKUP("near_add_step",Calibration!$B:$B,Calibration!$C:$C,0.25),0),IF(C89="R",IF(I89="NOT_CLEAR",XLOOKUP("near_add_step",Calibration!$B:$B,Calibration!$C:$C,0.25),0),0)))</f>
        <v/>
      </c>
      <c r="AT89" s="28" t="str">
        <f t="array" ref="AT89">IF($I89="","",IF(C89="Q",IF(OR(I89="NOT_READABLE",I89="BLURRY"),XLOOKUP("near_add_step",Calibration!$B:$B,Calibration!$C:$C,0.25),0),IF(C89="R",IF(I89="NOT_CLEAR",XLOOKUP("near_add_step",Calibration!$B:$B,Calibration!$C:$C,0.25),0),0)))</f>
        <v/>
      </c>
      <c r="AU89" s="28" t="str">
        <f t="array" ref="AU89">IF($I89="","",IF(G89="SNELLEN_FEET",IF(I89="READABLE",IFERROR(XLOOKUP(XLOOKUP(R89,Chart_Scale_Distance!B:B,Chart_Scale_Distance!A:A)+1,Chart_Scale_Distance!A:A,Chart_Scale_Distance!B:B),R89),R89),R89))</f>
        <v/>
      </c>
      <c r="AV89" s="28" t="str">
        <f t="array" ref="AV89">IF($I88="","",IFERROR(XLOOKUP(R89,Chart_Scale_Distance!$B:$B,Chart_Scale_Distance!$A:$A,""),""))</f>
        <v/>
      </c>
      <c r="AW89" s="28" t="str">
        <f t="array" ref="AW89">IF($I88="","",IFERROR(XLOOKUP(AA89,Chart_Scale_Distance!$B:$B,Chart_Scale_Distance!$A:$A,""),""))</f>
        <v/>
      </c>
      <c r="AX89" s="28" t="str">
        <f t="shared" si="14"/>
        <v/>
      </c>
      <c r="AY89" s="28" t="str">
        <f t="shared" si="15"/>
        <v/>
      </c>
      <c r="AZ89" s="28" t="str">
        <f t="shared" si="16"/>
        <v/>
      </c>
      <c r="BA89" s="28" t="str">
        <f t="shared" si="17"/>
        <v/>
      </c>
      <c r="BB89" s="28" t="str">
        <f t="shared" si="18"/>
        <v/>
      </c>
      <c r="BC89" s="28" t="str">
        <f t="array" ref="BC89">IF($I89="","",LET(
conf,AI89,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duoMax,XLOOKUP($B89,Derived_Variables!$A:$A,Derived_Variables!$AI:$AI,4),
axisTol,XLOOKUP($B89,Derived_Variables!$A:$A,Derived_Variables!$W:$W,1),
maxStart,XLOOKUP($B89,Derived_Variables!$A:$A,Derived_Variables!$U:$U,1.25),
maxAR,XLOOKUP($B89,Derived_Variables!$A:$A,Derived_Variables!$V:$V,3),
anom,XLOOKUP($B89,Derived_Variables!$A:$A,Derived_Variables!$Z:$Z,FALSE),
reStart,XLOOKUP($B89,Derived_Variables!$A:$A,Derived_Variables!$K:$K,0),
leStart,XLOOKUP($B89,Derived_Variables!$A:$A,Derived_Variables!$N:$N,0),
reAR,XLOOKUP($B89,AR_Input!$A:$A,AR_Input!$B:$B,reStart),
leAR,XLOOKUP($B89,AR_Input!$A:$A,AR_Input!$E:$E,leStart),
reEsc,AND(anom,OR(ABS((S89+AM89)-reStart)&gt;maxStart,ABS((S89+AM89)-reAR)&gt;maxAR)),
leEsc,AND(anom,OR(ABS((V89+AP89)-leStart)&gt;maxStart,ABS((V89+AP89)-leAR)&gt;maxAR)),
phaseMax,IFS(
 AK89="Fast",
   IFS(
     OR(C89="B",C89="D"),XLOOKUP("timeout_coarse_fast",Calibration!$B:$B,Calibration!$C:$C,24),
     OR(C89="E",C89="F",C89="H",C89="I"),XLOOKUP("timeout_jcc_fast",Calibration!$B:$B,Calibration!$C:$C,10),
     OR(C89="G",C89="J"),XLOOKUP("timeout_duochrome_fast",Calibration!$B:$B,Calibration!$C:$C,8),
     C89="K",XLOOKUP("timeout_bino_fast",Calibration!$B:$B,Calibration!$C:$C,10),
     OR(C89="P",C89="Q",C89="R"),XLOOKUP("timeout_near_fast",Calibration!$B:$B,Calibration!$C:$C,16),
     TRUE,XLOOKUP("timeout_coarse_fast",Calibration!$B:$B,Calibration!$C:$C,24)
   ),
 AK89="Normal",
   IFS(
     OR(C89="B",C89="D"),XLOOKUP("timeout_coarse_normal",Calibration!$B:$B,Calibration!$C:$C,36),
     OR(C89="E",C89="F",C89="H",C89="I"),XLOOKUP("timeout_jcc_normal",Calibration!$B:$B,Calibration!$C:$C,14),
     OR(C89="G",C89="J"),XLOOKUP("timeout_duochrome_normal",Calibration!$B:$B,Calibration!$C:$C,10),
     C89="K",XLOOKUP("timeout_bino_normal",Calibration!$B:$B,Calibration!$C:$C,14),
     OR(C89="P",C89="Q",C89="R"),XLOOKUP("timeout_near_normal",Calibration!$B:$B,Calibration!$C:$C,22),
     TRUE,XLOOKUP("timeout_coarse_normal",Calibration!$B:$B,Calibration!$C:$C,36)
   ),
 TRUE,
   IFS(
     OR(C89="B",C89="D"),XLOOKUP("timeout_coarse_slow",Calibration!$B:$B,Calibration!$C:$C,48),
     OR(C89="E",C89="F",C89="H",C89="I"),XLOOKUP("timeout_jcc_slow",Calibration!$B:$B,Calibration!$C:$C,18),
     OR(C89="G",C89="J"),XLOOKUP("timeout_duochrome_slow",Calibration!$B:$B,Calibration!$C:$C,12),
     C89="K",XLOOKUP("timeout_bino_slow",Calibration!$B:$B,Calibration!$C:$C,18),
     OR(C89="P",C89="Q",C89="R"),XLOOKUP("timeout_near_slow",Calibration!$B:$B,Calibration!$C:$C,28),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AJ89=TRUE,"ESCALATE",
C89="A",
IF(OR(I89="NOT_READABLE",I89="BLURRY",AND(R89="20_20_20",I89="READABLE")),"B","A"),
C89="B",
IF(reEsc,"ESCALATE",IF(AY89&gt;=phaseMax,"ESCALATE",IF(AND(AV89&gt;=AW89,I89="READABLE"),"E","B"))),
C89="E",
IF(AY89&gt;=phaseMax,"ESCALATE",IF(OR(I89="SAME",I89="CANT_TELL",AD89&lt;axisTol),"F","E")),
C89="F",
IF(AY89&gt;=phaseMax,"ESCALATE",IF(AX89&gt;=powerSameN,"G","F")),
C89="G",
IF(AY89&gt;=phaseMax,"ESCALATE",IF(OR(AX89&gt;=duoEqualN,BB89&gt;=duoMax),"D","G")),
C89="D",
IF(leEsc,"ESCALATE",IF(AY89&gt;=phaseMax,"ESCALATE",IF(AND(AV89&gt;=AW89,I89="READABLE"),"H","D"))),
C89="H",
IF(AY89&gt;=phaseMax,"ESCALATE",IF(OR(I89="SAME",I89="CANT_TELL",AD89&lt;axisTol),"I","H")),
C89="I",
IF(AY89&gt;=phaseMax,"ESCALATE",IF(AX89&gt;=powerSameN,"J","I")),
C89="J",
IF(AY89&gt;=phaseMax,"ESCALATE",IF(OR(AX89&gt;=duoEqualN,BB89&gt;=duoMax),"K","J")),
C89="K",
IF(AY89&gt;=phaseMax,"ESCALATE",IF(AX89&gt;=binoSameN,IF(XLOOKUP($B89,Derived_Variables!$A:$A,Derived_Variables!$AJ:$AJ,FALSE)=TRUE,"P","END"),"K")),
C89="P",
IF(AY89&gt;=phaseMax,"ESCALATE",IF(OR(I89="READABLE",I89="SAME"),"Q","P")),
C89="Q",
IF(AY89&gt;=phaseMax,"ESCALATE",IF(OR(I89="READABLE",I89="SAME"),"R","Q")),
C89="R",
IF(AY89&gt;=phaseMax,"ESCALATE",IF(OR(I89=nearTarget,I89="SAME"),"END","R")),
TRUE,"END"
)))</f>
        <v/>
      </c>
      <c r="BD89" s="28" t="b">
        <f t="shared" si="19"/>
        <v>0</v>
      </c>
    </row>
    <row r="90" ht="15.75" customHeight="1">
      <c r="A90" s="28">
        <f t="shared" si="3"/>
        <v>89</v>
      </c>
      <c r="B90" s="28">
        <f t="shared" si="4"/>
        <v>6</v>
      </c>
      <c r="C90" s="28" t="str">
        <f t="shared" si="5"/>
        <v/>
      </c>
      <c r="D90" s="28" t="str">
        <f t="array" ref="D90">IF($I89="","",XLOOKUP(C90,FSM_State_Map!A:A,FSM_State_Map!B:B,""))</f>
        <v/>
      </c>
      <c r="E90" s="28" t="str">
        <f t="array" ref="E90">IF($I89="","",XLOOKUP(C90,FSM_State_Map!A:A,FSM_State_Map!C:C,""))</f>
        <v/>
      </c>
      <c r="F90" s="28" t="str">
        <f t="array" ref="F90">IF($I89="","",XLOOKUP(E90,Phase_UI_Map!A:A,Phase_UI_Map!B:B,""))</f>
        <v/>
      </c>
      <c r="G90" s="28" t="str">
        <f t="array" ref="G90">IF($I89="","",XLOOKUP(E90,Phase_UI_Map!A:A,Phase_UI_Map!C:C,""))</f>
        <v/>
      </c>
      <c r="H90" s="28" t="str">
        <f t="array" ref="H90">IF($I89="","",XLOOKUP(E90,Phase_UI_Map!A:A,Phase_UI_Map!D:D,""))</f>
        <v/>
      </c>
      <c r="I90" s="29"/>
      <c r="J90" s="28" t="str">
        <f>IFERROR(__xludf.DUMMYFUNCTION("IF($I89="""","""",IFERROR(INDEX(FILTER(Response_Lists!$B:$B,Response_Lists!$A:$A=$H90),1),""""))"),"")</f>
        <v/>
      </c>
      <c r="K90" s="28" t="str">
        <f>IFERROR(__xludf.DUMMYFUNCTION("IF($I89="""","""",IFERROR(INDEX(FILTER(Response_Lists!$B:$B,Response_Lists!$A:$A=$H90),2),""""))"),"")</f>
        <v/>
      </c>
      <c r="L90" s="28" t="str">
        <f>IFERROR(__xludf.DUMMYFUNCTION("IF($I89="""","""",IFERROR(INDEX(FILTER(Response_Lists!$B:$B,Response_Lists!$A:$A=$H90),3),""""))"),"")</f>
        <v/>
      </c>
      <c r="M90" s="28" t="str">
        <f>IFERROR(__xludf.DUMMYFUNCTION("IF($I89="""","""",IFERROR(INDEX(FILTER(Response_Lists!$B:$B,Response_Lists!$A:$A=$H90),4),""""))"),"")</f>
        <v/>
      </c>
      <c r="N90" s="28" t="str">
        <f>IFERROR(__xludf.DUMMYFUNCTION("IF($I89="""","""",IFERROR(INDEX(FILTER(Response_Lists!$B:$B,Response_Lists!$A:$A=$H90),5),""""))"),"")</f>
        <v/>
      </c>
      <c r="O90" s="28" t="str">
        <f>IFERROR(__xludf.DUMMYFUNCTION("IF($I89="""","""",IFERROR(INDEX(FILTER(Response_Lists!$B:$B,Response_Lists!$A:$A=$H90),6),""""))"),"")</f>
        <v/>
      </c>
      <c r="P90" s="28" t="str">
        <f t="shared" si="6"/>
        <v/>
      </c>
      <c r="Q90" s="28" t="str">
        <f t="array" ref="Q90">IF($I89="","",XLOOKUP(C90,FSM_State_Map!A:A,FSM_State_Map!D:D,""))</f>
        <v/>
      </c>
      <c r="R90" s="28" t="str">
        <f t="shared" si="7"/>
        <v/>
      </c>
      <c r="S90" s="28" t="str">
        <f t="array" ref="S90">IF($I89="","",
IF(
  AND(C90="B",C89&lt;&gt;"B"),
  XLOOKUP($B90,Derived_Variables!$A:$A,Derived_Variables!$K:$K,0)
  + XLOOKUP($B90,Derived_Variables!$A:$A,Derived_Variables!$AE:$AE,0),
  S89+AM89
))</f>
        <v/>
      </c>
      <c r="T90" s="28" t="str">
        <f t="shared" ref="T90:U90" si="190">IF($I89="","",T89+AN89)</f>
        <v/>
      </c>
      <c r="U90" s="28" t="str">
        <f t="shared" si="190"/>
        <v/>
      </c>
      <c r="V90" s="28" t="str">
        <f t="array" ref="V90">IF($I89="","",
IF(
  AND(C90="D",C89&lt;&gt;"D"),
  XLOOKUP($B90,Derived_Variables!$A:$A,Derived_Variables!$N:$N,0)
  + XLOOKUP($B90,Derived_Variables!$A:$A,Derived_Variables!$AE:$AE,0),
  V89+AP89
))</f>
        <v/>
      </c>
      <c r="W90" s="28" t="str">
        <f t="shared" ref="W90:X90" si="191">IF($I89="","",W89+AQ89)</f>
        <v/>
      </c>
      <c r="X90" s="28" t="str">
        <f t="shared" si="191"/>
        <v/>
      </c>
      <c r="Y90" s="28" t="str">
        <f t="array" ref="Y90">IF($I89="","",IF(AND(C90="P",C89&lt;&gt;"P"),IFERROR(XLOOKUP($B90,Lenso_Input!$A:$A,Lenso_Input!$E:$E,0),0),Y89+AS89))</f>
        <v/>
      </c>
      <c r="Z90" s="28" t="str">
        <f t="array" ref="Z90">IF($I89="","",IF(AND(C90="Q",C89&lt;&gt;"Q"),IFERROR(XLOOKUP($B90,Lenso_Input!$A:$A,Lenso_Input!$I:$I,0),0),Z89+AT89))</f>
        <v/>
      </c>
      <c r="AA90" s="28" t="str">
        <f t="array" ref="AA90">IF($I89="","",IF(XLOOKUP($B90,Derived_Variables!$A:$A,Derived_Variables!$R:$R,"6/6_target")="6/6_target","20_20_20","40_30_25"))</f>
        <v/>
      </c>
      <c r="AB90" s="28" t="str">
        <f t="array" ref="AB90">IF($I89="","",XLOOKUP(LOWER(XLOOKUP($B90,Derived_Variables!$A:$A,Derived_Variables!$T:$T,"Standard"))&amp;"_sph_step",Calibration!$B:$B,Calibration!$C:$C,0.25))</f>
        <v/>
      </c>
      <c r="AC90" s="28" t="str">
        <f t="array" ref="AC90">IF($I89="","",XLOOKUP(LOWER(XLOOKUP($B90,Derived_Variables!$A:$A,Derived_Variables!$T:$T,"Standard"))&amp;"_cyl_step",Calibration!$B:$B,Calibration!$C:$C,0.25))</f>
        <v/>
      </c>
      <c r="AD90" s="28" t="str">
        <f t="array" ref="AD90">IF($I89="","",IF(OR(C90="E",C90="H"),LET(startStep,XLOOKUP("axis_start_step",Calibration!$B:$B,Calibration!$C:$C,5),step1,XLOOKUP("axis_reversal_step_1",Calibration!$B:$B,Calibration!$C:$C,3),step2,XLOOKUP("axis_reversal_step_2",Calibration!$B:$B,Calibration!$C:$C,1),IF(OR(C89&lt;&gt;C90,AZ90="",AZ90="SAME",AZ90="CANT_TELL",I90="",I90="SAME",I90="CANT_TELL"),startStep,IF(OR(AND(AZ90="BETTER_1",I90="BETTER_2"),AND(AZ90="BETTER_2",I90="BETTER_1")),IF(AD89&gt;step1,step1,step2),AD89))),0))</f>
        <v/>
      </c>
      <c r="AE90" s="28" t="str">
        <f t="array" ref="AE90">IF($I89="","",XLOOKUP($B90,Derived_Variables!$A:$A,Derived_Variables!$AD:$AD,"No_Fog"))</f>
        <v/>
      </c>
      <c r="AF90" s="28" t="str">
        <f t="array" ref="AF90">IF($I89="","",XLOOKUP($B90,Derived_Variables!$A:$A,Derived_Variables!$AE:$AE,0))</f>
        <v/>
      </c>
      <c r="AG90" s="28" t="str">
        <f t="array" ref="AG90">IF($I89="","",XLOOKUP($B90,Derived_Variables!$A:$A,Derived_Variables!$AF:$AF,""))</f>
        <v/>
      </c>
      <c r="AH90" s="28" t="str">
        <f t="array" ref="AH90">IF($I89="","",XLOOKUP($B90,Derived_Variables!$A:$A,Derived_Variables!$AG:$AG,""))</f>
        <v/>
      </c>
      <c r="AI90" s="28" t="str">
        <f t="array" ref="AI90">IF($I89="","",XLOOKUP($B90,Derived_Variables!$A:$A,Derived_Variables!$AC:$AC,"Medium"))</f>
        <v/>
      </c>
      <c r="AJ90" s="28" t="str">
        <f t="array" ref="AJ90">IF($I89="","",XLOOKUP($B90,Derived_Variables!$A:$A,Derived_Variables!$Y:$Y,FALSE))</f>
        <v/>
      </c>
      <c r="AK90" s="28" t="str">
        <f t="array" ref="AK90">IF($I89="","",XLOOKUP($B90,Derived_Variables!$A:$A,Derived_Variables!$AA:$AA,"Normal"))</f>
        <v/>
      </c>
      <c r="AL90" s="28" t="str">
        <f t="array" ref="AL90">IF($I89="","",XLOOKUP($B90,Derived_Variables!$A:$A,Derived_Variables!$AB:$AB,"Normal"))</f>
        <v/>
      </c>
      <c r="AM90" s="28" t="str">
        <f t="array" ref="AM90">IF($I90="","",IFS(C90="B",IF(OR(I90="NOT_READABLE",I90="BLURRY"),-AB90,0),C90="G",IFS(I90="RED_CLEARER",XLOOKUP("duochrome_red_step",Calibration!$B:$B,Calibration!$C:$C,-0.25),I90="GREEN_CLEARER",XLOOKUP("duochrome_green_step",Calibration!$B:$B,Calibration!$C:$C,0.25),I90="EQUAL",IF(XLOOKUP($B90,Derived_Variables!$A:$A,Derived_Variables!$S:$S,"Neutral")="Undercorrect",XLOOKUP("undercorrect_step",Calibration!$B:$B,Calibration!$C:$C,0.25),IF(XLOOKUP($B90,Derived_Variables!$A:$A,Derived_Variables!$S:$S,"Neutral")="Overcorrect",-XLOOKUP("overcorrect_step",Calibration!$B:$B,Calibration!$C:$C,0.25),0)),TRUE,0),C90="K",IF(I90="TOP_CLEARER",XLOOKUP("bino_balance_step",Calibration!$B:$B,Calibration!$C:$C,0.25),0),TRUE,0))</f>
        <v/>
      </c>
      <c r="AN90" s="28" t="str">
        <f t="shared" si="10"/>
        <v/>
      </c>
      <c r="AO90" s="28" t="str">
        <f t="shared" si="11"/>
        <v/>
      </c>
      <c r="AP90" s="28" t="str">
        <f t="array" ref="AP90">IF($I90="","",IFS(C90="D",IF(OR(I90="NOT_READABLE",I90="BLURRY"),-AB90,0),C90="J",IFS(I90="RED_CLEARER",XLOOKUP("duochrome_red_step",Calibration!$B:$B,Calibration!$C:$C,-0.25),I90="GREEN_CLEARER",XLOOKUP("duochrome_green_step",Calibration!$B:$B,Calibration!$C:$C,0.25),I90="EQUAL",IF(XLOOKUP($B90,Derived_Variables!$A:$A,Derived_Variables!$S:$S,"Neutral")="Undercorrect",XLOOKUP("undercorrect_step",Calibration!$B:$B,Calibration!$C:$C,0.25),IF(XLOOKUP($B90,Derived_Variables!$A:$A,Derived_Variables!$S:$S,"Neutral")="Overcorrect",-XLOOKUP("overcorrect_step",Calibration!$B:$B,Calibration!$C:$C,0.25),0)),TRUE,0),C90="K",IF(I90="BOTTOM_CLEARER",XLOOKUP("bino_balance_step",Calibration!$B:$B,Calibration!$C:$C,0.25),0),TRUE,0))</f>
        <v/>
      </c>
      <c r="AQ90" s="28" t="str">
        <f t="shared" si="12"/>
        <v/>
      </c>
      <c r="AR90" s="28" t="str">
        <f t="shared" si="13"/>
        <v/>
      </c>
      <c r="AS90" s="28" t="str">
        <f t="array" ref="AS90">IF($I90="","",IF(C90="P",IF(OR(I90="NOT_READABLE",I90="BLURRY"),XLOOKUP("near_add_step",Calibration!$B:$B,Calibration!$C:$C,0.25),0),IF(C90="R",IF(I90="NOT_CLEAR",XLOOKUP("near_add_step",Calibration!$B:$B,Calibration!$C:$C,0.25),0),0)))</f>
        <v/>
      </c>
      <c r="AT90" s="28" t="str">
        <f t="array" ref="AT90">IF($I90="","",IF(C90="Q",IF(OR(I90="NOT_READABLE",I90="BLURRY"),XLOOKUP("near_add_step",Calibration!$B:$B,Calibration!$C:$C,0.25),0),IF(C90="R",IF(I90="NOT_CLEAR",XLOOKUP("near_add_step",Calibration!$B:$B,Calibration!$C:$C,0.25),0),0)))</f>
        <v/>
      </c>
      <c r="AU90" s="28" t="str">
        <f t="array" ref="AU90">IF($I90="","",IF(G90="SNELLEN_FEET",IF(I90="READABLE",IFERROR(XLOOKUP(XLOOKUP(R90,Chart_Scale_Distance!B:B,Chart_Scale_Distance!A:A)+1,Chart_Scale_Distance!A:A,Chart_Scale_Distance!B:B),R90),R90),R90))</f>
        <v/>
      </c>
      <c r="AV90" s="28" t="str">
        <f t="array" ref="AV90">IF($I89="","",IFERROR(XLOOKUP(R90,Chart_Scale_Distance!$B:$B,Chart_Scale_Distance!$A:$A,""),""))</f>
        <v/>
      </c>
      <c r="AW90" s="28" t="str">
        <f t="array" ref="AW90">IF($I89="","",IFERROR(XLOOKUP(AA90,Chart_Scale_Distance!$B:$B,Chart_Scale_Distance!$A:$A,""),""))</f>
        <v/>
      </c>
      <c r="AX90" s="28" t="str">
        <f t="shared" si="14"/>
        <v/>
      </c>
      <c r="AY90" s="28" t="str">
        <f t="shared" si="15"/>
        <v/>
      </c>
      <c r="AZ90" s="28" t="str">
        <f t="shared" si="16"/>
        <v/>
      </c>
      <c r="BA90" s="28" t="str">
        <f t="shared" si="17"/>
        <v/>
      </c>
      <c r="BB90" s="28" t="str">
        <f t="shared" si="18"/>
        <v/>
      </c>
      <c r="BC90" s="28" t="str">
        <f t="array" ref="BC90">IF($I90="","",LET(
conf,AI90,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duoMax,XLOOKUP($B90,Derived_Variables!$A:$A,Derived_Variables!$AI:$AI,4),
axisTol,XLOOKUP($B90,Derived_Variables!$A:$A,Derived_Variables!$W:$W,1),
maxStart,XLOOKUP($B90,Derived_Variables!$A:$A,Derived_Variables!$U:$U,1.25),
maxAR,XLOOKUP($B90,Derived_Variables!$A:$A,Derived_Variables!$V:$V,3),
anom,XLOOKUP($B90,Derived_Variables!$A:$A,Derived_Variables!$Z:$Z,FALSE),
reStart,XLOOKUP($B90,Derived_Variables!$A:$A,Derived_Variables!$K:$K,0),
leStart,XLOOKUP($B90,Derived_Variables!$A:$A,Derived_Variables!$N:$N,0),
reAR,XLOOKUP($B90,AR_Input!$A:$A,AR_Input!$B:$B,reStart),
leAR,XLOOKUP($B90,AR_Input!$A:$A,AR_Input!$E:$E,leStart),
reEsc,AND(anom,OR(ABS((S90+AM90)-reStart)&gt;maxStart,ABS((S90+AM90)-reAR)&gt;maxAR)),
leEsc,AND(anom,OR(ABS((V90+AP90)-leStart)&gt;maxStart,ABS((V90+AP90)-leAR)&gt;maxAR)),
phaseMax,IFS(
 AK90="Fast",
   IFS(
     OR(C90="B",C90="D"),XLOOKUP("timeout_coarse_fast",Calibration!$B:$B,Calibration!$C:$C,24),
     OR(C90="E",C90="F",C90="H",C90="I"),XLOOKUP("timeout_jcc_fast",Calibration!$B:$B,Calibration!$C:$C,10),
     OR(C90="G",C90="J"),XLOOKUP("timeout_duochrome_fast",Calibration!$B:$B,Calibration!$C:$C,8),
     C90="K",XLOOKUP("timeout_bino_fast",Calibration!$B:$B,Calibration!$C:$C,10),
     OR(C90="P",C90="Q",C90="R"),XLOOKUP("timeout_near_fast",Calibration!$B:$B,Calibration!$C:$C,16),
     TRUE,XLOOKUP("timeout_coarse_fast",Calibration!$B:$B,Calibration!$C:$C,24)
   ),
 AK90="Normal",
   IFS(
     OR(C90="B",C90="D"),XLOOKUP("timeout_coarse_normal",Calibration!$B:$B,Calibration!$C:$C,36),
     OR(C90="E",C90="F",C90="H",C90="I"),XLOOKUP("timeout_jcc_normal",Calibration!$B:$B,Calibration!$C:$C,14),
     OR(C90="G",C90="J"),XLOOKUP("timeout_duochrome_normal",Calibration!$B:$B,Calibration!$C:$C,10),
     C90="K",XLOOKUP("timeout_bino_normal",Calibration!$B:$B,Calibration!$C:$C,14),
     OR(C90="P",C90="Q",C90="R"),XLOOKUP("timeout_near_normal",Calibration!$B:$B,Calibration!$C:$C,22),
     TRUE,XLOOKUP("timeout_coarse_normal",Calibration!$B:$B,Calibration!$C:$C,36)
   ),
 TRUE,
   IFS(
     OR(C90="B",C90="D"),XLOOKUP("timeout_coarse_slow",Calibration!$B:$B,Calibration!$C:$C,48),
     OR(C90="E",C90="F",C90="H",C90="I"),XLOOKUP("timeout_jcc_slow",Calibration!$B:$B,Calibration!$C:$C,18),
     OR(C90="G",C90="J"),XLOOKUP("timeout_duochrome_slow",Calibration!$B:$B,Calibration!$C:$C,12),
     C90="K",XLOOKUP("timeout_bino_slow",Calibration!$B:$B,Calibration!$C:$C,18),
     OR(C90="P",C90="Q",C90="R"),XLOOKUP("timeout_near_slow",Calibration!$B:$B,Calibration!$C:$C,28),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AJ90=TRUE,"ESCALATE",
C90="A",
IF(OR(I90="NOT_READABLE",I90="BLURRY",AND(R90="20_20_20",I90="READABLE")),"B","A"),
C90="B",
IF(reEsc,"ESCALATE",IF(AY90&gt;=phaseMax,"ESCALATE",IF(AND(AV90&gt;=AW90,I90="READABLE"),"E","B"))),
C90="E",
IF(AY90&gt;=phaseMax,"ESCALATE",IF(OR(I90="SAME",I90="CANT_TELL",AD90&lt;axisTol),"F","E")),
C90="F",
IF(AY90&gt;=phaseMax,"ESCALATE",IF(AX90&gt;=powerSameN,"G","F")),
C90="G",
IF(AY90&gt;=phaseMax,"ESCALATE",IF(OR(AX90&gt;=duoEqualN,BB90&gt;=duoMax),"D","G")),
C90="D",
IF(leEsc,"ESCALATE",IF(AY90&gt;=phaseMax,"ESCALATE",IF(AND(AV90&gt;=AW90,I90="READABLE"),"H","D"))),
C90="H",
IF(AY90&gt;=phaseMax,"ESCALATE",IF(OR(I90="SAME",I90="CANT_TELL",AD90&lt;axisTol),"I","H")),
C90="I",
IF(AY90&gt;=phaseMax,"ESCALATE",IF(AX90&gt;=powerSameN,"J","I")),
C90="J",
IF(AY90&gt;=phaseMax,"ESCALATE",IF(OR(AX90&gt;=duoEqualN,BB90&gt;=duoMax),"K","J")),
C90="K",
IF(AY90&gt;=phaseMax,"ESCALATE",IF(AX90&gt;=binoSameN,IF(XLOOKUP($B90,Derived_Variables!$A:$A,Derived_Variables!$AJ:$AJ,FALSE)=TRUE,"P","END"),"K")),
C90="P",
IF(AY90&gt;=phaseMax,"ESCALATE",IF(OR(I90="READABLE",I90="SAME"),"Q","P")),
C90="Q",
IF(AY90&gt;=phaseMax,"ESCALATE",IF(OR(I90="READABLE",I90="SAME"),"R","Q")),
C90="R",
IF(AY90&gt;=phaseMax,"ESCALATE",IF(OR(I90=nearTarget,I90="SAME"),"END","R")),
TRUE,"END"
)))</f>
        <v/>
      </c>
      <c r="BD90" s="28" t="b">
        <f t="shared" si="19"/>
        <v>0</v>
      </c>
    </row>
    <row r="91" ht="15.75" customHeight="1">
      <c r="A91" s="28">
        <f t="shared" si="3"/>
        <v>90</v>
      </c>
      <c r="B91" s="28">
        <f t="shared" si="4"/>
        <v>6</v>
      </c>
      <c r="C91" s="28" t="str">
        <f t="shared" si="5"/>
        <v/>
      </c>
      <c r="D91" s="28" t="str">
        <f t="array" ref="D91">IF($I90="","",XLOOKUP(C91,FSM_State_Map!A:A,FSM_State_Map!B:B,""))</f>
        <v/>
      </c>
      <c r="E91" s="28" t="str">
        <f t="array" ref="E91">IF($I90="","",XLOOKUP(C91,FSM_State_Map!A:A,FSM_State_Map!C:C,""))</f>
        <v/>
      </c>
      <c r="F91" s="28" t="str">
        <f t="array" ref="F91">IF($I90="","",XLOOKUP(E91,Phase_UI_Map!A:A,Phase_UI_Map!B:B,""))</f>
        <v/>
      </c>
      <c r="G91" s="28" t="str">
        <f t="array" ref="G91">IF($I90="","",XLOOKUP(E91,Phase_UI_Map!A:A,Phase_UI_Map!C:C,""))</f>
        <v/>
      </c>
      <c r="H91" s="28" t="str">
        <f t="array" ref="H91">IF($I90="","",XLOOKUP(E91,Phase_UI_Map!A:A,Phase_UI_Map!D:D,""))</f>
        <v/>
      </c>
      <c r="I91" s="29"/>
      <c r="J91" s="28" t="str">
        <f>IFERROR(__xludf.DUMMYFUNCTION("IF($I90="""","""",IFERROR(INDEX(FILTER(Response_Lists!$B:$B,Response_Lists!$A:$A=$H91),1),""""))"),"")</f>
        <v/>
      </c>
      <c r="K91" s="28" t="str">
        <f>IFERROR(__xludf.DUMMYFUNCTION("IF($I90="""","""",IFERROR(INDEX(FILTER(Response_Lists!$B:$B,Response_Lists!$A:$A=$H91),2),""""))"),"")</f>
        <v/>
      </c>
      <c r="L91" s="28" t="str">
        <f>IFERROR(__xludf.DUMMYFUNCTION("IF($I90="""","""",IFERROR(INDEX(FILTER(Response_Lists!$B:$B,Response_Lists!$A:$A=$H91),3),""""))"),"")</f>
        <v/>
      </c>
      <c r="M91" s="28" t="str">
        <f>IFERROR(__xludf.DUMMYFUNCTION("IF($I90="""","""",IFERROR(INDEX(FILTER(Response_Lists!$B:$B,Response_Lists!$A:$A=$H91),4),""""))"),"")</f>
        <v/>
      </c>
      <c r="N91" s="28" t="str">
        <f>IFERROR(__xludf.DUMMYFUNCTION("IF($I90="""","""",IFERROR(INDEX(FILTER(Response_Lists!$B:$B,Response_Lists!$A:$A=$H91),5),""""))"),"")</f>
        <v/>
      </c>
      <c r="O91" s="28" t="str">
        <f>IFERROR(__xludf.DUMMYFUNCTION("IF($I90="""","""",IFERROR(INDEX(FILTER(Response_Lists!$B:$B,Response_Lists!$A:$A=$H91),6),""""))"),"")</f>
        <v/>
      </c>
      <c r="P91" s="28" t="str">
        <f t="shared" si="6"/>
        <v/>
      </c>
      <c r="Q91" s="28" t="str">
        <f t="array" ref="Q91">IF($I90="","",XLOOKUP(C91,FSM_State_Map!A:A,FSM_State_Map!D:D,""))</f>
        <v/>
      </c>
      <c r="R91" s="28" t="str">
        <f t="shared" si="7"/>
        <v/>
      </c>
      <c r="S91" s="28" t="str">
        <f t="array" ref="S91">IF($I90="","",
IF(
  AND(C91="B",C90&lt;&gt;"B"),
  XLOOKUP($B91,Derived_Variables!$A:$A,Derived_Variables!$K:$K,0)
  + XLOOKUP($B91,Derived_Variables!$A:$A,Derived_Variables!$AE:$AE,0),
  S90+AM90
))</f>
        <v/>
      </c>
      <c r="T91" s="28" t="str">
        <f t="shared" ref="T91:U91" si="192">IF($I90="","",T90+AN90)</f>
        <v/>
      </c>
      <c r="U91" s="28" t="str">
        <f t="shared" si="192"/>
        <v/>
      </c>
      <c r="V91" s="28" t="str">
        <f t="array" ref="V91">IF($I90="","",
IF(
  AND(C91="D",C90&lt;&gt;"D"),
  XLOOKUP($B91,Derived_Variables!$A:$A,Derived_Variables!$N:$N,0)
  + XLOOKUP($B91,Derived_Variables!$A:$A,Derived_Variables!$AE:$AE,0),
  V90+AP90
))</f>
        <v/>
      </c>
      <c r="W91" s="28" t="str">
        <f t="shared" ref="W91:X91" si="193">IF($I90="","",W90+AQ90)</f>
        <v/>
      </c>
      <c r="X91" s="28" t="str">
        <f t="shared" si="193"/>
        <v/>
      </c>
      <c r="Y91" s="28" t="str">
        <f t="array" ref="Y91">IF($I90="","",IF(AND(C91="P",C90&lt;&gt;"P"),IFERROR(XLOOKUP($B91,Lenso_Input!$A:$A,Lenso_Input!$E:$E,0),0),Y90+AS90))</f>
        <v/>
      </c>
      <c r="Z91" s="28" t="str">
        <f t="array" ref="Z91">IF($I90="","",IF(AND(C91="Q",C90&lt;&gt;"Q"),IFERROR(XLOOKUP($B91,Lenso_Input!$A:$A,Lenso_Input!$I:$I,0),0),Z90+AT90))</f>
        <v/>
      </c>
      <c r="AA91" s="28" t="str">
        <f t="array" ref="AA91">IF($I90="","",IF(XLOOKUP($B91,Derived_Variables!$A:$A,Derived_Variables!$R:$R,"6/6_target")="6/6_target","20_20_20","40_30_25"))</f>
        <v/>
      </c>
      <c r="AB91" s="28" t="str">
        <f t="array" ref="AB91">IF($I90="","",XLOOKUP(LOWER(XLOOKUP($B91,Derived_Variables!$A:$A,Derived_Variables!$T:$T,"Standard"))&amp;"_sph_step",Calibration!$B:$B,Calibration!$C:$C,0.25))</f>
        <v/>
      </c>
      <c r="AC91" s="28" t="str">
        <f t="array" ref="AC91">IF($I90="","",XLOOKUP(LOWER(XLOOKUP($B91,Derived_Variables!$A:$A,Derived_Variables!$T:$T,"Standard"))&amp;"_cyl_step",Calibration!$B:$B,Calibration!$C:$C,0.25))</f>
        <v/>
      </c>
      <c r="AD91" s="28" t="str">
        <f t="array" ref="AD91">IF($I90="","",IF(OR(C91="E",C91="H"),LET(startStep,XLOOKUP("axis_start_step",Calibration!$B:$B,Calibration!$C:$C,5),step1,XLOOKUP("axis_reversal_step_1",Calibration!$B:$B,Calibration!$C:$C,3),step2,XLOOKUP("axis_reversal_step_2",Calibration!$B:$B,Calibration!$C:$C,1),IF(OR(C90&lt;&gt;C91,AZ91="",AZ91="SAME",AZ91="CANT_TELL",I91="",I91="SAME",I91="CANT_TELL"),startStep,IF(OR(AND(AZ91="BETTER_1",I91="BETTER_2"),AND(AZ91="BETTER_2",I91="BETTER_1")),IF(AD90&gt;step1,step1,step2),AD90))),0))</f>
        <v/>
      </c>
      <c r="AE91" s="28" t="str">
        <f t="array" ref="AE91">IF($I90="","",XLOOKUP($B91,Derived_Variables!$A:$A,Derived_Variables!$AD:$AD,"No_Fog"))</f>
        <v/>
      </c>
      <c r="AF91" s="28" t="str">
        <f t="array" ref="AF91">IF($I90="","",XLOOKUP($B91,Derived_Variables!$A:$A,Derived_Variables!$AE:$AE,0))</f>
        <v/>
      </c>
      <c r="AG91" s="28" t="str">
        <f t="array" ref="AG91">IF($I90="","",XLOOKUP($B91,Derived_Variables!$A:$A,Derived_Variables!$AF:$AF,""))</f>
        <v/>
      </c>
      <c r="AH91" s="28" t="str">
        <f t="array" ref="AH91">IF($I90="","",XLOOKUP($B91,Derived_Variables!$A:$A,Derived_Variables!$AG:$AG,""))</f>
        <v/>
      </c>
      <c r="AI91" s="28" t="str">
        <f t="array" ref="AI91">IF($I90="","",XLOOKUP($B91,Derived_Variables!$A:$A,Derived_Variables!$AC:$AC,"Medium"))</f>
        <v/>
      </c>
      <c r="AJ91" s="28" t="str">
        <f t="array" ref="AJ91">IF($I90="","",XLOOKUP($B91,Derived_Variables!$A:$A,Derived_Variables!$Y:$Y,FALSE))</f>
        <v/>
      </c>
      <c r="AK91" s="28" t="str">
        <f t="array" ref="AK91">IF($I90="","",XLOOKUP($B91,Derived_Variables!$A:$A,Derived_Variables!$AA:$AA,"Normal"))</f>
        <v/>
      </c>
      <c r="AL91" s="28" t="str">
        <f t="array" ref="AL91">IF($I90="","",XLOOKUP($B91,Derived_Variables!$A:$A,Derived_Variables!$AB:$AB,"Normal"))</f>
        <v/>
      </c>
      <c r="AM91" s="28" t="str">
        <f t="array" ref="AM91">IF($I91="","",IFS(C91="B",IF(OR(I91="NOT_READABLE",I91="BLURRY"),-AB91,0),C91="G",IFS(I91="RED_CLEARER",XLOOKUP("duochrome_red_step",Calibration!$B:$B,Calibration!$C:$C,-0.25),I91="GREEN_CLEARER",XLOOKUP("duochrome_green_step",Calibration!$B:$B,Calibration!$C:$C,0.25),I91="EQUAL",IF(XLOOKUP($B91,Derived_Variables!$A:$A,Derived_Variables!$S:$S,"Neutral")="Undercorrect",XLOOKUP("undercorrect_step",Calibration!$B:$B,Calibration!$C:$C,0.25),IF(XLOOKUP($B91,Derived_Variables!$A:$A,Derived_Variables!$S:$S,"Neutral")="Overcorrect",-XLOOKUP("overcorrect_step",Calibration!$B:$B,Calibration!$C:$C,0.25),0)),TRUE,0),C91="K",IF(I91="TOP_CLEARER",XLOOKUP("bino_balance_step",Calibration!$B:$B,Calibration!$C:$C,0.25),0),TRUE,0))</f>
        <v/>
      </c>
      <c r="AN91" s="28" t="str">
        <f t="shared" si="10"/>
        <v/>
      </c>
      <c r="AO91" s="28" t="str">
        <f t="shared" si="11"/>
        <v/>
      </c>
      <c r="AP91" s="28" t="str">
        <f t="array" ref="AP91">IF($I91="","",IFS(C91="D",IF(OR(I91="NOT_READABLE",I91="BLURRY"),-AB91,0),C91="J",IFS(I91="RED_CLEARER",XLOOKUP("duochrome_red_step",Calibration!$B:$B,Calibration!$C:$C,-0.25),I91="GREEN_CLEARER",XLOOKUP("duochrome_green_step",Calibration!$B:$B,Calibration!$C:$C,0.25),I91="EQUAL",IF(XLOOKUP($B91,Derived_Variables!$A:$A,Derived_Variables!$S:$S,"Neutral")="Undercorrect",XLOOKUP("undercorrect_step",Calibration!$B:$B,Calibration!$C:$C,0.25),IF(XLOOKUP($B91,Derived_Variables!$A:$A,Derived_Variables!$S:$S,"Neutral")="Overcorrect",-XLOOKUP("overcorrect_step",Calibration!$B:$B,Calibration!$C:$C,0.25),0)),TRUE,0),C91="K",IF(I91="BOTTOM_CLEARER",XLOOKUP("bino_balance_step",Calibration!$B:$B,Calibration!$C:$C,0.25),0),TRUE,0))</f>
        <v/>
      </c>
      <c r="AQ91" s="28" t="str">
        <f t="shared" si="12"/>
        <v/>
      </c>
      <c r="AR91" s="28" t="str">
        <f t="shared" si="13"/>
        <v/>
      </c>
      <c r="AS91" s="28" t="str">
        <f t="array" ref="AS91">IF($I91="","",IF(C91="P",IF(OR(I91="NOT_READABLE",I91="BLURRY"),XLOOKUP("near_add_step",Calibration!$B:$B,Calibration!$C:$C,0.25),0),IF(C91="R",IF(I91="NOT_CLEAR",XLOOKUP("near_add_step",Calibration!$B:$B,Calibration!$C:$C,0.25),0),0)))</f>
        <v/>
      </c>
      <c r="AT91" s="28" t="str">
        <f t="array" ref="AT91">IF($I91="","",IF(C91="Q",IF(OR(I91="NOT_READABLE",I91="BLURRY"),XLOOKUP("near_add_step",Calibration!$B:$B,Calibration!$C:$C,0.25),0),IF(C91="R",IF(I91="NOT_CLEAR",XLOOKUP("near_add_step",Calibration!$B:$B,Calibration!$C:$C,0.25),0),0)))</f>
        <v/>
      </c>
      <c r="AU91" s="28" t="str">
        <f t="array" ref="AU91">IF($I91="","",IF(G91="SNELLEN_FEET",IF(I91="READABLE",IFERROR(XLOOKUP(XLOOKUP(R91,Chart_Scale_Distance!B:B,Chart_Scale_Distance!A:A)+1,Chart_Scale_Distance!A:A,Chart_Scale_Distance!B:B),R91),R91),R91))</f>
        <v/>
      </c>
      <c r="AV91" s="28" t="str">
        <f t="array" ref="AV91">IF($I90="","",IFERROR(XLOOKUP(R91,Chart_Scale_Distance!$B:$B,Chart_Scale_Distance!$A:$A,""),""))</f>
        <v/>
      </c>
      <c r="AW91" s="28" t="str">
        <f t="array" ref="AW91">IF($I90="","",IFERROR(XLOOKUP(AA91,Chart_Scale_Distance!$B:$B,Chart_Scale_Distance!$A:$A,""),""))</f>
        <v/>
      </c>
      <c r="AX91" s="28" t="str">
        <f t="shared" si="14"/>
        <v/>
      </c>
      <c r="AY91" s="28" t="str">
        <f t="shared" si="15"/>
        <v/>
      </c>
      <c r="AZ91" s="28" t="str">
        <f t="shared" si="16"/>
        <v/>
      </c>
      <c r="BA91" s="28" t="str">
        <f t="shared" si="17"/>
        <v/>
      </c>
      <c r="BB91" s="28" t="str">
        <f t="shared" si="18"/>
        <v/>
      </c>
      <c r="BC91" s="28" t="str">
        <f t="array" ref="BC91">IF($I91="","",LET(
conf,AI91,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duoMax,XLOOKUP($B91,Derived_Variables!$A:$A,Derived_Variables!$AI:$AI,4),
axisTol,XLOOKUP($B91,Derived_Variables!$A:$A,Derived_Variables!$W:$W,1),
maxStart,XLOOKUP($B91,Derived_Variables!$A:$A,Derived_Variables!$U:$U,1.25),
maxAR,XLOOKUP($B91,Derived_Variables!$A:$A,Derived_Variables!$V:$V,3),
anom,XLOOKUP($B91,Derived_Variables!$A:$A,Derived_Variables!$Z:$Z,FALSE),
reStart,XLOOKUP($B91,Derived_Variables!$A:$A,Derived_Variables!$K:$K,0),
leStart,XLOOKUP($B91,Derived_Variables!$A:$A,Derived_Variables!$N:$N,0),
reAR,XLOOKUP($B91,AR_Input!$A:$A,AR_Input!$B:$B,reStart),
leAR,XLOOKUP($B91,AR_Input!$A:$A,AR_Input!$E:$E,leStart),
reEsc,AND(anom,OR(ABS((S91+AM91)-reStart)&gt;maxStart,ABS((S91+AM91)-reAR)&gt;maxAR)),
leEsc,AND(anom,OR(ABS((V91+AP91)-leStart)&gt;maxStart,ABS((V91+AP91)-leAR)&gt;maxAR)),
phaseMax,IFS(
 AK91="Fast",
   IFS(
     OR(C91="B",C91="D"),XLOOKUP("timeout_coarse_fast",Calibration!$B:$B,Calibration!$C:$C,24),
     OR(C91="E",C91="F",C91="H",C91="I"),XLOOKUP("timeout_jcc_fast",Calibration!$B:$B,Calibration!$C:$C,10),
     OR(C91="G",C91="J"),XLOOKUP("timeout_duochrome_fast",Calibration!$B:$B,Calibration!$C:$C,8),
     C91="K",XLOOKUP("timeout_bino_fast",Calibration!$B:$B,Calibration!$C:$C,10),
     OR(C91="P",C91="Q",C91="R"),XLOOKUP("timeout_near_fast",Calibration!$B:$B,Calibration!$C:$C,16),
     TRUE,XLOOKUP("timeout_coarse_fast",Calibration!$B:$B,Calibration!$C:$C,24)
   ),
 AK91="Normal",
   IFS(
     OR(C91="B",C91="D"),XLOOKUP("timeout_coarse_normal",Calibration!$B:$B,Calibration!$C:$C,36),
     OR(C91="E",C91="F",C91="H",C91="I"),XLOOKUP("timeout_jcc_normal",Calibration!$B:$B,Calibration!$C:$C,14),
     OR(C91="G",C91="J"),XLOOKUP("timeout_duochrome_normal",Calibration!$B:$B,Calibration!$C:$C,10),
     C91="K",XLOOKUP("timeout_bino_normal",Calibration!$B:$B,Calibration!$C:$C,14),
     OR(C91="P",C91="Q",C91="R"),XLOOKUP("timeout_near_normal",Calibration!$B:$B,Calibration!$C:$C,22),
     TRUE,XLOOKUP("timeout_coarse_normal",Calibration!$B:$B,Calibration!$C:$C,36)
   ),
 TRUE,
   IFS(
     OR(C91="B",C91="D"),XLOOKUP("timeout_coarse_slow",Calibration!$B:$B,Calibration!$C:$C,48),
     OR(C91="E",C91="F",C91="H",C91="I"),XLOOKUP("timeout_jcc_slow",Calibration!$B:$B,Calibration!$C:$C,18),
     OR(C91="G",C91="J"),XLOOKUP("timeout_duochrome_slow",Calibration!$B:$B,Calibration!$C:$C,12),
     C91="K",XLOOKUP("timeout_bino_slow",Calibration!$B:$B,Calibration!$C:$C,18),
     OR(C91="P",C91="Q",C91="R"),XLOOKUP("timeout_near_slow",Calibration!$B:$B,Calibration!$C:$C,28),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AJ91=TRUE,"ESCALATE",
C91="A",
IF(OR(I91="NOT_READABLE",I91="BLURRY",AND(R91="20_20_20",I91="READABLE")),"B","A"),
C91="B",
IF(reEsc,"ESCALATE",IF(AY91&gt;=phaseMax,"ESCALATE",IF(AND(AV91&gt;=AW91,I91="READABLE"),"E","B"))),
C91="E",
IF(AY91&gt;=phaseMax,"ESCALATE",IF(OR(I91="SAME",I91="CANT_TELL",AD91&lt;axisTol),"F","E")),
C91="F",
IF(AY91&gt;=phaseMax,"ESCALATE",IF(AX91&gt;=powerSameN,"G","F")),
C91="G",
IF(AY91&gt;=phaseMax,"ESCALATE",IF(OR(AX91&gt;=duoEqualN,BB91&gt;=duoMax),"D","G")),
C91="D",
IF(leEsc,"ESCALATE",IF(AY91&gt;=phaseMax,"ESCALATE",IF(AND(AV91&gt;=AW91,I91="READABLE"),"H","D"))),
C91="H",
IF(AY91&gt;=phaseMax,"ESCALATE",IF(OR(I91="SAME",I91="CANT_TELL",AD91&lt;axisTol),"I","H")),
C91="I",
IF(AY91&gt;=phaseMax,"ESCALATE",IF(AX91&gt;=powerSameN,"J","I")),
C91="J",
IF(AY91&gt;=phaseMax,"ESCALATE",IF(OR(AX91&gt;=duoEqualN,BB91&gt;=duoMax),"K","J")),
C91="K",
IF(AY91&gt;=phaseMax,"ESCALATE",IF(AX91&gt;=binoSameN,IF(XLOOKUP($B91,Derived_Variables!$A:$A,Derived_Variables!$AJ:$AJ,FALSE)=TRUE,"P","END"),"K")),
C91="P",
IF(AY91&gt;=phaseMax,"ESCALATE",IF(OR(I91="READABLE",I91="SAME"),"Q","P")),
C91="Q",
IF(AY91&gt;=phaseMax,"ESCALATE",IF(OR(I91="READABLE",I91="SAME"),"R","Q")),
C91="R",
IF(AY91&gt;=phaseMax,"ESCALATE",IF(OR(I91=nearTarget,I91="SAME"),"END","R")),
TRUE,"END"
)))</f>
        <v/>
      </c>
      <c r="BD91" s="28" t="b">
        <f t="shared" si="19"/>
        <v>0</v>
      </c>
    </row>
    <row r="92" ht="15.75" customHeight="1">
      <c r="A92" s="28">
        <f t="shared" si="3"/>
        <v>91</v>
      </c>
      <c r="B92" s="28">
        <f t="shared" si="4"/>
        <v>6</v>
      </c>
      <c r="C92" s="28" t="str">
        <f t="shared" si="5"/>
        <v/>
      </c>
      <c r="D92" s="28" t="str">
        <f t="array" ref="D92">IF($I91="","",XLOOKUP(C92,FSM_State_Map!A:A,FSM_State_Map!B:B,""))</f>
        <v/>
      </c>
      <c r="E92" s="28" t="str">
        <f t="array" ref="E92">IF($I91="","",XLOOKUP(C92,FSM_State_Map!A:A,FSM_State_Map!C:C,""))</f>
        <v/>
      </c>
      <c r="F92" s="28" t="str">
        <f t="array" ref="F92">IF($I91="","",XLOOKUP(E92,Phase_UI_Map!A:A,Phase_UI_Map!B:B,""))</f>
        <v/>
      </c>
      <c r="G92" s="28" t="str">
        <f t="array" ref="G92">IF($I91="","",XLOOKUP(E92,Phase_UI_Map!A:A,Phase_UI_Map!C:C,""))</f>
        <v/>
      </c>
      <c r="H92" s="28" t="str">
        <f t="array" ref="H92">IF($I91="","",XLOOKUP(E92,Phase_UI_Map!A:A,Phase_UI_Map!D:D,""))</f>
        <v/>
      </c>
      <c r="I92" s="29"/>
      <c r="J92" s="28" t="str">
        <f>IFERROR(__xludf.DUMMYFUNCTION("IF($I91="""","""",IFERROR(INDEX(FILTER(Response_Lists!$B:$B,Response_Lists!$A:$A=$H92),1),""""))"),"")</f>
        <v/>
      </c>
      <c r="K92" s="28" t="str">
        <f>IFERROR(__xludf.DUMMYFUNCTION("IF($I91="""","""",IFERROR(INDEX(FILTER(Response_Lists!$B:$B,Response_Lists!$A:$A=$H92),2),""""))"),"")</f>
        <v/>
      </c>
      <c r="L92" s="28" t="str">
        <f>IFERROR(__xludf.DUMMYFUNCTION("IF($I91="""","""",IFERROR(INDEX(FILTER(Response_Lists!$B:$B,Response_Lists!$A:$A=$H92),3),""""))"),"")</f>
        <v/>
      </c>
      <c r="M92" s="28" t="str">
        <f>IFERROR(__xludf.DUMMYFUNCTION("IF($I91="""","""",IFERROR(INDEX(FILTER(Response_Lists!$B:$B,Response_Lists!$A:$A=$H92),4),""""))"),"")</f>
        <v/>
      </c>
      <c r="N92" s="28" t="str">
        <f>IFERROR(__xludf.DUMMYFUNCTION("IF($I91="""","""",IFERROR(INDEX(FILTER(Response_Lists!$B:$B,Response_Lists!$A:$A=$H92),5),""""))"),"")</f>
        <v/>
      </c>
      <c r="O92" s="28" t="str">
        <f>IFERROR(__xludf.DUMMYFUNCTION("IF($I91="""","""",IFERROR(INDEX(FILTER(Response_Lists!$B:$B,Response_Lists!$A:$A=$H92),6),""""))"),"")</f>
        <v/>
      </c>
      <c r="P92" s="28" t="str">
        <f t="shared" si="6"/>
        <v/>
      </c>
      <c r="Q92" s="28" t="str">
        <f t="array" ref="Q92">IF($I91="","",XLOOKUP(C92,FSM_State_Map!A:A,FSM_State_Map!D:D,""))</f>
        <v/>
      </c>
      <c r="R92" s="28" t="str">
        <f t="shared" si="7"/>
        <v/>
      </c>
      <c r="S92" s="28" t="str">
        <f t="array" ref="S92">IF($I91="","",
IF(
  AND(C92="B",C91&lt;&gt;"B"),
  XLOOKUP($B92,Derived_Variables!$A:$A,Derived_Variables!$K:$K,0)
  + XLOOKUP($B92,Derived_Variables!$A:$A,Derived_Variables!$AE:$AE,0),
  S91+AM91
))</f>
        <v/>
      </c>
      <c r="T92" s="28" t="str">
        <f t="shared" ref="T92:U92" si="194">IF($I91="","",T91+AN91)</f>
        <v/>
      </c>
      <c r="U92" s="28" t="str">
        <f t="shared" si="194"/>
        <v/>
      </c>
      <c r="V92" s="28" t="str">
        <f t="array" ref="V92">IF($I91="","",
IF(
  AND(C92="D",C91&lt;&gt;"D"),
  XLOOKUP($B92,Derived_Variables!$A:$A,Derived_Variables!$N:$N,0)
  + XLOOKUP($B92,Derived_Variables!$A:$A,Derived_Variables!$AE:$AE,0),
  V91+AP91
))</f>
        <v/>
      </c>
      <c r="W92" s="28" t="str">
        <f t="shared" ref="W92:X92" si="195">IF($I91="","",W91+AQ91)</f>
        <v/>
      </c>
      <c r="X92" s="28" t="str">
        <f t="shared" si="195"/>
        <v/>
      </c>
      <c r="Y92" s="28" t="str">
        <f t="array" ref="Y92">IF($I91="","",IF(AND(C92="P",C91&lt;&gt;"P"),IFERROR(XLOOKUP($B92,Lenso_Input!$A:$A,Lenso_Input!$E:$E,0),0),Y91+AS91))</f>
        <v/>
      </c>
      <c r="Z92" s="28" t="str">
        <f t="array" ref="Z92">IF($I91="","",IF(AND(C92="Q",C91&lt;&gt;"Q"),IFERROR(XLOOKUP($B92,Lenso_Input!$A:$A,Lenso_Input!$I:$I,0),0),Z91+AT91))</f>
        <v/>
      </c>
      <c r="AA92" s="28" t="str">
        <f t="array" ref="AA92">IF($I91="","",IF(XLOOKUP($B92,Derived_Variables!$A:$A,Derived_Variables!$R:$R,"6/6_target")="6/6_target","20_20_20","40_30_25"))</f>
        <v/>
      </c>
      <c r="AB92" s="28" t="str">
        <f t="array" ref="AB92">IF($I91="","",XLOOKUP(LOWER(XLOOKUP($B92,Derived_Variables!$A:$A,Derived_Variables!$T:$T,"Standard"))&amp;"_sph_step",Calibration!$B:$B,Calibration!$C:$C,0.25))</f>
        <v/>
      </c>
      <c r="AC92" s="28" t="str">
        <f t="array" ref="AC92">IF($I91="","",XLOOKUP(LOWER(XLOOKUP($B92,Derived_Variables!$A:$A,Derived_Variables!$T:$T,"Standard"))&amp;"_cyl_step",Calibration!$B:$B,Calibration!$C:$C,0.25))</f>
        <v/>
      </c>
      <c r="AD92" s="28" t="str">
        <f t="array" ref="AD92">IF($I91="","",IF(OR(C92="E",C92="H"),LET(startStep,XLOOKUP("axis_start_step",Calibration!$B:$B,Calibration!$C:$C,5),step1,XLOOKUP("axis_reversal_step_1",Calibration!$B:$B,Calibration!$C:$C,3),step2,XLOOKUP("axis_reversal_step_2",Calibration!$B:$B,Calibration!$C:$C,1),IF(OR(C91&lt;&gt;C92,AZ92="",AZ92="SAME",AZ92="CANT_TELL",I92="",I92="SAME",I92="CANT_TELL"),startStep,IF(OR(AND(AZ92="BETTER_1",I92="BETTER_2"),AND(AZ92="BETTER_2",I92="BETTER_1")),IF(AD91&gt;step1,step1,step2),AD91))),0))</f>
        <v/>
      </c>
      <c r="AE92" s="28" t="str">
        <f t="array" ref="AE92">IF($I91="","",XLOOKUP($B92,Derived_Variables!$A:$A,Derived_Variables!$AD:$AD,"No_Fog"))</f>
        <v/>
      </c>
      <c r="AF92" s="28" t="str">
        <f t="array" ref="AF92">IF($I91="","",XLOOKUP($B92,Derived_Variables!$A:$A,Derived_Variables!$AE:$AE,0))</f>
        <v/>
      </c>
      <c r="AG92" s="28" t="str">
        <f t="array" ref="AG92">IF($I91="","",XLOOKUP($B92,Derived_Variables!$A:$A,Derived_Variables!$AF:$AF,""))</f>
        <v/>
      </c>
      <c r="AH92" s="28" t="str">
        <f t="array" ref="AH92">IF($I91="","",XLOOKUP($B92,Derived_Variables!$A:$A,Derived_Variables!$AG:$AG,""))</f>
        <v/>
      </c>
      <c r="AI92" s="28" t="str">
        <f t="array" ref="AI92">IF($I91="","",XLOOKUP($B92,Derived_Variables!$A:$A,Derived_Variables!$AC:$AC,"Medium"))</f>
        <v/>
      </c>
      <c r="AJ92" s="28" t="str">
        <f t="array" ref="AJ92">IF($I91="","",XLOOKUP($B92,Derived_Variables!$A:$A,Derived_Variables!$Y:$Y,FALSE))</f>
        <v/>
      </c>
      <c r="AK92" s="28" t="str">
        <f t="array" ref="AK92">IF($I91="","",XLOOKUP($B92,Derived_Variables!$A:$A,Derived_Variables!$AA:$AA,"Normal"))</f>
        <v/>
      </c>
      <c r="AL92" s="28" t="str">
        <f t="array" ref="AL92">IF($I91="","",XLOOKUP($B92,Derived_Variables!$A:$A,Derived_Variables!$AB:$AB,"Normal"))</f>
        <v/>
      </c>
      <c r="AM92" s="28" t="str">
        <f t="array" ref="AM92">IF($I92="","",IFS(C92="B",IF(OR(I92="NOT_READABLE",I92="BLURRY"),-AB92,0),C92="G",IFS(I92="RED_CLEARER",XLOOKUP("duochrome_red_step",Calibration!$B:$B,Calibration!$C:$C,-0.25),I92="GREEN_CLEARER",XLOOKUP("duochrome_green_step",Calibration!$B:$B,Calibration!$C:$C,0.25),I92="EQUAL",IF(XLOOKUP($B92,Derived_Variables!$A:$A,Derived_Variables!$S:$S,"Neutral")="Undercorrect",XLOOKUP("undercorrect_step",Calibration!$B:$B,Calibration!$C:$C,0.25),IF(XLOOKUP($B92,Derived_Variables!$A:$A,Derived_Variables!$S:$S,"Neutral")="Overcorrect",-XLOOKUP("overcorrect_step",Calibration!$B:$B,Calibration!$C:$C,0.25),0)),TRUE,0),C92="K",IF(I92="TOP_CLEARER",XLOOKUP("bino_balance_step",Calibration!$B:$B,Calibration!$C:$C,0.25),0),TRUE,0))</f>
        <v/>
      </c>
      <c r="AN92" s="28" t="str">
        <f t="shared" si="10"/>
        <v/>
      </c>
      <c r="AO92" s="28" t="str">
        <f t="shared" si="11"/>
        <v/>
      </c>
      <c r="AP92" s="28" t="str">
        <f t="array" ref="AP92">IF($I92="","",IFS(C92="D",IF(OR(I92="NOT_READABLE",I92="BLURRY"),-AB92,0),C92="J",IFS(I92="RED_CLEARER",XLOOKUP("duochrome_red_step",Calibration!$B:$B,Calibration!$C:$C,-0.25),I92="GREEN_CLEARER",XLOOKUP("duochrome_green_step",Calibration!$B:$B,Calibration!$C:$C,0.25),I92="EQUAL",IF(XLOOKUP($B92,Derived_Variables!$A:$A,Derived_Variables!$S:$S,"Neutral")="Undercorrect",XLOOKUP("undercorrect_step",Calibration!$B:$B,Calibration!$C:$C,0.25),IF(XLOOKUP($B92,Derived_Variables!$A:$A,Derived_Variables!$S:$S,"Neutral")="Overcorrect",-XLOOKUP("overcorrect_step",Calibration!$B:$B,Calibration!$C:$C,0.25),0)),TRUE,0),C92="K",IF(I92="BOTTOM_CLEARER",XLOOKUP("bino_balance_step",Calibration!$B:$B,Calibration!$C:$C,0.25),0),TRUE,0))</f>
        <v/>
      </c>
      <c r="AQ92" s="28" t="str">
        <f t="shared" si="12"/>
        <v/>
      </c>
      <c r="AR92" s="28" t="str">
        <f t="shared" si="13"/>
        <v/>
      </c>
      <c r="AS92" s="28" t="str">
        <f t="array" ref="AS92">IF($I92="","",IF(C92="P",IF(OR(I92="NOT_READABLE",I92="BLURRY"),XLOOKUP("near_add_step",Calibration!$B:$B,Calibration!$C:$C,0.25),0),IF(C92="R",IF(I92="NOT_CLEAR",XLOOKUP("near_add_step",Calibration!$B:$B,Calibration!$C:$C,0.25),0),0)))</f>
        <v/>
      </c>
      <c r="AT92" s="28" t="str">
        <f t="array" ref="AT92">IF($I92="","",IF(C92="Q",IF(OR(I92="NOT_READABLE",I92="BLURRY"),XLOOKUP("near_add_step",Calibration!$B:$B,Calibration!$C:$C,0.25),0),IF(C92="R",IF(I92="NOT_CLEAR",XLOOKUP("near_add_step",Calibration!$B:$B,Calibration!$C:$C,0.25),0),0)))</f>
        <v/>
      </c>
      <c r="AU92" s="28" t="str">
        <f t="array" ref="AU92">IF($I92="","",IF(G92="SNELLEN_FEET",IF(I92="READABLE",IFERROR(XLOOKUP(XLOOKUP(R92,Chart_Scale_Distance!B:B,Chart_Scale_Distance!A:A)+1,Chart_Scale_Distance!A:A,Chart_Scale_Distance!B:B),R92),R92),R92))</f>
        <v/>
      </c>
      <c r="AV92" s="28" t="str">
        <f t="array" ref="AV92">IF($I91="","",IFERROR(XLOOKUP(R92,Chart_Scale_Distance!$B:$B,Chart_Scale_Distance!$A:$A,""),""))</f>
        <v/>
      </c>
      <c r="AW92" s="28" t="str">
        <f t="array" ref="AW92">IF($I91="","",IFERROR(XLOOKUP(AA92,Chart_Scale_Distance!$B:$B,Chart_Scale_Distance!$A:$A,""),""))</f>
        <v/>
      </c>
      <c r="AX92" s="28" t="str">
        <f t="shared" si="14"/>
        <v/>
      </c>
      <c r="AY92" s="28" t="str">
        <f t="shared" si="15"/>
        <v/>
      </c>
      <c r="AZ92" s="28" t="str">
        <f t="shared" si="16"/>
        <v/>
      </c>
      <c r="BA92" s="28" t="str">
        <f t="shared" si="17"/>
        <v/>
      </c>
      <c r="BB92" s="28" t="str">
        <f t="shared" si="18"/>
        <v/>
      </c>
      <c r="BC92" s="28" t="str">
        <f t="array" ref="BC92">IF($I92="","",LET(
conf,AI92,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duoMax,XLOOKUP($B92,Derived_Variables!$A:$A,Derived_Variables!$AI:$AI,4),
axisTol,XLOOKUP($B92,Derived_Variables!$A:$A,Derived_Variables!$W:$W,1),
maxStart,XLOOKUP($B92,Derived_Variables!$A:$A,Derived_Variables!$U:$U,1.25),
maxAR,XLOOKUP($B92,Derived_Variables!$A:$A,Derived_Variables!$V:$V,3),
anom,XLOOKUP($B92,Derived_Variables!$A:$A,Derived_Variables!$Z:$Z,FALSE),
reStart,XLOOKUP($B92,Derived_Variables!$A:$A,Derived_Variables!$K:$K,0),
leStart,XLOOKUP($B92,Derived_Variables!$A:$A,Derived_Variables!$N:$N,0),
reAR,XLOOKUP($B92,AR_Input!$A:$A,AR_Input!$B:$B,reStart),
leAR,XLOOKUP($B92,AR_Input!$A:$A,AR_Input!$E:$E,leStart),
reEsc,AND(anom,OR(ABS((S92+AM92)-reStart)&gt;maxStart,ABS((S92+AM92)-reAR)&gt;maxAR)),
leEsc,AND(anom,OR(ABS((V92+AP92)-leStart)&gt;maxStart,ABS((V92+AP92)-leAR)&gt;maxAR)),
phaseMax,IFS(
 AK92="Fast",
   IFS(
     OR(C92="B",C92="D"),XLOOKUP("timeout_coarse_fast",Calibration!$B:$B,Calibration!$C:$C,24),
     OR(C92="E",C92="F",C92="H",C92="I"),XLOOKUP("timeout_jcc_fast",Calibration!$B:$B,Calibration!$C:$C,10),
     OR(C92="G",C92="J"),XLOOKUP("timeout_duochrome_fast",Calibration!$B:$B,Calibration!$C:$C,8),
     C92="K",XLOOKUP("timeout_bino_fast",Calibration!$B:$B,Calibration!$C:$C,10),
     OR(C92="P",C92="Q",C92="R"),XLOOKUP("timeout_near_fast",Calibration!$B:$B,Calibration!$C:$C,16),
     TRUE,XLOOKUP("timeout_coarse_fast",Calibration!$B:$B,Calibration!$C:$C,24)
   ),
 AK92="Normal",
   IFS(
     OR(C92="B",C92="D"),XLOOKUP("timeout_coarse_normal",Calibration!$B:$B,Calibration!$C:$C,36),
     OR(C92="E",C92="F",C92="H",C92="I"),XLOOKUP("timeout_jcc_normal",Calibration!$B:$B,Calibration!$C:$C,14),
     OR(C92="G",C92="J"),XLOOKUP("timeout_duochrome_normal",Calibration!$B:$B,Calibration!$C:$C,10),
     C92="K",XLOOKUP("timeout_bino_normal",Calibration!$B:$B,Calibration!$C:$C,14),
     OR(C92="P",C92="Q",C92="R"),XLOOKUP("timeout_near_normal",Calibration!$B:$B,Calibration!$C:$C,22),
     TRUE,XLOOKUP("timeout_coarse_normal",Calibration!$B:$B,Calibration!$C:$C,36)
   ),
 TRUE,
   IFS(
     OR(C92="B",C92="D"),XLOOKUP("timeout_coarse_slow",Calibration!$B:$B,Calibration!$C:$C,48),
     OR(C92="E",C92="F",C92="H",C92="I"),XLOOKUP("timeout_jcc_slow",Calibration!$B:$B,Calibration!$C:$C,18),
     OR(C92="G",C92="J"),XLOOKUP("timeout_duochrome_slow",Calibration!$B:$B,Calibration!$C:$C,12),
     C92="K",XLOOKUP("timeout_bino_slow",Calibration!$B:$B,Calibration!$C:$C,18),
     OR(C92="P",C92="Q",C92="R"),XLOOKUP("timeout_near_slow",Calibration!$B:$B,Calibration!$C:$C,28),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AJ92=TRUE,"ESCALATE",
C92="A",
IF(OR(I92="NOT_READABLE",I92="BLURRY",AND(R92="20_20_20",I92="READABLE")),"B","A"),
C92="B",
IF(reEsc,"ESCALATE",IF(AY92&gt;=phaseMax,"ESCALATE",IF(AND(AV92&gt;=AW92,I92="READABLE"),"E","B"))),
C92="E",
IF(AY92&gt;=phaseMax,"ESCALATE",IF(OR(I92="SAME",I92="CANT_TELL",AD92&lt;axisTol),"F","E")),
C92="F",
IF(AY92&gt;=phaseMax,"ESCALATE",IF(AX92&gt;=powerSameN,"G","F")),
C92="G",
IF(AY92&gt;=phaseMax,"ESCALATE",IF(OR(AX92&gt;=duoEqualN,BB92&gt;=duoMax),"D","G")),
C92="D",
IF(leEsc,"ESCALATE",IF(AY92&gt;=phaseMax,"ESCALATE",IF(AND(AV92&gt;=AW92,I92="READABLE"),"H","D"))),
C92="H",
IF(AY92&gt;=phaseMax,"ESCALATE",IF(OR(I92="SAME",I92="CANT_TELL",AD92&lt;axisTol),"I","H")),
C92="I",
IF(AY92&gt;=phaseMax,"ESCALATE",IF(AX92&gt;=powerSameN,"J","I")),
C92="J",
IF(AY92&gt;=phaseMax,"ESCALATE",IF(OR(AX92&gt;=duoEqualN,BB92&gt;=duoMax),"K","J")),
C92="K",
IF(AY92&gt;=phaseMax,"ESCALATE",IF(AX92&gt;=binoSameN,IF(XLOOKUP($B92,Derived_Variables!$A:$A,Derived_Variables!$AJ:$AJ,FALSE)=TRUE,"P","END"),"K")),
C92="P",
IF(AY92&gt;=phaseMax,"ESCALATE",IF(OR(I92="READABLE",I92="SAME"),"Q","P")),
C92="Q",
IF(AY92&gt;=phaseMax,"ESCALATE",IF(OR(I92="READABLE",I92="SAME"),"R","Q")),
C92="R",
IF(AY92&gt;=phaseMax,"ESCALATE",IF(OR(I92=nearTarget,I92="SAME"),"END","R")),
TRUE,"END"
)))</f>
        <v/>
      </c>
      <c r="BD92" s="28" t="b">
        <f t="shared" si="19"/>
        <v>0</v>
      </c>
    </row>
    <row r="93" ht="15.75" customHeight="1">
      <c r="A93" s="28">
        <f t="shared" si="3"/>
        <v>92</v>
      </c>
      <c r="B93" s="28">
        <f t="shared" si="4"/>
        <v>6</v>
      </c>
      <c r="C93" s="28" t="str">
        <f t="shared" si="5"/>
        <v/>
      </c>
      <c r="D93" s="28" t="str">
        <f t="array" ref="D93">IF($I92="","",XLOOKUP(C93,FSM_State_Map!A:A,FSM_State_Map!B:B,""))</f>
        <v/>
      </c>
      <c r="E93" s="28" t="str">
        <f t="array" ref="E93">IF($I92="","",XLOOKUP(C93,FSM_State_Map!A:A,FSM_State_Map!C:C,""))</f>
        <v/>
      </c>
      <c r="F93" s="28" t="str">
        <f t="array" ref="F93">IF($I92="","",XLOOKUP(E93,Phase_UI_Map!A:A,Phase_UI_Map!B:B,""))</f>
        <v/>
      </c>
      <c r="G93" s="28" t="str">
        <f t="array" ref="G93">IF($I92="","",XLOOKUP(E93,Phase_UI_Map!A:A,Phase_UI_Map!C:C,""))</f>
        <v/>
      </c>
      <c r="H93" s="28" t="str">
        <f t="array" ref="H93">IF($I92="","",XLOOKUP(E93,Phase_UI_Map!A:A,Phase_UI_Map!D:D,""))</f>
        <v/>
      </c>
      <c r="I93" s="29"/>
      <c r="J93" s="28" t="str">
        <f>IFERROR(__xludf.DUMMYFUNCTION("IF($I92="""","""",IFERROR(INDEX(FILTER(Response_Lists!$B:$B,Response_Lists!$A:$A=$H93),1),""""))"),"")</f>
        <v/>
      </c>
      <c r="K93" s="28" t="str">
        <f>IFERROR(__xludf.DUMMYFUNCTION("IF($I92="""","""",IFERROR(INDEX(FILTER(Response_Lists!$B:$B,Response_Lists!$A:$A=$H93),2),""""))"),"")</f>
        <v/>
      </c>
      <c r="L93" s="28" t="str">
        <f>IFERROR(__xludf.DUMMYFUNCTION("IF($I92="""","""",IFERROR(INDEX(FILTER(Response_Lists!$B:$B,Response_Lists!$A:$A=$H93),3),""""))"),"")</f>
        <v/>
      </c>
      <c r="M93" s="28" t="str">
        <f>IFERROR(__xludf.DUMMYFUNCTION("IF($I92="""","""",IFERROR(INDEX(FILTER(Response_Lists!$B:$B,Response_Lists!$A:$A=$H93),4),""""))"),"")</f>
        <v/>
      </c>
      <c r="N93" s="28" t="str">
        <f>IFERROR(__xludf.DUMMYFUNCTION("IF($I92="""","""",IFERROR(INDEX(FILTER(Response_Lists!$B:$B,Response_Lists!$A:$A=$H93),5),""""))"),"")</f>
        <v/>
      </c>
      <c r="O93" s="28" t="str">
        <f>IFERROR(__xludf.DUMMYFUNCTION("IF($I92="""","""",IFERROR(INDEX(FILTER(Response_Lists!$B:$B,Response_Lists!$A:$A=$H93),6),""""))"),"")</f>
        <v/>
      </c>
      <c r="P93" s="28" t="str">
        <f t="shared" si="6"/>
        <v/>
      </c>
      <c r="Q93" s="28" t="str">
        <f t="array" ref="Q93">IF($I92="","",XLOOKUP(C93,FSM_State_Map!A:A,FSM_State_Map!D:D,""))</f>
        <v/>
      </c>
      <c r="R93" s="28" t="str">
        <f t="shared" si="7"/>
        <v/>
      </c>
      <c r="S93" s="28" t="str">
        <f t="array" ref="S93">IF($I92="","",
IF(
  AND(C93="B",C92&lt;&gt;"B"),
  XLOOKUP($B93,Derived_Variables!$A:$A,Derived_Variables!$K:$K,0)
  + XLOOKUP($B93,Derived_Variables!$A:$A,Derived_Variables!$AE:$AE,0),
  S92+AM92
))</f>
        <v/>
      </c>
      <c r="T93" s="28" t="str">
        <f t="shared" ref="T93:U93" si="196">IF($I92="","",T92+AN92)</f>
        <v/>
      </c>
      <c r="U93" s="28" t="str">
        <f t="shared" si="196"/>
        <v/>
      </c>
      <c r="V93" s="28" t="str">
        <f t="array" ref="V93">IF($I92="","",
IF(
  AND(C93="D",C92&lt;&gt;"D"),
  XLOOKUP($B93,Derived_Variables!$A:$A,Derived_Variables!$N:$N,0)
  + XLOOKUP($B93,Derived_Variables!$A:$A,Derived_Variables!$AE:$AE,0),
  V92+AP92
))</f>
        <v/>
      </c>
      <c r="W93" s="28" t="str">
        <f t="shared" ref="W93:X93" si="197">IF($I92="","",W92+AQ92)</f>
        <v/>
      </c>
      <c r="X93" s="28" t="str">
        <f t="shared" si="197"/>
        <v/>
      </c>
      <c r="Y93" s="28" t="str">
        <f t="array" ref="Y93">IF($I92="","",IF(AND(C93="P",C92&lt;&gt;"P"),IFERROR(XLOOKUP($B93,Lenso_Input!$A:$A,Lenso_Input!$E:$E,0),0),Y92+AS92))</f>
        <v/>
      </c>
      <c r="Z93" s="28" t="str">
        <f t="array" ref="Z93">IF($I92="","",IF(AND(C93="Q",C92&lt;&gt;"Q"),IFERROR(XLOOKUP($B93,Lenso_Input!$A:$A,Lenso_Input!$I:$I,0),0),Z92+AT92))</f>
        <v/>
      </c>
      <c r="AA93" s="28" t="str">
        <f t="array" ref="AA93">IF($I92="","",IF(XLOOKUP($B93,Derived_Variables!$A:$A,Derived_Variables!$R:$R,"6/6_target")="6/6_target","20_20_20","40_30_25"))</f>
        <v/>
      </c>
      <c r="AB93" s="28" t="str">
        <f t="array" ref="AB93">IF($I92="","",XLOOKUP(LOWER(XLOOKUP($B93,Derived_Variables!$A:$A,Derived_Variables!$T:$T,"Standard"))&amp;"_sph_step",Calibration!$B:$B,Calibration!$C:$C,0.25))</f>
        <v/>
      </c>
      <c r="AC93" s="28" t="str">
        <f t="array" ref="AC93">IF($I92="","",XLOOKUP(LOWER(XLOOKUP($B93,Derived_Variables!$A:$A,Derived_Variables!$T:$T,"Standard"))&amp;"_cyl_step",Calibration!$B:$B,Calibration!$C:$C,0.25))</f>
        <v/>
      </c>
      <c r="AD93" s="28" t="str">
        <f t="array" ref="AD93">IF($I92="","",IF(OR(C93="E",C93="H"),LET(startStep,XLOOKUP("axis_start_step",Calibration!$B:$B,Calibration!$C:$C,5),step1,XLOOKUP("axis_reversal_step_1",Calibration!$B:$B,Calibration!$C:$C,3),step2,XLOOKUP("axis_reversal_step_2",Calibration!$B:$B,Calibration!$C:$C,1),IF(OR(C92&lt;&gt;C93,AZ93="",AZ93="SAME",AZ93="CANT_TELL",I93="",I93="SAME",I93="CANT_TELL"),startStep,IF(OR(AND(AZ93="BETTER_1",I93="BETTER_2"),AND(AZ93="BETTER_2",I93="BETTER_1")),IF(AD92&gt;step1,step1,step2),AD92))),0))</f>
        <v/>
      </c>
      <c r="AE93" s="28" t="str">
        <f t="array" ref="AE93">IF($I92="","",XLOOKUP($B93,Derived_Variables!$A:$A,Derived_Variables!$AD:$AD,"No_Fog"))</f>
        <v/>
      </c>
      <c r="AF93" s="28" t="str">
        <f t="array" ref="AF93">IF($I92="","",XLOOKUP($B93,Derived_Variables!$A:$A,Derived_Variables!$AE:$AE,0))</f>
        <v/>
      </c>
      <c r="AG93" s="28" t="str">
        <f t="array" ref="AG93">IF($I92="","",XLOOKUP($B93,Derived_Variables!$A:$A,Derived_Variables!$AF:$AF,""))</f>
        <v/>
      </c>
      <c r="AH93" s="28" t="str">
        <f t="array" ref="AH93">IF($I92="","",XLOOKUP($B93,Derived_Variables!$A:$A,Derived_Variables!$AG:$AG,""))</f>
        <v/>
      </c>
      <c r="AI93" s="28" t="str">
        <f t="array" ref="AI93">IF($I92="","",XLOOKUP($B93,Derived_Variables!$A:$A,Derived_Variables!$AC:$AC,"Medium"))</f>
        <v/>
      </c>
      <c r="AJ93" s="28" t="str">
        <f t="array" ref="AJ93">IF($I92="","",XLOOKUP($B93,Derived_Variables!$A:$A,Derived_Variables!$Y:$Y,FALSE))</f>
        <v/>
      </c>
      <c r="AK93" s="28" t="str">
        <f t="array" ref="AK93">IF($I92="","",XLOOKUP($B93,Derived_Variables!$A:$A,Derived_Variables!$AA:$AA,"Normal"))</f>
        <v/>
      </c>
      <c r="AL93" s="28" t="str">
        <f t="array" ref="AL93">IF($I92="","",XLOOKUP($B93,Derived_Variables!$A:$A,Derived_Variables!$AB:$AB,"Normal"))</f>
        <v/>
      </c>
      <c r="AM93" s="28" t="str">
        <f t="array" ref="AM93">IF($I93="","",IFS(C93="B",IF(OR(I93="NOT_READABLE",I93="BLURRY"),-AB93,0),C93="G",IFS(I93="RED_CLEARER",XLOOKUP("duochrome_red_step",Calibration!$B:$B,Calibration!$C:$C,-0.25),I93="GREEN_CLEARER",XLOOKUP("duochrome_green_step",Calibration!$B:$B,Calibration!$C:$C,0.25),I93="EQUAL",IF(XLOOKUP($B93,Derived_Variables!$A:$A,Derived_Variables!$S:$S,"Neutral")="Undercorrect",XLOOKUP("undercorrect_step",Calibration!$B:$B,Calibration!$C:$C,0.25),IF(XLOOKUP($B93,Derived_Variables!$A:$A,Derived_Variables!$S:$S,"Neutral")="Overcorrect",-XLOOKUP("overcorrect_step",Calibration!$B:$B,Calibration!$C:$C,0.25),0)),TRUE,0),C93="K",IF(I93="TOP_CLEARER",XLOOKUP("bino_balance_step",Calibration!$B:$B,Calibration!$C:$C,0.25),0),TRUE,0))</f>
        <v/>
      </c>
      <c r="AN93" s="28" t="str">
        <f t="shared" si="10"/>
        <v/>
      </c>
      <c r="AO93" s="28" t="str">
        <f t="shared" si="11"/>
        <v/>
      </c>
      <c r="AP93" s="28" t="str">
        <f t="array" ref="AP93">IF($I93="","",IFS(C93="D",IF(OR(I93="NOT_READABLE",I93="BLURRY"),-AB93,0),C93="J",IFS(I93="RED_CLEARER",XLOOKUP("duochrome_red_step",Calibration!$B:$B,Calibration!$C:$C,-0.25),I93="GREEN_CLEARER",XLOOKUP("duochrome_green_step",Calibration!$B:$B,Calibration!$C:$C,0.25),I93="EQUAL",IF(XLOOKUP($B93,Derived_Variables!$A:$A,Derived_Variables!$S:$S,"Neutral")="Undercorrect",XLOOKUP("undercorrect_step",Calibration!$B:$B,Calibration!$C:$C,0.25),IF(XLOOKUP($B93,Derived_Variables!$A:$A,Derived_Variables!$S:$S,"Neutral")="Overcorrect",-XLOOKUP("overcorrect_step",Calibration!$B:$B,Calibration!$C:$C,0.25),0)),TRUE,0),C93="K",IF(I93="BOTTOM_CLEARER",XLOOKUP("bino_balance_step",Calibration!$B:$B,Calibration!$C:$C,0.25),0),TRUE,0))</f>
        <v/>
      </c>
      <c r="AQ93" s="28" t="str">
        <f t="shared" si="12"/>
        <v/>
      </c>
      <c r="AR93" s="28" t="str">
        <f t="shared" si="13"/>
        <v/>
      </c>
      <c r="AS93" s="28" t="str">
        <f t="array" ref="AS93">IF($I93="","",IF(C93="P",IF(OR(I93="NOT_READABLE",I93="BLURRY"),XLOOKUP("near_add_step",Calibration!$B:$B,Calibration!$C:$C,0.25),0),IF(C93="R",IF(I93="NOT_CLEAR",XLOOKUP("near_add_step",Calibration!$B:$B,Calibration!$C:$C,0.25),0),0)))</f>
        <v/>
      </c>
      <c r="AT93" s="28" t="str">
        <f t="array" ref="AT93">IF($I93="","",IF(C93="Q",IF(OR(I93="NOT_READABLE",I93="BLURRY"),XLOOKUP("near_add_step",Calibration!$B:$B,Calibration!$C:$C,0.25),0),IF(C93="R",IF(I93="NOT_CLEAR",XLOOKUP("near_add_step",Calibration!$B:$B,Calibration!$C:$C,0.25),0),0)))</f>
        <v/>
      </c>
      <c r="AU93" s="28" t="str">
        <f t="array" ref="AU93">IF($I93="","",IF(G93="SNELLEN_FEET",IF(I93="READABLE",IFERROR(XLOOKUP(XLOOKUP(R93,Chart_Scale_Distance!B:B,Chart_Scale_Distance!A:A)+1,Chart_Scale_Distance!A:A,Chart_Scale_Distance!B:B),R93),R93),R93))</f>
        <v/>
      </c>
      <c r="AV93" s="28" t="str">
        <f t="array" ref="AV93">IF($I92="","",IFERROR(XLOOKUP(R93,Chart_Scale_Distance!$B:$B,Chart_Scale_Distance!$A:$A,""),""))</f>
        <v/>
      </c>
      <c r="AW93" s="28" t="str">
        <f t="array" ref="AW93">IF($I92="","",IFERROR(XLOOKUP(AA93,Chart_Scale_Distance!$B:$B,Chart_Scale_Distance!$A:$A,""),""))</f>
        <v/>
      </c>
      <c r="AX93" s="28" t="str">
        <f t="shared" si="14"/>
        <v/>
      </c>
      <c r="AY93" s="28" t="str">
        <f t="shared" si="15"/>
        <v/>
      </c>
      <c r="AZ93" s="28" t="str">
        <f t="shared" si="16"/>
        <v/>
      </c>
      <c r="BA93" s="28" t="str">
        <f t="shared" si="17"/>
        <v/>
      </c>
      <c r="BB93" s="28" t="str">
        <f t="shared" si="18"/>
        <v/>
      </c>
      <c r="BC93" s="28" t="str">
        <f t="array" ref="BC93">IF($I93="","",LET(
conf,AI93,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duoMax,XLOOKUP($B93,Derived_Variables!$A:$A,Derived_Variables!$AI:$AI,4),
axisTol,XLOOKUP($B93,Derived_Variables!$A:$A,Derived_Variables!$W:$W,1),
maxStart,XLOOKUP($B93,Derived_Variables!$A:$A,Derived_Variables!$U:$U,1.25),
maxAR,XLOOKUP($B93,Derived_Variables!$A:$A,Derived_Variables!$V:$V,3),
anom,XLOOKUP($B93,Derived_Variables!$A:$A,Derived_Variables!$Z:$Z,FALSE),
reStart,XLOOKUP($B93,Derived_Variables!$A:$A,Derived_Variables!$K:$K,0),
leStart,XLOOKUP($B93,Derived_Variables!$A:$A,Derived_Variables!$N:$N,0),
reAR,XLOOKUP($B93,AR_Input!$A:$A,AR_Input!$B:$B,reStart),
leAR,XLOOKUP($B93,AR_Input!$A:$A,AR_Input!$E:$E,leStart),
reEsc,AND(anom,OR(ABS((S93+AM93)-reStart)&gt;maxStart,ABS((S93+AM93)-reAR)&gt;maxAR)),
leEsc,AND(anom,OR(ABS((V93+AP93)-leStart)&gt;maxStart,ABS((V93+AP93)-leAR)&gt;maxAR)),
phaseMax,IFS(
 AK93="Fast",
   IFS(
     OR(C93="B",C93="D"),XLOOKUP("timeout_coarse_fast",Calibration!$B:$B,Calibration!$C:$C,24),
     OR(C93="E",C93="F",C93="H",C93="I"),XLOOKUP("timeout_jcc_fast",Calibration!$B:$B,Calibration!$C:$C,10),
     OR(C93="G",C93="J"),XLOOKUP("timeout_duochrome_fast",Calibration!$B:$B,Calibration!$C:$C,8),
     C93="K",XLOOKUP("timeout_bino_fast",Calibration!$B:$B,Calibration!$C:$C,10),
     OR(C93="P",C93="Q",C93="R"),XLOOKUP("timeout_near_fast",Calibration!$B:$B,Calibration!$C:$C,16),
     TRUE,XLOOKUP("timeout_coarse_fast",Calibration!$B:$B,Calibration!$C:$C,24)
   ),
 AK93="Normal",
   IFS(
     OR(C93="B",C93="D"),XLOOKUP("timeout_coarse_normal",Calibration!$B:$B,Calibration!$C:$C,36),
     OR(C93="E",C93="F",C93="H",C93="I"),XLOOKUP("timeout_jcc_normal",Calibration!$B:$B,Calibration!$C:$C,14),
     OR(C93="G",C93="J"),XLOOKUP("timeout_duochrome_normal",Calibration!$B:$B,Calibration!$C:$C,10),
     C93="K",XLOOKUP("timeout_bino_normal",Calibration!$B:$B,Calibration!$C:$C,14),
     OR(C93="P",C93="Q",C93="R"),XLOOKUP("timeout_near_normal",Calibration!$B:$B,Calibration!$C:$C,22),
     TRUE,XLOOKUP("timeout_coarse_normal",Calibration!$B:$B,Calibration!$C:$C,36)
   ),
 TRUE,
   IFS(
     OR(C93="B",C93="D"),XLOOKUP("timeout_coarse_slow",Calibration!$B:$B,Calibration!$C:$C,48),
     OR(C93="E",C93="F",C93="H",C93="I"),XLOOKUP("timeout_jcc_slow",Calibration!$B:$B,Calibration!$C:$C,18),
     OR(C93="G",C93="J"),XLOOKUP("timeout_duochrome_slow",Calibration!$B:$B,Calibration!$C:$C,12),
     C93="K",XLOOKUP("timeout_bino_slow",Calibration!$B:$B,Calibration!$C:$C,18),
     OR(C93="P",C93="Q",C93="R"),XLOOKUP("timeout_near_slow",Calibration!$B:$B,Calibration!$C:$C,28),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AJ93=TRUE,"ESCALATE",
C93="A",
IF(OR(I93="NOT_READABLE",I93="BLURRY",AND(R93="20_20_20",I93="READABLE")),"B","A"),
C93="B",
IF(reEsc,"ESCALATE",IF(AY93&gt;=phaseMax,"ESCALATE",IF(AND(AV93&gt;=AW93,I93="READABLE"),"E","B"))),
C93="E",
IF(AY93&gt;=phaseMax,"ESCALATE",IF(OR(I93="SAME",I93="CANT_TELL",AD93&lt;axisTol),"F","E")),
C93="F",
IF(AY93&gt;=phaseMax,"ESCALATE",IF(AX93&gt;=powerSameN,"G","F")),
C93="G",
IF(AY93&gt;=phaseMax,"ESCALATE",IF(OR(AX93&gt;=duoEqualN,BB93&gt;=duoMax),"D","G")),
C93="D",
IF(leEsc,"ESCALATE",IF(AY93&gt;=phaseMax,"ESCALATE",IF(AND(AV93&gt;=AW93,I93="READABLE"),"H","D"))),
C93="H",
IF(AY93&gt;=phaseMax,"ESCALATE",IF(OR(I93="SAME",I93="CANT_TELL",AD93&lt;axisTol),"I","H")),
C93="I",
IF(AY93&gt;=phaseMax,"ESCALATE",IF(AX93&gt;=powerSameN,"J","I")),
C93="J",
IF(AY93&gt;=phaseMax,"ESCALATE",IF(OR(AX93&gt;=duoEqualN,BB93&gt;=duoMax),"K","J")),
C93="K",
IF(AY93&gt;=phaseMax,"ESCALATE",IF(AX93&gt;=binoSameN,IF(XLOOKUP($B93,Derived_Variables!$A:$A,Derived_Variables!$AJ:$AJ,FALSE)=TRUE,"P","END"),"K")),
C93="P",
IF(AY93&gt;=phaseMax,"ESCALATE",IF(OR(I93="READABLE",I93="SAME"),"Q","P")),
C93="Q",
IF(AY93&gt;=phaseMax,"ESCALATE",IF(OR(I93="READABLE",I93="SAME"),"R","Q")),
C93="R",
IF(AY93&gt;=phaseMax,"ESCALATE",IF(OR(I93=nearTarget,I93="SAME"),"END","R")),
TRUE,"END"
)))</f>
        <v/>
      </c>
      <c r="BD93" s="28" t="b">
        <f t="shared" si="19"/>
        <v>0</v>
      </c>
    </row>
    <row r="94" ht="15.75" customHeight="1">
      <c r="A94" s="28">
        <f t="shared" si="3"/>
        <v>93</v>
      </c>
      <c r="B94" s="28">
        <f t="shared" si="4"/>
        <v>6</v>
      </c>
      <c r="C94" s="28" t="str">
        <f t="shared" si="5"/>
        <v/>
      </c>
      <c r="D94" s="28" t="str">
        <f t="array" ref="D94">IF($I93="","",XLOOKUP(C94,FSM_State_Map!A:A,FSM_State_Map!B:B,""))</f>
        <v/>
      </c>
      <c r="E94" s="28" t="str">
        <f t="array" ref="E94">IF($I93="","",XLOOKUP(C94,FSM_State_Map!A:A,FSM_State_Map!C:C,""))</f>
        <v/>
      </c>
      <c r="F94" s="28" t="str">
        <f t="array" ref="F94">IF($I93="","",XLOOKUP(E94,Phase_UI_Map!A:A,Phase_UI_Map!B:B,""))</f>
        <v/>
      </c>
      <c r="G94" s="28" t="str">
        <f t="array" ref="G94">IF($I93="","",XLOOKUP(E94,Phase_UI_Map!A:A,Phase_UI_Map!C:C,""))</f>
        <v/>
      </c>
      <c r="H94" s="28" t="str">
        <f t="array" ref="H94">IF($I93="","",XLOOKUP(E94,Phase_UI_Map!A:A,Phase_UI_Map!D:D,""))</f>
        <v/>
      </c>
      <c r="I94" s="29"/>
      <c r="J94" s="28" t="str">
        <f>IFERROR(__xludf.DUMMYFUNCTION("IF($I93="""","""",IFERROR(INDEX(FILTER(Response_Lists!$B:$B,Response_Lists!$A:$A=$H94),1),""""))"),"")</f>
        <v/>
      </c>
      <c r="K94" s="28" t="str">
        <f>IFERROR(__xludf.DUMMYFUNCTION("IF($I93="""","""",IFERROR(INDEX(FILTER(Response_Lists!$B:$B,Response_Lists!$A:$A=$H94),2),""""))"),"")</f>
        <v/>
      </c>
      <c r="L94" s="28" t="str">
        <f>IFERROR(__xludf.DUMMYFUNCTION("IF($I93="""","""",IFERROR(INDEX(FILTER(Response_Lists!$B:$B,Response_Lists!$A:$A=$H94),3),""""))"),"")</f>
        <v/>
      </c>
      <c r="M94" s="28" t="str">
        <f>IFERROR(__xludf.DUMMYFUNCTION("IF($I93="""","""",IFERROR(INDEX(FILTER(Response_Lists!$B:$B,Response_Lists!$A:$A=$H94),4),""""))"),"")</f>
        <v/>
      </c>
      <c r="N94" s="28" t="str">
        <f>IFERROR(__xludf.DUMMYFUNCTION("IF($I93="""","""",IFERROR(INDEX(FILTER(Response_Lists!$B:$B,Response_Lists!$A:$A=$H94),5),""""))"),"")</f>
        <v/>
      </c>
      <c r="O94" s="28" t="str">
        <f>IFERROR(__xludf.DUMMYFUNCTION("IF($I93="""","""",IFERROR(INDEX(FILTER(Response_Lists!$B:$B,Response_Lists!$A:$A=$H94),6),""""))"),"")</f>
        <v/>
      </c>
      <c r="P94" s="28" t="str">
        <f t="shared" si="6"/>
        <v/>
      </c>
      <c r="Q94" s="28" t="str">
        <f t="array" ref="Q94">IF($I93="","",XLOOKUP(C94,FSM_State_Map!A:A,FSM_State_Map!D:D,""))</f>
        <v/>
      </c>
      <c r="R94" s="28" t="str">
        <f t="shared" si="7"/>
        <v/>
      </c>
      <c r="S94" s="28" t="str">
        <f t="array" ref="S94">IF($I93="","",
IF(
  AND(C94="B",C93&lt;&gt;"B"),
  XLOOKUP($B94,Derived_Variables!$A:$A,Derived_Variables!$K:$K,0)
  + XLOOKUP($B94,Derived_Variables!$A:$A,Derived_Variables!$AE:$AE,0),
  S93+AM93
))</f>
        <v/>
      </c>
      <c r="T94" s="28" t="str">
        <f t="shared" ref="T94:U94" si="198">IF($I93="","",T93+AN93)</f>
        <v/>
      </c>
      <c r="U94" s="28" t="str">
        <f t="shared" si="198"/>
        <v/>
      </c>
      <c r="V94" s="28" t="str">
        <f t="array" ref="V94">IF($I93="","",
IF(
  AND(C94="D",C93&lt;&gt;"D"),
  XLOOKUP($B94,Derived_Variables!$A:$A,Derived_Variables!$N:$N,0)
  + XLOOKUP($B94,Derived_Variables!$A:$A,Derived_Variables!$AE:$AE,0),
  V93+AP93
))</f>
        <v/>
      </c>
      <c r="W94" s="28" t="str">
        <f t="shared" ref="W94:X94" si="199">IF($I93="","",W93+AQ93)</f>
        <v/>
      </c>
      <c r="X94" s="28" t="str">
        <f t="shared" si="199"/>
        <v/>
      </c>
      <c r="Y94" s="28" t="str">
        <f t="array" ref="Y94">IF($I93="","",IF(AND(C94="P",C93&lt;&gt;"P"),IFERROR(XLOOKUP($B94,Lenso_Input!$A:$A,Lenso_Input!$E:$E,0),0),Y93+AS93))</f>
        <v/>
      </c>
      <c r="Z94" s="28" t="str">
        <f t="array" ref="Z94">IF($I93="","",IF(AND(C94="Q",C93&lt;&gt;"Q"),IFERROR(XLOOKUP($B94,Lenso_Input!$A:$A,Lenso_Input!$I:$I,0),0),Z93+AT93))</f>
        <v/>
      </c>
      <c r="AA94" s="28" t="str">
        <f t="array" ref="AA94">IF($I93="","",IF(XLOOKUP($B94,Derived_Variables!$A:$A,Derived_Variables!$R:$R,"6/6_target")="6/6_target","20_20_20","40_30_25"))</f>
        <v/>
      </c>
      <c r="AB94" s="28" t="str">
        <f t="array" ref="AB94">IF($I93="","",XLOOKUP(LOWER(XLOOKUP($B94,Derived_Variables!$A:$A,Derived_Variables!$T:$T,"Standard"))&amp;"_sph_step",Calibration!$B:$B,Calibration!$C:$C,0.25))</f>
        <v/>
      </c>
      <c r="AC94" s="28" t="str">
        <f t="array" ref="AC94">IF($I93="","",XLOOKUP(LOWER(XLOOKUP($B94,Derived_Variables!$A:$A,Derived_Variables!$T:$T,"Standard"))&amp;"_cyl_step",Calibration!$B:$B,Calibration!$C:$C,0.25))</f>
        <v/>
      </c>
      <c r="AD94" s="28" t="str">
        <f t="array" ref="AD94">IF($I93="","",IF(OR(C94="E",C94="H"),LET(startStep,XLOOKUP("axis_start_step",Calibration!$B:$B,Calibration!$C:$C,5),step1,XLOOKUP("axis_reversal_step_1",Calibration!$B:$B,Calibration!$C:$C,3),step2,XLOOKUP("axis_reversal_step_2",Calibration!$B:$B,Calibration!$C:$C,1),IF(OR(C93&lt;&gt;C94,AZ94="",AZ94="SAME",AZ94="CANT_TELL",I94="",I94="SAME",I94="CANT_TELL"),startStep,IF(OR(AND(AZ94="BETTER_1",I94="BETTER_2"),AND(AZ94="BETTER_2",I94="BETTER_1")),IF(AD93&gt;step1,step1,step2),AD93))),0))</f>
        <v/>
      </c>
      <c r="AE94" s="28" t="str">
        <f t="array" ref="AE94">IF($I93="","",XLOOKUP($B94,Derived_Variables!$A:$A,Derived_Variables!$AD:$AD,"No_Fog"))</f>
        <v/>
      </c>
      <c r="AF94" s="28" t="str">
        <f t="array" ref="AF94">IF($I93="","",XLOOKUP($B94,Derived_Variables!$A:$A,Derived_Variables!$AE:$AE,0))</f>
        <v/>
      </c>
      <c r="AG94" s="28" t="str">
        <f t="array" ref="AG94">IF($I93="","",XLOOKUP($B94,Derived_Variables!$A:$A,Derived_Variables!$AF:$AF,""))</f>
        <v/>
      </c>
      <c r="AH94" s="28" t="str">
        <f t="array" ref="AH94">IF($I93="","",XLOOKUP($B94,Derived_Variables!$A:$A,Derived_Variables!$AG:$AG,""))</f>
        <v/>
      </c>
      <c r="AI94" s="28" t="str">
        <f t="array" ref="AI94">IF($I93="","",XLOOKUP($B94,Derived_Variables!$A:$A,Derived_Variables!$AC:$AC,"Medium"))</f>
        <v/>
      </c>
      <c r="AJ94" s="28" t="str">
        <f t="array" ref="AJ94">IF($I93="","",XLOOKUP($B94,Derived_Variables!$A:$A,Derived_Variables!$Y:$Y,FALSE))</f>
        <v/>
      </c>
      <c r="AK94" s="28" t="str">
        <f t="array" ref="AK94">IF($I93="","",XLOOKUP($B94,Derived_Variables!$A:$A,Derived_Variables!$AA:$AA,"Normal"))</f>
        <v/>
      </c>
      <c r="AL94" s="28" t="str">
        <f t="array" ref="AL94">IF($I93="","",XLOOKUP($B94,Derived_Variables!$A:$A,Derived_Variables!$AB:$AB,"Normal"))</f>
        <v/>
      </c>
      <c r="AM94" s="28" t="str">
        <f t="array" ref="AM94">IF($I94="","",IFS(C94="B",IF(OR(I94="NOT_READABLE",I94="BLURRY"),-AB94,0),C94="G",IFS(I94="RED_CLEARER",XLOOKUP("duochrome_red_step",Calibration!$B:$B,Calibration!$C:$C,-0.25),I94="GREEN_CLEARER",XLOOKUP("duochrome_green_step",Calibration!$B:$B,Calibration!$C:$C,0.25),I94="EQUAL",IF(XLOOKUP($B94,Derived_Variables!$A:$A,Derived_Variables!$S:$S,"Neutral")="Undercorrect",XLOOKUP("undercorrect_step",Calibration!$B:$B,Calibration!$C:$C,0.25),IF(XLOOKUP($B94,Derived_Variables!$A:$A,Derived_Variables!$S:$S,"Neutral")="Overcorrect",-XLOOKUP("overcorrect_step",Calibration!$B:$B,Calibration!$C:$C,0.25),0)),TRUE,0),C94="K",IF(I94="TOP_CLEARER",XLOOKUP("bino_balance_step",Calibration!$B:$B,Calibration!$C:$C,0.25),0),TRUE,0))</f>
        <v/>
      </c>
      <c r="AN94" s="28" t="str">
        <f t="shared" si="10"/>
        <v/>
      </c>
      <c r="AO94" s="28" t="str">
        <f t="shared" si="11"/>
        <v/>
      </c>
      <c r="AP94" s="28" t="str">
        <f t="array" ref="AP94">IF($I94="","",IFS(C94="D",IF(OR(I94="NOT_READABLE",I94="BLURRY"),-AB94,0),C94="J",IFS(I94="RED_CLEARER",XLOOKUP("duochrome_red_step",Calibration!$B:$B,Calibration!$C:$C,-0.25),I94="GREEN_CLEARER",XLOOKUP("duochrome_green_step",Calibration!$B:$B,Calibration!$C:$C,0.25),I94="EQUAL",IF(XLOOKUP($B94,Derived_Variables!$A:$A,Derived_Variables!$S:$S,"Neutral")="Undercorrect",XLOOKUP("undercorrect_step",Calibration!$B:$B,Calibration!$C:$C,0.25),IF(XLOOKUP($B94,Derived_Variables!$A:$A,Derived_Variables!$S:$S,"Neutral")="Overcorrect",-XLOOKUP("overcorrect_step",Calibration!$B:$B,Calibration!$C:$C,0.25),0)),TRUE,0),C94="K",IF(I94="BOTTOM_CLEARER",XLOOKUP("bino_balance_step",Calibration!$B:$B,Calibration!$C:$C,0.25),0),TRUE,0))</f>
        <v/>
      </c>
      <c r="AQ94" s="28" t="str">
        <f t="shared" si="12"/>
        <v/>
      </c>
      <c r="AR94" s="28" t="str">
        <f t="shared" si="13"/>
        <v/>
      </c>
      <c r="AS94" s="28" t="str">
        <f t="array" ref="AS94">IF($I94="","",IF(C94="P",IF(OR(I94="NOT_READABLE",I94="BLURRY"),XLOOKUP("near_add_step",Calibration!$B:$B,Calibration!$C:$C,0.25),0),IF(C94="R",IF(I94="NOT_CLEAR",XLOOKUP("near_add_step",Calibration!$B:$B,Calibration!$C:$C,0.25),0),0)))</f>
        <v/>
      </c>
      <c r="AT94" s="28" t="str">
        <f t="array" ref="AT94">IF($I94="","",IF(C94="Q",IF(OR(I94="NOT_READABLE",I94="BLURRY"),XLOOKUP("near_add_step",Calibration!$B:$B,Calibration!$C:$C,0.25),0),IF(C94="R",IF(I94="NOT_CLEAR",XLOOKUP("near_add_step",Calibration!$B:$B,Calibration!$C:$C,0.25),0),0)))</f>
        <v/>
      </c>
      <c r="AU94" s="28" t="str">
        <f t="array" ref="AU94">IF($I94="","",IF(G94="SNELLEN_FEET",IF(I94="READABLE",IFERROR(XLOOKUP(XLOOKUP(R94,Chart_Scale_Distance!B:B,Chart_Scale_Distance!A:A)+1,Chart_Scale_Distance!A:A,Chart_Scale_Distance!B:B),R94),R94),R94))</f>
        <v/>
      </c>
      <c r="AV94" s="28" t="str">
        <f t="array" ref="AV94">IF($I93="","",IFERROR(XLOOKUP(R94,Chart_Scale_Distance!$B:$B,Chart_Scale_Distance!$A:$A,""),""))</f>
        <v/>
      </c>
      <c r="AW94" s="28" t="str">
        <f t="array" ref="AW94">IF($I93="","",IFERROR(XLOOKUP(AA94,Chart_Scale_Distance!$B:$B,Chart_Scale_Distance!$A:$A,""),""))</f>
        <v/>
      </c>
      <c r="AX94" s="28" t="str">
        <f t="shared" si="14"/>
        <v/>
      </c>
      <c r="AY94" s="28" t="str">
        <f t="shared" si="15"/>
        <v/>
      </c>
      <c r="AZ94" s="28" t="str">
        <f t="shared" si="16"/>
        <v/>
      </c>
      <c r="BA94" s="28" t="str">
        <f t="shared" si="17"/>
        <v/>
      </c>
      <c r="BB94" s="28" t="str">
        <f t="shared" si="18"/>
        <v/>
      </c>
      <c r="BC94" s="28" t="str">
        <f t="array" ref="BC94">IF($I94="","",LET(
conf,AI94,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duoMax,XLOOKUP($B94,Derived_Variables!$A:$A,Derived_Variables!$AI:$AI,4),
axisTol,XLOOKUP($B94,Derived_Variables!$A:$A,Derived_Variables!$W:$W,1),
maxStart,XLOOKUP($B94,Derived_Variables!$A:$A,Derived_Variables!$U:$U,1.25),
maxAR,XLOOKUP($B94,Derived_Variables!$A:$A,Derived_Variables!$V:$V,3),
anom,XLOOKUP($B94,Derived_Variables!$A:$A,Derived_Variables!$Z:$Z,FALSE),
reStart,XLOOKUP($B94,Derived_Variables!$A:$A,Derived_Variables!$K:$K,0),
leStart,XLOOKUP($B94,Derived_Variables!$A:$A,Derived_Variables!$N:$N,0),
reAR,XLOOKUP($B94,AR_Input!$A:$A,AR_Input!$B:$B,reStart),
leAR,XLOOKUP($B94,AR_Input!$A:$A,AR_Input!$E:$E,leStart),
reEsc,AND(anom,OR(ABS((S94+AM94)-reStart)&gt;maxStart,ABS((S94+AM94)-reAR)&gt;maxAR)),
leEsc,AND(anom,OR(ABS((V94+AP94)-leStart)&gt;maxStart,ABS((V94+AP94)-leAR)&gt;maxAR)),
phaseMax,IFS(
 AK94="Fast",
   IFS(
     OR(C94="B",C94="D"),XLOOKUP("timeout_coarse_fast",Calibration!$B:$B,Calibration!$C:$C,24),
     OR(C94="E",C94="F",C94="H",C94="I"),XLOOKUP("timeout_jcc_fast",Calibration!$B:$B,Calibration!$C:$C,10),
     OR(C94="G",C94="J"),XLOOKUP("timeout_duochrome_fast",Calibration!$B:$B,Calibration!$C:$C,8),
     C94="K",XLOOKUP("timeout_bino_fast",Calibration!$B:$B,Calibration!$C:$C,10),
     OR(C94="P",C94="Q",C94="R"),XLOOKUP("timeout_near_fast",Calibration!$B:$B,Calibration!$C:$C,16),
     TRUE,XLOOKUP("timeout_coarse_fast",Calibration!$B:$B,Calibration!$C:$C,24)
   ),
 AK94="Normal",
   IFS(
     OR(C94="B",C94="D"),XLOOKUP("timeout_coarse_normal",Calibration!$B:$B,Calibration!$C:$C,36),
     OR(C94="E",C94="F",C94="H",C94="I"),XLOOKUP("timeout_jcc_normal",Calibration!$B:$B,Calibration!$C:$C,14),
     OR(C94="G",C94="J"),XLOOKUP("timeout_duochrome_normal",Calibration!$B:$B,Calibration!$C:$C,10),
     C94="K",XLOOKUP("timeout_bino_normal",Calibration!$B:$B,Calibration!$C:$C,14),
     OR(C94="P",C94="Q",C94="R"),XLOOKUP("timeout_near_normal",Calibration!$B:$B,Calibration!$C:$C,22),
     TRUE,XLOOKUP("timeout_coarse_normal",Calibration!$B:$B,Calibration!$C:$C,36)
   ),
 TRUE,
   IFS(
     OR(C94="B",C94="D"),XLOOKUP("timeout_coarse_slow",Calibration!$B:$B,Calibration!$C:$C,48),
     OR(C94="E",C94="F",C94="H",C94="I"),XLOOKUP("timeout_jcc_slow",Calibration!$B:$B,Calibration!$C:$C,18),
     OR(C94="G",C94="J"),XLOOKUP("timeout_duochrome_slow",Calibration!$B:$B,Calibration!$C:$C,12),
     C94="K",XLOOKUP("timeout_bino_slow",Calibration!$B:$B,Calibration!$C:$C,18),
     OR(C94="P",C94="Q",C94="R"),XLOOKUP("timeout_near_slow",Calibration!$B:$B,Calibration!$C:$C,28),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AJ94=TRUE,"ESCALATE",
C94="A",
IF(OR(I94="NOT_READABLE",I94="BLURRY",AND(R94="20_20_20",I94="READABLE")),"B","A"),
C94="B",
IF(reEsc,"ESCALATE",IF(AY94&gt;=phaseMax,"ESCALATE",IF(AND(AV94&gt;=AW94,I94="READABLE"),"E","B"))),
C94="E",
IF(AY94&gt;=phaseMax,"ESCALATE",IF(OR(I94="SAME",I94="CANT_TELL",AD94&lt;axisTol),"F","E")),
C94="F",
IF(AY94&gt;=phaseMax,"ESCALATE",IF(AX94&gt;=powerSameN,"G","F")),
C94="G",
IF(AY94&gt;=phaseMax,"ESCALATE",IF(OR(AX94&gt;=duoEqualN,BB94&gt;=duoMax),"D","G")),
C94="D",
IF(leEsc,"ESCALATE",IF(AY94&gt;=phaseMax,"ESCALATE",IF(AND(AV94&gt;=AW94,I94="READABLE"),"H","D"))),
C94="H",
IF(AY94&gt;=phaseMax,"ESCALATE",IF(OR(I94="SAME",I94="CANT_TELL",AD94&lt;axisTol),"I","H")),
C94="I",
IF(AY94&gt;=phaseMax,"ESCALATE",IF(AX94&gt;=powerSameN,"J","I")),
C94="J",
IF(AY94&gt;=phaseMax,"ESCALATE",IF(OR(AX94&gt;=duoEqualN,BB94&gt;=duoMax),"K","J")),
C94="K",
IF(AY94&gt;=phaseMax,"ESCALATE",IF(AX94&gt;=binoSameN,IF(XLOOKUP($B94,Derived_Variables!$A:$A,Derived_Variables!$AJ:$AJ,FALSE)=TRUE,"P","END"),"K")),
C94="P",
IF(AY94&gt;=phaseMax,"ESCALATE",IF(OR(I94="READABLE",I94="SAME"),"Q","P")),
C94="Q",
IF(AY94&gt;=phaseMax,"ESCALATE",IF(OR(I94="READABLE",I94="SAME"),"R","Q")),
C94="R",
IF(AY94&gt;=phaseMax,"ESCALATE",IF(OR(I94=nearTarget,I94="SAME"),"END","R")),
TRUE,"END"
)))</f>
        <v/>
      </c>
      <c r="BD94" s="28" t="b">
        <f t="shared" si="19"/>
        <v>0</v>
      </c>
    </row>
    <row r="95" ht="15.75" customHeight="1">
      <c r="A95" s="28">
        <f t="shared" si="3"/>
        <v>94</v>
      </c>
      <c r="B95" s="28">
        <f t="shared" si="4"/>
        <v>6</v>
      </c>
      <c r="C95" s="28" t="str">
        <f t="shared" si="5"/>
        <v/>
      </c>
      <c r="D95" s="28" t="str">
        <f t="array" ref="D95">IF($I94="","",XLOOKUP(C95,FSM_State_Map!A:A,FSM_State_Map!B:B,""))</f>
        <v/>
      </c>
      <c r="E95" s="28" t="str">
        <f t="array" ref="E95">IF($I94="","",XLOOKUP(C95,FSM_State_Map!A:A,FSM_State_Map!C:C,""))</f>
        <v/>
      </c>
      <c r="F95" s="28" t="str">
        <f t="array" ref="F95">IF($I94="","",XLOOKUP(E95,Phase_UI_Map!A:A,Phase_UI_Map!B:B,""))</f>
        <v/>
      </c>
      <c r="G95" s="28" t="str">
        <f t="array" ref="G95">IF($I94="","",XLOOKUP(E95,Phase_UI_Map!A:A,Phase_UI_Map!C:C,""))</f>
        <v/>
      </c>
      <c r="H95" s="28" t="str">
        <f t="array" ref="H95">IF($I94="","",XLOOKUP(E95,Phase_UI_Map!A:A,Phase_UI_Map!D:D,""))</f>
        <v/>
      </c>
      <c r="I95" s="29"/>
      <c r="J95" s="28" t="str">
        <f>IFERROR(__xludf.DUMMYFUNCTION("IF($I94="""","""",IFERROR(INDEX(FILTER(Response_Lists!$B:$B,Response_Lists!$A:$A=$H95),1),""""))"),"")</f>
        <v/>
      </c>
      <c r="K95" s="28" t="str">
        <f>IFERROR(__xludf.DUMMYFUNCTION("IF($I94="""","""",IFERROR(INDEX(FILTER(Response_Lists!$B:$B,Response_Lists!$A:$A=$H95),2),""""))"),"")</f>
        <v/>
      </c>
      <c r="L95" s="28" t="str">
        <f>IFERROR(__xludf.DUMMYFUNCTION("IF($I94="""","""",IFERROR(INDEX(FILTER(Response_Lists!$B:$B,Response_Lists!$A:$A=$H95),3),""""))"),"")</f>
        <v/>
      </c>
      <c r="M95" s="28" t="str">
        <f>IFERROR(__xludf.DUMMYFUNCTION("IF($I94="""","""",IFERROR(INDEX(FILTER(Response_Lists!$B:$B,Response_Lists!$A:$A=$H95),4),""""))"),"")</f>
        <v/>
      </c>
      <c r="N95" s="28" t="str">
        <f>IFERROR(__xludf.DUMMYFUNCTION("IF($I94="""","""",IFERROR(INDEX(FILTER(Response_Lists!$B:$B,Response_Lists!$A:$A=$H95),5),""""))"),"")</f>
        <v/>
      </c>
      <c r="O95" s="28" t="str">
        <f>IFERROR(__xludf.DUMMYFUNCTION("IF($I94="""","""",IFERROR(INDEX(FILTER(Response_Lists!$B:$B,Response_Lists!$A:$A=$H95),6),""""))"),"")</f>
        <v/>
      </c>
      <c r="P95" s="28" t="str">
        <f t="shared" si="6"/>
        <v/>
      </c>
      <c r="Q95" s="28" t="str">
        <f t="array" ref="Q95">IF($I94="","",XLOOKUP(C95,FSM_State_Map!A:A,FSM_State_Map!D:D,""))</f>
        <v/>
      </c>
      <c r="R95" s="28" t="str">
        <f t="shared" si="7"/>
        <v/>
      </c>
      <c r="S95" s="28" t="str">
        <f t="array" ref="S95">IF($I94="","",
IF(
  AND(C95="B",C94&lt;&gt;"B"),
  XLOOKUP($B95,Derived_Variables!$A:$A,Derived_Variables!$K:$K,0)
  + XLOOKUP($B95,Derived_Variables!$A:$A,Derived_Variables!$AE:$AE,0),
  S94+AM94
))</f>
        <v/>
      </c>
      <c r="T95" s="28" t="str">
        <f t="shared" ref="T95:U95" si="200">IF($I94="","",T94+AN94)</f>
        <v/>
      </c>
      <c r="U95" s="28" t="str">
        <f t="shared" si="200"/>
        <v/>
      </c>
      <c r="V95" s="28" t="str">
        <f t="array" ref="V95">IF($I94="","",
IF(
  AND(C95="D",C94&lt;&gt;"D"),
  XLOOKUP($B95,Derived_Variables!$A:$A,Derived_Variables!$N:$N,0)
  + XLOOKUP($B95,Derived_Variables!$A:$A,Derived_Variables!$AE:$AE,0),
  V94+AP94
))</f>
        <v/>
      </c>
      <c r="W95" s="28" t="str">
        <f t="shared" ref="W95:X95" si="201">IF($I94="","",W94+AQ94)</f>
        <v/>
      </c>
      <c r="X95" s="28" t="str">
        <f t="shared" si="201"/>
        <v/>
      </c>
      <c r="Y95" s="28" t="str">
        <f t="array" ref="Y95">IF($I94="","",IF(AND(C95="P",C94&lt;&gt;"P"),IFERROR(XLOOKUP($B95,Lenso_Input!$A:$A,Lenso_Input!$E:$E,0),0),Y94+AS94))</f>
        <v/>
      </c>
      <c r="Z95" s="28" t="str">
        <f t="array" ref="Z95">IF($I94="","",IF(AND(C95="Q",C94&lt;&gt;"Q"),IFERROR(XLOOKUP($B95,Lenso_Input!$A:$A,Lenso_Input!$I:$I,0),0),Z94+AT94))</f>
        <v/>
      </c>
      <c r="AA95" s="28" t="str">
        <f t="array" ref="AA95">IF($I94="","",IF(XLOOKUP($B95,Derived_Variables!$A:$A,Derived_Variables!$R:$R,"6/6_target")="6/6_target","20_20_20","40_30_25"))</f>
        <v/>
      </c>
      <c r="AB95" s="28" t="str">
        <f t="array" ref="AB95">IF($I94="","",XLOOKUP(LOWER(XLOOKUP($B95,Derived_Variables!$A:$A,Derived_Variables!$T:$T,"Standard"))&amp;"_sph_step",Calibration!$B:$B,Calibration!$C:$C,0.25))</f>
        <v/>
      </c>
      <c r="AC95" s="28" t="str">
        <f t="array" ref="AC95">IF($I94="","",XLOOKUP(LOWER(XLOOKUP($B95,Derived_Variables!$A:$A,Derived_Variables!$T:$T,"Standard"))&amp;"_cyl_step",Calibration!$B:$B,Calibration!$C:$C,0.25))</f>
        <v/>
      </c>
      <c r="AD95" s="28" t="str">
        <f t="array" ref="AD95">IF($I94="","",IF(OR(C95="E",C95="H"),LET(startStep,XLOOKUP("axis_start_step",Calibration!$B:$B,Calibration!$C:$C,5),step1,XLOOKUP("axis_reversal_step_1",Calibration!$B:$B,Calibration!$C:$C,3),step2,XLOOKUP("axis_reversal_step_2",Calibration!$B:$B,Calibration!$C:$C,1),IF(OR(C94&lt;&gt;C95,AZ95="",AZ95="SAME",AZ95="CANT_TELL",I95="",I95="SAME",I95="CANT_TELL"),startStep,IF(OR(AND(AZ95="BETTER_1",I95="BETTER_2"),AND(AZ95="BETTER_2",I95="BETTER_1")),IF(AD94&gt;step1,step1,step2),AD94))),0))</f>
        <v/>
      </c>
      <c r="AE95" s="28" t="str">
        <f t="array" ref="AE95">IF($I94="","",XLOOKUP($B95,Derived_Variables!$A:$A,Derived_Variables!$AD:$AD,"No_Fog"))</f>
        <v/>
      </c>
      <c r="AF95" s="28" t="str">
        <f t="array" ref="AF95">IF($I94="","",XLOOKUP($B95,Derived_Variables!$A:$A,Derived_Variables!$AE:$AE,0))</f>
        <v/>
      </c>
      <c r="AG95" s="28" t="str">
        <f t="array" ref="AG95">IF($I94="","",XLOOKUP($B95,Derived_Variables!$A:$A,Derived_Variables!$AF:$AF,""))</f>
        <v/>
      </c>
      <c r="AH95" s="28" t="str">
        <f t="array" ref="AH95">IF($I94="","",XLOOKUP($B95,Derived_Variables!$A:$A,Derived_Variables!$AG:$AG,""))</f>
        <v/>
      </c>
      <c r="AI95" s="28" t="str">
        <f t="array" ref="AI95">IF($I94="","",XLOOKUP($B95,Derived_Variables!$A:$A,Derived_Variables!$AC:$AC,"Medium"))</f>
        <v/>
      </c>
      <c r="AJ95" s="28" t="str">
        <f t="array" ref="AJ95">IF($I94="","",XLOOKUP($B95,Derived_Variables!$A:$A,Derived_Variables!$Y:$Y,FALSE))</f>
        <v/>
      </c>
      <c r="AK95" s="28" t="str">
        <f t="array" ref="AK95">IF($I94="","",XLOOKUP($B95,Derived_Variables!$A:$A,Derived_Variables!$AA:$AA,"Normal"))</f>
        <v/>
      </c>
      <c r="AL95" s="28" t="str">
        <f t="array" ref="AL95">IF($I94="","",XLOOKUP($B95,Derived_Variables!$A:$A,Derived_Variables!$AB:$AB,"Normal"))</f>
        <v/>
      </c>
      <c r="AM95" s="28" t="str">
        <f t="array" ref="AM95">IF($I95="","",IFS(C95="B",IF(OR(I95="NOT_READABLE",I95="BLURRY"),-AB95,0),C95="G",IFS(I95="RED_CLEARER",XLOOKUP("duochrome_red_step",Calibration!$B:$B,Calibration!$C:$C,-0.25),I95="GREEN_CLEARER",XLOOKUP("duochrome_green_step",Calibration!$B:$B,Calibration!$C:$C,0.25),I95="EQUAL",IF(XLOOKUP($B95,Derived_Variables!$A:$A,Derived_Variables!$S:$S,"Neutral")="Undercorrect",XLOOKUP("undercorrect_step",Calibration!$B:$B,Calibration!$C:$C,0.25),IF(XLOOKUP($B95,Derived_Variables!$A:$A,Derived_Variables!$S:$S,"Neutral")="Overcorrect",-XLOOKUP("overcorrect_step",Calibration!$B:$B,Calibration!$C:$C,0.25),0)),TRUE,0),C95="K",IF(I95="TOP_CLEARER",XLOOKUP("bino_balance_step",Calibration!$B:$B,Calibration!$C:$C,0.25),0),TRUE,0))</f>
        <v/>
      </c>
      <c r="AN95" s="28" t="str">
        <f t="shared" si="10"/>
        <v/>
      </c>
      <c r="AO95" s="28" t="str">
        <f t="shared" si="11"/>
        <v/>
      </c>
      <c r="AP95" s="28" t="str">
        <f t="array" ref="AP95">IF($I95="","",IFS(C95="D",IF(OR(I95="NOT_READABLE",I95="BLURRY"),-AB95,0),C95="J",IFS(I95="RED_CLEARER",XLOOKUP("duochrome_red_step",Calibration!$B:$B,Calibration!$C:$C,-0.25),I95="GREEN_CLEARER",XLOOKUP("duochrome_green_step",Calibration!$B:$B,Calibration!$C:$C,0.25),I95="EQUAL",IF(XLOOKUP($B95,Derived_Variables!$A:$A,Derived_Variables!$S:$S,"Neutral")="Undercorrect",XLOOKUP("undercorrect_step",Calibration!$B:$B,Calibration!$C:$C,0.25),IF(XLOOKUP($B95,Derived_Variables!$A:$A,Derived_Variables!$S:$S,"Neutral")="Overcorrect",-XLOOKUP("overcorrect_step",Calibration!$B:$B,Calibration!$C:$C,0.25),0)),TRUE,0),C95="K",IF(I95="BOTTOM_CLEARER",XLOOKUP("bino_balance_step",Calibration!$B:$B,Calibration!$C:$C,0.25),0),TRUE,0))</f>
        <v/>
      </c>
      <c r="AQ95" s="28" t="str">
        <f t="shared" si="12"/>
        <v/>
      </c>
      <c r="AR95" s="28" t="str">
        <f t="shared" si="13"/>
        <v/>
      </c>
      <c r="AS95" s="28" t="str">
        <f t="array" ref="AS95">IF($I95="","",IF(C95="P",IF(OR(I95="NOT_READABLE",I95="BLURRY"),XLOOKUP("near_add_step",Calibration!$B:$B,Calibration!$C:$C,0.25),0),IF(C95="R",IF(I95="NOT_CLEAR",XLOOKUP("near_add_step",Calibration!$B:$B,Calibration!$C:$C,0.25),0),0)))</f>
        <v/>
      </c>
      <c r="AT95" s="28" t="str">
        <f t="array" ref="AT95">IF($I95="","",IF(C95="Q",IF(OR(I95="NOT_READABLE",I95="BLURRY"),XLOOKUP("near_add_step",Calibration!$B:$B,Calibration!$C:$C,0.25),0),IF(C95="R",IF(I95="NOT_CLEAR",XLOOKUP("near_add_step",Calibration!$B:$B,Calibration!$C:$C,0.25),0),0)))</f>
        <v/>
      </c>
      <c r="AU95" s="28" t="str">
        <f t="array" ref="AU95">IF($I95="","",IF(G95="SNELLEN_FEET",IF(I95="READABLE",IFERROR(XLOOKUP(XLOOKUP(R95,Chart_Scale_Distance!B:B,Chart_Scale_Distance!A:A)+1,Chart_Scale_Distance!A:A,Chart_Scale_Distance!B:B),R95),R95),R95))</f>
        <v/>
      </c>
      <c r="AV95" s="28" t="str">
        <f t="array" ref="AV95">IF($I94="","",IFERROR(XLOOKUP(R95,Chart_Scale_Distance!$B:$B,Chart_Scale_Distance!$A:$A,""),""))</f>
        <v/>
      </c>
      <c r="AW95" s="28" t="str">
        <f t="array" ref="AW95">IF($I94="","",IFERROR(XLOOKUP(AA95,Chart_Scale_Distance!$B:$B,Chart_Scale_Distance!$A:$A,""),""))</f>
        <v/>
      </c>
      <c r="AX95" s="28" t="str">
        <f t="shared" si="14"/>
        <v/>
      </c>
      <c r="AY95" s="28" t="str">
        <f t="shared" si="15"/>
        <v/>
      </c>
      <c r="AZ95" s="28" t="str">
        <f t="shared" si="16"/>
        <v/>
      </c>
      <c r="BA95" s="28" t="str">
        <f t="shared" si="17"/>
        <v/>
      </c>
      <c r="BB95" s="28" t="str">
        <f t="shared" si="18"/>
        <v/>
      </c>
      <c r="BC95" s="28" t="str">
        <f t="array" ref="BC95">IF($I95="","",LET(
conf,AI95,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duoMax,XLOOKUP($B95,Derived_Variables!$A:$A,Derived_Variables!$AI:$AI,4),
axisTol,XLOOKUP($B95,Derived_Variables!$A:$A,Derived_Variables!$W:$W,1),
maxStart,XLOOKUP($B95,Derived_Variables!$A:$A,Derived_Variables!$U:$U,1.25),
maxAR,XLOOKUP($B95,Derived_Variables!$A:$A,Derived_Variables!$V:$V,3),
anom,XLOOKUP($B95,Derived_Variables!$A:$A,Derived_Variables!$Z:$Z,FALSE),
reStart,XLOOKUP($B95,Derived_Variables!$A:$A,Derived_Variables!$K:$K,0),
leStart,XLOOKUP($B95,Derived_Variables!$A:$A,Derived_Variables!$N:$N,0),
reAR,XLOOKUP($B95,AR_Input!$A:$A,AR_Input!$B:$B,reStart),
leAR,XLOOKUP($B95,AR_Input!$A:$A,AR_Input!$E:$E,leStart),
reEsc,AND(anom,OR(ABS((S95+AM95)-reStart)&gt;maxStart,ABS((S95+AM95)-reAR)&gt;maxAR)),
leEsc,AND(anom,OR(ABS((V95+AP95)-leStart)&gt;maxStart,ABS((V95+AP95)-leAR)&gt;maxAR)),
phaseMax,IFS(
 AK95="Fast",
   IFS(
     OR(C95="B",C95="D"),XLOOKUP("timeout_coarse_fast",Calibration!$B:$B,Calibration!$C:$C,24),
     OR(C95="E",C95="F",C95="H",C95="I"),XLOOKUP("timeout_jcc_fast",Calibration!$B:$B,Calibration!$C:$C,10),
     OR(C95="G",C95="J"),XLOOKUP("timeout_duochrome_fast",Calibration!$B:$B,Calibration!$C:$C,8),
     C95="K",XLOOKUP("timeout_bino_fast",Calibration!$B:$B,Calibration!$C:$C,10),
     OR(C95="P",C95="Q",C95="R"),XLOOKUP("timeout_near_fast",Calibration!$B:$B,Calibration!$C:$C,16),
     TRUE,XLOOKUP("timeout_coarse_fast",Calibration!$B:$B,Calibration!$C:$C,24)
   ),
 AK95="Normal",
   IFS(
     OR(C95="B",C95="D"),XLOOKUP("timeout_coarse_normal",Calibration!$B:$B,Calibration!$C:$C,36),
     OR(C95="E",C95="F",C95="H",C95="I"),XLOOKUP("timeout_jcc_normal",Calibration!$B:$B,Calibration!$C:$C,14),
     OR(C95="G",C95="J"),XLOOKUP("timeout_duochrome_normal",Calibration!$B:$B,Calibration!$C:$C,10),
     C95="K",XLOOKUP("timeout_bino_normal",Calibration!$B:$B,Calibration!$C:$C,14),
     OR(C95="P",C95="Q",C95="R"),XLOOKUP("timeout_near_normal",Calibration!$B:$B,Calibration!$C:$C,22),
     TRUE,XLOOKUP("timeout_coarse_normal",Calibration!$B:$B,Calibration!$C:$C,36)
   ),
 TRUE,
   IFS(
     OR(C95="B",C95="D"),XLOOKUP("timeout_coarse_slow",Calibration!$B:$B,Calibration!$C:$C,48),
     OR(C95="E",C95="F",C95="H",C95="I"),XLOOKUP("timeout_jcc_slow",Calibration!$B:$B,Calibration!$C:$C,18),
     OR(C95="G",C95="J"),XLOOKUP("timeout_duochrome_slow",Calibration!$B:$B,Calibration!$C:$C,12),
     C95="K",XLOOKUP("timeout_bino_slow",Calibration!$B:$B,Calibration!$C:$C,18),
     OR(C95="P",C95="Q",C95="R"),XLOOKUP("timeout_near_slow",Calibration!$B:$B,Calibration!$C:$C,28),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AJ95=TRUE,"ESCALATE",
C95="A",
IF(OR(I95="NOT_READABLE",I95="BLURRY",AND(R95="20_20_20",I95="READABLE")),"B","A"),
C95="B",
IF(reEsc,"ESCALATE",IF(AY95&gt;=phaseMax,"ESCALATE",IF(AND(AV95&gt;=AW95,I95="READABLE"),"E","B"))),
C95="E",
IF(AY95&gt;=phaseMax,"ESCALATE",IF(OR(I95="SAME",I95="CANT_TELL",AD95&lt;axisTol),"F","E")),
C95="F",
IF(AY95&gt;=phaseMax,"ESCALATE",IF(AX95&gt;=powerSameN,"G","F")),
C95="G",
IF(AY95&gt;=phaseMax,"ESCALATE",IF(OR(AX95&gt;=duoEqualN,BB95&gt;=duoMax),"D","G")),
C95="D",
IF(leEsc,"ESCALATE",IF(AY95&gt;=phaseMax,"ESCALATE",IF(AND(AV95&gt;=AW95,I95="READABLE"),"H","D"))),
C95="H",
IF(AY95&gt;=phaseMax,"ESCALATE",IF(OR(I95="SAME",I95="CANT_TELL",AD95&lt;axisTol),"I","H")),
C95="I",
IF(AY95&gt;=phaseMax,"ESCALATE",IF(AX95&gt;=powerSameN,"J","I")),
C95="J",
IF(AY95&gt;=phaseMax,"ESCALATE",IF(OR(AX95&gt;=duoEqualN,BB95&gt;=duoMax),"K","J")),
C95="K",
IF(AY95&gt;=phaseMax,"ESCALATE",IF(AX95&gt;=binoSameN,IF(XLOOKUP($B95,Derived_Variables!$A:$A,Derived_Variables!$AJ:$AJ,FALSE)=TRUE,"P","END"),"K")),
C95="P",
IF(AY95&gt;=phaseMax,"ESCALATE",IF(OR(I95="READABLE",I95="SAME"),"Q","P")),
C95="Q",
IF(AY95&gt;=phaseMax,"ESCALATE",IF(OR(I95="READABLE",I95="SAME"),"R","Q")),
C95="R",
IF(AY95&gt;=phaseMax,"ESCALATE",IF(OR(I95=nearTarget,I95="SAME"),"END","R")),
TRUE,"END"
)))</f>
        <v/>
      </c>
      <c r="BD95" s="28" t="b">
        <f t="shared" si="19"/>
        <v>0</v>
      </c>
    </row>
    <row r="96" ht="15.75" customHeight="1">
      <c r="A96" s="28">
        <f t="shared" si="3"/>
        <v>95</v>
      </c>
      <c r="B96" s="28">
        <f t="shared" si="4"/>
        <v>6</v>
      </c>
      <c r="C96" s="28" t="str">
        <f t="shared" si="5"/>
        <v/>
      </c>
      <c r="D96" s="28" t="str">
        <f t="array" ref="D96">IF($I95="","",XLOOKUP(C96,FSM_State_Map!A:A,FSM_State_Map!B:B,""))</f>
        <v/>
      </c>
      <c r="E96" s="28" t="str">
        <f t="array" ref="E96">IF($I95="","",XLOOKUP(C96,FSM_State_Map!A:A,FSM_State_Map!C:C,""))</f>
        <v/>
      </c>
      <c r="F96" s="28" t="str">
        <f t="array" ref="F96">IF($I95="","",XLOOKUP(E96,Phase_UI_Map!A:A,Phase_UI_Map!B:B,""))</f>
        <v/>
      </c>
      <c r="G96" s="28" t="str">
        <f t="array" ref="G96">IF($I95="","",XLOOKUP(E96,Phase_UI_Map!A:A,Phase_UI_Map!C:C,""))</f>
        <v/>
      </c>
      <c r="H96" s="28" t="str">
        <f t="array" ref="H96">IF($I95="","",XLOOKUP(E96,Phase_UI_Map!A:A,Phase_UI_Map!D:D,""))</f>
        <v/>
      </c>
      <c r="I96" s="29"/>
      <c r="J96" s="28" t="str">
        <f>IFERROR(__xludf.DUMMYFUNCTION("IF($I95="""","""",IFERROR(INDEX(FILTER(Response_Lists!$B:$B,Response_Lists!$A:$A=$H96),1),""""))"),"")</f>
        <v/>
      </c>
      <c r="K96" s="28" t="str">
        <f>IFERROR(__xludf.DUMMYFUNCTION("IF($I95="""","""",IFERROR(INDEX(FILTER(Response_Lists!$B:$B,Response_Lists!$A:$A=$H96),2),""""))"),"")</f>
        <v/>
      </c>
      <c r="L96" s="28" t="str">
        <f>IFERROR(__xludf.DUMMYFUNCTION("IF($I95="""","""",IFERROR(INDEX(FILTER(Response_Lists!$B:$B,Response_Lists!$A:$A=$H96),3),""""))"),"")</f>
        <v/>
      </c>
      <c r="M96" s="28" t="str">
        <f>IFERROR(__xludf.DUMMYFUNCTION("IF($I95="""","""",IFERROR(INDEX(FILTER(Response_Lists!$B:$B,Response_Lists!$A:$A=$H96),4),""""))"),"")</f>
        <v/>
      </c>
      <c r="N96" s="28" t="str">
        <f>IFERROR(__xludf.DUMMYFUNCTION("IF($I95="""","""",IFERROR(INDEX(FILTER(Response_Lists!$B:$B,Response_Lists!$A:$A=$H96),5),""""))"),"")</f>
        <v/>
      </c>
      <c r="O96" s="28" t="str">
        <f>IFERROR(__xludf.DUMMYFUNCTION("IF($I95="""","""",IFERROR(INDEX(FILTER(Response_Lists!$B:$B,Response_Lists!$A:$A=$H96),6),""""))"),"")</f>
        <v/>
      </c>
      <c r="P96" s="28" t="str">
        <f t="shared" si="6"/>
        <v/>
      </c>
      <c r="Q96" s="28" t="str">
        <f t="array" ref="Q96">IF($I95="","",XLOOKUP(C96,FSM_State_Map!A:A,FSM_State_Map!D:D,""))</f>
        <v/>
      </c>
      <c r="R96" s="28" t="str">
        <f t="shared" si="7"/>
        <v/>
      </c>
      <c r="S96" s="28" t="str">
        <f t="array" ref="S96">IF($I95="","",
IF(
  AND(C96="B",C95&lt;&gt;"B"),
  XLOOKUP($B96,Derived_Variables!$A:$A,Derived_Variables!$K:$K,0)
  + XLOOKUP($B96,Derived_Variables!$A:$A,Derived_Variables!$AE:$AE,0),
  S95+AM95
))</f>
        <v/>
      </c>
      <c r="T96" s="28" t="str">
        <f t="shared" ref="T96:U96" si="202">IF($I95="","",T95+AN95)</f>
        <v/>
      </c>
      <c r="U96" s="28" t="str">
        <f t="shared" si="202"/>
        <v/>
      </c>
      <c r="V96" s="28" t="str">
        <f t="array" ref="V96">IF($I95="","",
IF(
  AND(C96="D",C95&lt;&gt;"D"),
  XLOOKUP($B96,Derived_Variables!$A:$A,Derived_Variables!$N:$N,0)
  + XLOOKUP($B96,Derived_Variables!$A:$A,Derived_Variables!$AE:$AE,0),
  V95+AP95
))</f>
        <v/>
      </c>
      <c r="W96" s="28" t="str">
        <f t="shared" ref="W96:X96" si="203">IF($I95="","",W95+AQ95)</f>
        <v/>
      </c>
      <c r="X96" s="28" t="str">
        <f t="shared" si="203"/>
        <v/>
      </c>
      <c r="Y96" s="28" t="str">
        <f t="array" ref="Y96">IF($I95="","",IF(AND(C96="P",C95&lt;&gt;"P"),IFERROR(XLOOKUP($B96,Lenso_Input!$A:$A,Lenso_Input!$E:$E,0),0),Y95+AS95))</f>
        <v/>
      </c>
      <c r="Z96" s="28" t="str">
        <f t="array" ref="Z96">IF($I95="","",IF(AND(C96="Q",C95&lt;&gt;"Q"),IFERROR(XLOOKUP($B96,Lenso_Input!$A:$A,Lenso_Input!$I:$I,0),0),Z95+AT95))</f>
        <v/>
      </c>
      <c r="AA96" s="28" t="str">
        <f t="array" ref="AA96">IF($I95="","",IF(XLOOKUP($B96,Derived_Variables!$A:$A,Derived_Variables!$R:$R,"6/6_target")="6/6_target","20_20_20","40_30_25"))</f>
        <v/>
      </c>
      <c r="AB96" s="28" t="str">
        <f t="array" ref="AB96">IF($I95="","",XLOOKUP(LOWER(XLOOKUP($B96,Derived_Variables!$A:$A,Derived_Variables!$T:$T,"Standard"))&amp;"_sph_step",Calibration!$B:$B,Calibration!$C:$C,0.25))</f>
        <v/>
      </c>
      <c r="AC96" s="28" t="str">
        <f t="array" ref="AC96">IF($I95="","",XLOOKUP(LOWER(XLOOKUP($B96,Derived_Variables!$A:$A,Derived_Variables!$T:$T,"Standard"))&amp;"_cyl_step",Calibration!$B:$B,Calibration!$C:$C,0.25))</f>
        <v/>
      </c>
      <c r="AD96" s="28" t="str">
        <f t="array" ref="AD96">IF($I95="","",IF(OR(C96="E",C96="H"),LET(startStep,XLOOKUP("axis_start_step",Calibration!$B:$B,Calibration!$C:$C,5),step1,XLOOKUP("axis_reversal_step_1",Calibration!$B:$B,Calibration!$C:$C,3),step2,XLOOKUP("axis_reversal_step_2",Calibration!$B:$B,Calibration!$C:$C,1),IF(OR(C95&lt;&gt;C96,AZ96="",AZ96="SAME",AZ96="CANT_TELL",I96="",I96="SAME",I96="CANT_TELL"),startStep,IF(OR(AND(AZ96="BETTER_1",I96="BETTER_2"),AND(AZ96="BETTER_2",I96="BETTER_1")),IF(AD95&gt;step1,step1,step2),AD95))),0))</f>
        <v/>
      </c>
      <c r="AE96" s="28" t="str">
        <f t="array" ref="AE96">IF($I95="","",XLOOKUP($B96,Derived_Variables!$A:$A,Derived_Variables!$AD:$AD,"No_Fog"))</f>
        <v/>
      </c>
      <c r="AF96" s="28" t="str">
        <f t="array" ref="AF96">IF($I95="","",XLOOKUP($B96,Derived_Variables!$A:$A,Derived_Variables!$AE:$AE,0))</f>
        <v/>
      </c>
      <c r="AG96" s="28" t="str">
        <f t="array" ref="AG96">IF($I95="","",XLOOKUP($B96,Derived_Variables!$A:$A,Derived_Variables!$AF:$AF,""))</f>
        <v/>
      </c>
      <c r="AH96" s="28" t="str">
        <f t="array" ref="AH96">IF($I95="","",XLOOKUP($B96,Derived_Variables!$A:$A,Derived_Variables!$AG:$AG,""))</f>
        <v/>
      </c>
      <c r="AI96" s="28" t="str">
        <f t="array" ref="AI96">IF($I95="","",XLOOKUP($B96,Derived_Variables!$A:$A,Derived_Variables!$AC:$AC,"Medium"))</f>
        <v/>
      </c>
      <c r="AJ96" s="28" t="str">
        <f t="array" ref="AJ96">IF($I95="","",XLOOKUP($B96,Derived_Variables!$A:$A,Derived_Variables!$Y:$Y,FALSE))</f>
        <v/>
      </c>
      <c r="AK96" s="28" t="str">
        <f t="array" ref="AK96">IF($I95="","",XLOOKUP($B96,Derived_Variables!$A:$A,Derived_Variables!$AA:$AA,"Normal"))</f>
        <v/>
      </c>
      <c r="AL96" s="28" t="str">
        <f t="array" ref="AL96">IF($I95="","",XLOOKUP($B96,Derived_Variables!$A:$A,Derived_Variables!$AB:$AB,"Normal"))</f>
        <v/>
      </c>
      <c r="AM96" s="28" t="str">
        <f t="array" ref="AM96">IF($I96="","",IFS(C96="B",IF(OR(I96="NOT_READABLE",I96="BLURRY"),-AB96,0),C96="G",IFS(I96="RED_CLEARER",XLOOKUP("duochrome_red_step",Calibration!$B:$B,Calibration!$C:$C,-0.25),I96="GREEN_CLEARER",XLOOKUP("duochrome_green_step",Calibration!$B:$B,Calibration!$C:$C,0.25),I96="EQUAL",IF(XLOOKUP($B96,Derived_Variables!$A:$A,Derived_Variables!$S:$S,"Neutral")="Undercorrect",XLOOKUP("undercorrect_step",Calibration!$B:$B,Calibration!$C:$C,0.25),IF(XLOOKUP($B96,Derived_Variables!$A:$A,Derived_Variables!$S:$S,"Neutral")="Overcorrect",-XLOOKUP("overcorrect_step",Calibration!$B:$B,Calibration!$C:$C,0.25),0)),TRUE,0),C96="K",IF(I96="TOP_CLEARER",XLOOKUP("bino_balance_step",Calibration!$B:$B,Calibration!$C:$C,0.25),0),TRUE,0))</f>
        <v/>
      </c>
      <c r="AN96" s="28" t="str">
        <f t="shared" si="10"/>
        <v/>
      </c>
      <c r="AO96" s="28" t="str">
        <f t="shared" si="11"/>
        <v/>
      </c>
      <c r="AP96" s="28" t="str">
        <f t="array" ref="AP96">IF($I96="","",IFS(C96="D",IF(OR(I96="NOT_READABLE",I96="BLURRY"),-AB96,0),C96="J",IFS(I96="RED_CLEARER",XLOOKUP("duochrome_red_step",Calibration!$B:$B,Calibration!$C:$C,-0.25),I96="GREEN_CLEARER",XLOOKUP("duochrome_green_step",Calibration!$B:$B,Calibration!$C:$C,0.25),I96="EQUAL",IF(XLOOKUP($B96,Derived_Variables!$A:$A,Derived_Variables!$S:$S,"Neutral")="Undercorrect",XLOOKUP("undercorrect_step",Calibration!$B:$B,Calibration!$C:$C,0.25),IF(XLOOKUP($B96,Derived_Variables!$A:$A,Derived_Variables!$S:$S,"Neutral")="Overcorrect",-XLOOKUP("overcorrect_step",Calibration!$B:$B,Calibration!$C:$C,0.25),0)),TRUE,0),C96="K",IF(I96="BOTTOM_CLEARER",XLOOKUP("bino_balance_step",Calibration!$B:$B,Calibration!$C:$C,0.25),0),TRUE,0))</f>
        <v/>
      </c>
      <c r="AQ96" s="28" t="str">
        <f t="shared" si="12"/>
        <v/>
      </c>
      <c r="AR96" s="28" t="str">
        <f t="shared" si="13"/>
        <v/>
      </c>
      <c r="AS96" s="28" t="str">
        <f t="array" ref="AS96">IF($I96="","",IF(C96="P",IF(OR(I96="NOT_READABLE",I96="BLURRY"),XLOOKUP("near_add_step",Calibration!$B:$B,Calibration!$C:$C,0.25),0),IF(C96="R",IF(I96="NOT_CLEAR",XLOOKUP("near_add_step",Calibration!$B:$B,Calibration!$C:$C,0.25),0),0)))</f>
        <v/>
      </c>
      <c r="AT96" s="28" t="str">
        <f t="array" ref="AT96">IF($I96="","",IF(C96="Q",IF(OR(I96="NOT_READABLE",I96="BLURRY"),XLOOKUP("near_add_step",Calibration!$B:$B,Calibration!$C:$C,0.25),0),IF(C96="R",IF(I96="NOT_CLEAR",XLOOKUP("near_add_step",Calibration!$B:$B,Calibration!$C:$C,0.25),0),0)))</f>
        <v/>
      </c>
      <c r="AU96" s="28" t="str">
        <f t="array" ref="AU96">IF($I96="","",IF(G96="SNELLEN_FEET",IF(I96="READABLE",IFERROR(XLOOKUP(XLOOKUP(R96,Chart_Scale_Distance!B:B,Chart_Scale_Distance!A:A)+1,Chart_Scale_Distance!A:A,Chart_Scale_Distance!B:B),R96),R96),R96))</f>
        <v/>
      </c>
      <c r="AV96" s="28" t="str">
        <f t="array" ref="AV96">IF($I95="","",IFERROR(XLOOKUP(R96,Chart_Scale_Distance!$B:$B,Chart_Scale_Distance!$A:$A,""),""))</f>
        <v/>
      </c>
      <c r="AW96" s="28" t="str">
        <f t="array" ref="AW96">IF($I95="","",IFERROR(XLOOKUP(AA96,Chart_Scale_Distance!$B:$B,Chart_Scale_Distance!$A:$A,""),""))</f>
        <v/>
      </c>
      <c r="AX96" s="28" t="str">
        <f t="shared" si="14"/>
        <v/>
      </c>
      <c r="AY96" s="28" t="str">
        <f t="shared" si="15"/>
        <v/>
      </c>
      <c r="AZ96" s="28" t="str">
        <f t="shared" si="16"/>
        <v/>
      </c>
      <c r="BA96" s="28" t="str">
        <f t="shared" si="17"/>
        <v/>
      </c>
      <c r="BB96" s="28" t="str">
        <f t="shared" si="18"/>
        <v/>
      </c>
      <c r="BC96" s="28" t="str">
        <f t="array" ref="BC96">IF($I96="","",LET(
conf,AI96,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duoMax,XLOOKUP($B96,Derived_Variables!$A:$A,Derived_Variables!$AI:$AI,4),
axisTol,XLOOKUP($B96,Derived_Variables!$A:$A,Derived_Variables!$W:$W,1),
maxStart,XLOOKUP($B96,Derived_Variables!$A:$A,Derived_Variables!$U:$U,1.25),
maxAR,XLOOKUP($B96,Derived_Variables!$A:$A,Derived_Variables!$V:$V,3),
anom,XLOOKUP($B96,Derived_Variables!$A:$A,Derived_Variables!$Z:$Z,FALSE),
reStart,XLOOKUP($B96,Derived_Variables!$A:$A,Derived_Variables!$K:$K,0),
leStart,XLOOKUP($B96,Derived_Variables!$A:$A,Derived_Variables!$N:$N,0),
reAR,XLOOKUP($B96,AR_Input!$A:$A,AR_Input!$B:$B,reStart),
leAR,XLOOKUP($B96,AR_Input!$A:$A,AR_Input!$E:$E,leStart),
reEsc,AND(anom,OR(ABS((S96+AM96)-reStart)&gt;maxStart,ABS((S96+AM96)-reAR)&gt;maxAR)),
leEsc,AND(anom,OR(ABS((V96+AP96)-leStart)&gt;maxStart,ABS((V96+AP96)-leAR)&gt;maxAR)),
phaseMax,IFS(
 AK96="Fast",
   IFS(
     OR(C96="B",C96="D"),XLOOKUP("timeout_coarse_fast",Calibration!$B:$B,Calibration!$C:$C,24),
     OR(C96="E",C96="F",C96="H",C96="I"),XLOOKUP("timeout_jcc_fast",Calibration!$B:$B,Calibration!$C:$C,10),
     OR(C96="G",C96="J"),XLOOKUP("timeout_duochrome_fast",Calibration!$B:$B,Calibration!$C:$C,8),
     C96="K",XLOOKUP("timeout_bino_fast",Calibration!$B:$B,Calibration!$C:$C,10),
     OR(C96="P",C96="Q",C96="R"),XLOOKUP("timeout_near_fast",Calibration!$B:$B,Calibration!$C:$C,16),
     TRUE,XLOOKUP("timeout_coarse_fast",Calibration!$B:$B,Calibration!$C:$C,24)
   ),
 AK96="Normal",
   IFS(
     OR(C96="B",C96="D"),XLOOKUP("timeout_coarse_normal",Calibration!$B:$B,Calibration!$C:$C,36),
     OR(C96="E",C96="F",C96="H",C96="I"),XLOOKUP("timeout_jcc_normal",Calibration!$B:$B,Calibration!$C:$C,14),
     OR(C96="G",C96="J"),XLOOKUP("timeout_duochrome_normal",Calibration!$B:$B,Calibration!$C:$C,10),
     C96="K",XLOOKUP("timeout_bino_normal",Calibration!$B:$B,Calibration!$C:$C,14),
     OR(C96="P",C96="Q",C96="R"),XLOOKUP("timeout_near_normal",Calibration!$B:$B,Calibration!$C:$C,22),
     TRUE,XLOOKUP("timeout_coarse_normal",Calibration!$B:$B,Calibration!$C:$C,36)
   ),
 TRUE,
   IFS(
     OR(C96="B",C96="D"),XLOOKUP("timeout_coarse_slow",Calibration!$B:$B,Calibration!$C:$C,48),
     OR(C96="E",C96="F",C96="H",C96="I"),XLOOKUP("timeout_jcc_slow",Calibration!$B:$B,Calibration!$C:$C,18),
     OR(C96="G",C96="J"),XLOOKUP("timeout_duochrome_slow",Calibration!$B:$B,Calibration!$C:$C,12),
     C96="K",XLOOKUP("timeout_bino_slow",Calibration!$B:$B,Calibration!$C:$C,18),
     OR(C96="P",C96="Q",C96="R"),XLOOKUP("timeout_near_slow",Calibration!$B:$B,Calibration!$C:$C,28),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AJ96=TRUE,"ESCALATE",
C96="A",
IF(OR(I96="NOT_READABLE",I96="BLURRY",AND(R96="20_20_20",I96="READABLE")),"B","A"),
C96="B",
IF(reEsc,"ESCALATE",IF(AY96&gt;=phaseMax,"ESCALATE",IF(AND(AV96&gt;=AW96,I96="READABLE"),"E","B"))),
C96="E",
IF(AY96&gt;=phaseMax,"ESCALATE",IF(OR(I96="SAME",I96="CANT_TELL",AD96&lt;axisTol),"F","E")),
C96="F",
IF(AY96&gt;=phaseMax,"ESCALATE",IF(AX96&gt;=powerSameN,"G","F")),
C96="G",
IF(AY96&gt;=phaseMax,"ESCALATE",IF(OR(AX96&gt;=duoEqualN,BB96&gt;=duoMax),"D","G")),
C96="D",
IF(leEsc,"ESCALATE",IF(AY96&gt;=phaseMax,"ESCALATE",IF(AND(AV96&gt;=AW96,I96="READABLE"),"H","D"))),
C96="H",
IF(AY96&gt;=phaseMax,"ESCALATE",IF(OR(I96="SAME",I96="CANT_TELL",AD96&lt;axisTol),"I","H")),
C96="I",
IF(AY96&gt;=phaseMax,"ESCALATE",IF(AX96&gt;=powerSameN,"J","I")),
C96="J",
IF(AY96&gt;=phaseMax,"ESCALATE",IF(OR(AX96&gt;=duoEqualN,BB96&gt;=duoMax),"K","J")),
C96="K",
IF(AY96&gt;=phaseMax,"ESCALATE",IF(AX96&gt;=binoSameN,IF(XLOOKUP($B96,Derived_Variables!$A:$A,Derived_Variables!$AJ:$AJ,FALSE)=TRUE,"P","END"),"K")),
C96="P",
IF(AY96&gt;=phaseMax,"ESCALATE",IF(OR(I96="READABLE",I96="SAME"),"Q","P")),
C96="Q",
IF(AY96&gt;=phaseMax,"ESCALATE",IF(OR(I96="READABLE",I96="SAME"),"R","Q")),
C96="R",
IF(AY96&gt;=phaseMax,"ESCALATE",IF(OR(I96=nearTarget,I96="SAME"),"END","R")),
TRUE,"END"
)))</f>
        <v/>
      </c>
      <c r="BD96" s="28" t="b">
        <f t="shared" si="19"/>
        <v>0</v>
      </c>
    </row>
    <row r="97" ht="15.75" customHeight="1">
      <c r="A97" s="28">
        <f t="shared" si="3"/>
        <v>96</v>
      </c>
      <c r="B97" s="28">
        <f t="shared" si="4"/>
        <v>6</v>
      </c>
      <c r="C97" s="28" t="str">
        <f t="shared" si="5"/>
        <v/>
      </c>
      <c r="D97" s="28" t="str">
        <f t="array" ref="D97">IF($I96="","",XLOOKUP(C97,FSM_State_Map!A:A,FSM_State_Map!B:B,""))</f>
        <v/>
      </c>
      <c r="E97" s="28" t="str">
        <f t="array" ref="E97">IF($I96="","",XLOOKUP(C97,FSM_State_Map!A:A,FSM_State_Map!C:C,""))</f>
        <v/>
      </c>
      <c r="F97" s="28" t="str">
        <f t="array" ref="F97">IF($I96="","",XLOOKUP(E97,Phase_UI_Map!A:A,Phase_UI_Map!B:B,""))</f>
        <v/>
      </c>
      <c r="G97" s="28" t="str">
        <f t="array" ref="G97">IF($I96="","",XLOOKUP(E97,Phase_UI_Map!A:A,Phase_UI_Map!C:C,""))</f>
        <v/>
      </c>
      <c r="H97" s="28" t="str">
        <f t="array" ref="H97">IF($I96="","",XLOOKUP(E97,Phase_UI_Map!A:A,Phase_UI_Map!D:D,""))</f>
        <v/>
      </c>
      <c r="I97" s="29"/>
      <c r="J97" s="28" t="str">
        <f>IFERROR(__xludf.DUMMYFUNCTION("IF($I96="""","""",IFERROR(INDEX(FILTER(Response_Lists!$B:$B,Response_Lists!$A:$A=$H97),1),""""))"),"")</f>
        <v/>
      </c>
      <c r="K97" s="28" t="str">
        <f>IFERROR(__xludf.DUMMYFUNCTION("IF($I96="""","""",IFERROR(INDEX(FILTER(Response_Lists!$B:$B,Response_Lists!$A:$A=$H97),2),""""))"),"")</f>
        <v/>
      </c>
      <c r="L97" s="28" t="str">
        <f>IFERROR(__xludf.DUMMYFUNCTION("IF($I96="""","""",IFERROR(INDEX(FILTER(Response_Lists!$B:$B,Response_Lists!$A:$A=$H97),3),""""))"),"")</f>
        <v/>
      </c>
      <c r="M97" s="28" t="str">
        <f>IFERROR(__xludf.DUMMYFUNCTION("IF($I96="""","""",IFERROR(INDEX(FILTER(Response_Lists!$B:$B,Response_Lists!$A:$A=$H97),4),""""))"),"")</f>
        <v/>
      </c>
      <c r="N97" s="28" t="str">
        <f>IFERROR(__xludf.DUMMYFUNCTION("IF($I96="""","""",IFERROR(INDEX(FILTER(Response_Lists!$B:$B,Response_Lists!$A:$A=$H97),5),""""))"),"")</f>
        <v/>
      </c>
      <c r="O97" s="28" t="str">
        <f>IFERROR(__xludf.DUMMYFUNCTION("IF($I96="""","""",IFERROR(INDEX(FILTER(Response_Lists!$B:$B,Response_Lists!$A:$A=$H97),6),""""))"),"")</f>
        <v/>
      </c>
      <c r="P97" s="28" t="str">
        <f t="shared" si="6"/>
        <v/>
      </c>
      <c r="Q97" s="28" t="str">
        <f t="array" ref="Q97">IF($I96="","",XLOOKUP(C97,FSM_State_Map!A:A,FSM_State_Map!D:D,""))</f>
        <v/>
      </c>
      <c r="R97" s="28" t="str">
        <f t="shared" si="7"/>
        <v/>
      </c>
      <c r="S97" s="28" t="str">
        <f t="array" ref="S97">IF($I96="","",
IF(
  AND(C97="B",C96&lt;&gt;"B"),
  XLOOKUP($B97,Derived_Variables!$A:$A,Derived_Variables!$K:$K,0)
  + XLOOKUP($B97,Derived_Variables!$A:$A,Derived_Variables!$AE:$AE,0),
  S96+AM96
))</f>
        <v/>
      </c>
      <c r="T97" s="28" t="str">
        <f t="shared" ref="T97:U97" si="204">IF($I96="","",T96+AN96)</f>
        <v/>
      </c>
      <c r="U97" s="28" t="str">
        <f t="shared" si="204"/>
        <v/>
      </c>
      <c r="V97" s="28" t="str">
        <f t="array" ref="V97">IF($I96="","",
IF(
  AND(C97="D",C96&lt;&gt;"D"),
  XLOOKUP($B97,Derived_Variables!$A:$A,Derived_Variables!$N:$N,0)
  + XLOOKUP($B97,Derived_Variables!$A:$A,Derived_Variables!$AE:$AE,0),
  V96+AP96
))</f>
        <v/>
      </c>
      <c r="W97" s="28" t="str">
        <f t="shared" ref="W97:X97" si="205">IF($I96="","",W96+AQ96)</f>
        <v/>
      </c>
      <c r="X97" s="28" t="str">
        <f t="shared" si="205"/>
        <v/>
      </c>
      <c r="Y97" s="28" t="str">
        <f t="array" ref="Y97">IF($I96="","",IF(AND(C97="P",C96&lt;&gt;"P"),IFERROR(XLOOKUP($B97,Lenso_Input!$A:$A,Lenso_Input!$E:$E,0),0),Y96+AS96))</f>
        <v/>
      </c>
      <c r="Z97" s="28" t="str">
        <f t="array" ref="Z97">IF($I96="","",IF(AND(C97="Q",C96&lt;&gt;"Q"),IFERROR(XLOOKUP($B97,Lenso_Input!$A:$A,Lenso_Input!$I:$I,0),0),Z96+AT96))</f>
        <v/>
      </c>
      <c r="AA97" s="28" t="str">
        <f t="array" ref="AA97">IF($I96="","",IF(XLOOKUP($B97,Derived_Variables!$A:$A,Derived_Variables!$R:$R,"6/6_target")="6/6_target","20_20_20","40_30_25"))</f>
        <v/>
      </c>
      <c r="AB97" s="28" t="str">
        <f t="array" ref="AB97">IF($I96="","",XLOOKUP(LOWER(XLOOKUP($B97,Derived_Variables!$A:$A,Derived_Variables!$T:$T,"Standard"))&amp;"_sph_step",Calibration!$B:$B,Calibration!$C:$C,0.25))</f>
        <v/>
      </c>
      <c r="AC97" s="28" t="str">
        <f t="array" ref="AC97">IF($I96="","",XLOOKUP(LOWER(XLOOKUP($B97,Derived_Variables!$A:$A,Derived_Variables!$T:$T,"Standard"))&amp;"_cyl_step",Calibration!$B:$B,Calibration!$C:$C,0.25))</f>
        <v/>
      </c>
      <c r="AD97" s="28" t="str">
        <f t="array" ref="AD97">IF($I96="","",IF(OR(C97="E",C97="H"),LET(startStep,XLOOKUP("axis_start_step",Calibration!$B:$B,Calibration!$C:$C,5),step1,XLOOKUP("axis_reversal_step_1",Calibration!$B:$B,Calibration!$C:$C,3),step2,XLOOKUP("axis_reversal_step_2",Calibration!$B:$B,Calibration!$C:$C,1),IF(OR(C96&lt;&gt;C97,AZ97="",AZ97="SAME",AZ97="CANT_TELL",I97="",I97="SAME",I97="CANT_TELL"),startStep,IF(OR(AND(AZ97="BETTER_1",I97="BETTER_2"),AND(AZ97="BETTER_2",I97="BETTER_1")),IF(AD96&gt;step1,step1,step2),AD96))),0))</f>
        <v/>
      </c>
      <c r="AE97" s="28" t="str">
        <f t="array" ref="AE97">IF($I96="","",XLOOKUP($B97,Derived_Variables!$A:$A,Derived_Variables!$AD:$AD,"No_Fog"))</f>
        <v/>
      </c>
      <c r="AF97" s="28" t="str">
        <f t="array" ref="AF97">IF($I96="","",XLOOKUP($B97,Derived_Variables!$A:$A,Derived_Variables!$AE:$AE,0))</f>
        <v/>
      </c>
      <c r="AG97" s="28" t="str">
        <f t="array" ref="AG97">IF($I96="","",XLOOKUP($B97,Derived_Variables!$A:$A,Derived_Variables!$AF:$AF,""))</f>
        <v/>
      </c>
      <c r="AH97" s="28" t="str">
        <f t="array" ref="AH97">IF($I96="","",XLOOKUP($B97,Derived_Variables!$A:$A,Derived_Variables!$AG:$AG,""))</f>
        <v/>
      </c>
      <c r="AI97" s="28" t="str">
        <f t="array" ref="AI97">IF($I96="","",XLOOKUP($B97,Derived_Variables!$A:$A,Derived_Variables!$AC:$AC,"Medium"))</f>
        <v/>
      </c>
      <c r="AJ97" s="28" t="str">
        <f t="array" ref="AJ97">IF($I96="","",XLOOKUP($B97,Derived_Variables!$A:$A,Derived_Variables!$Y:$Y,FALSE))</f>
        <v/>
      </c>
      <c r="AK97" s="28" t="str">
        <f t="array" ref="AK97">IF($I96="","",XLOOKUP($B97,Derived_Variables!$A:$A,Derived_Variables!$AA:$AA,"Normal"))</f>
        <v/>
      </c>
      <c r="AL97" s="28" t="str">
        <f t="array" ref="AL97">IF($I96="","",XLOOKUP($B97,Derived_Variables!$A:$A,Derived_Variables!$AB:$AB,"Normal"))</f>
        <v/>
      </c>
      <c r="AM97" s="28" t="str">
        <f t="array" ref="AM97">IF($I97="","",IFS(C97="B",IF(OR(I97="NOT_READABLE",I97="BLURRY"),-AB97,0),C97="G",IFS(I97="RED_CLEARER",XLOOKUP("duochrome_red_step",Calibration!$B:$B,Calibration!$C:$C,-0.25),I97="GREEN_CLEARER",XLOOKUP("duochrome_green_step",Calibration!$B:$B,Calibration!$C:$C,0.25),I97="EQUAL",IF(XLOOKUP($B97,Derived_Variables!$A:$A,Derived_Variables!$S:$S,"Neutral")="Undercorrect",XLOOKUP("undercorrect_step",Calibration!$B:$B,Calibration!$C:$C,0.25),IF(XLOOKUP($B97,Derived_Variables!$A:$A,Derived_Variables!$S:$S,"Neutral")="Overcorrect",-XLOOKUP("overcorrect_step",Calibration!$B:$B,Calibration!$C:$C,0.25),0)),TRUE,0),C97="K",IF(I97="TOP_CLEARER",XLOOKUP("bino_balance_step",Calibration!$B:$B,Calibration!$C:$C,0.25),0),TRUE,0))</f>
        <v/>
      </c>
      <c r="AN97" s="28" t="str">
        <f t="shared" si="10"/>
        <v/>
      </c>
      <c r="AO97" s="28" t="str">
        <f t="shared" si="11"/>
        <v/>
      </c>
      <c r="AP97" s="28" t="str">
        <f t="array" ref="AP97">IF($I97="","",IFS(C97="D",IF(OR(I97="NOT_READABLE",I97="BLURRY"),-AB97,0),C97="J",IFS(I97="RED_CLEARER",XLOOKUP("duochrome_red_step",Calibration!$B:$B,Calibration!$C:$C,-0.25),I97="GREEN_CLEARER",XLOOKUP("duochrome_green_step",Calibration!$B:$B,Calibration!$C:$C,0.25),I97="EQUAL",IF(XLOOKUP($B97,Derived_Variables!$A:$A,Derived_Variables!$S:$S,"Neutral")="Undercorrect",XLOOKUP("undercorrect_step",Calibration!$B:$B,Calibration!$C:$C,0.25),IF(XLOOKUP($B97,Derived_Variables!$A:$A,Derived_Variables!$S:$S,"Neutral")="Overcorrect",-XLOOKUP("overcorrect_step",Calibration!$B:$B,Calibration!$C:$C,0.25),0)),TRUE,0),C97="K",IF(I97="BOTTOM_CLEARER",XLOOKUP("bino_balance_step",Calibration!$B:$B,Calibration!$C:$C,0.25),0),TRUE,0))</f>
        <v/>
      </c>
      <c r="AQ97" s="28" t="str">
        <f t="shared" si="12"/>
        <v/>
      </c>
      <c r="AR97" s="28" t="str">
        <f t="shared" si="13"/>
        <v/>
      </c>
      <c r="AS97" s="28" t="str">
        <f t="array" ref="AS97">IF($I97="","",IF(C97="P",IF(OR(I97="NOT_READABLE",I97="BLURRY"),XLOOKUP("near_add_step",Calibration!$B:$B,Calibration!$C:$C,0.25),0),IF(C97="R",IF(I97="NOT_CLEAR",XLOOKUP("near_add_step",Calibration!$B:$B,Calibration!$C:$C,0.25),0),0)))</f>
        <v/>
      </c>
      <c r="AT97" s="28" t="str">
        <f t="array" ref="AT97">IF($I97="","",IF(C97="Q",IF(OR(I97="NOT_READABLE",I97="BLURRY"),XLOOKUP("near_add_step",Calibration!$B:$B,Calibration!$C:$C,0.25),0),IF(C97="R",IF(I97="NOT_CLEAR",XLOOKUP("near_add_step",Calibration!$B:$B,Calibration!$C:$C,0.25),0),0)))</f>
        <v/>
      </c>
      <c r="AU97" s="28" t="str">
        <f t="array" ref="AU97">IF($I97="","",IF(G97="SNELLEN_FEET",IF(I97="READABLE",IFERROR(XLOOKUP(XLOOKUP(R97,Chart_Scale_Distance!B:B,Chart_Scale_Distance!A:A)+1,Chart_Scale_Distance!A:A,Chart_Scale_Distance!B:B),R97),R97),R97))</f>
        <v/>
      </c>
      <c r="AV97" s="28" t="str">
        <f t="array" ref="AV97">IF($I96="","",IFERROR(XLOOKUP(R97,Chart_Scale_Distance!$B:$B,Chart_Scale_Distance!$A:$A,""),""))</f>
        <v/>
      </c>
      <c r="AW97" s="28" t="str">
        <f t="array" ref="AW97">IF($I96="","",IFERROR(XLOOKUP(AA97,Chart_Scale_Distance!$B:$B,Chart_Scale_Distance!$A:$A,""),""))</f>
        <v/>
      </c>
      <c r="AX97" s="28" t="str">
        <f t="shared" si="14"/>
        <v/>
      </c>
      <c r="AY97" s="28" t="str">
        <f t="shared" si="15"/>
        <v/>
      </c>
      <c r="AZ97" s="28" t="str">
        <f t="shared" si="16"/>
        <v/>
      </c>
      <c r="BA97" s="28" t="str">
        <f t="shared" si="17"/>
        <v/>
      </c>
      <c r="BB97" s="28" t="str">
        <f t="shared" si="18"/>
        <v/>
      </c>
      <c r="BC97" s="28" t="str">
        <f t="array" ref="BC97">IF($I97="","",LET(
conf,AI97,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duoMax,XLOOKUP($B97,Derived_Variables!$A:$A,Derived_Variables!$AI:$AI,4),
axisTol,XLOOKUP($B97,Derived_Variables!$A:$A,Derived_Variables!$W:$W,1),
maxStart,XLOOKUP($B97,Derived_Variables!$A:$A,Derived_Variables!$U:$U,1.25),
maxAR,XLOOKUP($B97,Derived_Variables!$A:$A,Derived_Variables!$V:$V,3),
anom,XLOOKUP($B97,Derived_Variables!$A:$A,Derived_Variables!$Z:$Z,FALSE),
reStart,XLOOKUP($B97,Derived_Variables!$A:$A,Derived_Variables!$K:$K,0),
leStart,XLOOKUP($B97,Derived_Variables!$A:$A,Derived_Variables!$N:$N,0),
reAR,XLOOKUP($B97,AR_Input!$A:$A,AR_Input!$B:$B,reStart),
leAR,XLOOKUP($B97,AR_Input!$A:$A,AR_Input!$E:$E,leStart),
reEsc,AND(anom,OR(ABS((S97+AM97)-reStart)&gt;maxStart,ABS((S97+AM97)-reAR)&gt;maxAR)),
leEsc,AND(anom,OR(ABS((V97+AP97)-leStart)&gt;maxStart,ABS((V97+AP97)-leAR)&gt;maxAR)),
phaseMax,IFS(
 AK97="Fast",
   IFS(
     OR(C97="B",C97="D"),XLOOKUP("timeout_coarse_fast",Calibration!$B:$B,Calibration!$C:$C,24),
     OR(C97="E",C97="F",C97="H",C97="I"),XLOOKUP("timeout_jcc_fast",Calibration!$B:$B,Calibration!$C:$C,10),
     OR(C97="G",C97="J"),XLOOKUP("timeout_duochrome_fast",Calibration!$B:$B,Calibration!$C:$C,8),
     C97="K",XLOOKUP("timeout_bino_fast",Calibration!$B:$B,Calibration!$C:$C,10),
     OR(C97="P",C97="Q",C97="R"),XLOOKUP("timeout_near_fast",Calibration!$B:$B,Calibration!$C:$C,16),
     TRUE,XLOOKUP("timeout_coarse_fast",Calibration!$B:$B,Calibration!$C:$C,24)
   ),
 AK97="Normal",
   IFS(
     OR(C97="B",C97="D"),XLOOKUP("timeout_coarse_normal",Calibration!$B:$B,Calibration!$C:$C,36),
     OR(C97="E",C97="F",C97="H",C97="I"),XLOOKUP("timeout_jcc_normal",Calibration!$B:$B,Calibration!$C:$C,14),
     OR(C97="G",C97="J"),XLOOKUP("timeout_duochrome_normal",Calibration!$B:$B,Calibration!$C:$C,10),
     C97="K",XLOOKUP("timeout_bino_normal",Calibration!$B:$B,Calibration!$C:$C,14),
     OR(C97="P",C97="Q",C97="R"),XLOOKUP("timeout_near_normal",Calibration!$B:$B,Calibration!$C:$C,22),
     TRUE,XLOOKUP("timeout_coarse_normal",Calibration!$B:$B,Calibration!$C:$C,36)
   ),
 TRUE,
   IFS(
     OR(C97="B",C97="D"),XLOOKUP("timeout_coarse_slow",Calibration!$B:$B,Calibration!$C:$C,48),
     OR(C97="E",C97="F",C97="H",C97="I"),XLOOKUP("timeout_jcc_slow",Calibration!$B:$B,Calibration!$C:$C,18),
     OR(C97="G",C97="J"),XLOOKUP("timeout_duochrome_slow",Calibration!$B:$B,Calibration!$C:$C,12),
     C97="K",XLOOKUP("timeout_bino_slow",Calibration!$B:$B,Calibration!$C:$C,18),
     OR(C97="P",C97="Q",C97="R"),XLOOKUP("timeout_near_slow",Calibration!$B:$B,Calibration!$C:$C,28),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AJ97=TRUE,"ESCALATE",
C97="A",
IF(OR(I97="NOT_READABLE",I97="BLURRY",AND(R97="20_20_20",I97="READABLE")),"B","A"),
C97="B",
IF(reEsc,"ESCALATE",IF(AY97&gt;=phaseMax,"ESCALATE",IF(AND(AV97&gt;=AW97,I97="READABLE"),"E","B"))),
C97="E",
IF(AY97&gt;=phaseMax,"ESCALATE",IF(OR(I97="SAME",I97="CANT_TELL",AD97&lt;axisTol),"F","E")),
C97="F",
IF(AY97&gt;=phaseMax,"ESCALATE",IF(AX97&gt;=powerSameN,"G","F")),
C97="G",
IF(AY97&gt;=phaseMax,"ESCALATE",IF(OR(AX97&gt;=duoEqualN,BB97&gt;=duoMax),"D","G")),
C97="D",
IF(leEsc,"ESCALATE",IF(AY97&gt;=phaseMax,"ESCALATE",IF(AND(AV97&gt;=AW97,I97="READABLE"),"H","D"))),
C97="H",
IF(AY97&gt;=phaseMax,"ESCALATE",IF(OR(I97="SAME",I97="CANT_TELL",AD97&lt;axisTol),"I","H")),
C97="I",
IF(AY97&gt;=phaseMax,"ESCALATE",IF(AX97&gt;=powerSameN,"J","I")),
C97="J",
IF(AY97&gt;=phaseMax,"ESCALATE",IF(OR(AX97&gt;=duoEqualN,BB97&gt;=duoMax),"K","J")),
C97="K",
IF(AY97&gt;=phaseMax,"ESCALATE",IF(AX97&gt;=binoSameN,IF(XLOOKUP($B97,Derived_Variables!$A:$A,Derived_Variables!$AJ:$AJ,FALSE)=TRUE,"P","END"),"K")),
C97="P",
IF(AY97&gt;=phaseMax,"ESCALATE",IF(OR(I97="READABLE",I97="SAME"),"Q","P")),
C97="Q",
IF(AY97&gt;=phaseMax,"ESCALATE",IF(OR(I97="READABLE",I97="SAME"),"R","Q")),
C97="R",
IF(AY97&gt;=phaseMax,"ESCALATE",IF(OR(I97=nearTarget,I97="SAME"),"END","R")),
TRUE,"END"
)))</f>
        <v/>
      </c>
      <c r="BD97" s="28" t="b">
        <f t="shared" si="19"/>
        <v>0</v>
      </c>
    </row>
    <row r="98" ht="15.75" customHeight="1">
      <c r="A98" s="28">
        <f t="shared" si="3"/>
        <v>97</v>
      </c>
      <c r="B98" s="28">
        <f t="shared" si="4"/>
        <v>6</v>
      </c>
      <c r="C98" s="28" t="str">
        <f t="shared" si="5"/>
        <v/>
      </c>
      <c r="D98" s="28" t="str">
        <f t="array" ref="D98">IF($I97="","",XLOOKUP(C98,FSM_State_Map!A:A,FSM_State_Map!B:B,""))</f>
        <v/>
      </c>
      <c r="E98" s="28" t="str">
        <f t="array" ref="E98">IF($I97="","",XLOOKUP(C98,FSM_State_Map!A:A,FSM_State_Map!C:C,""))</f>
        <v/>
      </c>
      <c r="F98" s="28" t="str">
        <f t="array" ref="F98">IF($I97="","",XLOOKUP(E98,Phase_UI_Map!A:A,Phase_UI_Map!B:B,""))</f>
        <v/>
      </c>
      <c r="G98" s="28" t="str">
        <f t="array" ref="G98">IF($I97="","",XLOOKUP(E98,Phase_UI_Map!A:A,Phase_UI_Map!C:C,""))</f>
        <v/>
      </c>
      <c r="H98" s="28" t="str">
        <f t="array" ref="H98">IF($I97="","",XLOOKUP(E98,Phase_UI_Map!A:A,Phase_UI_Map!D:D,""))</f>
        <v/>
      </c>
      <c r="I98" s="29"/>
      <c r="J98" s="28" t="str">
        <f>IFERROR(__xludf.DUMMYFUNCTION("IF($I97="""","""",IFERROR(INDEX(FILTER(Response_Lists!$B:$B,Response_Lists!$A:$A=$H98),1),""""))"),"")</f>
        <v/>
      </c>
      <c r="K98" s="28" t="str">
        <f>IFERROR(__xludf.DUMMYFUNCTION("IF($I97="""","""",IFERROR(INDEX(FILTER(Response_Lists!$B:$B,Response_Lists!$A:$A=$H98),2),""""))"),"")</f>
        <v/>
      </c>
      <c r="L98" s="28" t="str">
        <f>IFERROR(__xludf.DUMMYFUNCTION("IF($I97="""","""",IFERROR(INDEX(FILTER(Response_Lists!$B:$B,Response_Lists!$A:$A=$H98),3),""""))"),"")</f>
        <v/>
      </c>
      <c r="M98" s="28" t="str">
        <f>IFERROR(__xludf.DUMMYFUNCTION("IF($I97="""","""",IFERROR(INDEX(FILTER(Response_Lists!$B:$B,Response_Lists!$A:$A=$H98),4),""""))"),"")</f>
        <v/>
      </c>
      <c r="N98" s="28" t="str">
        <f>IFERROR(__xludf.DUMMYFUNCTION("IF($I97="""","""",IFERROR(INDEX(FILTER(Response_Lists!$B:$B,Response_Lists!$A:$A=$H98),5),""""))"),"")</f>
        <v/>
      </c>
      <c r="O98" s="28" t="str">
        <f>IFERROR(__xludf.DUMMYFUNCTION("IF($I97="""","""",IFERROR(INDEX(FILTER(Response_Lists!$B:$B,Response_Lists!$A:$A=$H98),6),""""))"),"")</f>
        <v/>
      </c>
      <c r="P98" s="28" t="str">
        <f t="shared" si="6"/>
        <v/>
      </c>
      <c r="Q98" s="28" t="str">
        <f t="array" ref="Q98">IF($I97="","",XLOOKUP(C98,FSM_State_Map!A:A,FSM_State_Map!D:D,""))</f>
        <v/>
      </c>
      <c r="R98" s="28" t="str">
        <f t="shared" si="7"/>
        <v/>
      </c>
      <c r="S98" s="28" t="str">
        <f t="array" ref="S98">IF($I97="","",
IF(
  AND(C98="B",C97&lt;&gt;"B"),
  XLOOKUP($B98,Derived_Variables!$A:$A,Derived_Variables!$K:$K,0)
  + XLOOKUP($B98,Derived_Variables!$A:$A,Derived_Variables!$AE:$AE,0),
  S97+AM97
))</f>
        <v/>
      </c>
      <c r="T98" s="28" t="str">
        <f t="shared" ref="T98:U98" si="206">IF($I97="","",T97+AN97)</f>
        <v/>
      </c>
      <c r="U98" s="28" t="str">
        <f t="shared" si="206"/>
        <v/>
      </c>
      <c r="V98" s="28" t="str">
        <f t="array" ref="V98">IF($I97="","",
IF(
  AND(C98="D",C97&lt;&gt;"D"),
  XLOOKUP($B98,Derived_Variables!$A:$A,Derived_Variables!$N:$N,0)
  + XLOOKUP($B98,Derived_Variables!$A:$A,Derived_Variables!$AE:$AE,0),
  V97+AP97
))</f>
        <v/>
      </c>
      <c r="W98" s="28" t="str">
        <f t="shared" ref="W98:X98" si="207">IF($I97="","",W97+AQ97)</f>
        <v/>
      </c>
      <c r="X98" s="28" t="str">
        <f t="shared" si="207"/>
        <v/>
      </c>
      <c r="Y98" s="28" t="str">
        <f t="array" ref="Y98">IF($I97="","",IF(AND(C98="P",C97&lt;&gt;"P"),IFERROR(XLOOKUP($B98,Lenso_Input!$A:$A,Lenso_Input!$E:$E,0),0),Y97+AS97))</f>
        <v/>
      </c>
      <c r="Z98" s="28" t="str">
        <f t="array" ref="Z98">IF($I97="","",IF(AND(C98="Q",C97&lt;&gt;"Q"),IFERROR(XLOOKUP($B98,Lenso_Input!$A:$A,Lenso_Input!$I:$I,0),0),Z97+AT97))</f>
        <v/>
      </c>
      <c r="AA98" s="28" t="str">
        <f t="array" ref="AA98">IF($I97="","",IF(XLOOKUP($B98,Derived_Variables!$A:$A,Derived_Variables!$R:$R,"6/6_target")="6/6_target","20_20_20","40_30_25"))</f>
        <v/>
      </c>
      <c r="AB98" s="28" t="str">
        <f t="array" ref="AB98">IF($I97="","",XLOOKUP(LOWER(XLOOKUP($B98,Derived_Variables!$A:$A,Derived_Variables!$T:$T,"Standard"))&amp;"_sph_step",Calibration!$B:$B,Calibration!$C:$C,0.25))</f>
        <v/>
      </c>
      <c r="AC98" s="28" t="str">
        <f t="array" ref="AC98">IF($I97="","",XLOOKUP(LOWER(XLOOKUP($B98,Derived_Variables!$A:$A,Derived_Variables!$T:$T,"Standard"))&amp;"_cyl_step",Calibration!$B:$B,Calibration!$C:$C,0.25))</f>
        <v/>
      </c>
      <c r="AD98" s="28" t="str">
        <f t="array" ref="AD98">IF($I97="","",IF(OR(C98="E",C98="H"),LET(startStep,XLOOKUP("axis_start_step",Calibration!$B:$B,Calibration!$C:$C,5),step1,XLOOKUP("axis_reversal_step_1",Calibration!$B:$B,Calibration!$C:$C,3),step2,XLOOKUP("axis_reversal_step_2",Calibration!$B:$B,Calibration!$C:$C,1),IF(OR(C97&lt;&gt;C98,AZ98="",AZ98="SAME",AZ98="CANT_TELL",I98="",I98="SAME",I98="CANT_TELL"),startStep,IF(OR(AND(AZ98="BETTER_1",I98="BETTER_2"),AND(AZ98="BETTER_2",I98="BETTER_1")),IF(AD97&gt;step1,step1,step2),AD97))),0))</f>
        <v/>
      </c>
      <c r="AE98" s="28" t="str">
        <f t="array" ref="AE98">IF($I97="","",XLOOKUP($B98,Derived_Variables!$A:$A,Derived_Variables!$AD:$AD,"No_Fog"))</f>
        <v/>
      </c>
      <c r="AF98" s="28" t="str">
        <f t="array" ref="AF98">IF($I97="","",XLOOKUP($B98,Derived_Variables!$A:$A,Derived_Variables!$AE:$AE,0))</f>
        <v/>
      </c>
      <c r="AG98" s="28" t="str">
        <f t="array" ref="AG98">IF($I97="","",XLOOKUP($B98,Derived_Variables!$A:$A,Derived_Variables!$AF:$AF,""))</f>
        <v/>
      </c>
      <c r="AH98" s="28" t="str">
        <f t="array" ref="AH98">IF($I97="","",XLOOKUP($B98,Derived_Variables!$A:$A,Derived_Variables!$AG:$AG,""))</f>
        <v/>
      </c>
      <c r="AI98" s="28" t="str">
        <f t="array" ref="AI98">IF($I97="","",XLOOKUP($B98,Derived_Variables!$A:$A,Derived_Variables!$AC:$AC,"Medium"))</f>
        <v/>
      </c>
      <c r="AJ98" s="28" t="str">
        <f t="array" ref="AJ98">IF($I97="","",XLOOKUP($B98,Derived_Variables!$A:$A,Derived_Variables!$Y:$Y,FALSE))</f>
        <v/>
      </c>
      <c r="AK98" s="28" t="str">
        <f t="array" ref="AK98">IF($I97="","",XLOOKUP($B98,Derived_Variables!$A:$A,Derived_Variables!$AA:$AA,"Normal"))</f>
        <v/>
      </c>
      <c r="AL98" s="28" t="str">
        <f t="array" ref="AL98">IF($I97="","",XLOOKUP($B98,Derived_Variables!$A:$A,Derived_Variables!$AB:$AB,"Normal"))</f>
        <v/>
      </c>
      <c r="AM98" s="28" t="str">
        <f t="array" ref="AM98">IF($I98="","",IFS(C98="B",IF(OR(I98="NOT_READABLE",I98="BLURRY"),-AB98,0),C98="G",IFS(I98="RED_CLEARER",XLOOKUP("duochrome_red_step",Calibration!$B:$B,Calibration!$C:$C,-0.25),I98="GREEN_CLEARER",XLOOKUP("duochrome_green_step",Calibration!$B:$B,Calibration!$C:$C,0.25),I98="EQUAL",IF(XLOOKUP($B98,Derived_Variables!$A:$A,Derived_Variables!$S:$S,"Neutral")="Undercorrect",XLOOKUP("undercorrect_step",Calibration!$B:$B,Calibration!$C:$C,0.25),IF(XLOOKUP($B98,Derived_Variables!$A:$A,Derived_Variables!$S:$S,"Neutral")="Overcorrect",-XLOOKUP("overcorrect_step",Calibration!$B:$B,Calibration!$C:$C,0.25),0)),TRUE,0),C98="K",IF(I98="TOP_CLEARER",XLOOKUP("bino_balance_step",Calibration!$B:$B,Calibration!$C:$C,0.25),0),TRUE,0))</f>
        <v/>
      </c>
      <c r="AN98" s="28" t="str">
        <f t="shared" si="10"/>
        <v/>
      </c>
      <c r="AO98" s="28" t="str">
        <f t="shared" si="11"/>
        <v/>
      </c>
      <c r="AP98" s="28" t="str">
        <f t="array" ref="AP98">IF($I98="","",IFS(C98="D",IF(OR(I98="NOT_READABLE",I98="BLURRY"),-AB98,0),C98="J",IFS(I98="RED_CLEARER",XLOOKUP("duochrome_red_step",Calibration!$B:$B,Calibration!$C:$C,-0.25),I98="GREEN_CLEARER",XLOOKUP("duochrome_green_step",Calibration!$B:$B,Calibration!$C:$C,0.25),I98="EQUAL",IF(XLOOKUP($B98,Derived_Variables!$A:$A,Derived_Variables!$S:$S,"Neutral")="Undercorrect",XLOOKUP("undercorrect_step",Calibration!$B:$B,Calibration!$C:$C,0.25),IF(XLOOKUP($B98,Derived_Variables!$A:$A,Derived_Variables!$S:$S,"Neutral")="Overcorrect",-XLOOKUP("overcorrect_step",Calibration!$B:$B,Calibration!$C:$C,0.25),0)),TRUE,0),C98="K",IF(I98="BOTTOM_CLEARER",XLOOKUP("bino_balance_step",Calibration!$B:$B,Calibration!$C:$C,0.25),0),TRUE,0))</f>
        <v/>
      </c>
      <c r="AQ98" s="28" t="str">
        <f t="shared" si="12"/>
        <v/>
      </c>
      <c r="AR98" s="28" t="str">
        <f t="shared" si="13"/>
        <v/>
      </c>
      <c r="AS98" s="28" t="str">
        <f t="array" ref="AS98">IF($I98="","",IF(C98="P",IF(OR(I98="NOT_READABLE",I98="BLURRY"),XLOOKUP("near_add_step",Calibration!$B:$B,Calibration!$C:$C,0.25),0),IF(C98="R",IF(I98="NOT_CLEAR",XLOOKUP("near_add_step",Calibration!$B:$B,Calibration!$C:$C,0.25),0),0)))</f>
        <v/>
      </c>
      <c r="AT98" s="28" t="str">
        <f t="array" ref="AT98">IF($I98="","",IF(C98="Q",IF(OR(I98="NOT_READABLE",I98="BLURRY"),XLOOKUP("near_add_step",Calibration!$B:$B,Calibration!$C:$C,0.25),0),IF(C98="R",IF(I98="NOT_CLEAR",XLOOKUP("near_add_step",Calibration!$B:$B,Calibration!$C:$C,0.25),0),0)))</f>
        <v/>
      </c>
      <c r="AU98" s="28" t="str">
        <f t="array" ref="AU98">IF($I98="","",IF(G98="SNELLEN_FEET",IF(I98="READABLE",IFERROR(XLOOKUP(XLOOKUP(R98,Chart_Scale_Distance!B:B,Chart_Scale_Distance!A:A)+1,Chart_Scale_Distance!A:A,Chart_Scale_Distance!B:B),R98),R98),R98))</f>
        <v/>
      </c>
      <c r="AV98" s="28" t="str">
        <f t="array" ref="AV98">IF($I97="","",IFERROR(XLOOKUP(R98,Chart_Scale_Distance!$B:$B,Chart_Scale_Distance!$A:$A,""),""))</f>
        <v/>
      </c>
      <c r="AW98" s="28" t="str">
        <f t="array" ref="AW98">IF($I97="","",IFERROR(XLOOKUP(AA98,Chart_Scale_Distance!$B:$B,Chart_Scale_Distance!$A:$A,""),""))</f>
        <v/>
      </c>
      <c r="AX98" s="28" t="str">
        <f t="shared" si="14"/>
        <v/>
      </c>
      <c r="AY98" s="28" t="str">
        <f t="shared" si="15"/>
        <v/>
      </c>
      <c r="AZ98" s="28" t="str">
        <f t="shared" si="16"/>
        <v/>
      </c>
      <c r="BA98" s="28" t="str">
        <f t="shared" si="17"/>
        <v/>
      </c>
      <c r="BB98" s="28" t="str">
        <f t="shared" si="18"/>
        <v/>
      </c>
      <c r="BC98" s="28" t="str">
        <f t="array" ref="BC98">IF($I98="","",LET(
conf,AI98,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duoMax,XLOOKUP($B98,Derived_Variables!$A:$A,Derived_Variables!$AI:$AI,4),
axisTol,XLOOKUP($B98,Derived_Variables!$A:$A,Derived_Variables!$W:$W,1),
maxStart,XLOOKUP($B98,Derived_Variables!$A:$A,Derived_Variables!$U:$U,1.25),
maxAR,XLOOKUP($B98,Derived_Variables!$A:$A,Derived_Variables!$V:$V,3),
anom,XLOOKUP($B98,Derived_Variables!$A:$A,Derived_Variables!$Z:$Z,FALSE),
reStart,XLOOKUP($B98,Derived_Variables!$A:$A,Derived_Variables!$K:$K,0),
leStart,XLOOKUP($B98,Derived_Variables!$A:$A,Derived_Variables!$N:$N,0),
reAR,XLOOKUP($B98,AR_Input!$A:$A,AR_Input!$B:$B,reStart),
leAR,XLOOKUP($B98,AR_Input!$A:$A,AR_Input!$E:$E,leStart),
reEsc,AND(anom,OR(ABS((S98+AM98)-reStart)&gt;maxStart,ABS((S98+AM98)-reAR)&gt;maxAR)),
leEsc,AND(anom,OR(ABS((V98+AP98)-leStart)&gt;maxStart,ABS((V98+AP98)-leAR)&gt;maxAR)),
phaseMax,IFS(
 AK98="Fast",
   IFS(
     OR(C98="B",C98="D"),XLOOKUP("timeout_coarse_fast",Calibration!$B:$B,Calibration!$C:$C,24),
     OR(C98="E",C98="F",C98="H",C98="I"),XLOOKUP("timeout_jcc_fast",Calibration!$B:$B,Calibration!$C:$C,10),
     OR(C98="G",C98="J"),XLOOKUP("timeout_duochrome_fast",Calibration!$B:$B,Calibration!$C:$C,8),
     C98="K",XLOOKUP("timeout_bino_fast",Calibration!$B:$B,Calibration!$C:$C,10),
     OR(C98="P",C98="Q",C98="R"),XLOOKUP("timeout_near_fast",Calibration!$B:$B,Calibration!$C:$C,16),
     TRUE,XLOOKUP("timeout_coarse_fast",Calibration!$B:$B,Calibration!$C:$C,24)
   ),
 AK98="Normal",
   IFS(
     OR(C98="B",C98="D"),XLOOKUP("timeout_coarse_normal",Calibration!$B:$B,Calibration!$C:$C,36),
     OR(C98="E",C98="F",C98="H",C98="I"),XLOOKUP("timeout_jcc_normal",Calibration!$B:$B,Calibration!$C:$C,14),
     OR(C98="G",C98="J"),XLOOKUP("timeout_duochrome_normal",Calibration!$B:$B,Calibration!$C:$C,10),
     C98="K",XLOOKUP("timeout_bino_normal",Calibration!$B:$B,Calibration!$C:$C,14),
     OR(C98="P",C98="Q",C98="R"),XLOOKUP("timeout_near_normal",Calibration!$B:$B,Calibration!$C:$C,22),
     TRUE,XLOOKUP("timeout_coarse_normal",Calibration!$B:$B,Calibration!$C:$C,36)
   ),
 TRUE,
   IFS(
     OR(C98="B",C98="D"),XLOOKUP("timeout_coarse_slow",Calibration!$B:$B,Calibration!$C:$C,48),
     OR(C98="E",C98="F",C98="H",C98="I"),XLOOKUP("timeout_jcc_slow",Calibration!$B:$B,Calibration!$C:$C,18),
     OR(C98="G",C98="J"),XLOOKUP("timeout_duochrome_slow",Calibration!$B:$B,Calibration!$C:$C,12),
     C98="K",XLOOKUP("timeout_bino_slow",Calibration!$B:$B,Calibration!$C:$C,18),
     OR(C98="P",C98="Q",C98="R"),XLOOKUP("timeout_near_slow",Calibration!$B:$B,Calibration!$C:$C,28),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AJ98=TRUE,"ESCALATE",
C98="A",
IF(OR(I98="NOT_READABLE",I98="BLURRY",AND(R98="20_20_20",I98="READABLE")),"B","A"),
C98="B",
IF(reEsc,"ESCALATE",IF(AY98&gt;=phaseMax,"ESCALATE",IF(AND(AV98&gt;=AW98,I98="READABLE"),"E","B"))),
C98="E",
IF(AY98&gt;=phaseMax,"ESCALATE",IF(OR(I98="SAME",I98="CANT_TELL",AD98&lt;axisTol),"F","E")),
C98="F",
IF(AY98&gt;=phaseMax,"ESCALATE",IF(AX98&gt;=powerSameN,"G","F")),
C98="G",
IF(AY98&gt;=phaseMax,"ESCALATE",IF(OR(AX98&gt;=duoEqualN,BB98&gt;=duoMax),"D","G")),
C98="D",
IF(leEsc,"ESCALATE",IF(AY98&gt;=phaseMax,"ESCALATE",IF(AND(AV98&gt;=AW98,I98="READABLE"),"H","D"))),
C98="H",
IF(AY98&gt;=phaseMax,"ESCALATE",IF(OR(I98="SAME",I98="CANT_TELL",AD98&lt;axisTol),"I","H")),
C98="I",
IF(AY98&gt;=phaseMax,"ESCALATE",IF(AX98&gt;=powerSameN,"J","I")),
C98="J",
IF(AY98&gt;=phaseMax,"ESCALATE",IF(OR(AX98&gt;=duoEqualN,BB98&gt;=duoMax),"K","J")),
C98="K",
IF(AY98&gt;=phaseMax,"ESCALATE",IF(AX98&gt;=binoSameN,IF(XLOOKUP($B98,Derived_Variables!$A:$A,Derived_Variables!$AJ:$AJ,FALSE)=TRUE,"P","END"),"K")),
C98="P",
IF(AY98&gt;=phaseMax,"ESCALATE",IF(OR(I98="READABLE",I98="SAME"),"Q","P")),
C98="Q",
IF(AY98&gt;=phaseMax,"ESCALATE",IF(OR(I98="READABLE",I98="SAME"),"R","Q")),
C98="R",
IF(AY98&gt;=phaseMax,"ESCALATE",IF(OR(I98=nearTarget,I98="SAME"),"END","R")),
TRUE,"END"
)))</f>
        <v/>
      </c>
      <c r="BD98" s="28" t="b">
        <f t="shared" si="19"/>
        <v>0</v>
      </c>
    </row>
    <row r="99" ht="15.75" customHeight="1">
      <c r="A99" s="28">
        <f t="shared" si="3"/>
        <v>98</v>
      </c>
      <c r="B99" s="28">
        <f t="shared" si="4"/>
        <v>6</v>
      </c>
      <c r="C99" s="28" t="str">
        <f t="shared" si="5"/>
        <v/>
      </c>
      <c r="D99" s="28" t="str">
        <f t="array" ref="D99">IF($I98="","",XLOOKUP(C99,FSM_State_Map!A:A,FSM_State_Map!B:B,""))</f>
        <v/>
      </c>
      <c r="E99" s="28" t="str">
        <f t="array" ref="E99">IF($I98="","",XLOOKUP(C99,FSM_State_Map!A:A,FSM_State_Map!C:C,""))</f>
        <v/>
      </c>
      <c r="F99" s="28" t="str">
        <f t="array" ref="F99">IF($I98="","",XLOOKUP(E99,Phase_UI_Map!A:A,Phase_UI_Map!B:B,""))</f>
        <v/>
      </c>
      <c r="G99" s="28" t="str">
        <f t="array" ref="G99">IF($I98="","",XLOOKUP(E99,Phase_UI_Map!A:A,Phase_UI_Map!C:C,""))</f>
        <v/>
      </c>
      <c r="H99" s="28" t="str">
        <f t="array" ref="H99">IF($I98="","",XLOOKUP(E99,Phase_UI_Map!A:A,Phase_UI_Map!D:D,""))</f>
        <v/>
      </c>
      <c r="I99" s="29"/>
      <c r="J99" s="28" t="str">
        <f>IFERROR(__xludf.DUMMYFUNCTION("IF($I98="""","""",IFERROR(INDEX(FILTER(Response_Lists!$B:$B,Response_Lists!$A:$A=$H99),1),""""))"),"")</f>
        <v/>
      </c>
      <c r="K99" s="28" t="str">
        <f>IFERROR(__xludf.DUMMYFUNCTION("IF($I98="""","""",IFERROR(INDEX(FILTER(Response_Lists!$B:$B,Response_Lists!$A:$A=$H99),2),""""))"),"")</f>
        <v/>
      </c>
      <c r="L99" s="28" t="str">
        <f>IFERROR(__xludf.DUMMYFUNCTION("IF($I98="""","""",IFERROR(INDEX(FILTER(Response_Lists!$B:$B,Response_Lists!$A:$A=$H99),3),""""))"),"")</f>
        <v/>
      </c>
      <c r="M99" s="28" t="str">
        <f>IFERROR(__xludf.DUMMYFUNCTION("IF($I98="""","""",IFERROR(INDEX(FILTER(Response_Lists!$B:$B,Response_Lists!$A:$A=$H99),4),""""))"),"")</f>
        <v/>
      </c>
      <c r="N99" s="28" t="str">
        <f>IFERROR(__xludf.DUMMYFUNCTION("IF($I98="""","""",IFERROR(INDEX(FILTER(Response_Lists!$B:$B,Response_Lists!$A:$A=$H99),5),""""))"),"")</f>
        <v/>
      </c>
      <c r="O99" s="28" t="str">
        <f>IFERROR(__xludf.DUMMYFUNCTION("IF($I98="""","""",IFERROR(INDEX(FILTER(Response_Lists!$B:$B,Response_Lists!$A:$A=$H99),6),""""))"),"")</f>
        <v/>
      </c>
      <c r="P99" s="28" t="str">
        <f t="shared" si="6"/>
        <v/>
      </c>
      <c r="Q99" s="28" t="str">
        <f t="array" ref="Q99">IF($I98="","",XLOOKUP(C99,FSM_State_Map!A:A,FSM_State_Map!D:D,""))</f>
        <v/>
      </c>
      <c r="R99" s="28" t="str">
        <f t="shared" si="7"/>
        <v/>
      </c>
      <c r="S99" s="28" t="str">
        <f t="array" ref="S99">IF($I98="","",
IF(
  AND(C99="B",C98&lt;&gt;"B"),
  XLOOKUP($B99,Derived_Variables!$A:$A,Derived_Variables!$K:$K,0)
  + XLOOKUP($B99,Derived_Variables!$A:$A,Derived_Variables!$AE:$AE,0),
  S98+AM98
))</f>
        <v/>
      </c>
      <c r="T99" s="28" t="str">
        <f t="shared" ref="T99:U99" si="208">IF($I98="","",T98+AN98)</f>
        <v/>
      </c>
      <c r="U99" s="28" t="str">
        <f t="shared" si="208"/>
        <v/>
      </c>
      <c r="V99" s="28" t="str">
        <f t="array" ref="V99">IF($I98="","",
IF(
  AND(C99="D",C98&lt;&gt;"D"),
  XLOOKUP($B99,Derived_Variables!$A:$A,Derived_Variables!$N:$N,0)
  + XLOOKUP($B99,Derived_Variables!$A:$A,Derived_Variables!$AE:$AE,0),
  V98+AP98
))</f>
        <v/>
      </c>
      <c r="W99" s="28" t="str">
        <f t="shared" ref="W99:X99" si="209">IF($I98="","",W98+AQ98)</f>
        <v/>
      </c>
      <c r="X99" s="28" t="str">
        <f t="shared" si="209"/>
        <v/>
      </c>
      <c r="Y99" s="28" t="str">
        <f t="array" ref="Y99">IF($I98="","",IF(AND(C99="P",C98&lt;&gt;"P"),IFERROR(XLOOKUP($B99,Lenso_Input!$A:$A,Lenso_Input!$E:$E,0),0),Y98+AS98))</f>
        <v/>
      </c>
      <c r="Z99" s="28" t="str">
        <f t="array" ref="Z99">IF($I98="","",IF(AND(C99="Q",C98&lt;&gt;"Q"),IFERROR(XLOOKUP($B99,Lenso_Input!$A:$A,Lenso_Input!$I:$I,0),0),Z98+AT98))</f>
        <v/>
      </c>
      <c r="AA99" s="28" t="str">
        <f t="array" ref="AA99">IF($I98="","",IF(XLOOKUP($B99,Derived_Variables!$A:$A,Derived_Variables!$R:$R,"6/6_target")="6/6_target","20_20_20","40_30_25"))</f>
        <v/>
      </c>
      <c r="AB99" s="28" t="str">
        <f t="array" ref="AB99">IF($I98="","",XLOOKUP(LOWER(XLOOKUP($B99,Derived_Variables!$A:$A,Derived_Variables!$T:$T,"Standard"))&amp;"_sph_step",Calibration!$B:$B,Calibration!$C:$C,0.25))</f>
        <v/>
      </c>
      <c r="AC99" s="28" t="str">
        <f t="array" ref="AC99">IF($I98="","",XLOOKUP(LOWER(XLOOKUP($B99,Derived_Variables!$A:$A,Derived_Variables!$T:$T,"Standard"))&amp;"_cyl_step",Calibration!$B:$B,Calibration!$C:$C,0.25))</f>
        <v/>
      </c>
      <c r="AD99" s="28" t="str">
        <f t="array" ref="AD99">IF($I98="","",IF(OR(C99="E",C99="H"),LET(startStep,XLOOKUP("axis_start_step",Calibration!$B:$B,Calibration!$C:$C,5),step1,XLOOKUP("axis_reversal_step_1",Calibration!$B:$B,Calibration!$C:$C,3),step2,XLOOKUP("axis_reversal_step_2",Calibration!$B:$B,Calibration!$C:$C,1),IF(OR(C98&lt;&gt;C99,AZ99="",AZ99="SAME",AZ99="CANT_TELL",I99="",I99="SAME",I99="CANT_TELL"),startStep,IF(OR(AND(AZ99="BETTER_1",I99="BETTER_2"),AND(AZ99="BETTER_2",I99="BETTER_1")),IF(AD98&gt;step1,step1,step2),AD98))),0))</f>
        <v/>
      </c>
      <c r="AE99" s="28" t="str">
        <f t="array" ref="AE99">IF($I98="","",XLOOKUP($B99,Derived_Variables!$A:$A,Derived_Variables!$AD:$AD,"No_Fog"))</f>
        <v/>
      </c>
      <c r="AF99" s="28" t="str">
        <f t="array" ref="AF99">IF($I98="","",XLOOKUP($B99,Derived_Variables!$A:$A,Derived_Variables!$AE:$AE,0))</f>
        <v/>
      </c>
      <c r="AG99" s="28" t="str">
        <f t="array" ref="AG99">IF($I98="","",XLOOKUP($B99,Derived_Variables!$A:$A,Derived_Variables!$AF:$AF,""))</f>
        <v/>
      </c>
      <c r="AH99" s="28" t="str">
        <f t="array" ref="AH99">IF($I98="","",XLOOKUP($B99,Derived_Variables!$A:$A,Derived_Variables!$AG:$AG,""))</f>
        <v/>
      </c>
      <c r="AI99" s="28" t="str">
        <f t="array" ref="AI99">IF($I98="","",XLOOKUP($B99,Derived_Variables!$A:$A,Derived_Variables!$AC:$AC,"Medium"))</f>
        <v/>
      </c>
      <c r="AJ99" s="28" t="str">
        <f t="array" ref="AJ99">IF($I98="","",XLOOKUP($B99,Derived_Variables!$A:$A,Derived_Variables!$Y:$Y,FALSE))</f>
        <v/>
      </c>
      <c r="AK99" s="28" t="str">
        <f t="array" ref="AK99">IF($I98="","",XLOOKUP($B99,Derived_Variables!$A:$A,Derived_Variables!$AA:$AA,"Normal"))</f>
        <v/>
      </c>
      <c r="AL99" s="28" t="str">
        <f t="array" ref="AL99">IF($I98="","",XLOOKUP($B99,Derived_Variables!$A:$A,Derived_Variables!$AB:$AB,"Normal"))</f>
        <v/>
      </c>
      <c r="AM99" s="28" t="str">
        <f t="array" ref="AM99">IF($I99="","",IFS(C99="B",IF(OR(I99="NOT_READABLE",I99="BLURRY"),-AB99,0),C99="G",IFS(I99="RED_CLEARER",XLOOKUP("duochrome_red_step",Calibration!$B:$B,Calibration!$C:$C,-0.25),I99="GREEN_CLEARER",XLOOKUP("duochrome_green_step",Calibration!$B:$B,Calibration!$C:$C,0.25),I99="EQUAL",IF(XLOOKUP($B99,Derived_Variables!$A:$A,Derived_Variables!$S:$S,"Neutral")="Undercorrect",XLOOKUP("undercorrect_step",Calibration!$B:$B,Calibration!$C:$C,0.25),IF(XLOOKUP($B99,Derived_Variables!$A:$A,Derived_Variables!$S:$S,"Neutral")="Overcorrect",-XLOOKUP("overcorrect_step",Calibration!$B:$B,Calibration!$C:$C,0.25),0)),TRUE,0),C99="K",IF(I99="TOP_CLEARER",XLOOKUP("bino_balance_step",Calibration!$B:$B,Calibration!$C:$C,0.25),0),TRUE,0))</f>
        <v/>
      </c>
      <c r="AN99" s="28" t="str">
        <f t="shared" si="10"/>
        <v/>
      </c>
      <c r="AO99" s="28" t="str">
        <f t="shared" si="11"/>
        <v/>
      </c>
      <c r="AP99" s="28" t="str">
        <f t="array" ref="AP99">IF($I99="","",IFS(C99="D",IF(OR(I99="NOT_READABLE",I99="BLURRY"),-AB99,0),C99="J",IFS(I99="RED_CLEARER",XLOOKUP("duochrome_red_step",Calibration!$B:$B,Calibration!$C:$C,-0.25),I99="GREEN_CLEARER",XLOOKUP("duochrome_green_step",Calibration!$B:$B,Calibration!$C:$C,0.25),I99="EQUAL",IF(XLOOKUP($B99,Derived_Variables!$A:$A,Derived_Variables!$S:$S,"Neutral")="Undercorrect",XLOOKUP("undercorrect_step",Calibration!$B:$B,Calibration!$C:$C,0.25),IF(XLOOKUP($B99,Derived_Variables!$A:$A,Derived_Variables!$S:$S,"Neutral")="Overcorrect",-XLOOKUP("overcorrect_step",Calibration!$B:$B,Calibration!$C:$C,0.25),0)),TRUE,0),C99="K",IF(I99="BOTTOM_CLEARER",XLOOKUP("bino_balance_step",Calibration!$B:$B,Calibration!$C:$C,0.25),0),TRUE,0))</f>
        <v/>
      </c>
      <c r="AQ99" s="28" t="str">
        <f t="shared" si="12"/>
        <v/>
      </c>
      <c r="AR99" s="28" t="str">
        <f t="shared" si="13"/>
        <v/>
      </c>
      <c r="AS99" s="28" t="str">
        <f t="array" ref="AS99">IF($I99="","",IF(C99="P",IF(OR(I99="NOT_READABLE",I99="BLURRY"),XLOOKUP("near_add_step",Calibration!$B:$B,Calibration!$C:$C,0.25),0),IF(C99="R",IF(I99="NOT_CLEAR",XLOOKUP("near_add_step",Calibration!$B:$B,Calibration!$C:$C,0.25),0),0)))</f>
        <v/>
      </c>
      <c r="AT99" s="28" t="str">
        <f t="array" ref="AT99">IF($I99="","",IF(C99="Q",IF(OR(I99="NOT_READABLE",I99="BLURRY"),XLOOKUP("near_add_step",Calibration!$B:$B,Calibration!$C:$C,0.25),0),IF(C99="R",IF(I99="NOT_CLEAR",XLOOKUP("near_add_step",Calibration!$B:$B,Calibration!$C:$C,0.25),0),0)))</f>
        <v/>
      </c>
      <c r="AU99" s="28" t="str">
        <f t="array" ref="AU99">IF($I99="","",IF(G99="SNELLEN_FEET",IF(I99="READABLE",IFERROR(XLOOKUP(XLOOKUP(R99,Chart_Scale_Distance!B:B,Chart_Scale_Distance!A:A)+1,Chart_Scale_Distance!A:A,Chart_Scale_Distance!B:B),R99),R99),R99))</f>
        <v/>
      </c>
      <c r="AV99" s="28" t="str">
        <f t="array" ref="AV99">IF($I98="","",IFERROR(XLOOKUP(R99,Chart_Scale_Distance!$B:$B,Chart_Scale_Distance!$A:$A,""),""))</f>
        <v/>
      </c>
      <c r="AW99" s="28" t="str">
        <f t="array" ref="AW99">IF($I98="","",IFERROR(XLOOKUP(AA99,Chart_Scale_Distance!$B:$B,Chart_Scale_Distance!$A:$A,""),""))</f>
        <v/>
      </c>
      <c r="AX99" s="28" t="str">
        <f t="shared" si="14"/>
        <v/>
      </c>
      <c r="AY99" s="28" t="str">
        <f t="shared" si="15"/>
        <v/>
      </c>
      <c r="AZ99" s="28" t="str">
        <f t="shared" si="16"/>
        <v/>
      </c>
      <c r="BA99" s="28" t="str">
        <f t="shared" si="17"/>
        <v/>
      </c>
      <c r="BB99" s="28" t="str">
        <f t="shared" si="18"/>
        <v/>
      </c>
      <c r="BC99" s="28" t="str">
        <f t="array" ref="BC99">IF($I99="","",LET(
conf,AI99,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duoMax,XLOOKUP($B99,Derived_Variables!$A:$A,Derived_Variables!$AI:$AI,4),
axisTol,XLOOKUP($B99,Derived_Variables!$A:$A,Derived_Variables!$W:$W,1),
maxStart,XLOOKUP($B99,Derived_Variables!$A:$A,Derived_Variables!$U:$U,1.25),
maxAR,XLOOKUP($B99,Derived_Variables!$A:$A,Derived_Variables!$V:$V,3),
anom,XLOOKUP($B99,Derived_Variables!$A:$A,Derived_Variables!$Z:$Z,FALSE),
reStart,XLOOKUP($B99,Derived_Variables!$A:$A,Derived_Variables!$K:$K,0),
leStart,XLOOKUP($B99,Derived_Variables!$A:$A,Derived_Variables!$N:$N,0),
reAR,XLOOKUP($B99,AR_Input!$A:$A,AR_Input!$B:$B,reStart),
leAR,XLOOKUP($B99,AR_Input!$A:$A,AR_Input!$E:$E,leStart),
reEsc,AND(anom,OR(ABS((S99+AM99)-reStart)&gt;maxStart,ABS((S99+AM99)-reAR)&gt;maxAR)),
leEsc,AND(anom,OR(ABS((V99+AP99)-leStart)&gt;maxStart,ABS((V99+AP99)-leAR)&gt;maxAR)),
phaseMax,IFS(
 AK99="Fast",
   IFS(
     OR(C99="B",C99="D"),XLOOKUP("timeout_coarse_fast",Calibration!$B:$B,Calibration!$C:$C,24),
     OR(C99="E",C99="F",C99="H",C99="I"),XLOOKUP("timeout_jcc_fast",Calibration!$B:$B,Calibration!$C:$C,10),
     OR(C99="G",C99="J"),XLOOKUP("timeout_duochrome_fast",Calibration!$B:$B,Calibration!$C:$C,8),
     C99="K",XLOOKUP("timeout_bino_fast",Calibration!$B:$B,Calibration!$C:$C,10),
     OR(C99="P",C99="Q",C99="R"),XLOOKUP("timeout_near_fast",Calibration!$B:$B,Calibration!$C:$C,16),
     TRUE,XLOOKUP("timeout_coarse_fast",Calibration!$B:$B,Calibration!$C:$C,24)
   ),
 AK99="Normal",
   IFS(
     OR(C99="B",C99="D"),XLOOKUP("timeout_coarse_normal",Calibration!$B:$B,Calibration!$C:$C,36),
     OR(C99="E",C99="F",C99="H",C99="I"),XLOOKUP("timeout_jcc_normal",Calibration!$B:$B,Calibration!$C:$C,14),
     OR(C99="G",C99="J"),XLOOKUP("timeout_duochrome_normal",Calibration!$B:$B,Calibration!$C:$C,10),
     C99="K",XLOOKUP("timeout_bino_normal",Calibration!$B:$B,Calibration!$C:$C,14),
     OR(C99="P",C99="Q",C99="R"),XLOOKUP("timeout_near_normal",Calibration!$B:$B,Calibration!$C:$C,22),
     TRUE,XLOOKUP("timeout_coarse_normal",Calibration!$B:$B,Calibration!$C:$C,36)
   ),
 TRUE,
   IFS(
     OR(C99="B",C99="D"),XLOOKUP("timeout_coarse_slow",Calibration!$B:$B,Calibration!$C:$C,48),
     OR(C99="E",C99="F",C99="H",C99="I"),XLOOKUP("timeout_jcc_slow",Calibration!$B:$B,Calibration!$C:$C,18),
     OR(C99="G",C99="J"),XLOOKUP("timeout_duochrome_slow",Calibration!$B:$B,Calibration!$C:$C,12),
     C99="K",XLOOKUP("timeout_bino_slow",Calibration!$B:$B,Calibration!$C:$C,18),
     OR(C99="P",C99="Q",C99="R"),XLOOKUP("timeout_near_slow",Calibration!$B:$B,Calibration!$C:$C,28),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AJ99=TRUE,"ESCALATE",
C99="A",
IF(OR(I99="NOT_READABLE",I99="BLURRY",AND(R99="20_20_20",I99="READABLE")),"B","A"),
C99="B",
IF(reEsc,"ESCALATE",IF(AY99&gt;=phaseMax,"ESCALATE",IF(AND(AV99&gt;=AW99,I99="READABLE"),"E","B"))),
C99="E",
IF(AY99&gt;=phaseMax,"ESCALATE",IF(OR(I99="SAME",I99="CANT_TELL",AD99&lt;axisTol),"F","E")),
C99="F",
IF(AY99&gt;=phaseMax,"ESCALATE",IF(AX99&gt;=powerSameN,"G","F")),
C99="G",
IF(AY99&gt;=phaseMax,"ESCALATE",IF(OR(AX99&gt;=duoEqualN,BB99&gt;=duoMax),"D","G")),
C99="D",
IF(leEsc,"ESCALATE",IF(AY99&gt;=phaseMax,"ESCALATE",IF(AND(AV99&gt;=AW99,I99="READABLE"),"H","D"))),
C99="H",
IF(AY99&gt;=phaseMax,"ESCALATE",IF(OR(I99="SAME",I99="CANT_TELL",AD99&lt;axisTol),"I","H")),
C99="I",
IF(AY99&gt;=phaseMax,"ESCALATE",IF(AX99&gt;=powerSameN,"J","I")),
C99="J",
IF(AY99&gt;=phaseMax,"ESCALATE",IF(OR(AX99&gt;=duoEqualN,BB99&gt;=duoMax),"K","J")),
C99="K",
IF(AY99&gt;=phaseMax,"ESCALATE",IF(AX99&gt;=binoSameN,IF(XLOOKUP($B99,Derived_Variables!$A:$A,Derived_Variables!$AJ:$AJ,FALSE)=TRUE,"P","END"),"K")),
C99="P",
IF(AY99&gt;=phaseMax,"ESCALATE",IF(OR(I99="READABLE",I99="SAME"),"Q","P")),
C99="Q",
IF(AY99&gt;=phaseMax,"ESCALATE",IF(OR(I99="READABLE",I99="SAME"),"R","Q")),
C99="R",
IF(AY99&gt;=phaseMax,"ESCALATE",IF(OR(I99=nearTarget,I99="SAME"),"END","R")),
TRUE,"END"
)))</f>
        <v/>
      </c>
      <c r="BD99" s="28" t="b">
        <f t="shared" si="19"/>
        <v>0</v>
      </c>
    </row>
    <row r="100" ht="15.75" customHeight="1">
      <c r="A100" s="28">
        <f t="shared" si="3"/>
        <v>99</v>
      </c>
      <c r="B100" s="28">
        <f t="shared" si="4"/>
        <v>6</v>
      </c>
      <c r="C100" s="28" t="str">
        <f t="shared" si="5"/>
        <v/>
      </c>
      <c r="D100" s="28" t="str">
        <f t="array" ref="D100">IF($I99="","",XLOOKUP(C100,FSM_State_Map!A:A,FSM_State_Map!B:B,""))</f>
        <v/>
      </c>
      <c r="E100" s="28" t="str">
        <f t="array" ref="E100">IF($I99="","",XLOOKUP(C100,FSM_State_Map!A:A,FSM_State_Map!C:C,""))</f>
        <v/>
      </c>
      <c r="F100" s="28" t="str">
        <f t="array" ref="F100">IF($I99="","",XLOOKUP(E100,Phase_UI_Map!A:A,Phase_UI_Map!B:B,""))</f>
        <v/>
      </c>
      <c r="G100" s="28" t="str">
        <f t="array" ref="G100">IF($I99="","",XLOOKUP(E100,Phase_UI_Map!A:A,Phase_UI_Map!C:C,""))</f>
        <v/>
      </c>
      <c r="H100" s="28" t="str">
        <f t="array" ref="H100">IF($I99="","",XLOOKUP(E100,Phase_UI_Map!A:A,Phase_UI_Map!D:D,""))</f>
        <v/>
      </c>
      <c r="I100" s="29"/>
      <c r="J100" s="28" t="str">
        <f>IFERROR(__xludf.DUMMYFUNCTION("IF($I99="""","""",IFERROR(INDEX(FILTER(Response_Lists!$B:$B,Response_Lists!$A:$A=$H100),1),""""))"),"")</f>
        <v/>
      </c>
      <c r="K100" s="28" t="str">
        <f>IFERROR(__xludf.DUMMYFUNCTION("IF($I99="""","""",IFERROR(INDEX(FILTER(Response_Lists!$B:$B,Response_Lists!$A:$A=$H100),2),""""))"),"")</f>
        <v/>
      </c>
      <c r="L100" s="28" t="str">
        <f>IFERROR(__xludf.DUMMYFUNCTION("IF($I99="""","""",IFERROR(INDEX(FILTER(Response_Lists!$B:$B,Response_Lists!$A:$A=$H100),3),""""))"),"")</f>
        <v/>
      </c>
      <c r="M100" s="28" t="str">
        <f>IFERROR(__xludf.DUMMYFUNCTION("IF($I99="""","""",IFERROR(INDEX(FILTER(Response_Lists!$B:$B,Response_Lists!$A:$A=$H100),4),""""))"),"")</f>
        <v/>
      </c>
      <c r="N100" s="28" t="str">
        <f>IFERROR(__xludf.DUMMYFUNCTION("IF($I99="""","""",IFERROR(INDEX(FILTER(Response_Lists!$B:$B,Response_Lists!$A:$A=$H100),5),""""))"),"")</f>
        <v/>
      </c>
      <c r="O100" s="28" t="str">
        <f>IFERROR(__xludf.DUMMYFUNCTION("IF($I99="""","""",IFERROR(INDEX(FILTER(Response_Lists!$B:$B,Response_Lists!$A:$A=$H100),6),""""))"),"")</f>
        <v/>
      </c>
      <c r="P100" s="28" t="str">
        <f t="shared" si="6"/>
        <v/>
      </c>
      <c r="Q100" s="28" t="str">
        <f t="array" ref="Q100">IF($I99="","",XLOOKUP(C100,FSM_State_Map!A:A,FSM_State_Map!D:D,""))</f>
        <v/>
      </c>
      <c r="R100" s="28" t="str">
        <f t="shared" si="7"/>
        <v/>
      </c>
      <c r="S100" s="28" t="str">
        <f t="array" ref="S100">IF($I99="","",
IF(
  AND(C100="B",C99&lt;&gt;"B"),
  XLOOKUP($B100,Derived_Variables!$A:$A,Derived_Variables!$K:$K,0)
  + XLOOKUP($B100,Derived_Variables!$A:$A,Derived_Variables!$AE:$AE,0),
  S99+AM99
))</f>
        <v/>
      </c>
      <c r="T100" s="28" t="str">
        <f t="shared" ref="T100:U100" si="210">IF($I99="","",T99+AN99)</f>
        <v/>
      </c>
      <c r="U100" s="28" t="str">
        <f t="shared" si="210"/>
        <v/>
      </c>
      <c r="V100" s="28" t="str">
        <f t="array" ref="V100">IF($I99="","",
IF(
  AND(C100="D",C99&lt;&gt;"D"),
  XLOOKUP($B100,Derived_Variables!$A:$A,Derived_Variables!$N:$N,0)
  + XLOOKUP($B100,Derived_Variables!$A:$A,Derived_Variables!$AE:$AE,0),
  V99+AP99
))</f>
        <v/>
      </c>
      <c r="W100" s="28" t="str">
        <f t="shared" ref="W100:X100" si="211">IF($I99="","",W99+AQ99)</f>
        <v/>
      </c>
      <c r="X100" s="28" t="str">
        <f t="shared" si="211"/>
        <v/>
      </c>
      <c r="Y100" s="28" t="str">
        <f t="array" ref="Y100">IF($I99="","",IF(AND(C100="P",C99&lt;&gt;"P"),IFERROR(XLOOKUP($B100,Lenso_Input!$A:$A,Lenso_Input!$E:$E,0),0),Y99+AS99))</f>
        <v/>
      </c>
      <c r="Z100" s="28" t="str">
        <f t="array" ref="Z100">IF($I99="","",IF(AND(C100="Q",C99&lt;&gt;"Q"),IFERROR(XLOOKUP($B100,Lenso_Input!$A:$A,Lenso_Input!$I:$I,0),0),Z99+AT99))</f>
        <v/>
      </c>
      <c r="AA100" s="28" t="str">
        <f t="array" ref="AA100">IF($I99="","",IF(XLOOKUP($B100,Derived_Variables!$A:$A,Derived_Variables!$R:$R,"6/6_target")="6/6_target","20_20_20","40_30_25"))</f>
        <v/>
      </c>
      <c r="AB100" s="28" t="str">
        <f t="array" ref="AB100">IF($I99="","",XLOOKUP(LOWER(XLOOKUP($B100,Derived_Variables!$A:$A,Derived_Variables!$T:$T,"Standard"))&amp;"_sph_step",Calibration!$B:$B,Calibration!$C:$C,0.25))</f>
        <v/>
      </c>
      <c r="AC100" s="28" t="str">
        <f t="array" ref="AC100">IF($I99="","",XLOOKUP(LOWER(XLOOKUP($B100,Derived_Variables!$A:$A,Derived_Variables!$T:$T,"Standard"))&amp;"_cyl_step",Calibration!$B:$B,Calibration!$C:$C,0.25))</f>
        <v/>
      </c>
      <c r="AD100" s="28" t="str">
        <f t="array" ref="AD100">IF($I99="","",IF(OR(C100="E",C100="H"),LET(startStep,XLOOKUP("axis_start_step",Calibration!$B:$B,Calibration!$C:$C,5),step1,XLOOKUP("axis_reversal_step_1",Calibration!$B:$B,Calibration!$C:$C,3),step2,XLOOKUP("axis_reversal_step_2",Calibration!$B:$B,Calibration!$C:$C,1),IF(OR(C99&lt;&gt;C100,AZ100="",AZ100="SAME",AZ100="CANT_TELL",I100="",I100="SAME",I100="CANT_TELL"),startStep,IF(OR(AND(AZ100="BETTER_1",I100="BETTER_2"),AND(AZ100="BETTER_2",I100="BETTER_1")),IF(AD99&gt;step1,step1,step2),AD99))),0))</f>
        <v/>
      </c>
      <c r="AE100" s="28" t="str">
        <f t="array" ref="AE100">IF($I99="","",XLOOKUP($B100,Derived_Variables!$A:$A,Derived_Variables!$AD:$AD,"No_Fog"))</f>
        <v/>
      </c>
      <c r="AF100" s="28" t="str">
        <f t="array" ref="AF100">IF($I99="","",XLOOKUP($B100,Derived_Variables!$A:$A,Derived_Variables!$AE:$AE,0))</f>
        <v/>
      </c>
      <c r="AG100" s="28" t="str">
        <f t="array" ref="AG100">IF($I99="","",XLOOKUP($B100,Derived_Variables!$A:$A,Derived_Variables!$AF:$AF,""))</f>
        <v/>
      </c>
      <c r="AH100" s="28" t="str">
        <f t="array" ref="AH100">IF($I99="","",XLOOKUP($B100,Derived_Variables!$A:$A,Derived_Variables!$AG:$AG,""))</f>
        <v/>
      </c>
      <c r="AI100" s="28" t="str">
        <f t="array" ref="AI100">IF($I99="","",XLOOKUP($B100,Derived_Variables!$A:$A,Derived_Variables!$AC:$AC,"Medium"))</f>
        <v/>
      </c>
      <c r="AJ100" s="28" t="str">
        <f t="array" ref="AJ100">IF($I99="","",XLOOKUP($B100,Derived_Variables!$A:$A,Derived_Variables!$Y:$Y,FALSE))</f>
        <v/>
      </c>
      <c r="AK100" s="28" t="str">
        <f t="array" ref="AK100">IF($I99="","",XLOOKUP($B100,Derived_Variables!$A:$A,Derived_Variables!$AA:$AA,"Normal"))</f>
        <v/>
      </c>
      <c r="AL100" s="28" t="str">
        <f t="array" ref="AL100">IF($I99="","",XLOOKUP($B100,Derived_Variables!$A:$A,Derived_Variables!$AB:$AB,"Normal"))</f>
        <v/>
      </c>
      <c r="AM100" s="28" t="str">
        <f t="array" ref="AM100">IF($I100="","",IFS(C100="B",IF(OR(I100="NOT_READABLE",I100="BLURRY"),-AB100,0),C100="G",IFS(I100="RED_CLEARER",XLOOKUP("duochrome_red_step",Calibration!$B:$B,Calibration!$C:$C,-0.25),I100="GREEN_CLEARER",XLOOKUP("duochrome_green_step",Calibration!$B:$B,Calibration!$C:$C,0.25),I100="EQUAL",IF(XLOOKUP($B100,Derived_Variables!$A:$A,Derived_Variables!$S:$S,"Neutral")="Undercorrect",XLOOKUP("undercorrect_step",Calibration!$B:$B,Calibration!$C:$C,0.25),IF(XLOOKUP($B100,Derived_Variables!$A:$A,Derived_Variables!$S:$S,"Neutral")="Overcorrect",-XLOOKUP("overcorrect_step",Calibration!$B:$B,Calibration!$C:$C,0.25),0)),TRUE,0),C100="K",IF(I100="TOP_CLEARER",XLOOKUP("bino_balance_step",Calibration!$B:$B,Calibration!$C:$C,0.25),0),TRUE,0))</f>
        <v/>
      </c>
      <c r="AN100" s="28" t="str">
        <f t="shared" si="10"/>
        <v/>
      </c>
      <c r="AO100" s="28" t="str">
        <f t="shared" si="11"/>
        <v/>
      </c>
      <c r="AP100" s="28" t="str">
        <f t="array" ref="AP100">IF($I100="","",IFS(C100="D",IF(OR(I100="NOT_READABLE",I100="BLURRY"),-AB100,0),C100="J",IFS(I100="RED_CLEARER",XLOOKUP("duochrome_red_step",Calibration!$B:$B,Calibration!$C:$C,-0.25),I100="GREEN_CLEARER",XLOOKUP("duochrome_green_step",Calibration!$B:$B,Calibration!$C:$C,0.25),I100="EQUAL",IF(XLOOKUP($B100,Derived_Variables!$A:$A,Derived_Variables!$S:$S,"Neutral")="Undercorrect",XLOOKUP("undercorrect_step",Calibration!$B:$B,Calibration!$C:$C,0.25),IF(XLOOKUP($B100,Derived_Variables!$A:$A,Derived_Variables!$S:$S,"Neutral")="Overcorrect",-XLOOKUP("overcorrect_step",Calibration!$B:$B,Calibration!$C:$C,0.25),0)),TRUE,0),C100="K",IF(I100="BOTTOM_CLEARER",XLOOKUP("bino_balance_step",Calibration!$B:$B,Calibration!$C:$C,0.25),0),TRUE,0))</f>
        <v/>
      </c>
      <c r="AQ100" s="28" t="str">
        <f t="shared" si="12"/>
        <v/>
      </c>
      <c r="AR100" s="28" t="str">
        <f t="shared" si="13"/>
        <v/>
      </c>
      <c r="AS100" s="28" t="str">
        <f t="array" ref="AS100">IF($I100="","",IF(C100="P",IF(OR(I100="NOT_READABLE",I100="BLURRY"),XLOOKUP("near_add_step",Calibration!$B:$B,Calibration!$C:$C,0.25),0),IF(C100="R",IF(I100="NOT_CLEAR",XLOOKUP("near_add_step",Calibration!$B:$B,Calibration!$C:$C,0.25),0),0)))</f>
        <v/>
      </c>
      <c r="AT100" s="28" t="str">
        <f t="array" ref="AT100">IF($I100="","",IF(C100="Q",IF(OR(I100="NOT_READABLE",I100="BLURRY"),XLOOKUP("near_add_step",Calibration!$B:$B,Calibration!$C:$C,0.25),0),IF(C100="R",IF(I100="NOT_CLEAR",XLOOKUP("near_add_step",Calibration!$B:$B,Calibration!$C:$C,0.25),0),0)))</f>
        <v/>
      </c>
      <c r="AU100" s="28" t="str">
        <f t="array" ref="AU100">IF($I100="","",IF(G100="SNELLEN_FEET",IF(I100="READABLE",IFERROR(XLOOKUP(XLOOKUP(R100,Chart_Scale_Distance!B:B,Chart_Scale_Distance!A:A)+1,Chart_Scale_Distance!A:A,Chart_Scale_Distance!B:B),R100),R100),R100))</f>
        <v/>
      </c>
      <c r="AV100" s="28" t="str">
        <f t="array" ref="AV100">IF($I99="","",IFERROR(XLOOKUP(R100,Chart_Scale_Distance!$B:$B,Chart_Scale_Distance!$A:$A,""),""))</f>
        <v/>
      </c>
      <c r="AW100" s="28" t="str">
        <f t="array" ref="AW100">IF($I99="","",IFERROR(XLOOKUP(AA100,Chart_Scale_Distance!$B:$B,Chart_Scale_Distance!$A:$A,""),""))</f>
        <v/>
      </c>
      <c r="AX100" s="28" t="str">
        <f t="shared" si="14"/>
        <v/>
      </c>
      <c r="AY100" s="28" t="str">
        <f t="shared" si="15"/>
        <v/>
      </c>
      <c r="AZ100" s="28" t="str">
        <f t="shared" si="16"/>
        <v/>
      </c>
      <c r="BA100" s="28" t="str">
        <f t="shared" si="17"/>
        <v/>
      </c>
      <c r="BB100" s="28" t="str">
        <f t="shared" si="18"/>
        <v/>
      </c>
      <c r="BC100" s="28" t="str">
        <f t="array" ref="BC100">IF($I100="","",LET(
conf,AI100,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duoMax,XLOOKUP($B100,Derived_Variables!$A:$A,Derived_Variables!$AI:$AI,4),
axisTol,XLOOKUP($B100,Derived_Variables!$A:$A,Derived_Variables!$W:$W,1),
maxStart,XLOOKUP($B100,Derived_Variables!$A:$A,Derived_Variables!$U:$U,1.25),
maxAR,XLOOKUP($B100,Derived_Variables!$A:$A,Derived_Variables!$V:$V,3),
anom,XLOOKUP($B100,Derived_Variables!$A:$A,Derived_Variables!$Z:$Z,FALSE),
reStart,XLOOKUP($B100,Derived_Variables!$A:$A,Derived_Variables!$K:$K,0),
leStart,XLOOKUP($B100,Derived_Variables!$A:$A,Derived_Variables!$N:$N,0),
reAR,XLOOKUP($B100,AR_Input!$A:$A,AR_Input!$B:$B,reStart),
leAR,XLOOKUP($B100,AR_Input!$A:$A,AR_Input!$E:$E,leStart),
reEsc,AND(anom,OR(ABS((S100+AM100)-reStart)&gt;maxStart,ABS((S100+AM100)-reAR)&gt;maxAR)),
leEsc,AND(anom,OR(ABS((V100+AP100)-leStart)&gt;maxStart,ABS((V100+AP100)-leAR)&gt;maxAR)),
phaseMax,IFS(
 AK100="Fast",
   IFS(
     OR(C100="B",C100="D"),XLOOKUP("timeout_coarse_fast",Calibration!$B:$B,Calibration!$C:$C,24),
     OR(C100="E",C100="F",C100="H",C100="I"),XLOOKUP("timeout_jcc_fast",Calibration!$B:$B,Calibration!$C:$C,10),
     OR(C100="G",C100="J"),XLOOKUP("timeout_duochrome_fast",Calibration!$B:$B,Calibration!$C:$C,8),
     C100="K",XLOOKUP("timeout_bino_fast",Calibration!$B:$B,Calibration!$C:$C,10),
     OR(C100="P",C100="Q",C100="R"),XLOOKUP("timeout_near_fast",Calibration!$B:$B,Calibration!$C:$C,16),
     TRUE,XLOOKUP("timeout_coarse_fast",Calibration!$B:$B,Calibration!$C:$C,24)
   ),
 AK100="Normal",
   IFS(
     OR(C100="B",C100="D"),XLOOKUP("timeout_coarse_normal",Calibration!$B:$B,Calibration!$C:$C,36),
     OR(C100="E",C100="F",C100="H",C100="I"),XLOOKUP("timeout_jcc_normal",Calibration!$B:$B,Calibration!$C:$C,14),
     OR(C100="G",C100="J"),XLOOKUP("timeout_duochrome_normal",Calibration!$B:$B,Calibration!$C:$C,10),
     C100="K",XLOOKUP("timeout_bino_normal",Calibration!$B:$B,Calibration!$C:$C,14),
     OR(C100="P",C100="Q",C100="R"),XLOOKUP("timeout_near_normal",Calibration!$B:$B,Calibration!$C:$C,22),
     TRUE,XLOOKUP("timeout_coarse_normal",Calibration!$B:$B,Calibration!$C:$C,36)
   ),
 TRUE,
   IFS(
     OR(C100="B",C100="D"),XLOOKUP("timeout_coarse_slow",Calibration!$B:$B,Calibration!$C:$C,48),
     OR(C100="E",C100="F",C100="H",C100="I"),XLOOKUP("timeout_jcc_slow",Calibration!$B:$B,Calibration!$C:$C,18),
     OR(C100="G",C100="J"),XLOOKUP("timeout_duochrome_slow",Calibration!$B:$B,Calibration!$C:$C,12),
     C100="K",XLOOKUP("timeout_bino_slow",Calibration!$B:$B,Calibration!$C:$C,18),
     OR(C100="P",C100="Q",C100="R"),XLOOKUP("timeout_near_slow",Calibration!$B:$B,Calibration!$C:$C,28),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AJ100=TRUE,"ESCALATE",
C100="A",
IF(OR(I100="NOT_READABLE",I100="BLURRY",AND(R100="20_20_20",I100="READABLE")),"B","A"),
C100="B",
IF(reEsc,"ESCALATE",IF(AY100&gt;=phaseMax,"ESCALATE",IF(AND(AV100&gt;=AW100,I100="READABLE"),"E","B"))),
C100="E",
IF(AY100&gt;=phaseMax,"ESCALATE",IF(OR(I100="SAME",I100="CANT_TELL",AD100&lt;axisTol),"F","E")),
C100="F",
IF(AY100&gt;=phaseMax,"ESCALATE",IF(AX100&gt;=powerSameN,"G","F")),
C100="G",
IF(AY100&gt;=phaseMax,"ESCALATE",IF(OR(AX100&gt;=duoEqualN,BB100&gt;=duoMax),"D","G")),
C100="D",
IF(leEsc,"ESCALATE",IF(AY100&gt;=phaseMax,"ESCALATE",IF(AND(AV100&gt;=AW100,I100="READABLE"),"H","D"))),
C100="H",
IF(AY100&gt;=phaseMax,"ESCALATE",IF(OR(I100="SAME",I100="CANT_TELL",AD100&lt;axisTol),"I","H")),
C100="I",
IF(AY100&gt;=phaseMax,"ESCALATE",IF(AX100&gt;=powerSameN,"J","I")),
C100="J",
IF(AY100&gt;=phaseMax,"ESCALATE",IF(OR(AX100&gt;=duoEqualN,BB100&gt;=duoMax),"K","J")),
C100="K",
IF(AY100&gt;=phaseMax,"ESCALATE",IF(AX100&gt;=binoSameN,IF(XLOOKUP($B100,Derived_Variables!$A:$A,Derived_Variables!$AJ:$AJ,FALSE)=TRUE,"P","END"),"K")),
C100="P",
IF(AY100&gt;=phaseMax,"ESCALATE",IF(OR(I100="READABLE",I100="SAME"),"Q","P")),
C100="Q",
IF(AY100&gt;=phaseMax,"ESCALATE",IF(OR(I100="READABLE",I100="SAME"),"R","Q")),
C100="R",
IF(AY100&gt;=phaseMax,"ESCALATE",IF(OR(I100=nearTarget,I100="SAME"),"END","R")),
TRUE,"END"
)))</f>
        <v/>
      </c>
      <c r="BD100" s="28" t="b">
        <f t="shared" si="19"/>
        <v>0</v>
      </c>
    </row>
    <row r="101" ht="15.75" customHeight="1">
      <c r="A101" s="28">
        <f t="shared" si="3"/>
        <v>100</v>
      </c>
      <c r="B101" s="28">
        <f t="shared" si="4"/>
        <v>6</v>
      </c>
      <c r="C101" s="28" t="str">
        <f t="shared" si="5"/>
        <v/>
      </c>
      <c r="D101" s="28" t="str">
        <f t="array" ref="D101">IF($I100="","",XLOOKUP(C101,FSM_State_Map!A:A,FSM_State_Map!B:B,""))</f>
        <v/>
      </c>
      <c r="E101" s="28" t="str">
        <f t="array" ref="E101">IF($I100="","",XLOOKUP(C101,FSM_State_Map!A:A,FSM_State_Map!C:C,""))</f>
        <v/>
      </c>
      <c r="F101" s="28" t="str">
        <f t="array" ref="F101">IF($I100="","",XLOOKUP(E101,Phase_UI_Map!A:A,Phase_UI_Map!B:B,""))</f>
        <v/>
      </c>
      <c r="G101" s="28" t="str">
        <f t="array" ref="G101">IF($I100="","",XLOOKUP(E101,Phase_UI_Map!A:A,Phase_UI_Map!C:C,""))</f>
        <v/>
      </c>
      <c r="H101" s="28" t="str">
        <f t="array" ref="H101">IF($I100="","",XLOOKUP(E101,Phase_UI_Map!A:A,Phase_UI_Map!D:D,""))</f>
        <v/>
      </c>
      <c r="I101" s="29"/>
      <c r="J101" s="28" t="str">
        <f>IFERROR(__xludf.DUMMYFUNCTION("IF($I100="""","""",IFERROR(INDEX(FILTER(Response_Lists!$B:$B,Response_Lists!$A:$A=$H101),1),""""))"),"")</f>
        <v/>
      </c>
      <c r="K101" s="28" t="str">
        <f>IFERROR(__xludf.DUMMYFUNCTION("IF($I100="""","""",IFERROR(INDEX(FILTER(Response_Lists!$B:$B,Response_Lists!$A:$A=$H101),2),""""))"),"")</f>
        <v/>
      </c>
      <c r="L101" s="28" t="str">
        <f>IFERROR(__xludf.DUMMYFUNCTION("IF($I100="""","""",IFERROR(INDEX(FILTER(Response_Lists!$B:$B,Response_Lists!$A:$A=$H101),3),""""))"),"")</f>
        <v/>
      </c>
      <c r="M101" s="28" t="str">
        <f>IFERROR(__xludf.DUMMYFUNCTION("IF($I100="""","""",IFERROR(INDEX(FILTER(Response_Lists!$B:$B,Response_Lists!$A:$A=$H101),4),""""))"),"")</f>
        <v/>
      </c>
      <c r="N101" s="28" t="str">
        <f>IFERROR(__xludf.DUMMYFUNCTION("IF($I100="""","""",IFERROR(INDEX(FILTER(Response_Lists!$B:$B,Response_Lists!$A:$A=$H101),5),""""))"),"")</f>
        <v/>
      </c>
      <c r="O101" s="28" t="str">
        <f>IFERROR(__xludf.DUMMYFUNCTION("IF($I100="""","""",IFERROR(INDEX(FILTER(Response_Lists!$B:$B,Response_Lists!$A:$A=$H101),6),""""))"),"")</f>
        <v/>
      </c>
      <c r="P101" s="28" t="str">
        <f t="shared" si="6"/>
        <v/>
      </c>
      <c r="Q101" s="28" t="str">
        <f t="array" ref="Q101">IF($I100="","",XLOOKUP(C101,FSM_State_Map!A:A,FSM_State_Map!D:D,""))</f>
        <v/>
      </c>
      <c r="R101" s="28" t="str">
        <f t="shared" si="7"/>
        <v/>
      </c>
      <c r="S101" s="28" t="str">
        <f t="array" ref="S101">IF($I100="","",
IF(
  AND(C101="B",C100&lt;&gt;"B"),
  XLOOKUP($B101,Derived_Variables!$A:$A,Derived_Variables!$K:$K,0)
  + XLOOKUP($B101,Derived_Variables!$A:$A,Derived_Variables!$AE:$AE,0),
  S100+AM100
))</f>
        <v/>
      </c>
      <c r="T101" s="28" t="str">
        <f t="shared" ref="T101:U101" si="212">IF($I100="","",T100+AN100)</f>
        <v/>
      </c>
      <c r="U101" s="28" t="str">
        <f t="shared" si="212"/>
        <v/>
      </c>
      <c r="V101" s="28" t="str">
        <f t="array" ref="V101">IF($I100="","",
IF(
  AND(C101="D",C100&lt;&gt;"D"),
  XLOOKUP($B101,Derived_Variables!$A:$A,Derived_Variables!$N:$N,0)
  + XLOOKUP($B101,Derived_Variables!$A:$A,Derived_Variables!$AE:$AE,0),
  V100+AP100
))</f>
        <v/>
      </c>
      <c r="W101" s="28" t="str">
        <f t="shared" ref="W101:X101" si="213">IF($I100="","",W100+AQ100)</f>
        <v/>
      </c>
      <c r="X101" s="28" t="str">
        <f t="shared" si="213"/>
        <v/>
      </c>
      <c r="Y101" s="28" t="str">
        <f t="array" ref="Y101">IF($I100="","",IF(AND(C101="P",C100&lt;&gt;"P"),IFERROR(XLOOKUP($B101,Lenso_Input!$A:$A,Lenso_Input!$E:$E,0),0),Y100+AS100))</f>
        <v/>
      </c>
      <c r="Z101" s="28" t="str">
        <f t="array" ref="Z101">IF($I100="","",IF(AND(C101="Q",C100&lt;&gt;"Q"),IFERROR(XLOOKUP($B101,Lenso_Input!$A:$A,Lenso_Input!$I:$I,0),0),Z100+AT100))</f>
        <v/>
      </c>
      <c r="AA101" s="28" t="str">
        <f t="array" ref="AA101">IF($I100="","",IF(XLOOKUP($B101,Derived_Variables!$A:$A,Derived_Variables!$R:$R,"6/6_target")="6/6_target","20_20_20","40_30_25"))</f>
        <v/>
      </c>
      <c r="AB101" s="28" t="str">
        <f t="array" ref="AB101">IF($I100="","",XLOOKUP(LOWER(XLOOKUP($B101,Derived_Variables!$A:$A,Derived_Variables!$T:$T,"Standard"))&amp;"_sph_step",Calibration!$B:$B,Calibration!$C:$C,0.25))</f>
        <v/>
      </c>
      <c r="AC101" s="28" t="str">
        <f t="array" ref="AC101">IF($I100="","",XLOOKUP(LOWER(XLOOKUP($B101,Derived_Variables!$A:$A,Derived_Variables!$T:$T,"Standard"))&amp;"_cyl_step",Calibration!$B:$B,Calibration!$C:$C,0.25))</f>
        <v/>
      </c>
      <c r="AD101" s="28" t="str">
        <f t="array" ref="AD101">IF($I100="","",IF(OR(C101="E",C101="H"),LET(startStep,XLOOKUP("axis_start_step",Calibration!$B:$B,Calibration!$C:$C,5),step1,XLOOKUP("axis_reversal_step_1",Calibration!$B:$B,Calibration!$C:$C,3),step2,XLOOKUP("axis_reversal_step_2",Calibration!$B:$B,Calibration!$C:$C,1),IF(OR(C100&lt;&gt;C101,AZ101="",AZ101="SAME",AZ101="CANT_TELL",I101="",I101="SAME",I101="CANT_TELL"),startStep,IF(OR(AND(AZ101="BETTER_1",I101="BETTER_2"),AND(AZ101="BETTER_2",I101="BETTER_1")),IF(AD100&gt;step1,step1,step2),AD100))),0))</f>
        <v/>
      </c>
      <c r="AE101" s="28" t="str">
        <f t="array" ref="AE101">IF($I100="","",XLOOKUP($B101,Derived_Variables!$A:$A,Derived_Variables!$AD:$AD,"No_Fog"))</f>
        <v/>
      </c>
      <c r="AF101" s="28" t="str">
        <f t="array" ref="AF101">IF($I100="","",XLOOKUP($B101,Derived_Variables!$A:$A,Derived_Variables!$AE:$AE,0))</f>
        <v/>
      </c>
      <c r="AG101" s="28" t="str">
        <f t="array" ref="AG101">IF($I100="","",XLOOKUP($B101,Derived_Variables!$A:$A,Derived_Variables!$AF:$AF,""))</f>
        <v/>
      </c>
      <c r="AH101" s="28" t="str">
        <f t="array" ref="AH101">IF($I100="","",XLOOKUP($B101,Derived_Variables!$A:$A,Derived_Variables!$AG:$AG,""))</f>
        <v/>
      </c>
      <c r="AI101" s="28" t="str">
        <f t="array" ref="AI101">IF($I100="","",XLOOKUP($B101,Derived_Variables!$A:$A,Derived_Variables!$AC:$AC,"Medium"))</f>
        <v/>
      </c>
      <c r="AJ101" s="28" t="str">
        <f t="array" ref="AJ101">IF($I100="","",XLOOKUP($B101,Derived_Variables!$A:$A,Derived_Variables!$Y:$Y,FALSE))</f>
        <v/>
      </c>
      <c r="AK101" s="28" t="str">
        <f t="array" ref="AK101">IF($I100="","",XLOOKUP($B101,Derived_Variables!$A:$A,Derived_Variables!$AA:$AA,"Normal"))</f>
        <v/>
      </c>
      <c r="AL101" s="28" t="str">
        <f t="array" ref="AL101">IF($I100="","",XLOOKUP($B101,Derived_Variables!$A:$A,Derived_Variables!$AB:$AB,"Normal"))</f>
        <v/>
      </c>
      <c r="AM101" s="28" t="str">
        <f t="array" ref="AM101">IF($I101="","",IFS(C101="B",IF(OR(I101="NOT_READABLE",I101="BLURRY"),-AB101,0),C101="G",IFS(I101="RED_CLEARER",XLOOKUP("duochrome_red_step",Calibration!$B:$B,Calibration!$C:$C,-0.25),I101="GREEN_CLEARER",XLOOKUP("duochrome_green_step",Calibration!$B:$B,Calibration!$C:$C,0.25),I101="EQUAL",IF(XLOOKUP($B101,Derived_Variables!$A:$A,Derived_Variables!$S:$S,"Neutral")="Undercorrect",XLOOKUP("undercorrect_step",Calibration!$B:$B,Calibration!$C:$C,0.25),IF(XLOOKUP($B101,Derived_Variables!$A:$A,Derived_Variables!$S:$S,"Neutral")="Overcorrect",-XLOOKUP("overcorrect_step",Calibration!$B:$B,Calibration!$C:$C,0.25),0)),TRUE,0),C101="K",IF(I101="TOP_CLEARER",XLOOKUP("bino_balance_step",Calibration!$B:$B,Calibration!$C:$C,0.25),0),TRUE,0))</f>
        <v/>
      </c>
      <c r="AN101" s="28" t="str">
        <f t="shared" si="10"/>
        <v/>
      </c>
      <c r="AO101" s="28" t="str">
        <f t="shared" si="11"/>
        <v/>
      </c>
      <c r="AP101" s="28" t="str">
        <f t="array" ref="AP101">IF($I101="","",IFS(C101="D",IF(OR(I101="NOT_READABLE",I101="BLURRY"),-AB101,0),C101="J",IFS(I101="RED_CLEARER",XLOOKUP("duochrome_red_step",Calibration!$B:$B,Calibration!$C:$C,-0.25),I101="GREEN_CLEARER",XLOOKUP("duochrome_green_step",Calibration!$B:$B,Calibration!$C:$C,0.25),I101="EQUAL",IF(XLOOKUP($B101,Derived_Variables!$A:$A,Derived_Variables!$S:$S,"Neutral")="Undercorrect",XLOOKUP("undercorrect_step",Calibration!$B:$B,Calibration!$C:$C,0.25),IF(XLOOKUP($B101,Derived_Variables!$A:$A,Derived_Variables!$S:$S,"Neutral")="Overcorrect",-XLOOKUP("overcorrect_step",Calibration!$B:$B,Calibration!$C:$C,0.25),0)),TRUE,0),C101="K",IF(I101="BOTTOM_CLEARER",XLOOKUP("bino_balance_step",Calibration!$B:$B,Calibration!$C:$C,0.25),0),TRUE,0))</f>
        <v/>
      </c>
      <c r="AQ101" s="28" t="str">
        <f t="shared" si="12"/>
        <v/>
      </c>
      <c r="AR101" s="28" t="str">
        <f t="shared" si="13"/>
        <v/>
      </c>
      <c r="AS101" s="28" t="str">
        <f t="array" ref="AS101">IF($I101="","",IF(C101="P",IF(OR(I101="NOT_READABLE",I101="BLURRY"),XLOOKUP("near_add_step",Calibration!$B:$B,Calibration!$C:$C,0.25),0),IF(C101="R",IF(I101="NOT_CLEAR",XLOOKUP("near_add_step",Calibration!$B:$B,Calibration!$C:$C,0.25),0),0)))</f>
        <v/>
      </c>
      <c r="AT101" s="28" t="str">
        <f t="array" ref="AT101">IF($I101="","",IF(C101="Q",IF(OR(I101="NOT_READABLE",I101="BLURRY"),XLOOKUP("near_add_step",Calibration!$B:$B,Calibration!$C:$C,0.25),0),IF(C101="R",IF(I101="NOT_CLEAR",XLOOKUP("near_add_step",Calibration!$B:$B,Calibration!$C:$C,0.25),0),0)))</f>
        <v/>
      </c>
      <c r="AU101" s="28" t="str">
        <f t="array" ref="AU101">IF($I101="","",IF(G101="SNELLEN_FEET",IF(I101="READABLE",IFERROR(XLOOKUP(XLOOKUP(R101,Chart_Scale_Distance!B:B,Chart_Scale_Distance!A:A)+1,Chart_Scale_Distance!A:A,Chart_Scale_Distance!B:B),R101),R101),R101))</f>
        <v/>
      </c>
      <c r="AV101" s="28" t="str">
        <f t="array" ref="AV101">IF($I100="","",IFERROR(XLOOKUP(R101,Chart_Scale_Distance!$B:$B,Chart_Scale_Distance!$A:$A,""),""))</f>
        <v/>
      </c>
      <c r="AW101" s="28" t="str">
        <f t="array" ref="AW101">IF($I100="","",IFERROR(XLOOKUP(AA101,Chart_Scale_Distance!$B:$B,Chart_Scale_Distance!$A:$A,""),""))</f>
        <v/>
      </c>
      <c r="AX101" s="28" t="str">
        <f t="shared" si="14"/>
        <v/>
      </c>
      <c r="AY101" s="28" t="str">
        <f t="shared" si="15"/>
        <v/>
      </c>
      <c r="AZ101" s="28" t="str">
        <f t="shared" si="16"/>
        <v/>
      </c>
      <c r="BA101" s="28" t="str">
        <f t="shared" si="17"/>
        <v/>
      </c>
      <c r="BB101" s="28" t="str">
        <f t="shared" si="18"/>
        <v/>
      </c>
      <c r="BC101" s="28" t="str">
        <f t="array" ref="BC101">IF($I101="","",LET(
conf,AI101,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duoMax,XLOOKUP($B101,Derived_Variables!$A:$A,Derived_Variables!$AI:$AI,4),
axisTol,XLOOKUP($B101,Derived_Variables!$A:$A,Derived_Variables!$W:$W,1),
maxStart,XLOOKUP($B101,Derived_Variables!$A:$A,Derived_Variables!$U:$U,1.25),
maxAR,XLOOKUP($B101,Derived_Variables!$A:$A,Derived_Variables!$V:$V,3),
anom,XLOOKUP($B101,Derived_Variables!$A:$A,Derived_Variables!$Z:$Z,FALSE),
reStart,XLOOKUP($B101,Derived_Variables!$A:$A,Derived_Variables!$K:$K,0),
leStart,XLOOKUP($B101,Derived_Variables!$A:$A,Derived_Variables!$N:$N,0),
reAR,XLOOKUP($B101,AR_Input!$A:$A,AR_Input!$B:$B,reStart),
leAR,XLOOKUP($B101,AR_Input!$A:$A,AR_Input!$E:$E,leStart),
reEsc,AND(anom,OR(ABS((S101+AM101)-reStart)&gt;maxStart,ABS((S101+AM101)-reAR)&gt;maxAR)),
leEsc,AND(anom,OR(ABS((V101+AP101)-leStart)&gt;maxStart,ABS((V101+AP101)-leAR)&gt;maxAR)),
phaseMax,IFS(
 AK101="Fast",
   IFS(
     OR(C101="B",C101="D"),XLOOKUP("timeout_coarse_fast",Calibration!$B:$B,Calibration!$C:$C,24),
     OR(C101="E",C101="F",C101="H",C101="I"),XLOOKUP("timeout_jcc_fast",Calibration!$B:$B,Calibration!$C:$C,10),
     OR(C101="G",C101="J"),XLOOKUP("timeout_duochrome_fast",Calibration!$B:$B,Calibration!$C:$C,8),
     C101="K",XLOOKUP("timeout_bino_fast",Calibration!$B:$B,Calibration!$C:$C,10),
     OR(C101="P",C101="Q",C101="R"),XLOOKUP("timeout_near_fast",Calibration!$B:$B,Calibration!$C:$C,16),
     TRUE,XLOOKUP("timeout_coarse_fast",Calibration!$B:$B,Calibration!$C:$C,24)
   ),
 AK101="Normal",
   IFS(
     OR(C101="B",C101="D"),XLOOKUP("timeout_coarse_normal",Calibration!$B:$B,Calibration!$C:$C,36),
     OR(C101="E",C101="F",C101="H",C101="I"),XLOOKUP("timeout_jcc_normal",Calibration!$B:$B,Calibration!$C:$C,14),
     OR(C101="G",C101="J"),XLOOKUP("timeout_duochrome_normal",Calibration!$B:$B,Calibration!$C:$C,10),
     C101="K",XLOOKUP("timeout_bino_normal",Calibration!$B:$B,Calibration!$C:$C,14),
     OR(C101="P",C101="Q",C101="R"),XLOOKUP("timeout_near_normal",Calibration!$B:$B,Calibration!$C:$C,22),
     TRUE,XLOOKUP("timeout_coarse_normal",Calibration!$B:$B,Calibration!$C:$C,36)
   ),
 TRUE,
   IFS(
     OR(C101="B",C101="D"),XLOOKUP("timeout_coarse_slow",Calibration!$B:$B,Calibration!$C:$C,48),
     OR(C101="E",C101="F",C101="H",C101="I"),XLOOKUP("timeout_jcc_slow",Calibration!$B:$B,Calibration!$C:$C,18),
     OR(C101="G",C101="J"),XLOOKUP("timeout_duochrome_slow",Calibration!$B:$B,Calibration!$C:$C,12),
     C101="K",XLOOKUP("timeout_bino_slow",Calibration!$B:$B,Calibration!$C:$C,18),
     OR(C101="P",C101="Q",C101="R"),XLOOKUP("timeout_near_slow",Calibration!$B:$B,Calibration!$C:$C,28),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AJ101=TRUE,"ESCALATE",
C101="A",
IF(OR(I101="NOT_READABLE",I101="BLURRY",AND(R101="20_20_20",I101="READABLE")),"B","A"),
C101="B",
IF(reEsc,"ESCALATE",IF(AY101&gt;=phaseMax,"ESCALATE",IF(AND(AV101&gt;=AW101,I101="READABLE"),"E","B"))),
C101="E",
IF(AY101&gt;=phaseMax,"ESCALATE",IF(OR(I101="SAME",I101="CANT_TELL",AD101&lt;axisTol),"F","E")),
C101="F",
IF(AY101&gt;=phaseMax,"ESCALATE",IF(AX101&gt;=powerSameN,"G","F")),
C101="G",
IF(AY101&gt;=phaseMax,"ESCALATE",IF(OR(AX101&gt;=duoEqualN,BB101&gt;=duoMax),"D","G")),
C101="D",
IF(leEsc,"ESCALATE",IF(AY101&gt;=phaseMax,"ESCALATE",IF(AND(AV101&gt;=AW101,I101="READABLE"),"H","D"))),
C101="H",
IF(AY101&gt;=phaseMax,"ESCALATE",IF(OR(I101="SAME",I101="CANT_TELL",AD101&lt;axisTol),"I","H")),
C101="I",
IF(AY101&gt;=phaseMax,"ESCALATE",IF(AX101&gt;=powerSameN,"J","I")),
C101="J",
IF(AY101&gt;=phaseMax,"ESCALATE",IF(OR(AX101&gt;=duoEqualN,BB101&gt;=duoMax),"K","J")),
C101="K",
IF(AY101&gt;=phaseMax,"ESCALATE",IF(AX101&gt;=binoSameN,IF(XLOOKUP($B101,Derived_Variables!$A:$A,Derived_Variables!$AJ:$AJ,FALSE)=TRUE,"P","END"),"K")),
C101="P",
IF(AY101&gt;=phaseMax,"ESCALATE",IF(OR(I101="READABLE",I101="SAME"),"Q","P")),
C101="Q",
IF(AY101&gt;=phaseMax,"ESCALATE",IF(OR(I101="READABLE",I101="SAME"),"R","Q")),
C101="R",
IF(AY101&gt;=phaseMax,"ESCALATE",IF(OR(I101=nearTarget,I101="SAME"),"END","R")),
TRUE,"END"
)))</f>
        <v/>
      </c>
      <c r="BD101" s="28" t="b">
        <f t="shared" si="19"/>
        <v>0</v>
      </c>
    </row>
    <row r="102" ht="15.75" customHeight="1">
      <c r="A102" s="28">
        <f t="shared" si="3"/>
        <v>101</v>
      </c>
      <c r="B102" s="28">
        <f t="shared" si="4"/>
        <v>6</v>
      </c>
      <c r="C102" s="28" t="str">
        <f t="shared" si="5"/>
        <v/>
      </c>
      <c r="D102" s="28" t="str">
        <f t="array" ref="D102">IF($I101="","",XLOOKUP(C102,FSM_State_Map!A:A,FSM_State_Map!B:B,""))</f>
        <v/>
      </c>
      <c r="E102" s="28" t="str">
        <f t="array" ref="E102">IF($I101="","",XLOOKUP(C102,FSM_State_Map!A:A,FSM_State_Map!C:C,""))</f>
        <v/>
      </c>
      <c r="F102" s="28" t="str">
        <f t="array" ref="F102">IF($I101="","",XLOOKUP(E102,Phase_UI_Map!A:A,Phase_UI_Map!B:B,""))</f>
        <v/>
      </c>
      <c r="G102" s="28" t="str">
        <f t="array" ref="G102">IF($I101="","",XLOOKUP(E102,Phase_UI_Map!A:A,Phase_UI_Map!C:C,""))</f>
        <v/>
      </c>
      <c r="H102" s="28" t="str">
        <f t="array" ref="H102">IF($I101="","",XLOOKUP(E102,Phase_UI_Map!A:A,Phase_UI_Map!D:D,""))</f>
        <v/>
      </c>
      <c r="I102" s="29"/>
      <c r="J102" s="28" t="str">
        <f>IFERROR(__xludf.DUMMYFUNCTION("IF($I101="""","""",IFERROR(INDEX(FILTER(Response_Lists!$B:$B,Response_Lists!$A:$A=$H102),1),""""))"),"")</f>
        <v/>
      </c>
      <c r="K102" s="28" t="str">
        <f>IFERROR(__xludf.DUMMYFUNCTION("IF($I101="""","""",IFERROR(INDEX(FILTER(Response_Lists!$B:$B,Response_Lists!$A:$A=$H102),2),""""))"),"")</f>
        <v/>
      </c>
      <c r="L102" s="28" t="str">
        <f>IFERROR(__xludf.DUMMYFUNCTION("IF($I101="""","""",IFERROR(INDEX(FILTER(Response_Lists!$B:$B,Response_Lists!$A:$A=$H102),3),""""))"),"")</f>
        <v/>
      </c>
      <c r="M102" s="28" t="str">
        <f>IFERROR(__xludf.DUMMYFUNCTION("IF($I101="""","""",IFERROR(INDEX(FILTER(Response_Lists!$B:$B,Response_Lists!$A:$A=$H102),4),""""))"),"")</f>
        <v/>
      </c>
      <c r="N102" s="28" t="str">
        <f>IFERROR(__xludf.DUMMYFUNCTION("IF($I101="""","""",IFERROR(INDEX(FILTER(Response_Lists!$B:$B,Response_Lists!$A:$A=$H102),5),""""))"),"")</f>
        <v/>
      </c>
      <c r="O102" s="28" t="str">
        <f>IFERROR(__xludf.DUMMYFUNCTION("IF($I101="""","""",IFERROR(INDEX(FILTER(Response_Lists!$B:$B,Response_Lists!$A:$A=$H102),6),""""))"),"")</f>
        <v/>
      </c>
      <c r="P102" s="28" t="str">
        <f t="shared" si="6"/>
        <v/>
      </c>
      <c r="Q102" s="28" t="str">
        <f t="array" ref="Q102">IF($I101="","",XLOOKUP(C102,FSM_State_Map!A:A,FSM_State_Map!D:D,""))</f>
        <v/>
      </c>
      <c r="R102" s="28" t="str">
        <f t="shared" si="7"/>
        <v/>
      </c>
      <c r="S102" s="28" t="str">
        <f t="array" ref="S102">IF($I101="","",
IF(
  AND(C102="B",C101&lt;&gt;"B"),
  XLOOKUP($B102,Derived_Variables!$A:$A,Derived_Variables!$K:$K,0)
  + XLOOKUP($B102,Derived_Variables!$A:$A,Derived_Variables!$AE:$AE,0),
  S101+AM101
))</f>
        <v/>
      </c>
      <c r="T102" s="28" t="str">
        <f t="shared" ref="T102:U102" si="214">IF($I101="","",T101+AN101)</f>
        <v/>
      </c>
      <c r="U102" s="28" t="str">
        <f t="shared" si="214"/>
        <v/>
      </c>
      <c r="V102" s="28" t="str">
        <f t="array" ref="V102">IF($I101="","",
IF(
  AND(C102="D",C101&lt;&gt;"D"),
  XLOOKUP($B102,Derived_Variables!$A:$A,Derived_Variables!$N:$N,0)
  + XLOOKUP($B102,Derived_Variables!$A:$A,Derived_Variables!$AE:$AE,0),
  V101+AP101
))</f>
        <v/>
      </c>
      <c r="W102" s="28" t="str">
        <f t="shared" ref="W102:X102" si="215">IF($I101="","",W101+AQ101)</f>
        <v/>
      </c>
      <c r="X102" s="28" t="str">
        <f t="shared" si="215"/>
        <v/>
      </c>
      <c r="Y102" s="28" t="str">
        <f t="array" ref="Y102">IF($I101="","",IF(AND(C102="P",C101&lt;&gt;"P"),IFERROR(XLOOKUP($B102,Lenso_Input!$A:$A,Lenso_Input!$E:$E,0),0),Y101+AS101))</f>
        <v/>
      </c>
      <c r="Z102" s="28" t="str">
        <f t="array" ref="Z102">IF($I101="","",IF(AND(C102="Q",C101&lt;&gt;"Q"),IFERROR(XLOOKUP($B102,Lenso_Input!$A:$A,Lenso_Input!$I:$I,0),0),Z101+AT101))</f>
        <v/>
      </c>
      <c r="AA102" s="28" t="str">
        <f t="array" ref="AA102">IF($I101="","",IF(XLOOKUP($B102,Derived_Variables!$A:$A,Derived_Variables!$R:$R,"6/6_target")="6/6_target","20_20_20","40_30_25"))</f>
        <v/>
      </c>
      <c r="AB102" s="28" t="str">
        <f t="array" ref="AB102">IF($I101="","",XLOOKUP(LOWER(XLOOKUP($B102,Derived_Variables!$A:$A,Derived_Variables!$T:$T,"Standard"))&amp;"_sph_step",Calibration!$B:$B,Calibration!$C:$C,0.25))</f>
        <v/>
      </c>
      <c r="AC102" s="28" t="str">
        <f t="array" ref="AC102">IF($I101="","",XLOOKUP(LOWER(XLOOKUP($B102,Derived_Variables!$A:$A,Derived_Variables!$T:$T,"Standard"))&amp;"_cyl_step",Calibration!$B:$B,Calibration!$C:$C,0.25))</f>
        <v/>
      </c>
      <c r="AD102" s="28" t="str">
        <f t="array" ref="AD102">IF($I101="","",IF(OR(C102="E",C102="H"),LET(startStep,XLOOKUP("axis_start_step",Calibration!$B:$B,Calibration!$C:$C,5),step1,XLOOKUP("axis_reversal_step_1",Calibration!$B:$B,Calibration!$C:$C,3),step2,XLOOKUP("axis_reversal_step_2",Calibration!$B:$B,Calibration!$C:$C,1),IF(OR(C101&lt;&gt;C102,AZ102="",AZ102="SAME",AZ102="CANT_TELL",I102="",I102="SAME",I102="CANT_TELL"),startStep,IF(OR(AND(AZ102="BETTER_1",I102="BETTER_2"),AND(AZ102="BETTER_2",I102="BETTER_1")),IF(AD101&gt;step1,step1,step2),AD101))),0))</f>
        <v/>
      </c>
      <c r="AE102" s="28" t="str">
        <f t="array" ref="AE102">IF($I101="","",XLOOKUP($B102,Derived_Variables!$A:$A,Derived_Variables!$AD:$AD,"No_Fog"))</f>
        <v/>
      </c>
      <c r="AF102" s="28" t="str">
        <f t="array" ref="AF102">IF($I101="","",XLOOKUP($B102,Derived_Variables!$A:$A,Derived_Variables!$AE:$AE,0))</f>
        <v/>
      </c>
      <c r="AG102" s="28" t="str">
        <f t="array" ref="AG102">IF($I101="","",XLOOKUP($B102,Derived_Variables!$A:$A,Derived_Variables!$AF:$AF,""))</f>
        <v/>
      </c>
      <c r="AH102" s="28" t="str">
        <f t="array" ref="AH102">IF($I101="","",XLOOKUP($B102,Derived_Variables!$A:$A,Derived_Variables!$AG:$AG,""))</f>
        <v/>
      </c>
      <c r="AI102" s="28" t="str">
        <f t="array" ref="AI102">IF($I101="","",XLOOKUP($B102,Derived_Variables!$A:$A,Derived_Variables!$AC:$AC,"Medium"))</f>
        <v/>
      </c>
      <c r="AJ102" s="28" t="str">
        <f t="array" ref="AJ102">IF($I101="","",XLOOKUP($B102,Derived_Variables!$A:$A,Derived_Variables!$Y:$Y,FALSE))</f>
        <v/>
      </c>
      <c r="AK102" s="28" t="str">
        <f t="array" ref="AK102">IF($I101="","",XLOOKUP($B102,Derived_Variables!$A:$A,Derived_Variables!$AA:$AA,"Normal"))</f>
        <v/>
      </c>
      <c r="AL102" s="28" t="str">
        <f t="array" ref="AL102">IF($I101="","",XLOOKUP($B102,Derived_Variables!$A:$A,Derived_Variables!$AB:$AB,"Normal"))</f>
        <v/>
      </c>
      <c r="AM102" s="28" t="str">
        <f t="array" ref="AM102">IF($I102="","",IFS(C102="B",IF(OR(I102="NOT_READABLE",I102="BLURRY"),-AB102,0),C102="G",IFS(I102="RED_CLEARER",XLOOKUP("duochrome_red_step",Calibration!$B:$B,Calibration!$C:$C,-0.25),I102="GREEN_CLEARER",XLOOKUP("duochrome_green_step",Calibration!$B:$B,Calibration!$C:$C,0.25),I102="EQUAL",IF(XLOOKUP($B102,Derived_Variables!$A:$A,Derived_Variables!$S:$S,"Neutral")="Undercorrect",XLOOKUP("undercorrect_step",Calibration!$B:$B,Calibration!$C:$C,0.25),IF(XLOOKUP($B102,Derived_Variables!$A:$A,Derived_Variables!$S:$S,"Neutral")="Overcorrect",-XLOOKUP("overcorrect_step",Calibration!$B:$B,Calibration!$C:$C,0.25),0)),TRUE,0),C102="K",IF(I102="TOP_CLEARER",XLOOKUP("bino_balance_step",Calibration!$B:$B,Calibration!$C:$C,0.25),0),TRUE,0))</f>
        <v/>
      </c>
      <c r="AN102" s="28" t="str">
        <f t="shared" si="10"/>
        <v/>
      </c>
      <c r="AO102" s="28" t="str">
        <f t="shared" si="11"/>
        <v/>
      </c>
      <c r="AP102" s="28" t="str">
        <f t="array" ref="AP102">IF($I102="","",IFS(C102="D",IF(OR(I102="NOT_READABLE",I102="BLURRY"),-AB102,0),C102="J",IFS(I102="RED_CLEARER",XLOOKUP("duochrome_red_step",Calibration!$B:$B,Calibration!$C:$C,-0.25),I102="GREEN_CLEARER",XLOOKUP("duochrome_green_step",Calibration!$B:$B,Calibration!$C:$C,0.25),I102="EQUAL",IF(XLOOKUP($B102,Derived_Variables!$A:$A,Derived_Variables!$S:$S,"Neutral")="Undercorrect",XLOOKUP("undercorrect_step",Calibration!$B:$B,Calibration!$C:$C,0.25),IF(XLOOKUP($B102,Derived_Variables!$A:$A,Derived_Variables!$S:$S,"Neutral")="Overcorrect",-XLOOKUP("overcorrect_step",Calibration!$B:$B,Calibration!$C:$C,0.25),0)),TRUE,0),C102="K",IF(I102="BOTTOM_CLEARER",XLOOKUP("bino_balance_step",Calibration!$B:$B,Calibration!$C:$C,0.25),0),TRUE,0))</f>
        <v/>
      </c>
      <c r="AQ102" s="28" t="str">
        <f t="shared" si="12"/>
        <v/>
      </c>
      <c r="AR102" s="28" t="str">
        <f t="shared" si="13"/>
        <v/>
      </c>
      <c r="AS102" s="28" t="str">
        <f t="array" ref="AS102">IF($I102="","",IF(C102="P",IF(OR(I102="NOT_READABLE",I102="BLURRY"),XLOOKUP("near_add_step",Calibration!$B:$B,Calibration!$C:$C,0.25),0),IF(C102="R",IF(I102="NOT_CLEAR",XLOOKUP("near_add_step",Calibration!$B:$B,Calibration!$C:$C,0.25),0),0)))</f>
        <v/>
      </c>
      <c r="AT102" s="28" t="str">
        <f t="array" ref="AT102">IF($I102="","",IF(C102="Q",IF(OR(I102="NOT_READABLE",I102="BLURRY"),XLOOKUP("near_add_step",Calibration!$B:$B,Calibration!$C:$C,0.25),0),IF(C102="R",IF(I102="NOT_CLEAR",XLOOKUP("near_add_step",Calibration!$B:$B,Calibration!$C:$C,0.25),0),0)))</f>
        <v/>
      </c>
      <c r="AU102" s="28" t="str">
        <f t="array" ref="AU102">IF($I102="","",IF(G102="SNELLEN_FEET",IF(I102="READABLE",IFERROR(XLOOKUP(XLOOKUP(R102,Chart_Scale_Distance!B:B,Chart_Scale_Distance!A:A)+1,Chart_Scale_Distance!A:A,Chart_Scale_Distance!B:B),R102),R102),R102))</f>
        <v/>
      </c>
      <c r="AV102" s="28" t="str">
        <f t="array" ref="AV102">IF($I101="","",IFERROR(XLOOKUP(R102,Chart_Scale_Distance!$B:$B,Chart_Scale_Distance!$A:$A,""),""))</f>
        <v/>
      </c>
      <c r="AW102" s="28" t="str">
        <f t="array" ref="AW102">IF($I101="","",IFERROR(XLOOKUP(AA102,Chart_Scale_Distance!$B:$B,Chart_Scale_Distance!$A:$A,""),""))</f>
        <v/>
      </c>
      <c r="AX102" s="28" t="str">
        <f t="shared" si="14"/>
        <v/>
      </c>
      <c r="AY102" s="28" t="str">
        <f t="shared" si="15"/>
        <v/>
      </c>
      <c r="AZ102" s="28" t="str">
        <f t="shared" si="16"/>
        <v/>
      </c>
      <c r="BA102" s="28" t="str">
        <f t="shared" si="17"/>
        <v/>
      </c>
      <c r="BB102" s="28" t="str">
        <f t="shared" si="18"/>
        <v/>
      </c>
      <c r="BC102" s="28" t="str">
        <f t="array" ref="BC102">IF($I102="","",LET(
conf,AI102,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duoMax,XLOOKUP($B102,Derived_Variables!$A:$A,Derived_Variables!$AI:$AI,4),
axisTol,XLOOKUP($B102,Derived_Variables!$A:$A,Derived_Variables!$W:$W,1),
maxStart,XLOOKUP($B102,Derived_Variables!$A:$A,Derived_Variables!$U:$U,1.25),
maxAR,XLOOKUP($B102,Derived_Variables!$A:$A,Derived_Variables!$V:$V,3),
anom,XLOOKUP($B102,Derived_Variables!$A:$A,Derived_Variables!$Z:$Z,FALSE),
reStart,XLOOKUP($B102,Derived_Variables!$A:$A,Derived_Variables!$K:$K,0),
leStart,XLOOKUP($B102,Derived_Variables!$A:$A,Derived_Variables!$N:$N,0),
reAR,XLOOKUP($B102,AR_Input!$A:$A,AR_Input!$B:$B,reStart),
leAR,XLOOKUP($B102,AR_Input!$A:$A,AR_Input!$E:$E,leStart),
reEsc,AND(anom,OR(ABS((S102+AM102)-reStart)&gt;maxStart,ABS((S102+AM102)-reAR)&gt;maxAR)),
leEsc,AND(anom,OR(ABS((V102+AP102)-leStart)&gt;maxStart,ABS((V102+AP102)-leAR)&gt;maxAR)),
phaseMax,IFS(
 AK102="Fast",
   IFS(
     OR(C102="B",C102="D"),XLOOKUP("timeout_coarse_fast",Calibration!$B:$B,Calibration!$C:$C,24),
     OR(C102="E",C102="F",C102="H",C102="I"),XLOOKUP("timeout_jcc_fast",Calibration!$B:$B,Calibration!$C:$C,10),
     OR(C102="G",C102="J"),XLOOKUP("timeout_duochrome_fast",Calibration!$B:$B,Calibration!$C:$C,8),
     C102="K",XLOOKUP("timeout_bino_fast",Calibration!$B:$B,Calibration!$C:$C,10),
     OR(C102="P",C102="Q",C102="R"),XLOOKUP("timeout_near_fast",Calibration!$B:$B,Calibration!$C:$C,16),
     TRUE,XLOOKUP("timeout_coarse_fast",Calibration!$B:$B,Calibration!$C:$C,24)
   ),
 AK102="Normal",
   IFS(
     OR(C102="B",C102="D"),XLOOKUP("timeout_coarse_normal",Calibration!$B:$B,Calibration!$C:$C,36),
     OR(C102="E",C102="F",C102="H",C102="I"),XLOOKUP("timeout_jcc_normal",Calibration!$B:$B,Calibration!$C:$C,14),
     OR(C102="G",C102="J"),XLOOKUP("timeout_duochrome_normal",Calibration!$B:$B,Calibration!$C:$C,10),
     C102="K",XLOOKUP("timeout_bino_normal",Calibration!$B:$B,Calibration!$C:$C,14),
     OR(C102="P",C102="Q",C102="R"),XLOOKUP("timeout_near_normal",Calibration!$B:$B,Calibration!$C:$C,22),
     TRUE,XLOOKUP("timeout_coarse_normal",Calibration!$B:$B,Calibration!$C:$C,36)
   ),
 TRUE,
   IFS(
     OR(C102="B",C102="D"),XLOOKUP("timeout_coarse_slow",Calibration!$B:$B,Calibration!$C:$C,48),
     OR(C102="E",C102="F",C102="H",C102="I"),XLOOKUP("timeout_jcc_slow",Calibration!$B:$B,Calibration!$C:$C,18),
     OR(C102="G",C102="J"),XLOOKUP("timeout_duochrome_slow",Calibration!$B:$B,Calibration!$C:$C,12),
     C102="K",XLOOKUP("timeout_bino_slow",Calibration!$B:$B,Calibration!$C:$C,18),
     OR(C102="P",C102="Q",C102="R"),XLOOKUP("timeout_near_slow",Calibration!$B:$B,Calibration!$C:$C,28),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AJ102=TRUE,"ESCALATE",
C102="A",
IF(OR(I102="NOT_READABLE",I102="BLURRY",AND(R102="20_20_20",I102="READABLE")),"B","A"),
C102="B",
IF(reEsc,"ESCALATE",IF(AY102&gt;=phaseMax,"ESCALATE",IF(AND(AV102&gt;=AW102,I102="READABLE"),"E","B"))),
C102="E",
IF(AY102&gt;=phaseMax,"ESCALATE",IF(OR(I102="SAME",I102="CANT_TELL",AD102&lt;axisTol),"F","E")),
C102="F",
IF(AY102&gt;=phaseMax,"ESCALATE",IF(AX102&gt;=powerSameN,"G","F")),
C102="G",
IF(AY102&gt;=phaseMax,"ESCALATE",IF(OR(AX102&gt;=duoEqualN,BB102&gt;=duoMax),"D","G")),
C102="D",
IF(leEsc,"ESCALATE",IF(AY102&gt;=phaseMax,"ESCALATE",IF(AND(AV102&gt;=AW102,I102="READABLE"),"H","D"))),
C102="H",
IF(AY102&gt;=phaseMax,"ESCALATE",IF(OR(I102="SAME",I102="CANT_TELL",AD102&lt;axisTol),"I","H")),
C102="I",
IF(AY102&gt;=phaseMax,"ESCALATE",IF(AX102&gt;=powerSameN,"J","I")),
C102="J",
IF(AY102&gt;=phaseMax,"ESCALATE",IF(OR(AX102&gt;=duoEqualN,BB102&gt;=duoMax),"K","J")),
C102="K",
IF(AY102&gt;=phaseMax,"ESCALATE",IF(AX102&gt;=binoSameN,IF(XLOOKUP($B102,Derived_Variables!$A:$A,Derived_Variables!$AJ:$AJ,FALSE)=TRUE,"P","END"),"K")),
C102="P",
IF(AY102&gt;=phaseMax,"ESCALATE",IF(OR(I102="READABLE",I102="SAME"),"Q","P")),
C102="Q",
IF(AY102&gt;=phaseMax,"ESCALATE",IF(OR(I102="READABLE",I102="SAME"),"R","Q")),
C102="R",
IF(AY102&gt;=phaseMax,"ESCALATE",IF(OR(I102=nearTarget,I102="SAME"),"END","R")),
TRUE,"END"
)))</f>
        <v/>
      </c>
      <c r="BD102" s="28" t="b">
        <f t="shared" si="19"/>
        <v>0</v>
      </c>
    </row>
    <row r="103" ht="15.75" customHeight="1">
      <c r="A103" s="28">
        <f t="shared" si="3"/>
        <v>102</v>
      </c>
      <c r="B103" s="28">
        <f t="shared" si="4"/>
        <v>6</v>
      </c>
      <c r="C103" s="28" t="str">
        <f t="shared" si="5"/>
        <v/>
      </c>
      <c r="D103" s="28" t="str">
        <f t="array" ref="D103">IF($I102="","",XLOOKUP(C103,FSM_State_Map!A:A,FSM_State_Map!B:B,""))</f>
        <v/>
      </c>
      <c r="E103" s="28" t="str">
        <f t="array" ref="E103">IF($I102="","",XLOOKUP(C103,FSM_State_Map!A:A,FSM_State_Map!C:C,""))</f>
        <v/>
      </c>
      <c r="F103" s="28" t="str">
        <f t="array" ref="F103">IF($I102="","",XLOOKUP(E103,Phase_UI_Map!A:A,Phase_UI_Map!B:B,""))</f>
        <v/>
      </c>
      <c r="G103" s="28" t="str">
        <f t="array" ref="G103">IF($I102="","",XLOOKUP(E103,Phase_UI_Map!A:A,Phase_UI_Map!C:C,""))</f>
        <v/>
      </c>
      <c r="H103" s="28" t="str">
        <f t="array" ref="H103">IF($I102="","",XLOOKUP(E103,Phase_UI_Map!A:A,Phase_UI_Map!D:D,""))</f>
        <v/>
      </c>
      <c r="I103" s="29"/>
      <c r="J103" s="28" t="str">
        <f>IFERROR(__xludf.DUMMYFUNCTION("IF($I102="""","""",IFERROR(INDEX(FILTER(Response_Lists!$B:$B,Response_Lists!$A:$A=$H103),1),""""))"),"")</f>
        <v/>
      </c>
      <c r="K103" s="28" t="str">
        <f>IFERROR(__xludf.DUMMYFUNCTION("IF($I102="""","""",IFERROR(INDEX(FILTER(Response_Lists!$B:$B,Response_Lists!$A:$A=$H103),2),""""))"),"")</f>
        <v/>
      </c>
      <c r="L103" s="28" t="str">
        <f>IFERROR(__xludf.DUMMYFUNCTION("IF($I102="""","""",IFERROR(INDEX(FILTER(Response_Lists!$B:$B,Response_Lists!$A:$A=$H103),3),""""))"),"")</f>
        <v/>
      </c>
      <c r="M103" s="28" t="str">
        <f>IFERROR(__xludf.DUMMYFUNCTION("IF($I102="""","""",IFERROR(INDEX(FILTER(Response_Lists!$B:$B,Response_Lists!$A:$A=$H103),4),""""))"),"")</f>
        <v/>
      </c>
      <c r="N103" s="28" t="str">
        <f>IFERROR(__xludf.DUMMYFUNCTION("IF($I102="""","""",IFERROR(INDEX(FILTER(Response_Lists!$B:$B,Response_Lists!$A:$A=$H103),5),""""))"),"")</f>
        <v/>
      </c>
      <c r="O103" s="28" t="str">
        <f>IFERROR(__xludf.DUMMYFUNCTION("IF($I102="""","""",IFERROR(INDEX(FILTER(Response_Lists!$B:$B,Response_Lists!$A:$A=$H103),6),""""))"),"")</f>
        <v/>
      </c>
      <c r="P103" s="28" t="str">
        <f t="shared" si="6"/>
        <v/>
      </c>
      <c r="Q103" s="28" t="str">
        <f t="array" ref="Q103">IF($I102="","",XLOOKUP(C103,FSM_State_Map!A:A,FSM_State_Map!D:D,""))</f>
        <v/>
      </c>
      <c r="R103" s="28" t="str">
        <f t="shared" si="7"/>
        <v/>
      </c>
      <c r="S103" s="28" t="str">
        <f t="array" ref="S103">IF($I102="","",
IF(
  AND(C103="B",C102&lt;&gt;"B"),
  XLOOKUP($B103,Derived_Variables!$A:$A,Derived_Variables!$K:$K,0)
  + XLOOKUP($B103,Derived_Variables!$A:$A,Derived_Variables!$AE:$AE,0),
  S102+AM102
))</f>
        <v/>
      </c>
      <c r="T103" s="28" t="str">
        <f t="shared" ref="T103:U103" si="216">IF($I102="","",T102+AN102)</f>
        <v/>
      </c>
      <c r="U103" s="28" t="str">
        <f t="shared" si="216"/>
        <v/>
      </c>
      <c r="V103" s="28" t="str">
        <f t="array" ref="V103">IF($I102="","",
IF(
  AND(C103="D",C102&lt;&gt;"D"),
  XLOOKUP($B103,Derived_Variables!$A:$A,Derived_Variables!$N:$N,0)
  + XLOOKUP($B103,Derived_Variables!$A:$A,Derived_Variables!$AE:$AE,0),
  V102+AP102
))</f>
        <v/>
      </c>
      <c r="W103" s="28" t="str">
        <f t="shared" ref="W103:X103" si="217">IF($I102="","",W102+AQ102)</f>
        <v/>
      </c>
      <c r="X103" s="28" t="str">
        <f t="shared" si="217"/>
        <v/>
      </c>
      <c r="Y103" s="28" t="str">
        <f t="array" ref="Y103">IF($I102="","",IF(AND(C103="P",C102&lt;&gt;"P"),IFERROR(XLOOKUP($B103,Lenso_Input!$A:$A,Lenso_Input!$E:$E,0),0),Y102+AS102))</f>
        <v/>
      </c>
      <c r="Z103" s="28" t="str">
        <f t="array" ref="Z103">IF($I102="","",IF(AND(C103="Q",C102&lt;&gt;"Q"),IFERROR(XLOOKUP($B103,Lenso_Input!$A:$A,Lenso_Input!$I:$I,0),0),Z102+AT102))</f>
        <v/>
      </c>
      <c r="AA103" s="28" t="str">
        <f t="array" ref="AA103">IF($I102="","",IF(XLOOKUP($B103,Derived_Variables!$A:$A,Derived_Variables!$R:$R,"6/6_target")="6/6_target","20_20_20","40_30_25"))</f>
        <v/>
      </c>
      <c r="AB103" s="28" t="str">
        <f t="array" ref="AB103">IF($I102="","",XLOOKUP(LOWER(XLOOKUP($B103,Derived_Variables!$A:$A,Derived_Variables!$T:$T,"Standard"))&amp;"_sph_step",Calibration!$B:$B,Calibration!$C:$C,0.25))</f>
        <v/>
      </c>
      <c r="AC103" s="28" t="str">
        <f t="array" ref="AC103">IF($I102="","",XLOOKUP(LOWER(XLOOKUP($B103,Derived_Variables!$A:$A,Derived_Variables!$T:$T,"Standard"))&amp;"_cyl_step",Calibration!$B:$B,Calibration!$C:$C,0.25))</f>
        <v/>
      </c>
      <c r="AD103" s="28" t="str">
        <f t="array" ref="AD103">IF($I102="","",IF(OR(C103="E",C103="H"),LET(startStep,XLOOKUP("axis_start_step",Calibration!$B:$B,Calibration!$C:$C,5),step1,XLOOKUP("axis_reversal_step_1",Calibration!$B:$B,Calibration!$C:$C,3),step2,XLOOKUP("axis_reversal_step_2",Calibration!$B:$B,Calibration!$C:$C,1),IF(OR(C102&lt;&gt;C103,AZ103="",AZ103="SAME",AZ103="CANT_TELL",I103="",I103="SAME",I103="CANT_TELL"),startStep,IF(OR(AND(AZ103="BETTER_1",I103="BETTER_2"),AND(AZ103="BETTER_2",I103="BETTER_1")),IF(AD102&gt;step1,step1,step2),AD102))),0))</f>
        <v/>
      </c>
      <c r="AE103" s="28" t="str">
        <f t="array" ref="AE103">IF($I102="","",XLOOKUP($B103,Derived_Variables!$A:$A,Derived_Variables!$AD:$AD,"No_Fog"))</f>
        <v/>
      </c>
      <c r="AF103" s="28" t="str">
        <f t="array" ref="AF103">IF($I102="","",XLOOKUP($B103,Derived_Variables!$A:$A,Derived_Variables!$AE:$AE,0))</f>
        <v/>
      </c>
      <c r="AG103" s="28" t="str">
        <f t="array" ref="AG103">IF($I102="","",XLOOKUP($B103,Derived_Variables!$A:$A,Derived_Variables!$AF:$AF,""))</f>
        <v/>
      </c>
      <c r="AH103" s="28" t="str">
        <f t="array" ref="AH103">IF($I102="","",XLOOKUP($B103,Derived_Variables!$A:$A,Derived_Variables!$AG:$AG,""))</f>
        <v/>
      </c>
      <c r="AI103" s="28" t="str">
        <f t="array" ref="AI103">IF($I102="","",XLOOKUP($B103,Derived_Variables!$A:$A,Derived_Variables!$AC:$AC,"Medium"))</f>
        <v/>
      </c>
      <c r="AJ103" s="28" t="str">
        <f t="array" ref="AJ103">IF($I102="","",XLOOKUP($B103,Derived_Variables!$A:$A,Derived_Variables!$Y:$Y,FALSE))</f>
        <v/>
      </c>
      <c r="AK103" s="28" t="str">
        <f t="array" ref="AK103">IF($I102="","",XLOOKUP($B103,Derived_Variables!$A:$A,Derived_Variables!$AA:$AA,"Normal"))</f>
        <v/>
      </c>
      <c r="AL103" s="28" t="str">
        <f t="array" ref="AL103">IF($I102="","",XLOOKUP($B103,Derived_Variables!$A:$A,Derived_Variables!$AB:$AB,"Normal"))</f>
        <v/>
      </c>
      <c r="AM103" s="28" t="str">
        <f t="array" ref="AM103">IF($I103="","",IFS(C103="B",IF(OR(I103="NOT_READABLE",I103="BLURRY"),-AB103,0),C103="G",IFS(I103="RED_CLEARER",XLOOKUP("duochrome_red_step",Calibration!$B:$B,Calibration!$C:$C,-0.25),I103="GREEN_CLEARER",XLOOKUP("duochrome_green_step",Calibration!$B:$B,Calibration!$C:$C,0.25),I103="EQUAL",IF(XLOOKUP($B103,Derived_Variables!$A:$A,Derived_Variables!$S:$S,"Neutral")="Undercorrect",XLOOKUP("undercorrect_step",Calibration!$B:$B,Calibration!$C:$C,0.25),IF(XLOOKUP($B103,Derived_Variables!$A:$A,Derived_Variables!$S:$S,"Neutral")="Overcorrect",-XLOOKUP("overcorrect_step",Calibration!$B:$B,Calibration!$C:$C,0.25),0)),TRUE,0),C103="K",IF(I103="TOP_CLEARER",XLOOKUP("bino_balance_step",Calibration!$B:$B,Calibration!$C:$C,0.25),0),TRUE,0))</f>
        <v/>
      </c>
      <c r="AN103" s="28" t="str">
        <f t="shared" si="10"/>
        <v/>
      </c>
      <c r="AO103" s="28" t="str">
        <f t="shared" si="11"/>
        <v/>
      </c>
      <c r="AP103" s="28" t="str">
        <f t="array" ref="AP103">IF($I103="","",IFS(C103="D",IF(OR(I103="NOT_READABLE",I103="BLURRY"),-AB103,0),C103="J",IFS(I103="RED_CLEARER",XLOOKUP("duochrome_red_step",Calibration!$B:$B,Calibration!$C:$C,-0.25),I103="GREEN_CLEARER",XLOOKUP("duochrome_green_step",Calibration!$B:$B,Calibration!$C:$C,0.25),I103="EQUAL",IF(XLOOKUP($B103,Derived_Variables!$A:$A,Derived_Variables!$S:$S,"Neutral")="Undercorrect",XLOOKUP("undercorrect_step",Calibration!$B:$B,Calibration!$C:$C,0.25),IF(XLOOKUP($B103,Derived_Variables!$A:$A,Derived_Variables!$S:$S,"Neutral")="Overcorrect",-XLOOKUP("overcorrect_step",Calibration!$B:$B,Calibration!$C:$C,0.25),0)),TRUE,0),C103="K",IF(I103="BOTTOM_CLEARER",XLOOKUP("bino_balance_step",Calibration!$B:$B,Calibration!$C:$C,0.25),0),TRUE,0))</f>
        <v/>
      </c>
      <c r="AQ103" s="28" t="str">
        <f t="shared" si="12"/>
        <v/>
      </c>
      <c r="AR103" s="28" t="str">
        <f t="shared" si="13"/>
        <v/>
      </c>
      <c r="AS103" s="28" t="str">
        <f t="array" ref="AS103">IF($I103="","",IF(C103="P",IF(OR(I103="NOT_READABLE",I103="BLURRY"),XLOOKUP("near_add_step",Calibration!$B:$B,Calibration!$C:$C,0.25),0),IF(C103="R",IF(I103="NOT_CLEAR",XLOOKUP("near_add_step",Calibration!$B:$B,Calibration!$C:$C,0.25),0),0)))</f>
        <v/>
      </c>
      <c r="AT103" s="28" t="str">
        <f t="array" ref="AT103">IF($I103="","",IF(C103="Q",IF(OR(I103="NOT_READABLE",I103="BLURRY"),XLOOKUP("near_add_step",Calibration!$B:$B,Calibration!$C:$C,0.25),0),IF(C103="R",IF(I103="NOT_CLEAR",XLOOKUP("near_add_step",Calibration!$B:$B,Calibration!$C:$C,0.25),0),0)))</f>
        <v/>
      </c>
      <c r="AU103" s="28" t="str">
        <f t="array" ref="AU103">IF($I103="","",IF(G103="SNELLEN_FEET",IF(I103="READABLE",IFERROR(XLOOKUP(XLOOKUP(R103,Chart_Scale_Distance!B:B,Chart_Scale_Distance!A:A)+1,Chart_Scale_Distance!A:A,Chart_Scale_Distance!B:B),R103),R103),R103))</f>
        <v/>
      </c>
      <c r="AV103" s="28" t="str">
        <f t="array" ref="AV103">IF($I102="","",IFERROR(XLOOKUP(R103,Chart_Scale_Distance!$B:$B,Chart_Scale_Distance!$A:$A,""),""))</f>
        <v/>
      </c>
      <c r="AW103" s="28" t="str">
        <f t="array" ref="AW103">IF($I102="","",IFERROR(XLOOKUP(AA103,Chart_Scale_Distance!$B:$B,Chart_Scale_Distance!$A:$A,""),""))</f>
        <v/>
      </c>
      <c r="AX103" s="28" t="str">
        <f t="shared" si="14"/>
        <v/>
      </c>
      <c r="AY103" s="28" t="str">
        <f t="shared" si="15"/>
        <v/>
      </c>
      <c r="AZ103" s="28" t="str">
        <f t="shared" si="16"/>
        <v/>
      </c>
      <c r="BA103" s="28" t="str">
        <f t="shared" si="17"/>
        <v/>
      </c>
      <c r="BB103" s="28" t="str">
        <f t="shared" si="18"/>
        <v/>
      </c>
      <c r="BC103" s="28" t="str">
        <f t="array" ref="BC103">IF($I103="","",LET(
conf,AI103,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duoMax,XLOOKUP($B103,Derived_Variables!$A:$A,Derived_Variables!$AI:$AI,4),
axisTol,XLOOKUP($B103,Derived_Variables!$A:$A,Derived_Variables!$W:$W,1),
maxStart,XLOOKUP($B103,Derived_Variables!$A:$A,Derived_Variables!$U:$U,1.25),
maxAR,XLOOKUP($B103,Derived_Variables!$A:$A,Derived_Variables!$V:$V,3),
anom,XLOOKUP($B103,Derived_Variables!$A:$A,Derived_Variables!$Z:$Z,FALSE),
reStart,XLOOKUP($B103,Derived_Variables!$A:$A,Derived_Variables!$K:$K,0),
leStart,XLOOKUP($B103,Derived_Variables!$A:$A,Derived_Variables!$N:$N,0),
reAR,XLOOKUP($B103,AR_Input!$A:$A,AR_Input!$B:$B,reStart),
leAR,XLOOKUP($B103,AR_Input!$A:$A,AR_Input!$E:$E,leStart),
reEsc,AND(anom,OR(ABS((S103+AM103)-reStart)&gt;maxStart,ABS((S103+AM103)-reAR)&gt;maxAR)),
leEsc,AND(anom,OR(ABS((V103+AP103)-leStart)&gt;maxStart,ABS((V103+AP103)-leAR)&gt;maxAR)),
phaseMax,IFS(
 AK103="Fast",
   IFS(
     OR(C103="B",C103="D"),XLOOKUP("timeout_coarse_fast",Calibration!$B:$B,Calibration!$C:$C,24),
     OR(C103="E",C103="F",C103="H",C103="I"),XLOOKUP("timeout_jcc_fast",Calibration!$B:$B,Calibration!$C:$C,10),
     OR(C103="G",C103="J"),XLOOKUP("timeout_duochrome_fast",Calibration!$B:$B,Calibration!$C:$C,8),
     C103="K",XLOOKUP("timeout_bino_fast",Calibration!$B:$B,Calibration!$C:$C,10),
     OR(C103="P",C103="Q",C103="R"),XLOOKUP("timeout_near_fast",Calibration!$B:$B,Calibration!$C:$C,16),
     TRUE,XLOOKUP("timeout_coarse_fast",Calibration!$B:$B,Calibration!$C:$C,24)
   ),
 AK103="Normal",
   IFS(
     OR(C103="B",C103="D"),XLOOKUP("timeout_coarse_normal",Calibration!$B:$B,Calibration!$C:$C,36),
     OR(C103="E",C103="F",C103="H",C103="I"),XLOOKUP("timeout_jcc_normal",Calibration!$B:$B,Calibration!$C:$C,14),
     OR(C103="G",C103="J"),XLOOKUP("timeout_duochrome_normal",Calibration!$B:$B,Calibration!$C:$C,10),
     C103="K",XLOOKUP("timeout_bino_normal",Calibration!$B:$B,Calibration!$C:$C,14),
     OR(C103="P",C103="Q",C103="R"),XLOOKUP("timeout_near_normal",Calibration!$B:$B,Calibration!$C:$C,22),
     TRUE,XLOOKUP("timeout_coarse_normal",Calibration!$B:$B,Calibration!$C:$C,36)
   ),
 TRUE,
   IFS(
     OR(C103="B",C103="D"),XLOOKUP("timeout_coarse_slow",Calibration!$B:$B,Calibration!$C:$C,48),
     OR(C103="E",C103="F",C103="H",C103="I"),XLOOKUP("timeout_jcc_slow",Calibration!$B:$B,Calibration!$C:$C,18),
     OR(C103="G",C103="J"),XLOOKUP("timeout_duochrome_slow",Calibration!$B:$B,Calibration!$C:$C,12),
     C103="K",XLOOKUP("timeout_bino_slow",Calibration!$B:$B,Calibration!$C:$C,18),
     OR(C103="P",C103="Q",C103="R"),XLOOKUP("timeout_near_slow",Calibration!$B:$B,Calibration!$C:$C,28),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AJ103=TRUE,"ESCALATE",
C103="A",
IF(OR(I103="NOT_READABLE",I103="BLURRY",AND(R103="20_20_20",I103="READABLE")),"B","A"),
C103="B",
IF(reEsc,"ESCALATE",IF(AY103&gt;=phaseMax,"ESCALATE",IF(AND(AV103&gt;=AW103,I103="READABLE"),"E","B"))),
C103="E",
IF(AY103&gt;=phaseMax,"ESCALATE",IF(OR(I103="SAME",I103="CANT_TELL",AD103&lt;axisTol),"F","E")),
C103="F",
IF(AY103&gt;=phaseMax,"ESCALATE",IF(AX103&gt;=powerSameN,"G","F")),
C103="G",
IF(AY103&gt;=phaseMax,"ESCALATE",IF(OR(AX103&gt;=duoEqualN,BB103&gt;=duoMax),"D","G")),
C103="D",
IF(leEsc,"ESCALATE",IF(AY103&gt;=phaseMax,"ESCALATE",IF(AND(AV103&gt;=AW103,I103="READABLE"),"H","D"))),
C103="H",
IF(AY103&gt;=phaseMax,"ESCALATE",IF(OR(I103="SAME",I103="CANT_TELL",AD103&lt;axisTol),"I","H")),
C103="I",
IF(AY103&gt;=phaseMax,"ESCALATE",IF(AX103&gt;=powerSameN,"J","I")),
C103="J",
IF(AY103&gt;=phaseMax,"ESCALATE",IF(OR(AX103&gt;=duoEqualN,BB103&gt;=duoMax),"K","J")),
C103="K",
IF(AY103&gt;=phaseMax,"ESCALATE",IF(AX103&gt;=binoSameN,IF(XLOOKUP($B103,Derived_Variables!$A:$A,Derived_Variables!$AJ:$AJ,FALSE)=TRUE,"P","END"),"K")),
C103="P",
IF(AY103&gt;=phaseMax,"ESCALATE",IF(OR(I103="READABLE",I103="SAME"),"Q","P")),
C103="Q",
IF(AY103&gt;=phaseMax,"ESCALATE",IF(OR(I103="READABLE",I103="SAME"),"R","Q")),
C103="R",
IF(AY103&gt;=phaseMax,"ESCALATE",IF(OR(I103=nearTarget,I103="SAME"),"END","R")),
TRUE,"END"
)))</f>
        <v/>
      </c>
      <c r="BD103" s="28" t="b">
        <f t="shared" si="19"/>
        <v>0</v>
      </c>
    </row>
    <row r="104" ht="15.75" customHeight="1">
      <c r="A104" s="28">
        <f t="shared" si="3"/>
        <v>103</v>
      </c>
      <c r="B104" s="28">
        <f t="shared" si="4"/>
        <v>6</v>
      </c>
      <c r="C104" s="28" t="str">
        <f t="shared" si="5"/>
        <v/>
      </c>
      <c r="D104" s="28" t="str">
        <f t="array" ref="D104">IF($I103="","",XLOOKUP(C104,FSM_State_Map!A:A,FSM_State_Map!B:B,""))</f>
        <v/>
      </c>
      <c r="E104" s="28" t="str">
        <f t="array" ref="E104">IF($I103="","",XLOOKUP(C104,FSM_State_Map!A:A,FSM_State_Map!C:C,""))</f>
        <v/>
      </c>
      <c r="F104" s="28" t="str">
        <f t="array" ref="F104">IF($I103="","",XLOOKUP(E104,Phase_UI_Map!A:A,Phase_UI_Map!B:B,""))</f>
        <v/>
      </c>
      <c r="G104" s="28" t="str">
        <f t="array" ref="G104">IF($I103="","",XLOOKUP(E104,Phase_UI_Map!A:A,Phase_UI_Map!C:C,""))</f>
        <v/>
      </c>
      <c r="H104" s="28" t="str">
        <f t="array" ref="H104">IF($I103="","",XLOOKUP(E104,Phase_UI_Map!A:A,Phase_UI_Map!D:D,""))</f>
        <v/>
      </c>
      <c r="I104" s="29"/>
      <c r="J104" s="28" t="str">
        <f>IFERROR(__xludf.DUMMYFUNCTION("IF($I103="""","""",IFERROR(INDEX(FILTER(Response_Lists!$B:$B,Response_Lists!$A:$A=$H104),1),""""))"),"")</f>
        <v/>
      </c>
      <c r="K104" s="28" t="str">
        <f>IFERROR(__xludf.DUMMYFUNCTION("IF($I103="""","""",IFERROR(INDEX(FILTER(Response_Lists!$B:$B,Response_Lists!$A:$A=$H104),2),""""))"),"")</f>
        <v/>
      </c>
      <c r="L104" s="28" t="str">
        <f>IFERROR(__xludf.DUMMYFUNCTION("IF($I103="""","""",IFERROR(INDEX(FILTER(Response_Lists!$B:$B,Response_Lists!$A:$A=$H104),3),""""))"),"")</f>
        <v/>
      </c>
      <c r="M104" s="28" t="str">
        <f>IFERROR(__xludf.DUMMYFUNCTION("IF($I103="""","""",IFERROR(INDEX(FILTER(Response_Lists!$B:$B,Response_Lists!$A:$A=$H104),4),""""))"),"")</f>
        <v/>
      </c>
      <c r="N104" s="28" t="str">
        <f>IFERROR(__xludf.DUMMYFUNCTION("IF($I103="""","""",IFERROR(INDEX(FILTER(Response_Lists!$B:$B,Response_Lists!$A:$A=$H104),5),""""))"),"")</f>
        <v/>
      </c>
      <c r="O104" s="28" t="str">
        <f>IFERROR(__xludf.DUMMYFUNCTION("IF($I103="""","""",IFERROR(INDEX(FILTER(Response_Lists!$B:$B,Response_Lists!$A:$A=$H104),6),""""))"),"")</f>
        <v/>
      </c>
      <c r="P104" s="28" t="str">
        <f t="shared" si="6"/>
        <v/>
      </c>
      <c r="Q104" s="28" t="str">
        <f t="array" ref="Q104">IF($I103="","",XLOOKUP(C104,FSM_State_Map!A:A,FSM_State_Map!D:D,""))</f>
        <v/>
      </c>
      <c r="R104" s="28" t="str">
        <f t="shared" si="7"/>
        <v/>
      </c>
      <c r="S104" s="28" t="str">
        <f t="array" ref="S104">IF($I103="","",
IF(
  AND(C104="B",C103&lt;&gt;"B"),
  XLOOKUP($B104,Derived_Variables!$A:$A,Derived_Variables!$K:$K,0)
  + XLOOKUP($B104,Derived_Variables!$A:$A,Derived_Variables!$AE:$AE,0),
  S103+AM103
))</f>
        <v/>
      </c>
      <c r="T104" s="28" t="str">
        <f t="shared" ref="T104:U104" si="218">IF($I103="","",T103+AN103)</f>
        <v/>
      </c>
      <c r="U104" s="28" t="str">
        <f t="shared" si="218"/>
        <v/>
      </c>
      <c r="V104" s="28" t="str">
        <f t="array" ref="V104">IF($I103="","",
IF(
  AND(C104="D",C103&lt;&gt;"D"),
  XLOOKUP($B104,Derived_Variables!$A:$A,Derived_Variables!$N:$N,0)
  + XLOOKUP($B104,Derived_Variables!$A:$A,Derived_Variables!$AE:$AE,0),
  V103+AP103
))</f>
        <v/>
      </c>
      <c r="W104" s="28" t="str">
        <f t="shared" ref="W104:X104" si="219">IF($I103="","",W103+AQ103)</f>
        <v/>
      </c>
      <c r="X104" s="28" t="str">
        <f t="shared" si="219"/>
        <v/>
      </c>
      <c r="Y104" s="28" t="str">
        <f t="array" ref="Y104">IF($I103="","",IF(AND(C104="P",C103&lt;&gt;"P"),IFERROR(XLOOKUP($B104,Lenso_Input!$A:$A,Lenso_Input!$E:$E,0),0),Y103+AS103))</f>
        <v/>
      </c>
      <c r="Z104" s="28" t="str">
        <f t="array" ref="Z104">IF($I103="","",IF(AND(C104="Q",C103&lt;&gt;"Q"),IFERROR(XLOOKUP($B104,Lenso_Input!$A:$A,Lenso_Input!$I:$I,0),0),Z103+AT103))</f>
        <v/>
      </c>
      <c r="AA104" s="28" t="str">
        <f t="array" ref="AA104">IF($I103="","",IF(XLOOKUP($B104,Derived_Variables!$A:$A,Derived_Variables!$R:$R,"6/6_target")="6/6_target","20_20_20","40_30_25"))</f>
        <v/>
      </c>
      <c r="AB104" s="28" t="str">
        <f t="array" ref="AB104">IF($I103="","",XLOOKUP(LOWER(XLOOKUP($B104,Derived_Variables!$A:$A,Derived_Variables!$T:$T,"Standard"))&amp;"_sph_step",Calibration!$B:$B,Calibration!$C:$C,0.25))</f>
        <v/>
      </c>
      <c r="AC104" s="28" t="str">
        <f t="array" ref="AC104">IF($I103="","",XLOOKUP(LOWER(XLOOKUP($B104,Derived_Variables!$A:$A,Derived_Variables!$T:$T,"Standard"))&amp;"_cyl_step",Calibration!$B:$B,Calibration!$C:$C,0.25))</f>
        <v/>
      </c>
      <c r="AD104" s="28" t="str">
        <f t="array" ref="AD104">IF($I103="","",IF(OR(C104="E",C104="H"),LET(startStep,XLOOKUP("axis_start_step",Calibration!$B:$B,Calibration!$C:$C,5),step1,XLOOKUP("axis_reversal_step_1",Calibration!$B:$B,Calibration!$C:$C,3),step2,XLOOKUP("axis_reversal_step_2",Calibration!$B:$B,Calibration!$C:$C,1),IF(OR(C103&lt;&gt;C104,AZ104="",AZ104="SAME",AZ104="CANT_TELL",I104="",I104="SAME",I104="CANT_TELL"),startStep,IF(OR(AND(AZ104="BETTER_1",I104="BETTER_2"),AND(AZ104="BETTER_2",I104="BETTER_1")),IF(AD103&gt;step1,step1,step2),AD103))),0))</f>
        <v/>
      </c>
      <c r="AE104" s="28" t="str">
        <f t="array" ref="AE104">IF($I103="","",XLOOKUP($B104,Derived_Variables!$A:$A,Derived_Variables!$AD:$AD,"No_Fog"))</f>
        <v/>
      </c>
      <c r="AF104" s="28" t="str">
        <f t="array" ref="AF104">IF($I103="","",XLOOKUP($B104,Derived_Variables!$A:$A,Derived_Variables!$AE:$AE,0))</f>
        <v/>
      </c>
      <c r="AG104" s="28" t="str">
        <f t="array" ref="AG104">IF($I103="","",XLOOKUP($B104,Derived_Variables!$A:$A,Derived_Variables!$AF:$AF,""))</f>
        <v/>
      </c>
      <c r="AH104" s="28" t="str">
        <f t="array" ref="AH104">IF($I103="","",XLOOKUP($B104,Derived_Variables!$A:$A,Derived_Variables!$AG:$AG,""))</f>
        <v/>
      </c>
      <c r="AI104" s="28" t="str">
        <f t="array" ref="AI104">IF($I103="","",XLOOKUP($B104,Derived_Variables!$A:$A,Derived_Variables!$AC:$AC,"Medium"))</f>
        <v/>
      </c>
      <c r="AJ104" s="28" t="str">
        <f t="array" ref="AJ104">IF($I103="","",XLOOKUP($B104,Derived_Variables!$A:$A,Derived_Variables!$Y:$Y,FALSE))</f>
        <v/>
      </c>
      <c r="AK104" s="28" t="str">
        <f t="array" ref="AK104">IF($I103="","",XLOOKUP($B104,Derived_Variables!$A:$A,Derived_Variables!$AA:$AA,"Normal"))</f>
        <v/>
      </c>
      <c r="AL104" s="28" t="str">
        <f t="array" ref="AL104">IF($I103="","",XLOOKUP($B104,Derived_Variables!$A:$A,Derived_Variables!$AB:$AB,"Normal"))</f>
        <v/>
      </c>
      <c r="AM104" s="28" t="str">
        <f t="array" ref="AM104">IF($I104="","",IFS(C104="B",IF(OR(I104="NOT_READABLE",I104="BLURRY"),-AB104,0),C104="G",IFS(I104="RED_CLEARER",XLOOKUP("duochrome_red_step",Calibration!$B:$B,Calibration!$C:$C,-0.25),I104="GREEN_CLEARER",XLOOKUP("duochrome_green_step",Calibration!$B:$B,Calibration!$C:$C,0.25),I104="EQUAL",IF(XLOOKUP($B104,Derived_Variables!$A:$A,Derived_Variables!$S:$S,"Neutral")="Undercorrect",XLOOKUP("undercorrect_step",Calibration!$B:$B,Calibration!$C:$C,0.25),IF(XLOOKUP($B104,Derived_Variables!$A:$A,Derived_Variables!$S:$S,"Neutral")="Overcorrect",-XLOOKUP("overcorrect_step",Calibration!$B:$B,Calibration!$C:$C,0.25),0)),TRUE,0),C104="K",IF(I104="TOP_CLEARER",XLOOKUP("bino_balance_step",Calibration!$B:$B,Calibration!$C:$C,0.25),0),TRUE,0))</f>
        <v/>
      </c>
      <c r="AN104" s="28" t="str">
        <f t="shared" si="10"/>
        <v/>
      </c>
      <c r="AO104" s="28" t="str">
        <f t="shared" si="11"/>
        <v/>
      </c>
      <c r="AP104" s="28" t="str">
        <f t="array" ref="AP104">IF($I104="","",IFS(C104="D",IF(OR(I104="NOT_READABLE",I104="BLURRY"),-AB104,0),C104="J",IFS(I104="RED_CLEARER",XLOOKUP("duochrome_red_step",Calibration!$B:$B,Calibration!$C:$C,-0.25),I104="GREEN_CLEARER",XLOOKUP("duochrome_green_step",Calibration!$B:$B,Calibration!$C:$C,0.25),I104="EQUAL",IF(XLOOKUP($B104,Derived_Variables!$A:$A,Derived_Variables!$S:$S,"Neutral")="Undercorrect",XLOOKUP("undercorrect_step",Calibration!$B:$B,Calibration!$C:$C,0.25),IF(XLOOKUP($B104,Derived_Variables!$A:$A,Derived_Variables!$S:$S,"Neutral")="Overcorrect",-XLOOKUP("overcorrect_step",Calibration!$B:$B,Calibration!$C:$C,0.25),0)),TRUE,0),C104="K",IF(I104="BOTTOM_CLEARER",XLOOKUP("bino_balance_step",Calibration!$B:$B,Calibration!$C:$C,0.25),0),TRUE,0))</f>
        <v/>
      </c>
      <c r="AQ104" s="28" t="str">
        <f t="shared" si="12"/>
        <v/>
      </c>
      <c r="AR104" s="28" t="str">
        <f t="shared" si="13"/>
        <v/>
      </c>
      <c r="AS104" s="28" t="str">
        <f t="array" ref="AS104">IF($I104="","",IF(C104="P",IF(OR(I104="NOT_READABLE",I104="BLURRY"),XLOOKUP("near_add_step",Calibration!$B:$B,Calibration!$C:$C,0.25),0),IF(C104="R",IF(I104="NOT_CLEAR",XLOOKUP("near_add_step",Calibration!$B:$B,Calibration!$C:$C,0.25),0),0)))</f>
        <v/>
      </c>
      <c r="AT104" s="28" t="str">
        <f t="array" ref="AT104">IF($I104="","",IF(C104="Q",IF(OR(I104="NOT_READABLE",I104="BLURRY"),XLOOKUP("near_add_step",Calibration!$B:$B,Calibration!$C:$C,0.25),0),IF(C104="R",IF(I104="NOT_CLEAR",XLOOKUP("near_add_step",Calibration!$B:$B,Calibration!$C:$C,0.25),0),0)))</f>
        <v/>
      </c>
      <c r="AU104" s="28" t="str">
        <f t="array" ref="AU104">IF($I104="","",IF(G104="SNELLEN_FEET",IF(I104="READABLE",IFERROR(XLOOKUP(XLOOKUP(R104,Chart_Scale_Distance!B:B,Chart_Scale_Distance!A:A)+1,Chart_Scale_Distance!A:A,Chart_Scale_Distance!B:B),R104),R104),R104))</f>
        <v/>
      </c>
      <c r="AV104" s="28" t="str">
        <f t="array" ref="AV104">IF($I103="","",IFERROR(XLOOKUP(R104,Chart_Scale_Distance!$B:$B,Chart_Scale_Distance!$A:$A,""),""))</f>
        <v/>
      </c>
      <c r="AW104" s="28" t="str">
        <f t="array" ref="AW104">IF($I103="","",IFERROR(XLOOKUP(AA104,Chart_Scale_Distance!$B:$B,Chart_Scale_Distance!$A:$A,""),""))</f>
        <v/>
      </c>
      <c r="AX104" s="28" t="str">
        <f t="shared" si="14"/>
        <v/>
      </c>
      <c r="AY104" s="28" t="str">
        <f t="shared" si="15"/>
        <v/>
      </c>
      <c r="AZ104" s="28" t="str">
        <f t="shared" si="16"/>
        <v/>
      </c>
      <c r="BA104" s="28" t="str">
        <f t="shared" si="17"/>
        <v/>
      </c>
      <c r="BB104" s="28" t="str">
        <f t="shared" si="18"/>
        <v/>
      </c>
      <c r="BC104" s="28" t="str">
        <f t="array" ref="BC104">IF($I104="","",LET(
conf,AI104,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duoMax,XLOOKUP($B104,Derived_Variables!$A:$A,Derived_Variables!$AI:$AI,4),
axisTol,XLOOKUP($B104,Derived_Variables!$A:$A,Derived_Variables!$W:$W,1),
maxStart,XLOOKUP($B104,Derived_Variables!$A:$A,Derived_Variables!$U:$U,1.25),
maxAR,XLOOKUP($B104,Derived_Variables!$A:$A,Derived_Variables!$V:$V,3),
anom,XLOOKUP($B104,Derived_Variables!$A:$A,Derived_Variables!$Z:$Z,FALSE),
reStart,XLOOKUP($B104,Derived_Variables!$A:$A,Derived_Variables!$K:$K,0),
leStart,XLOOKUP($B104,Derived_Variables!$A:$A,Derived_Variables!$N:$N,0),
reAR,XLOOKUP($B104,AR_Input!$A:$A,AR_Input!$B:$B,reStart),
leAR,XLOOKUP($B104,AR_Input!$A:$A,AR_Input!$E:$E,leStart),
reEsc,AND(anom,OR(ABS((S104+AM104)-reStart)&gt;maxStart,ABS((S104+AM104)-reAR)&gt;maxAR)),
leEsc,AND(anom,OR(ABS((V104+AP104)-leStart)&gt;maxStart,ABS((V104+AP104)-leAR)&gt;maxAR)),
phaseMax,IFS(
 AK104="Fast",
   IFS(
     OR(C104="B",C104="D"),XLOOKUP("timeout_coarse_fast",Calibration!$B:$B,Calibration!$C:$C,24),
     OR(C104="E",C104="F",C104="H",C104="I"),XLOOKUP("timeout_jcc_fast",Calibration!$B:$B,Calibration!$C:$C,10),
     OR(C104="G",C104="J"),XLOOKUP("timeout_duochrome_fast",Calibration!$B:$B,Calibration!$C:$C,8),
     C104="K",XLOOKUP("timeout_bino_fast",Calibration!$B:$B,Calibration!$C:$C,10),
     OR(C104="P",C104="Q",C104="R"),XLOOKUP("timeout_near_fast",Calibration!$B:$B,Calibration!$C:$C,16),
     TRUE,XLOOKUP("timeout_coarse_fast",Calibration!$B:$B,Calibration!$C:$C,24)
   ),
 AK104="Normal",
   IFS(
     OR(C104="B",C104="D"),XLOOKUP("timeout_coarse_normal",Calibration!$B:$B,Calibration!$C:$C,36),
     OR(C104="E",C104="F",C104="H",C104="I"),XLOOKUP("timeout_jcc_normal",Calibration!$B:$B,Calibration!$C:$C,14),
     OR(C104="G",C104="J"),XLOOKUP("timeout_duochrome_normal",Calibration!$B:$B,Calibration!$C:$C,10),
     C104="K",XLOOKUP("timeout_bino_normal",Calibration!$B:$B,Calibration!$C:$C,14),
     OR(C104="P",C104="Q",C104="R"),XLOOKUP("timeout_near_normal",Calibration!$B:$B,Calibration!$C:$C,22),
     TRUE,XLOOKUP("timeout_coarse_normal",Calibration!$B:$B,Calibration!$C:$C,36)
   ),
 TRUE,
   IFS(
     OR(C104="B",C104="D"),XLOOKUP("timeout_coarse_slow",Calibration!$B:$B,Calibration!$C:$C,48),
     OR(C104="E",C104="F",C104="H",C104="I"),XLOOKUP("timeout_jcc_slow",Calibration!$B:$B,Calibration!$C:$C,18),
     OR(C104="G",C104="J"),XLOOKUP("timeout_duochrome_slow",Calibration!$B:$B,Calibration!$C:$C,12),
     C104="K",XLOOKUP("timeout_bino_slow",Calibration!$B:$B,Calibration!$C:$C,18),
     OR(C104="P",C104="Q",C104="R"),XLOOKUP("timeout_near_slow",Calibration!$B:$B,Calibration!$C:$C,28),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AJ104=TRUE,"ESCALATE",
C104="A",
IF(OR(I104="NOT_READABLE",I104="BLURRY",AND(R104="20_20_20",I104="READABLE")),"B","A"),
C104="B",
IF(reEsc,"ESCALATE",IF(AY104&gt;=phaseMax,"ESCALATE",IF(AND(AV104&gt;=AW104,I104="READABLE"),"E","B"))),
C104="E",
IF(AY104&gt;=phaseMax,"ESCALATE",IF(OR(I104="SAME",I104="CANT_TELL",AD104&lt;axisTol),"F","E")),
C104="F",
IF(AY104&gt;=phaseMax,"ESCALATE",IF(AX104&gt;=powerSameN,"G","F")),
C104="G",
IF(AY104&gt;=phaseMax,"ESCALATE",IF(OR(AX104&gt;=duoEqualN,BB104&gt;=duoMax),"D","G")),
C104="D",
IF(leEsc,"ESCALATE",IF(AY104&gt;=phaseMax,"ESCALATE",IF(AND(AV104&gt;=AW104,I104="READABLE"),"H","D"))),
C104="H",
IF(AY104&gt;=phaseMax,"ESCALATE",IF(OR(I104="SAME",I104="CANT_TELL",AD104&lt;axisTol),"I","H")),
C104="I",
IF(AY104&gt;=phaseMax,"ESCALATE",IF(AX104&gt;=powerSameN,"J","I")),
C104="J",
IF(AY104&gt;=phaseMax,"ESCALATE",IF(OR(AX104&gt;=duoEqualN,BB104&gt;=duoMax),"K","J")),
C104="K",
IF(AY104&gt;=phaseMax,"ESCALATE",IF(AX104&gt;=binoSameN,IF(XLOOKUP($B104,Derived_Variables!$A:$A,Derived_Variables!$AJ:$AJ,FALSE)=TRUE,"P","END"),"K")),
C104="P",
IF(AY104&gt;=phaseMax,"ESCALATE",IF(OR(I104="READABLE",I104="SAME"),"Q","P")),
C104="Q",
IF(AY104&gt;=phaseMax,"ESCALATE",IF(OR(I104="READABLE",I104="SAME"),"R","Q")),
C104="R",
IF(AY104&gt;=phaseMax,"ESCALATE",IF(OR(I104=nearTarget,I104="SAME"),"END","R")),
TRUE,"END"
)))</f>
        <v/>
      </c>
      <c r="BD104" s="28" t="b">
        <f t="shared" si="19"/>
        <v>0</v>
      </c>
    </row>
    <row r="105" ht="15.75" customHeight="1">
      <c r="A105" s="28">
        <f t="shared" si="3"/>
        <v>104</v>
      </c>
      <c r="B105" s="28">
        <f t="shared" si="4"/>
        <v>6</v>
      </c>
      <c r="C105" s="28" t="str">
        <f t="shared" si="5"/>
        <v/>
      </c>
      <c r="D105" s="28" t="str">
        <f t="array" ref="D105">IF($I104="","",XLOOKUP(C105,FSM_State_Map!A:A,FSM_State_Map!B:B,""))</f>
        <v/>
      </c>
      <c r="E105" s="28" t="str">
        <f t="array" ref="E105">IF($I104="","",XLOOKUP(C105,FSM_State_Map!A:A,FSM_State_Map!C:C,""))</f>
        <v/>
      </c>
      <c r="F105" s="28" t="str">
        <f t="array" ref="F105">IF($I104="","",XLOOKUP(E105,Phase_UI_Map!A:A,Phase_UI_Map!B:B,""))</f>
        <v/>
      </c>
      <c r="G105" s="28" t="str">
        <f t="array" ref="G105">IF($I104="","",XLOOKUP(E105,Phase_UI_Map!A:A,Phase_UI_Map!C:C,""))</f>
        <v/>
      </c>
      <c r="H105" s="28" t="str">
        <f t="array" ref="H105">IF($I104="","",XLOOKUP(E105,Phase_UI_Map!A:A,Phase_UI_Map!D:D,""))</f>
        <v/>
      </c>
      <c r="I105" s="29"/>
      <c r="J105" s="28" t="str">
        <f>IFERROR(__xludf.DUMMYFUNCTION("IF($I104="""","""",IFERROR(INDEX(FILTER(Response_Lists!$B:$B,Response_Lists!$A:$A=$H105),1),""""))"),"")</f>
        <v/>
      </c>
      <c r="K105" s="28" t="str">
        <f>IFERROR(__xludf.DUMMYFUNCTION("IF($I104="""","""",IFERROR(INDEX(FILTER(Response_Lists!$B:$B,Response_Lists!$A:$A=$H105),2),""""))"),"")</f>
        <v/>
      </c>
      <c r="L105" s="28" t="str">
        <f>IFERROR(__xludf.DUMMYFUNCTION("IF($I104="""","""",IFERROR(INDEX(FILTER(Response_Lists!$B:$B,Response_Lists!$A:$A=$H105),3),""""))"),"")</f>
        <v/>
      </c>
      <c r="M105" s="28" t="str">
        <f>IFERROR(__xludf.DUMMYFUNCTION("IF($I104="""","""",IFERROR(INDEX(FILTER(Response_Lists!$B:$B,Response_Lists!$A:$A=$H105),4),""""))"),"")</f>
        <v/>
      </c>
      <c r="N105" s="28" t="str">
        <f>IFERROR(__xludf.DUMMYFUNCTION("IF($I104="""","""",IFERROR(INDEX(FILTER(Response_Lists!$B:$B,Response_Lists!$A:$A=$H105),5),""""))"),"")</f>
        <v/>
      </c>
      <c r="O105" s="28" t="str">
        <f>IFERROR(__xludf.DUMMYFUNCTION("IF($I104="""","""",IFERROR(INDEX(FILTER(Response_Lists!$B:$B,Response_Lists!$A:$A=$H105),6),""""))"),"")</f>
        <v/>
      </c>
      <c r="P105" s="28" t="str">
        <f t="shared" si="6"/>
        <v/>
      </c>
      <c r="Q105" s="28" t="str">
        <f t="array" ref="Q105">IF($I104="","",XLOOKUP(C105,FSM_State_Map!A:A,FSM_State_Map!D:D,""))</f>
        <v/>
      </c>
      <c r="R105" s="28" t="str">
        <f t="shared" si="7"/>
        <v/>
      </c>
      <c r="S105" s="28" t="str">
        <f t="array" ref="S105">IF($I104="","",
IF(
  AND(C105="B",C104&lt;&gt;"B"),
  XLOOKUP($B105,Derived_Variables!$A:$A,Derived_Variables!$K:$K,0)
  + XLOOKUP($B105,Derived_Variables!$A:$A,Derived_Variables!$AE:$AE,0),
  S104+AM104
))</f>
        <v/>
      </c>
      <c r="T105" s="28" t="str">
        <f t="shared" ref="T105:U105" si="220">IF($I104="","",T104+AN104)</f>
        <v/>
      </c>
      <c r="U105" s="28" t="str">
        <f t="shared" si="220"/>
        <v/>
      </c>
      <c r="V105" s="28" t="str">
        <f t="array" ref="V105">IF($I104="","",
IF(
  AND(C105="D",C104&lt;&gt;"D"),
  XLOOKUP($B105,Derived_Variables!$A:$A,Derived_Variables!$N:$N,0)
  + XLOOKUP($B105,Derived_Variables!$A:$A,Derived_Variables!$AE:$AE,0),
  V104+AP104
))</f>
        <v/>
      </c>
      <c r="W105" s="28" t="str">
        <f t="shared" ref="W105:X105" si="221">IF($I104="","",W104+AQ104)</f>
        <v/>
      </c>
      <c r="X105" s="28" t="str">
        <f t="shared" si="221"/>
        <v/>
      </c>
      <c r="Y105" s="28" t="str">
        <f t="array" ref="Y105">IF($I104="","",IF(AND(C105="P",C104&lt;&gt;"P"),IFERROR(XLOOKUP($B105,Lenso_Input!$A:$A,Lenso_Input!$E:$E,0),0),Y104+AS104))</f>
        <v/>
      </c>
      <c r="Z105" s="28" t="str">
        <f t="array" ref="Z105">IF($I104="","",IF(AND(C105="Q",C104&lt;&gt;"Q"),IFERROR(XLOOKUP($B105,Lenso_Input!$A:$A,Lenso_Input!$I:$I,0),0),Z104+AT104))</f>
        <v/>
      </c>
      <c r="AA105" s="28" t="str">
        <f t="array" ref="AA105">IF($I104="","",IF(XLOOKUP($B105,Derived_Variables!$A:$A,Derived_Variables!$R:$R,"6/6_target")="6/6_target","20_20_20","40_30_25"))</f>
        <v/>
      </c>
      <c r="AB105" s="28" t="str">
        <f t="array" ref="AB105">IF($I104="","",XLOOKUP(LOWER(XLOOKUP($B105,Derived_Variables!$A:$A,Derived_Variables!$T:$T,"Standard"))&amp;"_sph_step",Calibration!$B:$B,Calibration!$C:$C,0.25))</f>
        <v/>
      </c>
      <c r="AC105" s="28" t="str">
        <f t="array" ref="AC105">IF($I104="","",XLOOKUP(LOWER(XLOOKUP($B105,Derived_Variables!$A:$A,Derived_Variables!$T:$T,"Standard"))&amp;"_cyl_step",Calibration!$B:$B,Calibration!$C:$C,0.25))</f>
        <v/>
      </c>
      <c r="AD105" s="28" t="str">
        <f t="array" ref="AD105">IF($I104="","",IF(OR(C105="E",C105="H"),LET(startStep,XLOOKUP("axis_start_step",Calibration!$B:$B,Calibration!$C:$C,5),step1,XLOOKUP("axis_reversal_step_1",Calibration!$B:$B,Calibration!$C:$C,3),step2,XLOOKUP("axis_reversal_step_2",Calibration!$B:$B,Calibration!$C:$C,1),IF(OR(C104&lt;&gt;C105,AZ105="",AZ105="SAME",AZ105="CANT_TELL",I105="",I105="SAME",I105="CANT_TELL"),startStep,IF(OR(AND(AZ105="BETTER_1",I105="BETTER_2"),AND(AZ105="BETTER_2",I105="BETTER_1")),IF(AD104&gt;step1,step1,step2),AD104))),0))</f>
        <v/>
      </c>
      <c r="AE105" s="28" t="str">
        <f t="array" ref="AE105">IF($I104="","",XLOOKUP($B105,Derived_Variables!$A:$A,Derived_Variables!$AD:$AD,"No_Fog"))</f>
        <v/>
      </c>
      <c r="AF105" s="28" t="str">
        <f t="array" ref="AF105">IF($I104="","",XLOOKUP($B105,Derived_Variables!$A:$A,Derived_Variables!$AE:$AE,0))</f>
        <v/>
      </c>
      <c r="AG105" s="28" t="str">
        <f t="array" ref="AG105">IF($I104="","",XLOOKUP($B105,Derived_Variables!$A:$A,Derived_Variables!$AF:$AF,""))</f>
        <v/>
      </c>
      <c r="AH105" s="28" t="str">
        <f t="array" ref="AH105">IF($I104="","",XLOOKUP($B105,Derived_Variables!$A:$A,Derived_Variables!$AG:$AG,""))</f>
        <v/>
      </c>
      <c r="AI105" s="28" t="str">
        <f t="array" ref="AI105">IF($I104="","",XLOOKUP($B105,Derived_Variables!$A:$A,Derived_Variables!$AC:$AC,"Medium"))</f>
        <v/>
      </c>
      <c r="AJ105" s="28" t="str">
        <f t="array" ref="AJ105">IF($I104="","",XLOOKUP($B105,Derived_Variables!$A:$A,Derived_Variables!$Y:$Y,FALSE))</f>
        <v/>
      </c>
      <c r="AK105" s="28" t="str">
        <f t="array" ref="AK105">IF($I104="","",XLOOKUP($B105,Derived_Variables!$A:$A,Derived_Variables!$AA:$AA,"Normal"))</f>
        <v/>
      </c>
      <c r="AL105" s="28" t="str">
        <f t="array" ref="AL105">IF($I104="","",XLOOKUP($B105,Derived_Variables!$A:$A,Derived_Variables!$AB:$AB,"Normal"))</f>
        <v/>
      </c>
      <c r="AM105" s="28" t="str">
        <f t="array" ref="AM105">IF($I105="","",IFS(C105="B",IF(OR(I105="NOT_READABLE",I105="BLURRY"),-AB105,0),C105="G",IFS(I105="RED_CLEARER",XLOOKUP("duochrome_red_step",Calibration!$B:$B,Calibration!$C:$C,-0.25),I105="GREEN_CLEARER",XLOOKUP("duochrome_green_step",Calibration!$B:$B,Calibration!$C:$C,0.25),I105="EQUAL",IF(XLOOKUP($B105,Derived_Variables!$A:$A,Derived_Variables!$S:$S,"Neutral")="Undercorrect",XLOOKUP("undercorrect_step",Calibration!$B:$B,Calibration!$C:$C,0.25),IF(XLOOKUP($B105,Derived_Variables!$A:$A,Derived_Variables!$S:$S,"Neutral")="Overcorrect",-XLOOKUP("overcorrect_step",Calibration!$B:$B,Calibration!$C:$C,0.25),0)),TRUE,0),C105="K",IF(I105="TOP_CLEARER",XLOOKUP("bino_balance_step",Calibration!$B:$B,Calibration!$C:$C,0.25),0),TRUE,0))</f>
        <v/>
      </c>
      <c r="AN105" s="28" t="str">
        <f t="shared" si="10"/>
        <v/>
      </c>
      <c r="AO105" s="28" t="str">
        <f t="shared" si="11"/>
        <v/>
      </c>
      <c r="AP105" s="28" t="str">
        <f t="array" ref="AP105">IF($I105="","",IFS(C105="D",IF(OR(I105="NOT_READABLE",I105="BLURRY"),-AB105,0),C105="J",IFS(I105="RED_CLEARER",XLOOKUP("duochrome_red_step",Calibration!$B:$B,Calibration!$C:$C,-0.25),I105="GREEN_CLEARER",XLOOKUP("duochrome_green_step",Calibration!$B:$B,Calibration!$C:$C,0.25),I105="EQUAL",IF(XLOOKUP($B105,Derived_Variables!$A:$A,Derived_Variables!$S:$S,"Neutral")="Undercorrect",XLOOKUP("undercorrect_step",Calibration!$B:$B,Calibration!$C:$C,0.25),IF(XLOOKUP($B105,Derived_Variables!$A:$A,Derived_Variables!$S:$S,"Neutral")="Overcorrect",-XLOOKUP("overcorrect_step",Calibration!$B:$B,Calibration!$C:$C,0.25),0)),TRUE,0),C105="K",IF(I105="BOTTOM_CLEARER",XLOOKUP("bino_balance_step",Calibration!$B:$B,Calibration!$C:$C,0.25),0),TRUE,0))</f>
        <v/>
      </c>
      <c r="AQ105" s="28" t="str">
        <f t="shared" si="12"/>
        <v/>
      </c>
      <c r="AR105" s="28" t="str">
        <f t="shared" si="13"/>
        <v/>
      </c>
      <c r="AS105" s="28" t="str">
        <f t="array" ref="AS105">IF($I105="","",IF(C105="P",IF(OR(I105="NOT_READABLE",I105="BLURRY"),XLOOKUP("near_add_step",Calibration!$B:$B,Calibration!$C:$C,0.25),0),IF(C105="R",IF(I105="NOT_CLEAR",XLOOKUP("near_add_step",Calibration!$B:$B,Calibration!$C:$C,0.25),0),0)))</f>
        <v/>
      </c>
      <c r="AT105" s="28" t="str">
        <f t="array" ref="AT105">IF($I105="","",IF(C105="Q",IF(OR(I105="NOT_READABLE",I105="BLURRY"),XLOOKUP("near_add_step",Calibration!$B:$B,Calibration!$C:$C,0.25),0),IF(C105="R",IF(I105="NOT_CLEAR",XLOOKUP("near_add_step",Calibration!$B:$B,Calibration!$C:$C,0.25),0),0)))</f>
        <v/>
      </c>
      <c r="AU105" s="28" t="str">
        <f t="array" ref="AU105">IF($I105="","",IF(G105="SNELLEN_FEET",IF(I105="READABLE",IFERROR(XLOOKUP(XLOOKUP(R105,Chart_Scale_Distance!B:B,Chart_Scale_Distance!A:A)+1,Chart_Scale_Distance!A:A,Chart_Scale_Distance!B:B),R105),R105),R105))</f>
        <v/>
      </c>
      <c r="AV105" s="28" t="str">
        <f t="array" ref="AV105">IF($I104="","",IFERROR(XLOOKUP(R105,Chart_Scale_Distance!$B:$B,Chart_Scale_Distance!$A:$A,""),""))</f>
        <v/>
      </c>
      <c r="AW105" s="28" t="str">
        <f t="array" ref="AW105">IF($I104="","",IFERROR(XLOOKUP(AA105,Chart_Scale_Distance!$B:$B,Chart_Scale_Distance!$A:$A,""),""))</f>
        <v/>
      </c>
      <c r="AX105" s="28" t="str">
        <f t="shared" si="14"/>
        <v/>
      </c>
      <c r="AY105" s="28" t="str">
        <f t="shared" si="15"/>
        <v/>
      </c>
      <c r="AZ105" s="28" t="str">
        <f t="shared" si="16"/>
        <v/>
      </c>
      <c r="BA105" s="28" t="str">
        <f t="shared" si="17"/>
        <v/>
      </c>
      <c r="BB105" s="28" t="str">
        <f t="shared" si="18"/>
        <v/>
      </c>
      <c r="BC105" s="28" t="str">
        <f t="array" ref="BC105">IF($I105="","",LET(
conf,AI105,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duoMax,XLOOKUP($B105,Derived_Variables!$A:$A,Derived_Variables!$AI:$AI,4),
axisTol,XLOOKUP($B105,Derived_Variables!$A:$A,Derived_Variables!$W:$W,1),
maxStart,XLOOKUP($B105,Derived_Variables!$A:$A,Derived_Variables!$U:$U,1.25),
maxAR,XLOOKUP($B105,Derived_Variables!$A:$A,Derived_Variables!$V:$V,3),
anom,XLOOKUP($B105,Derived_Variables!$A:$A,Derived_Variables!$Z:$Z,FALSE),
reStart,XLOOKUP($B105,Derived_Variables!$A:$A,Derived_Variables!$K:$K,0),
leStart,XLOOKUP($B105,Derived_Variables!$A:$A,Derived_Variables!$N:$N,0),
reAR,XLOOKUP($B105,AR_Input!$A:$A,AR_Input!$B:$B,reStart),
leAR,XLOOKUP($B105,AR_Input!$A:$A,AR_Input!$E:$E,leStart),
reEsc,AND(anom,OR(ABS((S105+AM105)-reStart)&gt;maxStart,ABS((S105+AM105)-reAR)&gt;maxAR)),
leEsc,AND(anom,OR(ABS((V105+AP105)-leStart)&gt;maxStart,ABS((V105+AP105)-leAR)&gt;maxAR)),
phaseMax,IFS(
 AK105="Fast",
   IFS(
     OR(C105="B",C105="D"),XLOOKUP("timeout_coarse_fast",Calibration!$B:$B,Calibration!$C:$C,24),
     OR(C105="E",C105="F",C105="H",C105="I"),XLOOKUP("timeout_jcc_fast",Calibration!$B:$B,Calibration!$C:$C,10),
     OR(C105="G",C105="J"),XLOOKUP("timeout_duochrome_fast",Calibration!$B:$B,Calibration!$C:$C,8),
     C105="K",XLOOKUP("timeout_bino_fast",Calibration!$B:$B,Calibration!$C:$C,10),
     OR(C105="P",C105="Q",C105="R"),XLOOKUP("timeout_near_fast",Calibration!$B:$B,Calibration!$C:$C,16),
     TRUE,XLOOKUP("timeout_coarse_fast",Calibration!$B:$B,Calibration!$C:$C,24)
   ),
 AK105="Normal",
   IFS(
     OR(C105="B",C105="D"),XLOOKUP("timeout_coarse_normal",Calibration!$B:$B,Calibration!$C:$C,36),
     OR(C105="E",C105="F",C105="H",C105="I"),XLOOKUP("timeout_jcc_normal",Calibration!$B:$B,Calibration!$C:$C,14),
     OR(C105="G",C105="J"),XLOOKUP("timeout_duochrome_normal",Calibration!$B:$B,Calibration!$C:$C,10),
     C105="K",XLOOKUP("timeout_bino_normal",Calibration!$B:$B,Calibration!$C:$C,14),
     OR(C105="P",C105="Q",C105="R"),XLOOKUP("timeout_near_normal",Calibration!$B:$B,Calibration!$C:$C,22),
     TRUE,XLOOKUP("timeout_coarse_normal",Calibration!$B:$B,Calibration!$C:$C,36)
   ),
 TRUE,
   IFS(
     OR(C105="B",C105="D"),XLOOKUP("timeout_coarse_slow",Calibration!$B:$B,Calibration!$C:$C,48),
     OR(C105="E",C105="F",C105="H",C105="I"),XLOOKUP("timeout_jcc_slow",Calibration!$B:$B,Calibration!$C:$C,18),
     OR(C105="G",C105="J"),XLOOKUP("timeout_duochrome_slow",Calibration!$B:$B,Calibration!$C:$C,12),
     C105="K",XLOOKUP("timeout_bino_slow",Calibration!$B:$B,Calibration!$C:$C,18),
     OR(C105="P",C105="Q",C105="R"),XLOOKUP("timeout_near_slow",Calibration!$B:$B,Calibration!$C:$C,28),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AJ105=TRUE,"ESCALATE",
C105="A",
IF(OR(I105="NOT_READABLE",I105="BLURRY",AND(R105="20_20_20",I105="READABLE")),"B","A"),
C105="B",
IF(reEsc,"ESCALATE",IF(AY105&gt;=phaseMax,"ESCALATE",IF(AND(AV105&gt;=AW105,I105="READABLE"),"E","B"))),
C105="E",
IF(AY105&gt;=phaseMax,"ESCALATE",IF(OR(I105="SAME",I105="CANT_TELL",AD105&lt;axisTol),"F","E")),
C105="F",
IF(AY105&gt;=phaseMax,"ESCALATE",IF(AX105&gt;=powerSameN,"G","F")),
C105="G",
IF(AY105&gt;=phaseMax,"ESCALATE",IF(OR(AX105&gt;=duoEqualN,BB105&gt;=duoMax),"D","G")),
C105="D",
IF(leEsc,"ESCALATE",IF(AY105&gt;=phaseMax,"ESCALATE",IF(AND(AV105&gt;=AW105,I105="READABLE"),"H","D"))),
C105="H",
IF(AY105&gt;=phaseMax,"ESCALATE",IF(OR(I105="SAME",I105="CANT_TELL",AD105&lt;axisTol),"I","H")),
C105="I",
IF(AY105&gt;=phaseMax,"ESCALATE",IF(AX105&gt;=powerSameN,"J","I")),
C105="J",
IF(AY105&gt;=phaseMax,"ESCALATE",IF(OR(AX105&gt;=duoEqualN,BB105&gt;=duoMax),"K","J")),
C105="K",
IF(AY105&gt;=phaseMax,"ESCALATE",IF(AX105&gt;=binoSameN,IF(XLOOKUP($B105,Derived_Variables!$A:$A,Derived_Variables!$AJ:$AJ,FALSE)=TRUE,"P","END"),"K")),
C105="P",
IF(AY105&gt;=phaseMax,"ESCALATE",IF(OR(I105="READABLE",I105="SAME"),"Q","P")),
C105="Q",
IF(AY105&gt;=phaseMax,"ESCALATE",IF(OR(I105="READABLE",I105="SAME"),"R","Q")),
C105="R",
IF(AY105&gt;=phaseMax,"ESCALATE",IF(OR(I105=nearTarget,I105="SAME"),"END","R")),
TRUE,"END"
)))</f>
        <v/>
      </c>
      <c r="BD105" s="28" t="b">
        <f t="shared" si="19"/>
        <v>0</v>
      </c>
    </row>
    <row r="106" ht="15.75" customHeight="1">
      <c r="A106" s="28">
        <f t="shared" si="3"/>
        <v>105</v>
      </c>
      <c r="B106" s="28">
        <f t="shared" si="4"/>
        <v>6</v>
      </c>
      <c r="C106" s="28" t="str">
        <f t="shared" si="5"/>
        <v/>
      </c>
      <c r="D106" s="28" t="str">
        <f t="array" ref="D106">IF($I105="","",XLOOKUP(C106,FSM_State_Map!A:A,FSM_State_Map!B:B,""))</f>
        <v/>
      </c>
      <c r="E106" s="28" t="str">
        <f t="array" ref="E106">IF($I105="","",XLOOKUP(C106,FSM_State_Map!A:A,FSM_State_Map!C:C,""))</f>
        <v/>
      </c>
      <c r="F106" s="28" t="str">
        <f t="array" ref="F106">IF($I105="","",XLOOKUP(E106,Phase_UI_Map!A:A,Phase_UI_Map!B:B,""))</f>
        <v/>
      </c>
      <c r="G106" s="28" t="str">
        <f t="array" ref="G106">IF($I105="","",XLOOKUP(E106,Phase_UI_Map!A:A,Phase_UI_Map!C:C,""))</f>
        <v/>
      </c>
      <c r="H106" s="28" t="str">
        <f t="array" ref="H106">IF($I105="","",XLOOKUP(E106,Phase_UI_Map!A:A,Phase_UI_Map!D:D,""))</f>
        <v/>
      </c>
      <c r="I106" s="29"/>
      <c r="J106" s="28" t="str">
        <f>IFERROR(__xludf.DUMMYFUNCTION("IF($I105="""","""",IFERROR(INDEX(FILTER(Response_Lists!$B:$B,Response_Lists!$A:$A=$H106),1),""""))"),"")</f>
        <v/>
      </c>
      <c r="K106" s="28" t="str">
        <f>IFERROR(__xludf.DUMMYFUNCTION("IF($I105="""","""",IFERROR(INDEX(FILTER(Response_Lists!$B:$B,Response_Lists!$A:$A=$H106),2),""""))"),"")</f>
        <v/>
      </c>
      <c r="L106" s="28" t="str">
        <f>IFERROR(__xludf.DUMMYFUNCTION("IF($I105="""","""",IFERROR(INDEX(FILTER(Response_Lists!$B:$B,Response_Lists!$A:$A=$H106),3),""""))"),"")</f>
        <v/>
      </c>
      <c r="M106" s="28" t="str">
        <f>IFERROR(__xludf.DUMMYFUNCTION("IF($I105="""","""",IFERROR(INDEX(FILTER(Response_Lists!$B:$B,Response_Lists!$A:$A=$H106),4),""""))"),"")</f>
        <v/>
      </c>
      <c r="N106" s="28" t="str">
        <f>IFERROR(__xludf.DUMMYFUNCTION("IF($I105="""","""",IFERROR(INDEX(FILTER(Response_Lists!$B:$B,Response_Lists!$A:$A=$H106),5),""""))"),"")</f>
        <v/>
      </c>
      <c r="O106" s="28" t="str">
        <f>IFERROR(__xludf.DUMMYFUNCTION("IF($I105="""","""",IFERROR(INDEX(FILTER(Response_Lists!$B:$B,Response_Lists!$A:$A=$H106),6),""""))"),"")</f>
        <v/>
      </c>
      <c r="P106" s="28" t="str">
        <f t="shared" si="6"/>
        <v/>
      </c>
      <c r="Q106" s="28" t="str">
        <f t="array" ref="Q106">IF($I105="","",XLOOKUP(C106,FSM_State_Map!A:A,FSM_State_Map!D:D,""))</f>
        <v/>
      </c>
      <c r="R106" s="28" t="str">
        <f t="shared" si="7"/>
        <v/>
      </c>
      <c r="S106" s="28" t="str">
        <f t="array" ref="S106">IF($I105="","",
IF(
  AND(C106="B",C105&lt;&gt;"B"),
  XLOOKUP($B106,Derived_Variables!$A:$A,Derived_Variables!$K:$K,0)
  + XLOOKUP($B106,Derived_Variables!$A:$A,Derived_Variables!$AE:$AE,0),
  S105+AM105
))</f>
        <v/>
      </c>
      <c r="T106" s="28" t="str">
        <f t="shared" ref="T106:U106" si="222">IF($I105="","",T105+AN105)</f>
        <v/>
      </c>
      <c r="U106" s="28" t="str">
        <f t="shared" si="222"/>
        <v/>
      </c>
      <c r="V106" s="28" t="str">
        <f t="array" ref="V106">IF($I105="","",
IF(
  AND(C106="D",C105&lt;&gt;"D"),
  XLOOKUP($B106,Derived_Variables!$A:$A,Derived_Variables!$N:$N,0)
  + XLOOKUP($B106,Derived_Variables!$A:$A,Derived_Variables!$AE:$AE,0),
  V105+AP105
))</f>
        <v/>
      </c>
      <c r="W106" s="28" t="str">
        <f t="shared" ref="W106:X106" si="223">IF($I105="","",W105+AQ105)</f>
        <v/>
      </c>
      <c r="X106" s="28" t="str">
        <f t="shared" si="223"/>
        <v/>
      </c>
      <c r="Y106" s="28" t="str">
        <f t="array" ref="Y106">IF($I105="","",IF(AND(C106="P",C105&lt;&gt;"P"),IFERROR(XLOOKUP($B106,Lenso_Input!$A:$A,Lenso_Input!$E:$E,0),0),Y105+AS105))</f>
        <v/>
      </c>
      <c r="Z106" s="28" t="str">
        <f t="array" ref="Z106">IF($I105="","",IF(AND(C106="Q",C105&lt;&gt;"Q"),IFERROR(XLOOKUP($B106,Lenso_Input!$A:$A,Lenso_Input!$I:$I,0),0),Z105+AT105))</f>
        <v/>
      </c>
      <c r="AA106" s="28" t="str">
        <f t="array" ref="AA106">IF($I105="","",IF(XLOOKUP($B106,Derived_Variables!$A:$A,Derived_Variables!$R:$R,"6/6_target")="6/6_target","20_20_20","40_30_25"))</f>
        <v/>
      </c>
      <c r="AB106" s="28" t="str">
        <f t="array" ref="AB106">IF($I105="","",XLOOKUP(LOWER(XLOOKUP($B106,Derived_Variables!$A:$A,Derived_Variables!$T:$T,"Standard"))&amp;"_sph_step",Calibration!$B:$B,Calibration!$C:$C,0.25))</f>
        <v/>
      </c>
      <c r="AC106" s="28" t="str">
        <f t="array" ref="AC106">IF($I105="","",XLOOKUP(LOWER(XLOOKUP($B106,Derived_Variables!$A:$A,Derived_Variables!$T:$T,"Standard"))&amp;"_cyl_step",Calibration!$B:$B,Calibration!$C:$C,0.25))</f>
        <v/>
      </c>
      <c r="AD106" s="28" t="str">
        <f t="array" ref="AD106">IF($I105="","",IF(OR(C106="E",C106="H"),LET(startStep,XLOOKUP("axis_start_step",Calibration!$B:$B,Calibration!$C:$C,5),step1,XLOOKUP("axis_reversal_step_1",Calibration!$B:$B,Calibration!$C:$C,3),step2,XLOOKUP("axis_reversal_step_2",Calibration!$B:$B,Calibration!$C:$C,1),IF(OR(C105&lt;&gt;C106,AZ106="",AZ106="SAME",AZ106="CANT_TELL",I106="",I106="SAME",I106="CANT_TELL"),startStep,IF(OR(AND(AZ106="BETTER_1",I106="BETTER_2"),AND(AZ106="BETTER_2",I106="BETTER_1")),IF(AD105&gt;step1,step1,step2),AD105))),0))</f>
        <v/>
      </c>
      <c r="AE106" s="28" t="str">
        <f t="array" ref="AE106">IF($I105="","",XLOOKUP($B106,Derived_Variables!$A:$A,Derived_Variables!$AD:$AD,"No_Fog"))</f>
        <v/>
      </c>
      <c r="AF106" s="28" t="str">
        <f t="array" ref="AF106">IF($I105="","",XLOOKUP($B106,Derived_Variables!$A:$A,Derived_Variables!$AE:$AE,0))</f>
        <v/>
      </c>
      <c r="AG106" s="28" t="str">
        <f t="array" ref="AG106">IF($I105="","",XLOOKUP($B106,Derived_Variables!$A:$A,Derived_Variables!$AF:$AF,""))</f>
        <v/>
      </c>
      <c r="AH106" s="28" t="str">
        <f t="array" ref="AH106">IF($I105="","",XLOOKUP($B106,Derived_Variables!$A:$A,Derived_Variables!$AG:$AG,""))</f>
        <v/>
      </c>
      <c r="AI106" s="28" t="str">
        <f t="array" ref="AI106">IF($I105="","",XLOOKUP($B106,Derived_Variables!$A:$A,Derived_Variables!$AC:$AC,"Medium"))</f>
        <v/>
      </c>
      <c r="AJ106" s="28" t="str">
        <f t="array" ref="AJ106">IF($I105="","",XLOOKUP($B106,Derived_Variables!$A:$A,Derived_Variables!$Y:$Y,FALSE))</f>
        <v/>
      </c>
      <c r="AK106" s="28" t="str">
        <f t="array" ref="AK106">IF($I105="","",XLOOKUP($B106,Derived_Variables!$A:$A,Derived_Variables!$AA:$AA,"Normal"))</f>
        <v/>
      </c>
      <c r="AL106" s="28" t="str">
        <f t="array" ref="AL106">IF($I105="","",XLOOKUP($B106,Derived_Variables!$A:$A,Derived_Variables!$AB:$AB,"Normal"))</f>
        <v/>
      </c>
      <c r="AM106" s="28" t="str">
        <f t="array" ref="AM106">IF($I106="","",IFS(C106="B",IF(OR(I106="NOT_READABLE",I106="BLURRY"),-AB106,0),C106="G",IFS(I106="RED_CLEARER",XLOOKUP("duochrome_red_step",Calibration!$B:$B,Calibration!$C:$C,-0.25),I106="GREEN_CLEARER",XLOOKUP("duochrome_green_step",Calibration!$B:$B,Calibration!$C:$C,0.25),I106="EQUAL",IF(XLOOKUP($B106,Derived_Variables!$A:$A,Derived_Variables!$S:$S,"Neutral")="Undercorrect",XLOOKUP("undercorrect_step",Calibration!$B:$B,Calibration!$C:$C,0.25),IF(XLOOKUP($B106,Derived_Variables!$A:$A,Derived_Variables!$S:$S,"Neutral")="Overcorrect",-XLOOKUP("overcorrect_step",Calibration!$B:$B,Calibration!$C:$C,0.25),0)),TRUE,0),C106="K",IF(I106="TOP_CLEARER",XLOOKUP("bino_balance_step",Calibration!$B:$B,Calibration!$C:$C,0.25),0),TRUE,0))</f>
        <v/>
      </c>
      <c r="AN106" s="28" t="str">
        <f t="shared" si="10"/>
        <v/>
      </c>
      <c r="AO106" s="28" t="str">
        <f t="shared" si="11"/>
        <v/>
      </c>
      <c r="AP106" s="28" t="str">
        <f t="array" ref="AP106">IF($I106="","",IFS(C106="D",IF(OR(I106="NOT_READABLE",I106="BLURRY"),-AB106,0),C106="J",IFS(I106="RED_CLEARER",XLOOKUP("duochrome_red_step",Calibration!$B:$B,Calibration!$C:$C,-0.25),I106="GREEN_CLEARER",XLOOKUP("duochrome_green_step",Calibration!$B:$B,Calibration!$C:$C,0.25),I106="EQUAL",IF(XLOOKUP($B106,Derived_Variables!$A:$A,Derived_Variables!$S:$S,"Neutral")="Undercorrect",XLOOKUP("undercorrect_step",Calibration!$B:$B,Calibration!$C:$C,0.25),IF(XLOOKUP($B106,Derived_Variables!$A:$A,Derived_Variables!$S:$S,"Neutral")="Overcorrect",-XLOOKUP("overcorrect_step",Calibration!$B:$B,Calibration!$C:$C,0.25),0)),TRUE,0),C106="K",IF(I106="BOTTOM_CLEARER",XLOOKUP("bino_balance_step",Calibration!$B:$B,Calibration!$C:$C,0.25),0),TRUE,0))</f>
        <v/>
      </c>
      <c r="AQ106" s="28" t="str">
        <f t="shared" si="12"/>
        <v/>
      </c>
      <c r="AR106" s="28" t="str">
        <f t="shared" si="13"/>
        <v/>
      </c>
      <c r="AS106" s="28" t="str">
        <f t="array" ref="AS106">IF($I106="","",IF(C106="P",IF(OR(I106="NOT_READABLE",I106="BLURRY"),XLOOKUP("near_add_step",Calibration!$B:$B,Calibration!$C:$C,0.25),0),IF(C106="R",IF(I106="NOT_CLEAR",XLOOKUP("near_add_step",Calibration!$B:$B,Calibration!$C:$C,0.25),0),0)))</f>
        <v/>
      </c>
      <c r="AT106" s="28" t="str">
        <f t="array" ref="AT106">IF($I106="","",IF(C106="Q",IF(OR(I106="NOT_READABLE",I106="BLURRY"),XLOOKUP("near_add_step",Calibration!$B:$B,Calibration!$C:$C,0.25),0),IF(C106="R",IF(I106="NOT_CLEAR",XLOOKUP("near_add_step",Calibration!$B:$B,Calibration!$C:$C,0.25),0),0)))</f>
        <v/>
      </c>
      <c r="AU106" s="28" t="str">
        <f t="array" ref="AU106">IF($I106="","",IF(G106="SNELLEN_FEET",IF(I106="READABLE",IFERROR(XLOOKUP(XLOOKUP(R106,Chart_Scale_Distance!B:B,Chart_Scale_Distance!A:A)+1,Chart_Scale_Distance!A:A,Chart_Scale_Distance!B:B),R106),R106),R106))</f>
        <v/>
      </c>
      <c r="AV106" s="28" t="str">
        <f t="array" ref="AV106">IF($I105="","",IFERROR(XLOOKUP(R106,Chart_Scale_Distance!$B:$B,Chart_Scale_Distance!$A:$A,""),""))</f>
        <v/>
      </c>
      <c r="AW106" s="28" t="str">
        <f t="array" ref="AW106">IF($I105="","",IFERROR(XLOOKUP(AA106,Chart_Scale_Distance!$B:$B,Chart_Scale_Distance!$A:$A,""),""))</f>
        <v/>
      </c>
      <c r="AX106" s="28" t="str">
        <f t="shared" si="14"/>
        <v/>
      </c>
      <c r="AY106" s="28" t="str">
        <f t="shared" si="15"/>
        <v/>
      </c>
      <c r="AZ106" s="28" t="str">
        <f t="shared" si="16"/>
        <v/>
      </c>
      <c r="BA106" s="28" t="str">
        <f t="shared" si="17"/>
        <v/>
      </c>
      <c r="BB106" s="28" t="str">
        <f t="shared" si="18"/>
        <v/>
      </c>
      <c r="BC106" s="28" t="str">
        <f t="array" ref="BC106">IF($I106="","",LET(
conf,AI106,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duoMax,XLOOKUP($B106,Derived_Variables!$A:$A,Derived_Variables!$AI:$AI,4),
axisTol,XLOOKUP($B106,Derived_Variables!$A:$A,Derived_Variables!$W:$W,1),
maxStart,XLOOKUP($B106,Derived_Variables!$A:$A,Derived_Variables!$U:$U,1.25),
maxAR,XLOOKUP($B106,Derived_Variables!$A:$A,Derived_Variables!$V:$V,3),
anom,XLOOKUP($B106,Derived_Variables!$A:$A,Derived_Variables!$Z:$Z,FALSE),
reStart,XLOOKUP($B106,Derived_Variables!$A:$A,Derived_Variables!$K:$K,0),
leStart,XLOOKUP($B106,Derived_Variables!$A:$A,Derived_Variables!$N:$N,0),
reAR,XLOOKUP($B106,AR_Input!$A:$A,AR_Input!$B:$B,reStart),
leAR,XLOOKUP($B106,AR_Input!$A:$A,AR_Input!$E:$E,leStart),
reEsc,AND(anom,OR(ABS((S106+AM106)-reStart)&gt;maxStart,ABS((S106+AM106)-reAR)&gt;maxAR)),
leEsc,AND(anom,OR(ABS((V106+AP106)-leStart)&gt;maxStart,ABS((V106+AP106)-leAR)&gt;maxAR)),
phaseMax,IFS(
 AK106="Fast",
   IFS(
     OR(C106="B",C106="D"),XLOOKUP("timeout_coarse_fast",Calibration!$B:$B,Calibration!$C:$C,24),
     OR(C106="E",C106="F",C106="H",C106="I"),XLOOKUP("timeout_jcc_fast",Calibration!$B:$B,Calibration!$C:$C,10),
     OR(C106="G",C106="J"),XLOOKUP("timeout_duochrome_fast",Calibration!$B:$B,Calibration!$C:$C,8),
     C106="K",XLOOKUP("timeout_bino_fast",Calibration!$B:$B,Calibration!$C:$C,10),
     OR(C106="P",C106="Q",C106="R"),XLOOKUP("timeout_near_fast",Calibration!$B:$B,Calibration!$C:$C,16),
     TRUE,XLOOKUP("timeout_coarse_fast",Calibration!$B:$B,Calibration!$C:$C,24)
   ),
 AK106="Normal",
   IFS(
     OR(C106="B",C106="D"),XLOOKUP("timeout_coarse_normal",Calibration!$B:$B,Calibration!$C:$C,36),
     OR(C106="E",C106="F",C106="H",C106="I"),XLOOKUP("timeout_jcc_normal",Calibration!$B:$B,Calibration!$C:$C,14),
     OR(C106="G",C106="J"),XLOOKUP("timeout_duochrome_normal",Calibration!$B:$B,Calibration!$C:$C,10),
     C106="K",XLOOKUP("timeout_bino_normal",Calibration!$B:$B,Calibration!$C:$C,14),
     OR(C106="P",C106="Q",C106="R"),XLOOKUP("timeout_near_normal",Calibration!$B:$B,Calibration!$C:$C,22),
     TRUE,XLOOKUP("timeout_coarse_normal",Calibration!$B:$B,Calibration!$C:$C,36)
   ),
 TRUE,
   IFS(
     OR(C106="B",C106="D"),XLOOKUP("timeout_coarse_slow",Calibration!$B:$B,Calibration!$C:$C,48),
     OR(C106="E",C106="F",C106="H",C106="I"),XLOOKUP("timeout_jcc_slow",Calibration!$B:$B,Calibration!$C:$C,18),
     OR(C106="G",C106="J"),XLOOKUP("timeout_duochrome_slow",Calibration!$B:$B,Calibration!$C:$C,12),
     C106="K",XLOOKUP("timeout_bino_slow",Calibration!$B:$B,Calibration!$C:$C,18),
     OR(C106="P",C106="Q",C106="R"),XLOOKUP("timeout_near_slow",Calibration!$B:$B,Calibration!$C:$C,28),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AJ106=TRUE,"ESCALATE",
C106="A",
IF(OR(I106="NOT_READABLE",I106="BLURRY",AND(R106="20_20_20",I106="READABLE")),"B","A"),
C106="B",
IF(reEsc,"ESCALATE",IF(AY106&gt;=phaseMax,"ESCALATE",IF(AND(AV106&gt;=AW106,I106="READABLE"),"E","B"))),
C106="E",
IF(AY106&gt;=phaseMax,"ESCALATE",IF(OR(I106="SAME",I106="CANT_TELL",AD106&lt;axisTol),"F","E")),
C106="F",
IF(AY106&gt;=phaseMax,"ESCALATE",IF(AX106&gt;=powerSameN,"G","F")),
C106="G",
IF(AY106&gt;=phaseMax,"ESCALATE",IF(OR(AX106&gt;=duoEqualN,BB106&gt;=duoMax),"D","G")),
C106="D",
IF(leEsc,"ESCALATE",IF(AY106&gt;=phaseMax,"ESCALATE",IF(AND(AV106&gt;=AW106,I106="READABLE"),"H","D"))),
C106="H",
IF(AY106&gt;=phaseMax,"ESCALATE",IF(OR(I106="SAME",I106="CANT_TELL",AD106&lt;axisTol),"I","H")),
C106="I",
IF(AY106&gt;=phaseMax,"ESCALATE",IF(AX106&gt;=powerSameN,"J","I")),
C106="J",
IF(AY106&gt;=phaseMax,"ESCALATE",IF(OR(AX106&gt;=duoEqualN,BB106&gt;=duoMax),"K","J")),
C106="K",
IF(AY106&gt;=phaseMax,"ESCALATE",IF(AX106&gt;=binoSameN,IF(XLOOKUP($B106,Derived_Variables!$A:$A,Derived_Variables!$AJ:$AJ,FALSE)=TRUE,"P","END"),"K")),
C106="P",
IF(AY106&gt;=phaseMax,"ESCALATE",IF(OR(I106="READABLE",I106="SAME"),"Q","P")),
C106="Q",
IF(AY106&gt;=phaseMax,"ESCALATE",IF(OR(I106="READABLE",I106="SAME"),"R","Q")),
C106="R",
IF(AY106&gt;=phaseMax,"ESCALATE",IF(OR(I106=nearTarget,I106="SAME"),"END","R")),
TRUE,"END"
)))</f>
        <v/>
      </c>
      <c r="BD106" s="28" t="b">
        <f t="shared" si="19"/>
        <v>0</v>
      </c>
    </row>
    <row r="107" ht="15.75" customHeight="1">
      <c r="A107" s="28">
        <f t="shared" si="3"/>
        <v>106</v>
      </c>
      <c r="B107" s="28">
        <f t="shared" si="4"/>
        <v>6</v>
      </c>
      <c r="C107" s="28" t="str">
        <f t="shared" si="5"/>
        <v/>
      </c>
      <c r="D107" s="28" t="str">
        <f t="array" ref="D107">IF($I106="","",XLOOKUP(C107,FSM_State_Map!A:A,FSM_State_Map!B:B,""))</f>
        <v/>
      </c>
      <c r="E107" s="28" t="str">
        <f t="array" ref="E107">IF($I106="","",XLOOKUP(C107,FSM_State_Map!A:A,FSM_State_Map!C:C,""))</f>
        <v/>
      </c>
      <c r="F107" s="28" t="str">
        <f t="array" ref="F107">IF($I106="","",XLOOKUP(E107,Phase_UI_Map!A:A,Phase_UI_Map!B:B,""))</f>
        <v/>
      </c>
      <c r="G107" s="28" t="str">
        <f t="array" ref="G107">IF($I106="","",XLOOKUP(E107,Phase_UI_Map!A:A,Phase_UI_Map!C:C,""))</f>
        <v/>
      </c>
      <c r="H107" s="28" t="str">
        <f t="array" ref="H107">IF($I106="","",XLOOKUP(E107,Phase_UI_Map!A:A,Phase_UI_Map!D:D,""))</f>
        <v/>
      </c>
      <c r="I107" s="29"/>
      <c r="J107" s="28" t="str">
        <f>IFERROR(__xludf.DUMMYFUNCTION("IF($I106="""","""",IFERROR(INDEX(FILTER(Response_Lists!$B:$B,Response_Lists!$A:$A=$H107),1),""""))"),"")</f>
        <v/>
      </c>
      <c r="K107" s="28" t="str">
        <f>IFERROR(__xludf.DUMMYFUNCTION("IF($I106="""","""",IFERROR(INDEX(FILTER(Response_Lists!$B:$B,Response_Lists!$A:$A=$H107),2),""""))"),"")</f>
        <v/>
      </c>
      <c r="L107" s="28" t="str">
        <f>IFERROR(__xludf.DUMMYFUNCTION("IF($I106="""","""",IFERROR(INDEX(FILTER(Response_Lists!$B:$B,Response_Lists!$A:$A=$H107),3),""""))"),"")</f>
        <v/>
      </c>
      <c r="M107" s="28" t="str">
        <f>IFERROR(__xludf.DUMMYFUNCTION("IF($I106="""","""",IFERROR(INDEX(FILTER(Response_Lists!$B:$B,Response_Lists!$A:$A=$H107),4),""""))"),"")</f>
        <v/>
      </c>
      <c r="N107" s="28" t="str">
        <f>IFERROR(__xludf.DUMMYFUNCTION("IF($I106="""","""",IFERROR(INDEX(FILTER(Response_Lists!$B:$B,Response_Lists!$A:$A=$H107),5),""""))"),"")</f>
        <v/>
      </c>
      <c r="O107" s="28" t="str">
        <f>IFERROR(__xludf.DUMMYFUNCTION("IF($I106="""","""",IFERROR(INDEX(FILTER(Response_Lists!$B:$B,Response_Lists!$A:$A=$H107),6),""""))"),"")</f>
        <v/>
      </c>
      <c r="P107" s="28" t="str">
        <f t="shared" si="6"/>
        <v/>
      </c>
      <c r="Q107" s="28" t="str">
        <f t="array" ref="Q107">IF($I106="","",XLOOKUP(C107,FSM_State_Map!A:A,FSM_State_Map!D:D,""))</f>
        <v/>
      </c>
      <c r="R107" s="28" t="str">
        <f t="shared" si="7"/>
        <v/>
      </c>
      <c r="S107" s="28" t="str">
        <f t="array" ref="S107">IF($I106="","",
IF(
  AND(C107="B",C106&lt;&gt;"B"),
  XLOOKUP($B107,Derived_Variables!$A:$A,Derived_Variables!$K:$K,0)
  + XLOOKUP($B107,Derived_Variables!$A:$A,Derived_Variables!$AE:$AE,0),
  S106+AM106
))</f>
        <v/>
      </c>
      <c r="T107" s="28" t="str">
        <f t="shared" ref="T107:U107" si="224">IF($I106="","",T106+AN106)</f>
        <v/>
      </c>
      <c r="U107" s="28" t="str">
        <f t="shared" si="224"/>
        <v/>
      </c>
      <c r="V107" s="28" t="str">
        <f t="array" ref="V107">IF($I106="","",
IF(
  AND(C107="D",C106&lt;&gt;"D"),
  XLOOKUP($B107,Derived_Variables!$A:$A,Derived_Variables!$N:$N,0)
  + XLOOKUP($B107,Derived_Variables!$A:$A,Derived_Variables!$AE:$AE,0),
  V106+AP106
))</f>
        <v/>
      </c>
      <c r="W107" s="28" t="str">
        <f t="shared" ref="W107:X107" si="225">IF($I106="","",W106+AQ106)</f>
        <v/>
      </c>
      <c r="X107" s="28" t="str">
        <f t="shared" si="225"/>
        <v/>
      </c>
      <c r="Y107" s="28" t="str">
        <f t="array" ref="Y107">IF($I106="","",IF(AND(C107="P",C106&lt;&gt;"P"),IFERROR(XLOOKUP($B107,Lenso_Input!$A:$A,Lenso_Input!$E:$E,0),0),Y106+AS106))</f>
        <v/>
      </c>
      <c r="Z107" s="28" t="str">
        <f t="array" ref="Z107">IF($I106="","",IF(AND(C107="Q",C106&lt;&gt;"Q"),IFERROR(XLOOKUP($B107,Lenso_Input!$A:$A,Lenso_Input!$I:$I,0),0),Z106+AT106))</f>
        <v/>
      </c>
      <c r="AA107" s="28" t="str">
        <f t="array" ref="AA107">IF($I106="","",IF(XLOOKUP($B107,Derived_Variables!$A:$A,Derived_Variables!$R:$R,"6/6_target")="6/6_target","20_20_20","40_30_25"))</f>
        <v/>
      </c>
      <c r="AB107" s="28" t="str">
        <f t="array" ref="AB107">IF($I106="","",XLOOKUP(LOWER(XLOOKUP($B107,Derived_Variables!$A:$A,Derived_Variables!$T:$T,"Standard"))&amp;"_sph_step",Calibration!$B:$B,Calibration!$C:$C,0.25))</f>
        <v/>
      </c>
      <c r="AC107" s="28" t="str">
        <f t="array" ref="AC107">IF($I106="","",XLOOKUP(LOWER(XLOOKUP($B107,Derived_Variables!$A:$A,Derived_Variables!$T:$T,"Standard"))&amp;"_cyl_step",Calibration!$B:$B,Calibration!$C:$C,0.25))</f>
        <v/>
      </c>
      <c r="AD107" s="28" t="str">
        <f t="array" ref="AD107">IF($I106="","",IF(OR(C107="E",C107="H"),LET(startStep,XLOOKUP("axis_start_step",Calibration!$B:$B,Calibration!$C:$C,5),step1,XLOOKUP("axis_reversal_step_1",Calibration!$B:$B,Calibration!$C:$C,3),step2,XLOOKUP("axis_reversal_step_2",Calibration!$B:$B,Calibration!$C:$C,1),IF(OR(C106&lt;&gt;C107,AZ107="",AZ107="SAME",AZ107="CANT_TELL",I107="",I107="SAME",I107="CANT_TELL"),startStep,IF(OR(AND(AZ107="BETTER_1",I107="BETTER_2"),AND(AZ107="BETTER_2",I107="BETTER_1")),IF(AD106&gt;step1,step1,step2),AD106))),0))</f>
        <v/>
      </c>
      <c r="AE107" s="28" t="str">
        <f t="array" ref="AE107">IF($I106="","",XLOOKUP($B107,Derived_Variables!$A:$A,Derived_Variables!$AD:$AD,"No_Fog"))</f>
        <v/>
      </c>
      <c r="AF107" s="28" t="str">
        <f t="array" ref="AF107">IF($I106="","",XLOOKUP($B107,Derived_Variables!$A:$A,Derived_Variables!$AE:$AE,0))</f>
        <v/>
      </c>
      <c r="AG107" s="28" t="str">
        <f t="array" ref="AG107">IF($I106="","",XLOOKUP($B107,Derived_Variables!$A:$A,Derived_Variables!$AF:$AF,""))</f>
        <v/>
      </c>
      <c r="AH107" s="28" t="str">
        <f t="array" ref="AH107">IF($I106="","",XLOOKUP($B107,Derived_Variables!$A:$A,Derived_Variables!$AG:$AG,""))</f>
        <v/>
      </c>
      <c r="AI107" s="28" t="str">
        <f t="array" ref="AI107">IF($I106="","",XLOOKUP($B107,Derived_Variables!$A:$A,Derived_Variables!$AC:$AC,"Medium"))</f>
        <v/>
      </c>
      <c r="AJ107" s="28" t="str">
        <f t="array" ref="AJ107">IF($I106="","",XLOOKUP($B107,Derived_Variables!$A:$A,Derived_Variables!$Y:$Y,FALSE))</f>
        <v/>
      </c>
      <c r="AK107" s="28" t="str">
        <f t="array" ref="AK107">IF($I106="","",XLOOKUP($B107,Derived_Variables!$A:$A,Derived_Variables!$AA:$AA,"Normal"))</f>
        <v/>
      </c>
      <c r="AL107" s="28" t="str">
        <f t="array" ref="AL107">IF($I106="","",XLOOKUP($B107,Derived_Variables!$A:$A,Derived_Variables!$AB:$AB,"Normal"))</f>
        <v/>
      </c>
      <c r="AM107" s="28" t="str">
        <f t="array" ref="AM107">IF($I107="","",IFS(C107="B",IF(OR(I107="NOT_READABLE",I107="BLURRY"),-AB107,0),C107="G",IFS(I107="RED_CLEARER",XLOOKUP("duochrome_red_step",Calibration!$B:$B,Calibration!$C:$C,-0.25),I107="GREEN_CLEARER",XLOOKUP("duochrome_green_step",Calibration!$B:$B,Calibration!$C:$C,0.25),I107="EQUAL",IF(XLOOKUP($B107,Derived_Variables!$A:$A,Derived_Variables!$S:$S,"Neutral")="Undercorrect",XLOOKUP("undercorrect_step",Calibration!$B:$B,Calibration!$C:$C,0.25),IF(XLOOKUP($B107,Derived_Variables!$A:$A,Derived_Variables!$S:$S,"Neutral")="Overcorrect",-XLOOKUP("overcorrect_step",Calibration!$B:$B,Calibration!$C:$C,0.25),0)),TRUE,0),C107="K",IF(I107="TOP_CLEARER",XLOOKUP("bino_balance_step",Calibration!$B:$B,Calibration!$C:$C,0.25),0),TRUE,0))</f>
        <v/>
      </c>
      <c r="AN107" s="28" t="str">
        <f t="shared" si="10"/>
        <v/>
      </c>
      <c r="AO107" s="28" t="str">
        <f t="shared" si="11"/>
        <v/>
      </c>
      <c r="AP107" s="28" t="str">
        <f t="array" ref="AP107">IF($I107="","",IFS(C107="D",IF(OR(I107="NOT_READABLE",I107="BLURRY"),-AB107,0),C107="J",IFS(I107="RED_CLEARER",XLOOKUP("duochrome_red_step",Calibration!$B:$B,Calibration!$C:$C,-0.25),I107="GREEN_CLEARER",XLOOKUP("duochrome_green_step",Calibration!$B:$B,Calibration!$C:$C,0.25),I107="EQUAL",IF(XLOOKUP($B107,Derived_Variables!$A:$A,Derived_Variables!$S:$S,"Neutral")="Undercorrect",XLOOKUP("undercorrect_step",Calibration!$B:$B,Calibration!$C:$C,0.25),IF(XLOOKUP($B107,Derived_Variables!$A:$A,Derived_Variables!$S:$S,"Neutral")="Overcorrect",-XLOOKUP("overcorrect_step",Calibration!$B:$B,Calibration!$C:$C,0.25),0)),TRUE,0),C107="K",IF(I107="BOTTOM_CLEARER",XLOOKUP("bino_balance_step",Calibration!$B:$B,Calibration!$C:$C,0.25),0),TRUE,0))</f>
        <v/>
      </c>
      <c r="AQ107" s="28" t="str">
        <f t="shared" si="12"/>
        <v/>
      </c>
      <c r="AR107" s="28" t="str">
        <f t="shared" si="13"/>
        <v/>
      </c>
      <c r="AS107" s="28" t="str">
        <f t="array" ref="AS107">IF($I107="","",IF(C107="P",IF(OR(I107="NOT_READABLE",I107="BLURRY"),XLOOKUP("near_add_step",Calibration!$B:$B,Calibration!$C:$C,0.25),0),IF(C107="R",IF(I107="NOT_CLEAR",XLOOKUP("near_add_step",Calibration!$B:$B,Calibration!$C:$C,0.25),0),0)))</f>
        <v/>
      </c>
      <c r="AT107" s="28" t="str">
        <f t="array" ref="AT107">IF($I107="","",IF(C107="Q",IF(OR(I107="NOT_READABLE",I107="BLURRY"),XLOOKUP("near_add_step",Calibration!$B:$B,Calibration!$C:$C,0.25),0),IF(C107="R",IF(I107="NOT_CLEAR",XLOOKUP("near_add_step",Calibration!$B:$B,Calibration!$C:$C,0.25),0),0)))</f>
        <v/>
      </c>
      <c r="AU107" s="28" t="str">
        <f t="array" ref="AU107">IF($I107="","",IF(G107="SNELLEN_FEET",IF(I107="READABLE",IFERROR(XLOOKUP(XLOOKUP(R107,Chart_Scale_Distance!B:B,Chart_Scale_Distance!A:A)+1,Chart_Scale_Distance!A:A,Chart_Scale_Distance!B:B),R107),R107),R107))</f>
        <v/>
      </c>
      <c r="AV107" s="28" t="str">
        <f t="array" ref="AV107">IF($I106="","",IFERROR(XLOOKUP(R107,Chart_Scale_Distance!$B:$B,Chart_Scale_Distance!$A:$A,""),""))</f>
        <v/>
      </c>
      <c r="AW107" s="28" t="str">
        <f t="array" ref="AW107">IF($I106="","",IFERROR(XLOOKUP(AA107,Chart_Scale_Distance!$B:$B,Chart_Scale_Distance!$A:$A,""),""))</f>
        <v/>
      </c>
      <c r="AX107" s="28" t="str">
        <f t="shared" si="14"/>
        <v/>
      </c>
      <c r="AY107" s="28" t="str">
        <f t="shared" si="15"/>
        <v/>
      </c>
      <c r="AZ107" s="28" t="str">
        <f t="shared" si="16"/>
        <v/>
      </c>
      <c r="BA107" s="28" t="str">
        <f t="shared" si="17"/>
        <v/>
      </c>
      <c r="BB107" s="28" t="str">
        <f t="shared" si="18"/>
        <v/>
      </c>
      <c r="BC107" s="28" t="str">
        <f t="array" ref="BC107">IF($I107="","",LET(
conf,AI107,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duoMax,XLOOKUP($B107,Derived_Variables!$A:$A,Derived_Variables!$AI:$AI,4),
axisTol,XLOOKUP($B107,Derived_Variables!$A:$A,Derived_Variables!$W:$W,1),
maxStart,XLOOKUP($B107,Derived_Variables!$A:$A,Derived_Variables!$U:$U,1.25),
maxAR,XLOOKUP($B107,Derived_Variables!$A:$A,Derived_Variables!$V:$V,3),
anom,XLOOKUP($B107,Derived_Variables!$A:$A,Derived_Variables!$Z:$Z,FALSE),
reStart,XLOOKUP($B107,Derived_Variables!$A:$A,Derived_Variables!$K:$K,0),
leStart,XLOOKUP($B107,Derived_Variables!$A:$A,Derived_Variables!$N:$N,0),
reAR,XLOOKUP($B107,AR_Input!$A:$A,AR_Input!$B:$B,reStart),
leAR,XLOOKUP($B107,AR_Input!$A:$A,AR_Input!$E:$E,leStart),
reEsc,AND(anom,OR(ABS((S107+AM107)-reStart)&gt;maxStart,ABS((S107+AM107)-reAR)&gt;maxAR)),
leEsc,AND(anom,OR(ABS((V107+AP107)-leStart)&gt;maxStart,ABS((V107+AP107)-leAR)&gt;maxAR)),
phaseMax,IFS(
 AK107="Fast",
   IFS(
     OR(C107="B",C107="D"),XLOOKUP("timeout_coarse_fast",Calibration!$B:$B,Calibration!$C:$C,24),
     OR(C107="E",C107="F",C107="H",C107="I"),XLOOKUP("timeout_jcc_fast",Calibration!$B:$B,Calibration!$C:$C,10),
     OR(C107="G",C107="J"),XLOOKUP("timeout_duochrome_fast",Calibration!$B:$B,Calibration!$C:$C,8),
     C107="K",XLOOKUP("timeout_bino_fast",Calibration!$B:$B,Calibration!$C:$C,10),
     OR(C107="P",C107="Q",C107="R"),XLOOKUP("timeout_near_fast",Calibration!$B:$B,Calibration!$C:$C,16),
     TRUE,XLOOKUP("timeout_coarse_fast",Calibration!$B:$B,Calibration!$C:$C,24)
   ),
 AK107="Normal",
   IFS(
     OR(C107="B",C107="D"),XLOOKUP("timeout_coarse_normal",Calibration!$B:$B,Calibration!$C:$C,36),
     OR(C107="E",C107="F",C107="H",C107="I"),XLOOKUP("timeout_jcc_normal",Calibration!$B:$B,Calibration!$C:$C,14),
     OR(C107="G",C107="J"),XLOOKUP("timeout_duochrome_normal",Calibration!$B:$B,Calibration!$C:$C,10),
     C107="K",XLOOKUP("timeout_bino_normal",Calibration!$B:$B,Calibration!$C:$C,14),
     OR(C107="P",C107="Q",C107="R"),XLOOKUP("timeout_near_normal",Calibration!$B:$B,Calibration!$C:$C,22),
     TRUE,XLOOKUP("timeout_coarse_normal",Calibration!$B:$B,Calibration!$C:$C,36)
   ),
 TRUE,
   IFS(
     OR(C107="B",C107="D"),XLOOKUP("timeout_coarse_slow",Calibration!$B:$B,Calibration!$C:$C,48),
     OR(C107="E",C107="F",C107="H",C107="I"),XLOOKUP("timeout_jcc_slow",Calibration!$B:$B,Calibration!$C:$C,18),
     OR(C107="G",C107="J"),XLOOKUP("timeout_duochrome_slow",Calibration!$B:$B,Calibration!$C:$C,12),
     C107="K",XLOOKUP("timeout_bino_slow",Calibration!$B:$B,Calibration!$C:$C,18),
     OR(C107="P",C107="Q",C107="R"),XLOOKUP("timeout_near_slow",Calibration!$B:$B,Calibration!$C:$C,28),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AJ107=TRUE,"ESCALATE",
C107="A",
IF(OR(I107="NOT_READABLE",I107="BLURRY",AND(R107="20_20_20",I107="READABLE")),"B","A"),
C107="B",
IF(reEsc,"ESCALATE",IF(AY107&gt;=phaseMax,"ESCALATE",IF(AND(AV107&gt;=AW107,I107="READABLE"),"E","B"))),
C107="E",
IF(AY107&gt;=phaseMax,"ESCALATE",IF(OR(I107="SAME",I107="CANT_TELL",AD107&lt;axisTol),"F","E")),
C107="F",
IF(AY107&gt;=phaseMax,"ESCALATE",IF(AX107&gt;=powerSameN,"G","F")),
C107="G",
IF(AY107&gt;=phaseMax,"ESCALATE",IF(OR(AX107&gt;=duoEqualN,BB107&gt;=duoMax),"D","G")),
C107="D",
IF(leEsc,"ESCALATE",IF(AY107&gt;=phaseMax,"ESCALATE",IF(AND(AV107&gt;=AW107,I107="READABLE"),"H","D"))),
C107="H",
IF(AY107&gt;=phaseMax,"ESCALATE",IF(OR(I107="SAME",I107="CANT_TELL",AD107&lt;axisTol),"I","H")),
C107="I",
IF(AY107&gt;=phaseMax,"ESCALATE",IF(AX107&gt;=powerSameN,"J","I")),
C107="J",
IF(AY107&gt;=phaseMax,"ESCALATE",IF(OR(AX107&gt;=duoEqualN,BB107&gt;=duoMax),"K","J")),
C107="K",
IF(AY107&gt;=phaseMax,"ESCALATE",IF(AX107&gt;=binoSameN,IF(XLOOKUP($B107,Derived_Variables!$A:$A,Derived_Variables!$AJ:$AJ,FALSE)=TRUE,"P","END"),"K")),
C107="P",
IF(AY107&gt;=phaseMax,"ESCALATE",IF(OR(I107="READABLE",I107="SAME"),"Q","P")),
C107="Q",
IF(AY107&gt;=phaseMax,"ESCALATE",IF(OR(I107="READABLE",I107="SAME"),"R","Q")),
C107="R",
IF(AY107&gt;=phaseMax,"ESCALATE",IF(OR(I107=nearTarget,I107="SAME"),"END","R")),
TRUE,"END"
)))</f>
        <v/>
      </c>
      <c r="BD107" s="28" t="b">
        <f t="shared" si="19"/>
        <v>0</v>
      </c>
    </row>
    <row r="108" ht="15.75" customHeight="1">
      <c r="A108" s="28">
        <f t="shared" si="3"/>
        <v>107</v>
      </c>
      <c r="B108" s="28">
        <f t="shared" si="4"/>
        <v>6</v>
      </c>
      <c r="C108" s="28" t="str">
        <f t="shared" si="5"/>
        <v/>
      </c>
      <c r="D108" s="28" t="str">
        <f t="array" ref="D108">IF($I107="","",XLOOKUP(C108,FSM_State_Map!A:A,FSM_State_Map!B:B,""))</f>
        <v/>
      </c>
      <c r="E108" s="28" t="str">
        <f t="array" ref="E108">IF($I107="","",XLOOKUP(C108,FSM_State_Map!A:A,FSM_State_Map!C:C,""))</f>
        <v/>
      </c>
      <c r="F108" s="28" t="str">
        <f t="array" ref="F108">IF($I107="","",XLOOKUP(E108,Phase_UI_Map!A:A,Phase_UI_Map!B:B,""))</f>
        <v/>
      </c>
      <c r="G108" s="28" t="str">
        <f t="array" ref="G108">IF($I107="","",XLOOKUP(E108,Phase_UI_Map!A:A,Phase_UI_Map!C:C,""))</f>
        <v/>
      </c>
      <c r="H108" s="28" t="str">
        <f t="array" ref="H108">IF($I107="","",XLOOKUP(E108,Phase_UI_Map!A:A,Phase_UI_Map!D:D,""))</f>
        <v/>
      </c>
      <c r="I108" s="29"/>
      <c r="J108" s="28" t="str">
        <f>IFERROR(__xludf.DUMMYFUNCTION("IF($I107="""","""",IFERROR(INDEX(FILTER(Response_Lists!$B:$B,Response_Lists!$A:$A=$H108),1),""""))"),"")</f>
        <v/>
      </c>
      <c r="K108" s="28" t="str">
        <f>IFERROR(__xludf.DUMMYFUNCTION("IF($I107="""","""",IFERROR(INDEX(FILTER(Response_Lists!$B:$B,Response_Lists!$A:$A=$H108),2),""""))"),"")</f>
        <v/>
      </c>
      <c r="L108" s="28" t="str">
        <f>IFERROR(__xludf.DUMMYFUNCTION("IF($I107="""","""",IFERROR(INDEX(FILTER(Response_Lists!$B:$B,Response_Lists!$A:$A=$H108),3),""""))"),"")</f>
        <v/>
      </c>
      <c r="M108" s="28" t="str">
        <f>IFERROR(__xludf.DUMMYFUNCTION("IF($I107="""","""",IFERROR(INDEX(FILTER(Response_Lists!$B:$B,Response_Lists!$A:$A=$H108),4),""""))"),"")</f>
        <v/>
      </c>
      <c r="N108" s="28" t="str">
        <f>IFERROR(__xludf.DUMMYFUNCTION("IF($I107="""","""",IFERROR(INDEX(FILTER(Response_Lists!$B:$B,Response_Lists!$A:$A=$H108),5),""""))"),"")</f>
        <v/>
      </c>
      <c r="O108" s="28" t="str">
        <f>IFERROR(__xludf.DUMMYFUNCTION("IF($I107="""","""",IFERROR(INDEX(FILTER(Response_Lists!$B:$B,Response_Lists!$A:$A=$H108),6),""""))"),"")</f>
        <v/>
      </c>
      <c r="P108" s="28" t="str">
        <f t="shared" si="6"/>
        <v/>
      </c>
      <c r="Q108" s="28" t="str">
        <f t="array" ref="Q108">IF($I107="","",XLOOKUP(C108,FSM_State_Map!A:A,FSM_State_Map!D:D,""))</f>
        <v/>
      </c>
      <c r="R108" s="28" t="str">
        <f t="shared" si="7"/>
        <v/>
      </c>
      <c r="S108" s="28" t="str">
        <f t="array" ref="S108">IF($I107="","",
IF(
  AND(C108="B",C107&lt;&gt;"B"),
  XLOOKUP($B108,Derived_Variables!$A:$A,Derived_Variables!$K:$K,0)
  + XLOOKUP($B108,Derived_Variables!$A:$A,Derived_Variables!$AE:$AE,0),
  S107+AM107
))</f>
        <v/>
      </c>
      <c r="T108" s="28" t="str">
        <f t="shared" ref="T108:U108" si="226">IF($I107="","",T107+AN107)</f>
        <v/>
      </c>
      <c r="U108" s="28" t="str">
        <f t="shared" si="226"/>
        <v/>
      </c>
      <c r="V108" s="28" t="str">
        <f t="array" ref="V108">IF($I107="","",
IF(
  AND(C108="D",C107&lt;&gt;"D"),
  XLOOKUP($B108,Derived_Variables!$A:$A,Derived_Variables!$N:$N,0)
  + XLOOKUP($B108,Derived_Variables!$A:$A,Derived_Variables!$AE:$AE,0),
  V107+AP107
))</f>
        <v/>
      </c>
      <c r="W108" s="28" t="str">
        <f t="shared" ref="W108:X108" si="227">IF($I107="","",W107+AQ107)</f>
        <v/>
      </c>
      <c r="X108" s="28" t="str">
        <f t="shared" si="227"/>
        <v/>
      </c>
      <c r="Y108" s="28" t="str">
        <f t="array" ref="Y108">IF($I107="","",IF(AND(C108="P",C107&lt;&gt;"P"),IFERROR(XLOOKUP($B108,Lenso_Input!$A:$A,Lenso_Input!$E:$E,0),0),Y107+AS107))</f>
        <v/>
      </c>
      <c r="Z108" s="28" t="str">
        <f t="array" ref="Z108">IF($I107="","",IF(AND(C108="Q",C107&lt;&gt;"Q"),IFERROR(XLOOKUP($B108,Lenso_Input!$A:$A,Lenso_Input!$I:$I,0),0),Z107+AT107))</f>
        <v/>
      </c>
      <c r="AA108" s="28" t="str">
        <f t="array" ref="AA108">IF($I107="","",IF(XLOOKUP($B108,Derived_Variables!$A:$A,Derived_Variables!$R:$R,"6/6_target")="6/6_target","20_20_20","40_30_25"))</f>
        <v/>
      </c>
      <c r="AB108" s="28" t="str">
        <f t="array" ref="AB108">IF($I107="","",XLOOKUP(LOWER(XLOOKUP($B108,Derived_Variables!$A:$A,Derived_Variables!$T:$T,"Standard"))&amp;"_sph_step",Calibration!$B:$B,Calibration!$C:$C,0.25))</f>
        <v/>
      </c>
      <c r="AC108" s="28" t="str">
        <f t="array" ref="AC108">IF($I107="","",XLOOKUP(LOWER(XLOOKUP($B108,Derived_Variables!$A:$A,Derived_Variables!$T:$T,"Standard"))&amp;"_cyl_step",Calibration!$B:$B,Calibration!$C:$C,0.25))</f>
        <v/>
      </c>
      <c r="AD108" s="28" t="str">
        <f t="array" ref="AD108">IF($I107="","",IF(OR(C108="E",C108="H"),LET(startStep,XLOOKUP("axis_start_step",Calibration!$B:$B,Calibration!$C:$C,5),step1,XLOOKUP("axis_reversal_step_1",Calibration!$B:$B,Calibration!$C:$C,3),step2,XLOOKUP("axis_reversal_step_2",Calibration!$B:$B,Calibration!$C:$C,1),IF(OR(C107&lt;&gt;C108,AZ108="",AZ108="SAME",AZ108="CANT_TELL",I108="",I108="SAME",I108="CANT_TELL"),startStep,IF(OR(AND(AZ108="BETTER_1",I108="BETTER_2"),AND(AZ108="BETTER_2",I108="BETTER_1")),IF(AD107&gt;step1,step1,step2),AD107))),0))</f>
        <v/>
      </c>
      <c r="AE108" s="28" t="str">
        <f t="array" ref="AE108">IF($I107="","",XLOOKUP($B108,Derived_Variables!$A:$A,Derived_Variables!$AD:$AD,"No_Fog"))</f>
        <v/>
      </c>
      <c r="AF108" s="28" t="str">
        <f t="array" ref="AF108">IF($I107="","",XLOOKUP($B108,Derived_Variables!$A:$A,Derived_Variables!$AE:$AE,0))</f>
        <v/>
      </c>
      <c r="AG108" s="28" t="str">
        <f t="array" ref="AG108">IF($I107="","",XLOOKUP($B108,Derived_Variables!$A:$A,Derived_Variables!$AF:$AF,""))</f>
        <v/>
      </c>
      <c r="AH108" s="28" t="str">
        <f t="array" ref="AH108">IF($I107="","",XLOOKUP($B108,Derived_Variables!$A:$A,Derived_Variables!$AG:$AG,""))</f>
        <v/>
      </c>
      <c r="AI108" s="28" t="str">
        <f t="array" ref="AI108">IF($I107="","",XLOOKUP($B108,Derived_Variables!$A:$A,Derived_Variables!$AC:$AC,"Medium"))</f>
        <v/>
      </c>
      <c r="AJ108" s="28" t="str">
        <f t="array" ref="AJ108">IF($I107="","",XLOOKUP($B108,Derived_Variables!$A:$A,Derived_Variables!$Y:$Y,FALSE))</f>
        <v/>
      </c>
      <c r="AK108" s="28" t="str">
        <f t="array" ref="AK108">IF($I107="","",XLOOKUP($B108,Derived_Variables!$A:$A,Derived_Variables!$AA:$AA,"Normal"))</f>
        <v/>
      </c>
      <c r="AL108" s="28" t="str">
        <f t="array" ref="AL108">IF($I107="","",XLOOKUP($B108,Derived_Variables!$A:$A,Derived_Variables!$AB:$AB,"Normal"))</f>
        <v/>
      </c>
      <c r="AM108" s="28" t="str">
        <f t="array" ref="AM108">IF($I108="","",IFS(C108="B",IF(OR(I108="NOT_READABLE",I108="BLURRY"),-AB108,0),C108="G",IFS(I108="RED_CLEARER",XLOOKUP("duochrome_red_step",Calibration!$B:$B,Calibration!$C:$C,-0.25),I108="GREEN_CLEARER",XLOOKUP("duochrome_green_step",Calibration!$B:$B,Calibration!$C:$C,0.25),I108="EQUAL",IF(XLOOKUP($B108,Derived_Variables!$A:$A,Derived_Variables!$S:$S,"Neutral")="Undercorrect",XLOOKUP("undercorrect_step",Calibration!$B:$B,Calibration!$C:$C,0.25),IF(XLOOKUP($B108,Derived_Variables!$A:$A,Derived_Variables!$S:$S,"Neutral")="Overcorrect",-XLOOKUP("overcorrect_step",Calibration!$B:$B,Calibration!$C:$C,0.25),0)),TRUE,0),C108="K",IF(I108="TOP_CLEARER",XLOOKUP("bino_balance_step",Calibration!$B:$B,Calibration!$C:$C,0.25),0),TRUE,0))</f>
        <v/>
      </c>
      <c r="AN108" s="28" t="str">
        <f t="shared" si="10"/>
        <v/>
      </c>
      <c r="AO108" s="28" t="str">
        <f t="shared" si="11"/>
        <v/>
      </c>
      <c r="AP108" s="28" t="str">
        <f t="array" ref="AP108">IF($I108="","",IFS(C108="D",IF(OR(I108="NOT_READABLE",I108="BLURRY"),-AB108,0),C108="J",IFS(I108="RED_CLEARER",XLOOKUP("duochrome_red_step",Calibration!$B:$B,Calibration!$C:$C,-0.25),I108="GREEN_CLEARER",XLOOKUP("duochrome_green_step",Calibration!$B:$B,Calibration!$C:$C,0.25),I108="EQUAL",IF(XLOOKUP($B108,Derived_Variables!$A:$A,Derived_Variables!$S:$S,"Neutral")="Undercorrect",XLOOKUP("undercorrect_step",Calibration!$B:$B,Calibration!$C:$C,0.25),IF(XLOOKUP($B108,Derived_Variables!$A:$A,Derived_Variables!$S:$S,"Neutral")="Overcorrect",-XLOOKUP("overcorrect_step",Calibration!$B:$B,Calibration!$C:$C,0.25),0)),TRUE,0),C108="K",IF(I108="BOTTOM_CLEARER",XLOOKUP("bino_balance_step",Calibration!$B:$B,Calibration!$C:$C,0.25),0),TRUE,0))</f>
        <v/>
      </c>
      <c r="AQ108" s="28" t="str">
        <f t="shared" si="12"/>
        <v/>
      </c>
      <c r="AR108" s="28" t="str">
        <f t="shared" si="13"/>
        <v/>
      </c>
      <c r="AS108" s="28" t="str">
        <f t="array" ref="AS108">IF($I108="","",IF(C108="P",IF(OR(I108="NOT_READABLE",I108="BLURRY"),XLOOKUP("near_add_step",Calibration!$B:$B,Calibration!$C:$C,0.25),0),IF(C108="R",IF(I108="NOT_CLEAR",XLOOKUP("near_add_step",Calibration!$B:$B,Calibration!$C:$C,0.25),0),0)))</f>
        <v/>
      </c>
      <c r="AT108" s="28" t="str">
        <f t="array" ref="AT108">IF($I108="","",IF(C108="Q",IF(OR(I108="NOT_READABLE",I108="BLURRY"),XLOOKUP("near_add_step",Calibration!$B:$B,Calibration!$C:$C,0.25),0),IF(C108="R",IF(I108="NOT_CLEAR",XLOOKUP("near_add_step",Calibration!$B:$B,Calibration!$C:$C,0.25),0),0)))</f>
        <v/>
      </c>
      <c r="AU108" s="28" t="str">
        <f t="array" ref="AU108">IF($I108="","",IF(G108="SNELLEN_FEET",IF(I108="READABLE",IFERROR(XLOOKUP(XLOOKUP(R108,Chart_Scale_Distance!B:B,Chart_Scale_Distance!A:A)+1,Chart_Scale_Distance!A:A,Chart_Scale_Distance!B:B),R108),R108),R108))</f>
        <v/>
      </c>
      <c r="AV108" s="28" t="str">
        <f t="array" ref="AV108">IF($I107="","",IFERROR(XLOOKUP(R108,Chart_Scale_Distance!$B:$B,Chart_Scale_Distance!$A:$A,""),""))</f>
        <v/>
      </c>
      <c r="AW108" s="28" t="str">
        <f t="array" ref="AW108">IF($I107="","",IFERROR(XLOOKUP(AA108,Chart_Scale_Distance!$B:$B,Chart_Scale_Distance!$A:$A,""),""))</f>
        <v/>
      </c>
      <c r="AX108" s="28" t="str">
        <f t="shared" si="14"/>
        <v/>
      </c>
      <c r="AY108" s="28" t="str">
        <f t="shared" si="15"/>
        <v/>
      </c>
      <c r="AZ108" s="28" t="str">
        <f t="shared" si="16"/>
        <v/>
      </c>
      <c r="BA108" s="28" t="str">
        <f t="shared" si="17"/>
        <v/>
      </c>
      <c r="BB108" s="28" t="str">
        <f t="shared" si="18"/>
        <v/>
      </c>
      <c r="BC108" s="28" t="str">
        <f t="array" ref="BC108">IF($I108="","",LET(
conf,AI108,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duoMax,XLOOKUP($B108,Derived_Variables!$A:$A,Derived_Variables!$AI:$AI,4),
axisTol,XLOOKUP($B108,Derived_Variables!$A:$A,Derived_Variables!$W:$W,1),
maxStart,XLOOKUP($B108,Derived_Variables!$A:$A,Derived_Variables!$U:$U,1.25),
maxAR,XLOOKUP($B108,Derived_Variables!$A:$A,Derived_Variables!$V:$V,3),
anom,XLOOKUP($B108,Derived_Variables!$A:$A,Derived_Variables!$Z:$Z,FALSE),
reStart,XLOOKUP($B108,Derived_Variables!$A:$A,Derived_Variables!$K:$K,0),
leStart,XLOOKUP($B108,Derived_Variables!$A:$A,Derived_Variables!$N:$N,0),
reAR,XLOOKUP($B108,AR_Input!$A:$A,AR_Input!$B:$B,reStart),
leAR,XLOOKUP($B108,AR_Input!$A:$A,AR_Input!$E:$E,leStart),
reEsc,AND(anom,OR(ABS((S108+AM108)-reStart)&gt;maxStart,ABS((S108+AM108)-reAR)&gt;maxAR)),
leEsc,AND(anom,OR(ABS((V108+AP108)-leStart)&gt;maxStart,ABS((V108+AP108)-leAR)&gt;maxAR)),
phaseMax,IFS(
 AK108="Fast",
   IFS(
     OR(C108="B",C108="D"),XLOOKUP("timeout_coarse_fast",Calibration!$B:$B,Calibration!$C:$C,24),
     OR(C108="E",C108="F",C108="H",C108="I"),XLOOKUP("timeout_jcc_fast",Calibration!$B:$B,Calibration!$C:$C,10),
     OR(C108="G",C108="J"),XLOOKUP("timeout_duochrome_fast",Calibration!$B:$B,Calibration!$C:$C,8),
     C108="K",XLOOKUP("timeout_bino_fast",Calibration!$B:$B,Calibration!$C:$C,10),
     OR(C108="P",C108="Q",C108="R"),XLOOKUP("timeout_near_fast",Calibration!$B:$B,Calibration!$C:$C,16),
     TRUE,XLOOKUP("timeout_coarse_fast",Calibration!$B:$B,Calibration!$C:$C,24)
   ),
 AK108="Normal",
   IFS(
     OR(C108="B",C108="D"),XLOOKUP("timeout_coarse_normal",Calibration!$B:$B,Calibration!$C:$C,36),
     OR(C108="E",C108="F",C108="H",C108="I"),XLOOKUP("timeout_jcc_normal",Calibration!$B:$B,Calibration!$C:$C,14),
     OR(C108="G",C108="J"),XLOOKUP("timeout_duochrome_normal",Calibration!$B:$B,Calibration!$C:$C,10),
     C108="K",XLOOKUP("timeout_bino_normal",Calibration!$B:$B,Calibration!$C:$C,14),
     OR(C108="P",C108="Q",C108="R"),XLOOKUP("timeout_near_normal",Calibration!$B:$B,Calibration!$C:$C,22),
     TRUE,XLOOKUP("timeout_coarse_normal",Calibration!$B:$B,Calibration!$C:$C,36)
   ),
 TRUE,
   IFS(
     OR(C108="B",C108="D"),XLOOKUP("timeout_coarse_slow",Calibration!$B:$B,Calibration!$C:$C,48),
     OR(C108="E",C108="F",C108="H",C108="I"),XLOOKUP("timeout_jcc_slow",Calibration!$B:$B,Calibration!$C:$C,18),
     OR(C108="G",C108="J"),XLOOKUP("timeout_duochrome_slow",Calibration!$B:$B,Calibration!$C:$C,12),
     C108="K",XLOOKUP("timeout_bino_slow",Calibration!$B:$B,Calibration!$C:$C,18),
     OR(C108="P",C108="Q",C108="R"),XLOOKUP("timeout_near_slow",Calibration!$B:$B,Calibration!$C:$C,28),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AJ108=TRUE,"ESCALATE",
C108="A",
IF(OR(I108="NOT_READABLE",I108="BLURRY",AND(R108="20_20_20",I108="READABLE")),"B","A"),
C108="B",
IF(reEsc,"ESCALATE",IF(AY108&gt;=phaseMax,"ESCALATE",IF(AND(AV108&gt;=AW108,I108="READABLE"),"E","B"))),
C108="E",
IF(AY108&gt;=phaseMax,"ESCALATE",IF(OR(I108="SAME",I108="CANT_TELL",AD108&lt;axisTol),"F","E")),
C108="F",
IF(AY108&gt;=phaseMax,"ESCALATE",IF(AX108&gt;=powerSameN,"G","F")),
C108="G",
IF(AY108&gt;=phaseMax,"ESCALATE",IF(OR(AX108&gt;=duoEqualN,BB108&gt;=duoMax),"D","G")),
C108="D",
IF(leEsc,"ESCALATE",IF(AY108&gt;=phaseMax,"ESCALATE",IF(AND(AV108&gt;=AW108,I108="READABLE"),"H","D"))),
C108="H",
IF(AY108&gt;=phaseMax,"ESCALATE",IF(OR(I108="SAME",I108="CANT_TELL",AD108&lt;axisTol),"I","H")),
C108="I",
IF(AY108&gt;=phaseMax,"ESCALATE",IF(AX108&gt;=powerSameN,"J","I")),
C108="J",
IF(AY108&gt;=phaseMax,"ESCALATE",IF(OR(AX108&gt;=duoEqualN,BB108&gt;=duoMax),"K","J")),
C108="K",
IF(AY108&gt;=phaseMax,"ESCALATE",IF(AX108&gt;=binoSameN,IF(XLOOKUP($B108,Derived_Variables!$A:$A,Derived_Variables!$AJ:$AJ,FALSE)=TRUE,"P","END"),"K")),
C108="P",
IF(AY108&gt;=phaseMax,"ESCALATE",IF(OR(I108="READABLE",I108="SAME"),"Q","P")),
C108="Q",
IF(AY108&gt;=phaseMax,"ESCALATE",IF(OR(I108="READABLE",I108="SAME"),"R","Q")),
C108="R",
IF(AY108&gt;=phaseMax,"ESCALATE",IF(OR(I108=nearTarget,I108="SAME"),"END","R")),
TRUE,"END"
)))</f>
        <v/>
      </c>
      <c r="BD108" s="28" t="b">
        <f t="shared" si="19"/>
        <v>0</v>
      </c>
    </row>
    <row r="109" ht="15.75" customHeight="1">
      <c r="A109" s="28">
        <f t="shared" si="3"/>
        <v>108</v>
      </c>
      <c r="B109" s="28">
        <f t="shared" si="4"/>
        <v>6</v>
      </c>
      <c r="C109" s="28" t="str">
        <f t="shared" si="5"/>
        <v/>
      </c>
      <c r="D109" s="28" t="str">
        <f t="array" ref="D109">IF($I108="","",XLOOKUP(C109,FSM_State_Map!A:A,FSM_State_Map!B:B,""))</f>
        <v/>
      </c>
      <c r="E109" s="28" t="str">
        <f t="array" ref="E109">IF($I108="","",XLOOKUP(C109,FSM_State_Map!A:A,FSM_State_Map!C:C,""))</f>
        <v/>
      </c>
      <c r="F109" s="28" t="str">
        <f t="array" ref="F109">IF($I108="","",XLOOKUP(E109,Phase_UI_Map!A:A,Phase_UI_Map!B:B,""))</f>
        <v/>
      </c>
      <c r="G109" s="28" t="str">
        <f t="array" ref="G109">IF($I108="","",XLOOKUP(E109,Phase_UI_Map!A:A,Phase_UI_Map!C:C,""))</f>
        <v/>
      </c>
      <c r="H109" s="28" t="str">
        <f t="array" ref="H109">IF($I108="","",XLOOKUP(E109,Phase_UI_Map!A:A,Phase_UI_Map!D:D,""))</f>
        <v/>
      </c>
      <c r="I109" s="29"/>
      <c r="J109" s="28" t="str">
        <f>IFERROR(__xludf.DUMMYFUNCTION("IF($I108="""","""",IFERROR(INDEX(FILTER(Response_Lists!$B:$B,Response_Lists!$A:$A=$H109),1),""""))"),"")</f>
        <v/>
      </c>
      <c r="K109" s="28" t="str">
        <f>IFERROR(__xludf.DUMMYFUNCTION("IF($I108="""","""",IFERROR(INDEX(FILTER(Response_Lists!$B:$B,Response_Lists!$A:$A=$H109),2),""""))"),"")</f>
        <v/>
      </c>
      <c r="L109" s="28" t="str">
        <f>IFERROR(__xludf.DUMMYFUNCTION("IF($I108="""","""",IFERROR(INDEX(FILTER(Response_Lists!$B:$B,Response_Lists!$A:$A=$H109),3),""""))"),"")</f>
        <v/>
      </c>
      <c r="M109" s="28" t="str">
        <f>IFERROR(__xludf.DUMMYFUNCTION("IF($I108="""","""",IFERROR(INDEX(FILTER(Response_Lists!$B:$B,Response_Lists!$A:$A=$H109),4),""""))"),"")</f>
        <v/>
      </c>
      <c r="N109" s="28" t="str">
        <f>IFERROR(__xludf.DUMMYFUNCTION("IF($I108="""","""",IFERROR(INDEX(FILTER(Response_Lists!$B:$B,Response_Lists!$A:$A=$H109),5),""""))"),"")</f>
        <v/>
      </c>
      <c r="O109" s="28" t="str">
        <f>IFERROR(__xludf.DUMMYFUNCTION("IF($I108="""","""",IFERROR(INDEX(FILTER(Response_Lists!$B:$B,Response_Lists!$A:$A=$H109),6),""""))"),"")</f>
        <v/>
      </c>
      <c r="P109" s="28" t="str">
        <f t="shared" si="6"/>
        <v/>
      </c>
      <c r="Q109" s="28" t="str">
        <f t="array" ref="Q109">IF($I108="","",XLOOKUP(C109,FSM_State_Map!A:A,FSM_State_Map!D:D,""))</f>
        <v/>
      </c>
      <c r="R109" s="28" t="str">
        <f t="shared" si="7"/>
        <v/>
      </c>
      <c r="S109" s="28" t="str">
        <f t="array" ref="S109">IF($I108="","",
IF(
  AND(C109="B",C108&lt;&gt;"B"),
  XLOOKUP($B109,Derived_Variables!$A:$A,Derived_Variables!$K:$K,0)
  + XLOOKUP($B109,Derived_Variables!$A:$A,Derived_Variables!$AE:$AE,0),
  S108+AM108
))</f>
        <v/>
      </c>
      <c r="T109" s="28" t="str">
        <f t="shared" ref="T109:U109" si="228">IF($I108="","",T108+AN108)</f>
        <v/>
      </c>
      <c r="U109" s="28" t="str">
        <f t="shared" si="228"/>
        <v/>
      </c>
      <c r="V109" s="28" t="str">
        <f t="array" ref="V109">IF($I108="","",
IF(
  AND(C109="D",C108&lt;&gt;"D"),
  XLOOKUP($B109,Derived_Variables!$A:$A,Derived_Variables!$N:$N,0)
  + XLOOKUP($B109,Derived_Variables!$A:$A,Derived_Variables!$AE:$AE,0),
  V108+AP108
))</f>
        <v/>
      </c>
      <c r="W109" s="28" t="str">
        <f t="shared" ref="W109:X109" si="229">IF($I108="","",W108+AQ108)</f>
        <v/>
      </c>
      <c r="X109" s="28" t="str">
        <f t="shared" si="229"/>
        <v/>
      </c>
      <c r="Y109" s="28" t="str">
        <f t="array" ref="Y109">IF($I108="","",IF(AND(C109="P",C108&lt;&gt;"P"),IFERROR(XLOOKUP($B109,Lenso_Input!$A:$A,Lenso_Input!$E:$E,0),0),Y108+AS108))</f>
        <v/>
      </c>
      <c r="Z109" s="28" t="str">
        <f t="array" ref="Z109">IF($I108="","",IF(AND(C109="Q",C108&lt;&gt;"Q"),IFERROR(XLOOKUP($B109,Lenso_Input!$A:$A,Lenso_Input!$I:$I,0),0),Z108+AT108))</f>
        <v/>
      </c>
      <c r="AA109" s="28" t="str">
        <f t="array" ref="AA109">IF($I108="","",IF(XLOOKUP($B109,Derived_Variables!$A:$A,Derived_Variables!$R:$R,"6/6_target")="6/6_target","20_20_20","40_30_25"))</f>
        <v/>
      </c>
      <c r="AB109" s="28" t="str">
        <f t="array" ref="AB109">IF($I108="","",XLOOKUP(LOWER(XLOOKUP($B109,Derived_Variables!$A:$A,Derived_Variables!$T:$T,"Standard"))&amp;"_sph_step",Calibration!$B:$B,Calibration!$C:$C,0.25))</f>
        <v/>
      </c>
      <c r="AC109" s="28" t="str">
        <f t="array" ref="AC109">IF($I108="","",XLOOKUP(LOWER(XLOOKUP($B109,Derived_Variables!$A:$A,Derived_Variables!$T:$T,"Standard"))&amp;"_cyl_step",Calibration!$B:$B,Calibration!$C:$C,0.25))</f>
        <v/>
      </c>
      <c r="AD109" s="28" t="str">
        <f t="array" ref="AD109">IF($I108="","",IF(OR(C109="E",C109="H"),LET(startStep,XLOOKUP("axis_start_step",Calibration!$B:$B,Calibration!$C:$C,5),step1,XLOOKUP("axis_reversal_step_1",Calibration!$B:$B,Calibration!$C:$C,3),step2,XLOOKUP("axis_reversal_step_2",Calibration!$B:$B,Calibration!$C:$C,1),IF(OR(C108&lt;&gt;C109,AZ109="",AZ109="SAME",AZ109="CANT_TELL",I109="",I109="SAME",I109="CANT_TELL"),startStep,IF(OR(AND(AZ109="BETTER_1",I109="BETTER_2"),AND(AZ109="BETTER_2",I109="BETTER_1")),IF(AD108&gt;step1,step1,step2),AD108))),0))</f>
        <v/>
      </c>
      <c r="AE109" s="28" t="str">
        <f t="array" ref="AE109">IF($I108="","",XLOOKUP($B109,Derived_Variables!$A:$A,Derived_Variables!$AD:$AD,"No_Fog"))</f>
        <v/>
      </c>
      <c r="AF109" s="28" t="str">
        <f t="array" ref="AF109">IF($I108="","",XLOOKUP($B109,Derived_Variables!$A:$A,Derived_Variables!$AE:$AE,0))</f>
        <v/>
      </c>
      <c r="AG109" s="28" t="str">
        <f t="array" ref="AG109">IF($I108="","",XLOOKUP($B109,Derived_Variables!$A:$A,Derived_Variables!$AF:$AF,""))</f>
        <v/>
      </c>
      <c r="AH109" s="28" t="str">
        <f t="array" ref="AH109">IF($I108="","",XLOOKUP($B109,Derived_Variables!$A:$A,Derived_Variables!$AG:$AG,""))</f>
        <v/>
      </c>
      <c r="AI109" s="28" t="str">
        <f t="array" ref="AI109">IF($I108="","",XLOOKUP($B109,Derived_Variables!$A:$A,Derived_Variables!$AC:$AC,"Medium"))</f>
        <v/>
      </c>
      <c r="AJ109" s="28" t="str">
        <f t="array" ref="AJ109">IF($I108="","",XLOOKUP($B109,Derived_Variables!$A:$A,Derived_Variables!$Y:$Y,FALSE))</f>
        <v/>
      </c>
      <c r="AK109" s="28" t="str">
        <f t="array" ref="AK109">IF($I108="","",XLOOKUP($B109,Derived_Variables!$A:$A,Derived_Variables!$AA:$AA,"Normal"))</f>
        <v/>
      </c>
      <c r="AL109" s="28" t="str">
        <f t="array" ref="AL109">IF($I108="","",XLOOKUP($B109,Derived_Variables!$A:$A,Derived_Variables!$AB:$AB,"Normal"))</f>
        <v/>
      </c>
      <c r="AM109" s="28" t="str">
        <f t="array" ref="AM109">IF($I109="","",IFS(C109="B",IF(OR(I109="NOT_READABLE",I109="BLURRY"),-AB109,0),C109="G",IFS(I109="RED_CLEARER",XLOOKUP("duochrome_red_step",Calibration!$B:$B,Calibration!$C:$C,-0.25),I109="GREEN_CLEARER",XLOOKUP("duochrome_green_step",Calibration!$B:$B,Calibration!$C:$C,0.25),I109="EQUAL",IF(XLOOKUP($B109,Derived_Variables!$A:$A,Derived_Variables!$S:$S,"Neutral")="Undercorrect",XLOOKUP("undercorrect_step",Calibration!$B:$B,Calibration!$C:$C,0.25),IF(XLOOKUP($B109,Derived_Variables!$A:$A,Derived_Variables!$S:$S,"Neutral")="Overcorrect",-XLOOKUP("overcorrect_step",Calibration!$B:$B,Calibration!$C:$C,0.25),0)),TRUE,0),C109="K",IF(I109="TOP_CLEARER",XLOOKUP("bino_balance_step",Calibration!$B:$B,Calibration!$C:$C,0.25),0),TRUE,0))</f>
        <v/>
      </c>
      <c r="AN109" s="28" t="str">
        <f t="shared" si="10"/>
        <v/>
      </c>
      <c r="AO109" s="28" t="str">
        <f t="shared" si="11"/>
        <v/>
      </c>
      <c r="AP109" s="28" t="str">
        <f t="array" ref="AP109">IF($I109="","",IFS(C109="D",IF(OR(I109="NOT_READABLE",I109="BLURRY"),-AB109,0),C109="J",IFS(I109="RED_CLEARER",XLOOKUP("duochrome_red_step",Calibration!$B:$B,Calibration!$C:$C,-0.25),I109="GREEN_CLEARER",XLOOKUP("duochrome_green_step",Calibration!$B:$B,Calibration!$C:$C,0.25),I109="EQUAL",IF(XLOOKUP($B109,Derived_Variables!$A:$A,Derived_Variables!$S:$S,"Neutral")="Undercorrect",XLOOKUP("undercorrect_step",Calibration!$B:$B,Calibration!$C:$C,0.25),IF(XLOOKUP($B109,Derived_Variables!$A:$A,Derived_Variables!$S:$S,"Neutral")="Overcorrect",-XLOOKUP("overcorrect_step",Calibration!$B:$B,Calibration!$C:$C,0.25),0)),TRUE,0),C109="K",IF(I109="BOTTOM_CLEARER",XLOOKUP("bino_balance_step",Calibration!$B:$B,Calibration!$C:$C,0.25),0),TRUE,0))</f>
        <v/>
      </c>
      <c r="AQ109" s="28" t="str">
        <f t="shared" si="12"/>
        <v/>
      </c>
      <c r="AR109" s="28" t="str">
        <f t="shared" si="13"/>
        <v/>
      </c>
      <c r="AS109" s="28" t="str">
        <f t="array" ref="AS109">IF($I109="","",IF(C109="P",IF(OR(I109="NOT_READABLE",I109="BLURRY"),XLOOKUP("near_add_step",Calibration!$B:$B,Calibration!$C:$C,0.25),0),IF(C109="R",IF(I109="NOT_CLEAR",XLOOKUP("near_add_step",Calibration!$B:$B,Calibration!$C:$C,0.25),0),0)))</f>
        <v/>
      </c>
      <c r="AT109" s="28" t="str">
        <f t="array" ref="AT109">IF($I109="","",IF(C109="Q",IF(OR(I109="NOT_READABLE",I109="BLURRY"),XLOOKUP("near_add_step",Calibration!$B:$B,Calibration!$C:$C,0.25),0),IF(C109="R",IF(I109="NOT_CLEAR",XLOOKUP("near_add_step",Calibration!$B:$B,Calibration!$C:$C,0.25),0),0)))</f>
        <v/>
      </c>
      <c r="AU109" s="28" t="str">
        <f t="array" ref="AU109">IF($I109="","",IF(G109="SNELLEN_FEET",IF(I109="READABLE",IFERROR(XLOOKUP(XLOOKUP(R109,Chart_Scale_Distance!B:B,Chart_Scale_Distance!A:A)+1,Chart_Scale_Distance!A:A,Chart_Scale_Distance!B:B),R109),R109),R109))</f>
        <v/>
      </c>
      <c r="AV109" s="28" t="str">
        <f t="array" ref="AV109">IF($I108="","",IFERROR(XLOOKUP(R109,Chart_Scale_Distance!$B:$B,Chart_Scale_Distance!$A:$A,""),""))</f>
        <v/>
      </c>
      <c r="AW109" s="28" t="str">
        <f t="array" ref="AW109">IF($I108="","",IFERROR(XLOOKUP(AA109,Chart_Scale_Distance!$B:$B,Chart_Scale_Distance!$A:$A,""),""))</f>
        <v/>
      </c>
      <c r="AX109" s="28" t="str">
        <f t="shared" si="14"/>
        <v/>
      </c>
      <c r="AY109" s="28" t="str">
        <f t="shared" si="15"/>
        <v/>
      </c>
      <c r="AZ109" s="28" t="str">
        <f t="shared" si="16"/>
        <v/>
      </c>
      <c r="BA109" s="28" t="str">
        <f t="shared" si="17"/>
        <v/>
      </c>
      <c r="BB109" s="28" t="str">
        <f t="shared" si="18"/>
        <v/>
      </c>
      <c r="BC109" s="28" t="str">
        <f t="array" ref="BC109">IF($I109="","",LET(
conf,AI109,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duoMax,XLOOKUP($B109,Derived_Variables!$A:$A,Derived_Variables!$AI:$AI,4),
axisTol,XLOOKUP($B109,Derived_Variables!$A:$A,Derived_Variables!$W:$W,1),
maxStart,XLOOKUP($B109,Derived_Variables!$A:$A,Derived_Variables!$U:$U,1.25),
maxAR,XLOOKUP($B109,Derived_Variables!$A:$A,Derived_Variables!$V:$V,3),
anom,XLOOKUP($B109,Derived_Variables!$A:$A,Derived_Variables!$Z:$Z,FALSE),
reStart,XLOOKUP($B109,Derived_Variables!$A:$A,Derived_Variables!$K:$K,0),
leStart,XLOOKUP($B109,Derived_Variables!$A:$A,Derived_Variables!$N:$N,0),
reAR,XLOOKUP($B109,AR_Input!$A:$A,AR_Input!$B:$B,reStart),
leAR,XLOOKUP($B109,AR_Input!$A:$A,AR_Input!$E:$E,leStart),
reEsc,AND(anom,OR(ABS((S109+AM109)-reStart)&gt;maxStart,ABS((S109+AM109)-reAR)&gt;maxAR)),
leEsc,AND(anom,OR(ABS((V109+AP109)-leStart)&gt;maxStart,ABS((V109+AP109)-leAR)&gt;maxAR)),
phaseMax,IFS(
 AK109="Fast",
   IFS(
     OR(C109="B",C109="D"),XLOOKUP("timeout_coarse_fast",Calibration!$B:$B,Calibration!$C:$C,24),
     OR(C109="E",C109="F",C109="H",C109="I"),XLOOKUP("timeout_jcc_fast",Calibration!$B:$B,Calibration!$C:$C,10),
     OR(C109="G",C109="J"),XLOOKUP("timeout_duochrome_fast",Calibration!$B:$B,Calibration!$C:$C,8),
     C109="K",XLOOKUP("timeout_bino_fast",Calibration!$B:$B,Calibration!$C:$C,10),
     OR(C109="P",C109="Q",C109="R"),XLOOKUP("timeout_near_fast",Calibration!$B:$B,Calibration!$C:$C,16),
     TRUE,XLOOKUP("timeout_coarse_fast",Calibration!$B:$B,Calibration!$C:$C,24)
   ),
 AK109="Normal",
   IFS(
     OR(C109="B",C109="D"),XLOOKUP("timeout_coarse_normal",Calibration!$B:$B,Calibration!$C:$C,36),
     OR(C109="E",C109="F",C109="H",C109="I"),XLOOKUP("timeout_jcc_normal",Calibration!$B:$B,Calibration!$C:$C,14),
     OR(C109="G",C109="J"),XLOOKUP("timeout_duochrome_normal",Calibration!$B:$B,Calibration!$C:$C,10),
     C109="K",XLOOKUP("timeout_bino_normal",Calibration!$B:$B,Calibration!$C:$C,14),
     OR(C109="P",C109="Q",C109="R"),XLOOKUP("timeout_near_normal",Calibration!$B:$B,Calibration!$C:$C,22),
     TRUE,XLOOKUP("timeout_coarse_normal",Calibration!$B:$B,Calibration!$C:$C,36)
   ),
 TRUE,
   IFS(
     OR(C109="B",C109="D"),XLOOKUP("timeout_coarse_slow",Calibration!$B:$B,Calibration!$C:$C,48),
     OR(C109="E",C109="F",C109="H",C109="I"),XLOOKUP("timeout_jcc_slow",Calibration!$B:$B,Calibration!$C:$C,18),
     OR(C109="G",C109="J"),XLOOKUP("timeout_duochrome_slow",Calibration!$B:$B,Calibration!$C:$C,12),
     C109="K",XLOOKUP("timeout_bino_slow",Calibration!$B:$B,Calibration!$C:$C,18),
     OR(C109="P",C109="Q",C109="R"),XLOOKUP("timeout_near_slow",Calibration!$B:$B,Calibration!$C:$C,28),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AJ109=TRUE,"ESCALATE",
C109="A",
IF(OR(I109="NOT_READABLE",I109="BLURRY",AND(R109="20_20_20",I109="READABLE")),"B","A"),
C109="B",
IF(reEsc,"ESCALATE",IF(AY109&gt;=phaseMax,"ESCALATE",IF(AND(AV109&gt;=AW109,I109="READABLE"),"E","B"))),
C109="E",
IF(AY109&gt;=phaseMax,"ESCALATE",IF(OR(I109="SAME",I109="CANT_TELL",AD109&lt;axisTol),"F","E")),
C109="F",
IF(AY109&gt;=phaseMax,"ESCALATE",IF(AX109&gt;=powerSameN,"G","F")),
C109="G",
IF(AY109&gt;=phaseMax,"ESCALATE",IF(OR(AX109&gt;=duoEqualN,BB109&gt;=duoMax),"D","G")),
C109="D",
IF(leEsc,"ESCALATE",IF(AY109&gt;=phaseMax,"ESCALATE",IF(AND(AV109&gt;=AW109,I109="READABLE"),"H","D"))),
C109="H",
IF(AY109&gt;=phaseMax,"ESCALATE",IF(OR(I109="SAME",I109="CANT_TELL",AD109&lt;axisTol),"I","H")),
C109="I",
IF(AY109&gt;=phaseMax,"ESCALATE",IF(AX109&gt;=powerSameN,"J","I")),
C109="J",
IF(AY109&gt;=phaseMax,"ESCALATE",IF(OR(AX109&gt;=duoEqualN,BB109&gt;=duoMax),"K","J")),
C109="K",
IF(AY109&gt;=phaseMax,"ESCALATE",IF(AX109&gt;=binoSameN,IF(XLOOKUP($B109,Derived_Variables!$A:$A,Derived_Variables!$AJ:$AJ,FALSE)=TRUE,"P","END"),"K")),
C109="P",
IF(AY109&gt;=phaseMax,"ESCALATE",IF(OR(I109="READABLE",I109="SAME"),"Q","P")),
C109="Q",
IF(AY109&gt;=phaseMax,"ESCALATE",IF(OR(I109="READABLE",I109="SAME"),"R","Q")),
C109="R",
IF(AY109&gt;=phaseMax,"ESCALATE",IF(OR(I109=nearTarget,I109="SAME"),"END","R")),
TRUE,"END"
)))</f>
        <v/>
      </c>
      <c r="BD109" s="28" t="b">
        <f t="shared" si="19"/>
        <v>0</v>
      </c>
    </row>
    <row r="110" ht="15.75" customHeight="1">
      <c r="A110" s="28">
        <f t="shared" si="3"/>
        <v>109</v>
      </c>
      <c r="B110" s="28">
        <f t="shared" si="4"/>
        <v>6</v>
      </c>
      <c r="C110" s="28" t="str">
        <f t="shared" si="5"/>
        <v/>
      </c>
      <c r="D110" s="28" t="str">
        <f t="array" ref="D110">IF($I109="","",XLOOKUP(C110,FSM_State_Map!A:A,FSM_State_Map!B:B,""))</f>
        <v/>
      </c>
      <c r="E110" s="28" t="str">
        <f t="array" ref="E110">IF($I109="","",XLOOKUP(C110,FSM_State_Map!A:A,FSM_State_Map!C:C,""))</f>
        <v/>
      </c>
      <c r="F110" s="28" t="str">
        <f t="array" ref="F110">IF($I109="","",XLOOKUP(E110,Phase_UI_Map!A:A,Phase_UI_Map!B:B,""))</f>
        <v/>
      </c>
      <c r="G110" s="28" t="str">
        <f t="array" ref="G110">IF($I109="","",XLOOKUP(E110,Phase_UI_Map!A:A,Phase_UI_Map!C:C,""))</f>
        <v/>
      </c>
      <c r="H110" s="28" t="str">
        <f t="array" ref="H110">IF($I109="","",XLOOKUP(E110,Phase_UI_Map!A:A,Phase_UI_Map!D:D,""))</f>
        <v/>
      </c>
      <c r="I110" s="29"/>
      <c r="J110" s="28" t="str">
        <f>IFERROR(__xludf.DUMMYFUNCTION("IF($I109="""","""",IFERROR(INDEX(FILTER(Response_Lists!$B:$B,Response_Lists!$A:$A=$H110),1),""""))"),"")</f>
        <v/>
      </c>
      <c r="K110" s="28" t="str">
        <f>IFERROR(__xludf.DUMMYFUNCTION("IF($I109="""","""",IFERROR(INDEX(FILTER(Response_Lists!$B:$B,Response_Lists!$A:$A=$H110),2),""""))"),"")</f>
        <v/>
      </c>
      <c r="L110" s="28" t="str">
        <f>IFERROR(__xludf.DUMMYFUNCTION("IF($I109="""","""",IFERROR(INDEX(FILTER(Response_Lists!$B:$B,Response_Lists!$A:$A=$H110),3),""""))"),"")</f>
        <v/>
      </c>
      <c r="M110" s="28" t="str">
        <f>IFERROR(__xludf.DUMMYFUNCTION("IF($I109="""","""",IFERROR(INDEX(FILTER(Response_Lists!$B:$B,Response_Lists!$A:$A=$H110),4),""""))"),"")</f>
        <v/>
      </c>
      <c r="N110" s="28" t="str">
        <f>IFERROR(__xludf.DUMMYFUNCTION("IF($I109="""","""",IFERROR(INDEX(FILTER(Response_Lists!$B:$B,Response_Lists!$A:$A=$H110),5),""""))"),"")</f>
        <v/>
      </c>
      <c r="O110" s="28" t="str">
        <f>IFERROR(__xludf.DUMMYFUNCTION("IF($I109="""","""",IFERROR(INDEX(FILTER(Response_Lists!$B:$B,Response_Lists!$A:$A=$H110),6),""""))"),"")</f>
        <v/>
      </c>
      <c r="P110" s="28" t="str">
        <f t="shared" si="6"/>
        <v/>
      </c>
      <c r="Q110" s="28" t="str">
        <f t="array" ref="Q110">IF($I109="","",XLOOKUP(C110,FSM_State_Map!A:A,FSM_State_Map!D:D,""))</f>
        <v/>
      </c>
      <c r="R110" s="28" t="str">
        <f t="shared" si="7"/>
        <v/>
      </c>
      <c r="S110" s="28" t="str">
        <f t="array" ref="S110">IF($I109="","",
IF(
  AND(C110="B",C109&lt;&gt;"B"),
  XLOOKUP($B110,Derived_Variables!$A:$A,Derived_Variables!$K:$K,0)
  + XLOOKUP($B110,Derived_Variables!$A:$A,Derived_Variables!$AE:$AE,0),
  S109+AM109
))</f>
        <v/>
      </c>
      <c r="T110" s="28" t="str">
        <f t="shared" ref="T110:U110" si="230">IF($I109="","",T109+AN109)</f>
        <v/>
      </c>
      <c r="U110" s="28" t="str">
        <f t="shared" si="230"/>
        <v/>
      </c>
      <c r="V110" s="28" t="str">
        <f t="array" ref="V110">IF($I109="","",
IF(
  AND(C110="D",C109&lt;&gt;"D"),
  XLOOKUP($B110,Derived_Variables!$A:$A,Derived_Variables!$N:$N,0)
  + XLOOKUP($B110,Derived_Variables!$A:$A,Derived_Variables!$AE:$AE,0),
  V109+AP109
))</f>
        <v/>
      </c>
      <c r="W110" s="28" t="str">
        <f t="shared" ref="W110:X110" si="231">IF($I109="","",W109+AQ109)</f>
        <v/>
      </c>
      <c r="X110" s="28" t="str">
        <f t="shared" si="231"/>
        <v/>
      </c>
      <c r="Y110" s="28" t="str">
        <f t="array" ref="Y110">IF($I109="","",IF(AND(C110="P",C109&lt;&gt;"P"),IFERROR(XLOOKUP($B110,Lenso_Input!$A:$A,Lenso_Input!$E:$E,0),0),Y109+AS109))</f>
        <v/>
      </c>
      <c r="Z110" s="28" t="str">
        <f t="array" ref="Z110">IF($I109="","",IF(AND(C110="Q",C109&lt;&gt;"Q"),IFERROR(XLOOKUP($B110,Lenso_Input!$A:$A,Lenso_Input!$I:$I,0),0),Z109+AT109))</f>
        <v/>
      </c>
      <c r="AA110" s="28" t="str">
        <f t="array" ref="AA110">IF($I109="","",IF(XLOOKUP($B110,Derived_Variables!$A:$A,Derived_Variables!$R:$R,"6/6_target")="6/6_target","20_20_20","40_30_25"))</f>
        <v/>
      </c>
      <c r="AB110" s="28" t="str">
        <f t="array" ref="AB110">IF($I109="","",XLOOKUP(LOWER(XLOOKUP($B110,Derived_Variables!$A:$A,Derived_Variables!$T:$T,"Standard"))&amp;"_sph_step",Calibration!$B:$B,Calibration!$C:$C,0.25))</f>
        <v/>
      </c>
      <c r="AC110" s="28" t="str">
        <f t="array" ref="AC110">IF($I109="","",XLOOKUP(LOWER(XLOOKUP($B110,Derived_Variables!$A:$A,Derived_Variables!$T:$T,"Standard"))&amp;"_cyl_step",Calibration!$B:$B,Calibration!$C:$C,0.25))</f>
        <v/>
      </c>
      <c r="AD110" s="28" t="str">
        <f t="array" ref="AD110">IF($I109="","",IF(OR(C110="E",C110="H"),LET(startStep,XLOOKUP("axis_start_step",Calibration!$B:$B,Calibration!$C:$C,5),step1,XLOOKUP("axis_reversal_step_1",Calibration!$B:$B,Calibration!$C:$C,3),step2,XLOOKUP("axis_reversal_step_2",Calibration!$B:$B,Calibration!$C:$C,1),IF(OR(C109&lt;&gt;C110,AZ110="",AZ110="SAME",AZ110="CANT_TELL",I110="",I110="SAME",I110="CANT_TELL"),startStep,IF(OR(AND(AZ110="BETTER_1",I110="BETTER_2"),AND(AZ110="BETTER_2",I110="BETTER_1")),IF(AD109&gt;step1,step1,step2),AD109))),0))</f>
        <v/>
      </c>
      <c r="AE110" s="28" t="str">
        <f t="array" ref="AE110">IF($I109="","",XLOOKUP($B110,Derived_Variables!$A:$A,Derived_Variables!$AD:$AD,"No_Fog"))</f>
        <v/>
      </c>
      <c r="AF110" s="28" t="str">
        <f t="array" ref="AF110">IF($I109="","",XLOOKUP($B110,Derived_Variables!$A:$A,Derived_Variables!$AE:$AE,0))</f>
        <v/>
      </c>
      <c r="AG110" s="28" t="str">
        <f t="array" ref="AG110">IF($I109="","",XLOOKUP($B110,Derived_Variables!$A:$A,Derived_Variables!$AF:$AF,""))</f>
        <v/>
      </c>
      <c r="AH110" s="28" t="str">
        <f t="array" ref="AH110">IF($I109="","",XLOOKUP($B110,Derived_Variables!$A:$A,Derived_Variables!$AG:$AG,""))</f>
        <v/>
      </c>
      <c r="AI110" s="28" t="str">
        <f t="array" ref="AI110">IF($I109="","",XLOOKUP($B110,Derived_Variables!$A:$A,Derived_Variables!$AC:$AC,"Medium"))</f>
        <v/>
      </c>
      <c r="AJ110" s="28" t="str">
        <f t="array" ref="AJ110">IF($I109="","",XLOOKUP($B110,Derived_Variables!$A:$A,Derived_Variables!$Y:$Y,FALSE))</f>
        <v/>
      </c>
      <c r="AK110" s="28" t="str">
        <f t="array" ref="AK110">IF($I109="","",XLOOKUP($B110,Derived_Variables!$A:$A,Derived_Variables!$AA:$AA,"Normal"))</f>
        <v/>
      </c>
      <c r="AL110" s="28" t="str">
        <f t="array" ref="AL110">IF($I109="","",XLOOKUP($B110,Derived_Variables!$A:$A,Derived_Variables!$AB:$AB,"Normal"))</f>
        <v/>
      </c>
      <c r="AM110" s="28" t="str">
        <f t="array" ref="AM110">IF($I110="","",IFS(C110="B",IF(OR(I110="NOT_READABLE",I110="BLURRY"),-AB110,0),C110="G",IFS(I110="RED_CLEARER",XLOOKUP("duochrome_red_step",Calibration!$B:$B,Calibration!$C:$C,-0.25),I110="GREEN_CLEARER",XLOOKUP("duochrome_green_step",Calibration!$B:$B,Calibration!$C:$C,0.25),I110="EQUAL",IF(XLOOKUP($B110,Derived_Variables!$A:$A,Derived_Variables!$S:$S,"Neutral")="Undercorrect",XLOOKUP("undercorrect_step",Calibration!$B:$B,Calibration!$C:$C,0.25),IF(XLOOKUP($B110,Derived_Variables!$A:$A,Derived_Variables!$S:$S,"Neutral")="Overcorrect",-XLOOKUP("overcorrect_step",Calibration!$B:$B,Calibration!$C:$C,0.25),0)),TRUE,0),C110="K",IF(I110="TOP_CLEARER",XLOOKUP("bino_balance_step",Calibration!$B:$B,Calibration!$C:$C,0.25),0),TRUE,0))</f>
        <v/>
      </c>
      <c r="AN110" s="28" t="str">
        <f t="shared" si="10"/>
        <v/>
      </c>
      <c r="AO110" s="28" t="str">
        <f t="shared" si="11"/>
        <v/>
      </c>
      <c r="AP110" s="28" t="str">
        <f t="array" ref="AP110">IF($I110="","",IFS(C110="D",IF(OR(I110="NOT_READABLE",I110="BLURRY"),-AB110,0),C110="J",IFS(I110="RED_CLEARER",XLOOKUP("duochrome_red_step",Calibration!$B:$B,Calibration!$C:$C,-0.25),I110="GREEN_CLEARER",XLOOKUP("duochrome_green_step",Calibration!$B:$B,Calibration!$C:$C,0.25),I110="EQUAL",IF(XLOOKUP($B110,Derived_Variables!$A:$A,Derived_Variables!$S:$S,"Neutral")="Undercorrect",XLOOKUP("undercorrect_step",Calibration!$B:$B,Calibration!$C:$C,0.25),IF(XLOOKUP($B110,Derived_Variables!$A:$A,Derived_Variables!$S:$S,"Neutral")="Overcorrect",-XLOOKUP("overcorrect_step",Calibration!$B:$B,Calibration!$C:$C,0.25),0)),TRUE,0),C110="K",IF(I110="BOTTOM_CLEARER",XLOOKUP("bino_balance_step",Calibration!$B:$B,Calibration!$C:$C,0.25),0),TRUE,0))</f>
        <v/>
      </c>
      <c r="AQ110" s="28" t="str">
        <f t="shared" si="12"/>
        <v/>
      </c>
      <c r="AR110" s="28" t="str">
        <f t="shared" si="13"/>
        <v/>
      </c>
      <c r="AS110" s="28" t="str">
        <f t="array" ref="AS110">IF($I110="","",IF(C110="P",IF(OR(I110="NOT_READABLE",I110="BLURRY"),XLOOKUP("near_add_step",Calibration!$B:$B,Calibration!$C:$C,0.25),0),IF(C110="R",IF(I110="NOT_CLEAR",XLOOKUP("near_add_step",Calibration!$B:$B,Calibration!$C:$C,0.25),0),0)))</f>
        <v/>
      </c>
      <c r="AT110" s="28" t="str">
        <f t="array" ref="AT110">IF($I110="","",IF(C110="Q",IF(OR(I110="NOT_READABLE",I110="BLURRY"),XLOOKUP("near_add_step",Calibration!$B:$B,Calibration!$C:$C,0.25),0),IF(C110="R",IF(I110="NOT_CLEAR",XLOOKUP("near_add_step",Calibration!$B:$B,Calibration!$C:$C,0.25),0),0)))</f>
        <v/>
      </c>
      <c r="AU110" s="28" t="str">
        <f t="array" ref="AU110">IF($I110="","",IF(G110="SNELLEN_FEET",IF(I110="READABLE",IFERROR(XLOOKUP(XLOOKUP(R110,Chart_Scale_Distance!B:B,Chart_Scale_Distance!A:A)+1,Chart_Scale_Distance!A:A,Chart_Scale_Distance!B:B),R110),R110),R110))</f>
        <v/>
      </c>
      <c r="AV110" s="28" t="str">
        <f t="array" ref="AV110">IF($I109="","",IFERROR(XLOOKUP(R110,Chart_Scale_Distance!$B:$B,Chart_Scale_Distance!$A:$A,""),""))</f>
        <v/>
      </c>
      <c r="AW110" s="28" t="str">
        <f t="array" ref="AW110">IF($I109="","",IFERROR(XLOOKUP(AA110,Chart_Scale_Distance!$B:$B,Chart_Scale_Distance!$A:$A,""),""))</f>
        <v/>
      </c>
      <c r="AX110" s="28" t="str">
        <f t="shared" si="14"/>
        <v/>
      </c>
      <c r="AY110" s="28" t="str">
        <f t="shared" si="15"/>
        <v/>
      </c>
      <c r="AZ110" s="28" t="str">
        <f t="shared" si="16"/>
        <v/>
      </c>
      <c r="BA110" s="28" t="str">
        <f t="shared" si="17"/>
        <v/>
      </c>
      <c r="BB110" s="28" t="str">
        <f t="shared" si="18"/>
        <v/>
      </c>
      <c r="BC110" s="28" t="str">
        <f t="array" ref="BC110">IF($I110="","",LET(
conf,AI110,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duoMax,XLOOKUP($B110,Derived_Variables!$A:$A,Derived_Variables!$AI:$AI,4),
axisTol,XLOOKUP($B110,Derived_Variables!$A:$A,Derived_Variables!$W:$W,1),
maxStart,XLOOKUP($B110,Derived_Variables!$A:$A,Derived_Variables!$U:$U,1.25),
maxAR,XLOOKUP($B110,Derived_Variables!$A:$A,Derived_Variables!$V:$V,3),
anom,XLOOKUP($B110,Derived_Variables!$A:$A,Derived_Variables!$Z:$Z,FALSE),
reStart,XLOOKUP($B110,Derived_Variables!$A:$A,Derived_Variables!$K:$K,0),
leStart,XLOOKUP($B110,Derived_Variables!$A:$A,Derived_Variables!$N:$N,0),
reAR,XLOOKUP($B110,AR_Input!$A:$A,AR_Input!$B:$B,reStart),
leAR,XLOOKUP($B110,AR_Input!$A:$A,AR_Input!$E:$E,leStart),
reEsc,AND(anom,OR(ABS((S110+AM110)-reStart)&gt;maxStart,ABS((S110+AM110)-reAR)&gt;maxAR)),
leEsc,AND(anom,OR(ABS((V110+AP110)-leStart)&gt;maxStart,ABS((V110+AP110)-leAR)&gt;maxAR)),
phaseMax,IFS(
 AK110="Fast",
   IFS(
     OR(C110="B",C110="D"),XLOOKUP("timeout_coarse_fast",Calibration!$B:$B,Calibration!$C:$C,24),
     OR(C110="E",C110="F",C110="H",C110="I"),XLOOKUP("timeout_jcc_fast",Calibration!$B:$B,Calibration!$C:$C,10),
     OR(C110="G",C110="J"),XLOOKUP("timeout_duochrome_fast",Calibration!$B:$B,Calibration!$C:$C,8),
     C110="K",XLOOKUP("timeout_bino_fast",Calibration!$B:$B,Calibration!$C:$C,10),
     OR(C110="P",C110="Q",C110="R"),XLOOKUP("timeout_near_fast",Calibration!$B:$B,Calibration!$C:$C,16),
     TRUE,XLOOKUP("timeout_coarse_fast",Calibration!$B:$B,Calibration!$C:$C,24)
   ),
 AK110="Normal",
   IFS(
     OR(C110="B",C110="D"),XLOOKUP("timeout_coarse_normal",Calibration!$B:$B,Calibration!$C:$C,36),
     OR(C110="E",C110="F",C110="H",C110="I"),XLOOKUP("timeout_jcc_normal",Calibration!$B:$B,Calibration!$C:$C,14),
     OR(C110="G",C110="J"),XLOOKUP("timeout_duochrome_normal",Calibration!$B:$B,Calibration!$C:$C,10),
     C110="K",XLOOKUP("timeout_bino_normal",Calibration!$B:$B,Calibration!$C:$C,14),
     OR(C110="P",C110="Q",C110="R"),XLOOKUP("timeout_near_normal",Calibration!$B:$B,Calibration!$C:$C,22),
     TRUE,XLOOKUP("timeout_coarse_normal",Calibration!$B:$B,Calibration!$C:$C,36)
   ),
 TRUE,
   IFS(
     OR(C110="B",C110="D"),XLOOKUP("timeout_coarse_slow",Calibration!$B:$B,Calibration!$C:$C,48),
     OR(C110="E",C110="F",C110="H",C110="I"),XLOOKUP("timeout_jcc_slow",Calibration!$B:$B,Calibration!$C:$C,18),
     OR(C110="G",C110="J"),XLOOKUP("timeout_duochrome_slow",Calibration!$B:$B,Calibration!$C:$C,12),
     C110="K",XLOOKUP("timeout_bino_slow",Calibration!$B:$B,Calibration!$C:$C,18),
     OR(C110="P",C110="Q",C110="R"),XLOOKUP("timeout_near_slow",Calibration!$B:$B,Calibration!$C:$C,28),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AJ110=TRUE,"ESCALATE",
C110="A",
IF(OR(I110="NOT_READABLE",I110="BLURRY",AND(R110="20_20_20",I110="READABLE")),"B","A"),
C110="B",
IF(reEsc,"ESCALATE",IF(AY110&gt;=phaseMax,"ESCALATE",IF(AND(AV110&gt;=AW110,I110="READABLE"),"E","B"))),
C110="E",
IF(AY110&gt;=phaseMax,"ESCALATE",IF(OR(I110="SAME",I110="CANT_TELL",AD110&lt;axisTol),"F","E")),
C110="F",
IF(AY110&gt;=phaseMax,"ESCALATE",IF(AX110&gt;=powerSameN,"G","F")),
C110="G",
IF(AY110&gt;=phaseMax,"ESCALATE",IF(OR(AX110&gt;=duoEqualN,BB110&gt;=duoMax),"D","G")),
C110="D",
IF(leEsc,"ESCALATE",IF(AY110&gt;=phaseMax,"ESCALATE",IF(AND(AV110&gt;=AW110,I110="READABLE"),"H","D"))),
C110="H",
IF(AY110&gt;=phaseMax,"ESCALATE",IF(OR(I110="SAME",I110="CANT_TELL",AD110&lt;axisTol),"I","H")),
C110="I",
IF(AY110&gt;=phaseMax,"ESCALATE",IF(AX110&gt;=powerSameN,"J","I")),
C110="J",
IF(AY110&gt;=phaseMax,"ESCALATE",IF(OR(AX110&gt;=duoEqualN,BB110&gt;=duoMax),"K","J")),
C110="K",
IF(AY110&gt;=phaseMax,"ESCALATE",IF(AX110&gt;=binoSameN,IF(XLOOKUP($B110,Derived_Variables!$A:$A,Derived_Variables!$AJ:$AJ,FALSE)=TRUE,"P","END"),"K")),
C110="P",
IF(AY110&gt;=phaseMax,"ESCALATE",IF(OR(I110="READABLE",I110="SAME"),"Q","P")),
C110="Q",
IF(AY110&gt;=phaseMax,"ESCALATE",IF(OR(I110="READABLE",I110="SAME"),"R","Q")),
C110="R",
IF(AY110&gt;=phaseMax,"ESCALATE",IF(OR(I110=nearTarget,I110="SAME"),"END","R")),
TRUE,"END"
)))</f>
        <v/>
      </c>
      <c r="BD110" s="28" t="b">
        <f t="shared" si="19"/>
        <v>0</v>
      </c>
    </row>
    <row r="111" ht="15.75" customHeight="1">
      <c r="A111" s="28">
        <f t="shared" si="3"/>
        <v>110</v>
      </c>
      <c r="B111" s="28">
        <f t="shared" si="4"/>
        <v>6</v>
      </c>
      <c r="C111" s="28" t="str">
        <f t="shared" si="5"/>
        <v/>
      </c>
      <c r="D111" s="28" t="str">
        <f t="array" ref="D111">IF($I110="","",XLOOKUP(C111,FSM_State_Map!A:A,FSM_State_Map!B:B,""))</f>
        <v/>
      </c>
      <c r="E111" s="28" t="str">
        <f t="array" ref="E111">IF($I110="","",XLOOKUP(C111,FSM_State_Map!A:A,FSM_State_Map!C:C,""))</f>
        <v/>
      </c>
      <c r="F111" s="28" t="str">
        <f t="array" ref="F111">IF($I110="","",XLOOKUP(E111,Phase_UI_Map!A:A,Phase_UI_Map!B:B,""))</f>
        <v/>
      </c>
      <c r="G111" s="28" t="str">
        <f t="array" ref="G111">IF($I110="","",XLOOKUP(E111,Phase_UI_Map!A:A,Phase_UI_Map!C:C,""))</f>
        <v/>
      </c>
      <c r="H111" s="28" t="str">
        <f t="array" ref="H111">IF($I110="","",XLOOKUP(E111,Phase_UI_Map!A:A,Phase_UI_Map!D:D,""))</f>
        <v/>
      </c>
      <c r="I111" s="29"/>
      <c r="J111" s="28" t="str">
        <f>IFERROR(__xludf.DUMMYFUNCTION("IF($I110="""","""",IFERROR(INDEX(FILTER(Response_Lists!$B:$B,Response_Lists!$A:$A=$H111),1),""""))"),"")</f>
        <v/>
      </c>
      <c r="K111" s="28" t="str">
        <f>IFERROR(__xludf.DUMMYFUNCTION("IF($I110="""","""",IFERROR(INDEX(FILTER(Response_Lists!$B:$B,Response_Lists!$A:$A=$H111),2),""""))"),"")</f>
        <v/>
      </c>
      <c r="L111" s="28" t="str">
        <f>IFERROR(__xludf.DUMMYFUNCTION("IF($I110="""","""",IFERROR(INDEX(FILTER(Response_Lists!$B:$B,Response_Lists!$A:$A=$H111),3),""""))"),"")</f>
        <v/>
      </c>
      <c r="M111" s="28" t="str">
        <f>IFERROR(__xludf.DUMMYFUNCTION("IF($I110="""","""",IFERROR(INDEX(FILTER(Response_Lists!$B:$B,Response_Lists!$A:$A=$H111),4),""""))"),"")</f>
        <v/>
      </c>
      <c r="N111" s="28" t="str">
        <f>IFERROR(__xludf.DUMMYFUNCTION("IF($I110="""","""",IFERROR(INDEX(FILTER(Response_Lists!$B:$B,Response_Lists!$A:$A=$H111),5),""""))"),"")</f>
        <v/>
      </c>
      <c r="O111" s="28" t="str">
        <f>IFERROR(__xludf.DUMMYFUNCTION("IF($I110="""","""",IFERROR(INDEX(FILTER(Response_Lists!$B:$B,Response_Lists!$A:$A=$H111),6),""""))"),"")</f>
        <v/>
      </c>
      <c r="P111" s="28" t="str">
        <f t="shared" si="6"/>
        <v/>
      </c>
      <c r="Q111" s="28" t="str">
        <f t="array" ref="Q111">IF($I110="","",XLOOKUP(C111,FSM_State_Map!A:A,FSM_State_Map!D:D,""))</f>
        <v/>
      </c>
      <c r="R111" s="28" t="str">
        <f t="shared" si="7"/>
        <v/>
      </c>
      <c r="S111" s="28" t="str">
        <f t="array" ref="S111">IF($I110="","",
IF(
  AND(C111="B",C110&lt;&gt;"B"),
  XLOOKUP($B111,Derived_Variables!$A:$A,Derived_Variables!$K:$K,0)
  + XLOOKUP($B111,Derived_Variables!$A:$A,Derived_Variables!$AE:$AE,0),
  S110+AM110
))</f>
        <v/>
      </c>
      <c r="T111" s="28" t="str">
        <f t="shared" ref="T111:U111" si="232">IF($I110="","",T110+AN110)</f>
        <v/>
      </c>
      <c r="U111" s="28" t="str">
        <f t="shared" si="232"/>
        <v/>
      </c>
      <c r="V111" s="28" t="str">
        <f t="array" ref="V111">IF($I110="","",
IF(
  AND(C111="D",C110&lt;&gt;"D"),
  XLOOKUP($B111,Derived_Variables!$A:$A,Derived_Variables!$N:$N,0)
  + XLOOKUP($B111,Derived_Variables!$A:$A,Derived_Variables!$AE:$AE,0),
  V110+AP110
))</f>
        <v/>
      </c>
      <c r="W111" s="28" t="str">
        <f t="shared" ref="W111:X111" si="233">IF($I110="","",W110+AQ110)</f>
        <v/>
      </c>
      <c r="X111" s="28" t="str">
        <f t="shared" si="233"/>
        <v/>
      </c>
      <c r="Y111" s="28" t="str">
        <f t="array" ref="Y111">IF($I110="","",IF(AND(C111="P",C110&lt;&gt;"P"),IFERROR(XLOOKUP($B111,Lenso_Input!$A:$A,Lenso_Input!$E:$E,0),0),Y110+AS110))</f>
        <v/>
      </c>
      <c r="Z111" s="28" t="str">
        <f t="array" ref="Z111">IF($I110="","",IF(AND(C111="Q",C110&lt;&gt;"Q"),IFERROR(XLOOKUP($B111,Lenso_Input!$A:$A,Lenso_Input!$I:$I,0),0),Z110+AT110))</f>
        <v/>
      </c>
      <c r="AA111" s="28" t="str">
        <f t="array" ref="AA111">IF($I110="","",IF(XLOOKUP($B111,Derived_Variables!$A:$A,Derived_Variables!$R:$R,"6/6_target")="6/6_target","20_20_20","40_30_25"))</f>
        <v/>
      </c>
      <c r="AB111" s="28" t="str">
        <f t="array" ref="AB111">IF($I110="","",XLOOKUP(LOWER(XLOOKUP($B111,Derived_Variables!$A:$A,Derived_Variables!$T:$T,"Standard"))&amp;"_sph_step",Calibration!$B:$B,Calibration!$C:$C,0.25))</f>
        <v/>
      </c>
      <c r="AC111" s="28" t="str">
        <f t="array" ref="AC111">IF($I110="","",XLOOKUP(LOWER(XLOOKUP($B111,Derived_Variables!$A:$A,Derived_Variables!$T:$T,"Standard"))&amp;"_cyl_step",Calibration!$B:$B,Calibration!$C:$C,0.25))</f>
        <v/>
      </c>
      <c r="AD111" s="28" t="str">
        <f t="array" ref="AD111">IF($I110="","",IF(OR(C111="E",C111="H"),LET(startStep,XLOOKUP("axis_start_step",Calibration!$B:$B,Calibration!$C:$C,5),step1,XLOOKUP("axis_reversal_step_1",Calibration!$B:$B,Calibration!$C:$C,3),step2,XLOOKUP("axis_reversal_step_2",Calibration!$B:$B,Calibration!$C:$C,1),IF(OR(C110&lt;&gt;C111,AZ111="",AZ111="SAME",AZ111="CANT_TELL",I111="",I111="SAME",I111="CANT_TELL"),startStep,IF(OR(AND(AZ111="BETTER_1",I111="BETTER_2"),AND(AZ111="BETTER_2",I111="BETTER_1")),IF(AD110&gt;step1,step1,step2),AD110))),0))</f>
        <v/>
      </c>
      <c r="AE111" s="28" t="str">
        <f t="array" ref="AE111">IF($I110="","",XLOOKUP($B111,Derived_Variables!$A:$A,Derived_Variables!$AD:$AD,"No_Fog"))</f>
        <v/>
      </c>
      <c r="AF111" s="28" t="str">
        <f t="array" ref="AF111">IF($I110="","",XLOOKUP($B111,Derived_Variables!$A:$A,Derived_Variables!$AE:$AE,0))</f>
        <v/>
      </c>
      <c r="AG111" s="28" t="str">
        <f t="array" ref="AG111">IF($I110="","",XLOOKUP($B111,Derived_Variables!$A:$A,Derived_Variables!$AF:$AF,""))</f>
        <v/>
      </c>
      <c r="AH111" s="28" t="str">
        <f t="array" ref="AH111">IF($I110="","",XLOOKUP($B111,Derived_Variables!$A:$A,Derived_Variables!$AG:$AG,""))</f>
        <v/>
      </c>
      <c r="AI111" s="28" t="str">
        <f t="array" ref="AI111">IF($I110="","",XLOOKUP($B111,Derived_Variables!$A:$A,Derived_Variables!$AC:$AC,"Medium"))</f>
        <v/>
      </c>
      <c r="AJ111" s="28" t="str">
        <f t="array" ref="AJ111">IF($I110="","",XLOOKUP($B111,Derived_Variables!$A:$A,Derived_Variables!$Y:$Y,FALSE))</f>
        <v/>
      </c>
      <c r="AK111" s="28" t="str">
        <f t="array" ref="AK111">IF($I110="","",XLOOKUP($B111,Derived_Variables!$A:$A,Derived_Variables!$AA:$AA,"Normal"))</f>
        <v/>
      </c>
      <c r="AL111" s="28" t="str">
        <f t="array" ref="AL111">IF($I110="","",XLOOKUP($B111,Derived_Variables!$A:$A,Derived_Variables!$AB:$AB,"Normal"))</f>
        <v/>
      </c>
      <c r="AM111" s="28" t="str">
        <f t="array" ref="AM111">IF($I111="","",IFS(C111="B",IF(OR(I111="NOT_READABLE",I111="BLURRY"),-AB111,0),C111="G",IFS(I111="RED_CLEARER",XLOOKUP("duochrome_red_step",Calibration!$B:$B,Calibration!$C:$C,-0.25),I111="GREEN_CLEARER",XLOOKUP("duochrome_green_step",Calibration!$B:$B,Calibration!$C:$C,0.25),I111="EQUAL",IF(XLOOKUP($B111,Derived_Variables!$A:$A,Derived_Variables!$S:$S,"Neutral")="Undercorrect",XLOOKUP("undercorrect_step",Calibration!$B:$B,Calibration!$C:$C,0.25),IF(XLOOKUP($B111,Derived_Variables!$A:$A,Derived_Variables!$S:$S,"Neutral")="Overcorrect",-XLOOKUP("overcorrect_step",Calibration!$B:$B,Calibration!$C:$C,0.25),0)),TRUE,0),C111="K",IF(I111="TOP_CLEARER",XLOOKUP("bino_balance_step",Calibration!$B:$B,Calibration!$C:$C,0.25),0),TRUE,0))</f>
        <v/>
      </c>
      <c r="AN111" s="28" t="str">
        <f t="shared" si="10"/>
        <v/>
      </c>
      <c r="AO111" s="28" t="str">
        <f t="shared" si="11"/>
        <v/>
      </c>
      <c r="AP111" s="28" t="str">
        <f t="array" ref="AP111">IF($I111="","",IFS(C111="D",IF(OR(I111="NOT_READABLE",I111="BLURRY"),-AB111,0),C111="J",IFS(I111="RED_CLEARER",XLOOKUP("duochrome_red_step",Calibration!$B:$B,Calibration!$C:$C,-0.25),I111="GREEN_CLEARER",XLOOKUP("duochrome_green_step",Calibration!$B:$B,Calibration!$C:$C,0.25),I111="EQUAL",IF(XLOOKUP($B111,Derived_Variables!$A:$A,Derived_Variables!$S:$S,"Neutral")="Undercorrect",XLOOKUP("undercorrect_step",Calibration!$B:$B,Calibration!$C:$C,0.25),IF(XLOOKUP($B111,Derived_Variables!$A:$A,Derived_Variables!$S:$S,"Neutral")="Overcorrect",-XLOOKUP("overcorrect_step",Calibration!$B:$B,Calibration!$C:$C,0.25),0)),TRUE,0),C111="K",IF(I111="BOTTOM_CLEARER",XLOOKUP("bino_balance_step",Calibration!$B:$B,Calibration!$C:$C,0.25),0),TRUE,0))</f>
        <v/>
      </c>
      <c r="AQ111" s="28" t="str">
        <f t="shared" si="12"/>
        <v/>
      </c>
      <c r="AR111" s="28" t="str">
        <f t="shared" si="13"/>
        <v/>
      </c>
      <c r="AS111" s="28" t="str">
        <f t="array" ref="AS111">IF($I111="","",IF(C111="P",IF(OR(I111="NOT_READABLE",I111="BLURRY"),XLOOKUP("near_add_step",Calibration!$B:$B,Calibration!$C:$C,0.25),0),IF(C111="R",IF(I111="NOT_CLEAR",XLOOKUP("near_add_step",Calibration!$B:$B,Calibration!$C:$C,0.25),0),0)))</f>
        <v/>
      </c>
      <c r="AT111" s="28" t="str">
        <f t="array" ref="AT111">IF($I111="","",IF(C111="Q",IF(OR(I111="NOT_READABLE",I111="BLURRY"),XLOOKUP("near_add_step",Calibration!$B:$B,Calibration!$C:$C,0.25),0),IF(C111="R",IF(I111="NOT_CLEAR",XLOOKUP("near_add_step",Calibration!$B:$B,Calibration!$C:$C,0.25),0),0)))</f>
        <v/>
      </c>
      <c r="AU111" s="28" t="str">
        <f t="array" ref="AU111">IF($I111="","",IF(G111="SNELLEN_FEET",IF(I111="READABLE",IFERROR(XLOOKUP(XLOOKUP(R111,Chart_Scale_Distance!B:B,Chart_Scale_Distance!A:A)+1,Chart_Scale_Distance!A:A,Chart_Scale_Distance!B:B),R111),R111),R111))</f>
        <v/>
      </c>
      <c r="AV111" s="28" t="str">
        <f t="array" ref="AV111">IF($I110="","",IFERROR(XLOOKUP(R111,Chart_Scale_Distance!$B:$B,Chart_Scale_Distance!$A:$A,""),""))</f>
        <v/>
      </c>
      <c r="AW111" s="28" t="str">
        <f t="array" ref="AW111">IF($I110="","",IFERROR(XLOOKUP(AA111,Chart_Scale_Distance!$B:$B,Chart_Scale_Distance!$A:$A,""),""))</f>
        <v/>
      </c>
      <c r="AX111" s="28" t="str">
        <f t="shared" si="14"/>
        <v/>
      </c>
      <c r="AY111" s="28" t="str">
        <f t="shared" si="15"/>
        <v/>
      </c>
      <c r="AZ111" s="28" t="str">
        <f t="shared" si="16"/>
        <v/>
      </c>
      <c r="BA111" s="28" t="str">
        <f t="shared" si="17"/>
        <v/>
      </c>
      <c r="BB111" s="28" t="str">
        <f t="shared" si="18"/>
        <v/>
      </c>
      <c r="BC111" s="28" t="str">
        <f t="array" ref="BC111">IF($I111="","",LET(
conf,AI111,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duoMax,XLOOKUP($B111,Derived_Variables!$A:$A,Derived_Variables!$AI:$AI,4),
axisTol,XLOOKUP($B111,Derived_Variables!$A:$A,Derived_Variables!$W:$W,1),
maxStart,XLOOKUP($B111,Derived_Variables!$A:$A,Derived_Variables!$U:$U,1.25),
maxAR,XLOOKUP($B111,Derived_Variables!$A:$A,Derived_Variables!$V:$V,3),
anom,XLOOKUP($B111,Derived_Variables!$A:$A,Derived_Variables!$Z:$Z,FALSE),
reStart,XLOOKUP($B111,Derived_Variables!$A:$A,Derived_Variables!$K:$K,0),
leStart,XLOOKUP($B111,Derived_Variables!$A:$A,Derived_Variables!$N:$N,0),
reAR,XLOOKUP($B111,AR_Input!$A:$A,AR_Input!$B:$B,reStart),
leAR,XLOOKUP($B111,AR_Input!$A:$A,AR_Input!$E:$E,leStart),
reEsc,AND(anom,OR(ABS((S111+AM111)-reStart)&gt;maxStart,ABS((S111+AM111)-reAR)&gt;maxAR)),
leEsc,AND(anom,OR(ABS((V111+AP111)-leStart)&gt;maxStart,ABS((V111+AP111)-leAR)&gt;maxAR)),
phaseMax,IFS(
 AK111="Fast",
   IFS(
     OR(C111="B",C111="D"),XLOOKUP("timeout_coarse_fast",Calibration!$B:$B,Calibration!$C:$C,24),
     OR(C111="E",C111="F",C111="H",C111="I"),XLOOKUP("timeout_jcc_fast",Calibration!$B:$B,Calibration!$C:$C,10),
     OR(C111="G",C111="J"),XLOOKUP("timeout_duochrome_fast",Calibration!$B:$B,Calibration!$C:$C,8),
     C111="K",XLOOKUP("timeout_bino_fast",Calibration!$B:$B,Calibration!$C:$C,10),
     OR(C111="P",C111="Q",C111="R"),XLOOKUP("timeout_near_fast",Calibration!$B:$B,Calibration!$C:$C,16),
     TRUE,XLOOKUP("timeout_coarse_fast",Calibration!$B:$B,Calibration!$C:$C,24)
   ),
 AK111="Normal",
   IFS(
     OR(C111="B",C111="D"),XLOOKUP("timeout_coarse_normal",Calibration!$B:$B,Calibration!$C:$C,36),
     OR(C111="E",C111="F",C111="H",C111="I"),XLOOKUP("timeout_jcc_normal",Calibration!$B:$B,Calibration!$C:$C,14),
     OR(C111="G",C111="J"),XLOOKUP("timeout_duochrome_normal",Calibration!$B:$B,Calibration!$C:$C,10),
     C111="K",XLOOKUP("timeout_bino_normal",Calibration!$B:$B,Calibration!$C:$C,14),
     OR(C111="P",C111="Q",C111="R"),XLOOKUP("timeout_near_normal",Calibration!$B:$B,Calibration!$C:$C,22),
     TRUE,XLOOKUP("timeout_coarse_normal",Calibration!$B:$B,Calibration!$C:$C,36)
   ),
 TRUE,
   IFS(
     OR(C111="B",C111="D"),XLOOKUP("timeout_coarse_slow",Calibration!$B:$B,Calibration!$C:$C,48),
     OR(C111="E",C111="F",C111="H",C111="I"),XLOOKUP("timeout_jcc_slow",Calibration!$B:$B,Calibration!$C:$C,18),
     OR(C111="G",C111="J"),XLOOKUP("timeout_duochrome_slow",Calibration!$B:$B,Calibration!$C:$C,12),
     C111="K",XLOOKUP("timeout_bino_slow",Calibration!$B:$B,Calibration!$C:$C,18),
     OR(C111="P",C111="Q",C111="R"),XLOOKUP("timeout_near_slow",Calibration!$B:$B,Calibration!$C:$C,28),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AJ111=TRUE,"ESCALATE",
C111="A",
IF(OR(I111="NOT_READABLE",I111="BLURRY",AND(R111="20_20_20",I111="READABLE")),"B","A"),
C111="B",
IF(reEsc,"ESCALATE",IF(AY111&gt;=phaseMax,"ESCALATE",IF(AND(AV111&gt;=AW111,I111="READABLE"),"E","B"))),
C111="E",
IF(AY111&gt;=phaseMax,"ESCALATE",IF(OR(I111="SAME",I111="CANT_TELL",AD111&lt;axisTol),"F","E")),
C111="F",
IF(AY111&gt;=phaseMax,"ESCALATE",IF(AX111&gt;=powerSameN,"G","F")),
C111="G",
IF(AY111&gt;=phaseMax,"ESCALATE",IF(OR(AX111&gt;=duoEqualN,BB111&gt;=duoMax),"D","G")),
C111="D",
IF(leEsc,"ESCALATE",IF(AY111&gt;=phaseMax,"ESCALATE",IF(AND(AV111&gt;=AW111,I111="READABLE"),"H","D"))),
C111="H",
IF(AY111&gt;=phaseMax,"ESCALATE",IF(OR(I111="SAME",I111="CANT_TELL",AD111&lt;axisTol),"I","H")),
C111="I",
IF(AY111&gt;=phaseMax,"ESCALATE",IF(AX111&gt;=powerSameN,"J","I")),
C111="J",
IF(AY111&gt;=phaseMax,"ESCALATE",IF(OR(AX111&gt;=duoEqualN,BB111&gt;=duoMax),"K","J")),
C111="K",
IF(AY111&gt;=phaseMax,"ESCALATE",IF(AX111&gt;=binoSameN,IF(XLOOKUP($B111,Derived_Variables!$A:$A,Derived_Variables!$AJ:$AJ,FALSE)=TRUE,"P","END"),"K")),
C111="P",
IF(AY111&gt;=phaseMax,"ESCALATE",IF(OR(I111="READABLE",I111="SAME"),"Q","P")),
C111="Q",
IF(AY111&gt;=phaseMax,"ESCALATE",IF(OR(I111="READABLE",I111="SAME"),"R","Q")),
C111="R",
IF(AY111&gt;=phaseMax,"ESCALATE",IF(OR(I111=nearTarget,I111="SAME"),"END","R")),
TRUE,"END"
)))</f>
        <v/>
      </c>
      <c r="BD111" s="28" t="b">
        <f t="shared" si="19"/>
        <v>0</v>
      </c>
    </row>
    <row r="112" ht="15.75" customHeight="1">
      <c r="A112" s="28">
        <f t="shared" si="3"/>
        <v>111</v>
      </c>
      <c r="B112" s="28">
        <f t="shared" si="4"/>
        <v>6</v>
      </c>
      <c r="C112" s="28" t="str">
        <f t="shared" si="5"/>
        <v/>
      </c>
      <c r="D112" s="28" t="str">
        <f t="array" ref="D112">IF($I111="","",XLOOKUP(C112,FSM_State_Map!A:A,FSM_State_Map!B:B,""))</f>
        <v/>
      </c>
      <c r="E112" s="28" t="str">
        <f t="array" ref="E112">IF($I111="","",XLOOKUP(C112,FSM_State_Map!A:A,FSM_State_Map!C:C,""))</f>
        <v/>
      </c>
      <c r="F112" s="28" t="str">
        <f t="array" ref="F112">IF($I111="","",XLOOKUP(E112,Phase_UI_Map!A:A,Phase_UI_Map!B:B,""))</f>
        <v/>
      </c>
      <c r="G112" s="28" t="str">
        <f t="array" ref="G112">IF($I111="","",XLOOKUP(E112,Phase_UI_Map!A:A,Phase_UI_Map!C:C,""))</f>
        <v/>
      </c>
      <c r="H112" s="28" t="str">
        <f t="array" ref="H112">IF($I111="","",XLOOKUP(E112,Phase_UI_Map!A:A,Phase_UI_Map!D:D,""))</f>
        <v/>
      </c>
      <c r="I112" s="29"/>
      <c r="J112" s="28" t="str">
        <f>IFERROR(__xludf.DUMMYFUNCTION("IF($I111="""","""",IFERROR(INDEX(FILTER(Response_Lists!$B:$B,Response_Lists!$A:$A=$H112),1),""""))"),"")</f>
        <v/>
      </c>
      <c r="K112" s="28" t="str">
        <f>IFERROR(__xludf.DUMMYFUNCTION("IF($I111="""","""",IFERROR(INDEX(FILTER(Response_Lists!$B:$B,Response_Lists!$A:$A=$H112),2),""""))"),"")</f>
        <v/>
      </c>
      <c r="L112" s="28" t="str">
        <f>IFERROR(__xludf.DUMMYFUNCTION("IF($I111="""","""",IFERROR(INDEX(FILTER(Response_Lists!$B:$B,Response_Lists!$A:$A=$H112),3),""""))"),"")</f>
        <v/>
      </c>
      <c r="M112" s="28" t="str">
        <f>IFERROR(__xludf.DUMMYFUNCTION("IF($I111="""","""",IFERROR(INDEX(FILTER(Response_Lists!$B:$B,Response_Lists!$A:$A=$H112),4),""""))"),"")</f>
        <v/>
      </c>
      <c r="N112" s="28" t="str">
        <f>IFERROR(__xludf.DUMMYFUNCTION("IF($I111="""","""",IFERROR(INDEX(FILTER(Response_Lists!$B:$B,Response_Lists!$A:$A=$H112),5),""""))"),"")</f>
        <v/>
      </c>
      <c r="O112" s="28" t="str">
        <f>IFERROR(__xludf.DUMMYFUNCTION("IF($I111="""","""",IFERROR(INDEX(FILTER(Response_Lists!$B:$B,Response_Lists!$A:$A=$H112),6),""""))"),"")</f>
        <v/>
      </c>
      <c r="P112" s="28" t="str">
        <f t="shared" si="6"/>
        <v/>
      </c>
      <c r="Q112" s="28" t="str">
        <f t="array" ref="Q112">IF($I111="","",XLOOKUP(C112,FSM_State_Map!A:A,FSM_State_Map!D:D,""))</f>
        <v/>
      </c>
      <c r="R112" s="28" t="str">
        <f t="shared" si="7"/>
        <v/>
      </c>
      <c r="S112" s="28" t="str">
        <f t="array" ref="S112">IF($I111="","",
IF(
  AND(C112="B",C111&lt;&gt;"B"),
  XLOOKUP($B112,Derived_Variables!$A:$A,Derived_Variables!$K:$K,0)
  + XLOOKUP($B112,Derived_Variables!$A:$A,Derived_Variables!$AE:$AE,0),
  S111+AM111
))</f>
        <v/>
      </c>
      <c r="T112" s="28" t="str">
        <f t="shared" ref="T112:U112" si="234">IF($I111="","",T111+AN111)</f>
        <v/>
      </c>
      <c r="U112" s="28" t="str">
        <f t="shared" si="234"/>
        <v/>
      </c>
      <c r="V112" s="28" t="str">
        <f t="array" ref="V112">IF($I111="","",
IF(
  AND(C112="D",C111&lt;&gt;"D"),
  XLOOKUP($B112,Derived_Variables!$A:$A,Derived_Variables!$N:$N,0)
  + XLOOKUP($B112,Derived_Variables!$A:$A,Derived_Variables!$AE:$AE,0),
  V111+AP111
))</f>
        <v/>
      </c>
      <c r="W112" s="28" t="str">
        <f t="shared" ref="W112:X112" si="235">IF($I111="","",W111+AQ111)</f>
        <v/>
      </c>
      <c r="X112" s="28" t="str">
        <f t="shared" si="235"/>
        <v/>
      </c>
      <c r="Y112" s="28" t="str">
        <f t="array" ref="Y112">IF($I111="","",IF(AND(C112="P",C111&lt;&gt;"P"),IFERROR(XLOOKUP($B112,Lenso_Input!$A:$A,Lenso_Input!$E:$E,0),0),Y111+AS111))</f>
        <v/>
      </c>
      <c r="Z112" s="28" t="str">
        <f t="array" ref="Z112">IF($I111="","",IF(AND(C112="Q",C111&lt;&gt;"Q"),IFERROR(XLOOKUP($B112,Lenso_Input!$A:$A,Lenso_Input!$I:$I,0),0),Z111+AT111))</f>
        <v/>
      </c>
      <c r="AA112" s="28" t="str">
        <f t="array" ref="AA112">IF($I111="","",IF(XLOOKUP($B112,Derived_Variables!$A:$A,Derived_Variables!$R:$R,"6/6_target")="6/6_target","20_20_20","40_30_25"))</f>
        <v/>
      </c>
      <c r="AB112" s="28" t="str">
        <f t="array" ref="AB112">IF($I111="","",XLOOKUP(LOWER(XLOOKUP($B112,Derived_Variables!$A:$A,Derived_Variables!$T:$T,"Standard"))&amp;"_sph_step",Calibration!$B:$B,Calibration!$C:$C,0.25))</f>
        <v/>
      </c>
      <c r="AC112" s="28" t="str">
        <f t="array" ref="AC112">IF($I111="","",XLOOKUP(LOWER(XLOOKUP($B112,Derived_Variables!$A:$A,Derived_Variables!$T:$T,"Standard"))&amp;"_cyl_step",Calibration!$B:$B,Calibration!$C:$C,0.25))</f>
        <v/>
      </c>
      <c r="AD112" s="28" t="str">
        <f t="array" ref="AD112">IF($I111="","",IF(OR(C112="E",C112="H"),LET(startStep,XLOOKUP("axis_start_step",Calibration!$B:$B,Calibration!$C:$C,5),step1,XLOOKUP("axis_reversal_step_1",Calibration!$B:$B,Calibration!$C:$C,3),step2,XLOOKUP("axis_reversal_step_2",Calibration!$B:$B,Calibration!$C:$C,1),IF(OR(C111&lt;&gt;C112,AZ112="",AZ112="SAME",AZ112="CANT_TELL",I112="",I112="SAME",I112="CANT_TELL"),startStep,IF(OR(AND(AZ112="BETTER_1",I112="BETTER_2"),AND(AZ112="BETTER_2",I112="BETTER_1")),IF(AD111&gt;step1,step1,step2),AD111))),0))</f>
        <v/>
      </c>
      <c r="AE112" s="28" t="str">
        <f t="array" ref="AE112">IF($I111="","",XLOOKUP($B112,Derived_Variables!$A:$A,Derived_Variables!$AD:$AD,"No_Fog"))</f>
        <v/>
      </c>
      <c r="AF112" s="28" t="str">
        <f t="array" ref="AF112">IF($I111="","",XLOOKUP($B112,Derived_Variables!$A:$A,Derived_Variables!$AE:$AE,0))</f>
        <v/>
      </c>
      <c r="AG112" s="28" t="str">
        <f t="array" ref="AG112">IF($I111="","",XLOOKUP($B112,Derived_Variables!$A:$A,Derived_Variables!$AF:$AF,""))</f>
        <v/>
      </c>
      <c r="AH112" s="28" t="str">
        <f t="array" ref="AH112">IF($I111="","",XLOOKUP($B112,Derived_Variables!$A:$A,Derived_Variables!$AG:$AG,""))</f>
        <v/>
      </c>
      <c r="AI112" s="28" t="str">
        <f t="array" ref="AI112">IF($I111="","",XLOOKUP($B112,Derived_Variables!$A:$A,Derived_Variables!$AC:$AC,"Medium"))</f>
        <v/>
      </c>
      <c r="AJ112" s="28" t="str">
        <f t="array" ref="AJ112">IF($I111="","",XLOOKUP($B112,Derived_Variables!$A:$A,Derived_Variables!$Y:$Y,FALSE))</f>
        <v/>
      </c>
      <c r="AK112" s="28" t="str">
        <f t="array" ref="AK112">IF($I111="","",XLOOKUP($B112,Derived_Variables!$A:$A,Derived_Variables!$AA:$AA,"Normal"))</f>
        <v/>
      </c>
      <c r="AL112" s="28" t="str">
        <f t="array" ref="AL112">IF($I111="","",XLOOKUP($B112,Derived_Variables!$A:$A,Derived_Variables!$AB:$AB,"Normal"))</f>
        <v/>
      </c>
      <c r="AM112" s="28" t="str">
        <f t="array" ref="AM112">IF($I112="","",IFS(C112="B",IF(OR(I112="NOT_READABLE",I112="BLURRY"),-AB112,0),C112="G",IFS(I112="RED_CLEARER",XLOOKUP("duochrome_red_step",Calibration!$B:$B,Calibration!$C:$C,-0.25),I112="GREEN_CLEARER",XLOOKUP("duochrome_green_step",Calibration!$B:$B,Calibration!$C:$C,0.25),I112="EQUAL",IF(XLOOKUP($B112,Derived_Variables!$A:$A,Derived_Variables!$S:$S,"Neutral")="Undercorrect",XLOOKUP("undercorrect_step",Calibration!$B:$B,Calibration!$C:$C,0.25),IF(XLOOKUP($B112,Derived_Variables!$A:$A,Derived_Variables!$S:$S,"Neutral")="Overcorrect",-XLOOKUP("overcorrect_step",Calibration!$B:$B,Calibration!$C:$C,0.25),0)),TRUE,0),C112="K",IF(I112="TOP_CLEARER",XLOOKUP("bino_balance_step",Calibration!$B:$B,Calibration!$C:$C,0.25),0),TRUE,0))</f>
        <v/>
      </c>
      <c r="AN112" s="28" t="str">
        <f t="shared" si="10"/>
        <v/>
      </c>
      <c r="AO112" s="28" t="str">
        <f t="shared" si="11"/>
        <v/>
      </c>
      <c r="AP112" s="28" t="str">
        <f t="array" ref="AP112">IF($I112="","",IFS(C112="D",IF(OR(I112="NOT_READABLE",I112="BLURRY"),-AB112,0),C112="J",IFS(I112="RED_CLEARER",XLOOKUP("duochrome_red_step",Calibration!$B:$B,Calibration!$C:$C,-0.25),I112="GREEN_CLEARER",XLOOKUP("duochrome_green_step",Calibration!$B:$B,Calibration!$C:$C,0.25),I112="EQUAL",IF(XLOOKUP($B112,Derived_Variables!$A:$A,Derived_Variables!$S:$S,"Neutral")="Undercorrect",XLOOKUP("undercorrect_step",Calibration!$B:$B,Calibration!$C:$C,0.25),IF(XLOOKUP($B112,Derived_Variables!$A:$A,Derived_Variables!$S:$S,"Neutral")="Overcorrect",-XLOOKUP("overcorrect_step",Calibration!$B:$B,Calibration!$C:$C,0.25),0)),TRUE,0),C112="K",IF(I112="BOTTOM_CLEARER",XLOOKUP("bino_balance_step",Calibration!$B:$B,Calibration!$C:$C,0.25),0),TRUE,0))</f>
        <v/>
      </c>
      <c r="AQ112" s="28" t="str">
        <f t="shared" si="12"/>
        <v/>
      </c>
      <c r="AR112" s="28" t="str">
        <f t="shared" si="13"/>
        <v/>
      </c>
      <c r="AS112" s="28" t="str">
        <f t="array" ref="AS112">IF($I112="","",IF(C112="P",IF(OR(I112="NOT_READABLE",I112="BLURRY"),XLOOKUP("near_add_step",Calibration!$B:$B,Calibration!$C:$C,0.25),0),IF(C112="R",IF(I112="NOT_CLEAR",XLOOKUP("near_add_step",Calibration!$B:$B,Calibration!$C:$C,0.25),0),0)))</f>
        <v/>
      </c>
      <c r="AT112" s="28" t="str">
        <f t="array" ref="AT112">IF($I112="","",IF(C112="Q",IF(OR(I112="NOT_READABLE",I112="BLURRY"),XLOOKUP("near_add_step",Calibration!$B:$B,Calibration!$C:$C,0.25),0),IF(C112="R",IF(I112="NOT_CLEAR",XLOOKUP("near_add_step",Calibration!$B:$B,Calibration!$C:$C,0.25),0),0)))</f>
        <v/>
      </c>
      <c r="AU112" s="28" t="str">
        <f t="array" ref="AU112">IF($I112="","",IF(G112="SNELLEN_FEET",IF(I112="READABLE",IFERROR(XLOOKUP(XLOOKUP(R112,Chart_Scale_Distance!B:B,Chart_Scale_Distance!A:A)+1,Chart_Scale_Distance!A:A,Chart_Scale_Distance!B:B),R112),R112),R112))</f>
        <v/>
      </c>
      <c r="AV112" s="28" t="str">
        <f t="array" ref="AV112">IF($I111="","",IFERROR(XLOOKUP(R112,Chart_Scale_Distance!$B:$B,Chart_Scale_Distance!$A:$A,""),""))</f>
        <v/>
      </c>
      <c r="AW112" s="28" t="str">
        <f t="array" ref="AW112">IF($I111="","",IFERROR(XLOOKUP(AA112,Chart_Scale_Distance!$B:$B,Chart_Scale_Distance!$A:$A,""),""))</f>
        <v/>
      </c>
      <c r="AX112" s="28" t="str">
        <f t="shared" si="14"/>
        <v/>
      </c>
      <c r="AY112" s="28" t="str">
        <f t="shared" si="15"/>
        <v/>
      </c>
      <c r="AZ112" s="28" t="str">
        <f t="shared" si="16"/>
        <v/>
      </c>
      <c r="BA112" s="28" t="str">
        <f t="shared" si="17"/>
        <v/>
      </c>
      <c r="BB112" s="28" t="str">
        <f t="shared" si="18"/>
        <v/>
      </c>
      <c r="BC112" s="28" t="str">
        <f t="array" ref="BC112">IF($I112="","",LET(
conf,AI112,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duoMax,XLOOKUP($B112,Derived_Variables!$A:$A,Derived_Variables!$AI:$AI,4),
axisTol,XLOOKUP($B112,Derived_Variables!$A:$A,Derived_Variables!$W:$W,1),
maxStart,XLOOKUP($B112,Derived_Variables!$A:$A,Derived_Variables!$U:$U,1.25),
maxAR,XLOOKUP($B112,Derived_Variables!$A:$A,Derived_Variables!$V:$V,3),
anom,XLOOKUP($B112,Derived_Variables!$A:$A,Derived_Variables!$Z:$Z,FALSE),
reStart,XLOOKUP($B112,Derived_Variables!$A:$A,Derived_Variables!$K:$K,0),
leStart,XLOOKUP($B112,Derived_Variables!$A:$A,Derived_Variables!$N:$N,0),
reAR,XLOOKUP($B112,AR_Input!$A:$A,AR_Input!$B:$B,reStart),
leAR,XLOOKUP($B112,AR_Input!$A:$A,AR_Input!$E:$E,leStart),
reEsc,AND(anom,OR(ABS((S112+AM112)-reStart)&gt;maxStart,ABS((S112+AM112)-reAR)&gt;maxAR)),
leEsc,AND(anom,OR(ABS((V112+AP112)-leStart)&gt;maxStart,ABS((V112+AP112)-leAR)&gt;maxAR)),
phaseMax,IFS(
 AK112="Fast",
   IFS(
     OR(C112="B",C112="D"),XLOOKUP("timeout_coarse_fast",Calibration!$B:$B,Calibration!$C:$C,24),
     OR(C112="E",C112="F",C112="H",C112="I"),XLOOKUP("timeout_jcc_fast",Calibration!$B:$B,Calibration!$C:$C,10),
     OR(C112="G",C112="J"),XLOOKUP("timeout_duochrome_fast",Calibration!$B:$B,Calibration!$C:$C,8),
     C112="K",XLOOKUP("timeout_bino_fast",Calibration!$B:$B,Calibration!$C:$C,10),
     OR(C112="P",C112="Q",C112="R"),XLOOKUP("timeout_near_fast",Calibration!$B:$B,Calibration!$C:$C,16),
     TRUE,XLOOKUP("timeout_coarse_fast",Calibration!$B:$B,Calibration!$C:$C,24)
   ),
 AK112="Normal",
   IFS(
     OR(C112="B",C112="D"),XLOOKUP("timeout_coarse_normal",Calibration!$B:$B,Calibration!$C:$C,36),
     OR(C112="E",C112="F",C112="H",C112="I"),XLOOKUP("timeout_jcc_normal",Calibration!$B:$B,Calibration!$C:$C,14),
     OR(C112="G",C112="J"),XLOOKUP("timeout_duochrome_normal",Calibration!$B:$B,Calibration!$C:$C,10),
     C112="K",XLOOKUP("timeout_bino_normal",Calibration!$B:$B,Calibration!$C:$C,14),
     OR(C112="P",C112="Q",C112="R"),XLOOKUP("timeout_near_normal",Calibration!$B:$B,Calibration!$C:$C,22),
     TRUE,XLOOKUP("timeout_coarse_normal",Calibration!$B:$B,Calibration!$C:$C,36)
   ),
 TRUE,
   IFS(
     OR(C112="B",C112="D"),XLOOKUP("timeout_coarse_slow",Calibration!$B:$B,Calibration!$C:$C,48),
     OR(C112="E",C112="F",C112="H",C112="I"),XLOOKUP("timeout_jcc_slow",Calibration!$B:$B,Calibration!$C:$C,18),
     OR(C112="G",C112="J"),XLOOKUP("timeout_duochrome_slow",Calibration!$B:$B,Calibration!$C:$C,12),
     C112="K",XLOOKUP("timeout_bino_slow",Calibration!$B:$B,Calibration!$C:$C,18),
     OR(C112="P",C112="Q",C112="R"),XLOOKUP("timeout_near_slow",Calibration!$B:$B,Calibration!$C:$C,28),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AJ112=TRUE,"ESCALATE",
C112="A",
IF(OR(I112="NOT_READABLE",I112="BLURRY",AND(R112="20_20_20",I112="READABLE")),"B","A"),
C112="B",
IF(reEsc,"ESCALATE",IF(AY112&gt;=phaseMax,"ESCALATE",IF(AND(AV112&gt;=AW112,I112="READABLE"),"E","B"))),
C112="E",
IF(AY112&gt;=phaseMax,"ESCALATE",IF(OR(I112="SAME",I112="CANT_TELL",AD112&lt;axisTol),"F","E")),
C112="F",
IF(AY112&gt;=phaseMax,"ESCALATE",IF(AX112&gt;=powerSameN,"G","F")),
C112="G",
IF(AY112&gt;=phaseMax,"ESCALATE",IF(OR(AX112&gt;=duoEqualN,BB112&gt;=duoMax),"D","G")),
C112="D",
IF(leEsc,"ESCALATE",IF(AY112&gt;=phaseMax,"ESCALATE",IF(AND(AV112&gt;=AW112,I112="READABLE"),"H","D"))),
C112="H",
IF(AY112&gt;=phaseMax,"ESCALATE",IF(OR(I112="SAME",I112="CANT_TELL",AD112&lt;axisTol),"I","H")),
C112="I",
IF(AY112&gt;=phaseMax,"ESCALATE",IF(AX112&gt;=powerSameN,"J","I")),
C112="J",
IF(AY112&gt;=phaseMax,"ESCALATE",IF(OR(AX112&gt;=duoEqualN,BB112&gt;=duoMax),"K","J")),
C112="K",
IF(AY112&gt;=phaseMax,"ESCALATE",IF(AX112&gt;=binoSameN,IF(XLOOKUP($B112,Derived_Variables!$A:$A,Derived_Variables!$AJ:$AJ,FALSE)=TRUE,"P","END"),"K")),
C112="P",
IF(AY112&gt;=phaseMax,"ESCALATE",IF(OR(I112="READABLE",I112="SAME"),"Q","P")),
C112="Q",
IF(AY112&gt;=phaseMax,"ESCALATE",IF(OR(I112="READABLE",I112="SAME"),"R","Q")),
C112="R",
IF(AY112&gt;=phaseMax,"ESCALATE",IF(OR(I112=nearTarget,I112="SAME"),"END","R")),
TRUE,"END"
)))</f>
        <v/>
      </c>
      <c r="BD112" s="28" t="b">
        <f t="shared" si="19"/>
        <v>0</v>
      </c>
    </row>
    <row r="113" ht="15.75" customHeight="1">
      <c r="A113" s="28">
        <f t="shared" si="3"/>
        <v>112</v>
      </c>
      <c r="B113" s="28">
        <f t="shared" si="4"/>
        <v>6</v>
      </c>
      <c r="C113" s="28" t="str">
        <f t="shared" si="5"/>
        <v/>
      </c>
      <c r="D113" s="28" t="str">
        <f t="array" ref="D113">IF($I112="","",XLOOKUP(C113,FSM_State_Map!A:A,FSM_State_Map!B:B,""))</f>
        <v/>
      </c>
      <c r="E113" s="28" t="str">
        <f t="array" ref="E113">IF($I112="","",XLOOKUP(C113,FSM_State_Map!A:A,FSM_State_Map!C:C,""))</f>
        <v/>
      </c>
      <c r="F113" s="28" t="str">
        <f t="array" ref="F113">IF($I112="","",XLOOKUP(E113,Phase_UI_Map!A:A,Phase_UI_Map!B:B,""))</f>
        <v/>
      </c>
      <c r="G113" s="28" t="str">
        <f t="array" ref="G113">IF($I112="","",XLOOKUP(E113,Phase_UI_Map!A:A,Phase_UI_Map!C:C,""))</f>
        <v/>
      </c>
      <c r="H113" s="28" t="str">
        <f t="array" ref="H113">IF($I112="","",XLOOKUP(E113,Phase_UI_Map!A:A,Phase_UI_Map!D:D,""))</f>
        <v/>
      </c>
      <c r="I113" s="29"/>
      <c r="J113" s="28" t="str">
        <f>IFERROR(__xludf.DUMMYFUNCTION("IF($I112="""","""",IFERROR(INDEX(FILTER(Response_Lists!$B:$B,Response_Lists!$A:$A=$H113),1),""""))"),"")</f>
        <v/>
      </c>
      <c r="K113" s="28" t="str">
        <f>IFERROR(__xludf.DUMMYFUNCTION("IF($I112="""","""",IFERROR(INDEX(FILTER(Response_Lists!$B:$B,Response_Lists!$A:$A=$H113),2),""""))"),"")</f>
        <v/>
      </c>
      <c r="L113" s="28" t="str">
        <f>IFERROR(__xludf.DUMMYFUNCTION("IF($I112="""","""",IFERROR(INDEX(FILTER(Response_Lists!$B:$B,Response_Lists!$A:$A=$H113),3),""""))"),"")</f>
        <v/>
      </c>
      <c r="M113" s="28" t="str">
        <f>IFERROR(__xludf.DUMMYFUNCTION("IF($I112="""","""",IFERROR(INDEX(FILTER(Response_Lists!$B:$B,Response_Lists!$A:$A=$H113),4),""""))"),"")</f>
        <v/>
      </c>
      <c r="N113" s="28" t="str">
        <f>IFERROR(__xludf.DUMMYFUNCTION("IF($I112="""","""",IFERROR(INDEX(FILTER(Response_Lists!$B:$B,Response_Lists!$A:$A=$H113),5),""""))"),"")</f>
        <v/>
      </c>
      <c r="O113" s="28" t="str">
        <f>IFERROR(__xludf.DUMMYFUNCTION("IF($I112="""","""",IFERROR(INDEX(FILTER(Response_Lists!$B:$B,Response_Lists!$A:$A=$H113),6),""""))"),"")</f>
        <v/>
      </c>
      <c r="P113" s="28" t="str">
        <f t="shared" si="6"/>
        <v/>
      </c>
      <c r="Q113" s="28" t="str">
        <f t="array" ref="Q113">IF($I112="","",XLOOKUP(C113,FSM_State_Map!A:A,FSM_State_Map!D:D,""))</f>
        <v/>
      </c>
      <c r="R113" s="28" t="str">
        <f t="shared" si="7"/>
        <v/>
      </c>
      <c r="S113" s="28" t="str">
        <f t="array" ref="S113">IF($I112="","",
IF(
  AND(C113="B",C112&lt;&gt;"B"),
  XLOOKUP($B113,Derived_Variables!$A:$A,Derived_Variables!$K:$K,0)
  + XLOOKUP($B113,Derived_Variables!$A:$A,Derived_Variables!$AE:$AE,0),
  S112+AM112
))</f>
        <v/>
      </c>
      <c r="T113" s="28" t="str">
        <f t="shared" ref="T113:U113" si="236">IF($I112="","",T112+AN112)</f>
        <v/>
      </c>
      <c r="U113" s="28" t="str">
        <f t="shared" si="236"/>
        <v/>
      </c>
      <c r="V113" s="28" t="str">
        <f t="array" ref="V113">IF($I112="","",
IF(
  AND(C113="D",C112&lt;&gt;"D"),
  XLOOKUP($B113,Derived_Variables!$A:$A,Derived_Variables!$N:$N,0)
  + XLOOKUP($B113,Derived_Variables!$A:$A,Derived_Variables!$AE:$AE,0),
  V112+AP112
))</f>
        <v/>
      </c>
      <c r="W113" s="28" t="str">
        <f t="shared" ref="W113:X113" si="237">IF($I112="","",W112+AQ112)</f>
        <v/>
      </c>
      <c r="X113" s="28" t="str">
        <f t="shared" si="237"/>
        <v/>
      </c>
      <c r="Y113" s="28" t="str">
        <f t="array" ref="Y113">IF($I112="","",IF(AND(C113="P",C112&lt;&gt;"P"),IFERROR(XLOOKUP($B113,Lenso_Input!$A:$A,Lenso_Input!$E:$E,0),0),Y112+AS112))</f>
        <v/>
      </c>
      <c r="Z113" s="28" t="str">
        <f t="array" ref="Z113">IF($I112="","",IF(AND(C113="Q",C112&lt;&gt;"Q"),IFERROR(XLOOKUP($B113,Lenso_Input!$A:$A,Lenso_Input!$I:$I,0),0),Z112+AT112))</f>
        <v/>
      </c>
      <c r="AA113" s="28" t="str">
        <f t="array" ref="AA113">IF($I112="","",IF(XLOOKUP($B113,Derived_Variables!$A:$A,Derived_Variables!$R:$R,"6/6_target")="6/6_target","20_20_20","40_30_25"))</f>
        <v/>
      </c>
      <c r="AB113" s="28" t="str">
        <f t="array" ref="AB113">IF($I112="","",XLOOKUP(LOWER(XLOOKUP($B113,Derived_Variables!$A:$A,Derived_Variables!$T:$T,"Standard"))&amp;"_sph_step",Calibration!$B:$B,Calibration!$C:$C,0.25))</f>
        <v/>
      </c>
      <c r="AC113" s="28" t="str">
        <f t="array" ref="AC113">IF($I112="","",XLOOKUP(LOWER(XLOOKUP($B113,Derived_Variables!$A:$A,Derived_Variables!$T:$T,"Standard"))&amp;"_cyl_step",Calibration!$B:$B,Calibration!$C:$C,0.25))</f>
        <v/>
      </c>
      <c r="AD113" s="28" t="str">
        <f t="array" ref="AD113">IF($I112="","",IF(OR(C113="E",C113="H"),LET(startStep,XLOOKUP("axis_start_step",Calibration!$B:$B,Calibration!$C:$C,5),step1,XLOOKUP("axis_reversal_step_1",Calibration!$B:$B,Calibration!$C:$C,3),step2,XLOOKUP("axis_reversal_step_2",Calibration!$B:$B,Calibration!$C:$C,1),IF(OR(C112&lt;&gt;C113,AZ113="",AZ113="SAME",AZ113="CANT_TELL",I113="",I113="SAME",I113="CANT_TELL"),startStep,IF(OR(AND(AZ113="BETTER_1",I113="BETTER_2"),AND(AZ113="BETTER_2",I113="BETTER_1")),IF(AD112&gt;step1,step1,step2),AD112))),0))</f>
        <v/>
      </c>
      <c r="AE113" s="28" t="str">
        <f t="array" ref="AE113">IF($I112="","",XLOOKUP($B113,Derived_Variables!$A:$A,Derived_Variables!$AD:$AD,"No_Fog"))</f>
        <v/>
      </c>
      <c r="AF113" s="28" t="str">
        <f t="array" ref="AF113">IF($I112="","",XLOOKUP($B113,Derived_Variables!$A:$A,Derived_Variables!$AE:$AE,0))</f>
        <v/>
      </c>
      <c r="AG113" s="28" t="str">
        <f t="array" ref="AG113">IF($I112="","",XLOOKUP($B113,Derived_Variables!$A:$A,Derived_Variables!$AF:$AF,""))</f>
        <v/>
      </c>
      <c r="AH113" s="28" t="str">
        <f t="array" ref="AH113">IF($I112="","",XLOOKUP($B113,Derived_Variables!$A:$A,Derived_Variables!$AG:$AG,""))</f>
        <v/>
      </c>
      <c r="AI113" s="28" t="str">
        <f t="array" ref="AI113">IF($I112="","",XLOOKUP($B113,Derived_Variables!$A:$A,Derived_Variables!$AC:$AC,"Medium"))</f>
        <v/>
      </c>
      <c r="AJ113" s="28" t="str">
        <f t="array" ref="AJ113">IF($I112="","",XLOOKUP($B113,Derived_Variables!$A:$A,Derived_Variables!$Y:$Y,FALSE))</f>
        <v/>
      </c>
      <c r="AK113" s="28" t="str">
        <f t="array" ref="AK113">IF($I112="","",XLOOKUP($B113,Derived_Variables!$A:$A,Derived_Variables!$AA:$AA,"Normal"))</f>
        <v/>
      </c>
      <c r="AL113" s="28" t="str">
        <f t="array" ref="AL113">IF($I112="","",XLOOKUP($B113,Derived_Variables!$A:$A,Derived_Variables!$AB:$AB,"Normal"))</f>
        <v/>
      </c>
      <c r="AM113" s="28" t="str">
        <f t="array" ref="AM113">IF($I113="","",IFS(C113="B",IF(OR(I113="NOT_READABLE",I113="BLURRY"),-AB113,0),C113="G",IFS(I113="RED_CLEARER",XLOOKUP("duochrome_red_step",Calibration!$B:$B,Calibration!$C:$C,-0.25),I113="GREEN_CLEARER",XLOOKUP("duochrome_green_step",Calibration!$B:$B,Calibration!$C:$C,0.25),I113="EQUAL",IF(XLOOKUP($B113,Derived_Variables!$A:$A,Derived_Variables!$S:$S,"Neutral")="Undercorrect",XLOOKUP("undercorrect_step",Calibration!$B:$B,Calibration!$C:$C,0.25),IF(XLOOKUP($B113,Derived_Variables!$A:$A,Derived_Variables!$S:$S,"Neutral")="Overcorrect",-XLOOKUP("overcorrect_step",Calibration!$B:$B,Calibration!$C:$C,0.25),0)),TRUE,0),C113="K",IF(I113="TOP_CLEARER",XLOOKUP("bino_balance_step",Calibration!$B:$B,Calibration!$C:$C,0.25),0),TRUE,0))</f>
        <v/>
      </c>
      <c r="AN113" s="28" t="str">
        <f t="shared" si="10"/>
        <v/>
      </c>
      <c r="AO113" s="28" t="str">
        <f t="shared" si="11"/>
        <v/>
      </c>
      <c r="AP113" s="28" t="str">
        <f t="array" ref="AP113">IF($I113="","",IFS(C113="D",IF(OR(I113="NOT_READABLE",I113="BLURRY"),-AB113,0),C113="J",IFS(I113="RED_CLEARER",XLOOKUP("duochrome_red_step",Calibration!$B:$B,Calibration!$C:$C,-0.25),I113="GREEN_CLEARER",XLOOKUP("duochrome_green_step",Calibration!$B:$B,Calibration!$C:$C,0.25),I113="EQUAL",IF(XLOOKUP($B113,Derived_Variables!$A:$A,Derived_Variables!$S:$S,"Neutral")="Undercorrect",XLOOKUP("undercorrect_step",Calibration!$B:$B,Calibration!$C:$C,0.25),IF(XLOOKUP($B113,Derived_Variables!$A:$A,Derived_Variables!$S:$S,"Neutral")="Overcorrect",-XLOOKUP("overcorrect_step",Calibration!$B:$B,Calibration!$C:$C,0.25),0)),TRUE,0),C113="K",IF(I113="BOTTOM_CLEARER",XLOOKUP("bino_balance_step",Calibration!$B:$B,Calibration!$C:$C,0.25),0),TRUE,0))</f>
        <v/>
      </c>
      <c r="AQ113" s="28" t="str">
        <f t="shared" si="12"/>
        <v/>
      </c>
      <c r="AR113" s="28" t="str">
        <f t="shared" si="13"/>
        <v/>
      </c>
      <c r="AS113" s="28" t="str">
        <f t="array" ref="AS113">IF($I113="","",IF(C113="P",IF(OR(I113="NOT_READABLE",I113="BLURRY"),XLOOKUP("near_add_step",Calibration!$B:$B,Calibration!$C:$C,0.25),0),IF(C113="R",IF(I113="NOT_CLEAR",XLOOKUP("near_add_step",Calibration!$B:$B,Calibration!$C:$C,0.25),0),0)))</f>
        <v/>
      </c>
      <c r="AT113" s="28" t="str">
        <f t="array" ref="AT113">IF($I113="","",IF(C113="Q",IF(OR(I113="NOT_READABLE",I113="BLURRY"),XLOOKUP("near_add_step",Calibration!$B:$B,Calibration!$C:$C,0.25),0),IF(C113="R",IF(I113="NOT_CLEAR",XLOOKUP("near_add_step",Calibration!$B:$B,Calibration!$C:$C,0.25),0),0)))</f>
        <v/>
      </c>
      <c r="AU113" s="28" t="str">
        <f t="array" ref="AU113">IF($I113="","",IF(G113="SNELLEN_FEET",IF(I113="READABLE",IFERROR(XLOOKUP(XLOOKUP(R113,Chart_Scale_Distance!B:B,Chart_Scale_Distance!A:A)+1,Chart_Scale_Distance!A:A,Chart_Scale_Distance!B:B),R113),R113),R113))</f>
        <v/>
      </c>
      <c r="AV113" s="28" t="str">
        <f t="array" ref="AV113">IF($I112="","",IFERROR(XLOOKUP(R113,Chart_Scale_Distance!$B:$B,Chart_Scale_Distance!$A:$A,""),""))</f>
        <v/>
      </c>
      <c r="AW113" s="28" t="str">
        <f t="array" ref="AW113">IF($I112="","",IFERROR(XLOOKUP(AA113,Chart_Scale_Distance!$B:$B,Chart_Scale_Distance!$A:$A,""),""))</f>
        <v/>
      </c>
      <c r="AX113" s="28" t="str">
        <f t="shared" si="14"/>
        <v/>
      </c>
      <c r="AY113" s="28" t="str">
        <f t="shared" si="15"/>
        <v/>
      </c>
      <c r="AZ113" s="28" t="str">
        <f t="shared" si="16"/>
        <v/>
      </c>
      <c r="BA113" s="28" t="str">
        <f t="shared" si="17"/>
        <v/>
      </c>
      <c r="BB113" s="28" t="str">
        <f t="shared" si="18"/>
        <v/>
      </c>
      <c r="BC113" s="28" t="str">
        <f t="array" ref="BC113">IF($I113="","",LET(
conf,AI113,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duoMax,XLOOKUP($B113,Derived_Variables!$A:$A,Derived_Variables!$AI:$AI,4),
axisTol,XLOOKUP($B113,Derived_Variables!$A:$A,Derived_Variables!$W:$W,1),
maxStart,XLOOKUP($B113,Derived_Variables!$A:$A,Derived_Variables!$U:$U,1.25),
maxAR,XLOOKUP($B113,Derived_Variables!$A:$A,Derived_Variables!$V:$V,3),
anom,XLOOKUP($B113,Derived_Variables!$A:$A,Derived_Variables!$Z:$Z,FALSE),
reStart,XLOOKUP($B113,Derived_Variables!$A:$A,Derived_Variables!$K:$K,0),
leStart,XLOOKUP($B113,Derived_Variables!$A:$A,Derived_Variables!$N:$N,0),
reAR,XLOOKUP($B113,AR_Input!$A:$A,AR_Input!$B:$B,reStart),
leAR,XLOOKUP($B113,AR_Input!$A:$A,AR_Input!$E:$E,leStart),
reEsc,AND(anom,OR(ABS((S113+AM113)-reStart)&gt;maxStart,ABS((S113+AM113)-reAR)&gt;maxAR)),
leEsc,AND(anom,OR(ABS((V113+AP113)-leStart)&gt;maxStart,ABS((V113+AP113)-leAR)&gt;maxAR)),
phaseMax,IFS(
 AK113="Fast",
   IFS(
     OR(C113="B",C113="D"),XLOOKUP("timeout_coarse_fast",Calibration!$B:$B,Calibration!$C:$C,24),
     OR(C113="E",C113="F",C113="H",C113="I"),XLOOKUP("timeout_jcc_fast",Calibration!$B:$B,Calibration!$C:$C,10),
     OR(C113="G",C113="J"),XLOOKUP("timeout_duochrome_fast",Calibration!$B:$B,Calibration!$C:$C,8),
     C113="K",XLOOKUP("timeout_bino_fast",Calibration!$B:$B,Calibration!$C:$C,10),
     OR(C113="P",C113="Q",C113="R"),XLOOKUP("timeout_near_fast",Calibration!$B:$B,Calibration!$C:$C,16),
     TRUE,XLOOKUP("timeout_coarse_fast",Calibration!$B:$B,Calibration!$C:$C,24)
   ),
 AK113="Normal",
   IFS(
     OR(C113="B",C113="D"),XLOOKUP("timeout_coarse_normal",Calibration!$B:$B,Calibration!$C:$C,36),
     OR(C113="E",C113="F",C113="H",C113="I"),XLOOKUP("timeout_jcc_normal",Calibration!$B:$B,Calibration!$C:$C,14),
     OR(C113="G",C113="J"),XLOOKUP("timeout_duochrome_normal",Calibration!$B:$B,Calibration!$C:$C,10),
     C113="K",XLOOKUP("timeout_bino_normal",Calibration!$B:$B,Calibration!$C:$C,14),
     OR(C113="P",C113="Q",C113="R"),XLOOKUP("timeout_near_normal",Calibration!$B:$B,Calibration!$C:$C,22),
     TRUE,XLOOKUP("timeout_coarse_normal",Calibration!$B:$B,Calibration!$C:$C,36)
   ),
 TRUE,
   IFS(
     OR(C113="B",C113="D"),XLOOKUP("timeout_coarse_slow",Calibration!$B:$B,Calibration!$C:$C,48),
     OR(C113="E",C113="F",C113="H",C113="I"),XLOOKUP("timeout_jcc_slow",Calibration!$B:$B,Calibration!$C:$C,18),
     OR(C113="G",C113="J"),XLOOKUP("timeout_duochrome_slow",Calibration!$B:$B,Calibration!$C:$C,12),
     C113="K",XLOOKUP("timeout_bino_slow",Calibration!$B:$B,Calibration!$C:$C,18),
     OR(C113="P",C113="Q",C113="R"),XLOOKUP("timeout_near_slow",Calibration!$B:$B,Calibration!$C:$C,28),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AJ113=TRUE,"ESCALATE",
C113="A",
IF(OR(I113="NOT_READABLE",I113="BLURRY",AND(R113="20_20_20",I113="READABLE")),"B","A"),
C113="B",
IF(reEsc,"ESCALATE",IF(AY113&gt;=phaseMax,"ESCALATE",IF(AND(AV113&gt;=AW113,I113="READABLE"),"E","B"))),
C113="E",
IF(AY113&gt;=phaseMax,"ESCALATE",IF(OR(I113="SAME",I113="CANT_TELL",AD113&lt;axisTol),"F","E")),
C113="F",
IF(AY113&gt;=phaseMax,"ESCALATE",IF(AX113&gt;=powerSameN,"G","F")),
C113="G",
IF(AY113&gt;=phaseMax,"ESCALATE",IF(OR(AX113&gt;=duoEqualN,BB113&gt;=duoMax),"D","G")),
C113="D",
IF(leEsc,"ESCALATE",IF(AY113&gt;=phaseMax,"ESCALATE",IF(AND(AV113&gt;=AW113,I113="READABLE"),"H","D"))),
C113="H",
IF(AY113&gt;=phaseMax,"ESCALATE",IF(OR(I113="SAME",I113="CANT_TELL",AD113&lt;axisTol),"I","H")),
C113="I",
IF(AY113&gt;=phaseMax,"ESCALATE",IF(AX113&gt;=powerSameN,"J","I")),
C113="J",
IF(AY113&gt;=phaseMax,"ESCALATE",IF(OR(AX113&gt;=duoEqualN,BB113&gt;=duoMax),"K","J")),
C113="K",
IF(AY113&gt;=phaseMax,"ESCALATE",IF(AX113&gt;=binoSameN,IF(XLOOKUP($B113,Derived_Variables!$A:$A,Derived_Variables!$AJ:$AJ,FALSE)=TRUE,"P","END"),"K")),
C113="P",
IF(AY113&gt;=phaseMax,"ESCALATE",IF(OR(I113="READABLE",I113="SAME"),"Q","P")),
C113="Q",
IF(AY113&gt;=phaseMax,"ESCALATE",IF(OR(I113="READABLE",I113="SAME"),"R","Q")),
C113="R",
IF(AY113&gt;=phaseMax,"ESCALATE",IF(OR(I113=nearTarget,I113="SAME"),"END","R")),
TRUE,"END"
)))</f>
        <v/>
      </c>
      <c r="BD113" s="28" t="b">
        <f t="shared" si="19"/>
        <v>0</v>
      </c>
    </row>
    <row r="114" ht="15.75" customHeight="1">
      <c r="A114" s="28">
        <f t="shared" si="3"/>
        <v>113</v>
      </c>
      <c r="B114" s="28">
        <f t="shared" si="4"/>
        <v>6</v>
      </c>
      <c r="C114" s="28" t="str">
        <f t="shared" si="5"/>
        <v/>
      </c>
      <c r="D114" s="28" t="str">
        <f t="array" ref="D114">IF($I113="","",XLOOKUP(C114,FSM_State_Map!A:A,FSM_State_Map!B:B,""))</f>
        <v/>
      </c>
      <c r="E114" s="28" t="str">
        <f t="array" ref="E114">IF($I113="","",XLOOKUP(C114,FSM_State_Map!A:A,FSM_State_Map!C:C,""))</f>
        <v/>
      </c>
      <c r="F114" s="28" t="str">
        <f t="array" ref="F114">IF($I113="","",XLOOKUP(E114,Phase_UI_Map!A:A,Phase_UI_Map!B:B,""))</f>
        <v/>
      </c>
      <c r="G114" s="28" t="str">
        <f t="array" ref="G114">IF($I113="","",XLOOKUP(E114,Phase_UI_Map!A:A,Phase_UI_Map!C:C,""))</f>
        <v/>
      </c>
      <c r="H114" s="28" t="str">
        <f t="array" ref="H114">IF($I113="","",XLOOKUP(E114,Phase_UI_Map!A:A,Phase_UI_Map!D:D,""))</f>
        <v/>
      </c>
      <c r="I114" s="29"/>
      <c r="J114" s="28" t="str">
        <f>IFERROR(__xludf.DUMMYFUNCTION("IF($I113="""","""",IFERROR(INDEX(FILTER(Response_Lists!$B:$B,Response_Lists!$A:$A=$H114),1),""""))"),"")</f>
        <v/>
      </c>
      <c r="K114" s="28" t="str">
        <f>IFERROR(__xludf.DUMMYFUNCTION("IF($I113="""","""",IFERROR(INDEX(FILTER(Response_Lists!$B:$B,Response_Lists!$A:$A=$H114),2),""""))"),"")</f>
        <v/>
      </c>
      <c r="L114" s="28" t="str">
        <f>IFERROR(__xludf.DUMMYFUNCTION("IF($I113="""","""",IFERROR(INDEX(FILTER(Response_Lists!$B:$B,Response_Lists!$A:$A=$H114),3),""""))"),"")</f>
        <v/>
      </c>
      <c r="M114" s="28" t="str">
        <f>IFERROR(__xludf.DUMMYFUNCTION("IF($I113="""","""",IFERROR(INDEX(FILTER(Response_Lists!$B:$B,Response_Lists!$A:$A=$H114),4),""""))"),"")</f>
        <v/>
      </c>
      <c r="N114" s="28" t="str">
        <f>IFERROR(__xludf.DUMMYFUNCTION("IF($I113="""","""",IFERROR(INDEX(FILTER(Response_Lists!$B:$B,Response_Lists!$A:$A=$H114),5),""""))"),"")</f>
        <v/>
      </c>
      <c r="O114" s="28" t="str">
        <f>IFERROR(__xludf.DUMMYFUNCTION("IF($I113="""","""",IFERROR(INDEX(FILTER(Response_Lists!$B:$B,Response_Lists!$A:$A=$H114),6),""""))"),"")</f>
        <v/>
      </c>
      <c r="P114" s="28" t="str">
        <f t="shared" si="6"/>
        <v/>
      </c>
      <c r="Q114" s="28" t="str">
        <f t="array" ref="Q114">IF($I113="","",XLOOKUP(C114,FSM_State_Map!A:A,FSM_State_Map!D:D,""))</f>
        <v/>
      </c>
      <c r="R114" s="28" t="str">
        <f t="shared" si="7"/>
        <v/>
      </c>
      <c r="S114" s="28" t="str">
        <f t="array" ref="S114">IF($I113="","",
IF(
  AND(C114="B",C113&lt;&gt;"B"),
  XLOOKUP($B114,Derived_Variables!$A:$A,Derived_Variables!$K:$K,0)
  + XLOOKUP($B114,Derived_Variables!$A:$A,Derived_Variables!$AE:$AE,0),
  S113+AM113
))</f>
        <v/>
      </c>
      <c r="T114" s="28" t="str">
        <f t="shared" ref="T114:U114" si="238">IF($I113="","",T113+AN113)</f>
        <v/>
      </c>
      <c r="U114" s="28" t="str">
        <f t="shared" si="238"/>
        <v/>
      </c>
      <c r="V114" s="28" t="str">
        <f t="array" ref="V114">IF($I113="","",
IF(
  AND(C114="D",C113&lt;&gt;"D"),
  XLOOKUP($B114,Derived_Variables!$A:$A,Derived_Variables!$N:$N,0)
  + XLOOKUP($B114,Derived_Variables!$A:$A,Derived_Variables!$AE:$AE,0),
  V113+AP113
))</f>
        <v/>
      </c>
      <c r="W114" s="28" t="str">
        <f t="shared" ref="W114:X114" si="239">IF($I113="","",W113+AQ113)</f>
        <v/>
      </c>
      <c r="X114" s="28" t="str">
        <f t="shared" si="239"/>
        <v/>
      </c>
      <c r="Y114" s="28" t="str">
        <f t="array" ref="Y114">IF($I113="","",IF(AND(C114="P",C113&lt;&gt;"P"),IFERROR(XLOOKUP($B114,Lenso_Input!$A:$A,Lenso_Input!$E:$E,0),0),Y113+AS113))</f>
        <v/>
      </c>
      <c r="Z114" s="28" t="str">
        <f t="array" ref="Z114">IF($I113="","",IF(AND(C114="Q",C113&lt;&gt;"Q"),IFERROR(XLOOKUP($B114,Lenso_Input!$A:$A,Lenso_Input!$I:$I,0),0),Z113+AT113))</f>
        <v/>
      </c>
      <c r="AA114" s="28" t="str">
        <f t="array" ref="AA114">IF($I113="","",IF(XLOOKUP($B114,Derived_Variables!$A:$A,Derived_Variables!$R:$R,"6/6_target")="6/6_target","20_20_20","40_30_25"))</f>
        <v/>
      </c>
      <c r="AB114" s="28" t="str">
        <f t="array" ref="AB114">IF($I113="","",XLOOKUP(LOWER(XLOOKUP($B114,Derived_Variables!$A:$A,Derived_Variables!$T:$T,"Standard"))&amp;"_sph_step",Calibration!$B:$B,Calibration!$C:$C,0.25))</f>
        <v/>
      </c>
      <c r="AC114" s="28" t="str">
        <f t="array" ref="AC114">IF($I113="","",XLOOKUP(LOWER(XLOOKUP($B114,Derived_Variables!$A:$A,Derived_Variables!$T:$T,"Standard"))&amp;"_cyl_step",Calibration!$B:$B,Calibration!$C:$C,0.25))</f>
        <v/>
      </c>
      <c r="AD114" s="28" t="str">
        <f t="array" ref="AD114">IF($I113="","",IF(OR(C114="E",C114="H"),LET(startStep,XLOOKUP("axis_start_step",Calibration!$B:$B,Calibration!$C:$C,5),step1,XLOOKUP("axis_reversal_step_1",Calibration!$B:$B,Calibration!$C:$C,3),step2,XLOOKUP("axis_reversal_step_2",Calibration!$B:$B,Calibration!$C:$C,1),IF(OR(C113&lt;&gt;C114,AZ114="",AZ114="SAME",AZ114="CANT_TELL",I114="",I114="SAME",I114="CANT_TELL"),startStep,IF(OR(AND(AZ114="BETTER_1",I114="BETTER_2"),AND(AZ114="BETTER_2",I114="BETTER_1")),IF(AD113&gt;step1,step1,step2),AD113))),0))</f>
        <v/>
      </c>
      <c r="AE114" s="28" t="str">
        <f t="array" ref="AE114">IF($I113="","",XLOOKUP($B114,Derived_Variables!$A:$A,Derived_Variables!$AD:$AD,"No_Fog"))</f>
        <v/>
      </c>
      <c r="AF114" s="28" t="str">
        <f t="array" ref="AF114">IF($I113="","",XLOOKUP($B114,Derived_Variables!$A:$A,Derived_Variables!$AE:$AE,0))</f>
        <v/>
      </c>
      <c r="AG114" s="28" t="str">
        <f t="array" ref="AG114">IF($I113="","",XLOOKUP($B114,Derived_Variables!$A:$A,Derived_Variables!$AF:$AF,""))</f>
        <v/>
      </c>
      <c r="AH114" s="28" t="str">
        <f t="array" ref="AH114">IF($I113="","",XLOOKUP($B114,Derived_Variables!$A:$A,Derived_Variables!$AG:$AG,""))</f>
        <v/>
      </c>
      <c r="AI114" s="28" t="str">
        <f t="array" ref="AI114">IF($I113="","",XLOOKUP($B114,Derived_Variables!$A:$A,Derived_Variables!$AC:$AC,"Medium"))</f>
        <v/>
      </c>
      <c r="AJ114" s="28" t="str">
        <f t="array" ref="AJ114">IF($I113="","",XLOOKUP($B114,Derived_Variables!$A:$A,Derived_Variables!$Y:$Y,FALSE))</f>
        <v/>
      </c>
      <c r="AK114" s="28" t="str">
        <f t="array" ref="AK114">IF($I113="","",XLOOKUP($B114,Derived_Variables!$A:$A,Derived_Variables!$AA:$AA,"Normal"))</f>
        <v/>
      </c>
      <c r="AL114" s="28" t="str">
        <f t="array" ref="AL114">IF($I113="","",XLOOKUP($B114,Derived_Variables!$A:$A,Derived_Variables!$AB:$AB,"Normal"))</f>
        <v/>
      </c>
      <c r="AM114" s="28" t="str">
        <f t="array" ref="AM114">IF($I114="","",IFS(C114="B",IF(OR(I114="NOT_READABLE",I114="BLURRY"),-AB114,0),C114="G",IFS(I114="RED_CLEARER",XLOOKUP("duochrome_red_step",Calibration!$B:$B,Calibration!$C:$C,-0.25),I114="GREEN_CLEARER",XLOOKUP("duochrome_green_step",Calibration!$B:$B,Calibration!$C:$C,0.25),I114="EQUAL",IF(XLOOKUP($B114,Derived_Variables!$A:$A,Derived_Variables!$S:$S,"Neutral")="Undercorrect",XLOOKUP("undercorrect_step",Calibration!$B:$B,Calibration!$C:$C,0.25),IF(XLOOKUP($B114,Derived_Variables!$A:$A,Derived_Variables!$S:$S,"Neutral")="Overcorrect",-XLOOKUP("overcorrect_step",Calibration!$B:$B,Calibration!$C:$C,0.25),0)),TRUE,0),C114="K",IF(I114="TOP_CLEARER",XLOOKUP("bino_balance_step",Calibration!$B:$B,Calibration!$C:$C,0.25),0),TRUE,0))</f>
        <v/>
      </c>
      <c r="AN114" s="28" t="str">
        <f t="shared" si="10"/>
        <v/>
      </c>
      <c r="AO114" s="28" t="str">
        <f t="shared" si="11"/>
        <v/>
      </c>
      <c r="AP114" s="28" t="str">
        <f t="array" ref="AP114">IF($I114="","",IFS(C114="D",IF(OR(I114="NOT_READABLE",I114="BLURRY"),-AB114,0),C114="J",IFS(I114="RED_CLEARER",XLOOKUP("duochrome_red_step",Calibration!$B:$B,Calibration!$C:$C,-0.25),I114="GREEN_CLEARER",XLOOKUP("duochrome_green_step",Calibration!$B:$B,Calibration!$C:$C,0.25),I114="EQUAL",IF(XLOOKUP($B114,Derived_Variables!$A:$A,Derived_Variables!$S:$S,"Neutral")="Undercorrect",XLOOKUP("undercorrect_step",Calibration!$B:$B,Calibration!$C:$C,0.25),IF(XLOOKUP($B114,Derived_Variables!$A:$A,Derived_Variables!$S:$S,"Neutral")="Overcorrect",-XLOOKUP("overcorrect_step",Calibration!$B:$B,Calibration!$C:$C,0.25),0)),TRUE,0),C114="K",IF(I114="BOTTOM_CLEARER",XLOOKUP("bino_balance_step",Calibration!$B:$B,Calibration!$C:$C,0.25),0),TRUE,0))</f>
        <v/>
      </c>
      <c r="AQ114" s="28" t="str">
        <f t="shared" si="12"/>
        <v/>
      </c>
      <c r="AR114" s="28" t="str">
        <f t="shared" si="13"/>
        <v/>
      </c>
      <c r="AS114" s="28" t="str">
        <f t="array" ref="AS114">IF($I114="","",IF(C114="P",IF(OR(I114="NOT_READABLE",I114="BLURRY"),XLOOKUP("near_add_step",Calibration!$B:$B,Calibration!$C:$C,0.25),0),IF(C114="R",IF(I114="NOT_CLEAR",XLOOKUP("near_add_step",Calibration!$B:$B,Calibration!$C:$C,0.25),0),0)))</f>
        <v/>
      </c>
      <c r="AT114" s="28" t="str">
        <f t="array" ref="AT114">IF($I114="","",IF(C114="Q",IF(OR(I114="NOT_READABLE",I114="BLURRY"),XLOOKUP("near_add_step",Calibration!$B:$B,Calibration!$C:$C,0.25),0),IF(C114="R",IF(I114="NOT_CLEAR",XLOOKUP("near_add_step",Calibration!$B:$B,Calibration!$C:$C,0.25),0),0)))</f>
        <v/>
      </c>
      <c r="AU114" s="28" t="str">
        <f t="array" ref="AU114">IF($I114="","",IF(G114="SNELLEN_FEET",IF(I114="READABLE",IFERROR(XLOOKUP(XLOOKUP(R114,Chart_Scale_Distance!B:B,Chart_Scale_Distance!A:A)+1,Chart_Scale_Distance!A:A,Chart_Scale_Distance!B:B),R114),R114),R114))</f>
        <v/>
      </c>
      <c r="AV114" s="28" t="str">
        <f t="array" ref="AV114">IF($I113="","",IFERROR(XLOOKUP(R114,Chart_Scale_Distance!$B:$B,Chart_Scale_Distance!$A:$A,""),""))</f>
        <v/>
      </c>
      <c r="AW114" s="28" t="str">
        <f t="array" ref="AW114">IF($I113="","",IFERROR(XLOOKUP(AA114,Chart_Scale_Distance!$B:$B,Chart_Scale_Distance!$A:$A,""),""))</f>
        <v/>
      </c>
      <c r="AX114" s="28" t="str">
        <f t="shared" si="14"/>
        <v/>
      </c>
      <c r="AY114" s="28" t="str">
        <f t="shared" si="15"/>
        <v/>
      </c>
      <c r="AZ114" s="28" t="str">
        <f t="shared" si="16"/>
        <v/>
      </c>
      <c r="BA114" s="28" t="str">
        <f t="shared" si="17"/>
        <v/>
      </c>
      <c r="BB114" s="28" t="str">
        <f t="shared" si="18"/>
        <v/>
      </c>
      <c r="BC114" s="28" t="str">
        <f t="array" ref="BC114">IF($I114="","",LET(
conf,AI114,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duoMax,XLOOKUP($B114,Derived_Variables!$A:$A,Derived_Variables!$AI:$AI,4),
axisTol,XLOOKUP($B114,Derived_Variables!$A:$A,Derived_Variables!$W:$W,1),
maxStart,XLOOKUP($B114,Derived_Variables!$A:$A,Derived_Variables!$U:$U,1.25),
maxAR,XLOOKUP($B114,Derived_Variables!$A:$A,Derived_Variables!$V:$V,3),
anom,XLOOKUP($B114,Derived_Variables!$A:$A,Derived_Variables!$Z:$Z,FALSE),
reStart,XLOOKUP($B114,Derived_Variables!$A:$A,Derived_Variables!$K:$K,0),
leStart,XLOOKUP($B114,Derived_Variables!$A:$A,Derived_Variables!$N:$N,0),
reAR,XLOOKUP($B114,AR_Input!$A:$A,AR_Input!$B:$B,reStart),
leAR,XLOOKUP($B114,AR_Input!$A:$A,AR_Input!$E:$E,leStart),
reEsc,AND(anom,OR(ABS((S114+AM114)-reStart)&gt;maxStart,ABS((S114+AM114)-reAR)&gt;maxAR)),
leEsc,AND(anom,OR(ABS((V114+AP114)-leStart)&gt;maxStart,ABS((V114+AP114)-leAR)&gt;maxAR)),
phaseMax,IFS(
 AK114="Fast",
   IFS(
     OR(C114="B",C114="D"),XLOOKUP("timeout_coarse_fast",Calibration!$B:$B,Calibration!$C:$C,24),
     OR(C114="E",C114="F",C114="H",C114="I"),XLOOKUP("timeout_jcc_fast",Calibration!$B:$B,Calibration!$C:$C,10),
     OR(C114="G",C114="J"),XLOOKUP("timeout_duochrome_fast",Calibration!$B:$B,Calibration!$C:$C,8),
     C114="K",XLOOKUP("timeout_bino_fast",Calibration!$B:$B,Calibration!$C:$C,10),
     OR(C114="P",C114="Q",C114="R"),XLOOKUP("timeout_near_fast",Calibration!$B:$B,Calibration!$C:$C,16),
     TRUE,XLOOKUP("timeout_coarse_fast",Calibration!$B:$B,Calibration!$C:$C,24)
   ),
 AK114="Normal",
   IFS(
     OR(C114="B",C114="D"),XLOOKUP("timeout_coarse_normal",Calibration!$B:$B,Calibration!$C:$C,36),
     OR(C114="E",C114="F",C114="H",C114="I"),XLOOKUP("timeout_jcc_normal",Calibration!$B:$B,Calibration!$C:$C,14),
     OR(C114="G",C114="J"),XLOOKUP("timeout_duochrome_normal",Calibration!$B:$B,Calibration!$C:$C,10),
     C114="K",XLOOKUP("timeout_bino_normal",Calibration!$B:$B,Calibration!$C:$C,14),
     OR(C114="P",C114="Q",C114="R"),XLOOKUP("timeout_near_normal",Calibration!$B:$B,Calibration!$C:$C,22),
     TRUE,XLOOKUP("timeout_coarse_normal",Calibration!$B:$B,Calibration!$C:$C,36)
   ),
 TRUE,
   IFS(
     OR(C114="B",C114="D"),XLOOKUP("timeout_coarse_slow",Calibration!$B:$B,Calibration!$C:$C,48),
     OR(C114="E",C114="F",C114="H",C114="I"),XLOOKUP("timeout_jcc_slow",Calibration!$B:$B,Calibration!$C:$C,18),
     OR(C114="G",C114="J"),XLOOKUP("timeout_duochrome_slow",Calibration!$B:$B,Calibration!$C:$C,12),
     C114="K",XLOOKUP("timeout_bino_slow",Calibration!$B:$B,Calibration!$C:$C,18),
     OR(C114="P",C114="Q",C114="R"),XLOOKUP("timeout_near_slow",Calibration!$B:$B,Calibration!$C:$C,28),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AJ114=TRUE,"ESCALATE",
C114="A",
IF(OR(I114="NOT_READABLE",I114="BLURRY",AND(R114="20_20_20",I114="READABLE")),"B","A"),
C114="B",
IF(reEsc,"ESCALATE",IF(AY114&gt;=phaseMax,"ESCALATE",IF(AND(AV114&gt;=AW114,I114="READABLE"),"E","B"))),
C114="E",
IF(AY114&gt;=phaseMax,"ESCALATE",IF(OR(I114="SAME",I114="CANT_TELL",AD114&lt;axisTol),"F","E")),
C114="F",
IF(AY114&gt;=phaseMax,"ESCALATE",IF(AX114&gt;=powerSameN,"G","F")),
C114="G",
IF(AY114&gt;=phaseMax,"ESCALATE",IF(OR(AX114&gt;=duoEqualN,BB114&gt;=duoMax),"D","G")),
C114="D",
IF(leEsc,"ESCALATE",IF(AY114&gt;=phaseMax,"ESCALATE",IF(AND(AV114&gt;=AW114,I114="READABLE"),"H","D"))),
C114="H",
IF(AY114&gt;=phaseMax,"ESCALATE",IF(OR(I114="SAME",I114="CANT_TELL",AD114&lt;axisTol),"I","H")),
C114="I",
IF(AY114&gt;=phaseMax,"ESCALATE",IF(AX114&gt;=powerSameN,"J","I")),
C114="J",
IF(AY114&gt;=phaseMax,"ESCALATE",IF(OR(AX114&gt;=duoEqualN,BB114&gt;=duoMax),"K","J")),
C114="K",
IF(AY114&gt;=phaseMax,"ESCALATE",IF(AX114&gt;=binoSameN,IF(XLOOKUP($B114,Derived_Variables!$A:$A,Derived_Variables!$AJ:$AJ,FALSE)=TRUE,"P","END"),"K")),
C114="P",
IF(AY114&gt;=phaseMax,"ESCALATE",IF(OR(I114="READABLE",I114="SAME"),"Q","P")),
C114="Q",
IF(AY114&gt;=phaseMax,"ESCALATE",IF(OR(I114="READABLE",I114="SAME"),"R","Q")),
C114="R",
IF(AY114&gt;=phaseMax,"ESCALATE",IF(OR(I114=nearTarget,I114="SAME"),"END","R")),
TRUE,"END"
)))</f>
        <v/>
      </c>
      <c r="BD114" s="28" t="b">
        <f t="shared" si="19"/>
        <v>0</v>
      </c>
    </row>
    <row r="115" ht="15.75" customHeight="1">
      <c r="A115" s="28">
        <f t="shared" si="3"/>
        <v>114</v>
      </c>
      <c r="B115" s="28">
        <f t="shared" si="4"/>
        <v>6</v>
      </c>
      <c r="C115" s="28" t="str">
        <f t="shared" si="5"/>
        <v/>
      </c>
      <c r="D115" s="28" t="str">
        <f t="array" ref="D115">IF($I114="","",XLOOKUP(C115,FSM_State_Map!A:A,FSM_State_Map!B:B,""))</f>
        <v/>
      </c>
      <c r="E115" s="28" t="str">
        <f t="array" ref="E115">IF($I114="","",XLOOKUP(C115,FSM_State_Map!A:A,FSM_State_Map!C:C,""))</f>
        <v/>
      </c>
      <c r="F115" s="28" t="str">
        <f t="array" ref="F115">IF($I114="","",XLOOKUP(E115,Phase_UI_Map!A:A,Phase_UI_Map!B:B,""))</f>
        <v/>
      </c>
      <c r="G115" s="28" t="str">
        <f t="array" ref="G115">IF($I114="","",XLOOKUP(E115,Phase_UI_Map!A:A,Phase_UI_Map!C:C,""))</f>
        <v/>
      </c>
      <c r="H115" s="28" t="str">
        <f t="array" ref="H115">IF($I114="","",XLOOKUP(E115,Phase_UI_Map!A:A,Phase_UI_Map!D:D,""))</f>
        <v/>
      </c>
      <c r="I115" s="29"/>
      <c r="J115" s="28" t="str">
        <f>IFERROR(__xludf.DUMMYFUNCTION("IF($I114="""","""",IFERROR(INDEX(FILTER(Response_Lists!$B:$B,Response_Lists!$A:$A=$H115),1),""""))"),"")</f>
        <v/>
      </c>
      <c r="K115" s="28" t="str">
        <f>IFERROR(__xludf.DUMMYFUNCTION("IF($I114="""","""",IFERROR(INDEX(FILTER(Response_Lists!$B:$B,Response_Lists!$A:$A=$H115),2),""""))"),"")</f>
        <v/>
      </c>
      <c r="L115" s="28" t="str">
        <f>IFERROR(__xludf.DUMMYFUNCTION("IF($I114="""","""",IFERROR(INDEX(FILTER(Response_Lists!$B:$B,Response_Lists!$A:$A=$H115),3),""""))"),"")</f>
        <v/>
      </c>
      <c r="M115" s="28" t="str">
        <f>IFERROR(__xludf.DUMMYFUNCTION("IF($I114="""","""",IFERROR(INDEX(FILTER(Response_Lists!$B:$B,Response_Lists!$A:$A=$H115),4),""""))"),"")</f>
        <v/>
      </c>
      <c r="N115" s="28" t="str">
        <f>IFERROR(__xludf.DUMMYFUNCTION("IF($I114="""","""",IFERROR(INDEX(FILTER(Response_Lists!$B:$B,Response_Lists!$A:$A=$H115),5),""""))"),"")</f>
        <v/>
      </c>
      <c r="O115" s="28" t="str">
        <f>IFERROR(__xludf.DUMMYFUNCTION("IF($I114="""","""",IFERROR(INDEX(FILTER(Response_Lists!$B:$B,Response_Lists!$A:$A=$H115),6),""""))"),"")</f>
        <v/>
      </c>
      <c r="P115" s="28" t="str">
        <f t="shared" si="6"/>
        <v/>
      </c>
      <c r="Q115" s="28" t="str">
        <f t="array" ref="Q115">IF($I114="","",XLOOKUP(C115,FSM_State_Map!A:A,FSM_State_Map!D:D,""))</f>
        <v/>
      </c>
      <c r="R115" s="28" t="str">
        <f t="shared" si="7"/>
        <v/>
      </c>
      <c r="S115" s="28" t="str">
        <f t="array" ref="S115">IF($I114="","",
IF(
  AND(C115="B",C114&lt;&gt;"B"),
  XLOOKUP($B115,Derived_Variables!$A:$A,Derived_Variables!$K:$K,0)
  + XLOOKUP($B115,Derived_Variables!$A:$A,Derived_Variables!$AE:$AE,0),
  S114+AM114
))</f>
        <v/>
      </c>
      <c r="T115" s="28" t="str">
        <f t="shared" ref="T115:U115" si="240">IF($I114="","",T114+AN114)</f>
        <v/>
      </c>
      <c r="U115" s="28" t="str">
        <f t="shared" si="240"/>
        <v/>
      </c>
      <c r="V115" s="28" t="str">
        <f t="array" ref="V115">IF($I114="","",
IF(
  AND(C115="D",C114&lt;&gt;"D"),
  XLOOKUP($B115,Derived_Variables!$A:$A,Derived_Variables!$N:$N,0)
  + XLOOKUP($B115,Derived_Variables!$A:$A,Derived_Variables!$AE:$AE,0),
  V114+AP114
))</f>
        <v/>
      </c>
      <c r="W115" s="28" t="str">
        <f t="shared" ref="W115:X115" si="241">IF($I114="","",W114+AQ114)</f>
        <v/>
      </c>
      <c r="X115" s="28" t="str">
        <f t="shared" si="241"/>
        <v/>
      </c>
      <c r="Y115" s="28" t="str">
        <f t="array" ref="Y115">IF($I114="","",IF(AND(C115="P",C114&lt;&gt;"P"),IFERROR(XLOOKUP($B115,Lenso_Input!$A:$A,Lenso_Input!$E:$E,0),0),Y114+AS114))</f>
        <v/>
      </c>
      <c r="Z115" s="28" t="str">
        <f t="array" ref="Z115">IF($I114="","",IF(AND(C115="Q",C114&lt;&gt;"Q"),IFERROR(XLOOKUP($B115,Lenso_Input!$A:$A,Lenso_Input!$I:$I,0),0),Z114+AT114))</f>
        <v/>
      </c>
      <c r="AA115" s="28" t="str">
        <f t="array" ref="AA115">IF($I114="","",IF(XLOOKUP($B115,Derived_Variables!$A:$A,Derived_Variables!$R:$R,"6/6_target")="6/6_target","20_20_20","40_30_25"))</f>
        <v/>
      </c>
      <c r="AB115" s="28" t="str">
        <f t="array" ref="AB115">IF($I114="","",XLOOKUP(LOWER(XLOOKUP($B115,Derived_Variables!$A:$A,Derived_Variables!$T:$T,"Standard"))&amp;"_sph_step",Calibration!$B:$B,Calibration!$C:$C,0.25))</f>
        <v/>
      </c>
      <c r="AC115" s="28" t="str">
        <f t="array" ref="AC115">IF($I114="","",XLOOKUP(LOWER(XLOOKUP($B115,Derived_Variables!$A:$A,Derived_Variables!$T:$T,"Standard"))&amp;"_cyl_step",Calibration!$B:$B,Calibration!$C:$C,0.25))</f>
        <v/>
      </c>
      <c r="AD115" s="28" t="str">
        <f t="array" ref="AD115">IF($I114="","",IF(OR(C115="E",C115="H"),LET(startStep,XLOOKUP("axis_start_step",Calibration!$B:$B,Calibration!$C:$C,5),step1,XLOOKUP("axis_reversal_step_1",Calibration!$B:$B,Calibration!$C:$C,3),step2,XLOOKUP("axis_reversal_step_2",Calibration!$B:$B,Calibration!$C:$C,1),IF(OR(C114&lt;&gt;C115,AZ115="",AZ115="SAME",AZ115="CANT_TELL",I115="",I115="SAME",I115="CANT_TELL"),startStep,IF(OR(AND(AZ115="BETTER_1",I115="BETTER_2"),AND(AZ115="BETTER_2",I115="BETTER_1")),IF(AD114&gt;step1,step1,step2),AD114))),0))</f>
        <v/>
      </c>
      <c r="AE115" s="28" t="str">
        <f t="array" ref="AE115">IF($I114="","",XLOOKUP($B115,Derived_Variables!$A:$A,Derived_Variables!$AD:$AD,"No_Fog"))</f>
        <v/>
      </c>
      <c r="AF115" s="28" t="str">
        <f t="array" ref="AF115">IF($I114="","",XLOOKUP($B115,Derived_Variables!$A:$A,Derived_Variables!$AE:$AE,0))</f>
        <v/>
      </c>
      <c r="AG115" s="28" t="str">
        <f t="array" ref="AG115">IF($I114="","",XLOOKUP($B115,Derived_Variables!$A:$A,Derived_Variables!$AF:$AF,""))</f>
        <v/>
      </c>
      <c r="AH115" s="28" t="str">
        <f t="array" ref="AH115">IF($I114="","",XLOOKUP($B115,Derived_Variables!$A:$A,Derived_Variables!$AG:$AG,""))</f>
        <v/>
      </c>
      <c r="AI115" s="28" t="str">
        <f t="array" ref="AI115">IF($I114="","",XLOOKUP($B115,Derived_Variables!$A:$A,Derived_Variables!$AC:$AC,"Medium"))</f>
        <v/>
      </c>
      <c r="AJ115" s="28" t="str">
        <f t="array" ref="AJ115">IF($I114="","",XLOOKUP($B115,Derived_Variables!$A:$A,Derived_Variables!$Y:$Y,FALSE))</f>
        <v/>
      </c>
      <c r="AK115" s="28" t="str">
        <f t="array" ref="AK115">IF($I114="","",XLOOKUP($B115,Derived_Variables!$A:$A,Derived_Variables!$AA:$AA,"Normal"))</f>
        <v/>
      </c>
      <c r="AL115" s="28" t="str">
        <f t="array" ref="AL115">IF($I114="","",XLOOKUP($B115,Derived_Variables!$A:$A,Derived_Variables!$AB:$AB,"Normal"))</f>
        <v/>
      </c>
      <c r="AM115" s="28" t="str">
        <f t="array" ref="AM115">IF($I115="","",IFS(C115="B",IF(OR(I115="NOT_READABLE",I115="BLURRY"),-AB115,0),C115="G",IFS(I115="RED_CLEARER",XLOOKUP("duochrome_red_step",Calibration!$B:$B,Calibration!$C:$C,-0.25),I115="GREEN_CLEARER",XLOOKUP("duochrome_green_step",Calibration!$B:$B,Calibration!$C:$C,0.25),I115="EQUAL",IF(XLOOKUP($B115,Derived_Variables!$A:$A,Derived_Variables!$S:$S,"Neutral")="Undercorrect",XLOOKUP("undercorrect_step",Calibration!$B:$B,Calibration!$C:$C,0.25),IF(XLOOKUP($B115,Derived_Variables!$A:$A,Derived_Variables!$S:$S,"Neutral")="Overcorrect",-XLOOKUP("overcorrect_step",Calibration!$B:$B,Calibration!$C:$C,0.25),0)),TRUE,0),C115="K",IF(I115="TOP_CLEARER",XLOOKUP("bino_balance_step",Calibration!$B:$B,Calibration!$C:$C,0.25),0),TRUE,0))</f>
        <v/>
      </c>
      <c r="AN115" s="28" t="str">
        <f t="shared" si="10"/>
        <v/>
      </c>
      <c r="AO115" s="28" t="str">
        <f t="shared" si="11"/>
        <v/>
      </c>
      <c r="AP115" s="28" t="str">
        <f t="array" ref="AP115">IF($I115="","",IFS(C115="D",IF(OR(I115="NOT_READABLE",I115="BLURRY"),-AB115,0),C115="J",IFS(I115="RED_CLEARER",XLOOKUP("duochrome_red_step",Calibration!$B:$B,Calibration!$C:$C,-0.25),I115="GREEN_CLEARER",XLOOKUP("duochrome_green_step",Calibration!$B:$B,Calibration!$C:$C,0.25),I115="EQUAL",IF(XLOOKUP($B115,Derived_Variables!$A:$A,Derived_Variables!$S:$S,"Neutral")="Undercorrect",XLOOKUP("undercorrect_step",Calibration!$B:$B,Calibration!$C:$C,0.25),IF(XLOOKUP($B115,Derived_Variables!$A:$A,Derived_Variables!$S:$S,"Neutral")="Overcorrect",-XLOOKUP("overcorrect_step",Calibration!$B:$B,Calibration!$C:$C,0.25),0)),TRUE,0),C115="K",IF(I115="BOTTOM_CLEARER",XLOOKUP("bino_balance_step",Calibration!$B:$B,Calibration!$C:$C,0.25),0),TRUE,0))</f>
        <v/>
      </c>
      <c r="AQ115" s="28" t="str">
        <f t="shared" si="12"/>
        <v/>
      </c>
      <c r="AR115" s="28" t="str">
        <f t="shared" si="13"/>
        <v/>
      </c>
      <c r="AS115" s="28" t="str">
        <f t="array" ref="AS115">IF($I115="","",IF(C115="P",IF(OR(I115="NOT_READABLE",I115="BLURRY"),XLOOKUP("near_add_step",Calibration!$B:$B,Calibration!$C:$C,0.25),0),IF(C115="R",IF(I115="NOT_CLEAR",XLOOKUP("near_add_step",Calibration!$B:$B,Calibration!$C:$C,0.25),0),0)))</f>
        <v/>
      </c>
      <c r="AT115" s="28" t="str">
        <f t="array" ref="AT115">IF($I115="","",IF(C115="Q",IF(OR(I115="NOT_READABLE",I115="BLURRY"),XLOOKUP("near_add_step",Calibration!$B:$B,Calibration!$C:$C,0.25),0),IF(C115="R",IF(I115="NOT_CLEAR",XLOOKUP("near_add_step",Calibration!$B:$B,Calibration!$C:$C,0.25),0),0)))</f>
        <v/>
      </c>
      <c r="AU115" s="28" t="str">
        <f t="array" ref="AU115">IF($I115="","",IF(G115="SNELLEN_FEET",IF(I115="READABLE",IFERROR(XLOOKUP(XLOOKUP(R115,Chart_Scale_Distance!B:B,Chart_Scale_Distance!A:A)+1,Chart_Scale_Distance!A:A,Chart_Scale_Distance!B:B),R115),R115),R115))</f>
        <v/>
      </c>
      <c r="AV115" s="28" t="str">
        <f t="array" ref="AV115">IF($I114="","",IFERROR(XLOOKUP(R115,Chart_Scale_Distance!$B:$B,Chart_Scale_Distance!$A:$A,""),""))</f>
        <v/>
      </c>
      <c r="AW115" s="28" t="str">
        <f t="array" ref="AW115">IF($I114="","",IFERROR(XLOOKUP(AA115,Chart_Scale_Distance!$B:$B,Chart_Scale_Distance!$A:$A,""),""))</f>
        <v/>
      </c>
      <c r="AX115" s="28" t="str">
        <f t="shared" si="14"/>
        <v/>
      </c>
      <c r="AY115" s="28" t="str">
        <f t="shared" si="15"/>
        <v/>
      </c>
      <c r="AZ115" s="28" t="str">
        <f t="shared" si="16"/>
        <v/>
      </c>
      <c r="BA115" s="28" t="str">
        <f t="shared" si="17"/>
        <v/>
      </c>
      <c r="BB115" s="28" t="str">
        <f t="shared" si="18"/>
        <v/>
      </c>
      <c r="BC115" s="28" t="str">
        <f t="array" ref="BC115">IF($I115="","",LET(
conf,AI115,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duoMax,XLOOKUP($B115,Derived_Variables!$A:$A,Derived_Variables!$AI:$AI,4),
axisTol,XLOOKUP($B115,Derived_Variables!$A:$A,Derived_Variables!$W:$W,1),
maxStart,XLOOKUP($B115,Derived_Variables!$A:$A,Derived_Variables!$U:$U,1.25),
maxAR,XLOOKUP($B115,Derived_Variables!$A:$A,Derived_Variables!$V:$V,3),
anom,XLOOKUP($B115,Derived_Variables!$A:$A,Derived_Variables!$Z:$Z,FALSE),
reStart,XLOOKUP($B115,Derived_Variables!$A:$A,Derived_Variables!$K:$K,0),
leStart,XLOOKUP($B115,Derived_Variables!$A:$A,Derived_Variables!$N:$N,0),
reAR,XLOOKUP($B115,AR_Input!$A:$A,AR_Input!$B:$B,reStart),
leAR,XLOOKUP($B115,AR_Input!$A:$A,AR_Input!$E:$E,leStart),
reEsc,AND(anom,OR(ABS((S115+AM115)-reStart)&gt;maxStart,ABS((S115+AM115)-reAR)&gt;maxAR)),
leEsc,AND(anom,OR(ABS((V115+AP115)-leStart)&gt;maxStart,ABS((V115+AP115)-leAR)&gt;maxAR)),
phaseMax,IFS(
 AK115="Fast",
   IFS(
     OR(C115="B",C115="D"),XLOOKUP("timeout_coarse_fast",Calibration!$B:$B,Calibration!$C:$C,24),
     OR(C115="E",C115="F",C115="H",C115="I"),XLOOKUP("timeout_jcc_fast",Calibration!$B:$B,Calibration!$C:$C,10),
     OR(C115="G",C115="J"),XLOOKUP("timeout_duochrome_fast",Calibration!$B:$B,Calibration!$C:$C,8),
     C115="K",XLOOKUP("timeout_bino_fast",Calibration!$B:$B,Calibration!$C:$C,10),
     OR(C115="P",C115="Q",C115="R"),XLOOKUP("timeout_near_fast",Calibration!$B:$B,Calibration!$C:$C,16),
     TRUE,XLOOKUP("timeout_coarse_fast",Calibration!$B:$B,Calibration!$C:$C,24)
   ),
 AK115="Normal",
   IFS(
     OR(C115="B",C115="D"),XLOOKUP("timeout_coarse_normal",Calibration!$B:$B,Calibration!$C:$C,36),
     OR(C115="E",C115="F",C115="H",C115="I"),XLOOKUP("timeout_jcc_normal",Calibration!$B:$B,Calibration!$C:$C,14),
     OR(C115="G",C115="J"),XLOOKUP("timeout_duochrome_normal",Calibration!$B:$B,Calibration!$C:$C,10),
     C115="K",XLOOKUP("timeout_bino_normal",Calibration!$B:$B,Calibration!$C:$C,14),
     OR(C115="P",C115="Q",C115="R"),XLOOKUP("timeout_near_normal",Calibration!$B:$B,Calibration!$C:$C,22),
     TRUE,XLOOKUP("timeout_coarse_normal",Calibration!$B:$B,Calibration!$C:$C,36)
   ),
 TRUE,
   IFS(
     OR(C115="B",C115="D"),XLOOKUP("timeout_coarse_slow",Calibration!$B:$B,Calibration!$C:$C,48),
     OR(C115="E",C115="F",C115="H",C115="I"),XLOOKUP("timeout_jcc_slow",Calibration!$B:$B,Calibration!$C:$C,18),
     OR(C115="G",C115="J"),XLOOKUP("timeout_duochrome_slow",Calibration!$B:$B,Calibration!$C:$C,12),
     C115="K",XLOOKUP("timeout_bino_slow",Calibration!$B:$B,Calibration!$C:$C,18),
     OR(C115="P",C115="Q",C115="R"),XLOOKUP("timeout_near_slow",Calibration!$B:$B,Calibration!$C:$C,28),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AJ115=TRUE,"ESCALATE",
C115="A",
IF(OR(I115="NOT_READABLE",I115="BLURRY",AND(R115="20_20_20",I115="READABLE")),"B","A"),
C115="B",
IF(reEsc,"ESCALATE",IF(AY115&gt;=phaseMax,"ESCALATE",IF(AND(AV115&gt;=AW115,I115="READABLE"),"E","B"))),
C115="E",
IF(AY115&gt;=phaseMax,"ESCALATE",IF(OR(I115="SAME",I115="CANT_TELL",AD115&lt;axisTol),"F","E")),
C115="F",
IF(AY115&gt;=phaseMax,"ESCALATE",IF(AX115&gt;=powerSameN,"G","F")),
C115="G",
IF(AY115&gt;=phaseMax,"ESCALATE",IF(OR(AX115&gt;=duoEqualN,BB115&gt;=duoMax),"D","G")),
C115="D",
IF(leEsc,"ESCALATE",IF(AY115&gt;=phaseMax,"ESCALATE",IF(AND(AV115&gt;=AW115,I115="READABLE"),"H","D"))),
C115="H",
IF(AY115&gt;=phaseMax,"ESCALATE",IF(OR(I115="SAME",I115="CANT_TELL",AD115&lt;axisTol),"I","H")),
C115="I",
IF(AY115&gt;=phaseMax,"ESCALATE",IF(AX115&gt;=powerSameN,"J","I")),
C115="J",
IF(AY115&gt;=phaseMax,"ESCALATE",IF(OR(AX115&gt;=duoEqualN,BB115&gt;=duoMax),"K","J")),
C115="K",
IF(AY115&gt;=phaseMax,"ESCALATE",IF(AX115&gt;=binoSameN,IF(XLOOKUP($B115,Derived_Variables!$A:$A,Derived_Variables!$AJ:$AJ,FALSE)=TRUE,"P","END"),"K")),
C115="P",
IF(AY115&gt;=phaseMax,"ESCALATE",IF(OR(I115="READABLE",I115="SAME"),"Q","P")),
C115="Q",
IF(AY115&gt;=phaseMax,"ESCALATE",IF(OR(I115="READABLE",I115="SAME"),"R","Q")),
C115="R",
IF(AY115&gt;=phaseMax,"ESCALATE",IF(OR(I115=nearTarget,I115="SAME"),"END","R")),
TRUE,"END"
)))</f>
        <v/>
      </c>
      <c r="BD115" s="28" t="b">
        <f t="shared" si="19"/>
        <v>0</v>
      </c>
    </row>
    <row r="116" ht="15.75" customHeight="1">
      <c r="A116" s="28">
        <f t="shared" si="3"/>
        <v>115</v>
      </c>
      <c r="B116" s="28">
        <f t="shared" si="4"/>
        <v>6</v>
      </c>
      <c r="C116" s="28" t="str">
        <f t="shared" si="5"/>
        <v/>
      </c>
      <c r="D116" s="28" t="str">
        <f t="array" ref="D116">IF($I115="","",XLOOKUP(C116,FSM_State_Map!A:A,FSM_State_Map!B:B,""))</f>
        <v/>
      </c>
      <c r="E116" s="28" t="str">
        <f t="array" ref="E116">IF($I115="","",XLOOKUP(C116,FSM_State_Map!A:A,FSM_State_Map!C:C,""))</f>
        <v/>
      </c>
      <c r="F116" s="28" t="str">
        <f t="array" ref="F116">IF($I115="","",XLOOKUP(E116,Phase_UI_Map!A:A,Phase_UI_Map!B:B,""))</f>
        <v/>
      </c>
      <c r="G116" s="28" t="str">
        <f t="array" ref="G116">IF($I115="","",XLOOKUP(E116,Phase_UI_Map!A:A,Phase_UI_Map!C:C,""))</f>
        <v/>
      </c>
      <c r="H116" s="28" t="str">
        <f t="array" ref="H116">IF($I115="","",XLOOKUP(E116,Phase_UI_Map!A:A,Phase_UI_Map!D:D,""))</f>
        <v/>
      </c>
      <c r="I116" s="29"/>
      <c r="J116" s="28" t="str">
        <f>IFERROR(__xludf.DUMMYFUNCTION("IF($I115="""","""",IFERROR(INDEX(FILTER(Response_Lists!$B:$B,Response_Lists!$A:$A=$H116),1),""""))"),"")</f>
        <v/>
      </c>
      <c r="K116" s="28" t="str">
        <f>IFERROR(__xludf.DUMMYFUNCTION("IF($I115="""","""",IFERROR(INDEX(FILTER(Response_Lists!$B:$B,Response_Lists!$A:$A=$H116),2),""""))"),"")</f>
        <v/>
      </c>
      <c r="L116" s="28" t="str">
        <f>IFERROR(__xludf.DUMMYFUNCTION("IF($I115="""","""",IFERROR(INDEX(FILTER(Response_Lists!$B:$B,Response_Lists!$A:$A=$H116),3),""""))"),"")</f>
        <v/>
      </c>
      <c r="M116" s="28" t="str">
        <f>IFERROR(__xludf.DUMMYFUNCTION("IF($I115="""","""",IFERROR(INDEX(FILTER(Response_Lists!$B:$B,Response_Lists!$A:$A=$H116),4),""""))"),"")</f>
        <v/>
      </c>
      <c r="N116" s="28" t="str">
        <f>IFERROR(__xludf.DUMMYFUNCTION("IF($I115="""","""",IFERROR(INDEX(FILTER(Response_Lists!$B:$B,Response_Lists!$A:$A=$H116),5),""""))"),"")</f>
        <v/>
      </c>
      <c r="O116" s="28" t="str">
        <f>IFERROR(__xludf.DUMMYFUNCTION("IF($I115="""","""",IFERROR(INDEX(FILTER(Response_Lists!$B:$B,Response_Lists!$A:$A=$H116),6),""""))"),"")</f>
        <v/>
      </c>
      <c r="P116" s="28" t="str">
        <f t="shared" si="6"/>
        <v/>
      </c>
      <c r="Q116" s="28" t="str">
        <f t="array" ref="Q116">IF($I115="","",XLOOKUP(C116,FSM_State_Map!A:A,FSM_State_Map!D:D,""))</f>
        <v/>
      </c>
      <c r="R116" s="28" t="str">
        <f t="shared" si="7"/>
        <v/>
      </c>
      <c r="S116" s="28" t="str">
        <f t="array" ref="S116">IF($I115="","",
IF(
  AND(C116="B",C115&lt;&gt;"B"),
  XLOOKUP($B116,Derived_Variables!$A:$A,Derived_Variables!$K:$K,0)
  + XLOOKUP($B116,Derived_Variables!$A:$A,Derived_Variables!$AE:$AE,0),
  S115+AM115
))</f>
        <v/>
      </c>
      <c r="T116" s="28" t="str">
        <f t="shared" ref="T116:U116" si="242">IF($I115="","",T115+AN115)</f>
        <v/>
      </c>
      <c r="U116" s="28" t="str">
        <f t="shared" si="242"/>
        <v/>
      </c>
      <c r="V116" s="28" t="str">
        <f t="array" ref="V116">IF($I115="","",
IF(
  AND(C116="D",C115&lt;&gt;"D"),
  XLOOKUP($B116,Derived_Variables!$A:$A,Derived_Variables!$N:$N,0)
  + XLOOKUP($B116,Derived_Variables!$A:$A,Derived_Variables!$AE:$AE,0),
  V115+AP115
))</f>
        <v/>
      </c>
      <c r="W116" s="28" t="str">
        <f t="shared" ref="W116:X116" si="243">IF($I115="","",W115+AQ115)</f>
        <v/>
      </c>
      <c r="X116" s="28" t="str">
        <f t="shared" si="243"/>
        <v/>
      </c>
      <c r="Y116" s="28" t="str">
        <f t="array" ref="Y116">IF($I115="","",IF(AND(C116="P",C115&lt;&gt;"P"),IFERROR(XLOOKUP($B116,Lenso_Input!$A:$A,Lenso_Input!$E:$E,0),0),Y115+AS115))</f>
        <v/>
      </c>
      <c r="Z116" s="28" t="str">
        <f t="array" ref="Z116">IF($I115="","",IF(AND(C116="Q",C115&lt;&gt;"Q"),IFERROR(XLOOKUP($B116,Lenso_Input!$A:$A,Lenso_Input!$I:$I,0),0),Z115+AT115))</f>
        <v/>
      </c>
      <c r="AA116" s="28" t="str">
        <f t="array" ref="AA116">IF($I115="","",IF(XLOOKUP($B116,Derived_Variables!$A:$A,Derived_Variables!$R:$R,"6/6_target")="6/6_target","20_20_20","40_30_25"))</f>
        <v/>
      </c>
      <c r="AB116" s="28" t="str">
        <f t="array" ref="AB116">IF($I115="","",XLOOKUP(LOWER(XLOOKUP($B116,Derived_Variables!$A:$A,Derived_Variables!$T:$T,"Standard"))&amp;"_sph_step",Calibration!$B:$B,Calibration!$C:$C,0.25))</f>
        <v/>
      </c>
      <c r="AC116" s="28" t="str">
        <f t="array" ref="AC116">IF($I115="","",XLOOKUP(LOWER(XLOOKUP($B116,Derived_Variables!$A:$A,Derived_Variables!$T:$T,"Standard"))&amp;"_cyl_step",Calibration!$B:$B,Calibration!$C:$C,0.25))</f>
        <v/>
      </c>
      <c r="AD116" s="28" t="str">
        <f t="array" ref="AD116">IF($I115="","",IF(OR(C116="E",C116="H"),LET(startStep,XLOOKUP("axis_start_step",Calibration!$B:$B,Calibration!$C:$C,5),step1,XLOOKUP("axis_reversal_step_1",Calibration!$B:$B,Calibration!$C:$C,3),step2,XLOOKUP("axis_reversal_step_2",Calibration!$B:$B,Calibration!$C:$C,1),IF(OR(C115&lt;&gt;C116,AZ116="",AZ116="SAME",AZ116="CANT_TELL",I116="",I116="SAME",I116="CANT_TELL"),startStep,IF(OR(AND(AZ116="BETTER_1",I116="BETTER_2"),AND(AZ116="BETTER_2",I116="BETTER_1")),IF(AD115&gt;step1,step1,step2),AD115))),0))</f>
        <v/>
      </c>
      <c r="AE116" s="28" t="str">
        <f t="array" ref="AE116">IF($I115="","",XLOOKUP($B116,Derived_Variables!$A:$A,Derived_Variables!$AD:$AD,"No_Fog"))</f>
        <v/>
      </c>
      <c r="AF116" s="28" t="str">
        <f t="array" ref="AF116">IF($I115="","",XLOOKUP($B116,Derived_Variables!$A:$A,Derived_Variables!$AE:$AE,0))</f>
        <v/>
      </c>
      <c r="AG116" s="28" t="str">
        <f t="array" ref="AG116">IF($I115="","",XLOOKUP($B116,Derived_Variables!$A:$A,Derived_Variables!$AF:$AF,""))</f>
        <v/>
      </c>
      <c r="AH116" s="28" t="str">
        <f t="array" ref="AH116">IF($I115="","",XLOOKUP($B116,Derived_Variables!$A:$A,Derived_Variables!$AG:$AG,""))</f>
        <v/>
      </c>
      <c r="AI116" s="28" t="str">
        <f t="array" ref="AI116">IF($I115="","",XLOOKUP($B116,Derived_Variables!$A:$A,Derived_Variables!$AC:$AC,"Medium"))</f>
        <v/>
      </c>
      <c r="AJ116" s="28" t="str">
        <f t="array" ref="AJ116">IF($I115="","",XLOOKUP($B116,Derived_Variables!$A:$A,Derived_Variables!$Y:$Y,FALSE))</f>
        <v/>
      </c>
      <c r="AK116" s="28" t="str">
        <f t="array" ref="AK116">IF($I115="","",XLOOKUP($B116,Derived_Variables!$A:$A,Derived_Variables!$AA:$AA,"Normal"))</f>
        <v/>
      </c>
      <c r="AL116" s="28" t="str">
        <f t="array" ref="AL116">IF($I115="","",XLOOKUP($B116,Derived_Variables!$A:$A,Derived_Variables!$AB:$AB,"Normal"))</f>
        <v/>
      </c>
      <c r="AM116" s="28" t="str">
        <f t="array" ref="AM116">IF($I116="","",IFS(C116="B",IF(OR(I116="NOT_READABLE",I116="BLURRY"),-AB116,0),C116="G",IFS(I116="RED_CLEARER",XLOOKUP("duochrome_red_step",Calibration!$B:$B,Calibration!$C:$C,-0.25),I116="GREEN_CLEARER",XLOOKUP("duochrome_green_step",Calibration!$B:$B,Calibration!$C:$C,0.25),I116="EQUAL",IF(XLOOKUP($B116,Derived_Variables!$A:$A,Derived_Variables!$S:$S,"Neutral")="Undercorrect",XLOOKUP("undercorrect_step",Calibration!$B:$B,Calibration!$C:$C,0.25),IF(XLOOKUP($B116,Derived_Variables!$A:$A,Derived_Variables!$S:$S,"Neutral")="Overcorrect",-XLOOKUP("overcorrect_step",Calibration!$B:$B,Calibration!$C:$C,0.25),0)),TRUE,0),C116="K",IF(I116="TOP_CLEARER",XLOOKUP("bino_balance_step",Calibration!$B:$B,Calibration!$C:$C,0.25),0),TRUE,0))</f>
        <v/>
      </c>
      <c r="AN116" s="28" t="str">
        <f t="shared" si="10"/>
        <v/>
      </c>
      <c r="AO116" s="28" t="str">
        <f t="shared" si="11"/>
        <v/>
      </c>
      <c r="AP116" s="28" t="str">
        <f t="array" ref="AP116">IF($I116="","",IFS(C116="D",IF(OR(I116="NOT_READABLE",I116="BLURRY"),-AB116,0),C116="J",IFS(I116="RED_CLEARER",XLOOKUP("duochrome_red_step",Calibration!$B:$B,Calibration!$C:$C,-0.25),I116="GREEN_CLEARER",XLOOKUP("duochrome_green_step",Calibration!$B:$B,Calibration!$C:$C,0.25),I116="EQUAL",IF(XLOOKUP($B116,Derived_Variables!$A:$A,Derived_Variables!$S:$S,"Neutral")="Undercorrect",XLOOKUP("undercorrect_step",Calibration!$B:$B,Calibration!$C:$C,0.25),IF(XLOOKUP($B116,Derived_Variables!$A:$A,Derived_Variables!$S:$S,"Neutral")="Overcorrect",-XLOOKUP("overcorrect_step",Calibration!$B:$B,Calibration!$C:$C,0.25),0)),TRUE,0),C116="K",IF(I116="BOTTOM_CLEARER",XLOOKUP("bino_balance_step",Calibration!$B:$B,Calibration!$C:$C,0.25),0),TRUE,0))</f>
        <v/>
      </c>
      <c r="AQ116" s="28" t="str">
        <f t="shared" si="12"/>
        <v/>
      </c>
      <c r="AR116" s="28" t="str">
        <f t="shared" si="13"/>
        <v/>
      </c>
      <c r="AS116" s="28" t="str">
        <f t="array" ref="AS116">IF($I116="","",IF(C116="P",IF(OR(I116="NOT_READABLE",I116="BLURRY"),XLOOKUP("near_add_step",Calibration!$B:$B,Calibration!$C:$C,0.25),0),IF(C116="R",IF(I116="NOT_CLEAR",XLOOKUP("near_add_step",Calibration!$B:$B,Calibration!$C:$C,0.25),0),0)))</f>
        <v/>
      </c>
      <c r="AT116" s="28" t="str">
        <f t="array" ref="AT116">IF($I116="","",IF(C116="Q",IF(OR(I116="NOT_READABLE",I116="BLURRY"),XLOOKUP("near_add_step",Calibration!$B:$B,Calibration!$C:$C,0.25),0),IF(C116="R",IF(I116="NOT_CLEAR",XLOOKUP("near_add_step",Calibration!$B:$B,Calibration!$C:$C,0.25),0),0)))</f>
        <v/>
      </c>
      <c r="AU116" s="28" t="str">
        <f t="array" ref="AU116">IF($I116="","",IF(G116="SNELLEN_FEET",IF(I116="READABLE",IFERROR(XLOOKUP(XLOOKUP(R116,Chart_Scale_Distance!B:B,Chart_Scale_Distance!A:A)+1,Chart_Scale_Distance!A:A,Chart_Scale_Distance!B:B),R116),R116),R116))</f>
        <v/>
      </c>
      <c r="AV116" s="28" t="str">
        <f t="array" ref="AV116">IF($I115="","",IFERROR(XLOOKUP(R116,Chart_Scale_Distance!$B:$B,Chart_Scale_Distance!$A:$A,""),""))</f>
        <v/>
      </c>
      <c r="AW116" s="28" t="str">
        <f t="array" ref="AW116">IF($I115="","",IFERROR(XLOOKUP(AA116,Chart_Scale_Distance!$B:$B,Chart_Scale_Distance!$A:$A,""),""))</f>
        <v/>
      </c>
      <c r="AX116" s="28" t="str">
        <f t="shared" si="14"/>
        <v/>
      </c>
      <c r="AY116" s="28" t="str">
        <f t="shared" si="15"/>
        <v/>
      </c>
      <c r="AZ116" s="28" t="str">
        <f t="shared" si="16"/>
        <v/>
      </c>
      <c r="BA116" s="28" t="str">
        <f t="shared" si="17"/>
        <v/>
      </c>
      <c r="BB116" s="28" t="str">
        <f t="shared" si="18"/>
        <v/>
      </c>
      <c r="BC116" s="28" t="str">
        <f t="array" ref="BC116">IF($I116="","",LET(
conf,AI116,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duoMax,XLOOKUP($B116,Derived_Variables!$A:$A,Derived_Variables!$AI:$AI,4),
axisTol,XLOOKUP($B116,Derived_Variables!$A:$A,Derived_Variables!$W:$W,1),
maxStart,XLOOKUP($B116,Derived_Variables!$A:$A,Derived_Variables!$U:$U,1.25),
maxAR,XLOOKUP($B116,Derived_Variables!$A:$A,Derived_Variables!$V:$V,3),
anom,XLOOKUP($B116,Derived_Variables!$A:$A,Derived_Variables!$Z:$Z,FALSE),
reStart,XLOOKUP($B116,Derived_Variables!$A:$A,Derived_Variables!$K:$K,0),
leStart,XLOOKUP($B116,Derived_Variables!$A:$A,Derived_Variables!$N:$N,0),
reAR,XLOOKUP($B116,AR_Input!$A:$A,AR_Input!$B:$B,reStart),
leAR,XLOOKUP($B116,AR_Input!$A:$A,AR_Input!$E:$E,leStart),
reEsc,AND(anom,OR(ABS((S116+AM116)-reStart)&gt;maxStart,ABS((S116+AM116)-reAR)&gt;maxAR)),
leEsc,AND(anom,OR(ABS((V116+AP116)-leStart)&gt;maxStart,ABS((V116+AP116)-leAR)&gt;maxAR)),
phaseMax,IFS(
 AK116="Fast",
   IFS(
     OR(C116="B",C116="D"),XLOOKUP("timeout_coarse_fast",Calibration!$B:$B,Calibration!$C:$C,24),
     OR(C116="E",C116="F",C116="H",C116="I"),XLOOKUP("timeout_jcc_fast",Calibration!$B:$B,Calibration!$C:$C,10),
     OR(C116="G",C116="J"),XLOOKUP("timeout_duochrome_fast",Calibration!$B:$B,Calibration!$C:$C,8),
     C116="K",XLOOKUP("timeout_bino_fast",Calibration!$B:$B,Calibration!$C:$C,10),
     OR(C116="P",C116="Q",C116="R"),XLOOKUP("timeout_near_fast",Calibration!$B:$B,Calibration!$C:$C,16),
     TRUE,XLOOKUP("timeout_coarse_fast",Calibration!$B:$B,Calibration!$C:$C,24)
   ),
 AK116="Normal",
   IFS(
     OR(C116="B",C116="D"),XLOOKUP("timeout_coarse_normal",Calibration!$B:$B,Calibration!$C:$C,36),
     OR(C116="E",C116="F",C116="H",C116="I"),XLOOKUP("timeout_jcc_normal",Calibration!$B:$B,Calibration!$C:$C,14),
     OR(C116="G",C116="J"),XLOOKUP("timeout_duochrome_normal",Calibration!$B:$B,Calibration!$C:$C,10),
     C116="K",XLOOKUP("timeout_bino_normal",Calibration!$B:$B,Calibration!$C:$C,14),
     OR(C116="P",C116="Q",C116="R"),XLOOKUP("timeout_near_normal",Calibration!$B:$B,Calibration!$C:$C,22),
     TRUE,XLOOKUP("timeout_coarse_normal",Calibration!$B:$B,Calibration!$C:$C,36)
   ),
 TRUE,
   IFS(
     OR(C116="B",C116="D"),XLOOKUP("timeout_coarse_slow",Calibration!$B:$B,Calibration!$C:$C,48),
     OR(C116="E",C116="F",C116="H",C116="I"),XLOOKUP("timeout_jcc_slow",Calibration!$B:$B,Calibration!$C:$C,18),
     OR(C116="G",C116="J"),XLOOKUP("timeout_duochrome_slow",Calibration!$B:$B,Calibration!$C:$C,12),
     C116="K",XLOOKUP("timeout_bino_slow",Calibration!$B:$B,Calibration!$C:$C,18),
     OR(C116="P",C116="Q",C116="R"),XLOOKUP("timeout_near_slow",Calibration!$B:$B,Calibration!$C:$C,28),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AJ116=TRUE,"ESCALATE",
C116="A",
IF(OR(I116="NOT_READABLE",I116="BLURRY",AND(R116="20_20_20",I116="READABLE")),"B","A"),
C116="B",
IF(reEsc,"ESCALATE",IF(AY116&gt;=phaseMax,"ESCALATE",IF(AND(AV116&gt;=AW116,I116="READABLE"),"E","B"))),
C116="E",
IF(AY116&gt;=phaseMax,"ESCALATE",IF(OR(I116="SAME",I116="CANT_TELL",AD116&lt;axisTol),"F","E")),
C116="F",
IF(AY116&gt;=phaseMax,"ESCALATE",IF(AX116&gt;=powerSameN,"G","F")),
C116="G",
IF(AY116&gt;=phaseMax,"ESCALATE",IF(OR(AX116&gt;=duoEqualN,BB116&gt;=duoMax),"D","G")),
C116="D",
IF(leEsc,"ESCALATE",IF(AY116&gt;=phaseMax,"ESCALATE",IF(AND(AV116&gt;=AW116,I116="READABLE"),"H","D"))),
C116="H",
IF(AY116&gt;=phaseMax,"ESCALATE",IF(OR(I116="SAME",I116="CANT_TELL",AD116&lt;axisTol),"I","H")),
C116="I",
IF(AY116&gt;=phaseMax,"ESCALATE",IF(AX116&gt;=powerSameN,"J","I")),
C116="J",
IF(AY116&gt;=phaseMax,"ESCALATE",IF(OR(AX116&gt;=duoEqualN,BB116&gt;=duoMax),"K","J")),
C116="K",
IF(AY116&gt;=phaseMax,"ESCALATE",IF(AX116&gt;=binoSameN,IF(XLOOKUP($B116,Derived_Variables!$A:$A,Derived_Variables!$AJ:$AJ,FALSE)=TRUE,"P","END"),"K")),
C116="P",
IF(AY116&gt;=phaseMax,"ESCALATE",IF(OR(I116="READABLE",I116="SAME"),"Q","P")),
C116="Q",
IF(AY116&gt;=phaseMax,"ESCALATE",IF(OR(I116="READABLE",I116="SAME"),"R","Q")),
C116="R",
IF(AY116&gt;=phaseMax,"ESCALATE",IF(OR(I116=nearTarget,I116="SAME"),"END","R")),
TRUE,"END"
)))</f>
        <v/>
      </c>
      <c r="BD116" s="28" t="b">
        <f t="shared" si="19"/>
        <v>0</v>
      </c>
    </row>
    <row r="117" ht="15.75" customHeight="1">
      <c r="A117" s="28">
        <f t="shared" si="3"/>
        <v>116</v>
      </c>
      <c r="B117" s="28">
        <f t="shared" si="4"/>
        <v>6</v>
      </c>
      <c r="C117" s="28" t="str">
        <f t="shared" si="5"/>
        <v/>
      </c>
      <c r="D117" s="28" t="str">
        <f t="array" ref="D117">IF($I116="","",XLOOKUP(C117,FSM_State_Map!A:A,FSM_State_Map!B:B,""))</f>
        <v/>
      </c>
      <c r="E117" s="28" t="str">
        <f t="array" ref="E117">IF($I116="","",XLOOKUP(C117,FSM_State_Map!A:A,FSM_State_Map!C:C,""))</f>
        <v/>
      </c>
      <c r="F117" s="28" t="str">
        <f t="array" ref="F117">IF($I116="","",XLOOKUP(E117,Phase_UI_Map!A:A,Phase_UI_Map!B:B,""))</f>
        <v/>
      </c>
      <c r="G117" s="28" t="str">
        <f t="array" ref="G117">IF($I116="","",XLOOKUP(E117,Phase_UI_Map!A:A,Phase_UI_Map!C:C,""))</f>
        <v/>
      </c>
      <c r="H117" s="28" t="str">
        <f t="array" ref="H117">IF($I116="","",XLOOKUP(E117,Phase_UI_Map!A:A,Phase_UI_Map!D:D,""))</f>
        <v/>
      </c>
      <c r="I117" s="29"/>
      <c r="J117" s="28" t="str">
        <f>IFERROR(__xludf.DUMMYFUNCTION("IF($I116="""","""",IFERROR(INDEX(FILTER(Response_Lists!$B:$B,Response_Lists!$A:$A=$H117),1),""""))"),"")</f>
        <v/>
      </c>
      <c r="K117" s="28" t="str">
        <f>IFERROR(__xludf.DUMMYFUNCTION("IF($I116="""","""",IFERROR(INDEX(FILTER(Response_Lists!$B:$B,Response_Lists!$A:$A=$H117),2),""""))"),"")</f>
        <v/>
      </c>
      <c r="L117" s="28" t="str">
        <f>IFERROR(__xludf.DUMMYFUNCTION("IF($I116="""","""",IFERROR(INDEX(FILTER(Response_Lists!$B:$B,Response_Lists!$A:$A=$H117),3),""""))"),"")</f>
        <v/>
      </c>
      <c r="M117" s="28" t="str">
        <f>IFERROR(__xludf.DUMMYFUNCTION("IF($I116="""","""",IFERROR(INDEX(FILTER(Response_Lists!$B:$B,Response_Lists!$A:$A=$H117),4),""""))"),"")</f>
        <v/>
      </c>
      <c r="N117" s="28" t="str">
        <f>IFERROR(__xludf.DUMMYFUNCTION("IF($I116="""","""",IFERROR(INDEX(FILTER(Response_Lists!$B:$B,Response_Lists!$A:$A=$H117),5),""""))"),"")</f>
        <v/>
      </c>
      <c r="O117" s="28" t="str">
        <f>IFERROR(__xludf.DUMMYFUNCTION("IF($I116="""","""",IFERROR(INDEX(FILTER(Response_Lists!$B:$B,Response_Lists!$A:$A=$H117),6),""""))"),"")</f>
        <v/>
      </c>
      <c r="P117" s="28" t="str">
        <f t="shared" si="6"/>
        <v/>
      </c>
      <c r="Q117" s="28" t="str">
        <f t="array" ref="Q117">IF($I116="","",XLOOKUP(C117,FSM_State_Map!A:A,FSM_State_Map!D:D,""))</f>
        <v/>
      </c>
      <c r="R117" s="28" t="str">
        <f t="shared" si="7"/>
        <v/>
      </c>
      <c r="S117" s="28" t="str">
        <f t="array" ref="S117">IF($I116="","",
IF(
  AND(C117="B",C116&lt;&gt;"B"),
  XLOOKUP($B117,Derived_Variables!$A:$A,Derived_Variables!$K:$K,0)
  + XLOOKUP($B117,Derived_Variables!$A:$A,Derived_Variables!$AE:$AE,0),
  S116+AM116
))</f>
        <v/>
      </c>
      <c r="T117" s="28" t="str">
        <f t="shared" ref="T117:U117" si="244">IF($I116="","",T116+AN116)</f>
        <v/>
      </c>
      <c r="U117" s="28" t="str">
        <f t="shared" si="244"/>
        <v/>
      </c>
      <c r="V117" s="28" t="str">
        <f t="array" ref="V117">IF($I116="","",
IF(
  AND(C117="D",C116&lt;&gt;"D"),
  XLOOKUP($B117,Derived_Variables!$A:$A,Derived_Variables!$N:$N,0)
  + XLOOKUP($B117,Derived_Variables!$A:$A,Derived_Variables!$AE:$AE,0),
  V116+AP116
))</f>
        <v/>
      </c>
      <c r="W117" s="28" t="str">
        <f t="shared" ref="W117:X117" si="245">IF($I116="","",W116+AQ116)</f>
        <v/>
      </c>
      <c r="X117" s="28" t="str">
        <f t="shared" si="245"/>
        <v/>
      </c>
      <c r="Y117" s="28" t="str">
        <f t="array" ref="Y117">IF($I116="","",IF(AND(C117="P",C116&lt;&gt;"P"),IFERROR(XLOOKUP($B117,Lenso_Input!$A:$A,Lenso_Input!$E:$E,0),0),Y116+AS116))</f>
        <v/>
      </c>
      <c r="Z117" s="28" t="str">
        <f t="array" ref="Z117">IF($I116="","",IF(AND(C117="Q",C116&lt;&gt;"Q"),IFERROR(XLOOKUP($B117,Lenso_Input!$A:$A,Lenso_Input!$I:$I,0),0),Z116+AT116))</f>
        <v/>
      </c>
      <c r="AA117" s="28" t="str">
        <f t="array" ref="AA117">IF($I116="","",IF(XLOOKUP($B117,Derived_Variables!$A:$A,Derived_Variables!$R:$R,"6/6_target")="6/6_target","20_20_20","40_30_25"))</f>
        <v/>
      </c>
      <c r="AB117" s="28" t="str">
        <f t="array" ref="AB117">IF($I116="","",XLOOKUP(LOWER(XLOOKUP($B117,Derived_Variables!$A:$A,Derived_Variables!$T:$T,"Standard"))&amp;"_sph_step",Calibration!$B:$B,Calibration!$C:$C,0.25))</f>
        <v/>
      </c>
      <c r="AC117" s="28" t="str">
        <f t="array" ref="AC117">IF($I116="","",XLOOKUP(LOWER(XLOOKUP($B117,Derived_Variables!$A:$A,Derived_Variables!$T:$T,"Standard"))&amp;"_cyl_step",Calibration!$B:$B,Calibration!$C:$C,0.25))</f>
        <v/>
      </c>
      <c r="AD117" s="28" t="str">
        <f t="array" ref="AD117">IF($I116="","",IF(OR(C117="E",C117="H"),LET(startStep,XLOOKUP("axis_start_step",Calibration!$B:$B,Calibration!$C:$C,5),step1,XLOOKUP("axis_reversal_step_1",Calibration!$B:$B,Calibration!$C:$C,3),step2,XLOOKUP("axis_reversal_step_2",Calibration!$B:$B,Calibration!$C:$C,1),IF(OR(C116&lt;&gt;C117,AZ117="",AZ117="SAME",AZ117="CANT_TELL",I117="",I117="SAME",I117="CANT_TELL"),startStep,IF(OR(AND(AZ117="BETTER_1",I117="BETTER_2"),AND(AZ117="BETTER_2",I117="BETTER_1")),IF(AD116&gt;step1,step1,step2),AD116))),0))</f>
        <v/>
      </c>
      <c r="AE117" s="28" t="str">
        <f t="array" ref="AE117">IF($I116="","",XLOOKUP($B117,Derived_Variables!$A:$A,Derived_Variables!$AD:$AD,"No_Fog"))</f>
        <v/>
      </c>
      <c r="AF117" s="28" t="str">
        <f t="array" ref="AF117">IF($I116="","",XLOOKUP($B117,Derived_Variables!$A:$A,Derived_Variables!$AE:$AE,0))</f>
        <v/>
      </c>
      <c r="AG117" s="28" t="str">
        <f t="array" ref="AG117">IF($I116="","",XLOOKUP($B117,Derived_Variables!$A:$A,Derived_Variables!$AF:$AF,""))</f>
        <v/>
      </c>
      <c r="AH117" s="28" t="str">
        <f t="array" ref="AH117">IF($I116="","",XLOOKUP($B117,Derived_Variables!$A:$A,Derived_Variables!$AG:$AG,""))</f>
        <v/>
      </c>
      <c r="AI117" s="28" t="str">
        <f t="array" ref="AI117">IF($I116="","",XLOOKUP($B117,Derived_Variables!$A:$A,Derived_Variables!$AC:$AC,"Medium"))</f>
        <v/>
      </c>
      <c r="AJ117" s="28" t="str">
        <f t="array" ref="AJ117">IF($I116="","",XLOOKUP($B117,Derived_Variables!$A:$A,Derived_Variables!$Y:$Y,FALSE))</f>
        <v/>
      </c>
      <c r="AK117" s="28" t="str">
        <f t="array" ref="AK117">IF($I116="","",XLOOKUP($B117,Derived_Variables!$A:$A,Derived_Variables!$AA:$AA,"Normal"))</f>
        <v/>
      </c>
      <c r="AL117" s="28" t="str">
        <f t="array" ref="AL117">IF($I116="","",XLOOKUP($B117,Derived_Variables!$A:$A,Derived_Variables!$AB:$AB,"Normal"))</f>
        <v/>
      </c>
      <c r="AM117" s="28" t="str">
        <f t="array" ref="AM117">IF($I117="","",IFS(C117="B",IF(OR(I117="NOT_READABLE",I117="BLURRY"),-AB117,0),C117="G",IFS(I117="RED_CLEARER",XLOOKUP("duochrome_red_step",Calibration!$B:$B,Calibration!$C:$C,-0.25),I117="GREEN_CLEARER",XLOOKUP("duochrome_green_step",Calibration!$B:$B,Calibration!$C:$C,0.25),I117="EQUAL",IF(XLOOKUP($B117,Derived_Variables!$A:$A,Derived_Variables!$S:$S,"Neutral")="Undercorrect",XLOOKUP("undercorrect_step",Calibration!$B:$B,Calibration!$C:$C,0.25),IF(XLOOKUP($B117,Derived_Variables!$A:$A,Derived_Variables!$S:$S,"Neutral")="Overcorrect",-XLOOKUP("overcorrect_step",Calibration!$B:$B,Calibration!$C:$C,0.25),0)),TRUE,0),C117="K",IF(I117="TOP_CLEARER",XLOOKUP("bino_balance_step",Calibration!$B:$B,Calibration!$C:$C,0.25),0),TRUE,0))</f>
        <v/>
      </c>
      <c r="AN117" s="28" t="str">
        <f t="shared" si="10"/>
        <v/>
      </c>
      <c r="AO117" s="28" t="str">
        <f t="shared" si="11"/>
        <v/>
      </c>
      <c r="AP117" s="28" t="str">
        <f t="array" ref="AP117">IF($I117="","",IFS(C117="D",IF(OR(I117="NOT_READABLE",I117="BLURRY"),-AB117,0),C117="J",IFS(I117="RED_CLEARER",XLOOKUP("duochrome_red_step",Calibration!$B:$B,Calibration!$C:$C,-0.25),I117="GREEN_CLEARER",XLOOKUP("duochrome_green_step",Calibration!$B:$B,Calibration!$C:$C,0.25),I117="EQUAL",IF(XLOOKUP($B117,Derived_Variables!$A:$A,Derived_Variables!$S:$S,"Neutral")="Undercorrect",XLOOKUP("undercorrect_step",Calibration!$B:$B,Calibration!$C:$C,0.25),IF(XLOOKUP($B117,Derived_Variables!$A:$A,Derived_Variables!$S:$S,"Neutral")="Overcorrect",-XLOOKUP("overcorrect_step",Calibration!$B:$B,Calibration!$C:$C,0.25),0)),TRUE,0),C117="K",IF(I117="BOTTOM_CLEARER",XLOOKUP("bino_balance_step",Calibration!$B:$B,Calibration!$C:$C,0.25),0),TRUE,0))</f>
        <v/>
      </c>
      <c r="AQ117" s="28" t="str">
        <f t="shared" si="12"/>
        <v/>
      </c>
      <c r="AR117" s="28" t="str">
        <f t="shared" si="13"/>
        <v/>
      </c>
      <c r="AS117" s="28" t="str">
        <f t="array" ref="AS117">IF($I117="","",IF(C117="P",IF(OR(I117="NOT_READABLE",I117="BLURRY"),XLOOKUP("near_add_step",Calibration!$B:$B,Calibration!$C:$C,0.25),0),IF(C117="R",IF(I117="NOT_CLEAR",XLOOKUP("near_add_step",Calibration!$B:$B,Calibration!$C:$C,0.25),0),0)))</f>
        <v/>
      </c>
      <c r="AT117" s="28" t="str">
        <f t="array" ref="AT117">IF($I117="","",IF(C117="Q",IF(OR(I117="NOT_READABLE",I117="BLURRY"),XLOOKUP("near_add_step",Calibration!$B:$B,Calibration!$C:$C,0.25),0),IF(C117="R",IF(I117="NOT_CLEAR",XLOOKUP("near_add_step",Calibration!$B:$B,Calibration!$C:$C,0.25),0),0)))</f>
        <v/>
      </c>
      <c r="AU117" s="28" t="str">
        <f t="array" ref="AU117">IF($I117="","",IF(G117="SNELLEN_FEET",IF(I117="READABLE",IFERROR(XLOOKUP(XLOOKUP(R117,Chart_Scale_Distance!B:B,Chart_Scale_Distance!A:A)+1,Chart_Scale_Distance!A:A,Chart_Scale_Distance!B:B),R117),R117),R117))</f>
        <v/>
      </c>
      <c r="AV117" s="28" t="str">
        <f t="array" ref="AV117">IF($I116="","",IFERROR(XLOOKUP(R117,Chart_Scale_Distance!$B:$B,Chart_Scale_Distance!$A:$A,""),""))</f>
        <v/>
      </c>
      <c r="AW117" s="28" t="str">
        <f t="array" ref="AW117">IF($I116="","",IFERROR(XLOOKUP(AA117,Chart_Scale_Distance!$B:$B,Chart_Scale_Distance!$A:$A,""),""))</f>
        <v/>
      </c>
      <c r="AX117" s="28" t="str">
        <f t="shared" si="14"/>
        <v/>
      </c>
      <c r="AY117" s="28" t="str">
        <f t="shared" si="15"/>
        <v/>
      </c>
      <c r="AZ117" s="28" t="str">
        <f t="shared" si="16"/>
        <v/>
      </c>
      <c r="BA117" s="28" t="str">
        <f t="shared" si="17"/>
        <v/>
      </c>
      <c r="BB117" s="28" t="str">
        <f t="shared" si="18"/>
        <v/>
      </c>
      <c r="BC117" s="28" t="str">
        <f t="array" ref="BC117">IF($I117="","",LET(
conf,AI117,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duoMax,XLOOKUP($B117,Derived_Variables!$A:$A,Derived_Variables!$AI:$AI,4),
axisTol,XLOOKUP($B117,Derived_Variables!$A:$A,Derived_Variables!$W:$W,1),
maxStart,XLOOKUP($B117,Derived_Variables!$A:$A,Derived_Variables!$U:$U,1.25),
maxAR,XLOOKUP($B117,Derived_Variables!$A:$A,Derived_Variables!$V:$V,3),
anom,XLOOKUP($B117,Derived_Variables!$A:$A,Derived_Variables!$Z:$Z,FALSE),
reStart,XLOOKUP($B117,Derived_Variables!$A:$A,Derived_Variables!$K:$K,0),
leStart,XLOOKUP($B117,Derived_Variables!$A:$A,Derived_Variables!$N:$N,0),
reAR,XLOOKUP($B117,AR_Input!$A:$A,AR_Input!$B:$B,reStart),
leAR,XLOOKUP($B117,AR_Input!$A:$A,AR_Input!$E:$E,leStart),
reEsc,AND(anom,OR(ABS((S117+AM117)-reStart)&gt;maxStart,ABS((S117+AM117)-reAR)&gt;maxAR)),
leEsc,AND(anom,OR(ABS((V117+AP117)-leStart)&gt;maxStart,ABS((V117+AP117)-leAR)&gt;maxAR)),
phaseMax,IFS(
 AK117="Fast",
   IFS(
     OR(C117="B",C117="D"),XLOOKUP("timeout_coarse_fast",Calibration!$B:$B,Calibration!$C:$C,24),
     OR(C117="E",C117="F",C117="H",C117="I"),XLOOKUP("timeout_jcc_fast",Calibration!$B:$B,Calibration!$C:$C,10),
     OR(C117="G",C117="J"),XLOOKUP("timeout_duochrome_fast",Calibration!$B:$B,Calibration!$C:$C,8),
     C117="K",XLOOKUP("timeout_bino_fast",Calibration!$B:$B,Calibration!$C:$C,10),
     OR(C117="P",C117="Q",C117="R"),XLOOKUP("timeout_near_fast",Calibration!$B:$B,Calibration!$C:$C,16),
     TRUE,XLOOKUP("timeout_coarse_fast",Calibration!$B:$B,Calibration!$C:$C,24)
   ),
 AK117="Normal",
   IFS(
     OR(C117="B",C117="D"),XLOOKUP("timeout_coarse_normal",Calibration!$B:$B,Calibration!$C:$C,36),
     OR(C117="E",C117="F",C117="H",C117="I"),XLOOKUP("timeout_jcc_normal",Calibration!$B:$B,Calibration!$C:$C,14),
     OR(C117="G",C117="J"),XLOOKUP("timeout_duochrome_normal",Calibration!$B:$B,Calibration!$C:$C,10),
     C117="K",XLOOKUP("timeout_bino_normal",Calibration!$B:$B,Calibration!$C:$C,14),
     OR(C117="P",C117="Q",C117="R"),XLOOKUP("timeout_near_normal",Calibration!$B:$B,Calibration!$C:$C,22),
     TRUE,XLOOKUP("timeout_coarse_normal",Calibration!$B:$B,Calibration!$C:$C,36)
   ),
 TRUE,
   IFS(
     OR(C117="B",C117="D"),XLOOKUP("timeout_coarse_slow",Calibration!$B:$B,Calibration!$C:$C,48),
     OR(C117="E",C117="F",C117="H",C117="I"),XLOOKUP("timeout_jcc_slow",Calibration!$B:$B,Calibration!$C:$C,18),
     OR(C117="G",C117="J"),XLOOKUP("timeout_duochrome_slow",Calibration!$B:$B,Calibration!$C:$C,12),
     C117="K",XLOOKUP("timeout_bino_slow",Calibration!$B:$B,Calibration!$C:$C,18),
     OR(C117="P",C117="Q",C117="R"),XLOOKUP("timeout_near_slow",Calibration!$B:$B,Calibration!$C:$C,28),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AJ117=TRUE,"ESCALATE",
C117="A",
IF(OR(I117="NOT_READABLE",I117="BLURRY",AND(R117="20_20_20",I117="READABLE")),"B","A"),
C117="B",
IF(reEsc,"ESCALATE",IF(AY117&gt;=phaseMax,"ESCALATE",IF(AND(AV117&gt;=AW117,I117="READABLE"),"E","B"))),
C117="E",
IF(AY117&gt;=phaseMax,"ESCALATE",IF(OR(I117="SAME",I117="CANT_TELL",AD117&lt;axisTol),"F","E")),
C117="F",
IF(AY117&gt;=phaseMax,"ESCALATE",IF(AX117&gt;=powerSameN,"G","F")),
C117="G",
IF(AY117&gt;=phaseMax,"ESCALATE",IF(OR(AX117&gt;=duoEqualN,BB117&gt;=duoMax),"D","G")),
C117="D",
IF(leEsc,"ESCALATE",IF(AY117&gt;=phaseMax,"ESCALATE",IF(AND(AV117&gt;=AW117,I117="READABLE"),"H","D"))),
C117="H",
IF(AY117&gt;=phaseMax,"ESCALATE",IF(OR(I117="SAME",I117="CANT_TELL",AD117&lt;axisTol),"I","H")),
C117="I",
IF(AY117&gt;=phaseMax,"ESCALATE",IF(AX117&gt;=powerSameN,"J","I")),
C117="J",
IF(AY117&gt;=phaseMax,"ESCALATE",IF(OR(AX117&gt;=duoEqualN,BB117&gt;=duoMax),"K","J")),
C117="K",
IF(AY117&gt;=phaseMax,"ESCALATE",IF(AX117&gt;=binoSameN,IF(XLOOKUP($B117,Derived_Variables!$A:$A,Derived_Variables!$AJ:$AJ,FALSE)=TRUE,"P","END"),"K")),
C117="P",
IF(AY117&gt;=phaseMax,"ESCALATE",IF(OR(I117="READABLE",I117="SAME"),"Q","P")),
C117="Q",
IF(AY117&gt;=phaseMax,"ESCALATE",IF(OR(I117="READABLE",I117="SAME"),"R","Q")),
C117="R",
IF(AY117&gt;=phaseMax,"ESCALATE",IF(OR(I117=nearTarget,I117="SAME"),"END","R")),
TRUE,"END"
)))</f>
        <v/>
      </c>
      <c r="BD117" s="28" t="b">
        <f t="shared" si="19"/>
        <v>0</v>
      </c>
    </row>
    <row r="118" ht="15.75" customHeight="1">
      <c r="A118" s="28">
        <f t="shared" si="3"/>
        <v>117</v>
      </c>
      <c r="B118" s="28">
        <f t="shared" si="4"/>
        <v>6</v>
      </c>
      <c r="C118" s="28" t="str">
        <f t="shared" si="5"/>
        <v/>
      </c>
      <c r="D118" s="28" t="str">
        <f t="array" ref="D118">IF($I117="","",XLOOKUP(C118,FSM_State_Map!A:A,FSM_State_Map!B:B,""))</f>
        <v/>
      </c>
      <c r="E118" s="28" t="str">
        <f t="array" ref="E118">IF($I117="","",XLOOKUP(C118,FSM_State_Map!A:A,FSM_State_Map!C:C,""))</f>
        <v/>
      </c>
      <c r="F118" s="28" t="str">
        <f t="array" ref="F118">IF($I117="","",XLOOKUP(E118,Phase_UI_Map!A:A,Phase_UI_Map!B:B,""))</f>
        <v/>
      </c>
      <c r="G118" s="28" t="str">
        <f t="array" ref="G118">IF($I117="","",XLOOKUP(E118,Phase_UI_Map!A:A,Phase_UI_Map!C:C,""))</f>
        <v/>
      </c>
      <c r="H118" s="28" t="str">
        <f t="array" ref="H118">IF($I117="","",XLOOKUP(E118,Phase_UI_Map!A:A,Phase_UI_Map!D:D,""))</f>
        <v/>
      </c>
      <c r="I118" s="29"/>
      <c r="J118" s="28" t="str">
        <f>IFERROR(__xludf.DUMMYFUNCTION("IF($I117="""","""",IFERROR(INDEX(FILTER(Response_Lists!$B:$B,Response_Lists!$A:$A=$H118),1),""""))"),"")</f>
        <v/>
      </c>
      <c r="K118" s="28" t="str">
        <f>IFERROR(__xludf.DUMMYFUNCTION("IF($I117="""","""",IFERROR(INDEX(FILTER(Response_Lists!$B:$B,Response_Lists!$A:$A=$H118),2),""""))"),"")</f>
        <v/>
      </c>
      <c r="L118" s="28" t="str">
        <f>IFERROR(__xludf.DUMMYFUNCTION("IF($I117="""","""",IFERROR(INDEX(FILTER(Response_Lists!$B:$B,Response_Lists!$A:$A=$H118),3),""""))"),"")</f>
        <v/>
      </c>
      <c r="M118" s="28" t="str">
        <f>IFERROR(__xludf.DUMMYFUNCTION("IF($I117="""","""",IFERROR(INDEX(FILTER(Response_Lists!$B:$B,Response_Lists!$A:$A=$H118),4),""""))"),"")</f>
        <v/>
      </c>
      <c r="N118" s="28" t="str">
        <f>IFERROR(__xludf.DUMMYFUNCTION("IF($I117="""","""",IFERROR(INDEX(FILTER(Response_Lists!$B:$B,Response_Lists!$A:$A=$H118),5),""""))"),"")</f>
        <v/>
      </c>
      <c r="O118" s="28" t="str">
        <f>IFERROR(__xludf.DUMMYFUNCTION("IF($I117="""","""",IFERROR(INDEX(FILTER(Response_Lists!$B:$B,Response_Lists!$A:$A=$H118),6),""""))"),"")</f>
        <v/>
      </c>
      <c r="P118" s="28" t="str">
        <f t="shared" si="6"/>
        <v/>
      </c>
      <c r="Q118" s="28" t="str">
        <f t="array" ref="Q118">IF($I117="","",XLOOKUP(C118,FSM_State_Map!A:A,FSM_State_Map!D:D,""))</f>
        <v/>
      </c>
      <c r="R118" s="28" t="str">
        <f t="shared" si="7"/>
        <v/>
      </c>
      <c r="S118" s="28" t="str">
        <f t="array" ref="S118">IF($I117="","",
IF(
  AND(C118="B",C117&lt;&gt;"B"),
  XLOOKUP($B118,Derived_Variables!$A:$A,Derived_Variables!$K:$K,0)
  + XLOOKUP($B118,Derived_Variables!$A:$A,Derived_Variables!$AE:$AE,0),
  S117+AM117
))</f>
        <v/>
      </c>
      <c r="T118" s="28" t="str">
        <f t="shared" ref="T118:U118" si="246">IF($I117="","",T117+AN117)</f>
        <v/>
      </c>
      <c r="U118" s="28" t="str">
        <f t="shared" si="246"/>
        <v/>
      </c>
      <c r="V118" s="28" t="str">
        <f t="array" ref="V118">IF($I117="","",
IF(
  AND(C118="D",C117&lt;&gt;"D"),
  XLOOKUP($B118,Derived_Variables!$A:$A,Derived_Variables!$N:$N,0)
  + XLOOKUP($B118,Derived_Variables!$A:$A,Derived_Variables!$AE:$AE,0),
  V117+AP117
))</f>
        <v/>
      </c>
      <c r="W118" s="28" t="str">
        <f t="shared" ref="W118:X118" si="247">IF($I117="","",W117+AQ117)</f>
        <v/>
      </c>
      <c r="X118" s="28" t="str">
        <f t="shared" si="247"/>
        <v/>
      </c>
      <c r="Y118" s="28" t="str">
        <f t="array" ref="Y118">IF($I117="","",IF(AND(C118="P",C117&lt;&gt;"P"),IFERROR(XLOOKUP($B118,Lenso_Input!$A:$A,Lenso_Input!$E:$E,0),0),Y117+AS117))</f>
        <v/>
      </c>
      <c r="Z118" s="28" t="str">
        <f t="array" ref="Z118">IF($I117="","",IF(AND(C118="Q",C117&lt;&gt;"Q"),IFERROR(XLOOKUP($B118,Lenso_Input!$A:$A,Lenso_Input!$I:$I,0),0),Z117+AT117))</f>
        <v/>
      </c>
      <c r="AA118" s="28" t="str">
        <f t="array" ref="AA118">IF($I117="","",IF(XLOOKUP($B118,Derived_Variables!$A:$A,Derived_Variables!$R:$R,"6/6_target")="6/6_target","20_20_20","40_30_25"))</f>
        <v/>
      </c>
      <c r="AB118" s="28" t="str">
        <f t="array" ref="AB118">IF($I117="","",XLOOKUP(LOWER(XLOOKUP($B118,Derived_Variables!$A:$A,Derived_Variables!$T:$T,"Standard"))&amp;"_sph_step",Calibration!$B:$B,Calibration!$C:$C,0.25))</f>
        <v/>
      </c>
      <c r="AC118" s="28" t="str">
        <f t="array" ref="AC118">IF($I117="","",XLOOKUP(LOWER(XLOOKUP($B118,Derived_Variables!$A:$A,Derived_Variables!$T:$T,"Standard"))&amp;"_cyl_step",Calibration!$B:$B,Calibration!$C:$C,0.25))</f>
        <v/>
      </c>
      <c r="AD118" s="28" t="str">
        <f t="array" ref="AD118">IF($I117="","",IF(OR(C118="E",C118="H"),LET(startStep,XLOOKUP("axis_start_step",Calibration!$B:$B,Calibration!$C:$C,5),step1,XLOOKUP("axis_reversal_step_1",Calibration!$B:$B,Calibration!$C:$C,3),step2,XLOOKUP("axis_reversal_step_2",Calibration!$B:$B,Calibration!$C:$C,1),IF(OR(C117&lt;&gt;C118,AZ118="",AZ118="SAME",AZ118="CANT_TELL",I118="",I118="SAME",I118="CANT_TELL"),startStep,IF(OR(AND(AZ118="BETTER_1",I118="BETTER_2"),AND(AZ118="BETTER_2",I118="BETTER_1")),IF(AD117&gt;step1,step1,step2),AD117))),0))</f>
        <v/>
      </c>
      <c r="AE118" s="28" t="str">
        <f t="array" ref="AE118">IF($I117="","",XLOOKUP($B118,Derived_Variables!$A:$A,Derived_Variables!$AD:$AD,"No_Fog"))</f>
        <v/>
      </c>
      <c r="AF118" s="28" t="str">
        <f t="array" ref="AF118">IF($I117="","",XLOOKUP($B118,Derived_Variables!$A:$A,Derived_Variables!$AE:$AE,0))</f>
        <v/>
      </c>
      <c r="AG118" s="28" t="str">
        <f t="array" ref="AG118">IF($I117="","",XLOOKUP($B118,Derived_Variables!$A:$A,Derived_Variables!$AF:$AF,""))</f>
        <v/>
      </c>
      <c r="AH118" s="28" t="str">
        <f t="array" ref="AH118">IF($I117="","",XLOOKUP($B118,Derived_Variables!$A:$A,Derived_Variables!$AG:$AG,""))</f>
        <v/>
      </c>
      <c r="AI118" s="28" t="str">
        <f t="array" ref="AI118">IF($I117="","",XLOOKUP($B118,Derived_Variables!$A:$A,Derived_Variables!$AC:$AC,"Medium"))</f>
        <v/>
      </c>
      <c r="AJ118" s="28" t="str">
        <f t="array" ref="AJ118">IF($I117="","",XLOOKUP($B118,Derived_Variables!$A:$A,Derived_Variables!$Y:$Y,FALSE))</f>
        <v/>
      </c>
      <c r="AK118" s="28" t="str">
        <f t="array" ref="AK118">IF($I117="","",XLOOKUP($B118,Derived_Variables!$A:$A,Derived_Variables!$AA:$AA,"Normal"))</f>
        <v/>
      </c>
      <c r="AL118" s="28" t="str">
        <f t="array" ref="AL118">IF($I117="","",XLOOKUP($B118,Derived_Variables!$A:$A,Derived_Variables!$AB:$AB,"Normal"))</f>
        <v/>
      </c>
      <c r="AM118" s="28" t="str">
        <f t="array" ref="AM118">IF($I118="","",IFS(C118="B",IF(OR(I118="NOT_READABLE",I118="BLURRY"),-AB118,0),C118="G",IFS(I118="RED_CLEARER",XLOOKUP("duochrome_red_step",Calibration!$B:$B,Calibration!$C:$C,-0.25),I118="GREEN_CLEARER",XLOOKUP("duochrome_green_step",Calibration!$B:$B,Calibration!$C:$C,0.25),I118="EQUAL",IF(XLOOKUP($B118,Derived_Variables!$A:$A,Derived_Variables!$S:$S,"Neutral")="Undercorrect",XLOOKUP("undercorrect_step",Calibration!$B:$B,Calibration!$C:$C,0.25),IF(XLOOKUP($B118,Derived_Variables!$A:$A,Derived_Variables!$S:$S,"Neutral")="Overcorrect",-XLOOKUP("overcorrect_step",Calibration!$B:$B,Calibration!$C:$C,0.25),0)),TRUE,0),C118="K",IF(I118="TOP_CLEARER",XLOOKUP("bino_balance_step",Calibration!$B:$B,Calibration!$C:$C,0.25),0),TRUE,0))</f>
        <v/>
      </c>
      <c r="AN118" s="28" t="str">
        <f t="shared" si="10"/>
        <v/>
      </c>
      <c r="AO118" s="28" t="str">
        <f t="shared" si="11"/>
        <v/>
      </c>
      <c r="AP118" s="28" t="str">
        <f t="array" ref="AP118">IF($I118="","",IFS(C118="D",IF(OR(I118="NOT_READABLE",I118="BLURRY"),-AB118,0),C118="J",IFS(I118="RED_CLEARER",XLOOKUP("duochrome_red_step",Calibration!$B:$B,Calibration!$C:$C,-0.25),I118="GREEN_CLEARER",XLOOKUP("duochrome_green_step",Calibration!$B:$B,Calibration!$C:$C,0.25),I118="EQUAL",IF(XLOOKUP($B118,Derived_Variables!$A:$A,Derived_Variables!$S:$S,"Neutral")="Undercorrect",XLOOKUP("undercorrect_step",Calibration!$B:$B,Calibration!$C:$C,0.25),IF(XLOOKUP($B118,Derived_Variables!$A:$A,Derived_Variables!$S:$S,"Neutral")="Overcorrect",-XLOOKUP("overcorrect_step",Calibration!$B:$B,Calibration!$C:$C,0.25),0)),TRUE,0),C118="K",IF(I118="BOTTOM_CLEARER",XLOOKUP("bino_balance_step",Calibration!$B:$B,Calibration!$C:$C,0.25),0),TRUE,0))</f>
        <v/>
      </c>
      <c r="AQ118" s="28" t="str">
        <f t="shared" si="12"/>
        <v/>
      </c>
      <c r="AR118" s="28" t="str">
        <f t="shared" si="13"/>
        <v/>
      </c>
      <c r="AS118" s="28" t="str">
        <f t="array" ref="AS118">IF($I118="","",IF(C118="P",IF(OR(I118="NOT_READABLE",I118="BLURRY"),XLOOKUP("near_add_step",Calibration!$B:$B,Calibration!$C:$C,0.25),0),IF(C118="R",IF(I118="NOT_CLEAR",XLOOKUP("near_add_step",Calibration!$B:$B,Calibration!$C:$C,0.25),0),0)))</f>
        <v/>
      </c>
      <c r="AT118" s="28" t="str">
        <f t="array" ref="AT118">IF($I118="","",IF(C118="Q",IF(OR(I118="NOT_READABLE",I118="BLURRY"),XLOOKUP("near_add_step",Calibration!$B:$B,Calibration!$C:$C,0.25),0),IF(C118="R",IF(I118="NOT_CLEAR",XLOOKUP("near_add_step",Calibration!$B:$B,Calibration!$C:$C,0.25),0),0)))</f>
        <v/>
      </c>
      <c r="AU118" s="28" t="str">
        <f t="array" ref="AU118">IF($I118="","",IF(G118="SNELLEN_FEET",IF(I118="READABLE",IFERROR(XLOOKUP(XLOOKUP(R118,Chart_Scale_Distance!B:B,Chart_Scale_Distance!A:A)+1,Chart_Scale_Distance!A:A,Chart_Scale_Distance!B:B),R118),R118),R118))</f>
        <v/>
      </c>
      <c r="AV118" s="28" t="str">
        <f t="array" ref="AV118">IF($I117="","",IFERROR(XLOOKUP(R118,Chart_Scale_Distance!$B:$B,Chart_Scale_Distance!$A:$A,""),""))</f>
        <v/>
      </c>
      <c r="AW118" s="28" t="str">
        <f t="array" ref="AW118">IF($I117="","",IFERROR(XLOOKUP(AA118,Chart_Scale_Distance!$B:$B,Chart_Scale_Distance!$A:$A,""),""))</f>
        <v/>
      </c>
      <c r="AX118" s="28" t="str">
        <f t="shared" si="14"/>
        <v/>
      </c>
      <c r="AY118" s="28" t="str">
        <f t="shared" si="15"/>
        <v/>
      </c>
      <c r="AZ118" s="28" t="str">
        <f t="shared" si="16"/>
        <v/>
      </c>
      <c r="BA118" s="28" t="str">
        <f t="shared" si="17"/>
        <v/>
      </c>
      <c r="BB118" s="28" t="str">
        <f t="shared" si="18"/>
        <v/>
      </c>
      <c r="BC118" s="28" t="str">
        <f t="array" ref="BC118">IF($I118="","",LET(
conf,AI118,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duoMax,XLOOKUP($B118,Derived_Variables!$A:$A,Derived_Variables!$AI:$AI,4),
axisTol,XLOOKUP($B118,Derived_Variables!$A:$A,Derived_Variables!$W:$W,1),
maxStart,XLOOKUP($B118,Derived_Variables!$A:$A,Derived_Variables!$U:$U,1.25),
maxAR,XLOOKUP($B118,Derived_Variables!$A:$A,Derived_Variables!$V:$V,3),
anom,XLOOKUP($B118,Derived_Variables!$A:$A,Derived_Variables!$Z:$Z,FALSE),
reStart,XLOOKUP($B118,Derived_Variables!$A:$A,Derived_Variables!$K:$K,0),
leStart,XLOOKUP($B118,Derived_Variables!$A:$A,Derived_Variables!$N:$N,0),
reAR,XLOOKUP($B118,AR_Input!$A:$A,AR_Input!$B:$B,reStart),
leAR,XLOOKUP($B118,AR_Input!$A:$A,AR_Input!$E:$E,leStart),
reEsc,AND(anom,OR(ABS((S118+AM118)-reStart)&gt;maxStart,ABS((S118+AM118)-reAR)&gt;maxAR)),
leEsc,AND(anom,OR(ABS((V118+AP118)-leStart)&gt;maxStart,ABS((V118+AP118)-leAR)&gt;maxAR)),
phaseMax,IFS(
 AK118="Fast",
   IFS(
     OR(C118="B",C118="D"),XLOOKUP("timeout_coarse_fast",Calibration!$B:$B,Calibration!$C:$C,24),
     OR(C118="E",C118="F",C118="H",C118="I"),XLOOKUP("timeout_jcc_fast",Calibration!$B:$B,Calibration!$C:$C,10),
     OR(C118="G",C118="J"),XLOOKUP("timeout_duochrome_fast",Calibration!$B:$B,Calibration!$C:$C,8),
     C118="K",XLOOKUP("timeout_bino_fast",Calibration!$B:$B,Calibration!$C:$C,10),
     OR(C118="P",C118="Q",C118="R"),XLOOKUP("timeout_near_fast",Calibration!$B:$B,Calibration!$C:$C,16),
     TRUE,XLOOKUP("timeout_coarse_fast",Calibration!$B:$B,Calibration!$C:$C,24)
   ),
 AK118="Normal",
   IFS(
     OR(C118="B",C118="D"),XLOOKUP("timeout_coarse_normal",Calibration!$B:$B,Calibration!$C:$C,36),
     OR(C118="E",C118="F",C118="H",C118="I"),XLOOKUP("timeout_jcc_normal",Calibration!$B:$B,Calibration!$C:$C,14),
     OR(C118="G",C118="J"),XLOOKUP("timeout_duochrome_normal",Calibration!$B:$B,Calibration!$C:$C,10),
     C118="K",XLOOKUP("timeout_bino_normal",Calibration!$B:$B,Calibration!$C:$C,14),
     OR(C118="P",C118="Q",C118="R"),XLOOKUP("timeout_near_normal",Calibration!$B:$B,Calibration!$C:$C,22),
     TRUE,XLOOKUP("timeout_coarse_normal",Calibration!$B:$B,Calibration!$C:$C,36)
   ),
 TRUE,
   IFS(
     OR(C118="B",C118="D"),XLOOKUP("timeout_coarse_slow",Calibration!$B:$B,Calibration!$C:$C,48),
     OR(C118="E",C118="F",C118="H",C118="I"),XLOOKUP("timeout_jcc_slow",Calibration!$B:$B,Calibration!$C:$C,18),
     OR(C118="G",C118="J"),XLOOKUP("timeout_duochrome_slow",Calibration!$B:$B,Calibration!$C:$C,12),
     C118="K",XLOOKUP("timeout_bino_slow",Calibration!$B:$B,Calibration!$C:$C,18),
     OR(C118="P",C118="Q",C118="R"),XLOOKUP("timeout_near_slow",Calibration!$B:$B,Calibration!$C:$C,28),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AJ118=TRUE,"ESCALATE",
C118="A",
IF(OR(I118="NOT_READABLE",I118="BLURRY",AND(R118="20_20_20",I118="READABLE")),"B","A"),
C118="B",
IF(reEsc,"ESCALATE",IF(AY118&gt;=phaseMax,"ESCALATE",IF(AND(AV118&gt;=AW118,I118="READABLE"),"E","B"))),
C118="E",
IF(AY118&gt;=phaseMax,"ESCALATE",IF(OR(I118="SAME",I118="CANT_TELL",AD118&lt;axisTol),"F","E")),
C118="F",
IF(AY118&gt;=phaseMax,"ESCALATE",IF(AX118&gt;=powerSameN,"G","F")),
C118="G",
IF(AY118&gt;=phaseMax,"ESCALATE",IF(OR(AX118&gt;=duoEqualN,BB118&gt;=duoMax),"D","G")),
C118="D",
IF(leEsc,"ESCALATE",IF(AY118&gt;=phaseMax,"ESCALATE",IF(AND(AV118&gt;=AW118,I118="READABLE"),"H","D"))),
C118="H",
IF(AY118&gt;=phaseMax,"ESCALATE",IF(OR(I118="SAME",I118="CANT_TELL",AD118&lt;axisTol),"I","H")),
C118="I",
IF(AY118&gt;=phaseMax,"ESCALATE",IF(AX118&gt;=powerSameN,"J","I")),
C118="J",
IF(AY118&gt;=phaseMax,"ESCALATE",IF(OR(AX118&gt;=duoEqualN,BB118&gt;=duoMax),"K","J")),
C118="K",
IF(AY118&gt;=phaseMax,"ESCALATE",IF(AX118&gt;=binoSameN,IF(XLOOKUP($B118,Derived_Variables!$A:$A,Derived_Variables!$AJ:$AJ,FALSE)=TRUE,"P","END"),"K")),
C118="P",
IF(AY118&gt;=phaseMax,"ESCALATE",IF(OR(I118="READABLE",I118="SAME"),"Q","P")),
C118="Q",
IF(AY118&gt;=phaseMax,"ESCALATE",IF(OR(I118="READABLE",I118="SAME"),"R","Q")),
C118="R",
IF(AY118&gt;=phaseMax,"ESCALATE",IF(OR(I118=nearTarget,I118="SAME"),"END","R")),
TRUE,"END"
)))</f>
        <v/>
      </c>
      <c r="BD118" s="28" t="b">
        <f t="shared" si="19"/>
        <v>0</v>
      </c>
    </row>
    <row r="119" ht="15.75" customHeight="1">
      <c r="A119" s="28">
        <f t="shared" si="3"/>
        <v>118</v>
      </c>
      <c r="B119" s="28">
        <f t="shared" si="4"/>
        <v>6</v>
      </c>
      <c r="C119" s="28" t="str">
        <f t="shared" si="5"/>
        <v/>
      </c>
      <c r="D119" s="28" t="str">
        <f t="array" ref="D119">IF($I118="","",XLOOKUP(C119,FSM_State_Map!A:A,FSM_State_Map!B:B,""))</f>
        <v/>
      </c>
      <c r="E119" s="28" t="str">
        <f t="array" ref="E119">IF($I118="","",XLOOKUP(C119,FSM_State_Map!A:A,FSM_State_Map!C:C,""))</f>
        <v/>
      </c>
      <c r="F119" s="28" t="str">
        <f t="array" ref="F119">IF($I118="","",XLOOKUP(E119,Phase_UI_Map!A:A,Phase_UI_Map!B:B,""))</f>
        <v/>
      </c>
      <c r="G119" s="28" t="str">
        <f t="array" ref="G119">IF($I118="","",XLOOKUP(E119,Phase_UI_Map!A:A,Phase_UI_Map!C:C,""))</f>
        <v/>
      </c>
      <c r="H119" s="28" t="str">
        <f t="array" ref="H119">IF($I118="","",XLOOKUP(E119,Phase_UI_Map!A:A,Phase_UI_Map!D:D,""))</f>
        <v/>
      </c>
      <c r="I119" s="29"/>
      <c r="J119" s="28" t="str">
        <f>IFERROR(__xludf.DUMMYFUNCTION("IF($I118="""","""",IFERROR(INDEX(FILTER(Response_Lists!$B:$B,Response_Lists!$A:$A=$H119),1),""""))"),"")</f>
        <v/>
      </c>
      <c r="K119" s="28" t="str">
        <f>IFERROR(__xludf.DUMMYFUNCTION("IF($I118="""","""",IFERROR(INDEX(FILTER(Response_Lists!$B:$B,Response_Lists!$A:$A=$H119),2),""""))"),"")</f>
        <v/>
      </c>
      <c r="L119" s="28" t="str">
        <f>IFERROR(__xludf.DUMMYFUNCTION("IF($I118="""","""",IFERROR(INDEX(FILTER(Response_Lists!$B:$B,Response_Lists!$A:$A=$H119),3),""""))"),"")</f>
        <v/>
      </c>
      <c r="M119" s="28" t="str">
        <f>IFERROR(__xludf.DUMMYFUNCTION("IF($I118="""","""",IFERROR(INDEX(FILTER(Response_Lists!$B:$B,Response_Lists!$A:$A=$H119),4),""""))"),"")</f>
        <v/>
      </c>
      <c r="N119" s="28" t="str">
        <f>IFERROR(__xludf.DUMMYFUNCTION("IF($I118="""","""",IFERROR(INDEX(FILTER(Response_Lists!$B:$B,Response_Lists!$A:$A=$H119),5),""""))"),"")</f>
        <v/>
      </c>
      <c r="O119" s="28" t="str">
        <f>IFERROR(__xludf.DUMMYFUNCTION("IF($I118="""","""",IFERROR(INDEX(FILTER(Response_Lists!$B:$B,Response_Lists!$A:$A=$H119),6),""""))"),"")</f>
        <v/>
      </c>
      <c r="P119" s="28" t="str">
        <f t="shared" si="6"/>
        <v/>
      </c>
      <c r="Q119" s="28" t="str">
        <f t="array" ref="Q119">IF($I118="","",XLOOKUP(C119,FSM_State_Map!A:A,FSM_State_Map!D:D,""))</f>
        <v/>
      </c>
      <c r="R119" s="28" t="str">
        <f t="shared" si="7"/>
        <v/>
      </c>
      <c r="S119" s="28" t="str">
        <f t="array" ref="S119">IF($I118="","",
IF(
  AND(C119="B",C118&lt;&gt;"B"),
  XLOOKUP($B119,Derived_Variables!$A:$A,Derived_Variables!$K:$K,0)
  + XLOOKUP($B119,Derived_Variables!$A:$A,Derived_Variables!$AE:$AE,0),
  S118+AM118
))</f>
        <v/>
      </c>
      <c r="T119" s="28" t="str">
        <f t="shared" ref="T119:U119" si="248">IF($I118="","",T118+AN118)</f>
        <v/>
      </c>
      <c r="U119" s="28" t="str">
        <f t="shared" si="248"/>
        <v/>
      </c>
      <c r="V119" s="28" t="str">
        <f t="array" ref="V119">IF($I118="","",
IF(
  AND(C119="D",C118&lt;&gt;"D"),
  XLOOKUP($B119,Derived_Variables!$A:$A,Derived_Variables!$N:$N,0)
  + XLOOKUP($B119,Derived_Variables!$A:$A,Derived_Variables!$AE:$AE,0),
  V118+AP118
))</f>
        <v/>
      </c>
      <c r="W119" s="28" t="str">
        <f t="shared" ref="W119:X119" si="249">IF($I118="","",W118+AQ118)</f>
        <v/>
      </c>
      <c r="X119" s="28" t="str">
        <f t="shared" si="249"/>
        <v/>
      </c>
      <c r="Y119" s="28" t="str">
        <f t="array" ref="Y119">IF($I118="","",IF(AND(C119="P",C118&lt;&gt;"P"),IFERROR(XLOOKUP($B119,Lenso_Input!$A:$A,Lenso_Input!$E:$E,0),0),Y118+AS118))</f>
        <v/>
      </c>
      <c r="Z119" s="28" t="str">
        <f t="array" ref="Z119">IF($I118="","",IF(AND(C119="Q",C118&lt;&gt;"Q"),IFERROR(XLOOKUP($B119,Lenso_Input!$A:$A,Lenso_Input!$I:$I,0),0),Z118+AT118))</f>
        <v/>
      </c>
      <c r="AA119" s="28" t="str">
        <f t="array" ref="AA119">IF($I118="","",IF(XLOOKUP($B119,Derived_Variables!$A:$A,Derived_Variables!$R:$R,"6/6_target")="6/6_target","20_20_20","40_30_25"))</f>
        <v/>
      </c>
      <c r="AB119" s="28" t="str">
        <f t="array" ref="AB119">IF($I118="","",XLOOKUP(LOWER(XLOOKUP($B119,Derived_Variables!$A:$A,Derived_Variables!$T:$T,"Standard"))&amp;"_sph_step",Calibration!$B:$B,Calibration!$C:$C,0.25))</f>
        <v/>
      </c>
      <c r="AC119" s="28" t="str">
        <f t="array" ref="AC119">IF($I118="","",XLOOKUP(LOWER(XLOOKUP($B119,Derived_Variables!$A:$A,Derived_Variables!$T:$T,"Standard"))&amp;"_cyl_step",Calibration!$B:$B,Calibration!$C:$C,0.25))</f>
        <v/>
      </c>
      <c r="AD119" s="28" t="str">
        <f t="array" ref="AD119">IF($I118="","",IF(OR(C119="E",C119="H"),LET(startStep,XLOOKUP("axis_start_step",Calibration!$B:$B,Calibration!$C:$C,5),step1,XLOOKUP("axis_reversal_step_1",Calibration!$B:$B,Calibration!$C:$C,3),step2,XLOOKUP("axis_reversal_step_2",Calibration!$B:$B,Calibration!$C:$C,1),IF(OR(C118&lt;&gt;C119,AZ119="",AZ119="SAME",AZ119="CANT_TELL",I119="",I119="SAME",I119="CANT_TELL"),startStep,IF(OR(AND(AZ119="BETTER_1",I119="BETTER_2"),AND(AZ119="BETTER_2",I119="BETTER_1")),IF(AD118&gt;step1,step1,step2),AD118))),0))</f>
        <v/>
      </c>
      <c r="AE119" s="28" t="str">
        <f t="array" ref="AE119">IF($I118="","",XLOOKUP($B119,Derived_Variables!$A:$A,Derived_Variables!$AD:$AD,"No_Fog"))</f>
        <v/>
      </c>
      <c r="AF119" s="28" t="str">
        <f t="array" ref="AF119">IF($I118="","",XLOOKUP($B119,Derived_Variables!$A:$A,Derived_Variables!$AE:$AE,0))</f>
        <v/>
      </c>
      <c r="AG119" s="28" t="str">
        <f t="array" ref="AG119">IF($I118="","",XLOOKUP($B119,Derived_Variables!$A:$A,Derived_Variables!$AF:$AF,""))</f>
        <v/>
      </c>
      <c r="AH119" s="28" t="str">
        <f t="array" ref="AH119">IF($I118="","",XLOOKUP($B119,Derived_Variables!$A:$A,Derived_Variables!$AG:$AG,""))</f>
        <v/>
      </c>
      <c r="AI119" s="28" t="str">
        <f t="array" ref="AI119">IF($I118="","",XLOOKUP($B119,Derived_Variables!$A:$A,Derived_Variables!$AC:$AC,"Medium"))</f>
        <v/>
      </c>
      <c r="AJ119" s="28" t="str">
        <f t="array" ref="AJ119">IF($I118="","",XLOOKUP($B119,Derived_Variables!$A:$A,Derived_Variables!$Y:$Y,FALSE))</f>
        <v/>
      </c>
      <c r="AK119" s="28" t="str">
        <f t="array" ref="AK119">IF($I118="","",XLOOKUP($B119,Derived_Variables!$A:$A,Derived_Variables!$AA:$AA,"Normal"))</f>
        <v/>
      </c>
      <c r="AL119" s="28" t="str">
        <f t="array" ref="AL119">IF($I118="","",XLOOKUP($B119,Derived_Variables!$A:$A,Derived_Variables!$AB:$AB,"Normal"))</f>
        <v/>
      </c>
      <c r="AM119" s="28" t="str">
        <f t="array" ref="AM119">IF($I119="","",IFS(C119="B",IF(OR(I119="NOT_READABLE",I119="BLURRY"),-AB119,0),C119="G",IFS(I119="RED_CLEARER",XLOOKUP("duochrome_red_step",Calibration!$B:$B,Calibration!$C:$C,-0.25),I119="GREEN_CLEARER",XLOOKUP("duochrome_green_step",Calibration!$B:$B,Calibration!$C:$C,0.25),I119="EQUAL",IF(XLOOKUP($B119,Derived_Variables!$A:$A,Derived_Variables!$S:$S,"Neutral")="Undercorrect",XLOOKUP("undercorrect_step",Calibration!$B:$B,Calibration!$C:$C,0.25),IF(XLOOKUP($B119,Derived_Variables!$A:$A,Derived_Variables!$S:$S,"Neutral")="Overcorrect",-XLOOKUP("overcorrect_step",Calibration!$B:$B,Calibration!$C:$C,0.25),0)),TRUE,0),C119="K",IF(I119="TOP_CLEARER",XLOOKUP("bino_balance_step",Calibration!$B:$B,Calibration!$C:$C,0.25),0),TRUE,0))</f>
        <v/>
      </c>
      <c r="AN119" s="28" t="str">
        <f t="shared" si="10"/>
        <v/>
      </c>
      <c r="AO119" s="28" t="str">
        <f t="shared" si="11"/>
        <v/>
      </c>
      <c r="AP119" s="28" t="str">
        <f t="array" ref="AP119">IF($I119="","",IFS(C119="D",IF(OR(I119="NOT_READABLE",I119="BLURRY"),-AB119,0),C119="J",IFS(I119="RED_CLEARER",XLOOKUP("duochrome_red_step",Calibration!$B:$B,Calibration!$C:$C,-0.25),I119="GREEN_CLEARER",XLOOKUP("duochrome_green_step",Calibration!$B:$B,Calibration!$C:$C,0.25),I119="EQUAL",IF(XLOOKUP($B119,Derived_Variables!$A:$A,Derived_Variables!$S:$S,"Neutral")="Undercorrect",XLOOKUP("undercorrect_step",Calibration!$B:$B,Calibration!$C:$C,0.25),IF(XLOOKUP($B119,Derived_Variables!$A:$A,Derived_Variables!$S:$S,"Neutral")="Overcorrect",-XLOOKUP("overcorrect_step",Calibration!$B:$B,Calibration!$C:$C,0.25),0)),TRUE,0),C119="K",IF(I119="BOTTOM_CLEARER",XLOOKUP("bino_balance_step",Calibration!$B:$B,Calibration!$C:$C,0.25),0),TRUE,0))</f>
        <v/>
      </c>
      <c r="AQ119" s="28" t="str">
        <f t="shared" si="12"/>
        <v/>
      </c>
      <c r="AR119" s="28" t="str">
        <f t="shared" si="13"/>
        <v/>
      </c>
      <c r="AS119" s="28" t="str">
        <f t="array" ref="AS119">IF($I119="","",IF(C119="P",IF(OR(I119="NOT_READABLE",I119="BLURRY"),XLOOKUP("near_add_step",Calibration!$B:$B,Calibration!$C:$C,0.25),0),IF(C119="R",IF(I119="NOT_CLEAR",XLOOKUP("near_add_step",Calibration!$B:$B,Calibration!$C:$C,0.25),0),0)))</f>
        <v/>
      </c>
      <c r="AT119" s="28" t="str">
        <f t="array" ref="AT119">IF($I119="","",IF(C119="Q",IF(OR(I119="NOT_READABLE",I119="BLURRY"),XLOOKUP("near_add_step",Calibration!$B:$B,Calibration!$C:$C,0.25),0),IF(C119="R",IF(I119="NOT_CLEAR",XLOOKUP("near_add_step",Calibration!$B:$B,Calibration!$C:$C,0.25),0),0)))</f>
        <v/>
      </c>
      <c r="AU119" s="28" t="str">
        <f t="array" ref="AU119">IF($I119="","",IF(G119="SNELLEN_FEET",IF(I119="READABLE",IFERROR(XLOOKUP(XLOOKUP(R119,Chart_Scale_Distance!B:B,Chart_Scale_Distance!A:A)+1,Chart_Scale_Distance!A:A,Chart_Scale_Distance!B:B),R119),R119),R119))</f>
        <v/>
      </c>
      <c r="AV119" s="28" t="str">
        <f t="array" ref="AV119">IF($I118="","",IFERROR(XLOOKUP(R119,Chart_Scale_Distance!$B:$B,Chart_Scale_Distance!$A:$A,""),""))</f>
        <v/>
      </c>
      <c r="AW119" s="28" t="str">
        <f t="array" ref="AW119">IF($I118="","",IFERROR(XLOOKUP(AA119,Chart_Scale_Distance!$B:$B,Chart_Scale_Distance!$A:$A,""),""))</f>
        <v/>
      </c>
      <c r="AX119" s="28" t="str">
        <f t="shared" si="14"/>
        <v/>
      </c>
      <c r="AY119" s="28" t="str">
        <f t="shared" si="15"/>
        <v/>
      </c>
      <c r="AZ119" s="28" t="str">
        <f t="shared" si="16"/>
        <v/>
      </c>
      <c r="BA119" s="28" t="str">
        <f t="shared" si="17"/>
        <v/>
      </c>
      <c r="BB119" s="28" t="str">
        <f t="shared" si="18"/>
        <v/>
      </c>
      <c r="BC119" s="28" t="str">
        <f t="array" ref="BC119">IF($I119="","",LET(
conf,AI119,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duoMax,XLOOKUP($B119,Derived_Variables!$A:$A,Derived_Variables!$AI:$AI,4),
axisTol,XLOOKUP($B119,Derived_Variables!$A:$A,Derived_Variables!$W:$W,1),
maxStart,XLOOKUP($B119,Derived_Variables!$A:$A,Derived_Variables!$U:$U,1.25),
maxAR,XLOOKUP($B119,Derived_Variables!$A:$A,Derived_Variables!$V:$V,3),
anom,XLOOKUP($B119,Derived_Variables!$A:$A,Derived_Variables!$Z:$Z,FALSE),
reStart,XLOOKUP($B119,Derived_Variables!$A:$A,Derived_Variables!$K:$K,0),
leStart,XLOOKUP($B119,Derived_Variables!$A:$A,Derived_Variables!$N:$N,0),
reAR,XLOOKUP($B119,AR_Input!$A:$A,AR_Input!$B:$B,reStart),
leAR,XLOOKUP($B119,AR_Input!$A:$A,AR_Input!$E:$E,leStart),
reEsc,AND(anom,OR(ABS((S119+AM119)-reStart)&gt;maxStart,ABS((S119+AM119)-reAR)&gt;maxAR)),
leEsc,AND(anom,OR(ABS((V119+AP119)-leStart)&gt;maxStart,ABS((V119+AP119)-leAR)&gt;maxAR)),
phaseMax,IFS(
 AK119="Fast",
   IFS(
     OR(C119="B",C119="D"),XLOOKUP("timeout_coarse_fast",Calibration!$B:$B,Calibration!$C:$C,24),
     OR(C119="E",C119="F",C119="H",C119="I"),XLOOKUP("timeout_jcc_fast",Calibration!$B:$B,Calibration!$C:$C,10),
     OR(C119="G",C119="J"),XLOOKUP("timeout_duochrome_fast",Calibration!$B:$B,Calibration!$C:$C,8),
     C119="K",XLOOKUP("timeout_bino_fast",Calibration!$B:$B,Calibration!$C:$C,10),
     OR(C119="P",C119="Q",C119="R"),XLOOKUP("timeout_near_fast",Calibration!$B:$B,Calibration!$C:$C,16),
     TRUE,XLOOKUP("timeout_coarse_fast",Calibration!$B:$B,Calibration!$C:$C,24)
   ),
 AK119="Normal",
   IFS(
     OR(C119="B",C119="D"),XLOOKUP("timeout_coarse_normal",Calibration!$B:$B,Calibration!$C:$C,36),
     OR(C119="E",C119="F",C119="H",C119="I"),XLOOKUP("timeout_jcc_normal",Calibration!$B:$B,Calibration!$C:$C,14),
     OR(C119="G",C119="J"),XLOOKUP("timeout_duochrome_normal",Calibration!$B:$B,Calibration!$C:$C,10),
     C119="K",XLOOKUP("timeout_bino_normal",Calibration!$B:$B,Calibration!$C:$C,14),
     OR(C119="P",C119="Q",C119="R"),XLOOKUP("timeout_near_normal",Calibration!$B:$B,Calibration!$C:$C,22),
     TRUE,XLOOKUP("timeout_coarse_normal",Calibration!$B:$B,Calibration!$C:$C,36)
   ),
 TRUE,
   IFS(
     OR(C119="B",C119="D"),XLOOKUP("timeout_coarse_slow",Calibration!$B:$B,Calibration!$C:$C,48),
     OR(C119="E",C119="F",C119="H",C119="I"),XLOOKUP("timeout_jcc_slow",Calibration!$B:$B,Calibration!$C:$C,18),
     OR(C119="G",C119="J"),XLOOKUP("timeout_duochrome_slow",Calibration!$B:$B,Calibration!$C:$C,12),
     C119="K",XLOOKUP("timeout_bino_slow",Calibration!$B:$B,Calibration!$C:$C,18),
     OR(C119="P",C119="Q",C119="R"),XLOOKUP("timeout_near_slow",Calibration!$B:$B,Calibration!$C:$C,28),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AJ119=TRUE,"ESCALATE",
C119="A",
IF(OR(I119="NOT_READABLE",I119="BLURRY",AND(R119="20_20_20",I119="READABLE")),"B","A"),
C119="B",
IF(reEsc,"ESCALATE",IF(AY119&gt;=phaseMax,"ESCALATE",IF(AND(AV119&gt;=AW119,I119="READABLE"),"E","B"))),
C119="E",
IF(AY119&gt;=phaseMax,"ESCALATE",IF(OR(I119="SAME",I119="CANT_TELL",AD119&lt;axisTol),"F","E")),
C119="F",
IF(AY119&gt;=phaseMax,"ESCALATE",IF(AX119&gt;=powerSameN,"G","F")),
C119="G",
IF(AY119&gt;=phaseMax,"ESCALATE",IF(OR(AX119&gt;=duoEqualN,BB119&gt;=duoMax),"D","G")),
C119="D",
IF(leEsc,"ESCALATE",IF(AY119&gt;=phaseMax,"ESCALATE",IF(AND(AV119&gt;=AW119,I119="READABLE"),"H","D"))),
C119="H",
IF(AY119&gt;=phaseMax,"ESCALATE",IF(OR(I119="SAME",I119="CANT_TELL",AD119&lt;axisTol),"I","H")),
C119="I",
IF(AY119&gt;=phaseMax,"ESCALATE",IF(AX119&gt;=powerSameN,"J","I")),
C119="J",
IF(AY119&gt;=phaseMax,"ESCALATE",IF(OR(AX119&gt;=duoEqualN,BB119&gt;=duoMax),"K","J")),
C119="K",
IF(AY119&gt;=phaseMax,"ESCALATE",IF(AX119&gt;=binoSameN,IF(XLOOKUP($B119,Derived_Variables!$A:$A,Derived_Variables!$AJ:$AJ,FALSE)=TRUE,"P","END"),"K")),
C119="P",
IF(AY119&gt;=phaseMax,"ESCALATE",IF(OR(I119="READABLE",I119="SAME"),"Q","P")),
C119="Q",
IF(AY119&gt;=phaseMax,"ESCALATE",IF(OR(I119="READABLE",I119="SAME"),"R","Q")),
C119="R",
IF(AY119&gt;=phaseMax,"ESCALATE",IF(OR(I119=nearTarget,I119="SAME"),"END","R")),
TRUE,"END"
)))</f>
        <v/>
      </c>
      <c r="BD119" s="28" t="b">
        <f t="shared" si="19"/>
        <v>0</v>
      </c>
    </row>
    <row r="120" ht="15.75" customHeight="1">
      <c r="A120" s="28">
        <f t="shared" si="3"/>
        <v>119</v>
      </c>
      <c r="B120" s="28">
        <f t="shared" si="4"/>
        <v>6</v>
      </c>
      <c r="C120" s="28" t="str">
        <f t="shared" si="5"/>
        <v/>
      </c>
      <c r="D120" s="28" t="str">
        <f t="array" ref="D120">IF($I119="","",XLOOKUP(C120,FSM_State_Map!A:A,FSM_State_Map!B:B,""))</f>
        <v/>
      </c>
      <c r="E120" s="28" t="str">
        <f t="array" ref="E120">IF($I119="","",XLOOKUP(C120,FSM_State_Map!A:A,FSM_State_Map!C:C,""))</f>
        <v/>
      </c>
      <c r="F120" s="28" t="str">
        <f t="array" ref="F120">IF($I119="","",XLOOKUP(E120,Phase_UI_Map!A:A,Phase_UI_Map!B:B,""))</f>
        <v/>
      </c>
      <c r="G120" s="28" t="str">
        <f t="array" ref="G120">IF($I119="","",XLOOKUP(E120,Phase_UI_Map!A:A,Phase_UI_Map!C:C,""))</f>
        <v/>
      </c>
      <c r="H120" s="28" t="str">
        <f t="array" ref="H120">IF($I119="","",XLOOKUP(E120,Phase_UI_Map!A:A,Phase_UI_Map!D:D,""))</f>
        <v/>
      </c>
      <c r="I120" s="29"/>
      <c r="J120" s="28" t="str">
        <f>IFERROR(__xludf.DUMMYFUNCTION("IF($I119="""","""",IFERROR(INDEX(FILTER(Response_Lists!$B:$B,Response_Lists!$A:$A=$H120),1),""""))"),"")</f>
        <v/>
      </c>
      <c r="K120" s="28" t="str">
        <f>IFERROR(__xludf.DUMMYFUNCTION("IF($I119="""","""",IFERROR(INDEX(FILTER(Response_Lists!$B:$B,Response_Lists!$A:$A=$H120),2),""""))"),"")</f>
        <v/>
      </c>
      <c r="L120" s="28" t="str">
        <f>IFERROR(__xludf.DUMMYFUNCTION("IF($I119="""","""",IFERROR(INDEX(FILTER(Response_Lists!$B:$B,Response_Lists!$A:$A=$H120),3),""""))"),"")</f>
        <v/>
      </c>
      <c r="M120" s="28" t="str">
        <f>IFERROR(__xludf.DUMMYFUNCTION("IF($I119="""","""",IFERROR(INDEX(FILTER(Response_Lists!$B:$B,Response_Lists!$A:$A=$H120),4),""""))"),"")</f>
        <v/>
      </c>
      <c r="N120" s="28" t="str">
        <f>IFERROR(__xludf.DUMMYFUNCTION("IF($I119="""","""",IFERROR(INDEX(FILTER(Response_Lists!$B:$B,Response_Lists!$A:$A=$H120),5),""""))"),"")</f>
        <v/>
      </c>
      <c r="O120" s="28" t="str">
        <f>IFERROR(__xludf.DUMMYFUNCTION("IF($I119="""","""",IFERROR(INDEX(FILTER(Response_Lists!$B:$B,Response_Lists!$A:$A=$H120),6),""""))"),"")</f>
        <v/>
      </c>
      <c r="P120" s="28" t="str">
        <f t="shared" si="6"/>
        <v/>
      </c>
      <c r="Q120" s="28" t="str">
        <f t="array" ref="Q120">IF($I119="","",XLOOKUP(C120,FSM_State_Map!A:A,FSM_State_Map!D:D,""))</f>
        <v/>
      </c>
      <c r="R120" s="28" t="str">
        <f t="shared" si="7"/>
        <v/>
      </c>
      <c r="S120" s="28" t="str">
        <f t="array" ref="S120">IF($I119="","",
IF(
  AND(C120="B",C119&lt;&gt;"B"),
  XLOOKUP($B120,Derived_Variables!$A:$A,Derived_Variables!$K:$K,0)
  + XLOOKUP($B120,Derived_Variables!$A:$A,Derived_Variables!$AE:$AE,0),
  S119+AM119
))</f>
        <v/>
      </c>
      <c r="T120" s="28" t="str">
        <f t="shared" ref="T120:U120" si="250">IF($I119="","",T119+AN119)</f>
        <v/>
      </c>
      <c r="U120" s="28" t="str">
        <f t="shared" si="250"/>
        <v/>
      </c>
      <c r="V120" s="28" t="str">
        <f t="array" ref="V120">IF($I119="","",
IF(
  AND(C120="D",C119&lt;&gt;"D"),
  XLOOKUP($B120,Derived_Variables!$A:$A,Derived_Variables!$N:$N,0)
  + XLOOKUP($B120,Derived_Variables!$A:$A,Derived_Variables!$AE:$AE,0),
  V119+AP119
))</f>
        <v/>
      </c>
      <c r="W120" s="28" t="str">
        <f t="shared" ref="W120:X120" si="251">IF($I119="","",W119+AQ119)</f>
        <v/>
      </c>
      <c r="X120" s="28" t="str">
        <f t="shared" si="251"/>
        <v/>
      </c>
      <c r="Y120" s="28" t="str">
        <f t="array" ref="Y120">IF($I119="","",IF(AND(C120="P",C119&lt;&gt;"P"),IFERROR(XLOOKUP($B120,Lenso_Input!$A:$A,Lenso_Input!$E:$E,0),0),Y119+AS119))</f>
        <v/>
      </c>
      <c r="Z120" s="28" t="str">
        <f t="array" ref="Z120">IF($I119="","",IF(AND(C120="Q",C119&lt;&gt;"Q"),IFERROR(XLOOKUP($B120,Lenso_Input!$A:$A,Lenso_Input!$I:$I,0),0),Z119+AT119))</f>
        <v/>
      </c>
      <c r="AA120" s="28" t="str">
        <f t="array" ref="AA120">IF($I119="","",IF(XLOOKUP($B120,Derived_Variables!$A:$A,Derived_Variables!$R:$R,"6/6_target")="6/6_target","20_20_20","40_30_25"))</f>
        <v/>
      </c>
      <c r="AB120" s="28" t="str">
        <f t="array" ref="AB120">IF($I119="","",XLOOKUP(LOWER(XLOOKUP($B120,Derived_Variables!$A:$A,Derived_Variables!$T:$T,"Standard"))&amp;"_sph_step",Calibration!$B:$B,Calibration!$C:$C,0.25))</f>
        <v/>
      </c>
      <c r="AC120" s="28" t="str">
        <f t="array" ref="AC120">IF($I119="","",XLOOKUP(LOWER(XLOOKUP($B120,Derived_Variables!$A:$A,Derived_Variables!$T:$T,"Standard"))&amp;"_cyl_step",Calibration!$B:$B,Calibration!$C:$C,0.25))</f>
        <v/>
      </c>
      <c r="AD120" s="28" t="str">
        <f t="array" ref="AD120">IF($I119="","",IF(OR(C120="E",C120="H"),LET(startStep,XLOOKUP("axis_start_step",Calibration!$B:$B,Calibration!$C:$C,5),step1,XLOOKUP("axis_reversal_step_1",Calibration!$B:$B,Calibration!$C:$C,3),step2,XLOOKUP("axis_reversal_step_2",Calibration!$B:$B,Calibration!$C:$C,1),IF(OR(C119&lt;&gt;C120,AZ120="",AZ120="SAME",AZ120="CANT_TELL",I120="",I120="SAME",I120="CANT_TELL"),startStep,IF(OR(AND(AZ120="BETTER_1",I120="BETTER_2"),AND(AZ120="BETTER_2",I120="BETTER_1")),IF(AD119&gt;step1,step1,step2),AD119))),0))</f>
        <v/>
      </c>
      <c r="AE120" s="28" t="str">
        <f t="array" ref="AE120">IF($I119="","",XLOOKUP($B120,Derived_Variables!$A:$A,Derived_Variables!$AD:$AD,"No_Fog"))</f>
        <v/>
      </c>
      <c r="AF120" s="28" t="str">
        <f t="array" ref="AF120">IF($I119="","",XLOOKUP($B120,Derived_Variables!$A:$A,Derived_Variables!$AE:$AE,0))</f>
        <v/>
      </c>
      <c r="AG120" s="28" t="str">
        <f t="array" ref="AG120">IF($I119="","",XLOOKUP($B120,Derived_Variables!$A:$A,Derived_Variables!$AF:$AF,""))</f>
        <v/>
      </c>
      <c r="AH120" s="28" t="str">
        <f t="array" ref="AH120">IF($I119="","",XLOOKUP($B120,Derived_Variables!$A:$A,Derived_Variables!$AG:$AG,""))</f>
        <v/>
      </c>
      <c r="AI120" s="28" t="str">
        <f t="array" ref="AI120">IF($I119="","",XLOOKUP($B120,Derived_Variables!$A:$A,Derived_Variables!$AC:$AC,"Medium"))</f>
        <v/>
      </c>
      <c r="AJ120" s="28" t="str">
        <f t="array" ref="AJ120">IF($I119="","",XLOOKUP($B120,Derived_Variables!$A:$A,Derived_Variables!$Y:$Y,FALSE))</f>
        <v/>
      </c>
      <c r="AK120" s="28" t="str">
        <f t="array" ref="AK120">IF($I119="","",XLOOKUP($B120,Derived_Variables!$A:$A,Derived_Variables!$AA:$AA,"Normal"))</f>
        <v/>
      </c>
      <c r="AL120" s="28" t="str">
        <f t="array" ref="AL120">IF($I119="","",XLOOKUP($B120,Derived_Variables!$A:$A,Derived_Variables!$AB:$AB,"Normal"))</f>
        <v/>
      </c>
      <c r="AM120" s="28" t="str">
        <f t="array" ref="AM120">IF($I120="","",IFS(C120="B",IF(OR(I120="NOT_READABLE",I120="BLURRY"),-AB120,0),C120="G",IFS(I120="RED_CLEARER",XLOOKUP("duochrome_red_step",Calibration!$B:$B,Calibration!$C:$C,-0.25),I120="GREEN_CLEARER",XLOOKUP("duochrome_green_step",Calibration!$B:$B,Calibration!$C:$C,0.25),I120="EQUAL",IF(XLOOKUP($B120,Derived_Variables!$A:$A,Derived_Variables!$S:$S,"Neutral")="Undercorrect",XLOOKUP("undercorrect_step",Calibration!$B:$B,Calibration!$C:$C,0.25),IF(XLOOKUP($B120,Derived_Variables!$A:$A,Derived_Variables!$S:$S,"Neutral")="Overcorrect",-XLOOKUP("overcorrect_step",Calibration!$B:$B,Calibration!$C:$C,0.25),0)),TRUE,0),C120="K",IF(I120="TOP_CLEARER",XLOOKUP("bino_balance_step",Calibration!$B:$B,Calibration!$C:$C,0.25),0),TRUE,0))</f>
        <v/>
      </c>
      <c r="AN120" s="28" t="str">
        <f t="shared" si="10"/>
        <v/>
      </c>
      <c r="AO120" s="28" t="str">
        <f t="shared" si="11"/>
        <v/>
      </c>
      <c r="AP120" s="28" t="str">
        <f t="array" ref="AP120">IF($I120="","",IFS(C120="D",IF(OR(I120="NOT_READABLE",I120="BLURRY"),-AB120,0),C120="J",IFS(I120="RED_CLEARER",XLOOKUP("duochrome_red_step",Calibration!$B:$B,Calibration!$C:$C,-0.25),I120="GREEN_CLEARER",XLOOKUP("duochrome_green_step",Calibration!$B:$B,Calibration!$C:$C,0.25),I120="EQUAL",IF(XLOOKUP($B120,Derived_Variables!$A:$A,Derived_Variables!$S:$S,"Neutral")="Undercorrect",XLOOKUP("undercorrect_step",Calibration!$B:$B,Calibration!$C:$C,0.25),IF(XLOOKUP($B120,Derived_Variables!$A:$A,Derived_Variables!$S:$S,"Neutral")="Overcorrect",-XLOOKUP("overcorrect_step",Calibration!$B:$B,Calibration!$C:$C,0.25),0)),TRUE,0),C120="K",IF(I120="BOTTOM_CLEARER",XLOOKUP("bino_balance_step",Calibration!$B:$B,Calibration!$C:$C,0.25),0),TRUE,0))</f>
        <v/>
      </c>
      <c r="AQ120" s="28" t="str">
        <f t="shared" si="12"/>
        <v/>
      </c>
      <c r="AR120" s="28" t="str">
        <f t="shared" si="13"/>
        <v/>
      </c>
      <c r="AS120" s="28" t="str">
        <f t="array" ref="AS120">IF($I120="","",IF(C120="P",IF(OR(I120="NOT_READABLE",I120="BLURRY"),XLOOKUP("near_add_step",Calibration!$B:$B,Calibration!$C:$C,0.25),0),IF(C120="R",IF(I120="NOT_CLEAR",XLOOKUP("near_add_step",Calibration!$B:$B,Calibration!$C:$C,0.25),0),0)))</f>
        <v/>
      </c>
      <c r="AT120" s="28" t="str">
        <f t="array" ref="AT120">IF($I120="","",IF(C120="Q",IF(OR(I120="NOT_READABLE",I120="BLURRY"),XLOOKUP("near_add_step",Calibration!$B:$B,Calibration!$C:$C,0.25),0),IF(C120="R",IF(I120="NOT_CLEAR",XLOOKUP("near_add_step",Calibration!$B:$B,Calibration!$C:$C,0.25),0),0)))</f>
        <v/>
      </c>
      <c r="AU120" s="28" t="str">
        <f t="array" ref="AU120">IF($I120="","",IF(G120="SNELLEN_FEET",IF(I120="READABLE",IFERROR(XLOOKUP(XLOOKUP(R120,Chart_Scale_Distance!B:B,Chart_Scale_Distance!A:A)+1,Chart_Scale_Distance!A:A,Chart_Scale_Distance!B:B),R120),R120),R120))</f>
        <v/>
      </c>
      <c r="AV120" s="28" t="str">
        <f t="array" ref="AV120">IF($I119="","",IFERROR(XLOOKUP(R120,Chart_Scale_Distance!$B:$B,Chart_Scale_Distance!$A:$A,""),""))</f>
        <v/>
      </c>
      <c r="AW120" s="28" t="str">
        <f t="array" ref="AW120">IF($I119="","",IFERROR(XLOOKUP(AA120,Chart_Scale_Distance!$B:$B,Chart_Scale_Distance!$A:$A,""),""))</f>
        <v/>
      </c>
      <c r="AX120" s="28" t="str">
        <f t="shared" si="14"/>
        <v/>
      </c>
      <c r="AY120" s="28" t="str">
        <f t="shared" si="15"/>
        <v/>
      </c>
      <c r="AZ120" s="28" t="str">
        <f t="shared" si="16"/>
        <v/>
      </c>
      <c r="BA120" s="28" t="str">
        <f t="shared" si="17"/>
        <v/>
      </c>
      <c r="BB120" s="28" t="str">
        <f t="shared" si="18"/>
        <v/>
      </c>
      <c r="BC120" s="28" t="str">
        <f t="array" ref="BC120">IF($I120="","",LET(
conf,AI120,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duoMax,XLOOKUP($B120,Derived_Variables!$A:$A,Derived_Variables!$AI:$AI,4),
axisTol,XLOOKUP($B120,Derived_Variables!$A:$A,Derived_Variables!$W:$W,1),
maxStart,XLOOKUP($B120,Derived_Variables!$A:$A,Derived_Variables!$U:$U,1.25),
maxAR,XLOOKUP($B120,Derived_Variables!$A:$A,Derived_Variables!$V:$V,3),
anom,XLOOKUP($B120,Derived_Variables!$A:$A,Derived_Variables!$Z:$Z,FALSE),
reStart,XLOOKUP($B120,Derived_Variables!$A:$A,Derived_Variables!$K:$K,0),
leStart,XLOOKUP($B120,Derived_Variables!$A:$A,Derived_Variables!$N:$N,0),
reAR,XLOOKUP($B120,AR_Input!$A:$A,AR_Input!$B:$B,reStart),
leAR,XLOOKUP($B120,AR_Input!$A:$A,AR_Input!$E:$E,leStart),
reEsc,AND(anom,OR(ABS((S120+AM120)-reStart)&gt;maxStart,ABS((S120+AM120)-reAR)&gt;maxAR)),
leEsc,AND(anom,OR(ABS((V120+AP120)-leStart)&gt;maxStart,ABS((V120+AP120)-leAR)&gt;maxAR)),
phaseMax,IFS(
 AK120="Fast",
   IFS(
     OR(C120="B",C120="D"),XLOOKUP("timeout_coarse_fast",Calibration!$B:$B,Calibration!$C:$C,24),
     OR(C120="E",C120="F",C120="H",C120="I"),XLOOKUP("timeout_jcc_fast",Calibration!$B:$B,Calibration!$C:$C,10),
     OR(C120="G",C120="J"),XLOOKUP("timeout_duochrome_fast",Calibration!$B:$B,Calibration!$C:$C,8),
     C120="K",XLOOKUP("timeout_bino_fast",Calibration!$B:$B,Calibration!$C:$C,10),
     OR(C120="P",C120="Q",C120="R"),XLOOKUP("timeout_near_fast",Calibration!$B:$B,Calibration!$C:$C,16),
     TRUE,XLOOKUP("timeout_coarse_fast",Calibration!$B:$B,Calibration!$C:$C,24)
   ),
 AK120="Normal",
   IFS(
     OR(C120="B",C120="D"),XLOOKUP("timeout_coarse_normal",Calibration!$B:$B,Calibration!$C:$C,36),
     OR(C120="E",C120="F",C120="H",C120="I"),XLOOKUP("timeout_jcc_normal",Calibration!$B:$B,Calibration!$C:$C,14),
     OR(C120="G",C120="J"),XLOOKUP("timeout_duochrome_normal",Calibration!$B:$B,Calibration!$C:$C,10),
     C120="K",XLOOKUP("timeout_bino_normal",Calibration!$B:$B,Calibration!$C:$C,14),
     OR(C120="P",C120="Q",C120="R"),XLOOKUP("timeout_near_normal",Calibration!$B:$B,Calibration!$C:$C,22),
     TRUE,XLOOKUP("timeout_coarse_normal",Calibration!$B:$B,Calibration!$C:$C,36)
   ),
 TRUE,
   IFS(
     OR(C120="B",C120="D"),XLOOKUP("timeout_coarse_slow",Calibration!$B:$B,Calibration!$C:$C,48),
     OR(C120="E",C120="F",C120="H",C120="I"),XLOOKUP("timeout_jcc_slow",Calibration!$B:$B,Calibration!$C:$C,18),
     OR(C120="G",C120="J"),XLOOKUP("timeout_duochrome_slow",Calibration!$B:$B,Calibration!$C:$C,12),
     C120="K",XLOOKUP("timeout_bino_slow",Calibration!$B:$B,Calibration!$C:$C,18),
     OR(C120="P",C120="Q",C120="R"),XLOOKUP("timeout_near_slow",Calibration!$B:$B,Calibration!$C:$C,28),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AJ120=TRUE,"ESCALATE",
C120="A",
IF(OR(I120="NOT_READABLE",I120="BLURRY",AND(R120="20_20_20",I120="READABLE")),"B","A"),
C120="B",
IF(reEsc,"ESCALATE",IF(AY120&gt;=phaseMax,"ESCALATE",IF(AND(AV120&gt;=AW120,I120="READABLE"),"E","B"))),
C120="E",
IF(AY120&gt;=phaseMax,"ESCALATE",IF(OR(I120="SAME",I120="CANT_TELL",AD120&lt;axisTol),"F","E")),
C120="F",
IF(AY120&gt;=phaseMax,"ESCALATE",IF(AX120&gt;=powerSameN,"G","F")),
C120="G",
IF(AY120&gt;=phaseMax,"ESCALATE",IF(OR(AX120&gt;=duoEqualN,BB120&gt;=duoMax),"D","G")),
C120="D",
IF(leEsc,"ESCALATE",IF(AY120&gt;=phaseMax,"ESCALATE",IF(AND(AV120&gt;=AW120,I120="READABLE"),"H","D"))),
C120="H",
IF(AY120&gt;=phaseMax,"ESCALATE",IF(OR(I120="SAME",I120="CANT_TELL",AD120&lt;axisTol),"I","H")),
C120="I",
IF(AY120&gt;=phaseMax,"ESCALATE",IF(AX120&gt;=powerSameN,"J","I")),
C120="J",
IF(AY120&gt;=phaseMax,"ESCALATE",IF(OR(AX120&gt;=duoEqualN,BB120&gt;=duoMax),"K","J")),
C120="K",
IF(AY120&gt;=phaseMax,"ESCALATE",IF(AX120&gt;=binoSameN,IF(XLOOKUP($B120,Derived_Variables!$A:$A,Derived_Variables!$AJ:$AJ,FALSE)=TRUE,"P","END"),"K")),
C120="P",
IF(AY120&gt;=phaseMax,"ESCALATE",IF(OR(I120="READABLE",I120="SAME"),"Q","P")),
C120="Q",
IF(AY120&gt;=phaseMax,"ESCALATE",IF(OR(I120="READABLE",I120="SAME"),"R","Q")),
C120="R",
IF(AY120&gt;=phaseMax,"ESCALATE",IF(OR(I120=nearTarget,I120="SAME"),"END","R")),
TRUE,"END"
)))</f>
        <v/>
      </c>
      <c r="BD120" s="28" t="b">
        <f t="shared" si="19"/>
        <v>0</v>
      </c>
    </row>
    <row r="121" ht="15.75" customHeight="1">
      <c r="A121" s="28">
        <f t="shared" si="3"/>
        <v>120</v>
      </c>
      <c r="B121" s="28">
        <f t="shared" si="4"/>
        <v>6</v>
      </c>
      <c r="C121" s="28" t="str">
        <f t="shared" si="5"/>
        <v/>
      </c>
      <c r="D121" s="28" t="str">
        <f t="array" ref="D121">IF($I120="","",XLOOKUP(C121,FSM_State_Map!A:A,FSM_State_Map!B:B,""))</f>
        <v/>
      </c>
      <c r="E121" s="28" t="str">
        <f t="array" ref="E121">IF($I120="","",XLOOKUP(C121,FSM_State_Map!A:A,FSM_State_Map!C:C,""))</f>
        <v/>
      </c>
      <c r="F121" s="28" t="str">
        <f t="array" ref="F121">IF($I120="","",XLOOKUP(E121,Phase_UI_Map!A:A,Phase_UI_Map!B:B,""))</f>
        <v/>
      </c>
      <c r="G121" s="28" t="str">
        <f t="array" ref="G121">IF($I120="","",XLOOKUP(E121,Phase_UI_Map!A:A,Phase_UI_Map!C:C,""))</f>
        <v/>
      </c>
      <c r="H121" s="28" t="str">
        <f t="array" ref="H121">IF($I120="","",XLOOKUP(E121,Phase_UI_Map!A:A,Phase_UI_Map!D:D,""))</f>
        <v/>
      </c>
      <c r="I121" s="29"/>
      <c r="J121" s="28" t="str">
        <f>IFERROR(__xludf.DUMMYFUNCTION("IF($I120="""","""",IFERROR(INDEX(FILTER(Response_Lists!$B:$B,Response_Lists!$A:$A=$H121),1),""""))"),"")</f>
        <v/>
      </c>
      <c r="K121" s="28" t="str">
        <f>IFERROR(__xludf.DUMMYFUNCTION("IF($I120="""","""",IFERROR(INDEX(FILTER(Response_Lists!$B:$B,Response_Lists!$A:$A=$H121),2),""""))"),"")</f>
        <v/>
      </c>
      <c r="L121" s="28" t="str">
        <f>IFERROR(__xludf.DUMMYFUNCTION("IF($I120="""","""",IFERROR(INDEX(FILTER(Response_Lists!$B:$B,Response_Lists!$A:$A=$H121),3),""""))"),"")</f>
        <v/>
      </c>
      <c r="M121" s="28" t="str">
        <f>IFERROR(__xludf.DUMMYFUNCTION("IF($I120="""","""",IFERROR(INDEX(FILTER(Response_Lists!$B:$B,Response_Lists!$A:$A=$H121),4),""""))"),"")</f>
        <v/>
      </c>
      <c r="N121" s="28" t="str">
        <f>IFERROR(__xludf.DUMMYFUNCTION("IF($I120="""","""",IFERROR(INDEX(FILTER(Response_Lists!$B:$B,Response_Lists!$A:$A=$H121),5),""""))"),"")</f>
        <v/>
      </c>
      <c r="O121" s="28" t="str">
        <f>IFERROR(__xludf.DUMMYFUNCTION("IF($I120="""","""",IFERROR(INDEX(FILTER(Response_Lists!$B:$B,Response_Lists!$A:$A=$H121),6),""""))"),"")</f>
        <v/>
      </c>
      <c r="P121" s="28" t="str">
        <f t="shared" si="6"/>
        <v/>
      </c>
      <c r="Q121" s="28" t="str">
        <f t="array" ref="Q121">IF($I120="","",XLOOKUP(C121,FSM_State_Map!A:A,FSM_State_Map!D:D,""))</f>
        <v/>
      </c>
      <c r="R121" s="28" t="str">
        <f t="shared" si="7"/>
        <v/>
      </c>
      <c r="S121" s="28" t="str">
        <f t="array" ref="S121">IF($I120="","",
IF(
  AND(C121="B",C120&lt;&gt;"B"),
  XLOOKUP($B121,Derived_Variables!$A:$A,Derived_Variables!$K:$K,0)
  + XLOOKUP($B121,Derived_Variables!$A:$A,Derived_Variables!$AE:$AE,0),
  S120+AM120
))</f>
        <v/>
      </c>
      <c r="T121" s="28" t="str">
        <f t="shared" ref="T121:U121" si="252">IF($I120="","",T120+AN120)</f>
        <v/>
      </c>
      <c r="U121" s="28" t="str">
        <f t="shared" si="252"/>
        <v/>
      </c>
      <c r="V121" s="28" t="str">
        <f t="array" ref="V121">IF($I120="","",
IF(
  AND(C121="D",C120&lt;&gt;"D"),
  XLOOKUP($B121,Derived_Variables!$A:$A,Derived_Variables!$N:$N,0)
  + XLOOKUP($B121,Derived_Variables!$A:$A,Derived_Variables!$AE:$AE,0),
  V120+AP120
))</f>
        <v/>
      </c>
      <c r="W121" s="28" t="str">
        <f t="shared" ref="W121:X121" si="253">IF($I120="","",W120+AQ120)</f>
        <v/>
      </c>
      <c r="X121" s="28" t="str">
        <f t="shared" si="253"/>
        <v/>
      </c>
      <c r="Y121" s="28" t="str">
        <f t="array" ref="Y121">IF($I120="","",IF(AND(C121="P",C120&lt;&gt;"P"),IFERROR(XLOOKUP($B121,Lenso_Input!$A:$A,Lenso_Input!$E:$E,0),0),Y120+AS120))</f>
        <v/>
      </c>
      <c r="Z121" s="28" t="str">
        <f t="array" ref="Z121">IF($I120="","",IF(AND(C121="Q",C120&lt;&gt;"Q"),IFERROR(XLOOKUP($B121,Lenso_Input!$A:$A,Lenso_Input!$I:$I,0),0),Z120+AT120))</f>
        <v/>
      </c>
      <c r="AA121" s="28" t="str">
        <f t="array" ref="AA121">IF($I120="","",IF(XLOOKUP($B121,Derived_Variables!$A:$A,Derived_Variables!$R:$R,"6/6_target")="6/6_target","20_20_20","40_30_25"))</f>
        <v/>
      </c>
      <c r="AB121" s="28" t="str">
        <f t="array" ref="AB121">IF($I120="","",XLOOKUP(LOWER(XLOOKUP($B121,Derived_Variables!$A:$A,Derived_Variables!$T:$T,"Standard"))&amp;"_sph_step",Calibration!$B:$B,Calibration!$C:$C,0.25))</f>
        <v/>
      </c>
      <c r="AC121" s="28" t="str">
        <f t="array" ref="AC121">IF($I120="","",XLOOKUP(LOWER(XLOOKUP($B121,Derived_Variables!$A:$A,Derived_Variables!$T:$T,"Standard"))&amp;"_cyl_step",Calibration!$B:$B,Calibration!$C:$C,0.25))</f>
        <v/>
      </c>
      <c r="AD121" s="28" t="str">
        <f t="array" ref="AD121">IF($I120="","",IF(OR(C121="E",C121="H"),LET(startStep,XLOOKUP("axis_start_step",Calibration!$B:$B,Calibration!$C:$C,5),step1,XLOOKUP("axis_reversal_step_1",Calibration!$B:$B,Calibration!$C:$C,3),step2,XLOOKUP("axis_reversal_step_2",Calibration!$B:$B,Calibration!$C:$C,1),IF(OR(C120&lt;&gt;C121,AZ121="",AZ121="SAME",AZ121="CANT_TELL",I121="",I121="SAME",I121="CANT_TELL"),startStep,IF(OR(AND(AZ121="BETTER_1",I121="BETTER_2"),AND(AZ121="BETTER_2",I121="BETTER_1")),IF(AD120&gt;step1,step1,step2),AD120))),0))</f>
        <v/>
      </c>
      <c r="AE121" s="28" t="str">
        <f t="array" ref="AE121">IF($I120="","",XLOOKUP($B121,Derived_Variables!$A:$A,Derived_Variables!$AD:$AD,"No_Fog"))</f>
        <v/>
      </c>
      <c r="AF121" s="28" t="str">
        <f t="array" ref="AF121">IF($I120="","",XLOOKUP($B121,Derived_Variables!$A:$A,Derived_Variables!$AE:$AE,0))</f>
        <v/>
      </c>
      <c r="AG121" s="28" t="str">
        <f t="array" ref="AG121">IF($I120="","",XLOOKUP($B121,Derived_Variables!$A:$A,Derived_Variables!$AF:$AF,""))</f>
        <v/>
      </c>
      <c r="AH121" s="28" t="str">
        <f t="array" ref="AH121">IF($I120="","",XLOOKUP($B121,Derived_Variables!$A:$A,Derived_Variables!$AG:$AG,""))</f>
        <v/>
      </c>
      <c r="AI121" s="28" t="str">
        <f t="array" ref="AI121">IF($I120="","",XLOOKUP($B121,Derived_Variables!$A:$A,Derived_Variables!$AC:$AC,"Medium"))</f>
        <v/>
      </c>
      <c r="AJ121" s="28" t="str">
        <f t="array" ref="AJ121">IF($I120="","",XLOOKUP($B121,Derived_Variables!$A:$A,Derived_Variables!$Y:$Y,FALSE))</f>
        <v/>
      </c>
      <c r="AK121" s="28" t="str">
        <f t="array" ref="AK121">IF($I120="","",XLOOKUP($B121,Derived_Variables!$A:$A,Derived_Variables!$AA:$AA,"Normal"))</f>
        <v/>
      </c>
      <c r="AL121" s="28" t="str">
        <f t="array" ref="AL121">IF($I120="","",XLOOKUP($B121,Derived_Variables!$A:$A,Derived_Variables!$AB:$AB,"Normal"))</f>
        <v/>
      </c>
      <c r="AM121" s="28" t="str">
        <f t="array" ref="AM121">IF($I121="","",IFS(C121="B",IF(OR(I121="NOT_READABLE",I121="BLURRY"),-AB121,0),C121="G",IFS(I121="RED_CLEARER",XLOOKUP("duochrome_red_step",Calibration!$B:$B,Calibration!$C:$C,-0.25),I121="GREEN_CLEARER",XLOOKUP("duochrome_green_step",Calibration!$B:$B,Calibration!$C:$C,0.25),I121="EQUAL",IF(XLOOKUP($B121,Derived_Variables!$A:$A,Derived_Variables!$S:$S,"Neutral")="Undercorrect",XLOOKUP("undercorrect_step",Calibration!$B:$B,Calibration!$C:$C,0.25),IF(XLOOKUP($B121,Derived_Variables!$A:$A,Derived_Variables!$S:$S,"Neutral")="Overcorrect",-XLOOKUP("overcorrect_step",Calibration!$B:$B,Calibration!$C:$C,0.25),0)),TRUE,0),C121="K",IF(I121="TOP_CLEARER",XLOOKUP("bino_balance_step",Calibration!$B:$B,Calibration!$C:$C,0.25),0),TRUE,0))</f>
        <v/>
      </c>
      <c r="AN121" s="28" t="str">
        <f t="shared" si="10"/>
        <v/>
      </c>
      <c r="AO121" s="28" t="str">
        <f t="shared" si="11"/>
        <v/>
      </c>
      <c r="AP121" s="28" t="str">
        <f t="array" ref="AP121">IF($I121="","",IFS(C121="D",IF(OR(I121="NOT_READABLE",I121="BLURRY"),-AB121,0),C121="J",IFS(I121="RED_CLEARER",XLOOKUP("duochrome_red_step",Calibration!$B:$B,Calibration!$C:$C,-0.25),I121="GREEN_CLEARER",XLOOKUP("duochrome_green_step",Calibration!$B:$B,Calibration!$C:$C,0.25),I121="EQUAL",IF(XLOOKUP($B121,Derived_Variables!$A:$A,Derived_Variables!$S:$S,"Neutral")="Undercorrect",XLOOKUP("undercorrect_step",Calibration!$B:$B,Calibration!$C:$C,0.25),IF(XLOOKUP($B121,Derived_Variables!$A:$A,Derived_Variables!$S:$S,"Neutral")="Overcorrect",-XLOOKUP("overcorrect_step",Calibration!$B:$B,Calibration!$C:$C,0.25),0)),TRUE,0),C121="K",IF(I121="BOTTOM_CLEARER",XLOOKUP("bino_balance_step",Calibration!$B:$B,Calibration!$C:$C,0.25),0),TRUE,0))</f>
        <v/>
      </c>
      <c r="AQ121" s="28" t="str">
        <f t="shared" si="12"/>
        <v/>
      </c>
      <c r="AR121" s="28" t="str">
        <f t="shared" si="13"/>
        <v/>
      </c>
      <c r="AS121" s="28" t="str">
        <f t="array" ref="AS121">IF($I121="","",IF(C121="P",IF(OR(I121="NOT_READABLE",I121="BLURRY"),XLOOKUP("near_add_step",Calibration!$B:$B,Calibration!$C:$C,0.25),0),IF(C121="R",IF(I121="NOT_CLEAR",XLOOKUP("near_add_step",Calibration!$B:$B,Calibration!$C:$C,0.25),0),0)))</f>
        <v/>
      </c>
      <c r="AT121" s="28" t="str">
        <f t="array" ref="AT121">IF($I121="","",IF(C121="Q",IF(OR(I121="NOT_READABLE",I121="BLURRY"),XLOOKUP("near_add_step",Calibration!$B:$B,Calibration!$C:$C,0.25),0),IF(C121="R",IF(I121="NOT_CLEAR",XLOOKUP("near_add_step",Calibration!$B:$B,Calibration!$C:$C,0.25),0),0)))</f>
        <v/>
      </c>
      <c r="AU121" s="28" t="str">
        <f t="array" ref="AU121">IF($I121="","",IF(G121="SNELLEN_FEET",IF(I121="READABLE",IFERROR(XLOOKUP(XLOOKUP(R121,Chart_Scale_Distance!B:B,Chart_Scale_Distance!A:A)+1,Chart_Scale_Distance!A:A,Chart_Scale_Distance!B:B),R121),R121),R121))</f>
        <v/>
      </c>
      <c r="AV121" s="28" t="str">
        <f t="array" ref="AV121">IF($I120="","",IFERROR(XLOOKUP(R121,Chart_Scale_Distance!$B:$B,Chart_Scale_Distance!$A:$A,""),""))</f>
        <v/>
      </c>
      <c r="AW121" s="28" t="str">
        <f t="array" ref="AW121">IF($I120="","",IFERROR(XLOOKUP(AA121,Chart_Scale_Distance!$B:$B,Chart_Scale_Distance!$A:$A,""),""))</f>
        <v/>
      </c>
      <c r="AX121" s="28" t="str">
        <f t="shared" si="14"/>
        <v/>
      </c>
      <c r="AY121" s="28" t="str">
        <f t="shared" si="15"/>
        <v/>
      </c>
      <c r="AZ121" s="28" t="str">
        <f t="shared" si="16"/>
        <v/>
      </c>
      <c r="BA121" s="28" t="str">
        <f t="shared" si="17"/>
        <v/>
      </c>
      <c r="BB121" s="28" t="str">
        <f t="shared" si="18"/>
        <v/>
      </c>
      <c r="BC121" s="28" t="str">
        <f t="array" ref="BC121">IF($I121="","",LET(
conf,AI121,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duoMax,XLOOKUP($B121,Derived_Variables!$A:$A,Derived_Variables!$AI:$AI,4),
axisTol,XLOOKUP($B121,Derived_Variables!$A:$A,Derived_Variables!$W:$W,1),
maxStart,XLOOKUP($B121,Derived_Variables!$A:$A,Derived_Variables!$U:$U,1.25),
maxAR,XLOOKUP($B121,Derived_Variables!$A:$A,Derived_Variables!$V:$V,3),
anom,XLOOKUP($B121,Derived_Variables!$A:$A,Derived_Variables!$Z:$Z,FALSE),
reStart,XLOOKUP($B121,Derived_Variables!$A:$A,Derived_Variables!$K:$K,0),
leStart,XLOOKUP($B121,Derived_Variables!$A:$A,Derived_Variables!$N:$N,0),
reAR,XLOOKUP($B121,AR_Input!$A:$A,AR_Input!$B:$B,reStart),
leAR,XLOOKUP($B121,AR_Input!$A:$A,AR_Input!$E:$E,leStart),
reEsc,AND(anom,OR(ABS((S121+AM121)-reStart)&gt;maxStart,ABS((S121+AM121)-reAR)&gt;maxAR)),
leEsc,AND(anom,OR(ABS((V121+AP121)-leStart)&gt;maxStart,ABS((V121+AP121)-leAR)&gt;maxAR)),
phaseMax,IFS(
 AK121="Fast",
   IFS(
     OR(C121="B",C121="D"),XLOOKUP("timeout_coarse_fast",Calibration!$B:$B,Calibration!$C:$C,24),
     OR(C121="E",C121="F",C121="H",C121="I"),XLOOKUP("timeout_jcc_fast",Calibration!$B:$B,Calibration!$C:$C,10),
     OR(C121="G",C121="J"),XLOOKUP("timeout_duochrome_fast",Calibration!$B:$B,Calibration!$C:$C,8),
     C121="K",XLOOKUP("timeout_bino_fast",Calibration!$B:$B,Calibration!$C:$C,10),
     OR(C121="P",C121="Q",C121="R"),XLOOKUP("timeout_near_fast",Calibration!$B:$B,Calibration!$C:$C,16),
     TRUE,XLOOKUP("timeout_coarse_fast",Calibration!$B:$B,Calibration!$C:$C,24)
   ),
 AK121="Normal",
   IFS(
     OR(C121="B",C121="D"),XLOOKUP("timeout_coarse_normal",Calibration!$B:$B,Calibration!$C:$C,36),
     OR(C121="E",C121="F",C121="H",C121="I"),XLOOKUP("timeout_jcc_normal",Calibration!$B:$B,Calibration!$C:$C,14),
     OR(C121="G",C121="J"),XLOOKUP("timeout_duochrome_normal",Calibration!$B:$B,Calibration!$C:$C,10),
     C121="K",XLOOKUP("timeout_bino_normal",Calibration!$B:$B,Calibration!$C:$C,14),
     OR(C121="P",C121="Q",C121="R"),XLOOKUP("timeout_near_normal",Calibration!$B:$B,Calibration!$C:$C,22),
     TRUE,XLOOKUP("timeout_coarse_normal",Calibration!$B:$B,Calibration!$C:$C,36)
   ),
 TRUE,
   IFS(
     OR(C121="B",C121="D"),XLOOKUP("timeout_coarse_slow",Calibration!$B:$B,Calibration!$C:$C,48),
     OR(C121="E",C121="F",C121="H",C121="I"),XLOOKUP("timeout_jcc_slow",Calibration!$B:$B,Calibration!$C:$C,18),
     OR(C121="G",C121="J"),XLOOKUP("timeout_duochrome_slow",Calibration!$B:$B,Calibration!$C:$C,12),
     C121="K",XLOOKUP("timeout_bino_slow",Calibration!$B:$B,Calibration!$C:$C,18),
     OR(C121="P",C121="Q",C121="R"),XLOOKUP("timeout_near_slow",Calibration!$B:$B,Calibration!$C:$C,28),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AJ121=TRUE,"ESCALATE",
C121="A",
IF(OR(I121="NOT_READABLE",I121="BLURRY",AND(R121="20_20_20",I121="READABLE")),"B","A"),
C121="B",
IF(reEsc,"ESCALATE",IF(AY121&gt;=phaseMax,"ESCALATE",IF(AND(AV121&gt;=AW121,I121="READABLE"),"E","B"))),
C121="E",
IF(AY121&gt;=phaseMax,"ESCALATE",IF(OR(I121="SAME",I121="CANT_TELL",AD121&lt;axisTol),"F","E")),
C121="F",
IF(AY121&gt;=phaseMax,"ESCALATE",IF(AX121&gt;=powerSameN,"G","F")),
C121="G",
IF(AY121&gt;=phaseMax,"ESCALATE",IF(OR(AX121&gt;=duoEqualN,BB121&gt;=duoMax),"D","G")),
C121="D",
IF(leEsc,"ESCALATE",IF(AY121&gt;=phaseMax,"ESCALATE",IF(AND(AV121&gt;=AW121,I121="READABLE"),"H","D"))),
C121="H",
IF(AY121&gt;=phaseMax,"ESCALATE",IF(OR(I121="SAME",I121="CANT_TELL",AD121&lt;axisTol),"I","H")),
C121="I",
IF(AY121&gt;=phaseMax,"ESCALATE",IF(AX121&gt;=powerSameN,"J","I")),
C121="J",
IF(AY121&gt;=phaseMax,"ESCALATE",IF(OR(AX121&gt;=duoEqualN,BB121&gt;=duoMax),"K","J")),
C121="K",
IF(AY121&gt;=phaseMax,"ESCALATE",IF(AX121&gt;=binoSameN,IF(XLOOKUP($B121,Derived_Variables!$A:$A,Derived_Variables!$AJ:$AJ,FALSE)=TRUE,"P","END"),"K")),
C121="P",
IF(AY121&gt;=phaseMax,"ESCALATE",IF(OR(I121="READABLE",I121="SAME"),"Q","P")),
C121="Q",
IF(AY121&gt;=phaseMax,"ESCALATE",IF(OR(I121="READABLE",I121="SAME"),"R","Q")),
C121="R",
IF(AY121&gt;=phaseMax,"ESCALATE",IF(OR(I121=nearTarget,I121="SAME"),"END","R")),
TRUE,"END"
)))</f>
        <v/>
      </c>
      <c r="BD121" s="28" t="b">
        <f t="shared" si="19"/>
        <v>0</v>
      </c>
    </row>
    <row r="122" ht="15.75" customHeight="1">
      <c r="A122" s="28">
        <f t="shared" si="3"/>
        <v>121</v>
      </c>
      <c r="B122" s="28">
        <f t="shared" si="4"/>
        <v>6</v>
      </c>
      <c r="C122" s="28" t="str">
        <f t="shared" si="5"/>
        <v/>
      </c>
      <c r="D122" s="28" t="str">
        <f t="array" ref="D122">IF($I121="","",XLOOKUP(C122,FSM_State_Map!A:A,FSM_State_Map!B:B,""))</f>
        <v/>
      </c>
      <c r="E122" s="28" t="str">
        <f t="array" ref="E122">IF($I121="","",XLOOKUP(C122,FSM_State_Map!A:A,FSM_State_Map!C:C,""))</f>
        <v/>
      </c>
      <c r="F122" s="28" t="str">
        <f t="array" ref="F122">IF($I121="","",XLOOKUP(E122,Phase_UI_Map!A:A,Phase_UI_Map!B:B,""))</f>
        <v/>
      </c>
      <c r="G122" s="28" t="str">
        <f t="array" ref="G122">IF($I121="","",XLOOKUP(E122,Phase_UI_Map!A:A,Phase_UI_Map!C:C,""))</f>
        <v/>
      </c>
      <c r="H122" s="28" t="str">
        <f t="array" ref="H122">IF($I121="","",XLOOKUP(E122,Phase_UI_Map!A:A,Phase_UI_Map!D:D,""))</f>
        <v/>
      </c>
      <c r="I122" s="29"/>
      <c r="J122" s="28" t="str">
        <f>IFERROR(__xludf.DUMMYFUNCTION("IF($I121="""","""",IFERROR(INDEX(FILTER(Response_Lists!$B:$B,Response_Lists!$A:$A=$H122),1),""""))"),"")</f>
        <v/>
      </c>
      <c r="K122" s="28" t="str">
        <f>IFERROR(__xludf.DUMMYFUNCTION("IF($I121="""","""",IFERROR(INDEX(FILTER(Response_Lists!$B:$B,Response_Lists!$A:$A=$H122),2),""""))"),"")</f>
        <v/>
      </c>
      <c r="L122" s="28" t="str">
        <f>IFERROR(__xludf.DUMMYFUNCTION("IF($I121="""","""",IFERROR(INDEX(FILTER(Response_Lists!$B:$B,Response_Lists!$A:$A=$H122),3),""""))"),"")</f>
        <v/>
      </c>
      <c r="M122" s="28" t="str">
        <f>IFERROR(__xludf.DUMMYFUNCTION("IF($I121="""","""",IFERROR(INDEX(FILTER(Response_Lists!$B:$B,Response_Lists!$A:$A=$H122),4),""""))"),"")</f>
        <v/>
      </c>
      <c r="N122" s="28" t="str">
        <f>IFERROR(__xludf.DUMMYFUNCTION("IF($I121="""","""",IFERROR(INDEX(FILTER(Response_Lists!$B:$B,Response_Lists!$A:$A=$H122),5),""""))"),"")</f>
        <v/>
      </c>
      <c r="O122" s="28" t="str">
        <f>IFERROR(__xludf.DUMMYFUNCTION("IF($I121="""","""",IFERROR(INDEX(FILTER(Response_Lists!$B:$B,Response_Lists!$A:$A=$H122),6),""""))"),"")</f>
        <v/>
      </c>
      <c r="P122" s="28" t="str">
        <f t="shared" si="6"/>
        <v/>
      </c>
      <c r="Q122" s="28" t="str">
        <f t="array" ref="Q122">IF($I121="","",XLOOKUP(C122,FSM_State_Map!A:A,FSM_State_Map!D:D,""))</f>
        <v/>
      </c>
      <c r="R122" s="28" t="str">
        <f t="shared" si="7"/>
        <v/>
      </c>
      <c r="S122" s="28" t="str">
        <f t="array" ref="S122">IF($I121="","",
IF(
  AND(C122="B",C121&lt;&gt;"B"),
  XLOOKUP($B122,Derived_Variables!$A:$A,Derived_Variables!$K:$K,0)
  + XLOOKUP($B122,Derived_Variables!$A:$A,Derived_Variables!$AE:$AE,0),
  S121+AM121
))</f>
        <v/>
      </c>
      <c r="T122" s="28" t="str">
        <f t="shared" ref="T122:U122" si="254">IF($I121="","",T121+AN121)</f>
        <v/>
      </c>
      <c r="U122" s="28" t="str">
        <f t="shared" si="254"/>
        <v/>
      </c>
      <c r="V122" s="28" t="str">
        <f t="array" ref="V122">IF($I121="","",
IF(
  AND(C122="D",C121&lt;&gt;"D"),
  XLOOKUP($B122,Derived_Variables!$A:$A,Derived_Variables!$N:$N,0)
  + XLOOKUP($B122,Derived_Variables!$A:$A,Derived_Variables!$AE:$AE,0),
  V121+AP121
))</f>
        <v/>
      </c>
      <c r="W122" s="28" t="str">
        <f t="shared" ref="W122:X122" si="255">IF($I121="","",W121+AQ121)</f>
        <v/>
      </c>
      <c r="X122" s="28" t="str">
        <f t="shared" si="255"/>
        <v/>
      </c>
      <c r="Y122" s="28" t="str">
        <f t="array" ref="Y122">IF($I121="","",IF(AND(C122="P",C121&lt;&gt;"P"),IFERROR(XLOOKUP($B122,Lenso_Input!$A:$A,Lenso_Input!$E:$E,0),0),Y121+AS121))</f>
        <v/>
      </c>
      <c r="Z122" s="28" t="str">
        <f t="array" ref="Z122">IF($I121="","",IF(AND(C122="Q",C121&lt;&gt;"Q"),IFERROR(XLOOKUP($B122,Lenso_Input!$A:$A,Lenso_Input!$I:$I,0),0),Z121+AT121))</f>
        <v/>
      </c>
      <c r="AA122" s="28" t="str">
        <f t="array" ref="AA122">IF($I121="","",IF(XLOOKUP($B122,Derived_Variables!$A:$A,Derived_Variables!$R:$R,"6/6_target")="6/6_target","20_20_20","40_30_25"))</f>
        <v/>
      </c>
      <c r="AB122" s="28" t="str">
        <f t="array" ref="AB122">IF($I121="","",XLOOKUP(LOWER(XLOOKUP($B122,Derived_Variables!$A:$A,Derived_Variables!$T:$T,"Standard"))&amp;"_sph_step",Calibration!$B:$B,Calibration!$C:$C,0.25))</f>
        <v/>
      </c>
      <c r="AC122" s="28" t="str">
        <f t="array" ref="AC122">IF($I121="","",XLOOKUP(LOWER(XLOOKUP($B122,Derived_Variables!$A:$A,Derived_Variables!$T:$T,"Standard"))&amp;"_cyl_step",Calibration!$B:$B,Calibration!$C:$C,0.25))</f>
        <v/>
      </c>
      <c r="AD122" s="28" t="str">
        <f t="array" ref="AD122">IF($I121="","",IF(OR(C122="E",C122="H"),LET(startStep,XLOOKUP("axis_start_step",Calibration!$B:$B,Calibration!$C:$C,5),step1,XLOOKUP("axis_reversal_step_1",Calibration!$B:$B,Calibration!$C:$C,3),step2,XLOOKUP("axis_reversal_step_2",Calibration!$B:$B,Calibration!$C:$C,1),IF(OR(C121&lt;&gt;C122,AZ122="",AZ122="SAME",AZ122="CANT_TELL",I122="",I122="SAME",I122="CANT_TELL"),startStep,IF(OR(AND(AZ122="BETTER_1",I122="BETTER_2"),AND(AZ122="BETTER_2",I122="BETTER_1")),IF(AD121&gt;step1,step1,step2),AD121))),0))</f>
        <v/>
      </c>
      <c r="AE122" s="28" t="str">
        <f t="array" ref="AE122">IF($I121="","",XLOOKUP($B122,Derived_Variables!$A:$A,Derived_Variables!$AD:$AD,"No_Fog"))</f>
        <v/>
      </c>
      <c r="AF122" s="28" t="str">
        <f t="array" ref="AF122">IF($I121="","",XLOOKUP($B122,Derived_Variables!$A:$A,Derived_Variables!$AE:$AE,0))</f>
        <v/>
      </c>
      <c r="AG122" s="28" t="str">
        <f t="array" ref="AG122">IF($I121="","",XLOOKUP($B122,Derived_Variables!$A:$A,Derived_Variables!$AF:$AF,""))</f>
        <v/>
      </c>
      <c r="AH122" s="28" t="str">
        <f t="array" ref="AH122">IF($I121="","",XLOOKUP($B122,Derived_Variables!$A:$A,Derived_Variables!$AG:$AG,""))</f>
        <v/>
      </c>
      <c r="AI122" s="28" t="str">
        <f t="array" ref="AI122">IF($I121="","",XLOOKUP($B122,Derived_Variables!$A:$A,Derived_Variables!$AC:$AC,"Medium"))</f>
        <v/>
      </c>
      <c r="AJ122" s="28" t="str">
        <f t="array" ref="AJ122">IF($I121="","",XLOOKUP($B122,Derived_Variables!$A:$A,Derived_Variables!$Y:$Y,FALSE))</f>
        <v/>
      </c>
      <c r="AK122" s="28" t="str">
        <f t="array" ref="AK122">IF($I121="","",XLOOKUP($B122,Derived_Variables!$A:$A,Derived_Variables!$AA:$AA,"Normal"))</f>
        <v/>
      </c>
      <c r="AL122" s="28" t="str">
        <f t="array" ref="AL122">IF($I121="","",XLOOKUP($B122,Derived_Variables!$A:$A,Derived_Variables!$AB:$AB,"Normal"))</f>
        <v/>
      </c>
      <c r="AM122" s="28" t="str">
        <f t="array" ref="AM122">IF($I122="","",IFS(C122="B",IF(OR(I122="NOT_READABLE",I122="BLURRY"),-AB122,0),C122="G",IFS(I122="RED_CLEARER",XLOOKUP("duochrome_red_step",Calibration!$B:$B,Calibration!$C:$C,-0.25),I122="GREEN_CLEARER",XLOOKUP("duochrome_green_step",Calibration!$B:$B,Calibration!$C:$C,0.25),I122="EQUAL",IF(XLOOKUP($B122,Derived_Variables!$A:$A,Derived_Variables!$S:$S,"Neutral")="Undercorrect",XLOOKUP("undercorrect_step",Calibration!$B:$B,Calibration!$C:$C,0.25),IF(XLOOKUP($B122,Derived_Variables!$A:$A,Derived_Variables!$S:$S,"Neutral")="Overcorrect",-XLOOKUP("overcorrect_step",Calibration!$B:$B,Calibration!$C:$C,0.25),0)),TRUE,0),C122="K",IF(I122="TOP_CLEARER",XLOOKUP("bino_balance_step",Calibration!$B:$B,Calibration!$C:$C,0.25),0),TRUE,0))</f>
        <v/>
      </c>
      <c r="AN122" s="28" t="str">
        <f t="shared" si="10"/>
        <v/>
      </c>
      <c r="AO122" s="28" t="str">
        <f t="shared" si="11"/>
        <v/>
      </c>
      <c r="AP122" s="28" t="str">
        <f t="array" ref="AP122">IF($I122="","",IFS(C122="D",IF(OR(I122="NOT_READABLE",I122="BLURRY"),-AB122,0),C122="J",IFS(I122="RED_CLEARER",XLOOKUP("duochrome_red_step",Calibration!$B:$B,Calibration!$C:$C,-0.25),I122="GREEN_CLEARER",XLOOKUP("duochrome_green_step",Calibration!$B:$B,Calibration!$C:$C,0.25),I122="EQUAL",IF(XLOOKUP($B122,Derived_Variables!$A:$A,Derived_Variables!$S:$S,"Neutral")="Undercorrect",XLOOKUP("undercorrect_step",Calibration!$B:$B,Calibration!$C:$C,0.25),IF(XLOOKUP($B122,Derived_Variables!$A:$A,Derived_Variables!$S:$S,"Neutral")="Overcorrect",-XLOOKUP("overcorrect_step",Calibration!$B:$B,Calibration!$C:$C,0.25),0)),TRUE,0),C122="K",IF(I122="BOTTOM_CLEARER",XLOOKUP("bino_balance_step",Calibration!$B:$B,Calibration!$C:$C,0.25),0),TRUE,0))</f>
        <v/>
      </c>
      <c r="AQ122" s="28" t="str">
        <f t="shared" si="12"/>
        <v/>
      </c>
      <c r="AR122" s="28" t="str">
        <f t="shared" si="13"/>
        <v/>
      </c>
      <c r="AS122" s="28" t="str">
        <f t="array" ref="AS122">IF($I122="","",IF(C122="P",IF(OR(I122="NOT_READABLE",I122="BLURRY"),XLOOKUP("near_add_step",Calibration!$B:$B,Calibration!$C:$C,0.25),0),IF(C122="R",IF(I122="NOT_CLEAR",XLOOKUP("near_add_step",Calibration!$B:$B,Calibration!$C:$C,0.25),0),0)))</f>
        <v/>
      </c>
      <c r="AT122" s="28" t="str">
        <f t="array" ref="AT122">IF($I122="","",IF(C122="Q",IF(OR(I122="NOT_READABLE",I122="BLURRY"),XLOOKUP("near_add_step",Calibration!$B:$B,Calibration!$C:$C,0.25),0),IF(C122="R",IF(I122="NOT_CLEAR",XLOOKUP("near_add_step",Calibration!$B:$B,Calibration!$C:$C,0.25),0),0)))</f>
        <v/>
      </c>
      <c r="AU122" s="28" t="str">
        <f t="array" ref="AU122">IF($I122="","",IF(G122="SNELLEN_FEET",IF(I122="READABLE",IFERROR(XLOOKUP(XLOOKUP(R122,Chart_Scale_Distance!B:B,Chart_Scale_Distance!A:A)+1,Chart_Scale_Distance!A:A,Chart_Scale_Distance!B:B),R122),R122),R122))</f>
        <v/>
      </c>
      <c r="AV122" s="28" t="str">
        <f t="array" ref="AV122">IF($I121="","",IFERROR(XLOOKUP(R122,Chart_Scale_Distance!$B:$B,Chart_Scale_Distance!$A:$A,""),""))</f>
        <v/>
      </c>
      <c r="AW122" s="28" t="str">
        <f t="array" ref="AW122">IF($I121="","",IFERROR(XLOOKUP(AA122,Chart_Scale_Distance!$B:$B,Chart_Scale_Distance!$A:$A,""),""))</f>
        <v/>
      </c>
      <c r="AX122" s="28" t="str">
        <f t="shared" si="14"/>
        <v/>
      </c>
      <c r="AY122" s="28" t="str">
        <f t="shared" si="15"/>
        <v/>
      </c>
      <c r="AZ122" s="28" t="str">
        <f t="shared" si="16"/>
        <v/>
      </c>
      <c r="BA122" s="28" t="str">
        <f t="shared" si="17"/>
        <v/>
      </c>
      <c r="BB122" s="28" t="str">
        <f t="shared" si="18"/>
        <v/>
      </c>
      <c r="BC122" s="28" t="str">
        <f t="array" ref="BC122">IF($I122="","",LET(
conf,AI122,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duoMax,XLOOKUP($B122,Derived_Variables!$A:$A,Derived_Variables!$AI:$AI,4),
axisTol,XLOOKUP($B122,Derived_Variables!$A:$A,Derived_Variables!$W:$W,1),
maxStart,XLOOKUP($B122,Derived_Variables!$A:$A,Derived_Variables!$U:$U,1.25),
maxAR,XLOOKUP($B122,Derived_Variables!$A:$A,Derived_Variables!$V:$V,3),
anom,XLOOKUP($B122,Derived_Variables!$A:$A,Derived_Variables!$Z:$Z,FALSE),
reStart,XLOOKUP($B122,Derived_Variables!$A:$A,Derived_Variables!$K:$K,0),
leStart,XLOOKUP($B122,Derived_Variables!$A:$A,Derived_Variables!$N:$N,0),
reAR,XLOOKUP($B122,AR_Input!$A:$A,AR_Input!$B:$B,reStart),
leAR,XLOOKUP($B122,AR_Input!$A:$A,AR_Input!$E:$E,leStart),
reEsc,AND(anom,OR(ABS((S122+AM122)-reStart)&gt;maxStart,ABS((S122+AM122)-reAR)&gt;maxAR)),
leEsc,AND(anom,OR(ABS((V122+AP122)-leStart)&gt;maxStart,ABS((V122+AP122)-leAR)&gt;maxAR)),
phaseMax,IFS(
 AK122="Fast",
   IFS(
     OR(C122="B",C122="D"),XLOOKUP("timeout_coarse_fast",Calibration!$B:$B,Calibration!$C:$C,24),
     OR(C122="E",C122="F",C122="H",C122="I"),XLOOKUP("timeout_jcc_fast",Calibration!$B:$B,Calibration!$C:$C,10),
     OR(C122="G",C122="J"),XLOOKUP("timeout_duochrome_fast",Calibration!$B:$B,Calibration!$C:$C,8),
     C122="K",XLOOKUP("timeout_bino_fast",Calibration!$B:$B,Calibration!$C:$C,10),
     OR(C122="P",C122="Q",C122="R"),XLOOKUP("timeout_near_fast",Calibration!$B:$B,Calibration!$C:$C,16),
     TRUE,XLOOKUP("timeout_coarse_fast",Calibration!$B:$B,Calibration!$C:$C,24)
   ),
 AK122="Normal",
   IFS(
     OR(C122="B",C122="D"),XLOOKUP("timeout_coarse_normal",Calibration!$B:$B,Calibration!$C:$C,36),
     OR(C122="E",C122="F",C122="H",C122="I"),XLOOKUP("timeout_jcc_normal",Calibration!$B:$B,Calibration!$C:$C,14),
     OR(C122="G",C122="J"),XLOOKUP("timeout_duochrome_normal",Calibration!$B:$B,Calibration!$C:$C,10),
     C122="K",XLOOKUP("timeout_bino_normal",Calibration!$B:$B,Calibration!$C:$C,14),
     OR(C122="P",C122="Q",C122="R"),XLOOKUP("timeout_near_normal",Calibration!$B:$B,Calibration!$C:$C,22),
     TRUE,XLOOKUP("timeout_coarse_normal",Calibration!$B:$B,Calibration!$C:$C,36)
   ),
 TRUE,
   IFS(
     OR(C122="B",C122="D"),XLOOKUP("timeout_coarse_slow",Calibration!$B:$B,Calibration!$C:$C,48),
     OR(C122="E",C122="F",C122="H",C122="I"),XLOOKUP("timeout_jcc_slow",Calibration!$B:$B,Calibration!$C:$C,18),
     OR(C122="G",C122="J"),XLOOKUP("timeout_duochrome_slow",Calibration!$B:$B,Calibration!$C:$C,12),
     C122="K",XLOOKUP("timeout_bino_slow",Calibration!$B:$B,Calibration!$C:$C,18),
     OR(C122="P",C122="Q",C122="R"),XLOOKUP("timeout_near_slow",Calibration!$B:$B,Calibration!$C:$C,28),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AJ122=TRUE,"ESCALATE",
C122="A",
IF(OR(I122="NOT_READABLE",I122="BLURRY",AND(R122="20_20_20",I122="READABLE")),"B","A"),
C122="B",
IF(reEsc,"ESCALATE",IF(AY122&gt;=phaseMax,"ESCALATE",IF(AND(AV122&gt;=AW122,I122="READABLE"),"E","B"))),
C122="E",
IF(AY122&gt;=phaseMax,"ESCALATE",IF(OR(I122="SAME",I122="CANT_TELL",AD122&lt;axisTol),"F","E")),
C122="F",
IF(AY122&gt;=phaseMax,"ESCALATE",IF(AX122&gt;=powerSameN,"G","F")),
C122="G",
IF(AY122&gt;=phaseMax,"ESCALATE",IF(OR(AX122&gt;=duoEqualN,BB122&gt;=duoMax),"D","G")),
C122="D",
IF(leEsc,"ESCALATE",IF(AY122&gt;=phaseMax,"ESCALATE",IF(AND(AV122&gt;=AW122,I122="READABLE"),"H","D"))),
C122="H",
IF(AY122&gt;=phaseMax,"ESCALATE",IF(OR(I122="SAME",I122="CANT_TELL",AD122&lt;axisTol),"I","H")),
C122="I",
IF(AY122&gt;=phaseMax,"ESCALATE",IF(AX122&gt;=powerSameN,"J","I")),
C122="J",
IF(AY122&gt;=phaseMax,"ESCALATE",IF(OR(AX122&gt;=duoEqualN,BB122&gt;=duoMax),"K","J")),
C122="K",
IF(AY122&gt;=phaseMax,"ESCALATE",IF(AX122&gt;=binoSameN,IF(XLOOKUP($B122,Derived_Variables!$A:$A,Derived_Variables!$AJ:$AJ,FALSE)=TRUE,"P","END"),"K")),
C122="P",
IF(AY122&gt;=phaseMax,"ESCALATE",IF(OR(I122="READABLE",I122="SAME"),"Q","P")),
C122="Q",
IF(AY122&gt;=phaseMax,"ESCALATE",IF(OR(I122="READABLE",I122="SAME"),"R","Q")),
C122="R",
IF(AY122&gt;=phaseMax,"ESCALATE",IF(OR(I122=nearTarget,I122="SAME"),"END","R")),
TRUE,"END"
)))</f>
        <v/>
      </c>
      <c r="BD122" s="28" t="b">
        <f t="shared" si="19"/>
        <v>0</v>
      </c>
    </row>
    <row r="123" ht="15.75" customHeight="1">
      <c r="A123" s="28">
        <f t="shared" si="3"/>
        <v>122</v>
      </c>
      <c r="B123" s="28">
        <f t="shared" si="4"/>
        <v>6</v>
      </c>
      <c r="C123" s="28" t="str">
        <f t="shared" si="5"/>
        <v/>
      </c>
      <c r="D123" s="28" t="str">
        <f t="array" ref="D123">IF($I122="","",XLOOKUP(C123,FSM_State_Map!A:A,FSM_State_Map!B:B,""))</f>
        <v/>
      </c>
      <c r="E123" s="28" t="str">
        <f t="array" ref="E123">IF($I122="","",XLOOKUP(C123,FSM_State_Map!A:A,FSM_State_Map!C:C,""))</f>
        <v/>
      </c>
      <c r="F123" s="28" t="str">
        <f t="array" ref="F123">IF($I122="","",XLOOKUP(E123,Phase_UI_Map!A:A,Phase_UI_Map!B:B,""))</f>
        <v/>
      </c>
      <c r="G123" s="28" t="str">
        <f t="array" ref="G123">IF($I122="","",XLOOKUP(E123,Phase_UI_Map!A:A,Phase_UI_Map!C:C,""))</f>
        <v/>
      </c>
      <c r="H123" s="28" t="str">
        <f t="array" ref="H123">IF($I122="","",XLOOKUP(E123,Phase_UI_Map!A:A,Phase_UI_Map!D:D,""))</f>
        <v/>
      </c>
      <c r="I123" s="29"/>
      <c r="J123" s="28" t="str">
        <f>IFERROR(__xludf.DUMMYFUNCTION("IF($I122="""","""",IFERROR(INDEX(FILTER(Response_Lists!$B:$B,Response_Lists!$A:$A=$H123),1),""""))"),"")</f>
        <v/>
      </c>
      <c r="K123" s="28" t="str">
        <f>IFERROR(__xludf.DUMMYFUNCTION("IF($I122="""","""",IFERROR(INDEX(FILTER(Response_Lists!$B:$B,Response_Lists!$A:$A=$H123),2),""""))"),"")</f>
        <v/>
      </c>
      <c r="L123" s="28" t="str">
        <f>IFERROR(__xludf.DUMMYFUNCTION("IF($I122="""","""",IFERROR(INDEX(FILTER(Response_Lists!$B:$B,Response_Lists!$A:$A=$H123),3),""""))"),"")</f>
        <v/>
      </c>
      <c r="M123" s="28" t="str">
        <f>IFERROR(__xludf.DUMMYFUNCTION("IF($I122="""","""",IFERROR(INDEX(FILTER(Response_Lists!$B:$B,Response_Lists!$A:$A=$H123),4),""""))"),"")</f>
        <v/>
      </c>
      <c r="N123" s="28" t="str">
        <f>IFERROR(__xludf.DUMMYFUNCTION("IF($I122="""","""",IFERROR(INDEX(FILTER(Response_Lists!$B:$B,Response_Lists!$A:$A=$H123),5),""""))"),"")</f>
        <v/>
      </c>
      <c r="O123" s="28" t="str">
        <f>IFERROR(__xludf.DUMMYFUNCTION("IF($I122="""","""",IFERROR(INDEX(FILTER(Response_Lists!$B:$B,Response_Lists!$A:$A=$H123),6),""""))"),"")</f>
        <v/>
      </c>
      <c r="P123" s="28" t="str">
        <f t="shared" si="6"/>
        <v/>
      </c>
      <c r="Q123" s="28" t="str">
        <f t="array" ref="Q123">IF($I122="","",XLOOKUP(C123,FSM_State_Map!A:A,FSM_State_Map!D:D,""))</f>
        <v/>
      </c>
      <c r="R123" s="28" t="str">
        <f t="shared" si="7"/>
        <v/>
      </c>
      <c r="S123" s="28" t="str">
        <f t="array" ref="S123">IF($I122="","",
IF(
  AND(C123="B",C122&lt;&gt;"B"),
  XLOOKUP($B123,Derived_Variables!$A:$A,Derived_Variables!$K:$K,0)
  + XLOOKUP($B123,Derived_Variables!$A:$A,Derived_Variables!$AE:$AE,0),
  S122+AM122
))</f>
        <v/>
      </c>
      <c r="T123" s="28" t="str">
        <f t="shared" ref="T123:U123" si="256">IF($I122="","",T122+AN122)</f>
        <v/>
      </c>
      <c r="U123" s="28" t="str">
        <f t="shared" si="256"/>
        <v/>
      </c>
      <c r="V123" s="28" t="str">
        <f t="array" ref="V123">IF($I122="","",
IF(
  AND(C123="D",C122&lt;&gt;"D"),
  XLOOKUP($B123,Derived_Variables!$A:$A,Derived_Variables!$N:$N,0)
  + XLOOKUP($B123,Derived_Variables!$A:$A,Derived_Variables!$AE:$AE,0),
  V122+AP122
))</f>
        <v/>
      </c>
      <c r="W123" s="28" t="str">
        <f t="shared" ref="W123:X123" si="257">IF($I122="","",W122+AQ122)</f>
        <v/>
      </c>
      <c r="X123" s="28" t="str">
        <f t="shared" si="257"/>
        <v/>
      </c>
      <c r="Y123" s="28" t="str">
        <f t="array" ref="Y123">IF($I122="","",IF(AND(C123="P",C122&lt;&gt;"P"),IFERROR(XLOOKUP($B123,Lenso_Input!$A:$A,Lenso_Input!$E:$E,0),0),Y122+AS122))</f>
        <v/>
      </c>
      <c r="Z123" s="28" t="str">
        <f t="array" ref="Z123">IF($I122="","",IF(AND(C123="Q",C122&lt;&gt;"Q"),IFERROR(XLOOKUP($B123,Lenso_Input!$A:$A,Lenso_Input!$I:$I,0),0),Z122+AT122))</f>
        <v/>
      </c>
      <c r="AA123" s="28" t="str">
        <f t="array" ref="AA123">IF($I122="","",IF(XLOOKUP($B123,Derived_Variables!$A:$A,Derived_Variables!$R:$R,"6/6_target")="6/6_target","20_20_20","40_30_25"))</f>
        <v/>
      </c>
      <c r="AB123" s="28" t="str">
        <f t="array" ref="AB123">IF($I122="","",XLOOKUP(LOWER(XLOOKUP($B123,Derived_Variables!$A:$A,Derived_Variables!$T:$T,"Standard"))&amp;"_sph_step",Calibration!$B:$B,Calibration!$C:$C,0.25))</f>
        <v/>
      </c>
      <c r="AC123" s="28" t="str">
        <f t="array" ref="AC123">IF($I122="","",XLOOKUP(LOWER(XLOOKUP($B123,Derived_Variables!$A:$A,Derived_Variables!$T:$T,"Standard"))&amp;"_cyl_step",Calibration!$B:$B,Calibration!$C:$C,0.25))</f>
        <v/>
      </c>
      <c r="AD123" s="28" t="str">
        <f t="array" ref="AD123">IF($I122="","",IF(OR(C123="E",C123="H"),LET(startStep,XLOOKUP("axis_start_step",Calibration!$B:$B,Calibration!$C:$C,5),step1,XLOOKUP("axis_reversal_step_1",Calibration!$B:$B,Calibration!$C:$C,3),step2,XLOOKUP("axis_reversal_step_2",Calibration!$B:$B,Calibration!$C:$C,1),IF(OR(C122&lt;&gt;C123,AZ123="",AZ123="SAME",AZ123="CANT_TELL",I123="",I123="SAME",I123="CANT_TELL"),startStep,IF(OR(AND(AZ123="BETTER_1",I123="BETTER_2"),AND(AZ123="BETTER_2",I123="BETTER_1")),IF(AD122&gt;step1,step1,step2),AD122))),0))</f>
        <v/>
      </c>
      <c r="AE123" s="28" t="str">
        <f t="array" ref="AE123">IF($I122="","",XLOOKUP($B123,Derived_Variables!$A:$A,Derived_Variables!$AD:$AD,"No_Fog"))</f>
        <v/>
      </c>
      <c r="AF123" s="28" t="str">
        <f t="array" ref="AF123">IF($I122="","",XLOOKUP($B123,Derived_Variables!$A:$A,Derived_Variables!$AE:$AE,0))</f>
        <v/>
      </c>
      <c r="AG123" s="28" t="str">
        <f t="array" ref="AG123">IF($I122="","",XLOOKUP($B123,Derived_Variables!$A:$A,Derived_Variables!$AF:$AF,""))</f>
        <v/>
      </c>
      <c r="AH123" s="28" t="str">
        <f t="array" ref="AH123">IF($I122="","",XLOOKUP($B123,Derived_Variables!$A:$A,Derived_Variables!$AG:$AG,""))</f>
        <v/>
      </c>
      <c r="AI123" s="28" t="str">
        <f t="array" ref="AI123">IF($I122="","",XLOOKUP($B123,Derived_Variables!$A:$A,Derived_Variables!$AC:$AC,"Medium"))</f>
        <v/>
      </c>
      <c r="AJ123" s="28" t="str">
        <f t="array" ref="AJ123">IF($I122="","",XLOOKUP($B123,Derived_Variables!$A:$A,Derived_Variables!$Y:$Y,FALSE))</f>
        <v/>
      </c>
      <c r="AK123" s="28" t="str">
        <f t="array" ref="AK123">IF($I122="","",XLOOKUP($B123,Derived_Variables!$A:$A,Derived_Variables!$AA:$AA,"Normal"))</f>
        <v/>
      </c>
      <c r="AL123" s="28" t="str">
        <f t="array" ref="AL123">IF($I122="","",XLOOKUP($B123,Derived_Variables!$A:$A,Derived_Variables!$AB:$AB,"Normal"))</f>
        <v/>
      </c>
      <c r="AM123" s="28" t="str">
        <f t="array" ref="AM123">IF($I123="","",IFS(C123="B",IF(OR(I123="NOT_READABLE",I123="BLURRY"),-AB123,0),C123="G",IFS(I123="RED_CLEARER",XLOOKUP("duochrome_red_step",Calibration!$B:$B,Calibration!$C:$C,-0.25),I123="GREEN_CLEARER",XLOOKUP("duochrome_green_step",Calibration!$B:$B,Calibration!$C:$C,0.25),I123="EQUAL",IF(XLOOKUP($B123,Derived_Variables!$A:$A,Derived_Variables!$S:$S,"Neutral")="Undercorrect",XLOOKUP("undercorrect_step",Calibration!$B:$B,Calibration!$C:$C,0.25),IF(XLOOKUP($B123,Derived_Variables!$A:$A,Derived_Variables!$S:$S,"Neutral")="Overcorrect",-XLOOKUP("overcorrect_step",Calibration!$B:$B,Calibration!$C:$C,0.25),0)),TRUE,0),C123="K",IF(I123="TOP_CLEARER",XLOOKUP("bino_balance_step",Calibration!$B:$B,Calibration!$C:$C,0.25),0),TRUE,0))</f>
        <v/>
      </c>
      <c r="AN123" s="28" t="str">
        <f t="shared" si="10"/>
        <v/>
      </c>
      <c r="AO123" s="28" t="str">
        <f t="shared" si="11"/>
        <v/>
      </c>
      <c r="AP123" s="28" t="str">
        <f t="array" ref="AP123">IF($I123="","",IFS(C123="D",IF(OR(I123="NOT_READABLE",I123="BLURRY"),-AB123,0),C123="J",IFS(I123="RED_CLEARER",XLOOKUP("duochrome_red_step",Calibration!$B:$B,Calibration!$C:$C,-0.25),I123="GREEN_CLEARER",XLOOKUP("duochrome_green_step",Calibration!$B:$B,Calibration!$C:$C,0.25),I123="EQUAL",IF(XLOOKUP($B123,Derived_Variables!$A:$A,Derived_Variables!$S:$S,"Neutral")="Undercorrect",XLOOKUP("undercorrect_step",Calibration!$B:$B,Calibration!$C:$C,0.25),IF(XLOOKUP($B123,Derived_Variables!$A:$A,Derived_Variables!$S:$S,"Neutral")="Overcorrect",-XLOOKUP("overcorrect_step",Calibration!$B:$B,Calibration!$C:$C,0.25),0)),TRUE,0),C123="K",IF(I123="BOTTOM_CLEARER",XLOOKUP("bino_balance_step",Calibration!$B:$B,Calibration!$C:$C,0.25),0),TRUE,0))</f>
        <v/>
      </c>
      <c r="AQ123" s="28" t="str">
        <f t="shared" si="12"/>
        <v/>
      </c>
      <c r="AR123" s="28" t="str">
        <f t="shared" si="13"/>
        <v/>
      </c>
      <c r="AS123" s="28" t="str">
        <f t="array" ref="AS123">IF($I123="","",IF(C123="P",IF(OR(I123="NOT_READABLE",I123="BLURRY"),XLOOKUP("near_add_step",Calibration!$B:$B,Calibration!$C:$C,0.25),0),IF(C123="R",IF(I123="NOT_CLEAR",XLOOKUP("near_add_step",Calibration!$B:$B,Calibration!$C:$C,0.25),0),0)))</f>
        <v/>
      </c>
      <c r="AT123" s="28" t="str">
        <f t="array" ref="AT123">IF($I123="","",IF(C123="Q",IF(OR(I123="NOT_READABLE",I123="BLURRY"),XLOOKUP("near_add_step",Calibration!$B:$B,Calibration!$C:$C,0.25),0),IF(C123="R",IF(I123="NOT_CLEAR",XLOOKUP("near_add_step",Calibration!$B:$B,Calibration!$C:$C,0.25),0),0)))</f>
        <v/>
      </c>
      <c r="AU123" s="28" t="str">
        <f t="array" ref="AU123">IF($I123="","",IF(G123="SNELLEN_FEET",IF(I123="READABLE",IFERROR(XLOOKUP(XLOOKUP(R123,Chart_Scale_Distance!B:B,Chart_Scale_Distance!A:A)+1,Chart_Scale_Distance!A:A,Chart_Scale_Distance!B:B),R123),R123),R123))</f>
        <v/>
      </c>
      <c r="AV123" s="28" t="str">
        <f t="array" ref="AV123">IF($I122="","",IFERROR(XLOOKUP(R123,Chart_Scale_Distance!$B:$B,Chart_Scale_Distance!$A:$A,""),""))</f>
        <v/>
      </c>
      <c r="AW123" s="28" t="str">
        <f t="array" ref="AW123">IF($I122="","",IFERROR(XLOOKUP(AA123,Chart_Scale_Distance!$B:$B,Chart_Scale_Distance!$A:$A,""),""))</f>
        <v/>
      </c>
      <c r="AX123" s="28" t="str">
        <f t="shared" si="14"/>
        <v/>
      </c>
      <c r="AY123" s="28" t="str">
        <f t="shared" si="15"/>
        <v/>
      </c>
      <c r="AZ123" s="28" t="str">
        <f t="shared" si="16"/>
        <v/>
      </c>
      <c r="BA123" s="28" t="str">
        <f t="shared" si="17"/>
        <v/>
      </c>
      <c r="BB123" s="28" t="str">
        <f t="shared" si="18"/>
        <v/>
      </c>
      <c r="BC123" s="28" t="str">
        <f t="array" ref="BC123">IF($I123="","",LET(
conf,AI123,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duoMax,XLOOKUP($B123,Derived_Variables!$A:$A,Derived_Variables!$AI:$AI,4),
axisTol,XLOOKUP($B123,Derived_Variables!$A:$A,Derived_Variables!$W:$W,1),
maxStart,XLOOKUP($B123,Derived_Variables!$A:$A,Derived_Variables!$U:$U,1.25),
maxAR,XLOOKUP($B123,Derived_Variables!$A:$A,Derived_Variables!$V:$V,3),
anom,XLOOKUP($B123,Derived_Variables!$A:$A,Derived_Variables!$Z:$Z,FALSE),
reStart,XLOOKUP($B123,Derived_Variables!$A:$A,Derived_Variables!$K:$K,0),
leStart,XLOOKUP($B123,Derived_Variables!$A:$A,Derived_Variables!$N:$N,0),
reAR,XLOOKUP($B123,AR_Input!$A:$A,AR_Input!$B:$B,reStart),
leAR,XLOOKUP($B123,AR_Input!$A:$A,AR_Input!$E:$E,leStart),
reEsc,AND(anom,OR(ABS((S123+AM123)-reStart)&gt;maxStart,ABS((S123+AM123)-reAR)&gt;maxAR)),
leEsc,AND(anom,OR(ABS((V123+AP123)-leStart)&gt;maxStart,ABS((V123+AP123)-leAR)&gt;maxAR)),
phaseMax,IFS(
 AK123="Fast",
   IFS(
     OR(C123="B",C123="D"),XLOOKUP("timeout_coarse_fast",Calibration!$B:$B,Calibration!$C:$C,24),
     OR(C123="E",C123="F",C123="H",C123="I"),XLOOKUP("timeout_jcc_fast",Calibration!$B:$B,Calibration!$C:$C,10),
     OR(C123="G",C123="J"),XLOOKUP("timeout_duochrome_fast",Calibration!$B:$B,Calibration!$C:$C,8),
     C123="K",XLOOKUP("timeout_bino_fast",Calibration!$B:$B,Calibration!$C:$C,10),
     OR(C123="P",C123="Q",C123="R"),XLOOKUP("timeout_near_fast",Calibration!$B:$B,Calibration!$C:$C,16),
     TRUE,XLOOKUP("timeout_coarse_fast",Calibration!$B:$B,Calibration!$C:$C,24)
   ),
 AK123="Normal",
   IFS(
     OR(C123="B",C123="D"),XLOOKUP("timeout_coarse_normal",Calibration!$B:$B,Calibration!$C:$C,36),
     OR(C123="E",C123="F",C123="H",C123="I"),XLOOKUP("timeout_jcc_normal",Calibration!$B:$B,Calibration!$C:$C,14),
     OR(C123="G",C123="J"),XLOOKUP("timeout_duochrome_normal",Calibration!$B:$B,Calibration!$C:$C,10),
     C123="K",XLOOKUP("timeout_bino_normal",Calibration!$B:$B,Calibration!$C:$C,14),
     OR(C123="P",C123="Q",C123="R"),XLOOKUP("timeout_near_normal",Calibration!$B:$B,Calibration!$C:$C,22),
     TRUE,XLOOKUP("timeout_coarse_normal",Calibration!$B:$B,Calibration!$C:$C,36)
   ),
 TRUE,
   IFS(
     OR(C123="B",C123="D"),XLOOKUP("timeout_coarse_slow",Calibration!$B:$B,Calibration!$C:$C,48),
     OR(C123="E",C123="F",C123="H",C123="I"),XLOOKUP("timeout_jcc_slow",Calibration!$B:$B,Calibration!$C:$C,18),
     OR(C123="G",C123="J"),XLOOKUP("timeout_duochrome_slow",Calibration!$B:$B,Calibration!$C:$C,12),
     C123="K",XLOOKUP("timeout_bino_slow",Calibration!$B:$B,Calibration!$C:$C,18),
     OR(C123="P",C123="Q",C123="R"),XLOOKUP("timeout_near_slow",Calibration!$B:$B,Calibration!$C:$C,28),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AJ123=TRUE,"ESCALATE",
C123="A",
IF(OR(I123="NOT_READABLE",I123="BLURRY",AND(R123="20_20_20",I123="READABLE")),"B","A"),
C123="B",
IF(reEsc,"ESCALATE",IF(AY123&gt;=phaseMax,"ESCALATE",IF(AND(AV123&gt;=AW123,I123="READABLE"),"E","B"))),
C123="E",
IF(AY123&gt;=phaseMax,"ESCALATE",IF(OR(I123="SAME",I123="CANT_TELL",AD123&lt;axisTol),"F","E")),
C123="F",
IF(AY123&gt;=phaseMax,"ESCALATE",IF(AX123&gt;=powerSameN,"G","F")),
C123="G",
IF(AY123&gt;=phaseMax,"ESCALATE",IF(OR(AX123&gt;=duoEqualN,BB123&gt;=duoMax),"D","G")),
C123="D",
IF(leEsc,"ESCALATE",IF(AY123&gt;=phaseMax,"ESCALATE",IF(AND(AV123&gt;=AW123,I123="READABLE"),"H","D"))),
C123="H",
IF(AY123&gt;=phaseMax,"ESCALATE",IF(OR(I123="SAME",I123="CANT_TELL",AD123&lt;axisTol),"I","H")),
C123="I",
IF(AY123&gt;=phaseMax,"ESCALATE",IF(AX123&gt;=powerSameN,"J","I")),
C123="J",
IF(AY123&gt;=phaseMax,"ESCALATE",IF(OR(AX123&gt;=duoEqualN,BB123&gt;=duoMax),"K","J")),
C123="K",
IF(AY123&gt;=phaseMax,"ESCALATE",IF(AX123&gt;=binoSameN,IF(XLOOKUP($B123,Derived_Variables!$A:$A,Derived_Variables!$AJ:$AJ,FALSE)=TRUE,"P","END"),"K")),
C123="P",
IF(AY123&gt;=phaseMax,"ESCALATE",IF(OR(I123="READABLE",I123="SAME"),"Q","P")),
C123="Q",
IF(AY123&gt;=phaseMax,"ESCALATE",IF(OR(I123="READABLE",I123="SAME"),"R","Q")),
C123="R",
IF(AY123&gt;=phaseMax,"ESCALATE",IF(OR(I123=nearTarget,I123="SAME"),"END","R")),
TRUE,"END"
)))</f>
        <v/>
      </c>
      <c r="BD123" s="28" t="b">
        <f t="shared" si="19"/>
        <v>0</v>
      </c>
    </row>
    <row r="124" ht="15.75" customHeight="1">
      <c r="A124" s="28">
        <f t="shared" si="3"/>
        <v>123</v>
      </c>
      <c r="B124" s="28">
        <f t="shared" si="4"/>
        <v>6</v>
      </c>
      <c r="C124" s="28" t="str">
        <f t="shared" si="5"/>
        <v/>
      </c>
      <c r="D124" s="28" t="str">
        <f t="array" ref="D124">IF($I123="","",XLOOKUP(C124,FSM_State_Map!A:A,FSM_State_Map!B:B,""))</f>
        <v/>
      </c>
      <c r="E124" s="28" t="str">
        <f t="array" ref="E124">IF($I123="","",XLOOKUP(C124,FSM_State_Map!A:A,FSM_State_Map!C:C,""))</f>
        <v/>
      </c>
      <c r="F124" s="28" t="str">
        <f t="array" ref="F124">IF($I123="","",XLOOKUP(E124,Phase_UI_Map!A:A,Phase_UI_Map!B:B,""))</f>
        <v/>
      </c>
      <c r="G124" s="28" t="str">
        <f t="array" ref="G124">IF($I123="","",XLOOKUP(E124,Phase_UI_Map!A:A,Phase_UI_Map!C:C,""))</f>
        <v/>
      </c>
      <c r="H124" s="28" t="str">
        <f t="array" ref="H124">IF($I123="","",XLOOKUP(E124,Phase_UI_Map!A:A,Phase_UI_Map!D:D,""))</f>
        <v/>
      </c>
      <c r="I124" s="29"/>
      <c r="J124" s="28" t="str">
        <f>IFERROR(__xludf.DUMMYFUNCTION("IF($I123="""","""",IFERROR(INDEX(FILTER(Response_Lists!$B:$B,Response_Lists!$A:$A=$H124),1),""""))"),"")</f>
        <v/>
      </c>
      <c r="K124" s="28" t="str">
        <f>IFERROR(__xludf.DUMMYFUNCTION("IF($I123="""","""",IFERROR(INDEX(FILTER(Response_Lists!$B:$B,Response_Lists!$A:$A=$H124),2),""""))"),"")</f>
        <v/>
      </c>
      <c r="L124" s="28" t="str">
        <f>IFERROR(__xludf.DUMMYFUNCTION("IF($I123="""","""",IFERROR(INDEX(FILTER(Response_Lists!$B:$B,Response_Lists!$A:$A=$H124),3),""""))"),"")</f>
        <v/>
      </c>
      <c r="M124" s="28" t="str">
        <f>IFERROR(__xludf.DUMMYFUNCTION("IF($I123="""","""",IFERROR(INDEX(FILTER(Response_Lists!$B:$B,Response_Lists!$A:$A=$H124),4),""""))"),"")</f>
        <v/>
      </c>
      <c r="N124" s="28" t="str">
        <f>IFERROR(__xludf.DUMMYFUNCTION("IF($I123="""","""",IFERROR(INDEX(FILTER(Response_Lists!$B:$B,Response_Lists!$A:$A=$H124),5),""""))"),"")</f>
        <v/>
      </c>
      <c r="O124" s="28" t="str">
        <f>IFERROR(__xludf.DUMMYFUNCTION("IF($I123="""","""",IFERROR(INDEX(FILTER(Response_Lists!$B:$B,Response_Lists!$A:$A=$H124),6),""""))"),"")</f>
        <v/>
      </c>
      <c r="P124" s="28" t="str">
        <f t="shared" si="6"/>
        <v/>
      </c>
      <c r="Q124" s="28" t="str">
        <f t="array" ref="Q124">IF($I123="","",XLOOKUP(C124,FSM_State_Map!A:A,FSM_State_Map!D:D,""))</f>
        <v/>
      </c>
      <c r="R124" s="28" t="str">
        <f t="shared" si="7"/>
        <v/>
      </c>
      <c r="S124" s="28" t="str">
        <f t="array" ref="S124">IF($I123="","",
IF(
  AND(C124="B",C123&lt;&gt;"B"),
  XLOOKUP($B124,Derived_Variables!$A:$A,Derived_Variables!$K:$K,0)
  + XLOOKUP($B124,Derived_Variables!$A:$A,Derived_Variables!$AE:$AE,0),
  S123+AM123
))</f>
        <v/>
      </c>
      <c r="T124" s="28" t="str">
        <f t="shared" ref="T124:U124" si="258">IF($I123="","",T123+AN123)</f>
        <v/>
      </c>
      <c r="U124" s="28" t="str">
        <f t="shared" si="258"/>
        <v/>
      </c>
      <c r="V124" s="28" t="str">
        <f t="array" ref="V124">IF($I123="","",
IF(
  AND(C124="D",C123&lt;&gt;"D"),
  XLOOKUP($B124,Derived_Variables!$A:$A,Derived_Variables!$N:$N,0)
  + XLOOKUP($B124,Derived_Variables!$A:$A,Derived_Variables!$AE:$AE,0),
  V123+AP123
))</f>
        <v/>
      </c>
      <c r="W124" s="28" t="str">
        <f t="shared" ref="W124:X124" si="259">IF($I123="","",W123+AQ123)</f>
        <v/>
      </c>
      <c r="X124" s="28" t="str">
        <f t="shared" si="259"/>
        <v/>
      </c>
      <c r="Y124" s="28" t="str">
        <f t="array" ref="Y124">IF($I123="","",IF(AND(C124="P",C123&lt;&gt;"P"),IFERROR(XLOOKUP($B124,Lenso_Input!$A:$A,Lenso_Input!$E:$E,0),0),Y123+AS123))</f>
        <v/>
      </c>
      <c r="Z124" s="28" t="str">
        <f t="array" ref="Z124">IF($I123="","",IF(AND(C124="Q",C123&lt;&gt;"Q"),IFERROR(XLOOKUP($B124,Lenso_Input!$A:$A,Lenso_Input!$I:$I,0),0),Z123+AT123))</f>
        <v/>
      </c>
      <c r="AA124" s="28" t="str">
        <f t="array" ref="AA124">IF($I123="","",IF(XLOOKUP($B124,Derived_Variables!$A:$A,Derived_Variables!$R:$R,"6/6_target")="6/6_target","20_20_20","40_30_25"))</f>
        <v/>
      </c>
      <c r="AB124" s="28" t="str">
        <f t="array" ref="AB124">IF($I123="","",XLOOKUP(LOWER(XLOOKUP($B124,Derived_Variables!$A:$A,Derived_Variables!$T:$T,"Standard"))&amp;"_sph_step",Calibration!$B:$B,Calibration!$C:$C,0.25))</f>
        <v/>
      </c>
      <c r="AC124" s="28" t="str">
        <f t="array" ref="AC124">IF($I123="","",XLOOKUP(LOWER(XLOOKUP($B124,Derived_Variables!$A:$A,Derived_Variables!$T:$T,"Standard"))&amp;"_cyl_step",Calibration!$B:$B,Calibration!$C:$C,0.25))</f>
        <v/>
      </c>
      <c r="AD124" s="28" t="str">
        <f t="array" ref="AD124">IF($I123="","",IF(OR(C124="E",C124="H"),LET(startStep,XLOOKUP("axis_start_step",Calibration!$B:$B,Calibration!$C:$C,5),step1,XLOOKUP("axis_reversal_step_1",Calibration!$B:$B,Calibration!$C:$C,3),step2,XLOOKUP("axis_reversal_step_2",Calibration!$B:$B,Calibration!$C:$C,1),IF(OR(C123&lt;&gt;C124,AZ124="",AZ124="SAME",AZ124="CANT_TELL",I124="",I124="SAME",I124="CANT_TELL"),startStep,IF(OR(AND(AZ124="BETTER_1",I124="BETTER_2"),AND(AZ124="BETTER_2",I124="BETTER_1")),IF(AD123&gt;step1,step1,step2),AD123))),0))</f>
        <v/>
      </c>
      <c r="AE124" s="28" t="str">
        <f t="array" ref="AE124">IF($I123="","",XLOOKUP($B124,Derived_Variables!$A:$A,Derived_Variables!$AD:$AD,"No_Fog"))</f>
        <v/>
      </c>
      <c r="AF124" s="28" t="str">
        <f t="array" ref="AF124">IF($I123="","",XLOOKUP($B124,Derived_Variables!$A:$A,Derived_Variables!$AE:$AE,0))</f>
        <v/>
      </c>
      <c r="AG124" s="28" t="str">
        <f t="array" ref="AG124">IF($I123="","",XLOOKUP($B124,Derived_Variables!$A:$A,Derived_Variables!$AF:$AF,""))</f>
        <v/>
      </c>
      <c r="AH124" s="28" t="str">
        <f t="array" ref="AH124">IF($I123="","",XLOOKUP($B124,Derived_Variables!$A:$A,Derived_Variables!$AG:$AG,""))</f>
        <v/>
      </c>
      <c r="AI124" s="28" t="str">
        <f t="array" ref="AI124">IF($I123="","",XLOOKUP($B124,Derived_Variables!$A:$A,Derived_Variables!$AC:$AC,"Medium"))</f>
        <v/>
      </c>
      <c r="AJ124" s="28" t="str">
        <f t="array" ref="AJ124">IF($I123="","",XLOOKUP($B124,Derived_Variables!$A:$A,Derived_Variables!$Y:$Y,FALSE))</f>
        <v/>
      </c>
      <c r="AK124" s="28" t="str">
        <f t="array" ref="AK124">IF($I123="","",XLOOKUP($B124,Derived_Variables!$A:$A,Derived_Variables!$AA:$AA,"Normal"))</f>
        <v/>
      </c>
      <c r="AL124" s="28" t="str">
        <f t="array" ref="AL124">IF($I123="","",XLOOKUP($B124,Derived_Variables!$A:$A,Derived_Variables!$AB:$AB,"Normal"))</f>
        <v/>
      </c>
      <c r="AM124" s="28" t="str">
        <f t="array" ref="AM124">IF($I124="","",IFS(C124="B",IF(OR(I124="NOT_READABLE",I124="BLURRY"),-AB124,0),C124="G",IFS(I124="RED_CLEARER",XLOOKUP("duochrome_red_step",Calibration!$B:$B,Calibration!$C:$C,-0.25),I124="GREEN_CLEARER",XLOOKUP("duochrome_green_step",Calibration!$B:$B,Calibration!$C:$C,0.25),I124="EQUAL",IF(XLOOKUP($B124,Derived_Variables!$A:$A,Derived_Variables!$S:$S,"Neutral")="Undercorrect",XLOOKUP("undercorrect_step",Calibration!$B:$B,Calibration!$C:$C,0.25),IF(XLOOKUP($B124,Derived_Variables!$A:$A,Derived_Variables!$S:$S,"Neutral")="Overcorrect",-XLOOKUP("overcorrect_step",Calibration!$B:$B,Calibration!$C:$C,0.25),0)),TRUE,0),C124="K",IF(I124="TOP_CLEARER",XLOOKUP("bino_balance_step",Calibration!$B:$B,Calibration!$C:$C,0.25),0),TRUE,0))</f>
        <v/>
      </c>
      <c r="AN124" s="28" t="str">
        <f t="shared" si="10"/>
        <v/>
      </c>
      <c r="AO124" s="28" t="str">
        <f t="shared" si="11"/>
        <v/>
      </c>
      <c r="AP124" s="28" t="str">
        <f t="array" ref="AP124">IF($I124="","",IFS(C124="D",IF(OR(I124="NOT_READABLE",I124="BLURRY"),-AB124,0),C124="J",IFS(I124="RED_CLEARER",XLOOKUP("duochrome_red_step",Calibration!$B:$B,Calibration!$C:$C,-0.25),I124="GREEN_CLEARER",XLOOKUP("duochrome_green_step",Calibration!$B:$B,Calibration!$C:$C,0.25),I124="EQUAL",IF(XLOOKUP($B124,Derived_Variables!$A:$A,Derived_Variables!$S:$S,"Neutral")="Undercorrect",XLOOKUP("undercorrect_step",Calibration!$B:$B,Calibration!$C:$C,0.25),IF(XLOOKUP($B124,Derived_Variables!$A:$A,Derived_Variables!$S:$S,"Neutral")="Overcorrect",-XLOOKUP("overcorrect_step",Calibration!$B:$B,Calibration!$C:$C,0.25),0)),TRUE,0),C124="K",IF(I124="BOTTOM_CLEARER",XLOOKUP("bino_balance_step",Calibration!$B:$B,Calibration!$C:$C,0.25),0),TRUE,0))</f>
        <v/>
      </c>
      <c r="AQ124" s="28" t="str">
        <f t="shared" si="12"/>
        <v/>
      </c>
      <c r="AR124" s="28" t="str">
        <f t="shared" si="13"/>
        <v/>
      </c>
      <c r="AS124" s="28" t="str">
        <f t="array" ref="AS124">IF($I124="","",IF(C124="P",IF(OR(I124="NOT_READABLE",I124="BLURRY"),XLOOKUP("near_add_step",Calibration!$B:$B,Calibration!$C:$C,0.25),0),IF(C124="R",IF(I124="NOT_CLEAR",XLOOKUP("near_add_step",Calibration!$B:$B,Calibration!$C:$C,0.25),0),0)))</f>
        <v/>
      </c>
      <c r="AT124" s="28" t="str">
        <f t="array" ref="AT124">IF($I124="","",IF(C124="Q",IF(OR(I124="NOT_READABLE",I124="BLURRY"),XLOOKUP("near_add_step",Calibration!$B:$B,Calibration!$C:$C,0.25),0),IF(C124="R",IF(I124="NOT_CLEAR",XLOOKUP("near_add_step",Calibration!$B:$B,Calibration!$C:$C,0.25),0),0)))</f>
        <v/>
      </c>
      <c r="AU124" s="28" t="str">
        <f t="array" ref="AU124">IF($I124="","",IF(G124="SNELLEN_FEET",IF(I124="READABLE",IFERROR(XLOOKUP(XLOOKUP(R124,Chart_Scale_Distance!B:B,Chart_Scale_Distance!A:A)+1,Chart_Scale_Distance!A:A,Chart_Scale_Distance!B:B),R124),R124),R124))</f>
        <v/>
      </c>
      <c r="AV124" s="28" t="str">
        <f t="array" ref="AV124">IF($I123="","",IFERROR(XLOOKUP(R124,Chart_Scale_Distance!$B:$B,Chart_Scale_Distance!$A:$A,""),""))</f>
        <v/>
      </c>
      <c r="AW124" s="28" t="str">
        <f t="array" ref="AW124">IF($I123="","",IFERROR(XLOOKUP(AA124,Chart_Scale_Distance!$B:$B,Chart_Scale_Distance!$A:$A,""),""))</f>
        <v/>
      </c>
      <c r="AX124" s="28" t="str">
        <f t="shared" si="14"/>
        <v/>
      </c>
      <c r="AY124" s="28" t="str">
        <f t="shared" si="15"/>
        <v/>
      </c>
      <c r="AZ124" s="28" t="str">
        <f t="shared" si="16"/>
        <v/>
      </c>
      <c r="BA124" s="28" t="str">
        <f t="shared" si="17"/>
        <v/>
      </c>
      <c r="BB124" s="28" t="str">
        <f t="shared" si="18"/>
        <v/>
      </c>
      <c r="BC124" s="28" t="str">
        <f t="array" ref="BC124">IF($I124="","",LET(
conf,AI124,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duoMax,XLOOKUP($B124,Derived_Variables!$A:$A,Derived_Variables!$AI:$AI,4),
axisTol,XLOOKUP($B124,Derived_Variables!$A:$A,Derived_Variables!$W:$W,1),
maxStart,XLOOKUP($B124,Derived_Variables!$A:$A,Derived_Variables!$U:$U,1.25),
maxAR,XLOOKUP($B124,Derived_Variables!$A:$A,Derived_Variables!$V:$V,3),
anom,XLOOKUP($B124,Derived_Variables!$A:$A,Derived_Variables!$Z:$Z,FALSE),
reStart,XLOOKUP($B124,Derived_Variables!$A:$A,Derived_Variables!$K:$K,0),
leStart,XLOOKUP($B124,Derived_Variables!$A:$A,Derived_Variables!$N:$N,0),
reAR,XLOOKUP($B124,AR_Input!$A:$A,AR_Input!$B:$B,reStart),
leAR,XLOOKUP($B124,AR_Input!$A:$A,AR_Input!$E:$E,leStart),
reEsc,AND(anom,OR(ABS((S124+AM124)-reStart)&gt;maxStart,ABS((S124+AM124)-reAR)&gt;maxAR)),
leEsc,AND(anom,OR(ABS((V124+AP124)-leStart)&gt;maxStart,ABS((V124+AP124)-leAR)&gt;maxAR)),
phaseMax,IFS(
 AK124="Fast",
   IFS(
     OR(C124="B",C124="D"),XLOOKUP("timeout_coarse_fast",Calibration!$B:$B,Calibration!$C:$C,24),
     OR(C124="E",C124="F",C124="H",C124="I"),XLOOKUP("timeout_jcc_fast",Calibration!$B:$B,Calibration!$C:$C,10),
     OR(C124="G",C124="J"),XLOOKUP("timeout_duochrome_fast",Calibration!$B:$B,Calibration!$C:$C,8),
     C124="K",XLOOKUP("timeout_bino_fast",Calibration!$B:$B,Calibration!$C:$C,10),
     OR(C124="P",C124="Q",C124="R"),XLOOKUP("timeout_near_fast",Calibration!$B:$B,Calibration!$C:$C,16),
     TRUE,XLOOKUP("timeout_coarse_fast",Calibration!$B:$B,Calibration!$C:$C,24)
   ),
 AK124="Normal",
   IFS(
     OR(C124="B",C124="D"),XLOOKUP("timeout_coarse_normal",Calibration!$B:$B,Calibration!$C:$C,36),
     OR(C124="E",C124="F",C124="H",C124="I"),XLOOKUP("timeout_jcc_normal",Calibration!$B:$B,Calibration!$C:$C,14),
     OR(C124="G",C124="J"),XLOOKUP("timeout_duochrome_normal",Calibration!$B:$B,Calibration!$C:$C,10),
     C124="K",XLOOKUP("timeout_bino_normal",Calibration!$B:$B,Calibration!$C:$C,14),
     OR(C124="P",C124="Q",C124="R"),XLOOKUP("timeout_near_normal",Calibration!$B:$B,Calibration!$C:$C,22),
     TRUE,XLOOKUP("timeout_coarse_normal",Calibration!$B:$B,Calibration!$C:$C,36)
   ),
 TRUE,
   IFS(
     OR(C124="B",C124="D"),XLOOKUP("timeout_coarse_slow",Calibration!$B:$B,Calibration!$C:$C,48),
     OR(C124="E",C124="F",C124="H",C124="I"),XLOOKUP("timeout_jcc_slow",Calibration!$B:$B,Calibration!$C:$C,18),
     OR(C124="G",C124="J"),XLOOKUP("timeout_duochrome_slow",Calibration!$B:$B,Calibration!$C:$C,12),
     C124="K",XLOOKUP("timeout_bino_slow",Calibration!$B:$B,Calibration!$C:$C,18),
     OR(C124="P",C124="Q",C124="R"),XLOOKUP("timeout_near_slow",Calibration!$B:$B,Calibration!$C:$C,28),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AJ124=TRUE,"ESCALATE",
C124="A",
IF(OR(I124="NOT_READABLE",I124="BLURRY",AND(R124="20_20_20",I124="READABLE")),"B","A"),
C124="B",
IF(reEsc,"ESCALATE",IF(AY124&gt;=phaseMax,"ESCALATE",IF(AND(AV124&gt;=AW124,I124="READABLE"),"E","B"))),
C124="E",
IF(AY124&gt;=phaseMax,"ESCALATE",IF(OR(I124="SAME",I124="CANT_TELL",AD124&lt;axisTol),"F","E")),
C124="F",
IF(AY124&gt;=phaseMax,"ESCALATE",IF(AX124&gt;=powerSameN,"G","F")),
C124="G",
IF(AY124&gt;=phaseMax,"ESCALATE",IF(OR(AX124&gt;=duoEqualN,BB124&gt;=duoMax),"D","G")),
C124="D",
IF(leEsc,"ESCALATE",IF(AY124&gt;=phaseMax,"ESCALATE",IF(AND(AV124&gt;=AW124,I124="READABLE"),"H","D"))),
C124="H",
IF(AY124&gt;=phaseMax,"ESCALATE",IF(OR(I124="SAME",I124="CANT_TELL",AD124&lt;axisTol),"I","H")),
C124="I",
IF(AY124&gt;=phaseMax,"ESCALATE",IF(AX124&gt;=powerSameN,"J","I")),
C124="J",
IF(AY124&gt;=phaseMax,"ESCALATE",IF(OR(AX124&gt;=duoEqualN,BB124&gt;=duoMax),"K","J")),
C124="K",
IF(AY124&gt;=phaseMax,"ESCALATE",IF(AX124&gt;=binoSameN,IF(XLOOKUP($B124,Derived_Variables!$A:$A,Derived_Variables!$AJ:$AJ,FALSE)=TRUE,"P","END"),"K")),
C124="P",
IF(AY124&gt;=phaseMax,"ESCALATE",IF(OR(I124="READABLE",I124="SAME"),"Q","P")),
C124="Q",
IF(AY124&gt;=phaseMax,"ESCALATE",IF(OR(I124="READABLE",I124="SAME"),"R","Q")),
C124="R",
IF(AY124&gt;=phaseMax,"ESCALATE",IF(OR(I124=nearTarget,I124="SAME"),"END","R")),
TRUE,"END"
)))</f>
        <v/>
      </c>
      <c r="BD124" s="28" t="b">
        <f t="shared" si="19"/>
        <v>0</v>
      </c>
    </row>
    <row r="125" ht="15.75" customHeight="1">
      <c r="A125" s="28">
        <f t="shared" si="3"/>
        <v>124</v>
      </c>
      <c r="B125" s="28">
        <f t="shared" si="4"/>
        <v>6</v>
      </c>
      <c r="C125" s="28" t="str">
        <f t="shared" si="5"/>
        <v/>
      </c>
      <c r="D125" s="28" t="str">
        <f t="array" ref="D125">IF($I124="","",XLOOKUP(C125,FSM_State_Map!A:A,FSM_State_Map!B:B,""))</f>
        <v/>
      </c>
      <c r="E125" s="28" t="str">
        <f t="array" ref="E125">IF($I124="","",XLOOKUP(C125,FSM_State_Map!A:A,FSM_State_Map!C:C,""))</f>
        <v/>
      </c>
      <c r="F125" s="28" t="str">
        <f t="array" ref="F125">IF($I124="","",XLOOKUP(E125,Phase_UI_Map!A:A,Phase_UI_Map!B:B,""))</f>
        <v/>
      </c>
      <c r="G125" s="28" t="str">
        <f t="array" ref="G125">IF($I124="","",XLOOKUP(E125,Phase_UI_Map!A:A,Phase_UI_Map!C:C,""))</f>
        <v/>
      </c>
      <c r="H125" s="28" t="str">
        <f t="array" ref="H125">IF($I124="","",XLOOKUP(E125,Phase_UI_Map!A:A,Phase_UI_Map!D:D,""))</f>
        <v/>
      </c>
      <c r="I125" s="29"/>
      <c r="J125" s="28" t="str">
        <f>IFERROR(__xludf.DUMMYFUNCTION("IF($I124="""","""",IFERROR(INDEX(FILTER(Response_Lists!$B:$B,Response_Lists!$A:$A=$H125),1),""""))"),"")</f>
        <v/>
      </c>
      <c r="K125" s="28" t="str">
        <f>IFERROR(__xludf.DUMMYFUNCTION("IF($I124="""","""",IFERROR(INDEX(FILTER(Response_Lists!$B:$B,Response_Lists!$A:$A=$H125),2),""""))"),"")</f>
        <v/>
      </c>
      <c r="L125" s="28" t="str">
        <f>IFERROR(__xludf.DUMMYFUNCTION("IF($I124="""","""",IFERROR(INDEX(FILTER(Response_Lists!$B:$B,Response_Lists!$A:$A=$H125),3),""""))"),"")</f>
        <v/>
      </c>
      <c r="M125" s="28" t="str">
        <f>IFERROR(__xludf.DUMMYFUNCTION("IF($I124="""","""",IFERROR(INDEX(FILTER(Response_Lists!$B:$B,Response_Lists!$A:$A=$H125),4),""""))"),"")</f>
        <v/>
      </c>
      <c r="N125" s="28" t="str">
        <f>IFERROR(__xludf.DUMMYFUNCTION("IF($I124="""","""",IFERROR(INDEX(FILTER(Response_Lists!$B:$B,Response_Lists!$A:$A=$H125),5),""""))"),"")</f>
        <v/>
      </c>
      <c r="O125" s="28" t="str">
        <f>IFERROR(__xludf.DUMMYFUNCTION("IF($I124="""","""",IFERROR(INDEX(FILTER(Response_Lists!$B:$B,Response_Lists!$A:$A=$H125),6),""""))"),"")</f>
        <v/>
      </c>
      <c r="P125" s="28" t="str">
        <f t="shared" si="6"/>
        <v/>
      </c>
      <c r="Q125" s="28" t="str">
        <f t="array" ref="Q125">IF($I124="","",XLOOKUP(C125,FSM_State_Map!A:A,FSM_State_Map!D:D,""))</f>
        <v/>
      </c>
      <c r="R125" s="28" t="str">
        <f t="shared" si="7"/>
        <v/>
      </c>
      <c r="S125" s="28" t="str">
        <f t="array" ref="S125">IF($I124="","",
IF(
  AND(C125="B",C124&lt;&gt;"B"),
  XLOOKUP($B125,Derived_Variables!$A:$A,Derived_Variables!$K:$K,0)
  + XLOOKUP($B125,Derived_Variables!$A:$A,Derived_Variables!$AE:$AE,0),
  S124+AM124
))</f>
        <v/>
      </c>
      <c r="T125" s="28" t="str">
        <f t="shared" ref="T125:U125" si="260">IF($I124="","",T124+AN124)</f>
        <v/>
      </c>
      <c r="U125" s="28" t="str">
        <f t="shared" si="260"/>
        <v/>
      </c>
      <c r="V125" s="28" t="str">
        <f t="array" ref="V125">IF($I124="","",
IF(
  AND(C125="D",C124&lt;&gt;"D"),
  XLOOKUP($B125,Derived_Variables!$A:$A,Derived_Variables!$N:$N,0)
  + XLOOKUP($B125,Derived_Variables!$A:$A,Derived_Variables!$AE:$AE,0),
  V124+AP124
))</f>
        <v/>
      </c>
      <c r="W125" s="28" t="str">
        <f t="shared" ref="W125:X125" si="261">IF($I124="","",W124+AQ124)</f>
        <v/>
      </c>
      <c r="X125" s="28" t="str">
        <f t="shared" si="261"/>
        <v/>
      </c>
      <c r="Y125" s="28" t="str">
        <f t="array" ref="Y125">IF($I124="","",IF(AND(C125="P",C124&lt;&gt;"P"),IFERROR(XLOOKUP($B125,Lenso_Input!$A:$A,Lenso_Input!$E:$E,0),0),Y124+AS124))</f>
        <v/>
      </c>
      <c r="Z125" s="28" t="str">
        <f t="array" ref="Z125">IF($I124="","",IF(AND(C125="Q",C124&lt;&gt;"Q"),IFERROR(XLOOKUP($B125,Lenso_Input!$A:$A,Lenso_Input!$I:$I,0),0),Z124+AT124))</f>
        <v/>
      </c>
      <c r="AA125" s="28" t="str">
        <f t="array" ref="AA125">IF($I124="","",IF(XLOOKUP($B125,Derived_Variables!$A:$A,Derived_Variables!$R:$R,"6/6_target")="6/6_target","20_20_20","40_30_25"))</f>
        <v/>
      </c>
      <c r="AB125" s="28" t="str">
        <f t="array" ref="AB125">IF($I124="","",XLOOKUP(LOWER(XLOOKUP($B125,Derived_Variables!$A:$A,Derived_Variables!$T:$T,"Standard"))&amp;"_sph_step",Calibration!$B:$B,Calibration!$C:$C,0.25))</f>
        <v/>
      </c>
      <c r="AC125" s="28" t="str">
        <f t="array" ref="AC125">IF($I124="","",XLOOKUP(LOWER(XLOOKUP($B125,Derived_Variables!$A:$A,Derived_Variables!$T:$T,"Standard"))&amp;"_cyl_step",Calibration!$B:$B,Calibration!$C:$C,0.25))</f>
        <v/>
      </c>
      <c r="AD125" s="28" t="str">
        <f t="array" ref="AD125">IF($I124="","",IF(OR(C125="E",C125="H"),LET(startStep,XLOOKUP("axis_start_step",Calibration!$B:$B,Calibration!$C:$C,5),step1,XLOOKUP("axis_reversal_step_1",Calibration!$B:$B,Calibration!$C:$C,3),step2,XLOOKUP("axis_reversal_step_2",Calibration!$B:$B,Calibration!$C:$C,1),IF(OR(C124&lt;&gt;C125,AZ125="",AZ125="SAME",AZ125="CANT_TELL",I125="",I125="SAME",I125="CANT_TELL"),startStep,IF(OR(AND(AZ125="BETTER_1",I125="BETTER_2"),AND(AZ125="BETTER_2",I125="BETTER_1")),IF(AD124&gt;step1,step1,step2),AD124))),0))</f>
        <v/>
      </c>
      <c r="AE125" s="28" t="str">
        <f t="array" ref="AE125">IF($I124="","",XLOOKUP($B125,Derived_Variables!$A:$A,Derived_Variables!$AD:$AD,"No_Fog"))</f>
        <v/>
      </c>
      <c r="AF125" s="28" t="str">
        <f t="array" ref="AF125">IF($I124="","",XLOOKUP($B125,Derived_Variables!$A:$A,Derived_Variables!$AE:$AE,0))</f>
        <v/>
      </c>
      <c r="AG125" s="28" t="str">
        <f t="array" ref="AG125">IF($I124="","",XLOOKUP($B125,Derived_Variables!$A:$A,Derived_Variables!$AF:$AF,""))</f>
        <v/>
      </c>
      <c r="AH125" s="28" t="str">
        <f t="array" ref="AH125">IF($I124="","",XLOOKUP($B125,Derived_Variables!$A:$A,Derived_Variables!$AG:$AG,""))</f>
        <v/>
      </c>
      <c r="AI125" s="28" t="str">
        <f t="array" ref="AI125">IF($I124="","",XLOOKUP($B125,Derived_Variables!$A:$A,Derived_Variables!$AC:$AC,"Medium"))</f>
        <v/>
      </c>
      <c r="AJ125" s="28" t="str">
        <f t="array" ref="AJ125">IF($I124="","",XLOOKUP($B125,Derived_Variables!$A:$A,Derived_Variables!$Y:$Y,FALSE))</f>
        <v/>
      </c>
      <c r="AK125" s="28" t="str">
        <f t="array" ref="AK125">IF($I124="","",XLOOKUP($B125,Derived_Variables!$A:$A,Derived_Variables!$AA:$AA,"Normal"))</f>
        <v/>
      </c>
      <c r="AL125" s="28" t="str">
        <f t="array" ref="AL125">IF($I124="","",XLOOKUP($B125,Derived_Variables!$A:$A,Derived_Variables!$AB:$AB,"Normal"))</f>
        <v/>
      </c>
      <c r="AM125" s="28" t="str">
        <f t="array" ref="AM125">IF($I125="","",IFS(C125="B",IF(OR(I125="NOT_READABLE",I125="BLURRY"),-AB125,0),C125="G",IFS(I125="RED_CLEARER",XLOOKUP("duochrome_red_step",Calibration!$B:$B,Calibration!$C:$C,-0.25),I125="GREEN_CLEARER",XLOOKUP("duochrome_green_step",Calibration!$B:$B,Calibration!$C:$C,0.25),I125="EQUAL",IF(XLOOKUP($B125,Derived_Variables!$A:$A,Derived_Variables!$S:$S,"Neutral")="Undercorrect",XLOOKUP("undercorrect_step",Calibration!$B:$B,Calibration!$C:$C,0.25),IF(XLOOKUP($B125,Derived_Variables!$A:$A,Derived_Variables!$S:$S,"Neutral")="Overcorrect",-XLOOKUP("overcorrect_step",Calibration!$B:$B,Calibration!$C:$C,0.25),0)),TRUE,0),C125="K",IF(I125="TOP_CLEARER",XLOOKUP("bino_balance_step",Calibration!$B:$B,Calibration!$C:$C,0.25),0),TRUE,0))</f>
        <v/>
      </c>
      <c r="AN125" s="28" t="str">
        <f t="shared" si="10"/>
        <v/>
      </c>
      <c r="AO125" s="28" t="str">
        <f t="shared" si="11"/>
        <v/>
      </c>
      <c r="AP125" s="28" t="str">
        <f t="array" ref="AP125">IF($I125="","",IFS(C125="D",IF(OR(I125="NOT_READABLE",I125="BLURRY"),-AB125,0),C125="J",IFS(I125="RED_CLEARER",XLOOKUP("duochrome_red_step",Calibration!$B:$B,Calibration!$C:$C,-0.25),I125="GREEN_CLEARER",XLOOKUP("duochrome_green_step",Calibration!$B:$B,Calibration!$C:$C,0.25),I125="EQUAL",IF(XLOOKUP($B125,Derived_Variables!$A:$A,Derived_Variables!$S:$S,"Neutral")="Undercorrect",XLOOKUP("undercorrect_step",Calibration!$B:$B,Calibration!$C:$C,0.25),IF(XLOOKUP($B125,Derived_Variables!$A:$A,Derived_Variables!$S:$S,"Neutral")="Overcorrect",-XLOOKUP("overcorrect_step",Calibration!$B:$B,Calibration!$C:$C,0.25),0)),TRUE,0),C125="K",IF(I125="BOTTOM_CLEARER",XLOOKUP("bino_balance_step",Calibration!$B:$B,Calibration!$C:$C,0.25),0),TRUE,0))</f>
        <v/>
      </c>
      <c r="AQ125" s="28" t="str">
        <f t="shared" si="12"/>
        <v/>
      </c>
      <c r="AR125" s="28" t="str">
        <f t="shared" si="13"/>
        <v/>
      </c>
      <c r="AS125" s="28" t="str">
        <f t="array" ref="AS125">IF($I125="","",IF(C125="P",IF(OR(I125="NOT_READABLE",I125="BLURRY"),XLOOKUP("near_add_step",Calibration!$B:$B,Calibration!$C:$C,0.25),0),IF(C125="R",IF(I125="NOT_CLEAR",XLOOKUP("near_add_step",Calibration!$B:$B,Calibration!$C:$C,0.25),0),0)))</f>
        <v/>
      </c>
      <c r="AT125" s="28" t="str">
        <f t="array" ref="AT125">IF($I125="","",IF(C125="Q",IF(OR(I125="NOT_READABLE",I125="BLURRY"),XLOOKUP("near_add_step",Calibration!$B:$B,Calibration!$C:$C,0.25),0),IF(C125="R",IF(I125="NOT_CLEAR",XLOOKUP("near_add_step",Calibration!$B:$B,Calibration!$C:$C,0.25),0),0)))</f>
        <v/>
      </c>
      <c r="AU125" s="28" t="str">
        <f t="array" ref="AU125">IF($I125="","",IF(G125="SNELLEN_FEET",IF(I125="READABLE",IFERROR(XLOOKUP(XLOOKUP(R125,Chart_Scale_Distance!B:B,Chart_Scale_Distance!A:A)+1,Chart_Scale_Distance!A:A,Chart_Scale_Distance!B:B),R125),R125),R125))</f>
        <v/>
      </c>
      <c r="AV125" s="28" t="str">
        <f t="array" ref="AV125">IF($I124="","",IFERROR(XLOOKUP(R125,Chart_Scale_Distance!$B:$B,Chart_Scale_Distance!$A:$A,""),""))</f>
        <v/>
      </c>
      <c r="AW125" s="28" t="str">
        <f t="array" ref="AW125">IF($I124="","",IFERROR(XLOOKUP(AA125,Chart_Scale_Distance!$B:$B,Chart_Scale_Distance!$A:$A,""),""))</f>
        <v/>
      </c>
      <c r="AX125" s="28" t="str">
        <f t="shared" si="14"/>
        <v/>
      </c>
      <c r="AY125" s="28" t="str">
        <f t="shared" si="15"/>
        <v/>
      </c>
      <c r="AZ125" s="28" t="str">
        <f t="shared" si="16"/>
        <v/>
      </c>
      <c r="BA125" s="28" t="str">
        <f t="shared" si="17"/>
        <v/>
      </c>
      <c r="BB125" s="28" t="str">
        <f t="shared" si="18"/>
        <v/>
      </c>
      <c r="BC125" s="28" t="str">
        <f t="array" ref="BC125">IF($I125="","",LET(
conf,AI125,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duoMax,XLOOKUP($B125,Derived_Variables!$A:$A,Derived_Variables!$AI:$AI,4),
axisTol,XLOOKUP($B125,Derived_Variables!$A:$A,Derived_Variables!$W:$W,1),
maxStart,XLOOKUP($B125,Derived_Variables!$A:$A,Derived_Variables!$U:$U,1.25),
maxAR,XLOOKUP($B125,Derived_Variables!$A:$A,Derived_Variables!$V:$V,3),
anom,XLOOKUP($B125,Derived_Variables!$A:$A,Derived_Variables!$Z:$Z,FALSE),
reStart,XLOOKUP($B125,Derived_Variables!$A:$A,Derived_Variables!$K:$K,0),
leStart,XLOOKUP($B125,Derived_Variables!$A:$A,Derived_Variables!$N:$N,0),
reAR,XLOOKUP($B125,AR_Input!$A:$A,AR_Input!$B:$B,reStart),
leAR,XLOOKUP($B125,AR_Input!$A:$A,AR_Input!$E:$E,leStart),
reEsc,AND(anom,OR(ABS((S125+AM125)-reStart)&gt;maxStart,ABS((S125+AM125)-reAR)&gt;maxAR)),
leEsc,AND(anom,OR(ABS((V125+AP125)-leStart)&gt;maxStart,ABS((V125+AP125)-leAR)&gt;maxAR)),
phaseMax,IFS(
 AK125="Fast",
   IFS(
     OR(C125="B",C125="D"),XLOOKUP("timeout_coarse_fast",Calibration!$B:$B,Calibration!$C:$C,24),
     OR(C125="E",C125="F",C125="H",C125="I"),XLOOKUP("timeout_jcc_fast",Calibration!$B:$B,Calibration!$C:$C,10),
     OR(C125="G",C125="J"),XLOOKUP("timeout_duochrome_fast",Calibration!$B:$B,Calibration!$C:$C,8),
     C125="K",XLOOKUP("timeout_bino_fast",Calibration!$B:$B,Calibration!$C:$C,10),
     OR(C125="P",C125="Q",C125="R"),XLOOKUP("timeout_near_fast",Calibration!$B:$B,Calibration!$C:$C,16),
     TRUE,XLOOKUP("timeout_coarse_fast",Calibration!$B:$B,Calibration!$C:$C,24)
   ),
 AK125="Normal",
   IFS(
     OR(C125="B",C125="D"),XLOOKUP("timeout_coarse_normal",Calibration!$B:$B,Calibration!$C:$C,36),
     OR(C125="E",C125="F",C125="H",C125="I"),XLOOKUP("timeout_jcc_normal",Calibration!$B:$B,Calibration!$C:$C,14),
     OR(C125="G",C125="J"),XLOOKUP("timeout_duochrome_normal",Calibration!$B:$B,Calibration!$C:$C,10),
     C125="K",XLOOKUP("timeout_bino_normal",Calibration!$B:$B,Calibration!$C:$C,14),
     OR(C125="P",C125="Q",C125="R"),XLOOKUP("timeout_near_normal",Calibration!$B:$B,Calibration!$C:$C,22),
     TRUE,XLOOKUP("timeout_coarse_normal",Calibration!$B:$B,Calibration!$C:$C,36)
   ),
 TRUE,
   IFS(
     OR(C125="B",C125="D"),XLOOKUP("timeout_coarse_slow",Calibration!$B:$B,Calibration!$C:$C,48),
     OR(C125="E",C125="F",C125="H",C125="I"),XLOOKUP("timeout_jcc_slow",Calibration!$B:$B,Calibration!$C:$C,18),
     OR(C125="G",C125="J"),XLOOKUP("timeout_duochrome_slow",Calibration!$B:$B,Calibration!$C:$C,12),
     C125="K",XLOOKUP("timeout_bino_slow",Calibration!$B:$B,Calibration!$C:$C,18),
     OR(C125="P",C125="Q",C125="R"),XLOOKUP("timeout_near_slow",Calibration!$B:$B,Calibration!$C:$C,28),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AJ125=TRUE,"ESCALATE",
C125="A",
IF(OR(I125="NOT_READABLE",I125="BLURRY",AND(R125="20_20_20",I125="READABLE")),"B","A"),
C125="B",
IF(reEsc,"ESCALATE",IF(AY125&gt;=phaseMax,"ESCALATE",IF(AND(AV125&gt;=AW125,I125="READABLE"),"E","B"))),
C125="E",
IF(AY125&gt;=phaseMax,"ESCALATE",IF(OR(I125="SAME",I125="CANT_TELL",AD125&lt;axisTol),"F","E")),
C125="F",
IF(AY125&gt;=phaseMax,"ESCALATE",IF(AX125&gt;=powerSameN,"G","F")),
C125="G",
IF(AY125&gt;=phaseMax,"ESCALATE",IF(OR(AX125&gt;=duoEqualN,BB125&gt;=duoMax),"D","G")),
C125="D",
IF(leEsc,"ESCALATE",IF(AY125&gt;=phaseMax,"ESCALATE",IF(AND(AV125&gt;=AW125,I125="READABLE"),"H","D"))),
C125="H",
IF(AY125&gt;=phaseMax,"ESCALATE",IF(OR(I125="SAME",I125="CANT_TELL",AD125&lt;axisTol),"I","H")),
C125="I",
IF(AY125&gt;=phaseMax,"ESCALATE",IF(AX125&gt;=powerSameN,"J","I")),
C125="J",
IF(AY125&gt;=phaseMax,"ESCALATE",IF(OR(AX125&gt;=duoEqualN,BB125&gt;=duoMax),"K","J")),
C125="K",
IF(AY125&gt;=phaseMax,"ESCALATE",IF(AX125&gt;=binoSameN,IF(XLOOKUP($B125,Derived_Variables!$A:$A,Derived_Variables!$AJ:$AJ,FALSE)=TRUE,"P","END"),"K")),
C125="P",
IF(AY125&gt;=phaseMax,"ESCALATE",IF(OR(I125="READABLE",I125="SAME"),"Q","P")),
C125="Q",
IF(AY125&gt;=phaseMax,"ESCALATE",IF(OR(I125="READABLE",I125="SAME"),"R","Q")),
C125="R",
IF(AY125&gt;=phaseMax,"ESCALATE",IF(OR(I125=nearTarget,I125="SAME"),"END","R")),
TRUE,"END"
)))</f>
        <v/>
      </c>
      <c r="BD125" s="28" t="b">
        <f t="shared" si="19"/>
        <v>0</v>
      </c>
    </row>
    <row r="126" ht="15.75" customHeight="1">
      <c r="A126" s="28">
        <f t="shared" si="3"/>
        <v>125</v>
      </c>
      <c r="B126" s="28">
        <f t="shared" si="4"/>
        <v>6</v>
      </c>
      <c r="C126" s="28" t="str">
        <f t="shared" si="5"/>
        <v/>
      </c>
      <c r="D126" s="28" t="str">
        <f t="array" ref="D126">IF($I125="","",XLOOKUP(C126,FSM_State_Map!A:A,FSM_State_Map!B:B,""))</f>
        <v/>
      </c>
      <c r="E126" s="28" t="str">
        <f t="array" ref="E126">IF($I125="","",XLOOKUP(C126,FSM_State_Map!A:A,FSM_State_Map!C:C,""))</f>
        <v/>
      </c>
      <c r="F126" s="28" t="str">
        <f t="array" ref="F126">IF($I125="","",XLOOKUP(E126,Phase_UI_Map!A:A,Phase_UI_Map!B:B,""))</f>
        <v/>
      </c>
      <c r="G126" s="28" t="str">
        <f t="array" ref="G126">IF($I125="","",XLOOKUP(E126,Phase_UI_Map!A:A,Phase_UI_Map!C:C,""))</f>
        <v/>
      </c>
      <c r="H126" s="28" t="str">
        <f t="array" ref="H126">IF($I125="","",XLOOKUP(E126,Phase_UI_Map!A:A,Phase_UI_Map!D:D,""))</f>
        <v/>
      </c>
      <c r="I126" s="29"/>
      <c r="J126" s="28" t="str">
        <f>IFERROR(__xludf.DUMMYFUNCTION("IF($I125="""","""",IFERROR(INDEX(FILTER(Response_Lists!$B:$B,Response_Lists!$A:$A=$H126),1),""""))"),"")</f>
        <v/>
      </c>
      <c r="K126" s="28" t="str">
        <f>IFERROR(__xludf.DUMMYFUNCTION("IF($I125="""","""",IFERROR(INDEX(FILTER(Response_Lists!$B:$B,Response_Lists!$A:$A=$H126),2),""""))"),"")</f>
        <v/>
      </c>
      <c r="L126" s="28" t="str">
        <f>IFERROR(__xludf.DUMMYFUNCTION("IF($I125="""","""",IFERROR(INDEX(FILTER(Response_Lists!$B:$B,Response_Lists!$A:$A=$H126),3),""""))"),"")</f>
        <v/>
      </c>
      <c r="M126" s="28" t="str">
        <f>IFERROR(__xludf.DUMMYFUNCTION("IF($I125="""","""",IFERROR(INDEX(FILTER(Response_Lists!$B:$B,Response_Lists!$A:$A=$H126),4),""""))"),"")</f>
        <v/>
      </c>
      <c r="N126" s="28" t="str">
        <f>IFERROR(__xludf.DUMMYFUNCTION("IF($I125="""","""",IFERROR(INDEX(FILTER(Response_Lists!$B:$B,Response_Lists!$A:$A=$H126),5),""""))"),"")</f>
        <v/>
      </c>
      <c r="O126" s="28" t="str">
        <f>IFERROR(__xludf.DUMMYFUNCTION("IF($I125="""","""",IFERROR(INDEX(FILTER(Response_Lists!$B:$B,Response_Lists!$A:$A=$H126),6),""""))"),"")</f>
        <v/>
      </c>
      <c r="P126" s="28" t="str">
        <f t="shared" si="6"/>
        <v/>
      </c>
      <c r="Q126" s="28" t="str">
        <f t="array" ref="Q126">IF($I125="","",XLOOKUP(C126,FSM_State_Map!A:A,FSM_State_Map!D:D,""))</f>
        <v/>
      </c>
      <c r="R126" s="28" t="str">
        <f t="shared" si="7"/>
        <v/>
      </c>
      <c r="S126" s="28" t="str">
        <f t="array" ref="S126">IF($I125="","",
IF(
  AND(C126="B",C125&lt;&gt;"B"),
  XLOOKUP($B126,Derived_Variables!$A:$A,Derived_Variables!$K:$K,0)
  + XLOOKUP($B126,Derived_Variables!$A:$A,Derived_Variables!$AE:$AE,0),
  S125+AM125
))</f>
        <v/>
      </c>
      <c r="T126" s="28" t="str">
        <f t="shared" ref="T126:U126" si="262">IF($I125="","",T125+AN125)</f>
        <v/>
      </c>
      <c r="U126" s="28" t="str">
        <f t="shared" si="262"/>
        <v/>
      </c>
      <c r="V126" s="28" t="str">
        <f t="array" ref="V126">IF($I125="","",
IF(
  AND(C126="D",C125&lt;&gt;"D"),
  XLOOKUP($B126,Derived_Variables!$A:$A,Derived_Variables!$N:$N,0)
  + XLOOKUP($B126,Derived_Variables!$A:$A,Derived_Variables!$AE:$AE,0),
  V125+AP125
))</f>
        <v/>
      </c>
      <c r="W126" s="28" t="str">
        <f t="shared" ref="W126:X126" si="263">IF($I125="","",W125+AQ125)</f>
        <v/>
      </c>
      <c r="X126" s="28" t="str">
        <f t="shared" si="263"/>
        <v/>
      </c>
      <c r="Y126" s="28" t="str">
        <f t="array" ref="Y126">IF($I125="","",IF(AND(C126="P",C125&lt;&gt;"P"),IFERROR(XLOOKUP($B126,Lenso_Input!$A:$A,Lenso_Input!$E:$E,0),0),Y125+AS125))</f>
        <v/>
      </c>
      <c r="Z126" s="28" t="str">
        <f t="array" ref="Z126">IF($I125="","",IF(AND(C126="Q",C125&lt;&gt;"Q"),IFERROR(XLOOKUP($B126,Lenso_Input!$A:$A,Lenso_Input!$I:$I,0),0),Z125+AT125))</f>
        <v/>
      </c>
      <c r="AA126" s="28" t="str">
        <f t="array" ref="AA126">IF($I125="","",IF(XLOOKUP($B126,Derived_Variables!$A:$A,Derived_Variables!$R:$R,"6/6_target")="6/6_target","20_20_20","40_30_25"))</f>
        <v/>
      </c>
      <c r="AB126" s="28" t="str">
        <f t="array" ref="AB126">IF($I125="","",XLOOKUP(LOWER(XLOOKUP($B126,Derived_Variables!$A:$A,Derived_Variables!$T:$T,"Standard"))&amp;"_sph_step",Calibration!$B:$B,Calibration!$C:$C,0.25))</f>
        <v/>
      </c>
      <c r="AC126" s="28" t="str">
        <f t="array" ref="AC126">IF($I125="","",XLOOKUP(LOWER(XLOOKUP($B126,Derived_Variables!$A:$A,Derived_Variables!$T:$T,"Standard"))&amp;"_cyl_step",Calibration!$B:$B,Calibration!$C:$C,0.25))</f>
        <v/>
      </c>
      <c r="AD126" s="28" t="str">
        <f t="array" ref="AD126">IF($I125="","",IF(OR(C126="E",C126="H"),LET(startStep,XLOOKUP("axis_start_step",Calibration!$B:$B,Calibration!$C:$C,5),step1,XLOOKUP("axis_reversal_step_1",Calibration!$B:$B,Calibration!$C:$C,3),step2,XLOOKUP("axis_reversal_step_2",Calibration!$B:$B,Calibration!$C:$C,1),IF(OR(C125&lt;&gt;C126,AZ126="",AZ126="SAME",AZ126="CANT_TELL",I126="",I126="SAME",I126="CANT_TELL"),startStep,IF(OR(AND(AZ126="BETTER_1",I126="BETTER_2"),AND(AZ126="BETTER_2",I126="BETTER_1")),IF(AD125&gt;step1,step1,step2),AD125))),0))</f>
        <v/>
      </c>
      <c r="AE126" s="28" t="str">
        <f t="array" ref="AE126">IF($I125="","",XLOOKUP($B126,Derived_Variables!$A:$A,Derived_Variables!$AD:$AD,"No_Fog"))</f>
        <v/>
      </c>
      <c r="AF126" s="28" t="str">
        <f t="array" ref="AF126">IF($I125="","",XLOOKUP($B126,Derived_Variables!$A:$A,Derived_Variables!$AE:$AE,0))</f>
        <v/>
      </c>
      <c r="AG126" s="28" t="str">
        <f t="array" ref="AG126">IF($I125="","",XLOOKUP($B126,Derived_Variables!$A:$A,Derived_Variables!$AF:$AF,""))</f>
        <v/>
      </c>
      <c r="AH126" s="28" t="str">
        <f t="array" ref="AH126">IF($I125="","",XLOOKUP($B126,Derived_Variables!$A:$A,Derived_Variables!$AG:$AG,""))</f>
        <v/>
      </c>
      <c r="AI126" s="28" t="str">
        <f t="array" ref="AI126">IF($I125="","",XLOOKUP($B126,Derived_Variables!$A:$A,Derived_Variables!$AC:$AC,"Medium"))</f>
        <v/>
      </c>
      <c r="AJ126" s="28" t="str">
        <f t="array" ref="AJ126">IF($I125="","",XLOOKUP($B126,Derived_Variables!$A:$A,Derived_Variables!$Y:$Y,FALSE))</f>
        <v/>
      </c>
      <c r="AK126" s="28" t="str">
        <f t="array" ref="AK126">IF($I125="","",XLOOKUP($B126,Derived_Variables!$A:$A,Derived_Variables!$AA:$AA,"Normal"))</f>
        <v/>
      </c>
      <c r="AL126" s="28" t="str">
        <f t="array" ref="AL126">IF($I125="","",XLOOKUP($B126,Derived_Variables!$A:$A,Derived_Variables!$AB:$AB,"Normal"))</f>
        <v/>
      </c>
      <c r="AM126" s="28" t="str">
        <f t="array" ref="AM126">IF($I126="","",IFS(C126="B",IF(OR(I126="NOT_READABLE",I126="BLURRY"),-AB126,0),C126="G",IFS(I126="RED_CLEARER",XLOOKUP("duochrome_red_step",Calibration!$B:$B,Calibration!$C:$C,-0.25),I126="GREEN_CLEARER",XLOOKUP("duochrome_green_step",Calibration!$B:$B,Calibration!$C:$C,0.25),I126="EQUAL",IF(XLOOKUP($B126,Derived_Variables!$A:$A,Derived_Variables!$S:$S,"Neutral")="Undercorrect",XLOOKUP("undercorrect_step",Calibration!$B:$B,Calibration!$C:$C,0.25),IF(XLOOKUP($B126,Derived_Variables!$A:$A,Derived_Variables!$S:$S,"Neutral")="Overcorrect",-XLOOKUP("overcorrect_step",Calibration!$B:$B,Calibration!$C:$C,0.25),0)),TRUE,0),C126="K",IF(I126="TOP_CLEARER",XLOOKUP("bino_balance_step",Calibration!$B:$B,Calibration!$C:$C,0.25),0),TRUE,0))</f>
        <v/>
      </c>
      <c r="AN126" s="28" t="str">
        <f t="shared" si="10"/>
        <v/>
      </c>
      <c r="AO126" s="28" t="str">
        <f t="shared" si="11"/>
        <v/>
      </c>
      <c r="AP126" s="28" t="str">
        <f t="array" ref="AP126">IF($I126="","",IFS(C126="D",IF(OR(I126="NOT_READABLE",I126="BLURRY"),-AB126,0),C126="J",IFS(I126="RED_CLEARER",XLOOKUP("duochrome_red_step",Calibration!$B:$B,Calibration!$C:$C,-0.25),I126="GREEN_CLEARER",XLOOKUP("duochrome_green_step",Calibration!$B:$B,Calibration!$C:$C,0.25),I126="EQUAL",IF(XLOOKUP($B126,Derived_Variables!$A:$A,Derived_Variables!$S:$S,"Neutral")="Undercorrect",XLOOKUP("undercorrect_step",Calibration!$B:$B,Calibration!$C:$C,0.25),IF(XLOOKUP($B126,Derived_Variables!$A:$A,Derived_Variables!$S:$S,"Neutral")="Overcorrect",-XLOOKUP("overcorrect_step",Calibration!$B:$B,Calibration!$C:$C,0.25),0)),TRUE,0),C126="K",IF(I126="BOTTOM_CLEARER",XLOOKUP("bino_balance_step",Calibration!$B:$B,Calibration!$C:$C,0.25),0),TRUE,0))</f>
        <v/>
      </c>
      <c r="AQ126" s="28" t="str">
        <f t="shared" si="12"/>
        <v/>
      </c>
      <c r="AR126" s="28" t="str">
        <f t="shared" si="13"/>
        <v/>
      </c>
      <c r="AS126" s="28" t="str">
        <f t="array" ref="AS126">IF($I126="","",IF(C126="P",IF(OR(I126="NOT_READABLE",I126="BLURRY"),XLOOKUP("near_add_step",Calibration!$B:$B,Calibration!$C:$C,0.25),0),IF(C126="R",IF(I126="NOT_CLEAR",XLOOKUP("near_add_step",Calibration!$B:$B,Calibration!$C:$C,0.25),0),0)))</f>
        <v/>
      </c>
      <c r="AT126" s="28" t="str">
        <f t="array" ref="AT126">IF($I126="","",IF(C126="Q",IF(OR(I126="NOT_READABLE",I126="BLURRY"),XLOOKUP("near_add_step",Calibration!$B:$B,Calibration!$C:$C,0.25),0),IF(C126="R",IF(I126="NOT_CLEAR",XLOOKUP("near_add_step",Calibration!$B:$B,Calibration!$C:$C,0.25),0),0)))</f>
        <v/>
      </c>
      <c r="AU126" s="28" t="str">
        <f t="array" ref="AU126">IF($I126="","",IF(G126="SNELLEN_FEET",IF(I126="READABLE",IFERROR(XLOOKUP(XLOOKUP(R126,Chart_Scale_Distance!B:B,Chart_Scale_Distance!A:A)+1,Chart_Scale_Distance!A:A,Chart_Scale_Distance!B:B),R126),R126),R126))</f>
        <v/>
      </c>
      <c r="AV126" s="28" t="str">
        <f t="array" ref="AV126">IF($I125="","",IFERROR(XLOOKUP(R126,Chart_Scale_Distance!$B:$B,Chart_Scale_Distance!$A:$A,""),""))</f>
        <v/>
      </c>
      <c r="AW126" s="28" t="str">
        <f t="array" ref="AW126">IF($I125="","",IFERROR(XLOOKUP(AA126,Chart_Scale_Distance!$B:$B,Chart_Scale_Distance!$A:$A,""),""))</f>
        <v/>
      </c>
      <c r="AX126" s="28" t="str">
        <f t="shared" si="14"/>
        <v/>
      </c>
      <c r="AY126" s="28" t="str">
        <f t="shared" si="15"/>
        <v/>
      </c>
      <c r="AZ126" s="28" t="str">
        <f t="shared" si="16"/>
        <v/>
      </c>
      <c r="BA126" s="28" t="str">
        <f t="shared" si="17"/>
        <v/>
      </c>
      <c r="BB126" s="28" t="str">
        <f t="shared" si="18"/>
        <v/>
      </c>
      <c r="BC126" s="28" t="str">
        <f t="array" ref="BC126">IF($I126="","",LET(
conf,AI126,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duoMax,XLOOKUP($B126,Derived_Variables!$A:$A,Derived_Variables!$AI:$AI,4),
axisTol,XLOOKUP($B126,Derived_Variables!$A:$A,Derived_Variables!$W:$W,1),
maxStart,XLOOKUP($B126,Derived_Variables!$A:$A,Derived_Variables!$U:$U,1.25),
maxAR,XLOOKUP($B126,Derived_Variables!$A:$A,Derived_Variables!$V:$V,3),
anom,XLOOKUP($B126,Derived_Variables!$A:$A,Derived_Variables!$Z:$Z,FALSE),
reStart,XLOOKUP($B126,Derived_Variables!$A:$A,Derived_Variables!$K:$K,0),
leStart,XLOOKUP($B126,Derived_Variables!$A:$A,Derived_Variables!$N:$N,0),
reAR,XLOOKUP($B126,AR_Input!$A:$A,AR_Input!$B:$B,reStart),
leAR,XLOOKUP($B126,AR_Input!$A:$A,AR_Input!$E:$E,leStart),
reEsc,AND(anom,OR(ABS((S126+AM126)-reStart)&gt;maxStart,ABS((S126+AM126)-reAR)&gt;maxAR)),
leEsc,AND(anom,OR(ABS((V126+AP126)-leStart)&gt;maxStart,ABS((V126+AP126)-leAR)&gt;maxAR)),
phaseMax,IFS(
 AK126="Fast",
   IFS(
     OR(C126="B",C126="D"),XLOOKUP("timeout_coarse_fast",Calibration!$B:$B,Calibration!$C:$C,24),
     OR(C126="E",C126="F",C126="H",C126="I"),XLOOKUP("timeout_jcc_fast",Calibration!$B:$B,Calibration!$C:$C,10),
     OR(C126="G",C126="J"),XLOOKUP("timeout_duochrome_fast",Calibration!$B:$B,Calibration!$C:$C,8),
     C126="K",XLOOKUP("timeout_bino_fast",Calibration!$B:$B,Calibration!$C:$C,10),
     OR(C126="P",C126="Q",C126="R"),XLOOKUP("timeout_near_fast",Calibration!$B:$B,Calibration!$C:$C,16),
     TRUE,XLOOKUP("timeout_coarse_fast",Calibration!$B:$B,Calibration!$C:$C,24)
   ),
 AK126="Normal",
   IFS(
     OR(C126="B",C126="D"),XLOOKUP("timeout_coarse_normal",Calibration!$B:$B,Calibration!$C:$C,36),
     OR(C126="E",C126="F",C126="H",C126="I"),XLOOKUP("timeout_jcc_normal",Calibration!$B:$B,Calibration!$C:$C,14),
     OR(C126="G",C126="J"),XLOOKUP("timeout_duochrome_normal",Calibration!$B:$B,Calibration!$C:$C,10),
     C126="K",XLOOKUP("timeout_bino_normal",Calibration!$B:$B,Calibration!$C:$C,14),
     OR(C126="P",C126="Q",C126="R"),XLOOKUP("timeout_near_normal",Calibration!$B:$B,Calibration!$C:$C,22),
     TRUE,XLOOKUP("timeout_coarse_normal",Calibration!$B:$B,Calibration!$C:$C,36)
   ),
 TRUE,
   IFS(
     OR(C126="B",C126="D"),XLOOKUP("timeout_coarse_slow",Calibration!$B:$B,Calibration!$C:$C,48),
     OR(C126="E",C126="F",C126="H",C126="I"),XLOOKUP("timeout_jcc_slow",Calibration!$B:$B,Calibration!$C:$C,18),
     OR(C126="G",C126="J"),XLOOKUP("timeout_duochrome_slow",Calibration!$B:$B,Calibration!$C:$C,12),
     C126="K",XLOOKUP("timeout_bino_slow",Calibration!$B:$B,Calibration!$C:$C,18),
     OR(C126="P",C126="Q",C126="R"),XLOOKUP("timeout_near_slow",Calibration!$B:$B,Calibration!$C:$C,28),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AJ126=TRUE,"ESCALATE",
C126="A",
IF(OR(I126="NOT_READABLE",I126="BLURRY",AND(R126="20_20_20",I126="READABLE")),"B","A"),
C126="B",
IF(reEsc,"ESCALATE",IF(AY126&gt;=phaseMax,"ESCALATE",IF(AND(AV126&gt;=AW126,I126="READABLE"),"E","B"))),
C126="E",
IF(AY126&gt;=phaseMax,"ESCALATE",IF(OR(I126="SAME",I126="CANT_TELL",AD126&lt;axisTol),"F","E")),
C126="F",
IF(AY126&gt;=phaseMax,"ESCALATE",IF(AX126&gt;=powerSameN,"G","F")),
C126="G",
IF(AY126&gt;=phaseMax,"ESCALATE",IF(OR(AX126&gt;=duoEqualN,BB126&gt;=duoMax),"D","G")),
C126="D",
IF(leEsc,"ESCALATE",IF(AY126&gt;=phaseMax,"ESCALATE",IF(AND(AV126&gt;=AW126,I126="READABLE"),"H","D"))),
C126="H",
IF(AY126&gt;=phaseMax,"ESCALATE",IF(OR(I126="SAME",I126="CANT_TELL",AD126&lt;axisTol),"I","H")),
C126="I",
IF(AY126&gt;=phaseMax,"ESCALATE",IF(AX126&gt;=powerSameN,"J","I")),
C126="J",
IF(AY126&gt;=phaseMax,"ESCALATE",IF(OR(AX126&gt;=duoEqualN,BB126&gt;=duoMax),"K","J")),
C126="K",
IF(AY126&gt;=phaseMax,"ESCALATE",IF(AX126&gt;=binoSameN,IF(XLOOKUP($B126,Derived_Variables!$A:$A,Derived_Variables!$AJ:$AJ,FALSE)=TRUE,"P","END"),"K")),
C126="P",
IF(AY126&gt;=phaseMax,"ESCALATE",IF(OR(I126="READABLE",I126="SAME"),"Q","P")),
C126="Q",
IF(AY126&gt;=phaseMax,"ESCALATE",IF(OR(I126="READABLE",I126="SAME"),"R","Q")),
C126="R",
IF(AY126&gt;=phaseMax,"ESCALATE",IF(OR(I126=nearTarget,I126="SAME"),"END","R")),
TRUE,"END"
)))</f>
        <v/>
      </c>
      <c r="BD126" s="28" t="b">
        <f t="shared" si="19"/>
        <v>0</v>
      </c>
    </row>
    <row r="127" ht="15.75" customHeight="1">
      <c r="A127" s="28">
        <f t="shared" si="3"/>
        <v>126</v>
      </c>
      <c r="B127" s="28">
        <f t="shared" si="4"/>
        <v>6</v>
      </c>
      <c r="C127" s="28" t="str">
        <f t="shared" si="5"/>
        <v/>
      </c>
      <c r="D127" s="28" t="str">
        <f t="array" ref="D127">IF($I126="","",XLOOKUP(C127,FSM_State_Map!A:A,FSM_State_Map!B:B,""))</f>
        <v/>
      </c>
      <c r="E127" s="28" t="str">
        <f t="array" ref="E127">IF($I126="","",XLOOKUP(C127,FSM_State_Map!A:A,FSM_State_Map!C:C,""))</f>
        <v/>
      </c>
      <c r="F127" s="28" t="str">
        <f t="array" ref="F127">IF($I126="","",XLOOKUP(E127,Phase_UI_Map!A:A,Phase_UI_Map!B:B,""))</f>
        <v/>
      </c>
      <c r="G127" s="28" t="str">
        <f t="array" ref="G127">IF($I126="","",XLOOKUP(E127,Phase_UI_Map!A:A,Phase_UI_Map!C:C,""))</f>
        <v/>
      </c>
      <c r="H127" s="28" t="str">
        <f t="array" ref="H127">IF($I126="","",XLOOKUP(E127,Phase_UI_Map!A:A,Phase_UI_Map!D:D,""))</f>
        <v/>
      </c>
      <c r="I127" s="29"/>
      <c r="J127" s="28" t="str">
        <f>IFERROR(__xludf.DUMMYFUNCTION("IF($I126="""","""",IFERROR(INDEX(FILTER(Response_Lists!$B:$B,Response_Lists!$A:$A=$H127),1),""""))"),"")</f>
        <v/>
      </c>
      <c r="K127" s="28" t="str">
        <f>IFERROR(__xludf.DUMMYFUNCTION("IF($I126="""","""",IFERROR(INDEX(FILTER(Response_Lists!$B:$B,Response_Lists!$A:$A=$H127),2),""""))"),"")</f>
        <v/>
      </c>
      <c r="L127" s="28" t="str">
        <f>IFERROR(__xludf.DUMMYFUNCTION("IF($I126="""","""",IFERROR(INDEX(FILTER(Response_Lists!$B:$B,Response_Lists!$A:$A=$H127),3),""""))"),"")</f>
        <v/>
      </c>
      <c r="M127" s="28" t="str">
        <f>IFERROR(__xludf.DUMMYFUNCTION("IF($I126="""","""",IFERROR(INDEX(FILTER(Response_Lists!$B:$B,Response_Lists!$A:$A=$H127),4),""""))"),"")</f>
        <v/>
      </c>
      <c r="N127" s="28" t="str">
        <f>IFERROR(__xludf.DUMMYFUNCTION("IF($I126="""","""",IFERROR(INDEX(FILTER(Response_Lists!$B:$B,Response_Lists!$A:$A=$H127),5),""""))"),"")</f>
        <v/>
      </c>
      <c r="O127" s="28" t="str">
        <f>IFERROR(__xludf.DUMMYFUNCTION("IF($I126="""","""",IFERROR(INDEX(FILTER(Response_Lists!$B:$B,Response_Lists!$A:$A=$H127),6),""""))"),"")</f>
        <v/>
      </c>
      <c r="P127" s="28" t="str">
        <f t="shared" si="6"/>
        <v/>
      </c>
      <c r="Q127" s="28" t="str">
        <f t="array" ref="Q127">IF($I126="","",XLOOKUP(C127,FSM_State_Map!A:A,FSM_State_Map!D:D,""))</f>
        <v/>
      </c>
      <c r="R127" s="28" t="str">
        <f t="shared" si="7"/>
        <v/>
      </c>
      <c r="S127" s="28" t="str">
        <f t="array" ref="S127">IF($I126="","",
IF(
  AND(C127="B",C126&lt;&gt;"B"),
  XLOOKUP($B127,Derived_Variables!$A:$A,Derived_Variables!$K:$K,0)
  + XLOOKUP($B127,Derived_Variables!$A:$A,Derived_Variables!$AE:$AE,0),
  S126+AM126
))</f>
        <v/>
      </c>
      <c r="T127" s="28" t="str">
        <f t="shared" ref="T127:U127" si="264">IF($I126="","",T126+AN126)</f>
        <v/>
      </c>
      <c r="U127" s="28" t="str">
        <f t="shared" si="264"/>
        <v/>
      </c>
      <c r="V127" s="28" t="str">
        <f t="array" ref="V127">IF($I126="","",
IF(
  AND(C127="D",C126&lt;&gt;"D"),
  XLOOKUP($B127,Derived_Variables!$A:$A,Derived_Variables!$N:$N,0)
  + XLOOKUP($B127,Derived_Variables!$A:$A,Derived_Variables!$AE:$AE,0),
  V126+AP126
))</f>
        <v/>
      </c>
      <c r="W127" s="28" t="str">
        <f t="shared" ref="W127:X127" si="265">IF($I126="","",W126+AQ126)</f>
        <v/>
      </c>
      <c r="X127" s="28" t="str">
        <f t="shared" si="265"/>
        <v/>
      </c>
      <c r="Y127" s="28" t="str">
        <f t="array" ref="Y127">IF($I126="","",IF(AND(C127="P",C126&lt;&gt;"P"),IFERROR(XLOOKUP($B127,Lenso_Input!$A:$A,Lenso_Input!$E:$E,0),0),Y126+AS126))</f>
        <v/>
      </c>
      <c r="Z127" s="28" t="str">
        <f t="array" ref="Z127">IF($I126="","",IF(AND(C127="Q",C126&lt;&gt;"Q"),IFERROR(XLOOKUP($B127,Lenso_Input!$A:$A,Lenso_Input!$I:$I,0),0),Z126+AT126))</f>
        <v/>
      </c>
      <c r="AA127" s="28" t="str">
        <f t="array" ref="AA127">IF($I126="","",IF(XLOOKUP($B127,Derived_Variables!$A:$A,Derived_Variables!$R:$R,"6/6_target")="6/6_target","20_20_20","40_30_25"))</f>
        <v/>
      </c>
      <c r="AB127" s="28" t="str">
        <f t="array" ref="AB127">IF($I126="","",XLOOKUP(LOWER(XLOOKUP($B127,Derived_Variables!$A:$A,Derived_Variables!$T:$T,"Standard"))&amp;"_sph_step",Calibration!$B:$B,Calibration!$C:$C,0.25))</f>
        <v/>
      </c>
      <c r="AC127" s="28" t="str">
        <f t="array" ref="AC127">IF($I126="","",XLOOKUP(LOWER(XLOOKUP($B127,Derived_Variables!$A:$A,Derived_Variables!$T:$T,"Standard"))&amp;"_cyl_step",Calibration!$B:$B,Calibration!$C:$C,0.25))</f>
        <v/>
      </c>
      <c r="AD127" s="28" t="str">
        <f t="array" ref="AD127">IF($I126="","",IF(OR(C127="E",C127="H"),LET(startStep,XLOOKUP("axis_start_step",Calibration!$B:$B,Calibration!$C:$C,5),step1,XLOOKUP("axis_reversal_step_1",Calibration!$B:$B,Calibration!$C:$C,3),step2,XLOOKUP("axis_reversal_step_2",Calibration!$B:$B,Calibration!$C:$C,1),IF(OR(C126&lt;&gt;C127,AZ127="",AZ127="SAME",AZ127="CANT_TELL",I127="",I127="SAME",I127="CANT_TELL"),startStep,IF(OR(AND(AZ127="BETTER_1",I127="BETTER_2"),AND(AZ127="BETTER_2",I127="BETTER_1")),IF(AD126&gt;step1,step1,step2),AD126))),0))</f>
        <v/>
      </c>
      <c r="AE127" s="28" t="str">
        <f t="array" ref="AE127">IF($I126="","",XLOOKUP($B127,Derived_Variables!$A:$A,Derived_Variables!$AD:$AD,"No_Fog"))</f>
        <v/>
      </c>
      <c r="AF127" s="28" t="str">
        <f t="array" ref="AF127">IF($I126="","",XLOOKUP($B127,Derived_Variables!$A:$A,Derived_Variables!$AE:$AE,0))</f>
        <v/>
      </c>
      <c r="AG127" s="28" t="str">
        <f t="array" ref="AG127">IF($I126="","",XLOOKUP($B127,Derived_Variables!$A:$A,Derived_Variables!$AF:$AF,""))</f>
        <v/>
      </c>
      <c r="AH127" s="28" t="str">
        <f t="array" ref="AH127">IF($I126="","",XLOOKUP($B127,Derived_Variables!$A:$A,Derived_Variables!$AG:$AG,""))</f>
        <v/>
      </c>
      <c r="AI127" s="28" t="str">
        <f t="array" ref="AI127">IF($I126="","",XLOOKUP($B127,Derived_Variables!$A:$A,Derived_Variables!$AC:$AC,"Medium"))</f>
        <v/>
      </c>
      <c r="AJ127" s="28" t="str">
        <f t="array" ref="AJ127">IF($I126="","",XLOOKUP($B127,Derived_Variables!$A:$A,Derived_Variables!$Y:$Y,FALSE))</f>
        <v/>
      </c>
      <c r="AK127" s="28" t="str">
        <f t="array" ref="AK127">IF($I126="","",XLOOKUP($B127,Derived_Variables!$A:$A,Derived_Variables!$AA:$AA,"Normal"))</f>
        <v/>
      </c>
      <c r="AL127" s="28" t="str">
        <f t="array" ref="AL127">IF($I126="","",XLOOKUP($B127,Derived_Variables!$A:$A,Derived_Variables!$AB:$AB,"Normal"))</f>
        <v/>
      </c>
      <c r="AM127" s="28" t="str">
        <f t="array" ref="AM127">IF($I127="","",IFS(C127="B",IF(OR(I127="NOT_READABLE",I127="BLURRY"),-AB127,0),C127="G",IFS(I127="RED_CLEARER",XLOOKUP("duochrome_red_step",Calibration!$B:$B,Calibration!$C:$C,-0.25),I127="GREEN_CLEARER",XLOOKUP("duochrome_green_step",Calibration!$B:$B,Calibration!$C:$C,0.25),I127="EQUAL",IF(XLOOKUP($B127,Derived_Variables!$A:$A,Derived_Variables!$S:$S,"Neutral")="Undercorrect",XLOOKUP("undercorrect_step",Calibration!$B:$B,Calibration!$C:$C,0.25),IF(XLOOKUP($B127,Derived_Variables!$A:$A,Derived_Variables!$S:$S,"Neutral")="Overcorrect",-XLOOKUP("overcorrect_step",Calibration!$B:$B,Calibration!$C:$C,0.25),0)),TRUE,0),C127="K",IF(I127="TOP_CLEARER",XLOOKUP("bino_balance_step",Calibration!$B:$B,Calibration!$C:$C,0.25),0),TRUE,0))</f>
        <v/>
      </c>
      <c r="AN127" s="28" t="str">
        <f t="shared" si="10"/>
        <v/>
      </c>
      <c r="AO127" s="28" t="str">
        <f t="shared" si="11"/>
        <v/>
      </c>
      <c r="AP127" s="28" t="str">
        <f t="array" ref="AP127">IF($I127="","",IFS(C127="D",IF(OR(I127="NOT_READABLE",I127="BLURRY"),-AB127,0),C127="J",IFS(I127="RED_CLEARER",XLOOKUP("duochrome_red_step",Calibration!$B:$B,Calibration!$C:$C,-0.25),I127="GREEN_CLEARER",XLOOKUP("duochrome_green_step",Calibration!$B:$B,Calibration!$C:$C,0.25),I127="EQUAL",IF(XLOOKUP($B127,Derived_Variables!$A:$A,Derived_Variables!$S:$S,"Neutral")="Undercorrect",XLOOKUP("undercorrect_step",Calibration!$B:$B,Calibration!$C:$C,0.25),IF(XLOOKUP($B127,Derived_Variables!$A:$A,Derived_Variables!$S:$S,"Neutral")="Overcorrect",-XLOOKUP("overcorrect_step",Calibration!$B:$B,Calibration!$C:$C,0.25),0)),TRUE,0),C127="K",IF(I127="BOTTOM_CLEARER",XLOOKUP("bino_balance_step",Calibration!$B:$B,Calibration!$C:$C,0.25),0),TRUE,0))</f>
        <v/>
      </c>
      <c r="AQ127" s="28" t="str">
        <f t="shared" si="12"/>
        <v/>
      </c>
      <c r="AR127" s="28" t="str">
        <f t="shared" si="13"/>
        <v/>
      </c>
      <c r="AS127" s="28" t="str">
        <f t="array" ref="AS127">IF($I127="","",IF(C127="P",IF(OR(I127="NOT_READABLE",I127="BLURRY"),XLOOKUP("near_add_step",Calibration!$B:$B,Calibration!$C:$C,0.25),0),IF(C127="R",IF(I127="NOT_CLEAR",XLOOKUP("near_add_step",Calibration!$B:$B,Calibration!$C:$C,0.25),0),0)))</f>
        <v/>
      </c>
      <c r="AT127" s="28" t="str">
        <f t="array" ref="AT127">IF($I127="","",IF(C127="Q",IF(OR(I127="NOT_READABLE",I127="BLURRY"),XLOOKUP("near_add_step",Calibration!$B:$B,Calibration!$C:$C,0.25),0),IF(C127="R",IF(I127="NOT_CLEAR",XLOOKUP("near_add_step",Calibration!$B:$B,Calibration!$C:$C,0.25),0),0)))</f>
        <v/>
      </c>
      <c r="AU127" s="28" t="str">
        <f t="array" ref="AU127">IF($I127="","",IF(G127="SNELLEN_FEET",IF(I127="READABLE",IFERROR(XLOOKUP(XLOOKUP(R127,Chart_Scale_Distance!B:B,Chart_Scale_Distance!A:A)+1,Chart_Scale_Distance!A:A,Chart_Scale_Distance!B:B),R127),R127),R127))</f>
        <v/>
      </c>
      <c r="AV127" s="28" t="str">
        <f t="array" ref="AV127">IF($I126="","",IFERROR(XLOOKUP(R127,Chart_Scale_Distance!$B:$B,Chart_Scale_Distance!$A:$A,""),""))</f>
        <v/>
      </c>
      <c r="AW127" s="28" t="str">
        <f t="array" ref="AW127">IF($I126="","",IFERROR(XLOOKUP(AA127,Chart_Scale_Distance!$B:$B,Chart_Scale_Distance!$A:$A,""),""))</f>
        <v/>
      </c>
      <c r="AX127" s="28" t="str">
        <f t="shared" si="14"/>
        <v/>
      </c>
      <c r="AY127" s="28" t="str">
        <f t="shared" si="15"/>
        <v/>
      </c>
      <c r="AZ127" s="28" t="str">
        <f t="shared" si="16"/>
        <v/>
      </c>
      <c r="BA127" s="28" t="str">
        <f t="shared" si="17"/>
        <v/>
      </c>
      <c r="BB127" s="28" t="str">
        <f t="shared" si="18"/>
        <v/>
      </c>
      <c r="BC127" s="28" t="str">
        <f t="array" ref="BC127">IF($I127="","",LET(
conf,AI127,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duoMax,XLOOKUP($B127,Derived_Variables!$A:$A,Derived_Variables!$AI:$AI,4),
axisTol,XLOOKUP($B127,Derived_Variables!$A:$A,Derived_Variables!$W:$W,1),
maxStart,XLOOKUP($B127,Derived_Variables!$A:$A,Derived_Variables!$U:$U,1.25),
maxAR,XLOOKUP($B127,Derived_Variables!$A:$A,Derived_Variables!$V:$V,3),
anom,XLOOKUP($B127,Derived_Variables!$A:$A,Derived_Variables!$Z:$Z,FALSE),
reStart,XLOOKUP($B127,Derived_Variables!$A:$A,Derived_Variables!$K:$K,0),
leStart,XLOOKUP($B127,Derived_Variables!$A:$A,Derived_Variables!$N:$N,0),
reAR,XLOOKUP($B127,AR_Input!$A:$A,AR_Input!$B:$B,reStart),
leAR,XLOOKUP($B127,AR_Input!$A:$A,AR_Input!$E:$E,leStart),
reEsc,AND(anom,OR(ABS((S127+AM127)-reStart)&gt;maxStart,ABS((S127+AM127)-reAR)&gt;maxAR)),
leEsc,AND(anom,OR(ABS((V127+AP127)-leStart)&gt;maxStart,ABS((V127+AP127)-leAR)&gt;maxAR)),
phaseMax,IFS(
 AK127="Fast",
   IFS(
     OR(C127="B",C127="D"),XLOOKUP("timeout_coarse_fast",Calibration!$B:$B,Calibration!$C:$C,24),
     OR(C127="E",C127="F",C127="H",C127="I"),XLOOKUP("timeout_jcc_fast",Calibration!$B:$B,Calibration!$C:$C,10),
     OR(C127="G",C127="J"),XLOOKUP("timeout_duochrome_fast",Calibration!$B:$B,Calibration!$C:$C,8),
     C127="K",XLOOKUP("timeout_bino_fast",Calibration!$B:$B,Calibration!$C:$C,10),
     OR(C127="P",C127="Q",C127="R"),XLOOKUP("timeout_near_fast",Calibration!$B:$B,Calibration!$C:$C,16),
     TRUE,XLOOKUP("timeout_coarse_fast",Calibration!$B:$B,Calibration!$C:$C,24)
   ),
 AK127="Normal",
   IFS(
     OR(C127="B",C127="D"),XLOOKUP("timeout_coarse_normal",Calibration!$B:$B,Calibration!$C:$C,36),
     OR(C127="E",C127="F",C127="H",C127="I"),XLOOKUP("timeout_jcc_normal",Calibration!$B:$B,Calibration!$C:$C,14),
     OR(C127="G",C127="J"),XLOOKUP("timeout_duochrome_normal",Calibration!$B:$B,Calibration!$C:$C,10),
     C127="K",XLOOKUP("timeout_bino_normal",Calibration!$B:$B,Calibration!$C:$C,14),
     OR(C127="P",C127="Q",C127="R"),XLOOKUP("timeout_near_normal",Calibration!$B:$B,Calibration!$C:$C,22),
     TRUE,XLOOKUP("timeout_coarse_normal",Calibration!$B:$B,Calibration!$C:$C,36)
   ),
 TRUE,
   IFS(
     OR(C127="B",C127="D"),XLOOKUP("timeout_coarse_slow",Calibration!$B:$B,Calibration!$C:$C,48),
     OR(C127="E",C127="F",C127="H",C127="I"),XLOOKUP("timeout_jcc_slow",Calibration!$B:$B,Calibration!$C:$C,18),
     OR(C127="G",C127="J"),XLOOKUP("timeout_duochrome_slow",Calibration!$B:$B,Calibration!$C:$C,12),
     C127="K",XLOOKUP("timeout_bino_slow",Calibration!$B:$B,Calibration!$C:$C,18),
     OR(C127="P",C127="Q",C127="R"),XLOOKUP("timeout_near_slow",Calibration!$B:$B,Calibration!$C:$C,28),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AJ127=TRUE,"ESCALATE",
C127="A",
IF(OR(I127="NOT_READABLE",I127="BLURRY",AND(R127="20_20_20",I127="READABLE")),"B","A"),
C127="B",
IF(reEsc,"ESCALATE",IF(AY127&gt;=phaseMax,"ESCALATE",IF(AND(AV127&gt;=AW127,I127="READABLE"),"E","B"))),
C127="E",
IF(AY127&gt;=phaseMax,"ESCALATE",IF(OR(I127="SAME",I127="CANT_TELL",AD127&lt;axisTol),"F","E")),
C127="F",
IF(AY127&gt;=phaseMax,"ESCALATE",IF(AX127&gt;=powerSameN,"G","F")),
C127="G",
IF(AY127&gt;=phaseMax,"ESCALATE",IF(OR(AX127&gt;=duoEqualN,BB127&gt;=duoMax),"D","G")),
C127="D",
IF(leEsc,"ESCALATE",IF(AY127&gt;=phaseMax,"ESCALATE",IF(AND(AV127&gt;=AW127,I127="READABLE"),"H","D"))),
C127="H",
IF(AY127&gt;=phaseMax,"ESCALATE",IF(OR(I127="SAME",I127="CANT_TELL",AD127&lt;axisTol),"I","H")),
C127="I",
IF(AY127&gt;=phaseMax,"ESCALATE",IF(AX127&gt;=powerSameN,"J","I")),
C127="J",
IF(AY127&gt;=phaseMax,"ESCALATE",IF(OR(AX127&gt;=duoEqualN,BB127&gt;=duoMax),"K","J")),
C127="K",
IF(AY127&gt;=phaseMax,"ESCALATE",IF(AX127&gt;=binoSameN,IF(XLOOKUP($B127,Derived_Variables!$A:$A,Derived_Variables!$AJ:$AJ,FALSE)=TRUE,"P","END"),"K")),
C127="P",
IF(AY127&gt;=phaseMax,"ESCALATE",IF(OR(I127="READABLE",I127="SAME"),"Q","P")),
C127="Q",
IF(AY127&gt;=phaseMax,"ESCALATE",IF(OR(I127="READABLE",I127="SAME"),"R","Q")),
C127="R",
IF(AY127&gt;=phaseMax,"ESCALATE",IF(OR(I127=nearTarget,I127="SAME"),"END","R")),
TRUE,"END"
)))</f>
        <v/>
      </c>
      <c r="BD127" s="28" t="b">
        <f t="shared" si="19"/>
        <v>0</v>
      </c>
    </row>
    <row r="128" ht="15.75" customHeight="1">
      <c r="A128" s="28">
        <f t="shared" si="3"/>
        <v>127</v>
      </c>
      <c r="B128" s="28">
        <f t="shared" si="4"/>
        <v>6</v>
      </c>
      <c r="C128" s="28" t="str">
        <f t="shared" si="5"/>
        <v/>
      </c>
      <c r="D128" s="28" t="str">
        <f t="array" ref="D128">IF($I127="","",XLOOKUP(C128,FSM_State_Map!A:A,FSM_State_Map!B:B,""))</f>
        <v/>
      </c>
      <c r="E128" s="28" t="str">
        <f t="array" ref="E128">IF($I127="","",XLOOKUP(C128,FSM_State_Map!A:A,FSM_State_Map!C:C,""))</f>
        <v/>
      </c>
      <c r="F128" s="28" t="str">
        <f t="array" ref="F128">IF($I127="","",XLOOKUP(E128,Phase_UI_Map!A:A,Phase_UI_Map!B:B,""))</f>
        <v/>
      </c>
      <c r="G128" s="28" t="str">
        <f t="array" ref="G128">IF($I127="","",XLOOKUP(E128,Phase_UI_Map!A:A,Phase_UI_Map!C:C,""))</f>
        <v/>
      </c>
      <c r="H128" s="28" t="str">
        <f t="array" ref="H128">IF($I127="","",XLOOKUP(E128,Phase_UI_Map!A:A,Phase_UI_Map!D:D,""))</f>
        <v/>
      </c>
      <c r="I128" s="29"/>
      <c r="J128" s="28" t="str">
        <f>IFERROR(__xludf.DUMMYFUNCTION("IF($I127="""","""",IFERROR(INDEX(FILTER(Response_Lists!$B:$B,Response_Lists!$A:$A=$H128),1),""""))"),"")</f>
        <v/>
      </c>
      <c r="K128" s="28" t="str">
        <f>IFERROR(__xludf.DUMMYFUNCTION("IF($I127="""","""",IFERROR(INDEX(FILTER(Response_Lists!$B:$B,Response_Lists!$A:$A=$H128),2),""""))"),"")</f>
        <v/>
      </c>
      <c r="L128" s="28" t="str">
        <f>IFERROR(__xludf.DUMMYFUNCTION("IF($I127="""","""",IFERROR(INDEX(FILTER(Response_Lists!$B:$B,Response_Lists!$A:$A=$H128),3),""""))"),"")</f>
        <v/>
      </c>
      <c r="M128" s="28" t="str">
        <f>IFERROR(__xludf.DUMMYFUNCTION("IF($I127="""","""",IFERROR(INDEX(FILTER(Response_Lists!$B:$B,Response_Lists!$A:$A=$H128),4),""""))"),"")</f>
        <v/>
      </c>
      <c r="N128" s="28" t="str">
        <f>IFERROR(__xludf.DUMMYFUNCTION("IF($I127="""","""",IFERROR(INDEX(FILTER(Response_Lists!$B:$B,Response_Lists!$A:$A=$H128),5),""""))"),"")</f>
        <v/>
      </c>
      <c r="O128" s="28" t="str">
        <f>IFERROR(__xludf.DUMMYFUNCTION("IF($I127="""","""",IFERROR(INDEX(FILTER(Response_Lists!$B:$B,Response_Lists!$A:$A=$H128),6),""""))"),"")</f>
        <v/>
      </c>
      <c r="P128" s="28" t="str">
        <f t="shared" si="6"/>
        <v/>
      </c>
      <c r="Q128" s="28" t="str">
        <f t="array" ref="Q128">IF($I127="","",XLOOKUP(C128,FSM_State_Map!A:A,FSM_State_Map!D:D,""))</f>
        <v/>
      </c>
      <c r="R128" s="28" t="str">
        <f t="shared" si="7"/>
        <v/>
      </c>
      <c r="S128" s="28" t="str">
        <f t="array" ref="S128">IF($I127="","",
IF(
  AND(C128="B",C127&lt;&gt;"B"),
  XLOOKUP($B128,Derived_Variables!$A:$A,Derived_Variables!$K:$K,0)
  + XLOOKUP($B128,Derived_Variables!$A:$A,Derived_Variables!$AE:$AE,0),
  S127+AM127
))</f>
        <v/>
      </c>
      <c r="T128" s="28" t="str">
        <f t="shared" ref="T128:U128" si="266">IF($I127="","",T127+AN127)</f>
        <v/>
      </c>
      <c r="U128" s="28" t="str">
        <f t="shared" si="266"/>
        <v/>
      </c>
      <c r="V128" s="28" t="str">
        <f t="array" ref="V128">IF($I127="","",
IF(
  AND(C128="D",C127&lt;&gt;"D"),
  XLOOKUP($B128,Derived_Variables!$A:$A,Derived_Variables!$N:$N,0)
  + XLOOKUP($B128,Derived_Variables!$A:$A,Derived_Variables!$AE:$AE,0),
  V127+AP127
))</f>
        <v/>
      </c>
      <c r="W128" s="28" t="str">
        <f t="shared" ref="W128:X128" si="267">IF($I127="","",W127+AQ127)</f>
        <v/>
      </c>
      <c r="X128" s="28" t="str">
        <f t="shared" si="267"/>
        <v/>
      </c>
      <c r="Y128" s="28" t="str">
        <f t="array" ref="Y128">IF($I127="","",IF(AND(C128="P",C127&lt;&gt;"P"),IFERROR(XLOOKUP($B128,Lenso_Input!$A:$A,Lenso_Input!$E:$E,0),0),Y127+AS127))</f>
        <v/>
      </c>
      <c r="Z128" s="28" t="str">
        <f t="array" ref="Z128">IF($I127="","",IF(AND(C128="Q",C127&lt;&gt;"Q"),IFERROR(XLOOKUP($B128,Lenso_Input!$A:$A,Lenso_Input!$I:$I,0),0),Z127+AT127))</f>
        <v/>
      </c>
      <c r="AA128" s="28" t="str">
        <f t="array" ref="AA128">IF($I127="","",IF(XLOOKUP($B128,Derived_Variables!$A:$A,Derived_Variables!$R:$R,"6/6_target")="6/6_target","20_20_20","40_30_25"))</f>
        <v/>
      </c>
      <c r="AB128" s="28" t="str">
        <f t="array" ref="AB128">IF($I127="","",XLOOKUP(LOWER(XLOOKUP($B128,Derived_Variables!$A:$A,Derived_Variables!$T:$T,"Standard"))&amp;"_sph_step",Calibration!$B:$B,Calibration!$C:$C,0.25))</f>
        <v/>
      </c>
      <c r="AC128" s="28" t="str">
        <f t="array" ref="AC128">IF($I127="","",XLOOKUP(LOWER(XLOOKUP($B128,Derived_Variables!$A:$A,Derived_Variables!$T:$T,"Standard"))&amp;"_cyl_step",Calibration!$B:$B,Calibration!$C:$C,0.25))</f>
        <v/>
      </c>
      <c r="AD128" s="28" t="str">
        <f t="array" ref="AD128">IF($I127="","",IF(OR(C128="E",C128="H"),LET(startStep,XLOOKUP("axis_start_step",Calibration!$B:$B,Calibration!$C:$C,5),step1,XLOOKUP("axis_reversal_step_1",Calibration!$B:$B,Calibration!$C:$C,3),step2,XLOOKUP("axis_reversal_step_2",Calibration!$B:$B,Calibration!$C:$C,1),IF(OR(C127&lt;&gt;C128,AZ128="",AZ128="SAME",AZ128="CANT_TELL",I128="",I128="SAME",I128="CANT_TELL"),startStep,IF(OR(AND(AZ128="BETTER_1",I128="BETTER_2"),AND(AZ128="BETTER_2",I128="BETTER_1")),IF(AD127&gt;step1,step1,step2),AD127))),0))</f>
        <v/>
      </c>
      <c r="AE128" s="28" t="str">
        <f t="array" ref="AE128">IF($I127="","",XLOOKUP($B128,Derived_Variables!$A:$A,Derived_Variables!$AD:$AD,"No_Fog"))</f>
        <v/>
      </c>
      <c r="AF128" s="28" t="str">
        <f t="array" ref="AF128">IF($I127="","",XLOOKUP($B128,Derived_Variables!$A:$A,Derived_Variables!$AE:$AE,0))</f>
        <v/>
      </c>
      <c r="AG128" s="28" t="str">
        <f t="array" ref="AG128">IF($I127="","",XLOOKUP($B128,Derived_Variables!$A:$A,Derived_Variables!$AF:$AF,""))</f>
        <v/>
      </c>
      <c r="AH128" s="28" t="str">
        <f t="array" ref="AH128">IF($I127="","",XLOOKUP($B128,Derived_Variables!$A:$A,Derived_Variables!$AG:$AG,""))</f>
        <v/>
      </c>
      <c r="AI128" s="28" t="str">
        <f t="array" ref="AI128">IF($I127="","",XLOOKUP($B128,Derived_Variables!$A:$A,Derived_Variables!$AC:$AC,"Medium"))</f>
        <v/>
      </c>
      <c r="AJ128" s="28" t="str">
        <f t="array" ref="AJ128">IF($I127="","",XLOOKUP($B128,Derived_Variables!$A:$A,Derived_Variables!$Y:$Y,FALSE))</f>
        <v/>
      </c>
      <c r="AK128" s="28" t="str">
        <f t="array" ref="AK128">IF($I127="","",XLOOKUP($B128,Derived_Variables!$A:$A,Derived_Variables!$AA:$AA,"Normal"))</f>
        <v/>
      </c>
      <c r="AL128" s="28" t="str">
        <f t="array" ref="AL128">IF($I127="","",XLOOKUP($B128,Derived_Variables!$A:$A,Derived_Variables!$AB:$AB,"Normal"))</f>
        <v/>
      </c>
      <c r="AM128" s="28" t="str">
        <f t="array" ref="AM128">IF($I128="","",IFS(C128="B",IF(OR(I128="NOT_READABLE",I128="BLURRY"),-AB128,0),C128="G",IFS(I128="RED_CLEARER",XLOOKUP("duochrome_red_step",Calibration!$B:$B,Calibration!$C:$C,-0.25),I128="GREEN_CLEARER",XLOOKUP("duochrome_green_step",Calibration!$B:$B,Calibration!$C:$C,0.25),I128="EQUAL",IF(XLOOKUP($B128,Derived_Variables!$A:$A,Derived_Variables!$S:$S,"Neutral")="Undercorrect",XLOOKUP("undercorrect_step",Calibration!$B:$B,Calibration!$C:$C,0.25),IF(XLOOKUP($B128,Derived_Variables!$A:$A,Derived_Variables!$S:$S,"Neutral")="Overcorrect",-XLOOKUP("overcorrect_step",Calibration!$B:$B,Calibration!$C:$C,0.25),0)),TRUE,0),C128="K",IF(I128="TOP_CLEARER",XLOOKUP("bino_balance_step",Calibration!$B:$B,Calibration!$C:$C,0.25),0),TRUE,0))</f>
        <v/>
      </c>
      <c r="AN128" s="28" t="str">
        <f t="shared" si="10"/>
        <v/>
      </c>
      <c r="AO128" s="28" t="str">
        <f t="shared" si="11"/>
        <v/>
      </c>
      <c r="AP128" s="28" t="str">
        <f t="array" ref="AP128">IF($I128="","",IFS(C128="D",IF(OR(I128="NOT_READABLE",I128="BLURRY"),-AB128,0),C128="J",IFS(I128="RED_CLEARER",XLOOKUP("duochrome_red_step",Calibration!$B:$B,Calibration!$C:$C,-0.25),I128="GREEN_CLEARER",XLOOKUP("duochrome_green_step",Calibration!$B:$B,Calibration!$C:$C,0.25),I128="EQUAL",IF(XLOOKUP($B128,Derived_Variables!$A:$A,Derived_Variables!$S:$S,"Neutral")="Undercorrect",XLOOKUP("undercorrect_step",Calibration!$B:$B,Calibration!$C:$C,0.25),IF(XLOOKUP($B128,Derived_Variables!$A:$A,Derived_Variables!$S:$S,"Neutral")="Overcorrect",-XLOOKUP("overcorrect_step",Calibration!$B:$B,Calibration!$C:$C,0.25),0)),TRUE,0),C128="K",IF(I128="BOTTOM_CLEARER",XLOOKUP("bino_balance_step",Calibration!$B:$B,Calibration!$C:$C,0.25),0),TRUE,0))</f>
        <v/>
      </c>
      <c r="AQ128" s="28" t="str">
        <f t="shared" si="12"/>
        <v/>
      </c>
      <c r="AR128" s="28" t="str">
        <f t="shared" si="13"/>
        <v/>
      </c>
      <c r="AS128" s="28" t="str">
        <f t="array" ref="AS128">IF($I128="","",IF(C128="P",IF(OR(I128="NOT_READABLE",I128="BLURRY"),XLOOKUP("near_add_step",Calibration!$B:$B,Calibration!$C:$C,0.25),0),IF(C128="R",IF(I128="NOT_CLEAR",XLOOKUP("near_add_step",Calibration!$B:$B,Calibration!$C:$C,0.25),0),0)))</f>
        <v/>
      </c>
      <c r="AT128" s="28" t="str">
        <f t="array" ref="AT128">IF($I128="","",IF(C128="Q",IF(OR(I128="NOT_READABLE",I128="BLURRY"),XLOOKUP("near_add_step",Calibration!$B:$B,Calibration!$C:$C,0.25),0),IF(C128="R",IF(I128="NOT_CLEAR",XLOOKUP("near_add_step",Calibration!$B:$B,Calibration!$C:$C,0.25),0),0)))</f>
        <v/>
      </c>
      <c r="AU128" s="28" t="str">
        <f t="array" ref="AU128">IF($I128="","",IF(G128="SNELLEN_FEET",IF(I128="READABLE",IFERROR(XLOOKUP(XLOOKUP(R128,Chart_Scale_Distance!B:B,Chart_Scale_Distance!A:A)+1,Chart_Scale_Distance!A:A,Chart_Scale_Distance!B:B),R128),R128),R128))</f>
        <v/>
      </c>
      <c r="AV128" s="28" t="str">
        <f t="array" ref="AV128">IF($I127="","",IFERROR(XLOOKUP(R128,Chart_Scale_Distance!$B:$B,Chart_Scale_Distance!$A:$A,""),""))</f>
        <v/>
      </c>
      <c r="AW128" s="28" t="str">
        <f t="array" ref="AW128">IF($I127="","",IFERROR(XLOOKUP(AA128,Chart_Scale_Distance!$B:$B,Chart_Scale_Distance!$A:$A,""),""))</f>
        <v/>
      </c>
      <c r="AX128" s="28" t="str">
        <f t="shared" si="14"/>
        <v/>
      </c>
      <c r="AY128" s="28" t="str">
        <f t="shared" si="15"/>
        <v/>
      </c>
      <c r="AZ128" s="28" t="str">
        <f t="shared" si="16"/>
        <v/>
      </c>
      <c r="BA128" s="28" t="str">
        <f t="shared" si="17"/>
        <v/>
      </c>
      <c r="BB128" s="28" t="str">
        <f t="shared" si="18"/>
        <v/>
      </c>
      <c r="BC128" s="28" t="str">
        <f t="array" ref="BC128">IF($I128="","",LET(
conf,AI128,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duoMax,XLOOKUP($B128,Derived_Variables!$A:$A,Derived_Variables!$AI:$AI,4),
axisTol,XLOOKUP($B128,Derived_Variables!$A:$A,Derived_Variables!$W:$W,1),
maxStart,XLOOKUP($B128,Derived_Variables!$A:$A,Derived_Variables!$U:$U,1.25),
maxAR,XLOOKUP($B128,Derived_Variables!$A:$A,Derived_Variables!$V:$V,3),
anom,XLOOKUP($B128,Derived_Variables!$A:$A,Derived_Variables!$Z:$Z,FALSE),
reStart,XLOOKUP($B128,Derived_Variables!$A:$A,Derived_Variables!$K:$K,0),
leStart,XLOOKUP($B128,Derived_Variables!$A:$A,Derived_Variables!$N:$N,0),
reAR,XLOOKUP($B128,AR_Input!$A:$A,AR_Input!$B:$B,reStart),
leAR,XLOOKUP($B128,AR_Input!$A:$A,AR_Input!$E:$E,leStart),
reEsc,AND(anom,OR(ABS((S128+AM128)-reStart)&gt;maxStart,ABS((S128+AM128)-reAR)&gt;maxAR)),
leEsc,AND(anom,OR(ABS((V128+AP128)-leStart)&gt;maxStart,ABS((V128+AP128)-leAR)&gt;maxAR)),
phaseMax,IFS(
 AK128="Fast",
   IFS(
     OR(C128="B",C128="D"),XLOOKUP("timeout_coarse_fast",Calibration!$B:$B,Calibration!$C:$C,24),
     OR(C128="E",C128="F",C128="H",C128="I"),XLOOKUP("timeout_jcc_fast",Calibration!$B:$B,Calibration!$C:$C,10),
     OR(C128="G",C128="J"),XLOOKUP("timeout_duochrome_fast",Calibration!$B:$B,Calibration!$C:$C,8),
     C128="K",XLOOKUP("timeout_bino_fast",Calibration!$B:$B,Calibration!$C:$C,10),
     OR(C128="P",C128="Q",C128="R"),XLOOKUP("timeout_near_fast",Calibration!$B:$B,Calibration!$C:$C,16),
     TRUE,XLOOKUP("timeout_coarse_fast",Calibration!$B:$B,Calibration!$C:$C,24)
   ),
 AK128="Normal",
   IFS(
     OR(C128="B",C128="D"),XLOOKUP("timeout_coarse_normal",Calibration!$B:$B,Calibration!$C:$C,36),
     OR(C128="E",C128="F",C128="H",C128="I"),XLOOKUP("timeout_jcc_normal",Calibration!$B:$B,Calibration!$C:$C,14),
     OR(C128="G",C128="J"),XLOOKUP("timeout_duochrome_normal",Calibration!$B:$B,Calibration!$C:$C,10),
     C128="K",XLOOKUP("timeout_bino_normal",Calibration!$B:$B,Calibration!$C:$C,14),
     OR(C128="P",C128="Q",C128="R"),XLOOKUP("timeout_near_normal",Calibration!$B:$B,Calibration!$C:$C,22),
     TRUE,XLOOKUP("timeout_coarse_normal",Calibration!$B:$B,Calibration!$C:$C,36)
   ),
 TRUE,
   IFS(
     OR(C128="B",C128="D"),XLOOKUP("timeout_coarse_slow",Calibration!$B:$B,Calibration!$C:$C,48),
     OR(C128="E",C128="F",C128="H",C128="I"),XLOOKUP("timeout_jcc_slow",Calibration!$B:$B,Calibration!$C:$C,18),
     OR(C128="G",C128="J"),XLOOKUP("timeout_duochrome_slow",Calibration!$B:$B,Calibration!$C:$C,12),
     C128="K",XLOOKUP("timeout_bino_slow",Calibration!$B:$B,Calibration!$C:$C,18),
     OR(C128="P",C128="Q",C128="R"),XLOOKUP("timeout_near_slow",Calibration!$B:$B,Calibration!$C:$C,28),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AJ128=TRUE,"ESCALATE",
C128="A",
IF(OR(I128="NOT_READABLE",I128="BLURRY",AND(R128="20_20_20",I128="READABLE")),"B","A"),
C128="B",
IF(reEsc,"ESCALATE",IF(AY128&gt;=phaseMax,"ESCALATE",IF(AND(AV128&gt;=AW128,I128="READABLE"),"E","B"))),
C128="E",
IF(AY128&gt;=phaseMax,"ESCALATE",IF(OR(I128="SAME",I128="CANT_TELL",AD128&lt;axisTol),"F","E")),
C128="F",
IF(AY128&gt;=phaseMax,"ESCALATE",IF(AX128&gt;=powerSameN,"G","F")),
C128="G",
IF(AY128&gt;=phaseMax,"ESCALATE",IF(OR(AX128&gt;=duoEqualN,BB128&gt;=duoMax),"D","G")),
C128="D",
IF(leEsc,"ESCALATE",IF(AY128&gt;=phaseMax,"ESCALATE",IF(AND(AV128&gt;=AW128,I128="READABLE"),"H","D"))),
C128="H",
IF(AY128&gt;=phaseMax,"ESCALATE",IF(OR(I128="SAME",I128="CANT_TELL",AD128&lt;axisTol),"I","H")),
C128="I",
IF(AY128&gt;=phaseMax,"ESCALATE",IF(AX128&gt;=powerSameN,"J","I")),
C128="J",
IF(AY128&gt;=phaseMax,"ESCALATE",IF(OR(AX128&gt;=duoEqualN,BB128&gt;=duoMax),"K","J")),
C128="K",
IF(AY128&gt;=phaseMax,"ESCALATE",IF(AX128&gt;=binoSameN,IF(XLOOKUP($B128,Derived_Variables!$A:$A,Derived_Variables!$AJ:$AJ,FALSE)=TRUE,"P","END"),"K")),
C128="P",
IF(AY128&gt;=phaseMax,"ESCALATE",IF(OR(I128="READABLE",I128="SAME"),"Q","P")),
C128="Q",
IF(AY128&gt;=phaseMax,"ESCALATE",IF(OR(I128="READABLE",I128="SAME"),"R","Q")),
C128="R",
IF(AY128&gt;=phaseMax,"ESCALATE",IF(OR(I128=nearTarget,I128="SAME"),"END","R")),
TRUE,"END"
)))</f>
        <v/>
      </c>
      <c r="BD128" s="28" t="b">
        <f t="shared" si="19"/>
        <v>0</v>
      </c>
    </row>
    <row r="129" ht="15.75" customHeight="1">
      <c r="A129" s="28">
        <f t="shared" si="3"/>
        <v>128</v>
      </c>
      <c r="B129" s="28">
        <f t="shared" si="4"/>
        <v>6</v>
      </c>
      <c r="C129" s="28" t="str">
        <f t="shared" si="5"/>
        <v/>
      </c>
      <c r="D129" s="28" t="str">
        <f t="array" ref="D129">IF($I128="","",XLOOKUP(C129,FSM_State_Map!A:A,FSM_State_Map!B:B,""))</f>
        <v/>
      </c>
      <c r="E129" s="28" t="str">
        <f t="array" ref="E129">IF($I128="","",XLOOKUP(C129,FSM_State_Map!A:A,FSM_State_Map!C:C,""))</f>
        <v/>
      </c>
      <c r="F129" s="28" t="str">
        <f t="array" ref="F129">IF($I128="","",XLOOKUP(E129,Phase_UI_Map!A:A,Phase_UI_Map!B:B,""))</f>
        <v/>
      </c>
      <c r="G129" s="28" t="str">
        <f t="array" ref="G129">IF($I128="","",XLOOKUP(E129,Phase_UI_Map!A:A,Phase_UI_Map!C:C,""))</f>
        <v/>
      </c>
      <c r="H129" s="28" t="str">
        <f t="array" ref="H129">IF($I128="","",XLOOKUP(E129,Phase_UI_Map!A:A,Phase_UI_Map!D:D,""))</f>
        <v/>
      </c>
      <c r="I129" s="29"/>
      <c r="J129" s="28" t="str">
        <f>IFERROR(__xludf.DUMMYFUNCTION("IF($I128="""","""",IFERROR(INDEX(FILTER(Response_Lists!$B:$B,Response_Lists!$A:$A=$H129),1),""""))"),"")</f>
        <v/>
      </c>
      <c r="K129" s="28" t="str">
        <f>IFERROR(__xludf.DUMMYFUNCTION("IF($I128="""","""",IFERROR(INDEX(FILTER(Response_Lists!$B:$B,Response_Lists!$A:$A=$H129),2),""""))"),"")</f>
        <v/>
      </c>
      <c r="L129" s="28" t="str">
        <f>IFERROR(__xludf.DUMMYFUNCTION("IF($I128="""","""",IFERROR(INDEX(FILTER(Response_Lists!$B:$B,Response_Lists!$A:$A=$H129),3),""""))"),"")</f>
        <v/>
      </c>
      <c r="M129" s="28" t="str">
        <f>IFERROR(__xludf.DUMMYFUNCTION("IF($I128="""","""",IFERROR(INDEX(FILTER(Response_Lists!$B:$B,Response_Lists!$A:$A=$H129),4),""""))"),"")</f>
        <v/>
      </c>
      <c r="N129" s="28" t="str">
        <f>IFERROR(__xludf.DUMMYFUNCTION("IF($I128="""","""",IFERROR(INDEX(FILTER(Response_Lists!$B:$B,Response_Lists!$A:$A=$H129),5),""""))"),"")</f>
        <v/>
      </c>
      <c r="O129" s="28" t="str">
        <f>IFERROR(__xludf.DUMMYFUNCTION("IF($I128="""","""",IFERROR(INDEX(FILTER(Response_Lists!$B:$B,Response_Lists!$A:$A=$H129),6),""""))"),"")</f>
        <v/>
      </c>
      <c r="P129" s="28" t="str">
        <f t="shared" si="6"/>
        <v/>
      </c>
      <c r="Q129" s="28" t="str">
        <f t="array" ref="Q129">IF($I128="","",XLOOKUP(C129,FSM_State_Map!A:A,FSM_State_Map!D:D,""))</f>
        <v/>
      </c>
      <c r="R129" s="28" t="str">
        <f t="shared" si="7"/>
        <v/>
      </c>
      <c r="S129" s="28" t="str">
        <f t="array" ref="S129">IF($I128="","",
IF(
  AND(C129="B",C128&lt;&gt;"B"),
  XLOOKUP($B129,Derived_Variables!$A:$A,Derived_Variables!$K:$K,0)
  + XLOOKUP($B129,Derived_Variables!$A:$A,Derived_Variables!$AE:$AE,0),
  S128+AM128
))</f>
        <v/>
      </c>
      <c r="T129" s="28" t="str">
        <f t="shared" ref="T129:U129" si="268">IF($I128="","",T128+AN128)</f>
        <v/>
      </c>
      <c r="U129" s="28" t="str">
        <f t="shared" si="268"/>
        <v/>
      </c>
      <c r="V129" s="28" t="str">
        <f t="array" ref="V129">IF($I128="","",
IF(
  AND(C129="D",C128&lt;&gt;"D"),
  XLOOKUP($B129,Derived_Variables!$A:$A,Derived_Variables!$N:$N,0)
  + XLOOKUP($B129,Derived_Variables!$A:$A,Derived_Variables!$AE:$AE,0),
  V128+AP128
))</f>
        <v/>
      </c>
      <c r="W129" s="28" t="str">
        <f t="shared" ref="W129:X129" si="269">IF($I128="","",W128+AQ128)</f>
        <v/>
      </c>
      <c r="X129" s="28" t="str">
        <f t="shared" si="269"/>
        <v/>
      </c>
      <c r="Y129" s="28" t="str">
        <f t="array" ref="Y129">IF($I128="","",IF(AND(C129="P",C128&lt;&gt;"P"),IFERROR(XLOOKUP($B129,Lenso_Input!$A:$A,Lenso_Input!$E:$E,0),0),Y128+AS128))</f>
        <v/>
      </c>
      <c r="Z129" s="28" t="str">
        <f t="array" ref="Z129">IF($I128="","",IF(AND(C129="Q",C128&lt;&gt;"Q"),IFERROR(XLOOKUP($B129,Lenso_Input!$A:$A,Lenso_Input!$I:$I,0),0),Z128+AT128))</f>
        <v/>
      </c>
      <c r="AA129" s="28" t="str">
        <f t="array" ref="AA129">IF($I128="","",IF(XLOOKUP($B129,Derived_Variables!$A:$A,Derived_Variables!$R:$R,"6/6_target")="6/6_target","20_20_20","40_30_25"))</f>
        <v/>
      </c>
      <c r="AB129" s="28" t="str">
        <f t="array" ref="AB129">IF($I128="","",XLOOKUP(LOWER(XLOOKUP($B129,Derived_Variables!$A:$A,Derived_Variables!$T:$T,"Standard"))&amp;"_sph_step",Calibration!$B:$B,Calibration!$C:$C,0.25))</f>
        <v/>
      </c>
      <c r="AC129" s="28" t="str">
        <f t="array" ref="AC129">IF($I128="","",XLOOKUP(LOWER(XLOOKUP($B129,Derived_Variables!$A:$A,Derived_Variables!$T:$T,"Standard"))&amp;"_cyl_step",Calibration!$B:$B,Calibration!$C:$C,0.25))</f>
        <v/>
      </c>
      <c r="AD129" s="28" t="str">
        <f t="array" ref="AD129">IF($I128="","",IF(OR(C129="E",C129="H"),LET(startStep,XLOOKUP("axis_start_step",Calibration!$B:$B,Calibration!$C:$C,5),step1,XLOOKUP("axis_reversal_step_1",Calibration!$B:$B,Calibration!$C:$C,3),step2,XLOOKUP("axis_reversal_step_2",Calibration!$B:$B,Calibration!$C:$C,1),IF(OR(C128&lt;&gt;C129,AZ129="",AZ129="SAME",AZ129="CANT_TELL",I129="",I129="SAME",I129="CANT_TELL"),startStep,IF(OR(AND(AZ129="BETTER_1",I129="BETTER_2"),AND(AZ129="BETTER_2",I129="BETTER_1")),IF(AD128&gt;step1,step1,step2),AD128))),0))</f>
        <v/>
      </c>
      <c r="AE129" s="28" t="str">
        <f t="array" ref="AE129">IF($I128="","",XLOOKUP($B129,Derived_Variables!$A:$A,Derived_Variables!$AD:$AD,"No_Fog"))</f>
        <v/>
      </c>
      <c r="AF129" s="28" t="str">
        <f t="array" ref="AF129">IF($I128="","",XLOOKUP($B129,Derived_Variables!$A:$A,Derived_Variables!$AE:$AE,0))</f>
        <v/>
      </c>
      <c r="AG129" s="28" t="str">
        <f t="array" ref="AG129">IF($I128="","",XLOOKUP($B129,Derived_Variables!$A:$A,Derived_Variables!$AF:$AF,""))</f>
        <v/>
      </c>
      <c r="AH129" s="28" t="str">
        <f t="array" ref="AH129">IF($I128="","",XLOOKUP($B129,Derived_Variables!$A:$A,Derived_Variables!$AG:$AG,""))</f>
        <v/>
      </c>
      <c r="AI129" s="28" t="str">
        <f t="array" ref="AI129">IF($I128="","",XLOOKUP($B129,Derived_Variables!$A:$A,Derived_Variables!$AC:$AC,"Medium"))</f>
        <v/>
      </c>
      <c r="AJ129" s="28" t="str">
        <f t="array" ref="AJ129">IF($I128="","",XLOOKUP($B129,Derived_Variables!$A:$A,Derived_Variables!$Y:$Y,FALSE))</f>
        <v/>
      </c>
      <c r="AK129" s="28" t="str">
        <f t="array" ref="AK129">IF($I128="","",XLOOKUP($B129,Derived_Variables!$A:$A,Derived_Variables!$AA:$AA,"Normal"))</f>
        <v/>
      </c>
      <c r="AL129" s="28" t="str">
        <f t="array" ref="AL129">IF($I128="","",XLOOKUP($B129,Derived_Variables!$A:$A,Derived_Variables!$AB:$AB,"Normal"))</f>
        <v/>
      </c>
      <c r="AM129" s="28" t="str">
        <f t="array" ref="AM129">IF($I129="","",IFS(C129="B",IF(OR(I129="NOT_READABLE",I129="BLURRY"),-AB129,0),C129="G",IFS(I129="RED_CLEARER",XLOOKUP("duochrome_red_step",Calibration!$B:$B,Calibration!$C:$C,-0.25),I129="GREEN_CLEARER",XLOOKUP("duochrome_green_step",Calibration!$B:$B,Calibration!$C:$C,0.25),I129="EQUAL",IF(XLOOKUP($B129,Derived_Variables!$A:$A,Derived_Variables!$S:$S,"Neutral")="Undercorrect",XLOOKUP("undercorrect_step",Calibration!$B:$B,Calibration!$C:$C,0.25),IF(XLOOKUP($B129,Derived_Variables!$A:$A,Derived_Variables!$S:$S,"Neutral")="Overcorrect",-XLOOKUP("overcorrect_step",Calibration!$B:$B,Calibration!$C:$C,0.25),0)),TRUE,0),C129="K",IF(I129="TOP_CLEARER",XLOOKUP("bino_balance_step",Calibration!$B:$B,Calibration!$C:$C,0.25),0),TRUE,0))</f>
        <v/>
      </c>
      <c r="AN129" s="28" t="str">
        <f t="shared" si="10"/>
        <v/>
      </c>
      <c r="AO129" s="28" t="str">
        <f t="shared" si="11"/>
        <v/>
      </c>
      <c r="AP129" s="28" t="str">
        <f t="array" ref="AP129">IF($I129="","",IFS(C129="D",IF(OR(I129="NOT_READABLE",I129="BLURRY"),-AB129,0),C129="J",IFS(I129="RED_CLEARER",XLOOKUP("duochrome_red_step",Calibration!$B:$B,Calibration!$C:$C,-0.25),I129="GREEN_CLEARER",XLOOKUP("duochrome_green_step",Calibration!$B:$B,Calibration!$C:$C,0.25),I129="EQUAL",IF(XLOOKUP($B129,Derived_Variables!$A:$A,Derived_Variables!$S:$S,"Neutral")="Undercorrect",XLOOKUP("undercorrect_step",Calibration!$B:$B,Calibration!$C:$C,0.25),IF(XLOOKUP($B129,Derived_Variables!$A:$A,Derived_Variables!$S:$S,"Neutral")="Overcorrect",-XLOOKUP("overcorrect_step",Calibration!$B:$B,Calibration!$C:$C,0.25),0)),TRUE,0),C129="K",IF(I129="BOTTOM_CLEARER",XLOOKUP("bino_balance_step",Calibration!$B:$B,Calibration!$C:$C,0.25),0),TRUE,0))</f>
        <v/>
      </c>
      <c r="AQ129" s="28" t="str">
        <f t="shared" si="12"/>
        <v/>
      </c>
      <c r="AR129" s="28" t="str">
        <f t="shared" si="13"/>
        <v/>
      </c>
      <c r="AS129" s="28" t="str">
        <f t="array" ref="AS129">IF($I129="","",IF(C129="P",IF(OR(I129="NOT_READABLE",I129="BLURRY"),XLOOKUP("near_add_step",Calibration!$B:$B,Calibration!$C:$C,0.25),0),IF(C129="R",IF(I129="NOT_CLEAR",XLOOKUP("near_add_step",Calibration!$B:$B,Calibration!$C:$C,0.25),0),0)))</f>
        <v/>
      </c>
      <c r="AT129" s="28" t="str">
        <f t="array" ref="AT129">IF($I129="","",IF(C129="Q",IF(OR(I129="NOT_READABLE",I129="BLURRY"),XLOOKUP("near_add_step",Calibration!$B:$B,Calibration!$C:$C,0.25),0),IF(C129="R",IF(I129="NOT_CLEAR",XLOOKUP("near_add_step",Calibration!$B:$B,Calibration!$C:$C,0.25),0),0)))</f>
        <v/>
      </c>
      <c r="AU129" s="28" t="str">
        <f t="array" ref="AU129">IF($I129="","",IF(G129="SNELLEN_FEET",IF(I129="READABLE",IFERROR(XLOOKUP(XLOOKUP(R129,Chart_Scale_Distance!B:B,Chart_Scale_Distance!A:A)+1,Chart_Scale_Distance!A:A,Chart_Scale_Distance!B:B),R129),R129),R129))</f>
        <v/>
      </c>
      <c r="AV129" s="28" t="str">
        <f t="array" ref="AV129">IF($I128="","",IFERROR(XLOOKUP(R129,Chart_Scale_Distance!$B:$B,Chart_Scale_Distance!$A:$A,""),""))</f>
        <v/>
      </c>
      <c r="AW129" s="28" t="str">
        <f t="array" ref="AW129">IF($I128="","",IFERROR(XLOOKUP(AA129,Chart_Scale_Distance!$B:$B,Chart_Scale_Distance!$A:$A,""),""))</f>
        <v/>
      </c>
      <c r="AX129" s="28" t="str">
        <f t="shared" si="14"/>
        <v/>
      </c>
      <c r="AY129" s="28" t="str">
        <f t="shared" si="15"/>
        <v/>
      </c>
      <c r="AZ129" s="28" t="str">
        <f t="shared" si="16"/>
        <v/>
      </c>
      <c r="BA129" s="28" t="str">
        <f t="shared" si="17"/>
        <v/>
      </c>
      <c r="BB129" s="28" t="str">
        <f t="shared" si="18"/>
        <v/>
      </c>
      <c r="BC129" s="28" t="str">
        <f t="array" ref="BC129">IF($I129="","",LET(
conf,AI129,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duoMax,XLOOKUP($B129,Derived_Variables!$A:$A,Derived_Variables!$AI:$AI,4),
axisTol,XLOOKUP($B129,Derived_Variables!$A:$A,Derived_Variables!$W:$W,1),
maxStart,XLOOKUP($B129,Derived_Variables!$A:$A,Derived_Variables!$U:$U,1.25),
maxAR,XLOOKUP($B129,Derived_Variables!$A:$A,Derived_Variables!$V:$V,3),
anom,XLOOKUP($B129,Derived_Variables!$A:$A,Derived_Variables!$Z:$Z,FALSE),
reStart,XLOOKUP($B129,Derived_Variables!$A:$A,Derived_Variables!$K:$K,0),
leStart,XLOOKUP($B129,Derived_Variables!$A:$A,Derived_Variables!$N:$N,0),
reAR,XLOOKUP($B129,AR_Input!$A:$A,AR_Input!$B:$B,reStart),
leAR,XLOOKUP($B129,AR_Input!$A:$A,AR_Input!$E:$E,leStart),
reEsc,AND(anom,OR(ABS((S129+AM129)-reStart)&gt;maxStart,ABS((S129+AM129)-reAR)&gt;maxAR)),
leEsc,AND(anom,OR(ABS((V129+AP129)-leStart)&gt;maxStart,ABS((V129+AP129)-leAR)&gt;maxAR)),
phaseMax,IFS(
 AK129="Fast",
   IFS(
     OR(C129="B",C129="D"),XLOOKUP("timeout_coarse_fast",Calibration!$B:$B,Calibration!$C:$C,24),
     OR(C129="E",C129="F",C129="H",C129="I"),XLOOKUP("timeout_jcc_fast",Calibration!$B:$B,Calibration!$C:$C,10),
     OR(C129="G",C129="J"),XLOOKUP("timeout_duochrome_fast",Calibration!$B:$B,Calibration!$C:$C,8),
     C129="K",XLOOKUP("timeout_bino_fast",Calibration!$B:$B,Calibration!$C:$C,10),
     OR(C129="P",C129="Q",C129="R"),XLOOKUP("timeout_near_fast",Calibration!$B:$B,Calibration!$C:$C,16),
     TRUE,XLOOKUP("timeout_coarse_fast",Calibration!$B:$B,Calibration!$C:$C,24)
   ),
 AK129="Normal",
   IFS(
     OR(C129="B",C129="D"),XLOOKUP("timeout_coarse_normal",Calibration!$B:$B,Calibration!$C:$C,36),
     OR(C129="E",C129="F",C129="H",C129="I"),XLOOKUP("timeout_jcc_normal",Calibration!$B:$B,Calibration!$C:$C,14),
     OR(C129="G",C129="J"),XLOOKUP("timeout_duochrome_normal",Calibration!$B:$B,Calibration!$C:$C,10),
     C129="K",XLOOKUP("timeout_bino_normal",Calibration!$B:$B,Calibration!$C:$C,14),
     OR(C129="P",C129="Q",C129="R"),XLOOKUP("timeout_near_normal",Calibration!$B:$B,Calibration!$C:$C,22),
     TRUE,XLOOKUP("timeout_coarse_normal",Calibration!$B:$B,Calibration!$C:$C,36)
   ),
 TRUE,
   IFS(
     OR(C129="B",C129="D"),XLOOKUP("timeout_coarse_slow",Calibration!$B:$B,Calibration!$C:$C,48),
     OR(C129="E",C129="F",C129="H",C129="I"),XLOOKUP("timeout_jcc_slow",Calibration!$B:$B,Calibration!$C:$C,18),
     OR(C129="G",C129="J"),XLOOKUP("timeout_duochrome_slow",Calibration!$B:$B,Calibration!$C:$C,12),
     C129="K",XLOOKUP("timeout_bino_slow",Calibration!$B:$B,Calibration!$C:$C,18),
     OR(C129="P",C129="Q",C129="R"),XLOOKUP("timeout_near_slow",Calibration!$B:$B,Calibration!$C:$C,28),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AJ129=TRUE,"ESCALATE",
C129="A",
IF(OR(I129="NOT_READABLE",I129="BLURRY",AND(R129="20_20_20",I129="READABLE")),"B","A"),
C129="B",
IF(reEsc,"ESCALATE",IF(AY129&gt;=phaseMax,"ESCALATE",IF(AND(AV129&gt;=AW129,I129="READABLE"),"E","B"))),
C129="E",
IF(AY129&gt;=phaseMax,"ESCALATE",IF(OR(I129="SAME",I129="CANT_TELL",AD129&lt;axisTol),"F","E")),
C129="F",
IF(AY129&gt;=phaseMax,"ESCALATE",IF(AX129&gt;=powerSameN,"G","F")),
C129="G",
IF(AY129&gt;=phaseMax,"ESCALATE",IF(OR(AX129&gt;=duoEqualN,BB129&gt;=duoMax),"D","G")),
C129="D",
IF(leEsc,"ESCALATE",IF(AY129&gt;=phaseMax,"ESCALATE",IF(AND(AV129&gt;=AW129,I129="READABLE"),"H","D"))),
C129="H",
IF(AY129&gt;=phaseMax,"ESCALATE",IF(OR(I129="SAME",I129="CANT_TELL",AD129&lt;axisTol),"I","H")),
C129="I",
IF(AY129&gt;=phaseMax,"ESCALATE",IF(AX129&gt;=powerSameN,"J","I")),
C129="J",
IF(AY129&gt;=phaseMax,"ESCALATE",IF(OR(AX129&gt;=duoEqualN,BB129&gt;=duoMax),"K","J")),
C129="K",
IF(AY129&gt;=phaseMax,"ESCALATE",IF(AX129&gt;=binoSameN,IF(XLOOKUP($B129,Derived_Variables!$A:$A,Derived_Variables!$AJ:$AJ,FALSE)=TRUE,"P","END"),"K")),
C129="P",
IF(AY129&gt;=phaseMax,"ESCALATE",IF(OR(I129="READABLE",I129="SAME"),"Q","P")),
C129="Q",
IF(AY129&gt;=phaseMax,"ESCALATE",IF(OR(I129="READABLE",I129="SAME"),"R","Q")),
C129="R",
IF(AY129&gt;=phaseMax,"ESCALATE",IF(OR(I129=nearTarget,I129="SAME"),"END","R")),
TRUE,"END"
)))</f>
        <v/>
      </c>
      <c r="BD129" s="28" t="b">
        <f t="shared" si="19"/>
        <v>0</v>
      </c>
    </row>
    <row r="130" ht="15.75" customHeight="1">
      <c r="A130" s="28">
        <f t="shared" si="3"/>
        <v>129</v>
      </c>
      <c r="B130" s="28">
        <f t="shared" si="4"/>
        <v>6</v>
      </c>
      <c r="C130" s="28" t="str">
        <f t="shared" si="5"/>
        <v/>
      </c>
      <c r="D130" s="28" t="str">
        <f t="array" ref="D130">IF($I129="","",XLOOKUP(C130,FSM_State_Map!A:A,FSM_State_Map!B:B,""))</f>
        <v/>
      </c>
      <c r="E130" s="28" t="str">
        <f t="array" ref="E130">IF($I129="","",XLOOKUP(C130,FSM_State_Map!A:A,FSM_State_Map!C:C,""))</f>
        <v/>
      </c>
      <c r="F130" s="28" t="str">
        <f t="array" ref="F130">IF($I129="","",XLOOKUP(E130,Phase_UI_Map!A:A,Phase_UI_Map!B:B,""))</f>
        <v/>
      </c>
      <c r="G130" s="28" t="str">
        <f t="array" ref="G130">IF($I129="","",XLOOKUP(E130,Phase_UI_Map!A:A,Phase_UI_Map!C:C,""))</f>
        <v/>
      </c>
      <c r="H130" s="28" t="str">
        <f t="array" ref="H130">IF($I129="","",XLOOKUP(E130,Phase_UI_Map!A:A,Phase_UI_Map!D:D,""))</f>
        <v/>
      </c>
      <c r="I130" s="29"/>
      <c r="J130" s="28" t="str">
        <f>IFERROR(__xludf.DUMMYFUNCTION("IF($I129="""","""",IFERROR(INDEX(FILTER(Response_Lists!$B:$B,Response_Lists!$A:$A=$H130),1),""""))"),"")</f>
        <v/>
      </c>
      <c r="K130" s="28" t="str">
        <f>IFERROR(__xludf.DUMMYFUNCTION("IF($I129="""","""",IFERROR(INDEX(FILTER(Response_Lists!$B:$B,Response_Lists!$A:$A=$H130),2),""""))"),"")</f>
        <v/>
      </c>
      <c r="L130" s="28" t="str">
        <f>IFERROR(__xludf.DUMMYFUNCTION("IF($I129="""","""",IFERROR(INDEX(FILTER(Response_Lists!$B:$B,Response_Lists!$A:$A=$H130),3),""""))"),"")</f>
        <v/>
      </c>
      <c r="M130" s="28" t="str">
        <f>IFERROR(__xludf.DUMMYFUNCTION("IF($I129="""","""",IFERROR(INDEX(FILTER(Response_Lists!$B:$B,Response_Lists!$A:$A=$H130),4),""""))"),"")</f>
        <v/>
      </c>
      <c r="N130" s="28" t="str">
        <f>IFERROR(__xludf.DUMMYFUNCTION("IF($I129="""","""",IFERROR(INDEX(FILTER(Response_Lists!$B:$B,Response_Lists!$A:$A=$H130),5),""""))"),"")</f>
        <v/>
      </c>
      <c r="O130" s="28" t="str">
        <f>IFERROR(__xludf.DUMMYFUNCTION("IF($I129="""","""",IFERROR(INDEX(FILTER(Response_Lists!$B:$B,Response_Lists!$A:$A=$H130),6),""""))"),"")</f>
        <v/>
      </c>
      <c r="P130" s="28" t="str">
        <f t="shared" si="6"/>
        <v/>
      </c>
      <c r="Q130" s="28" t="str">
        <f t="array" ref="Q130">IF($I129="","",XLOOKUP(C130,FSM_State_Map!A:A,FSM_State_Map!D:D,""))</f>
        <v/>
      </c>
      <c r="R130" s="28" t="str">
        <f t="shared" si="7"/>
        <v/>
      </c>
      <c r="S130" s="28" t="str">
        <f t="array" ref="S130">IF($I129="","",
IF(
  AND(C130="B",C129&lt;&gt;"B"),
  XLOOKUP($B130,Derived_Variables!$A:$A,Derived_Variables!$K:$K,0)
  + XLOOKUP($B130,Derived_Variables!$A:$A,Derived_Variables!$AE:$AE,0),
  S129+AM129
))</f>
        <v/>
      </c>
      <c r="T130" s="28" t="str">
        <f t="shared" ref="T130:U130" si="270">IF($I129="","",T129+AN129)</f>
        <v/>
      </c>
      <c r="U130" s="28" t="str">
        <f t="shared" si="270"/>
        <v/>
      </c>
      <c r="V130" s="28" t="str">
        <f t="array" ref="V130">IF($I129="","",
IF(
  AND(C130="D",C129&lt;&gt;"D"),
  XLOOKUP($B130,Derived_Variables!$A:$A,Derived_Variables!$N:$N,0)
  + XLOOKUP($B130,Derived_Variables!$A:$A,Derived_Variables!$AE:$AE,0),
  V129+AP129
))</f>
        <v/>
      </c>
      <c r="W130" s="28" t="str">
        <f t="shared" ref="W130:X130" si="271">IF($I129="","",W129+AQ129)</f>
        <v/>
      </c>
      <c r="X130" s="28" t="str">
        <f t="shared" si="271"/>
        <v/>
      </c>
      <c r="Y130" s="28" t="str">
        <f t="array" ref="Y130">IF($I129="","",IF(AND(C130="P",C129&lt;&gt;"P"),IFERROR(XLOOKUP($B130,Lenso_Input!$A:$A,Lenso_Input!$E:$E,0),0),Y129+AS129))</f>
        <v/>
      </c>
      <c r="Z130" s="28" t="str">
        <f t="array" ref="Z130">IF($I129="","",IF(AND(C130="Q",C129&lt;&gt;"Q"),IFERROR(XLOOKUP($B130,Lenso_Input!$A:$A,Lenso_Input!$I:$I,0),0),Z129+AT129))</f>
        <v/>
      </c>
      <c r="AA130" s="28" t="str">
        <f t="array" ref="AA130">IF($I129="","",IF(XLOOKUP($B130,Derived_Variables!$A:$A,Derived_Variables!$R:$R,"6/6_target")="6/6_target","20_20_20","40_30_25"))</f>
        <v/>
      </c>
      <c r="AB130" s="28" t="str">
        <f t="array" ref="AB130">IF($I129="","",XLOOKUP(LOWER(XLOOKUP($B130,Derived_Variables!$A:$A,Derived_Variables!$T:$T,"Standard"))&amp;"_sph_step",Calibration!$B:$B,Calibration!$C:$C,0.25))</f>
        <v/>
      </c>
      <c r="AC130" s="28" t="str">
        <f t="array" ref="AC130">IF($I129="","",XLOOKUP(LOWER(XLOOKUP($B130,Derived_Variables!$A:$A,Derived_Variables!$T:$T,"Standard"))&amp;"_cyl_step",Calibration!$B:$B,Calibration!$C:$C,0.25))</f>
        <v/>
      </c>
      <c r="AD130" s="28" t="str">
        <f t="array" ref="AD130">IF($I129="","",IF(OR(C130="E",C130="H"),LET(startStep,XLOOKUP("axis_start_step",Calibration!$B:$B,Calibration!$C:$C,5),step1,XLOOKUP("axis_reversal_step_1",Calibration!$B:$B,Calibration!$C:$C,3),step2,XLOOKUP("axis_reversal_step_2",Calibration!$B:$B,Calibration!$C:$C,1),IF(OR(C129&lt;&gt;C130,AZ130="",AZ130="SAME",AZ130="CANT_TELL",I130="",I130="SAME",I130="CANT_TELL"),startStep,IF(OR(AND(AZ130="BETTER_1",I130="BETTER_2"),AND(AZ130="BETTER_2",I130="BETTER_1")),IF(AD129&gt;step1,step1,step2),AD129))),0))</f>
        <v/>
      </c>
      <c r="AE130" s="28" t="str">
        <f t="array" ref="AE130">IF($I129="","",XLOOKUP($B130,Derived_Variables!$A:$A,Derived_Variables!$AD:$AD,"No_Fog"))</f>
        <v/>
      </c>
      <c r="AF130" s="28" t="str">
        <f t="array" ref="AF130">IF($I129="","",XLOOKUP($B130,Derived_Variables!$A:$A,Derived_Variables!$AE:$AE,0))</f>
        <v/>
      </c>
      <c r="AG130" s="28" t="str">
        <f t="array" ref="AG130">IF($I129="","",XLOOKUP($B130,Derived_Variables!$A:$A,Derived_Variables!$AF:$AF,""))</f>
        <v/>
      </c>
      <c r="AH130" s="28" t="str">
        <f t="array" ref="AH130">IF($I129="","",XLOOKUP($B130,Derived_Variables!$A:$A,Derived_Variables!$AG:$AG,""))</f>
        <v/>
      </c>
      <c r="AI130" s="28" t="str">
        <f t="array" ref="AI130">IF($I129="","",XLOOKUP($B130,Derived_Variables!$A:$A,Derived_Variables!$AC:$AC,"Medium"))</f>
        <v/>
      </c>
      <c r="AJ130" s="28" t="str">
        <f t="array" ref="AJ130">IF($I129="","",XLOOKUP($B130,Derived_Variables!$A:$A,Derived_Variables!$Y:$Y,FALSE))</f>
        <v/>
      </c>
      <c r="AK130" s="28" t="str">
        <f t="array" ref="AK130">IF($I129="","",XLOOKUP($B130,Derived_Variables!$A:$A,Derived_Variables!$AA:$AA,"Normal"))</f>
        <v/>
      </c>
      <c r="AL130" s="28" t="str">
        <f t="array" ref="AL130">IF($I129="","",XLOOKUP($B130,Derived_Variables!$A:$A,Derived_Variables!$AB:$AB,"Normal"))</f>
        <v/>
      </c>
      <c r="AM130" s="28" t="str">
        <f t="array" ref="AM130">IF($I130="","",IFS(C130="B",IF(OR(I130="NOT_READABLE",I130="BLURRY"),-AB130,0),C130="G",IFS(I130="RED_CLEARER",XLOOKUP("duochrome_red_step",Calibration!$B:$B,Calibration!$C:$C,-0.25),I130="GREEN_CLEARER",XLOOKUP("duochrome_green_step",Calibration!$B:$B,Calibration!$C:$C,0.25),I130="EQUAL",IF(XLOOKUP($B130,Derived_Variables!$A:$A,Derived_Variables!$S:$S,"Neutral")="Undercorrect",XLOOKUP("undercorrect_step",Calibration!$B:$B,Calibration!$C:$C,0.25),IF(XLOOKUP($B130,Derived_Variables!$A:$A,Derived_Variables!$S:$S,"Neutral")="Overcorrect",-XLOOKUP("overcorrect_step",Calibration!$B:$B,Calibration!$C:$C,0.25),0)),TRUE,0),C130="K",IF(I130="TOP_CLEARER",XLOOKUP("bino_balance_step",Calibration!$B:$B,Calibration!$C:$C,0.25),0),TRUE,0))</f>
        <v/>
      </c>
      <c r="AN130" s="28" t="str">
        <f t="shared" si="10"/>
        <v/>
      </c>
      <c r="AO130" s="28" t="str">
        <f t="shared" si="11"/>
        <v/>
      </c>
      <c r="AP130" s="28" t="str">
        <f t="array" ref="AP130">IF($I130="","",IFS(C130="D",IF(OR(I130="NOT_READABLE",I130="BLURRY"),-AB130,0),C130="J",IFS(I130="RED_CLEARER",XLOOKUP("duochrome_red_step",Calibration!$B:$B,Calibration!$C:$C,-0.25),I130="GREEN_CLEARER",XLOOKUP("duochrome_green_step",Calibration!$B:$B,Calibration!$C:$C,0.25),I130="EQUAL",IF(XLOOKUP($B130,Derived_Variables!$A:$A,Derived_Variables!$S:$S,"Neutral")="Undercorrect",XLOOKUP("undercorrect_step",Calibration!$B:$B,Calibration!$C:$C,0.25),IF(XLOOKUP($B130,Derived_Variables!$A:$A,Derived_Variables!$S:$S,"Neutral")="Overcorrect",-XLOOKUP("overcorrect_step",Calibration!$B:$B,Calibration!$C:$C,0.25),0)),TRUE,0),C130="K",IF(I130="BOTTOM_CLEARER",XLOOKUP("bino_balance_step",Calibration!$B:$B,Calibration!$C:$C,0.25),0),TRUE,0))</f>
        <v/>
      </c>
      <c r="AQ130" s="28" t="str">
        <f t="shared" si="12"/>
        <v/>
      </c>
      <c r="AR130" s="28" t="str">
        <f t="shared" si="13"/>
        <v/>
      </c>
      <c r="AS130" s="28" t="str">
        <f t="array" ref="AS130">IF($I130="","",IF(C130="P",IF(OR(I130="NOT_READABLE",I130="BLURRY"),XLOOKUP("near_add_step",Calibration!$B:$B,Calibration!$C:$C,0.25),0),IF(C130="R",IF(I130="NOT_CLEAR",XLOOKUP("near_add_step",Calibration!$B:$B,Calibration!$C:$C,0.25),0),0)))</f>
        <v/>
      </c>
      <c r="AT130" s="28" t="str">
        <f t="array" ref="AT130">IF($I130="","",IF(C130="Q",IF(OR(I130="NOT_READABLE",I130="BLURRY"),XLOOKUP("near_add_step",Calibration!$B:$B,Calibration!$C:$C,0.25),0),IF(C130="R",IF(I130="NOT_CLEAR",XLOOKUP("near_add_step",Calibration!$B:$B,Calibration!$C:$C,0.25),0),0)))</f>
        <v/>
      </c>
      <c r="AU130" s="28" t="str">
        <f t="array" ref="AU130">IF($I130="","",IF(G130="SNELLEN_FEET",IF(I130="READABLE",IFERROR(XLOOKUP(XLOOKUP(R130,Chart_Scale_Distance!B:B,Chart_Scale_Distance!A:A)+1,Chart_Scale_Distance!A:A,Chart_Scale_Distance!B:B),R130),R130),R130))</f>
        <v/>
      </c>
      <c r="AV130" s="28" t="str">
        <f t="array" ref="AV130">IF($I129="","",IFERROR(XLOOKUP(R130,Chart_Scale_Distance!$B:$B,Chart_Scale_Distance!$A:$A,""),""))</f>
        <v/>
      </c>
      <c r="AW130" s="28" t="str">
        <f t="array" ref="AW130">IF($I129="","",IFERROR(XLOOKUP(AA130,Chart_Scale_Distance!$B:$B,Chart_Scale_Distance!$A:$A,""),""))</f>
        <v/>
      </c>
      <c r="AX130" s="28" t="str">
        <f t="shared" si="14"/>
        <v/>
      </c>
      <c r="AY130" s="28" t="str">
        <f t="shared" si="15"/>
        <v/>
      </c>
      <c r="AZ130" s="28" t="str">
        <f t="shared" si="16"/>
        <v/>
      </c>
      <c r="BA130" s="28" t="str">
        <f t="shared" si="17"/>
        <v/>
      </c>
      <c r="BB130" s="28" t="str">
        <f t="shared" si="18"/>
        <v/>
      </c>
      <c r="BC130" s="28" t="str">
        <f t="array" ref="BC130">IF($I130="","",LET(
conf,AI130,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duoMax,XLOOKUP($B130,Derived_Variables!$A:$A,Derived_Variables!$AI:$AI,4),
axisTol,XLOOKUP($B130,Derived_Variables!$A:$A,Derived_Variables!$W:$W,1),
maxStart,XLOOKUP($B130,Derived_Variables!$A:$A,Derived_Variables!$U:$U,1.25),
maxAR,XLOOKUP($B130,Derived_Variables!$A:$A,Derived_Variables!$V:$V,3),
anom,XLOOKUP($B130,Derived_Variables!$A:$A,Derived_Variables!$Z:$Z,FALSE),
reStart,XLOOKUP($B130,Derived_Variables!$A:$A,Derived_Variables!$K:$K,0),
leStart,XLOOKUP($B130,Derived_Variables!$A:$A,Derived_Variables!$N:$N,0),
reAR,XLOOKUP($B130,AR_Input!$A:$A,AR_Input!$B:$B,reStart),
leAR,XLOOKUP($B130,AR_Input!$A:$A,AR_Input!$E:$E,leStart),
reEsc,AND(anom,OR(ABS((S130+AM130)-reStart)&gt;maxStart,ABS((S130+AM130)-reAR)&gt;maxAR)),
leEsc,AND(anom,OR(ABS((V130+AP130)-leStart)&gt;maxStart,ABS((V130+AP130)-leAR)&gt;maxAR)),
phaseMax,IFS(
 AK130="Fast",
   IFS(
     OR(C130="B",C130="D"),XLOOKUP("timeout_coarse_fast",Calibration!$B:$B,Calibration!$C:$C,24),
     OR(C130="E",C130="F",C130="H",C130="I"),XLOOKUP("timeout_jcc_fast",Calibration!$B:$B,Calibration!$C:$C,10),
     OR(C130="G",C130="J"),XLOOKUP("timeout_duochrome_fast",Calibration!$B:$B,Calibration!$C:$C,8),
     C130="K",XLOOKUP("timeout_bino_fast",Calibration!$B:$B,Calibration!$C:$C,10),
     OR(C130="P",C130="Q",C130="R"),XLOOKUP("timeout_near_fast",Calibration!$B:$B,Calibration!$C:$C,16),
     TRUE,XLOOKUP("timeout_coarse_fast",Calibration!$B:$B,Calibration!$C:$C,24)
   ),
 AK130="Normal",
   IFS(
     OR(C130="B",C130="D"),XLOOKUP("timeout_coarse_normal",Calibration!$B:$B,Calibration!$C:$C,36),
     OR(C130="E",C130="F",C130="H",C130="I"),XLOOKUP("timeout_jcc_normal",Calibration!$B:$B,Calibration!$C:$C,14),
     OR(C130="G",C130="J"),XLOOKUP("timeout_duochrome_normal",Calibration!$B:$B,Calibration!$C:$C,10),
     C130="K",XLOOKUP("timeout_bino_normal",Calibration!$B:$B,Calibration!$C:$C,14),
     OR(C130="P",C130="Q",C130="R"),XLOOKUP("timeout_near_normal",Calibration!$B:$B,Calibration!$C:$C,22),
     TRUE,XLOOKUP("timeout_coarse_normal",Calibration!$B:$B,Calibration!$C:$C,36)
   ),
 TRUE,
   IFS(
     OR(C130="B",C130="D"),XLOOKUP("timeout_coarse_slow",Calibration!$B:$B,Calibration!$C:$C,48),
     OR(C130="E",C130="F",C130="H",C130="I"),XLOOKUP("timeout_jcc_slow",Calibration!$B:$B,Calibration!$C:$C,18),
     OR(C130="G",C130="J"),XLOOKUP("timeout_duochrome_slow",Calibration!$B:$B,Calibration!$C:$C,12),
     C130="K",XLOOKUP("timeout_bino_slow",Calibration!$B:$B,Calibration!$C:$C,18),
     OR(C130="P",C130="Q",C130="R"),XLOOKUP("timeout_near_slow",Calibration!$B:$B,Calibration!$C:$C,28),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AJ130=TRUE,"ESCALATE",
C130="A",
IF(OR(I130="NOT_READABLE",I130="BLURRY",AND(R130="20_20_20",I130="READABLE")),"B","A"),
C130="B",
IF(reEsc,"ESCALATE",IF(AY130&gt;=phaseMax,"ESCALATE",IF(AND(AV130&gt;=AW130,I130="READABLE"),"E","B"))),
C130="E",
IF(AY130&gt;=phaseMax,"ESCALATE",IF(OR(I130="SAME",I130="CANT_TELL",AD130&lt;axisTol),"F","E")),
C130="F",
IF(AY130&gt;=phaseMax,"ESCALATE",IF(AX130&gt;=powerSameN,"G","F")),
C130="G",
IF(AY130&gt;=phaseMax,"ESCALATE",IF(OR(AX130&gt;=duoEqualN,BB130&gt;=duoMax),"D","G")),
C130="D",
IF(leEsc,"ESCALATE",IF(AY130&gt;=phaseMax,"ESCALATE",IF(AND(AV130&gt;=AW130,I130="READABLE"),"H","D"))),
C130="H",
IF(AY130&gt;=phaseMax,"ESCALATE",IF(OR(I130="SAME",I130="CANT_TELL",AD130&lt;axisTol),"I","H")),
C130="I",
IF(AY130&gt;=phaseMax,"ESCALATE",IF(AX130&gt;=powerSameN,"J","I")),
C130="J",
IF(AY130&gt;=phaseMax,"ESCALATE",IF(OR(AX130&gt;=duoEqualN,BB130&gt;=duoMax),"K","J")),
C130="K",
IF(AY130&gt;=phaseMax,"ESCALATE",IF(AX130&gt;=binoSameN,IF(XLOOKUP($B130,Derived_Variables!$A:$A,Derived_Variables!$AJ:$AJ,FALSE)=TRUE,"P","END"),"K")),
C130="P",
IF(AY130&gt;=phaseMax,"ESCALATE",IF(OR(I130="READABLE",I130="SAME"),"Q","P")),
C130="Q",
IF(AY130&gt;=phaseMax,"ESCALATE",IF(OR(I130="READABLE",I130="SAME"),"R","Q")),
C130="R",
IF(AY130&gt;=phaseMax,"ESCALATE",IF(OR(I130=nearTarget,I130="SAME"),"END","R")),
TRUE,"END"
)))</f>
        <v/>
      </c>
      <c r="BD130" s="28" t="b">
        <f t="shared" si="19"/>
        <v>0</v>
      </c>
    </row>
    <row r="131" ht="15.75" customHeight="1">
      <c r="A131" s="28">
        <f t="shared" si="3"/>
        <v>130</v>
      </c>
      <c r="B131" s="28">
        <f t="shared" si="4"/>
        <v>6</v>
      </c>
      <c r="C131" s="28" t="str">
        <f t="shared" si="5"/>
        <v/>
      </c>
      <c r="D131" s="28" t="str">
        <f t="array" ref="D131">IF($I130="","",XLOOKUP(C131,FSM_State_Map!A:A,FSM_State_Map!B:B,""))</f>
        <v/>
      </c>
      <c r="E131" s="28" t="str">
        <f t="array" ref="E131">IF($I130="","",XLOOKUP(C131,FSM_State_Map!A:A,FSM_State_Map!C:C,""))</f>
        <v/>
      </c>
      <c r="F131" s="28" t="str">
        <f t="array" ref="F131">IF($I130="","",XLOOKUP(E131,Phase_UI_Map!A:A,Phase_UI_Map!B:B,""))</f>
        <v/>
      </c>
      <c r="G131" s="28" t="str">
        <f t="array" ref="G131">IF($I130="","",XLOOKUP(E131,Phase_UI_Map!A:A,Phase_UI_Map!C:C,""))</f>
        <v/>
      </c>
      <c r="H131" s="28" t="str">
        <f t="array" ref="H131">IF($I130="","",XLOOKUP(E131,Phase_UI_Map!A:A,Phase_UI_Map!D:D,""))</f>
        <v/>
      </c>
      <c r="I131" s="29"/>
      <c r="J131" s="28" t="str">
        <f>IFERROR(__xludf.DUMMYFUNCTION("IF($I130="""","""",IFERROR(INDEX(FILTER(Response_Lists!$B:$B,Response_Lists!$A:$A=$H131),1),""""))"),"")</f>
        <v/>
      </c>
      <c r="K131" s="28" t="str">
        <f>IFERROR(__xludf.DUMMYFUNCTION("IF($I130="""","""",IFERROR(INDEX(FILTER(Response_Lists!$B:$B,Response_Lists!$A:$A=$H131),2),""""))"),"")</f>
        <v/>
      </c>
      <c r="L131" s="28" t="str">
        <f>IFERROR(__xludf.DUMMYFUNCTION("IF($I130="""","""",IFERROR(INDEX(FILTER(Response_Lists!$B:$B,Response_Lists!$A:$A=$H131),3),""""))"),"")</f>
        <v/>
      </c>
      <c r="M131" s="28" t="str">
        <f>IFERROR(__xludf.DUMMYFUNCTION("IF($I130="""","""",IFERROR(INDEX(FILTER(Response_Lists!$B:$B,Response_Lists!$A:$A=$H131),4),""""))"),"")</f>
        <v/>
      </c>
      <c r="N131" s="28" t="str">
        <f>IFERROR(__xludf.DUMMYFUNCTION("IF($I130="""","""",IFERROR(INDEX(FILTER(Response_Lists!$B:$B,Response_Lists!$A:$A=$H131),5),""""))"),"")</f>
        <v/>
      </c>
      <c r="O131" s="28" t="str">
        <f>IFERROR(__xludf.DUMMYFUNCTION("IF($I130="""","""",IFERROR(INDEX(FILTER(Response_Lists!$B:$B,Response_Lists!$A:$A=$H131),6),""""))"),"")</f>
        <v/>
      </c>
      <c r="P131" s="28" t="str">
        <f t="shared" si="6"/>
        <v/>
      </c>
      <c r="Q131" s="28" t="str">
        <f t="array" ref="Q131">IF($I130="","",XLOOKUP(C131,FSM_State_Map!A:A,FSM_State_Map!D:D,""))</f>
        <v/>
      </c>
      <c r="R131" s="28" t="str">
        <f t="shared" si="7"/>
        <v/>
      </c>
      <c r="S131" s="28" t="str">
        <f t="array" ref="S131">IF($I130="","",
IF(
  AND(C131="B",C130&lt;&gt;"B"),
  XLOOKUP($B131,Derived_Variables!$A:$A,Derived_Variables!$K:$K,0)
  + XLOOKUP($B131,Derived_Variables!$A:$A,Derived_Variables!$AE:$AE,0),
  S130+AM130
))</f>
        <v/>
      </c>
      <c r="T131" s="28" t="str">
        <f t="shared" ref="T131:U131" si="272">IF($I130="","",T130+AN130)</f>
        <v/>
      </c>
      <c r="U131" s="28" t="str">
        <f t="shared" si="272"/>
        <v/>
      </c>
      <c r="V131" s="28" t="str">
        <f t="array" ref="V131">IF($I130="","",
IF(
  AND(C131="D",C130&lt;&gt;"D"),
  XLOOKUP($B131,Derived_Variables!$A:$A,Derived_Variables!$N:$N,0)
  + XLOOKUP($B131,Derived_Variables!$A:$A,Derived_Variables!$AE:$AE,0),
  V130+AP130
))</f>
        <v/>
      </c>
      <c r="W131" s="28" t="str">
        <f t="shared" ref="W131:X131" si="273">IF($I130="","",W130+AQ130)</f>
        <v/>
      </c>
      <c r="X131" s="28" t="str">
        <f t="shared" si="273"/>
        <v/>
      </c>
      <c r="Y131" s="28" t="str">
        <f t="array" ref="Y131">IF($I130="","",IF(AND(C131="P",C130&lt;&gt;"P"),IFERROR(XLOOKUP($B131,Lenso_Input!$A:$A,Lenso_Input!$E:$E,0),0),Y130+AS130))</f>
        <v/>
      </c>
      <c r="Z131" s="28" t="str">
        <f t="array" ref="Z131">IF($I130="","",IF(AND(C131="Q",C130&lt;&gt;"Q"),IFERROR(XLOOKUP($B131,Lenso_Input!$A:$A,Lenso_Input!$I:$I,0),0),Z130+AT130))</f>
        <v/>
      </c>
      <c r="AA131" s="28" t="str">
        <f t="array" ref="AA131">IF($I130="","",IF(XLOOKUP($B131,Derived_Variables!$A:$A,Derived_Variables!$R:$R,"6/6_target")="6/6_target","20_20_20","40_30_25"))</f>
        <v/>
      </c>
      <c r="AB131" s="28" t="str">
        <f t="array" ref="AB131">IF($I130="","",XLOOKUP(LOWER(XLOOKUP($B131,Derived_Variables!$A:$A,Derived_Variables!$T:$T,"Standard"))&amp;"_sph_step",Calibration!$B:$B,Calibration!$C:$C,0.25))</f>
        <v/>
      </c>
      <c r="AC131" s="28" t="str">
        <f t="array" ref="AC131">IF($I130="","",XLOOKUP(LOWER(XLOOKUP($B131,Derived_Variables!$A:$A,Derived_Variables!$T:$T,"Standard"))&amp;"_cyl_step",Calibration!$B:$B,Calibration!$C:$C,0.25))</f>
        <v/>
      </c>
      <c r="AD131" s="28" t="str">
        <f t="array" ref="AD131">IF($I130="","",IF(OR(C131="E",C131="H"),LET(startStep,XLOOKUP("axis_start_step",Calibration!$B:$B,Calibration!$C:$C,5),step1,XLOOKUP("axis_reversal_step_1",Calibration!$B:$B,Calibration!$C:$C,3),step2,XLOOKUP("axis_reversal_step_2",Calibration!$B:$B,Calibration!$C:$C,1),IF(OR(C130&lt;&gt;C131,AZ131="",AZ131="SAME",AZ131="CANT_TELL",I131="",I131="SAME",I131="CANT_TELL"),startStep,IF(OR(AND(AZ131="BETTER_1",I131="BETTER_2"),AND(AZ131="BETTER_2",I131="BETTER_1")),IF(AD130&gt;step1,step1,step2),AD130))),0))</f>
        <v/>
      </c>
      <c r="AE131" s="28" t="str">
        <f t="array" ref="AE131">IF($I130="","",XLOOKUP($B131,Derived_Variables!$A:$A,Derived_Variables!$AD:$AD,"No_Fog"))</f>
        <v/>
      </c>
      <c r="AF131" s="28" t="str">
        <f t="array" ref="AF131">IF($I130="","",XLOOKUP($B131,Derived_Variables!$A:$A,Derived_Variables!$AE:$AE,0))</f>
        <v/>
      </c>
      <c r="AG131" s="28" t="str">
        <f t="array" ref="AG131">IF($I130="","",XLOOKUP($B131,Derived_Variables!$A:$A,Derived_Variables!$AF:$AF,""))</f>
        <v/>
      </c>
      <c r="AH131" s="28" t="str">
        <f t="array" ref="AH131">IF($I130="","",XLOOKUP($B131,Derived_Variables!$A:$A,Derived_Variables!$AG:$AG,""))</f>
        <v/>
      </c>
      <c r="AI131" s="28" t="str">
        <f t="array" ref="AI131">IF($I130="","",XLOOKUP($B131,Derived_Variables!$A:$A,Derived_Variables!$AC:$AC,"Medium"))</f>
        <v/>
      </c>
      <c r="AJ131" s="28" t="str">
        <f t="array" ref="AJ131">IF($I130="","",XLOOKUP($B131,Derived_Variables!$A:$A,Derived_Variables!$Y:$Y,FALSE))</f>
        <v/>
      </c>
      <c r="AK131" s="28" t="str">
        <f t="array" ref="AK131">IF($I130="","",XLOOKUP($B131,Derived_Variables!$A:$A,Derived_Variables!$AA:$AA,"Normal"))</f>
        <v/>
      </c>
      <c r="AL131" s="28" t="str">
        <f t="array" ref="AL131">IF($I130="","",XLOOKUP($B131,Derived_Variables!$A:$A,Derived_Variables!$AB:$AB,"Normal"))</f>
        <v/>
      </c>
      <c r="AM131" s="28" t="str">
        <f t="array" ref="AM131">IF($I131="","",IFS(C131="B",IF(OR(I131="NOT_READABLE",I131="BLURRY"),-AB131,0),C131="G",IFS(I131="RED_CLEARER",XLOOKUP("duochrome_red_step",Calibration!$B:$B,Calibration!$C:$C,-0.25),I131="GREEN_CLEARER",XLOOKUP("duochrome_green_step",Calibration!$B:$B,Calibration!$C:$C,0.25),I131="EQUAL",IF(XLOOKUP($B131,Derived_Variables!$A:$A,Derived_Variables!$S:$S,"Neutral")="Undercorrect",XLOOKUP("undercorrect_step",Calibration!$B:$B,Calibration!$C:$C,0.25),IF(XLOOKUP($B131,Derived_Variables!$A:$A,Derived_Variables!$S:$S,"Neutral")="Overcorrect",-XLOOKUP("overcorrect_step",Calibration!$B:$B,Calibration!$C:$C,0.25),0)),TRUE,0),C131="K",IF(I131="TOP_CLEARER",XLOOKUP("bino_balance_step",Calibration!$B:$B,Calibration!$C:$C,0.25),0),TRUE,0))</f>
        <v/>
      </c>
      <c r="AN131" s="28" t="str">
        <f t="shared" si="10"/>
        <v/>
      </c>
      <c r="AO131" s="28" t="str">
        <f t="shared" si="11"/>
        <v/>
      </c>
      <c r="AP131" s="28" t="str">
        <f t="array" ref="AP131">IF($I131="","",IFS(C131="D",IF(OR(I131="NOT_READABLE",I131="BLURRY"),-AB131,0),C131="J",IFS(I131="RED_CLEARER",XLOOKUP("duochrome_red_step",Calibration!$B:$B,Calibration!$C:$C,-0.25),I131="GREEN_CLEARER",XLOOKUP("duochrome_green_step",Calibration!$B:$B,Calibration!$C:$C,0.25),I131="EQUAL",IF(XLOOKUP($B131,Derived_Variables!$A:$A,Derived_Variables!$S:$S,"Neutral")="Undercorrect",XLOOKUP("undercorrect_step",Calibration!$B:$B,Calibration!$C:$C,0.25),IF(XLOOKUP($B131,Derived_Variables!$A:$A,Derived_Variables!$S:$S,"Neutral")="Overcorrect",-XLOOKUP("overcorrect_step",Calibration!$B:$B,Calibration!$C:$C,0.25),0)),TRUE,0),C131="K",IF(I131="BOTTOM_CLEARER",XLOOKUP("bino_balance_step",Calibration!$B:$B,Calibration!$C:$C,0.25),0),TRUE,0))</f>
        <v/>
      </c>
      <c r="AQ131" s="28" t="str">
        <f t="shared" si="12"/>
        <v/>
      </c>
      <c r="AR131" s="28" t="str">
        <f t="shared" si="13"/>
        <v/>
      </c>
      <c r="AS131" s="28" t="str">
        <f t="array" ref="AS131">IF($I131="","",IF(C131="P",IF(OR(I131="NOT_READABLE",I131="BLURRY"),XLOOKUP("near_add_step",Calibration!$B:$B,Calibration!$C:$C,0.25),0),IF(C131="R",IF(I131="NOT_CLEAR",XLOOKUP("near_add_step",Calibration!$B:$B,Calibration!$C:$C,0.25),0),0)))</f>
        <v/>
      </c>
      <c r="AT131" s="28" t="str">
        <f t="array" ref="AT131">IF($I131="","",IF(C131="Q",IF(OR(I131="NOT_READABLE",I131="BLURRY"),XLOOKUP("near_add_step",Calibration!$B:$B,Calibration!$C:$C,0.25),0),IF(C131="R",IF(I131="NOT_CLEAR",XLOOKUP("near_add_step",Calibration!$B:$B,Calibration!$C:$C,0.25),0),0)))</f>
        <v/>
      </c>
      <c r="AU131" s="28" t="str">
        <f t="array" ref="AU131">IF($I131="","",IF(G131="SNELLEN_FEET",IF(I131="READABLE",IFERROR(XLOOKUP(XLOOKUP(R131,Chart_Scale_Distance!B:B,Chart_Scale_Distance!A:A)+1,Chart_Scale_Distance!A:A,Chart_Scale_Distance!B:B),R131),R131),R131))</f>
        <v/>
      </c>
      <c r="AV131" s="28" t="str">
        <f t="array" ref="AV131">IF($I130="","",IFERROR(XLOOKUP(R131,Chart_Scale_Distance!$B:$B,Chart_Scale_Distance!$A:$A,""),""))</f>
        <v/>
      </c>
      <c r="AW131" s="28" t="str">
        <f t="array" ref="AW131">IF($I130="","",IFERROR(XLOOKUP(AA131,Chart_Scale_Distance!$B:$B,Chart_Scale_Distance!$A:$A,""),""))</f>
        <v/>
      </c>
      <c r="AX131" s="28" t="str">
        <f t="shared" si="14"/>
        <v/>
      </c>
      <c r="AY131" s="28" t="str">
        <f t="shared" si="15"/>
        <v/>
      </c>
      <c r="AZ131" s="28" t="str">
        <f t="shared" si="16"/>
        <v/>
      </c>
      <c r="BA131" s="28" t="str">
        <f t="shared" si="17"/>
        <v/>
      </c>
      <c r="BB131" s="28" t="str">
        <f t="shared" si="18"/>
        <v/>
      </c>
      <c r="BC131" s="28" t="str">
        <f t="array" ref="BC131">IF($I131="","",LET(
conf,AI131,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duoMax,XLOOKUP($B131,Derived_Variables!$A:$A,Derived_Variables!$AI:$AI,4),
axisTol,XLOOKUP($B131,Derived_Variables!$A:$A,Derived_Variables!$W:$W,1),
maxStart,XLOOKUP($B131,Derived_Variables!$A:$A,Derived_Variables!$U:$U,1.25),
maxAR,XLOOKUP($B131,Derived_Variables!$A:$A,Derived_Variables!$V:$V,3),
anom,XLOOKUP($B131,Derived_Variables!$A:$A,Derived_Variables!$Z:$Z,FALSE),
reStart,XLOOKUP($B131,Derived_Variables!$A:$A,Derived_Variables!$K:$K,0),
leStart,XLOOKUP($B131,Derived_Variables!$A:$A,Derived_Variables!$N:$N,0),
reAR,XLOOKUP($B131,AR_Input!$A:$A,AR_Input!$B:$B,reStart),
leAR,XLOOKUP($B131,AR_Input!$A:$A,AR_Input!$E:$E,leStart),
reEsc,AND(anom,OR(ABS((S131+AM131)-reStart)&gt;maxStart,ABS((S131+AM131)-reAR)&gt;maxAR)),
leEsc,AND(anom,OR(ABS((V131+AP131)-leStart)&gt;maxStart,ABS((V131+AP131)-leAR)&gt;maxAR)),
phaseMax,IFS(
 AK131="Fast",
   IFS(
     OR(C131="B",C131="D"),XLOOKUP("timeout_coarse_fast",Calibration!$B:$B,Calibration!$C:$C,24),
     OR(C131="E",C131="F",C131="H",C131="I"),XLOOKUP("timeout_jcc_fast",Calibration!$B:$B,Calibration!$C:$C,10),
     OR(C131="G",C131="J"),XLOOKUP("timeout_duochrome_fast",Calibration!$B:$B,Calibration!$C:$C,8),
     C131="K",XLOOKUP("timeout_bino_fast",Calibration!$B:$B,Calibration!$C:$C,10),
     OR(C131="P",C131="Q",C131="R"),XLOOKUP("timeout_near_fast",Calibration!$B:$B,Calibration!$C:$C,16),
     TRUE,XLOOKUP("timeout_coarse_fast",Calibration!$B:$B,Calibration!$C:$C,24)
   ),
 AK131="Normal",
   IFS(
     OR(C131="B",C131="D"),XLOOKUP("timeout_coarse_normal",Calibration!$B:$B,Calibration!$C:$C,36),
     OR(C131="E",C131="F",C131="H",C131="I"),XLOOKUP("timeout_jcc_normal",Calibration!$B:$B,Calibration!$C:$C,14),
     OR(C131="G",C131="J"),XLOOKUP("timeout_duochrome_normal",Calibration!$B:$B,Calibration!$C:$C,10),
     C131="K",XLOOKUP("timeout_bino_normal",Calibration!$B:$B,Calibration!$C:$C,14),
     OR(C131="P",C131="Q",C131="R"),XLOOKUP("timeout_near_normal",Calibration!$B:$B,Calibration!$C:$C,22),
     TRUE,XLOOKUP("timeout_coarse_normal",Calibration!$B:$B,Calibration!$C:$C,36)
   ),
 TRUE,
   IFS(
     OR(C131="B",C131="D"),XLOOKUP("timeout_coarse_slow",Calibration!$B:$B,Calibration!$C:$C,48),
     OR(C131="E",C131="F",C131="H",C131="I"),XLOOKUP("timeout_jcc_slow",Calibration!$B:$B,Calibration!$C:$C,18),
     OR(C131="G",C131="J"),XLOOKUP("timeout_duochrome_slow",Calibration!$B:$B,Calibration!$C:$C,12),
     C131="K",XLOOKUP("timeout_bino_slow",Calibration!$B:$B,Calibration!$C:$C,18),
     OR(C131="P",C131="Q",C131="R"),XLOOKUP("timeout_near_slow",Calibration!$B:$B,Calibration!$C:$C,28),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AJ131=TRUE,"ESCALATE",
C131="A",
IF(OR(I131="NOT_READABLE",I131="BLURRY",AND(R131="20_20_20",I131="READABLE")),"B","A"),
C131="B",
IF(reEsc,"ESCALATE",IF(AY131&gt;=phaseMax,"ESCALATE",IF(AND(AV131&gt;=AW131,I131="READABLE"),"E","B"))),
C131="E",
IF(AY131&gt;=phaseMax,"ESCALATE",IF(OR(I131="SAME",I131="CANT_TELL",AD131&lt;axisTol),"F","E")),
C131="F",
IF(AY131&gt;=phaseMax,"ESCALATE",IF(AX131&gt;=powerSameN,"G","F")),
C131="G",
IF(AY131&gt;=phaseMax,"ESCALATE",IF(OR(AX131&gt;=duoEqualN,BB131&gt;=duoMax),"D","G")),
C131="D",
IF(leEsc,"ESCALATE",IF(AY131&gt;=phaseMax,"ESCALATE",IF(AND(AV131&gt;=AW131,I131="READABLE"),"H","D"))),
C131="H",
IF(AY131&gt;=phaseMax,"ESCALATE",IF(OR(I131="SAME",I131="CANT_TELL",AD131&lt;axisTol),"I","H")),
C131="I",
IF(AY131&gt;=phaseMax,"ESCALATE",IF(AX131&gt;=powerSameN,"J","I")),
C131="J",
IF(AY131&gt;=phaseMax,"ESCALATE",IF(OR(AX131&gt;=duoEqualN,BB131&gt;=duoMax),"K","J")),
C131="K",
IF(AY131&gt;=phaseMax,"ESCALATE",IF(AX131&gt;=binoSameN,IF(XLOOKUP($B131,Derived_Variables!$A:$A,Derived_Variables!$AJ:$AJ,FALSE)=TRUE,"P","END"),"K")),
C131="P",
IF(AY131&gt;=phaseMax,"ESCALATE",IF(OR(I131="READABLE",I131="SAME"),"Q","P")),
C131="Q",
IF(AY131&gt;=phaseMax,"ESCALATE",IF(OR(I131="READABLE",I131="SAME"),"R","Q")),
C131="R",
IF(AY131&gt;=phaseMax,"ESCALATE",IF(OR(I131=nearTarget,I131="SAME"),"END","R")),
TRUE,"END"
)))</f>
        <v/>
      </c>
      <c r="BD131" s="28" t="b">
        <f t="shared" si="19"/>
        <v>0</v>
      </c>
    </row>
    <row r="132" ht="15.75" customHeight="1">
      <c r="A132" s="28">
        <f t="shared" si="3"/>
        <v>131</v>
      </c>
      <c r="B132" s="28">
        <f t="shared" si="4"/>
        <v>6</v>
      </c>
      <c r="C132" s="28" t="str">
        <f t="shared" si="5"/>
        <v/>
      </c>
      <c r="D132" s="28" t="str">
        <f t="array" ref="D132">IF($I131="","",XLOOKUP(C132,FSM_State_Map!A:A,FSM_State_Map!B:B,""))</f>
        <v/>
      </c>
      <c r="E132" s="28" t="str">
        <f t="array" ref="E132">IF($I131="","",XLOOKUP(C132,FSM_State_Map!A:A,FSM_State_Map!C:C,""))</f>
        <v/>
      </c>
      <c r="F132" s="28" t="str">
        <f t="array" ref="F132">IF($I131="","",XLOOKUP(E132,Phase_UI_Map!A:A,Phase_UI_Map!B:B,""))</f>
        <v/>
      </c>
      <c r="G132" s="28" t="str">
        <f t="array" ref="G132">IF($I131="","",XLOOKUP(E132,Phase_UI_Map!A:A,Phase_UI_Map!C:C,""))</f>
        <v/>
      </c>
      <c r="H132" s="28" t="str">
        <f t="array" ref="H132">IF($I131="","",XLOOKUP(E132,Phase_UI_Map!A:A,Phase_UI_Map!D:D,""))</f>
        <v/>
      </c>
      <c r="I132" s="29"/>
      <c r="J132" s="28" t="str">
        <f>IFERROR(__xludf.DUMMYFUNCTION("IF($I131="""","""",IFERROR(INDEX(FILTER(Response_Lists!$B:$B,Response_Lists!$A:$A=$H132),1),""""))"),"")</f>
        <v/>
      </c>
      <c r="K132" s="28" t="str">
        <f>IFERROR(__xludf.DUMMYFUNCTION("IF($I131="""","""",IFERROR(INDEX(FILTER(Response_Lists!$B:$B,Response_Lists!$A:$A=$H132),2),""""))"),"")</f>
        <v/>
      </c>
      <c r="L132" s="28" t="str">
        <f>IFERROR(__xludf.DUMMYFUNCTION("IF($I131="""","""",IFERROR(INDEX(FILTER(Response_Lists!$B:$B,Response_Lists!$A:$A=$H132),3),""""))"),"")</f>
        <v/>
      </c>
      <c r="M132" s="28" t="str">
        <f>IFERROR(__xludf.DUMMYFUNCTION("IF($I131="""","""",IFERROR(INDEX(FILTER(Response_Lists!$B:$B,Response_Lists!$A:$A=$H132),4),""""))"),"")</f>
        <v/>
      </c>
      <c r="N132" s="28" t="str">
        <f>IFERROR(__xludf.DUMMYFUNCTION("IF($I131="""","""",IFERROR(INDEX(FILTER(Response_Lists!$B:$B,Response_Lists!$A:$A=$H132),5),""""))"),"")</f>
        <v/>
      </c>
      <c r="O132" s="28" t="str">
        <f>IFERROR(__xludf.DUMMYFUNCTION("IF($I131="""","""",IFERROR(INDEX(FILTER(Response_Lists!$B:$B,Response_Lists!$A:$A=$H132),6),""""))"),"")</f>
        <v/>
      </c>
      <c r="P132" s="28" t="str">
        <f t="shared" si="6"/>
        <v/>
      </c>
      <c r="Q132" s="28" t="str">
        <f t="array" ref="Q132">IF($I131="","",XLOOKUP(C132,FSM_State_Map!A:A,FSM_State_Map!D:D,""))</f>
        <v/>
      </c>
      <c r="R132" s="28" t="str">
        <f t="shared" si="7"/>
        <v/>
      </c>
      <c r="S132" s="28" t="str">
        <f t="array" ref="S132">IF($I131="","",
IF(
  AND(C132="B",C131&lt;&gt;"B"),
  XLOOKUP($B132,Derived_Variables!$A:$A,Derived_Variables!$K:$K,0)
  + XLOOKUP($B132,Derived_Variables!$A:$A,Derived_Variables!$AE:$AE,0),
  S131+AM131
))</f>
        <v/>
      </c>
      <c r="T132" s="28" t="str">
        <f t="shared" ref="T132:U132" si="274">IF($I131="","",T131+AN131)</f>
        <v/>
      </c>
      <c r="U132" s="28" t="str">
        <f t="shared" si="274"/>
        <v/>
      </c>
      <c r="V132" s="28" t="str">
        <f t="array" ref="V132">IF($I131="","",
IF(
  AND(C132="D",C131&lt;&gt;"D"),
  XLOOKUP($B132,Derived_Variables!$A:$A,Derived_Variables!$N:$N,0)
  + XLOOKUP($B132,Derived_Variables!$A:$A,Derived_Variables!$AE:$AE,0),
  V131+AP131
))</f>
        <v/>
      </c>
      <c r="W132" s="28" t="str">
        <f t="shared" ref="W132:X132" si="275">IF($I131="","",W131+AQ131)</f>
        <v/>
      </c>
      <c r="X132" s="28" t="str">
        <f t="shared" si="275"/>
        <v/>
      </c>
      <c r="Y132" s="28" t="str">
        <f t="array" ref="Y132">IF($I131="","",IF(AND(C132="P",C131&lt;&gt;"P"),IFERROR(XLOOKUP($B132,Lenso_Input!$A:$A,Lenso_Input!$E:$E,0),0),Y131+AS131))</f>
        <v/>
      </c>
      <c r="Z132" s="28" t="str">
        <f t="array" ref="Z132">IF($I131="","",IF(AND(C132="Q",C131&lt;&gt;"Q"),IFERROR(XLOOKUP($B132,Lenso_Input!$A:$A,Lenso_Input!$I:$I,0),0),Z131+AT131))</f>
        <v/>
      </c>
      <c r="AA132" s="28" t="str">
        <f t="array" ref="AA132">IF($I131="","",IF(XLOOKUP($B132,Derived_Variables!$A:$A,Derived_Variables!$R:$R,"6/6_target")="6/6_target","20_20_20","40_30_25"))</f>
        <v/>
      </c>
      <c r="AB132" s="28" t="str">
        <f t="array" ref="AB132">IF($I131="","",XLOOKUP(LOWER(XLOOKUP($B132,Derived_Variables!$A:$A,Derived_Variables!$T:$T,"Standard"))&amp;"_sph_step",Calibration!$B:$B,Calibration!$C:$C,0.25))</f>
        <v/>
      </c>
      <c r="AC132" s="28" t="str">
        <f t="array" ref="AC132">IF($I131="","",XLOOKUP(LOWER(XLOOKUP($B132,Derived_Variables!$A:$A,Derived_Variables!$T:$T,"Standard"))&amp;"_cyl_step",Calibration!$B:$B,Calibration!$C:$C,0.25))</f>
        <v/>
      </c>
      <c r="AD132" s="28" t="str">
        <f t="array" ref="AD132">IF($I131="","",IF(OR(C132="E",C132="H"),LET(startStep,XLOOKUP("axis_start_step",Calibration!$B:$B,Calibration!$C:$C,5),step1,XLOOKUP("axis_reversal_step_1",Calibration!$B:$B,Calibration!$C:$C,3),step2,XLOOKUP("axis_reversal_step_2",Calibration!$B:$B,Calibration!$C:$C,1),IF(OR(C131&lt;&gt;C132,AZ132="",AZ132="SAME",AZ132="CANT_TELL",I132="",I132="SAME",I132="CANT_TELL"),startStep,IF(OR(AND(AZ132="BETTER_1",I132="BETTER_2"),AND(AZ132="BETTER_2",I132="BETTER_1")),IF(AD131&gt;step1,step1,step2),AD131))),0))</f>
        <v/>
      </c>
      <c r="AE132" s="28" t="str">
        <f t="array" ref="AE132">IF($I131="","",XLOOKUP($B132,Derived_Variables!$A:$A,Derived_Variables!$AD:$AD,"No_Fog"))</f>
        <v/>
      </c>
      <c r="AF132" s="28" t="str">
        <f t="array" ref="AF132">IF($I131="","",XLOOKUP($B132,Derived_Variables!$A:$A,Derived_Variables!$AE:$AE,0))</f>
        <v/>
      </c>
      <c r="AG132" s="28" t="str">
        <f t="array" ref="AG132">IF($I131="","",XLOOKUP($B132,Derived_Variables!$A:$A,Derived_Variables!$AF:$AF,""))</f>
        <v/>
      </c>
      <c r="AH132" s="28" t="str">
        <f t="array" ref="AH132">IF($I131="","",XLOOKUP($B132,Derived_Variables!$A:$A,Derived_Variables!$AG:$AG,""))</f>
        <v/>
      </c>
      <c r="AI132" s="28" t="str">
        <f t="array" ref="AI132">IF($I131="","",XLOOKUP($B132,Derived_Variables!$A:$A,Derived_Variables!$AC:$AC,"Medium"))</f>
        <v/>
      </c>
      <c r="AJ132" s="28" t="str">
        <f t="array" ref="AJ132">IF($I131="","",XLOOKUP($B132,Derived_Variables!$A:$A,Derived_Variables!$Y:$Y,FALSE))</f>
        <v/>
      </c>
      <c r="AK132" s="28" t="str">
        <f t="array" ref="AK132">IF($I131="","",XLOOKUP($B132,Derived_Variables!$A:$A,Derived_Variables!$AA:$AA,"Normal"))</f>
        <v/>
      </c>
      <c r="AL132" s="28" t="str">
        <f t="array" ref="AL132">IF($I131="","",XLOOKUP($B132,Derived_Variables!$A:$A,Derived_Variables!$AB:$AB,"Normal"))</f>
        <v/>
      </c>
      <c r="AM132" s="28" t="str">
        <f t="array" ref="AM132">IF($I132="","",IFS(C132="B",IF(OR(I132="NOT_READABLE",I132="BLURRY"),-AB132,0),C132="G",IFS(I132="RED_CLEARER",XLOOKUP("duochrome_red_step",Calibration!$B:$B,Calibration!$C:$C,-0.25),I132="GREEN_CLEARER",XLOOKUP("duochrome_green_step",Calibration!$B:$B,Calibration!$C:$C,0.25),I132="EQUAL",IF(XLOOKUP($B132,Derived_Variables!$A:$A,Derived_Variables!$S:$S,"Neutral")="Undercorrect",XLOOKUP("undercorrect_step",Calibration!$B:$B,Calibration!$C:$C,0.25),IF(XLOOKUP($B132,Derived_Variables!$A:$A,Derived_Variables!$S:$S,"Neutral")="Overcorrect",-XLOOKUP("overcorrect_step",Calibration!$B:$B,Calibration!$C:$C,0.25),0)),TRUE,0),C132="K",IF(I132="TOP_CLEARER",XLOOKUP("bino_balance_step",Calibration!$B:$B,Calibration!$C:$C,0.25),0),TRUE,0))</f>
        <v/>
      </c>
      <c r="AN132" s="28" t="str">
        <f t="shared" si="10"/>
        <v/>
      </c>
      <c r="AO132" s="28" t="str">
        <f t="shared" si="11"/>
        <v/>
      </c>
      <c r="AP132" s="28" t="str">
        <f t="array" ref="AP132">IF($I132="","",IFS(C132="D",IF(OR(I132="NOT_READABLE",I132="BLURRY"),-AB132,0),C132="J",IFS(I132="RED_CLEARER",XLOOKUP("duochrome_red_step",Calibration!$B:$B,Calibration!$C:$C,-0.25),I132="GREEN_CLEARER",XLOOKUP("duochrome_green_step",Calibration!$B:$B,Calibration!$C:$C,0.25),I132="EQUAL",IF(XLOOKUP($B132,Derived_Variables!$A:$A,Derived_Variables!$S:$S,"Neutral")="Undercorrect",XLOOKUP("undercorrect_step",Calibration!$B:$B,Calibration!$C:$C,0.25),IF(XLOOKUP($B132,Derived_Variables!$A:$A,Derived_Variables!$S:$S,"Neutral")="Overcorrect",-XLOOKUP("overcorrect_step",Calibration!$B:$B,Calibration!$C:$C,0.25),0)),TRUE,0),C132="K",IF(I132="BOTTOM_CLEARER",XLOOKUP("bino_balance_step",Calibration!$B:$B,Calibration!$C:$C,0.25),0),TRUE,0))</f>
        <v/>
      </c>
      <c r="AQ132" s="28" t="str">
        <f t="shared" si="12"/>
        <v/>
      </c>
      <c r="AR132" s="28" t="str">
        <f t="shared" si="13"/>
        <v/>
      </c>
      <c r="AS132" s="28" t="str">
        <f t="array" ref="AS132">IF($I132="","",IF(C132="P",IF(OR(I132="NOT_READABLE",I132="BLURRY"),XLOOKUP("near_add_step",Calibration!$B:$B,Calibration!$C:$C,0.25),0),IF(C132="R",IF(I132="NOT_CLEAR",XLOOKUP("near_add_step",Calibration!$B:$B,Calibration!$C:$C,0.25),0),0)))</f>
        <v/>
      </c>
      <c r="AT132" s="28" t="str">
        <f t="array" ref="AT132">IF($I132="","",IF(C132="Q",IF(OR(I132="NOT_READABLE",I132="BLURRY"),XLOOKUP("near_add_step",Calibration!$B:$B,Calibration!$C:$C,0.25),0),IF(C132="R",IF(I132="NOT_CLEAR",XLOOKUP("near_add_step",Calibration!$B:$B,Calibration!$C:$C,0.25),0),0)))</f>
        <v/>
      </c>
      <c r="AU132" s="28" t="str">
        <f t="array" ref="AU132">IF($I132="","",IF(G132="SNELLEN_FEET",IF(I132="READABLE",IFERROR(XLOOKUP(XLOOKUP(R132,Chart_Scale_Distance!B:B,Chart_Scale_Distance!A:A)+1,Chart_Scale_Distance!A:A,Chart_Scale_Distance!B:B),R132),R132),R132))</f>
        <v/>
      </c>
      <c r="AV132" s="28" t="str">
        <f t="array" ref="AV132">IF($I131="","",IFERROR(XLOOKUP(R132,Chart_Scale_Distance!$B:$B,Chart_Scale_Distance!$A:$A,""),""))</f>
        <v/>
      </c>
      <c r="AW132" s="28" t="str">
        <f t="array" ref="AW132">IF($I131="","",IFERROR(XLOOKUP(AA132,Chart_Scale_Distance!$B:$B,Chart_Scale_Distance!$A:$A,""),""))</f>
        <v/>
      </c>
      <c r="AX132" s="28" t="str">
        <f t="shared" si="14"/>
        <v/>
      </c>
      <c r="AY132" s="28" t="str">
        <f t="shared" si="15"/>
        <v/>
      </c>
      <c r="AZ132" s="28" t="str">
        <f t="shared" si="16"/>
        <v/>
      </c>
      <c r="BA132" s="28" t="str">
        <f t="shared" si="17"/>
        <v/>
      </c>
      <c r="BB132" s="28" t="str">
        <f t="shared" si="18"/>
        <v/>
      </c>
      <c r="BC132" s="28" t="str">
        <f t="array" ref="BC132">IF($I132="","",LET(
conf,AI132,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duoMax,XLOOKUP($B132,Derived_Variables!$A:$A,Derived_Variables!$AI:$AI,4),
axisTol,XLOOKUP($B132,Derived_Variables!$A:$A,Derived_Variables!$W:$W,1),
maxStart,XLOOKUP($B132,Derived_Variables!$A:$A,Derived_Variables!$U:$U,1.25),
maxAR,XLOOKUP($B132,Derived_Variables!$A:$A,Derived_Variables!$V:$V,3),
anom,XLOOKUP($B132,Derived_Variables!$A:$A,Derived_Variables!$Z:$Z,FALSE),
reStart,XLOOKUP($B132,Derived_Variables!$A:$A,Derived_Variables!$K:$K,0),
leStart,XLOOKUP($B132,Derived_Variables!$A:$A,Derived_Variables!$N:$N,0),
reAR,XLOOKUP($B132,AR_Input!$A:$A,AR_Input!$B:$B,reStart),
leAR,XLOOKUP($B132,AR_Input!$A:$A,AR_Input!$E:$E,leStart),
reEsc,AND(anom,OR(ABS((S132+AM132)-reStart)&gt;maxStart,ABS((S132+AM132)-reAR)&gt;maxAR)),
leEsc,AND(anom,OR(ABS((V132+AP132)-leStart)&gt;maxStart,ABS((V132+AP132)-leAR)&gt;maxAR)),
phaseMax,IFS(
 AK132="Fast",
   IFS(
     OR(C132="B",C132="D"),XLOOKUP("timeout_coarse_fast",Calibration!$B:$B,Calibration!$C:$C,24),
     OR(C132="E",C132="F",C132="H",C132="I"),XLOOKUP("timeout_jcc_fast",Calibration!$B:$B,Calibration!$C:$C,10),
     OR(C132="G",C132="J"),XLOOKUP("timeout_duochrome_fast",Calibration!$B:$B,Calibration!$C:$C,8),
     C132="K",XLOOKUP("timeout_bino_fast",Calibration!$B:$B,Calibration!$C:$C,10),
     OR(C132="P",C132="Q",C132="R"),XLOOKUP("timeout_near_fast",Calibration!$B:$B,Calibration!$C:$C,16),
     TRUE,XLOOKUP("timeout_coarse_fast",Calibration!$B:$B,Calibration!$C:$C,24)
   ),
 AK132="Normal",
   IFS(
     OR(C132="B",C132="D"),XLOOKUP("timeout_coarse_normal",Calibration!$B:$B,Calibration!$C:$C,36),
     OR(C132="E",C132="F",C132="H",C132="I"),XLOOKUP("timeout_jcc_normal",Calibration!$B:$B,Calibration!$C:$C,14),
     OR(C132="G",C132="J"),XLOOKUP("timeout_duochrome_normal",Calibration!$B:$B,Calibration!$C:$C,10),
     C132="K",XLOOKUP("timeout_bino_normal",Calibration!$B:$B,Calibration!$C:$C,14),
     OR(C132="P",C132="Q",C132="R"),XLOOKUP("timeout_near_normal",Calibration!$B:$B,Calibration!$C:$C,22),
     TRUE,XLOOKUP("timeout_coarse_normal",Calibration!$B:$B,Calibration!$C:$C,36)
   ),
 TRUE,
   IFS(
     OR(C132="B",C132="D"),XLOOKUP("timeout_coarse_slow",Calibration!$B:$B,Calibration!$C:$C,48),
     OR(C132="E",C132="F",C132="H",C132="I"),XLOOKUP("timeout_jcc_slow",Calibration!$B:$B,Calibration!$C:$C,18),
     OR(C132="G",C132="J"),XLOOKUP("timeout_duochrome_slow",Calibration!$B:$B,Calibration!$C:$C,12),
     C132="K",XLOOKUP("timeout_bino_slow",Calibration!$B:$B,Calibration!$C:$C,18),
     OR(C132="P",C132="Q",C132="R"),XLOOKUP("timeout_near_slow",Calibration!$B:$B,Calibration!$C:$C,28),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AJ132=TRUE,"ESCALATE",
C132="A",
IF(OR(I132="NOT_READABLE",I132="BLURRY",AND(R132="20_20_20",I132="READABLE")),"B","A"),
C132="B",
IF(reEsc,"ESCALATE",IF(AY132&gt;=phaseMax,"ESCALATE",IF(AND(AV132&gt;=AW132,I132="READABLE"),"E","B"))),
C132="E",
IF(AY132&gt;=phaseMax,"ESCALATE",IF(OR(I132="SAME",I132="CANT_TELL",AD132&lt;axisTol),"F","E")),
C132="F",
IF(AY132&gt;=phaseMax,"ESCALATE",IF(AX132&gt;=powerSameN,"G","F")),
C132="G",
IF(AY132&gt;=phaseMax,"ESCALATE",IF(OR(AX132&gt;=duoEqualN,BB132&gt;=duoMax),"D","G")),
C132="D",
IF(leEsc,"ESCALATE",IF(AY132&gt;=phaseMax,"ESCALATE",IF(AND(AV132&gt;=AW132,I132="READABLE"),"H","D"))),
C132="H",
IF(AY132&gt;=phaseMax,"ESCALATE",IF(OR(I132="SAME",I132="CANT_TELL",AD132&lt;axisTol),"I","H")),
C132="I",
IF(AY132&gt;=phaseMax,"ESCALATE",IF(AX132&gt;=powerSameN,"J","I")),
C132="J",
IF(AY132&gt;=phaseMax,"ESCALATE",IF(OR(AX132&gt;=duoEqualN,BB132&gt;=duoMax),"K","J")),
C132="K",
IF(AY132&gt;=phaseMax,"ESCALATE",IF(AX132&gt;=binoSameN,IF(XLOOKUP($B132,Derived_Variables!$A:$A,Derived_Variables!$AJ:$AJ,FALSE)=TRUE,"P","END"),"K")),
C132="P",
IF(AY132&gt;=phaseMax,"ESCALATE",IF(OR(I132="READABLE",I132="SAME"),"Q","P")),
C132="Q",
IF(AY132&gt;=phaseMax,"ESCALATE",IF(OR(I132="READABLE",I132="SAME"),"R","Q")),
C132="R",
IF(AY132&gt;=phaseMax,"ESCALATE",IF(OR(I132=nearTarget,I132="SAME"),"END","R")),
TRUE,"END"
)))</f>
        <v/>
      </c>
      <c r="BD132" s="28" t="b">
        <f t="shared" si="19"/>
        <v>0</v>
      </c>
    </row>
    <row r="133" ht="15.75" customHeight="1">
      <c r="A133" s="28">
        <f t="shared" si="3"/>
        <v>132</v>
      </c>
      <c r="B133" s="28">
        <f t="shared" si="4"/>
        <v>6</v>
      </c>
      <c r="C133" s="28" t="str">
        <f t="shared" si="5"/>
        <v/>
      </c>
      <c r="D133" s="28" t="str">
        <f t="array" ref="D133">IF($I132="","",XLOOKUP(C133,FSM_State_Map!A:A,FSM_State_Map!B:B,""))</f>
        <v/>
      </c>
      <c r="E133" s="28" t="str">
        <f t="array" ref="E133">IF($I132="","",XLOOKUP(C133,FSM_State_Map!A:A,FSM_State_Map!C:C,""))</f>
        <v/>
      </c>
      <c r="F133" s="28" t="str">
        <f t="array" ref="F133">IF($I132="","",XLOOKUP(E133,Phase_UI_Map!A:A,Phase_UI_Map!B:B,""))</f>
        <v/>
      </c>
      <c r="G133" s="28" t="str">
        <f t="array" ref="G133">IF($I132="","",XLOOKUP(E133,Phase_UI_Map!A:A,Phase_UI_Map!C:C,""))</f>
        <v/>
      </c>
      <c r="H133" s="28" t="str">
        <f t="array" ref="H133">IF($I132="","",XLOOKUP(E133,Phase_UI_Map!A:A,Phase_UI_Map!D:D,""))</f>
        <v/>
      </c>
      <c r="I133" s="29"/>
      <c r="J133" s="28" t="str">
        <f>IFERROR(__xludf.DUMMYFUNCTION("IF($I132="""","""",IFERROR(INDEX(FILTER(Response_Lists!$B:$B,Response_Lists!$A:$A=$H133),1),""""))"),"")</f>
        <v/>
      </c>
      <c r="K133" s="28" t="str">
        <f>IFERROR(__xludf.DUMMYFUNCTION("IF($I132="""","""",IFERROR(INDEX(FILTER(Response_Lists!$B:$B,Response_Lists!$A:$A=$H133),2),""""))"),"")</f>
        <v/>
      </c>
      <c r="L133" s="28" t="str">
        <f>IFERROR(__xludf.DUMMYFUNCTION("IF($I132="""","""",IFERROR(INDEX(FILTER(Response_Lists!$B:$B,Response_Lists!$A:$A=$H133),3),""""))"),"")</f>
        <v/>
      </c>
      <c r="M133" s="28" t="str">
        <f>IFERROR(__xludf.DUMMYFUNCTION("IF($I132="""","""",IFERROR(INDEX(FILTER(Response_Lists!$B:$B,Response_Lists!$A:$A=$H133),4),""""))"),"")</f>
        <v/>
      </c>
      <c r="N133" s="28" t="str">
        <f>IFERROR(__xludf.DUMMYFUNCTION("IF($I132="""","""",IFERROR(INDEX(FILTER(Response_Lists!$B:$B,Response_Lists!$A:$A=$H133),5),""""))"),"")</f>
        <v/>
      </c>
      <c r="O133" s="28" t="str">
        <f>IFERROR(__xludf.DUMMYFUNCTION("IF($I132="""","""",IFERROR(INDEX(FILTER(Response_Lists!$B:$B,Response_Lists!$A:$A=$H133),6),""""))"),"")</f>
        <v/>
      </c>
      <c r="P133" s="28" t="str">
        <f t="shared" si="6"/>
        <v/>
      </c>
      <c r="Q133" s="28" t="str">
        <f t="array" ref="Q133">IF($I132="","",XLOOKUP(C133,FSM_State_Map!A:A,FSM_State_Map!D:D,""))</f>
        <v/>
      </c>
      <c r="R133" s="28" t="str">
        <f t="shared" si="7"/>
        <v/>
      </c>
      <c r="S133" s="28" t="str">
        <f t="array" ref="S133">IF($I132="","",
IF(
  AND(C133="B",C132&lt;&gt;"B"),
  XLOOKUP($B133,Derived_Variables!$A:$A,Derived_Variables!$K:$K,0)
  + XLOOKUP($B133,Derived_Variables!$A:$A,Derived_Variables!$AE:$AE,0),
  S132+AM132
))</f>
        <v/>
      </c>
      <c r="T133" s="28" t="str">
        <f t="shared" ref="T133:U133" si="276">IF($I132="","",T132+AN132)</f>
        <v/>
      </c>
      <c r="U133" s="28" t="str">
        <f t="shared" si="276"/>
        <v/>
      </c>
      <c r="V133" s="28" t="str">
        <f t="array" ref="V133">IF($I132="","",
IF(
  AND(C133="D",C132&lt;&gt;"D"),
  XLOOKUP($B133,Derived_Variables!$A:$A,Derived_Variables!$N:$N,0)
  + XLOOKUP($B133,Derived_Variables!$A:$A,Derived_Variables!$AE:$AE,0),
  V132+AP132
))</f>
        <v/>
      </c>
      <c r="W133" s="28" t="str">
        <f t="shared" ref="W133:X133" si="277">IF($I132="","",W132+AQ132)</f>
        <v/>
      </c>
      <c r="X133" s="28" t="str">
        <f t="shared" si="277"/>
        <v/>
      </c>
      <c r="Y133" s="28" t="str">
        <f t="array" ref="Y133">IF($I132="","",IF(AND(C133="P",C132&lt;&gt;"P"),IFERROR(XLOOKUP($B133,Lenso_Input!$A:$A,Lenso_Input!$E:$E,0),0),Y132+AS132))</f>
        <v/>
      </c>
      <c r="Z133" s="28" t="str">
        <f t="array" ref="Z133">IF($I132="","",IF(AND(C133="Q",C132&lt;&gt;"Q"),IFERROR(XLOOKUP($B133,Lenso_Input!$A:$A,Lenso_Input!$I:$I,0),0),Z132+AT132))</f>
        <v/>
      </c>
      <c r="AA133" s="28" t="str">
        <f t="array" ref="AA133">IF($I132="","",IF(XLOOKUP($B133,Derived_Variables!$A:$A,Derived_Variables!$R:$R,"6/6_target")="6/6_target","20_20_20","40_30_25"))</f>
        <v/>
      </c>
      <c r="AB133" s="28" t="str">
        <f t="array" ref="AB133">IF($I132="","",XLOOKUP(LOWER(XLOOKUP($B133,Derived_Variables!$A:$A,Derived_Variables!$T:$T,"Standard"))&amp;"_sph_step",Calibration!$B:$B,Calibration!$C:$C,0.25))</f>
        <v/>
      </c>
      <c r="AC133" s="28" t="str">
        <f t="array" ref="AC133">IF($I132="","",XLOOKUP(LOWER(XLOOKUP($B133,Derived_Variables!$A:$A,Derived_Variables!$T:$T,"Standard"))&amp;"_cyl_step",Calibration!$B:$B,Calibration!$C:$C,0.25))</f>
        <v/>
      </c>
      <c r="AD133" s="28" t="str">
        <f t="array" ref="AD133">IF($I132="","",IF(OR(C133="E",C133="H"),LET(startStep,XLOOKUP("axis_start_step",Calibration!$B:$B,Calibration!$C:$C,5),step1,XLOOKUP("axis_reversal_step_1",Calibration!$B:$B,Calibration!$C:$C,3),step2,XLOOKUP("axis_reversal_step_2",Calibration!$B:$B,Calibration!$C:$C,1),IF(OR(C132&lt;&gt;C133,AZ133="",AZ133="SAME",AZ133="CANT_TELL",I133="",I133="SAME",I133="CANT_TELL"),startStep,IF(OR(AND(AZ133="BETTER_1",I133="BETTER_2"),AND(AZ133="BETTER_2",I133="BETTER_1")),IF(AD132&gt;step1,step1,step2),AD132))),0))</f>
        <v/>
      </c>
      <c r="AE133" s="28" t="str">
        <f t="array" ref="AE133">IF($I132="","",XLOOKUP($B133,Derived_Variables!$A:$A,Derived_Variables!$AD:$AD,"No_Fog"))</f>
        <v/>
      </c>
      <c r="AF133" s="28" t="str">
        <f t="array" ref="AF133">IF($I132="","",XLOOKUP($B133,Derived_Variables!$A:$A,Derived_Variables!$AE:$AE,0))</f>
        <v/>
      </c>
      <c r="AG133" s="28" t="str">
        <f t="array" ref="AG133">IF($I132="","",XLOOKUP($B133,Derived_Variables!$A:$A,Derived_Variables!$AF:$AF,""))</f>
        <v/>
      </c>
      <c r="AH133" s="28" t="str">
        <f t="array" ref="AH133">IF($I132="","",XLOOKUP($B133,Derived_Variables!$A:$A,Derived_Variables!$AG:$AG,""))</f>
        <v/>
      </c>
      <c r="AI133" s="28" t="str">
        <f t="array" ref="AI133">IF($I132="","",XLOOKUP($B133,Derived_Variables!$A:$A,Derived_Variables!$AC:$AC,"Medium"))</f>
        <v/>
      </c>
      <c r="AJ133" s="28" t="str">
        <f t="array" ref="AJ133">IF($I132="","",XLOOKUP($B133,Derived_Variables!$A:$A,Derived_Variables!$Y:$Y,FALSE))</f>
        <v/>
      </c>
      <c r="AK133" s="28" t="str">
        <f t="array" ref="AK133">IF($I132="","",XLOOKUP($B133,Derived_Variables!$A:$A,Derived_Variables!$AA:$AA,"Normal"))</f>
        <v/>
      </c>
      <c r="AL133" s="28" t="str">
        <f t="array" ref="AL133">IF($I132="","",XLOOKUP($B133,Derived_Variables!$A:$A,Derived_Variables!$AB:$AB,"Normal"))</f>
        <v/>
      </c>
      <c r="AM133" s="28" t="str">
        <f t="array" ref="AM133">IF($I133="","",IFS(C133="B",IF(OR(I133="NOT_READABLE",I133="BLURRY"),-AB133,0),C133="G",IFS(I133="RED_CLEARER",XLOOKUP("duochrome_red_step",Calibration!$B:$B,Calibration!$C:$C,-0.25),I133="GREEN_CLEARER",XLOOKUP("duochrome_green_step",Calibration!$B:$B,Calibration!$C:$C,0.25),I133="EQUAL",IF(XLOOKUP($B133,Derived_Variables!$A:$A,Derived_Variables!$S:$S,"Neutral")="Undercorrect",XLOOKUP("undercorrect_step",Calibration!$B:$B,Calibration!$C:$C,0.25),IF(XLOOKUP($B133,Derived_Variables!$A:$A,Derived_Variables!$S:$S,"Neutral")="Overcorrect",-XLOOKUP("overcorrect_step",Calibration!$B:$B,Calibration!$C:$C,0.25),0)),TRUE,0),C133="K",IF(I133="TOP_CLEARER",XLOOKUP("bino_balance_step",Calibration!$B:$B,Calibration!$C:$C,0.25),0),TRUE,0))</f>
        <v/>
      </c>
      <c r="AN133" s="28" t="str">
        <f t="shared" si="10"/>
        <v/>
      </c>
      <c r="AO133" s="28" t="str">
        <f t="shared" si="11"/>
        <v/>
      </c>
      <c r="AP133" s="28" t="str">
        <f t="array" ref="AP133">IF($I133="","",IFS(C133="D",IF(OR(I133="NOT_READABLE",I133="BLURRY"),-AB133,0),C133="J",IFS(I133="RED_CLEARER",XLOOKUP("duochrome_red_step",Calibration!$B:$B,Calibration!$C:$C,-0.25),I133="GREEN_CLEARER",XLOOKUP("duochrome_green_step",Calibration!$B:$B,Calibration!$C:$C,0.25),I133="EQUAL",IF(XLOOKUP($B133,Derived_Variables!$A:$A,Derived_Variables!$S:$S,"Neutral")="Undercorrect",XLOOKUP("undercorrect_step",Calibration!$B:$B,Calibration!$C:$C,0.25),IF(XLOOKUP($B133,Derived_Variables!$A:$A,Derived_Variables!$S:$S,"Neutral")="Overcorrect",-XLOOKUP("overcorrect_step",Calibration!$B:$B,Calibration!$C:$C,0.25),0)),TRUE,0),C133="K",IF(I133="BOTTOM_CLEARER",XLOOKUP("bino_balance_step",Calibration!$B:$B,Calibration!$C:$C,0.25),0),TRUE,0))</f>
        <v/>
      </c>
      <c r="AQ133" s="28" t="str">
        <f t="shared" si="12"/>
        <v/>
      </c>
      <c r="AR133" s="28" t="str">
        <f t="shared" si="13"/>
        <v/>
      </c>
      <c r="AS133" s="28" t="str">
        <f t="array" ref="AS133">IF($I133="","",IF(C133="P",IF(OR(I133="NOT_READABLE",I133="BLURRY"),XLOOKUP("near_add_step",Calibration!$B:$B,Calibration!$C:$C,0.25),0),IF(C133="R",IF(I133="NOT_CLEAR",XLOOKUP("near_add_step",Calibration!$B:$B,Calibration!$C:$C,0.25),0),0)))</f>
        <v/>
      </c>
      <c r="AT133" s="28" t="str">
        <f t="array" ref="AT133">IF($I133="","",IF(C133="Q",IF(OR(I133="NOT_READABLE",I133="BLURRY"),XLOOKUP("near_add_step",Calibration!$B:$B,Calibration!$C:$C,0.25),0),IF(C133="R",IF(I133="NOT_CLEAR",XLOOKUP("near_add_step",Calibration!$B:$B,Calibration!$C:$C,0.25),0),0)))</f>
        <v/>
      </c>
      <c r="AU133" s="28" t="str">
        <f t="array" ref="AU133">IF($I133="","",IF(G133="SNELLEN_FEET",IF(I133="READABLE",IFERROR(XLOOKUP(XLOOKUP(R133,Chart_Scale_Distance!B:B,Chart_Scale_Distance!A:A)+1,Chart_Scale_Distance!A:A,Chart_Scale_Distance!B:B),R133),R133),R133))</f>
        <v/>
      </c>
      <c r="AV133" s="28" t="str">
        <f t="array" ref="AV133">IF($I132="","",IFERROR(XLOOKUP(R133,Chart_Scale_Distance!$B:$B,Chart_Scale_Distance!$A:$A,""),""))</f>
        <v/>
      </c>
      <c r="AW133" s="28" t="str">
        <f t="array" ref="AW133">IF($I132="","",IFERROR(XLOOKUP(AA133,Chart_Scale_Distance!$B:$B,Chart_Scale_Distance!$A:$A,""),""))</f>
        <v/>
      </c>
      <c r="AX133" s="28" t="str">
        <f t="shared" si="14"/>
        <v/>
      </c>
      <c r="AY133" s="28" t="str">
        <f t="shared" si="15"/>
        <v/>
      </c>
      <c r="AZ133" s="28" t="str">
        <f t="shared" si="16"/>
        <v/>
      </c>
      <c r="BA133" s="28" t="str">
        <f t="shared" si="17"/>
        <v/>
      </c>
      <c r="BB133" s="28" t="str">
        <f t="shared" si="18"/>
        <v/>
      </c>
      <c r="BC133" s="28" t="str">
        <f t="array" ref="BC133">IF($I133="","",LET(
conf,AI133,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duoMax,XLOOKUP($B133,Derived_Variables!$A:$A,Derived_Variables!$AI:$AI,4),
axisTol,XLOOKUP($B133,Derived_Variables!$A:$A,Derived_Variables!$W:$W,1),
maxStart,XLOOKUP($B133,Derived_Variables!$A:$A,Derived_Variables!$U:$U,1.25),
maxAR,XLOOKUP($B133,Derived_Variables!$A:$A,Derived_Variables!$V:$V,3),
anom,XLOOKUP($B133,Derived_Variables!$A:$A,Derived_Variables!$Z:$Z,FALSE),
reStart,XLOOKUP($B133,Derived_Variables!$A:$A,Derived_Variables!$K:$K,0),
leStart,XLOOKUP($B133,Derived_Variables!$A:$A,Derived_Variables!$N:$N,0),
reAR,XLOOKUP($B133,AR_Input!$A:$A,AR_Input!$B:$B,reStart),
leAR,XLOOKUP($B133,AR_Input!$A:$A,AR_Input!$E:$E,leStart),
reEsc,AND(anom,OR(ABS((S133+AM133)-reStart)&gt;maxStart,ABS((S133+AM133)-reAR)&gt;maxAR)),
leEsc,AND(anom,OR(ABS((V133+AP133)-leStart)&gt;maxStart,ABS((V133+AP133)-leAR)&gt;maxAR)),
phaseMax,IFS(
 AK133="Fast",
   IFS(
     OR(C133="B",C133="D"),XLOOKUP("timeout_coarse_fast",Calibration!$B:$B,Calibration!$C:$C,24),
     OR(C133="E",C133="F",C133="H",C133="I"),XLOOKUP("timeout_jcc_fast",Calibration!$B:$B,Calibration!$C:$C,10),
     OR(C133="G",C133="J"),XLOOKUP("timeout_duochrome_fast",Calibration!$B:$B,Calibration!$C:$C,8),
     C133="K",XLOOKUP("timeout_bino_fast",Calibration!$B:$B,Calibration!$C:$C,10),
     OR(C133="P",C133="Q",C133="R"),XLOOKUP("timeout_near_fast",Calibration!$B:$B,Calibration!$C:$C,16),
     TRUE,XLOOKUP("timeout_coarse_fast",Calibration!$B:$B,Calibration!$C:$C,24)
   ),
 AK133="Normal",
   IFS(
     OR(C133="B",C133="D"),XLOOKUP("timeout_coarse_normal",Calibration!$B:$B,Calibration!$C:$C,36),
     OR(C133="E",C133="F",C133="H",C133="I"),XLOOKUP("timeout_jcc_normal",Calibration!$B:$B,Calibration!$C:$C,14),
     OR(C133="G",C133="J"),XLOOKUP("timeout_duochrome_normal",Calibration!$B:$B,Calibration!$C:$C,10),
     C133="K",XLOOKUP("timeout_bino_normal",Calibration!$B:$B,Calibration!$C:$C,14),
     OR(C133="P",C133="Q",C133="R"),XLOOKUP("timeout_near_normal",Calibration!$B:$B,Calibration!$C:$C,22),
     TRUE,XLOOKUP("timeout_coarse_normal",Calibration!$B:$B,Calibration!$C:$C,36)
   ),
 TRUE,
   IFS(
     OR(C133="B",C133="D"),XLOOKUP("timeout_coarse_slow",Calibration!$B:$B,Calibration!$C:$C,48),
     OR(C133="E",C133="F",C133="H",C133="I"),XLOOKUP("timeout_jcc_slow",Calibration!$B:$B,Calibration!$C:$C,18),
     OR(C133="G",C133="J"),XLOOKUP("timeout_duochrome_slow",Calibration!$B:$B,Calibration!$C:$C,12),
     C133="K",XLOOKUP("timeout_bino_slow",Calibration!$B:$B,Calibration!$C:$C,18),
     OR(C133="P",C133="Q",C133="R"),XLOOKUP("timeout_near_slow",Calibration!$B:$B,Calibration!$C:$C,28),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AJ133=TRUE,"ESCALATE",
C133="A",
IF(OR(I133="NOT_READABLE",I133="BLURRY",AND(R133="20_20_20",I133="READABLE")),"B","A"),
C133="B",
IF(reEsc,"ESCALATE",IF(AY133&gt;=phaseMax,"ESCALATE",IF(AND(AV133&gt;=AW133,I133="READABLE"),"E","B"))),
C133="E",
IF(AY133&gt;=phaseMax,"ESCALATE",IF(OR(I133="SAME",I133="CANT_TELL",AD133&lt;axisTol),"F","E")),
C133="F",
IF(AY133&gt;=phaseMax,"ESCALATE",IF(AX133&gt;=powerSameN,"G","F")),
C133="G",
IF(AY133&gt;=phaseMax,"ESCALATE",IF(OR(AX133&gt;=duoEqualN,BB133&gt;=duoMax),"D","G")),
C133="D",
IF(leEsc,"ESCALATE",IF(AY133&gt;=phaseMax,"ESCALATE",IF(AND(AV133&gt;=AW133,I133="READABLE"),"H","D"))),
C133="H",
IF(AY133&gt;=phaseMax,"ESCALATE",IF(OR(I133="SAME",I133="CANT_TELL",AD133&lt;axisTol),"I","H")),
C133="I",
IF(AY133&gt;=phaseMax,"ESCALATE",IF(AX133&gt;=powerSameN,"J","I")),
C133="J",
IF(AY133&gt;=phaseMax,"ESCALATE",IF(OR(AX133&gt;=duoEqualN,BB133&gt;=duoMax),"K","J")),
C133="K",
IF(AY133&gt;=phaseMax,"ESCALATE",IF(AX133&gt;=binoSameN,IF(XLOOKUP($B133,Derived_Variables!$A:$A,Derived_Variables!$AJ:$AJ,FALSE)=TRUE,"P","END"),"K")),
C133="P",
IF(AY133&gt;=phaseMax,"ESCALATE",IF(OR(I133="READABLE",I133="SAME"),"Q","P")),
C133="Q",
IF(AY133&gt;=phaseMax,"ESCALATE",IF(OR(I133="READABLE",I133="SAME"),"R","Q")),
C133="R",
IF(AY133&gt;=phaseMax,"ESCALATE",IF(OR(I133=nearTarget,I133="SAME"),"END","R")),
TRUE,"END"
)))</f>
        <v/>
      </c>
      <c r="BD133" s="28" t="b">
        <f t="shared" si="19"/>
        <v>0</v>
      </c>
    </row>
    <row r="134" ht="15.75" customHeight="1">
      <c r="A134" s="28">
        <f t="shared" si="3"/>
        <v>133</v>
      </c>
      <c r="B134" s="28">
        <f t="shared" si="4"/>
        <v>6</v>
      </c>
      <c r="C134" s="28" t="str">
        <f t="shared" si="5"/>
        <v/>
      </c>
      <c r="D134" s="28" t="str">
        <f t="array" ref="D134">IF($I133="","",XLOOKUP(C134,FSM_State_Map!A:A,FSM_State_Map!B:B,""))</f>
        <v/>
      </c>
      <c r="E134" s="28" t="str">
        <f t="array" ref="E134">IF($I133="","",XLOOKUP(C134,FSM_State_Map!A:A,FSM_State_Map!C:C,""))</f>
        <v/>
      </c>
      <c r="F134" s="28" t="str">
        <f t="array" ref="F134">IF($I133="","",XLOOKUP(E134,Phase_UI_Map!A:A,Phase_UI_Map!B:B,""))</f>
        <v/>
      </c>
      <c r="G134" s="28" t="str">
        <f t="array" ref="G134">IF($I133="","",XLOOKUP(E134,Phase_UI_Map!A:A,Phase_UI_Map!C:C,""))</f>
        <v/>
      </c>
      <c r="H134" s="28" t="str">
        <f t="array" ref="H134">IF($I133="","",XLOOKUP(E134,Phase_UI_Map!A:A,Phase_UI_Map!D:D,""))</f>
        <v/>
      </c>
      <c r="I134" s="29"/>
      <c r="J134" s="28" t="str">
        <f>IFERROR(__xludf.DUMMYFUNCTION("IF($I133="""","""",IFERROR(INDEX(FILTER(Response_Lists!$B:$B,Response_Lists!$A:$A=$H134),1),""""))"),"")</f>
        <v/>
      </c>
      <c r="K134" s="28" t="str">
        <f>IFERROR(__xludf.DUMMYFUNCTION("IF($I133="""","""",IFERROR(INDEX(FILTER(Response_Lists!$B:$B,Response_Lists!$A:$A=$H134),2),""""))"),"")</f>
        <v/>
      </c>
      <c r="L134" s="28" t="str">
        <f>IFERROR(__xludf.DUMMYFUNCTION("IF($I133="""","""",IFERROR(INDEX(FILTER(Response_Lists!$B:$B,Response_Lists!$A:$A=$H134),3),""""))"),"")</f>
        <v/>
      </c>
      <c r="M134" s="28" t="str">
        <f>IFERROR(__xludf.DUMMYFUNCTION("IF($I133="""","""",IFERROR(INDEX(FILTER(Response_Lists!$B:$B,Response_Lists!$A:$A=$H134),4),""""))"),"")</f>
        <v/>
      </c>
      <c r="N134" s="28" t="str">
        <f>IFERROR(__xludf.DUMMYFUNCTION("IF($I133="""","""",IFERROR(INDEX(FILTER(Response_Lists!$B:$B,Response_Lists!$A:$A=$H134),5),""""))"),"")</f>
        <v/>
      </c>
      <c r="O134" s="28" t="str">
        <f>IFERROR(__xludf.DUMMYFUNCTION("IF($I133="""","""",IFERROR(INDEX(FILTER(Response_Lists!$B:$B,Response_Lists!$A:$A=$H134),6),""""))"),"")</f>
        <v/>
      </c>
      <c r="P134" s="28" t="str">
        <f t="shared" si="6"/>
        <v/>
      </c>
      <c r="Q134" s="28" t="str">
        <f t="array" ref="Q134">IF($I133="","",XLOOKUP(C134,FSM_State_Map!A:A,FSM_State_Map!D:D,""))</f>
        <v/>
      </c>
      <c r="R134" s="28" t="str">
        <f t="shared" si="7"/>
        <v/>
      </c>
      <c r="S134" s="28" t="str">
        <f t="array" ref="S134">IF($I133="","",
IF(
  AND(C134="B",C133&lt;&gt;"B"),
  XLOOKUP($B134,Derived_Variables!$A:$A,Derived_Variables!$K:$K,0)
  + XLOOKUP($B134,Derived_Variables!$A:$A,Derived_Variables!$AE:$AE,0),
  S133+AM133
))</f>
        <v/>
      </c>
      <c r="T134" s="28" t="str">
        <f t="shared" ref="T134:U134" si="278">IF($I133="","",T133+AN133)</f>
        <v/>
      </c>
      <c r="U134" s="28" t="str">
        <f t="shared" si="278"/>
        <v/>
      </c>
      <c r="V134" s="28" t="str">
        <f t="array" ref="V134">IF($I133="","",
IF(
  AND(C134="D",C133&lt;&gt;"D"),
  XLOOKUP($B134,Derived_Variables!$A:$A,Derived_Variables!$N:$N,0)
  + XLOOKUP($B134,Derived_Variables!$A:$A,Derived_Variables!$AE:$AE,0),
  V133+AP133
))</f>
        <v/>
      </c>
      <c r="W134" s="28" t="str">
        <f t="shared" ref="W134:X134" si="279">IF($I133="","",W133+AQ133)</f>
        <v/>
      </c>
      <c r="X134" s="28" t="str">
        <f t="shared" si="279"/>
        <v/>
      </c>
      <c r="Y134" s="28" t="str">
        <f t="array" ref="Y134">IF($I133="","",IF(AND(C134="P",C133&lt;&gt;"P"),IFERROR(XLOOKUP($B134,Lenso_Input!$A:$A,Lenso_Input!$E:$E,0),0),Y133+AS133))</f>
        <v/>
      </c>
      <c r="Z134" s="28" t="str">
        <f t="array" ref="Z134">IF($I133="","",IF(AND(C134="Q",C133&lt;&gt;"Q"),IFERROR(XLOOKUP($B134,Lenso_Input!$A:$A,Lenso_Input!$I:$I,0),0),Z133+AT133))</f>
        <v/>
      </c>
      <c r="AA134" s="28" t="str">
        <f t="array" ref="AA134">IF($I133="","",IF(XLOOKUP($B134,Derived_Variables!$A:$A,Derived_Variables!$R:$R,"6/6_target")="6/6_target","20_20_20","40_30_25"))</f>
        <v/>
      </c>
      <c r="AB134" s="28" t="str">
        <f t="array" ref="AB134">IF($I133="","",XLOOKUP(LOWER(XLOOKUP($B134,Derived_Variables!$A:$A,Derived_Variables!$T:$T,"Standard"))&amp;"_sph_step",Calibration!$B:$B,Calibration!$C:$C,0.25))</f>
        <v/>
      </c>
      <c r="AC134" s="28" t="str">
        <f t="array" ref="AC134">IF($I133="","",XLOOKUP(LOWER(XLOOKUP($B134,Derived_Variables!$A:$A,Derived_Variables!$T:$T,"Standard"))&amp;"_cyl_step",Calibration!$B:$B,Calibration!$C:$C,0.25))</f>
        <v/>
      </c>
      <c r="AD134" s="28" t="str">
        <f t="array" ref="AD134">IF($I133="","",IF(OR(C134="E",C134="H"),LET(startStep,XLOOKUP("axis_start_step",Calibration!$B:$B,Calibration!$C:$C,5),step1,XLOOKUP("axis_reversal_step_1",Calibration!$B:$B,Calibration!$C:$C,3),step2,XLOOKUP("axis_reversal_step_2",Calibration!$B:$B,Calibration!$C:$C,1),IF(OR(C133&lt;&gt;C134,AZ134="",AZ134="SAME",AZ134="CANT_TELL",I134="",I134="SAME",I134="CANT_TELL"),startStep,IF(OR(AND(AZ134="BETTER_1",I134="BETTER_2"),AND(AZ134="BETTER_2",I134="BETTER_1")),IF(AD133&gt;step1,step1,step2),AD133))),0))</f>
        <v/>
      </c>
      <c r="AE134" s="28" t="str">
        <f t="array" ref="AE134">IF($I133="","",XLOOKUP($B134,Derived_Variables!$A:$A,Derived_Variables!$AD:$AD,"No_Fog"))</f>
        <v/>
      </c>
      <c r="AF134" s="28" t="str">
        <f t="array" ref="AF134">IF($I133="","",XLOOKUP($B134,Derived_Variables!$A:$A,Derived_Variables!$AE:$AE,0))</f>
        <v/>
      </c>
      <c r="AG134" s="28" t="str">
        <f t="array" ref="AG134">IF($I133="","",XLOOKUP($B134,Derived_Variables!$A:$A,Derived_Variables!$AF:$AF,""))</f>
        <v/>
      </c>
      <c r="AH134" s="28" t="str">
        <f t="array" ref="AH134">IF($I133="","",XLOOKUP($B134,Derived_Variables!$A:$A,Derived_Variables!$AG:$AG,""))</f>
        <v/>
      </c>
      <c r="AI134" s="28" t="str">
        <f t="array" ref="AI134">IF($I133="","",XLOOKUP($B134,Derived_Variables!$A:$A,Derived_Variables!$AC:$AC,"Medium"))</f>
        <v/>
      </c>
      <c r="AJ134" s="28" t="str">
        <f t="array" ref="AJ134">IF($I133="","",XLOOKUP($B134,Derived_Variables!$A:$A,Derived_Variables!$Y:$Y,FALSE))</f>
        <v/>
      </c>
      <c r="AK134" s="28" t="str">
        <f t="array" ref="AK134">IF($I133="","",XLOOKUP($B134,Derived_Variables!$A:$A,Derived_Variables!$AA:$AA,"Normal"))</f>
        <v/>
      </c>
      <c r="AL134" s="28" t="str">
        <f t="array" ref="AL134">IF($I133="","",XLOOKUP($B134,Derived_Variables!$A:$A,Derived_Variables!$AB:$AB,"Normal"))</f>
        <v/>
      </c>
      <c r="AM134" s="28" t="str">
        <f t="array" ref="AM134">IF($I134="","",IFS(C134="B",IF(OR(I134="NOT_READABLE",I134="BLURRY"),-AB134,0),C134="G",IFS(I134="RED_CLEARER",XLOOKUP("duochrome_red_step",Calibration!$B:$B,Calibration!$C:$C,-0.25),I134="GREEN_CLEARER",XLOOKUP("duochrome_green_step",Calibration!$B:$B,Calibration!$C:$C,0.25),I134="EQUAL",IF(XLOOKUP($B134,Derived_Variables!$A:$A,Derived_Variables!$S:$S,"Neutral")="Undercorrect",XLOOKUP("undercorrect_step",Calibration!$B:$B,Calibration!$C:$C,0.25),IF(XLOOKUP($B134,Derived_Variables!$A:$A,Derived_Variables!$S:$S,"Neutral")="Overcorrect",-XLOOKUP("overcorrect_step",Calibration!$B:$B,Calibration!$C:$C,0.25),0)),TRUE,0),C134="K",IF(I134="TOP_CLEARER",XLOOKUP("bino_balance_step",Calibration!$B:$B,Calibration!$C:$C,0.25),0),TRUE,0))</f>
        <v/>
      </c>
      <c r="AN134" s="28" t="str">
        <f t="shared" si="10"/>
        <v/>
      </c>
      <c r="AO134" s="28" t="str">
        <f t="shared" si="11"/>
        <v/>
      </c>
      <c r="AP134" s="28" t="str">
        <f t="array" ref="AP134">IF($I134="","",IFS(C134="D",IF(OR(I134="NOT_READABLE",I134="BLURRY"),-AB134,0),C134="J",IFS(I134="RED_CLEARER",XLOOKUP("duochrome_red_step",Calibration!$B:$B,Calibration!$C:$C,-0.25),I134="GREEN_CLEARER",XLOOKUP("duochrome_green_step",Calibration!$B:$B,Calibration!$C:$C,0.25),I134="EQUAL",IF(XLOOKUP($B134,Derived_Variables!$A:$A,Derived_Variables!$S:$S,"Neutral")="Undercorrect",XLOOKUP("undercorrect_step",Calibration!$B:$B,Calibration!$C:$C,0.25),IF(XLOOKUP($B134,Derived_Variables!$A:$A,Derived_Variables!$S:$S,"Neutral")="Overcorrect",-XLOOKUP("overcorrect_step",Calibration!$B:$B,Calibration!$C:$C,0.25),0)),TRUE,0),C134="K",IF(I134="BOTTOM_CLEARER",XLOOKUP("bino_balance_step",Calibration!$B:$B,Calibration!$C:$C,0.25),0),TRUE,0))</f>
        <v/>
      </c>
      <c r="AQ134" s="28" t="str">
        <f t="shared" si="12"/>
        <v/>
      </c>
      <c r="AR134" s="28" t="str">
        <f t="shared" si="13"/>
        <v/>
      </c>
      <c r="AS134" s="28" t="str">
        <f t="array" ref="AS134">IF($I134="","",IF(C134="P",IF(OR(I134="NOT_READABLE",I134="BLURRY"),XLOOKUP("near_add_step",Calibration!$B:$B,Calibration!$C:$C,0.25),0),IF(C134="R",IF(I134="NOT_CLEAR",XLOOKUP("near_add_step",Calibration!$B:$B,Calibration!$C:$C,0.25),0),0)))</f>
        <v/>
      </c>
      <c r="AT134" s="28" t="str">
        <f t="array" ref="AT134">IF($I134="","",IF(C134="Q",IF(OR(I134="NOT_READABLE",I134="BLURRY"),XLOOKUP("near_add_step",Calibration!$B:$B,Calibration!$C:$C,0.25),0),IF(C134="R",IF(I134="NOT_CLEAR",XLOOKUP("near_add_step",Calibration!$B:$B,Calibration!$C:$C,0.25),0),0)))</f>
        <v/>
      </c>
      <c r="AU134" s="28" t="str">
        <f t="array" ref="AU134">IF($I134="","",IF(G134="SNELLEN_FEET",IF(I134="READABLE",IFERROR(XLOOKUP(XLOOKUP(R134,Chart_Scale_Distance!B:B,Chart_Scale_Distance!A:A)+1,Chart_Scale_Distance!A:A,Chart_Scale_Distance!B:B),R134),R134),R134))</f>
        <v/>
      </c>
      <c r="AV134" s="28" t="str">
        <f t="array" ref="AV134">IF($I133="","",IFERROR(XLOOKUP(R134,Chart_Scale_Distance!$B:$B,Chart_Scale_Distance!$A:$A,""),""))</f>
        <v/>
      </c>
      <c r="AW134" s="28" t="str">
        <f t="array" ref="AW134">IF($I133="","",IFERROR(XLOOKUP(AA134,Chart_Scale_Distance!$B:$B,Chart_Scale_Distance!$A:$A,""),""))</f>
        <v/>
      </c>
      <c r="AX134" s="28" t="str">
        <f t="shared" si="14"/>
        <v/>
      </c>
      <c r="AY134" s="28" t="str">
        <f t="shared" si="15"/>
        <v/>
      </c>
      <c r="AZ134" s="28" t="str">
        <f t="shared" si="16"/>
        <v/>
      </c>
      <c r="BA134" s="28" t="str">
        <f t="shared" si="17"/>
        <v/>
      </c>
      <c r="BB134" s="28" t="str">
        <f t="shared" si="18"/>
        <v/>
      </c>
      <c r="BC134" s="28" t="str">
        <f t="array" ref="BC134">IF($I134="","",LET(
conf,AI134,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duoMax,XLOOKUP($B134,Derived_Variables!$A:$A,Derived_Variables!$AI:$AI,4),
axisTol,XLOOKUP($B134,Derived_Variables!$A:$A,Derived_Variables!$W:$W,1),
maxStart,XLOOKUP($B134,Derived_Variables!$A:$A,Derived_Variables!$U:$U,1.25),
maxAR,XLOOKUP($B134,Derived_Variables!$A:$A,Derived_Variables!$V:$V,3),
anom,XLOOKUP($B134,Derived_Variables!$A:$A,Derived_Variables!$Z:$Z,FALSE),
reStart,XLOOKUP($B134,Derived_Variables!$A:$A,Derived_Variables!$K:$K,0),
leStart,XLOOKUP($B134,Derived_Variables!$A:$A,Derived_Variables!$N:$N,0),
reAR,XLOOKUP($B134,AR_Input!$A:$A,AR_Input!$B:$B,reStart),
leAR,XLOOKUP($B134,AR_Input!$A:$A,AR_Input!$E:$E,leStart),
reEsc,AND(anom,OR(ABS((S134+AM134)-reStart)&gt;maxStart,ABS((S134+AM134)-reAR)&gt;maxAR)),
leEsc,AND(anom,OR(ABS((V134+AP134)-leStart)&gt;maxStart,ABS((V134+AP134)-leAR)&gt;maxAR)),
phaseMax,IFS(
 AK134="Fast",
   IFS(
     OR(C134="B",C134="D"),XLOOKUP("timeout_coarse_fast",Calibration!$B:$B,Calibration!$C:$C,24),
     OR(C134="E",C134="F",C134="H",C134="I"),XLOOKUP("timeout_jcc_fast",Calibration!$B:$B,Calibration!$C:$C,10),
     OR(C134="G",C134="J"),XLOOKUP("timeout_duochrome_fast",Calibration!$B:$B,Calibration!$C:$C,8),
     C134="K",XLOOKUP("timeout_bino_fast",Calibration!$B:$B,Calibration!$C:$C,10),
     OR(C134="P",C134="Q",C134="R"),XLOOKUP("timeout_near_fast",Calibration!$B:$B,Calibration!$C:$C,16),
     TRUE,XLOOKUP("timeout_coarse_fast",Calibration!$B:$B,Calibration!$C:$C,24)
   ),
 AK134="Normal",
   IFS(
     OR(C134="B",C134="D"),XLOOKUP("timeout_coarse_normal",Calibration!$B:$B,Calibration!$C:$C,36),
     OR(C134="E",C134="F",C134="H",C134="I"),XLOOKUP("timeout_jcc_normal",Calibration!$B:$B,Calibration!$C:$C,14),
     OR(C134="G",C134="J"),XLOOKUP("timeout_duochrome_normal",Calibration!$B:$B,Calibration!$C:$C,10),
     C134="K",XLOOKUP("timeout_bino_normal",Calibration!$B:$B,Calibration!$C:$C,14),
     OR(C134="P",C134="Q",C134="R"),XLOOKUP("timeout_near_normal",Calibration!$B:$B,Calibration!$C:$C,22),
     TRUE,XLOOKUP("timeout_coarse_normal",Calibration!$B:$B,Calibration!$C:$C,36)
   ),
 TRUE,
   IFS(
     OR(C134="B",C134="D"),XLOOKUP("timeout_coarse_slow",Calibration!$B:$B,Calibration!$C:$C,48),
     OR(C134="E",C134="F",C134="H",C134="I"),XLOOKUP("timeout_jcc_slow",Calibration!$B:$B,Calibration!$C:$C,18),
     OR(C134="G",C134="J"),XLOOKUP("timeout_duochrome_slow",Calibration!$B:$B,Calibration!$C:$C,12),
     C134="K",XLOOKUP("timeout_bino_slow",Calibration!$B:$B,Calibration!$C:$C,18),
     OR(C134="P",C134="Q",C134="R"),XLOOKUP("timeout_near_slow",Calibration!$B:$B,Calibration!$C:$C,28),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AJ134=TRUE,"ESCALATE",
C134="A",
IF(OR(I134="NOT_READABLE",I134="BLURRY",AND(R134="20_20_20",I134="READABLE")),"B","A"),
C134="B",
IF(reEsc,"ESCALATE",IF(AY134&gt;=phaseMax,"ESCALATE",IF(AND(AV134&gt;=AW134,I134="READABLE"),"E","B"))),
C134="E",
IF(AY134&gt;=phaseMax,"ESCALATE",IF(OR(I134="SAME",I134="CANT_TELL",AD134&lt;axisTol),"F","E")),
C134="F",
IF(AY134&gt;=phaseMax,"ESCALATE",IF(AX134&gt;=powerSameN,"G","F")),
C134="G",
IF(AY134&gt;=phaseMax,"ESCALATE",IF(OR(AX134&gt;=duoEqualN,BB134&gt;=duoMax),"D","G")),
C134="D",
IF(leEsc,"ESCALATE",IF(AY134&gt;=phaseMax,"ESCALATE",IF(AND(AV134&gt;=AW134,I134="READABLE"),"H","D"))),
C134="H",
IF(AY134&gt;=phaseMax,"ESCALATE",IF(OR(I134="SAME",I134="CANT_TELL",AD134&lt;axisTol),"I","H")),
C134="I",
IF(AY134&gt;=phaseMax,"ESCALATE",IF(AX134&gt;=powerSameN,"J","I")),
C134="J",
IF(AY134&gt;=phaseMax,"ESCALATE",IF(OR(AX134&gt;=duoEqualN,BB134&gt;=duoMax),"K","J")),
C134="K",
IF(AY134&gt;=phaseMax,"ESCALATE",IF(AX134&gt;=binoSameN,IF(XLOOKUP($B134,Derived_Variables!$A:$A,Derived_Variables!$AJ:$AJ,FALSE)=TRUE,"P","END"),"K")),
C134="P",
IF(AY134&gt;=phaseMax,"ESCALATE",IF(OR(I134="READABLE",I134="SAME"),"Q","P")),
C134="Q",
IF(AY134&gt;=phaseMax,"ESCALATE",IF(OR(I134="READABLE",I134="SAME"),"R","Q")),
C134="R",
IF(AY134&gt;=phaseMax,"ESCALATE",IF(OR(I134=nearTarget,I134="SAME"),"END","R")),
TRUE,"END"
)))</f>
        <v/>
      </c>
      <c r="BD134" s="28" t="b">
        <f t="shared" si="19"/>
        <v>0</v>
      </c>
    </row>
    <row r="135" ht="15.75" customHeight="1">
      <c r="A135" s="28">
        <f t="shared" si="3"/>
        <v>134</v>
      </c>
      <c r="B135" s="28">
        <f t="shared" si="4"/>
        <v>6</v>
      </c>
      <c r="C135" s="28" t="str">
        <f t="shared" si="5"/>
        <v/>
      </c>
      <c r="D135" s="28" t="str">
        <f t="array" ref="D135">IF($I134="","",XLOOKUP(C135,FSM_State_Map!A:A,FSM_State_Map!B:B,""))</f>
        <v/>
      </c>
      <c r="E135" s="28" t="str">
        <f t="array" ref="E135">IF($I134="","",XLOOKUP(C135,FSM_State_Map!A:A,FSM_State_Map!C:C,""))</f>
        <v/>
      </c>
      <c r="F135" s="28" t="str">
        <f t="array" ref="F135">IF($I134="","",XLOOKUP(E135,Phase_UI_Map!A:A,Phase_UI_Map!B:B,""))</f>
        <v/>
      </c>
      <c r="G135" s="28" t="str">
        <f t="array" ref="G135">IF($I134="","",XLOOKUP(E135,Phase_UI_Map!A:A,Phase_UI_Map!C:C,""))</f>
        <v/>
      </c>
      <c r="H135" s="28" t="str">
        <f t="array" ref="H135">IF($I134="","",XLOOKUP(E135,Phase_UI_Map!A:A,Phase_UI_Map!D:D,""))</f>
        <v/>
      </c>
      <c r="I135" s="29"/>
      <c r="J135" s="28" t="str">
        <f>IFERROR(__xludf.DUMMYFUNCTION("IF($I134="""","""",IFERROR(INDEX(FILTER(Response_Lists!$B:$B,Response_Lists!$A:$A=$H135),1),""""))"),"")</f>
        <v/>
      </c>
      <c r="K135" s="28" t="str">
        <f>IFERROR(__xludf.DUMMYFUNCTION("IF($I134="""","""",IFERROR(INDEX(FILTER(Response_Lists!$B:$B,Response_Lists!$A:$A=$H135),2),""""))"),"")</f>
        <v/>
      </c>
      <c r="L135" s="28" t="str">
        <f>IFERROR(__xludf.DUMMYFUNCTION("IF($I134="""","""",IFERROR(INDEX(FILTER(Response_Lists!$B:$B,Response_Lists!$A:$A=$H135),3),""""))"),"")</f>
        <v/>
      </c>
      <c r="M135" s="28" t="str">
        <f>IFERROR(__xludf.DUMMYFUNCTION("IF($I134="""","""",IFERROR(INDEX(FILTER(Response_Lists!$B:$B,Response_Lists!$A:$A=$H135),4),""""))"),"")</f>
        <v/>
      </c>
      <c r="N135" s="28" t="str">
        <f>IFERROR(__xludf.DUMMYFUNCTION("IF($I134="""","""",IFERROR(INDEX(FILTER(Response_Lists!$B:$B,Response_Lists!$A:$A=$H135),5),""""))"),"")</f>
        <v/>
      </c>
      <c r="O135" s="28" t="str">
        <f>IFERROR(__xludf.DUMMYFUNCTION("IF($I134="""","""",IFERROR(INDEX(FILTER(Response_Lists!$B:$B,Response_Lists!$A:$A=$H135),6),""""))"),"")</f>
        <v/>
      </c>
      <c r="P135" s="28" t="str">
        <f t="shared" si="6"/>
        <v/>
      </c>
      <c r="Q135" s="28" t="str">
        <f t="array" ref="Q135">IF($I134="","",XLOOKUP(C135,FSM_State_Map!A:A,FSM_State_Map!D:D,""))</f>
        <v/>
      </c>
      <c r="R135" s="28" t="str">
        <f t="shared" si="7"/>
        <v/>
      </c>
      <c r="S135" s="28" t="str">
        <f t="array" ref="S135">IF($I134="","",
IF(
  AND(C135="B",C134&lt;&gt;"B"),
  XLOOKUP($B135,Derived_Variables!$A:$A,Derived_Variables!$K:$K,0)
  + XLOOKUP($B135,Derived_Variables!$A:$A,Derived_Variables!$AE:$AE,0),
  S134+AM134
))</f>
        <v/>
      </c>
      <c r="T135" s="28" t="str">
        <f t="shared" ref="T135:U135" si="280">IF($I134="","",T134+AN134)</f>
        <v/>
      </c>
      <c r="U135" s="28" t="str">
        <f t="shared" si="280"/>
        <v/>
      </c>
      <c r="V135" s="28" t="str">
        <f t="array" ref="V135">IF($I134="","",
IF(
  AND(C135="D",C134&lt;&gt;"D"),
  XLOOKUP($B135,Derived_Variables!$A:$A,Derived_Variables!$N:$N,0)
  + XLOOKUP($B135,Derived_Variables!$A:$A,Derived_Variables!$AE:$AE,0),
  V134+AP134
))</f>
        <v/>
      </c>
      <c r="W135" s="28" t="str">
        <f t="shared" ref="W135:X135" si="281">IF($I134="","",W134+AQ134)</f>
        <v/>
      </c>
      <c r="X135" s="28" t="str">
        <f t="shared" si="281"/>
        <v/>
      </c>
      <c r="Y135" s="28" t="str">
        <f t="array" ref="Y135">IF($I134="","",IF(AND(C135="P",C134&lt;&gt;"P"),IFERROR(XLOOKUP($B135,Lenso_Input!$A:$A,Lenso_Input!$E:$E,0),0),Y134+AS134))</f>
        <v/>
      </c>
      <c r="Z135" s="28" t="str">
        <f t="array" ref="Z135">IF($I134="","",IF(AND(C135="Q",C134&lt;&gt;"Q"),IFERROR(XLOOKUP($B135,Lenso_Input!$A:$A,Lenso_Input!$I:$I,0),0),Z134+AT134))</f>
        <v/>
      </c>
      <c r="AA135" s="28" t="str">
        <f t="array" ref="AA135">IF($I134="","",IF(XLOOKUP($B135,Derived_Variables!$A:$A,Derived_Variables!$R:$R,"6/6_target")="6/6_target","20_20_20","40_30_25"))</f>
        <v/>
      </c>
      <c r="AB135" s="28" t="str">
        <f t="array" ref="AB135">IF($I134="","",XLOOKUP(LOWER(XLOOKUP($B135,Derived_Variables!$A:$A,Derived_Variables!$T:$T,"Standard"))&amp;"_sph_step",Calibration!$B:$B,Calibration!$C:$C,0.25))</f>
        <v/>
      </c>
      <c r="AC135" s="28" t="str">
        <f t="array" ref="AC135">IF($I134="","",XLOOKUP(LOWER(XLOOKUP($B135,Derived_Variables!$A:$A,Derived_Variables!$T:$T,"Standard"))&amp;"_cyl_step",Calibration!$B:$B,Calibration!$C:$C,0.25))</f>
        <v/>
      </c>
      <c r="AD135" s="28" t="str">
        <f t="array" ref="AD135">IF($I134="","",IF(OR(C135="E",C135="H"),LET(startStep,XLOOKUP("axis_start_step",Calibration!$B:$B,Calibration!$C:$C,5),step1,XLOOKUP("axis_reversal_step_1",Calibration!$B:$B,Calibration!$C:$C,3),step2,XLOOKUP("axis_reversal_step_2",Calibration!$B:$B,Calibration!$C:$C,1),IF(OR(C134&lt;&gt;C135,AZ135="",AZ135="SAME",AZ135="CANT_TELL",I135="",I135="SAME",I135="CANT_TELL"),startStep,IF(OR(AND(AZ135="BETTER_1",I135="BETTER_2"),AND(AZ135="BETTER_2",I135="BETTER_1")),IF(AD134&gt;step1,step1,step2),AD134))),0))</f>
        <v/>
      </c>
      <c r="AE135" s="28" t="str">
        <f t="array" ref="AE135">IF($I134="","",XLOOKUP($B135,Derived_Variables!$A:$A,Derived_Variables!$AD:$AD,"No_Fog"))</f>
        <v/>
      </c>
      <c r="AF135" s="28" t="str">
        <f t="array" ref="AF135">IF($I134="","",XLOOKUP($B135,Derived_Variables!$A:$A,Derived_Variables!$AE:$AE,0))</f>
        <v/>
      </c>
      <c r="AG135" s="28" t="str">
        <f t="array" ref="AG135">IF($I134="","",XLOOKUP($B135,Derived_Variables!$A:$A,Derived_Variables!$AF:$AF,""))</f>
        <v/>
      </c>
      <c r="AH135" s="28" t="str">
        <f t="array" ref="AH135">IF($I134="","",XLOOKUP($B135,Derived_Variables!$A:$A,Derived_Variables!$AG:$AG,""))</f>
        <v/>
      </c>
      <c r="AI135" s="28" t="str">
        <f t="array" ref="AI135">IF($I134="","",XLOOKUP($B135,Derived_Variables!$A:$A,Derived_Variables!$AC:$AC,"Medium"))</f>
        <v/>
      </c>
      <c r="AJ135" s="28" t="str">
        <f t="array" ref="AJ135">IF($I134="","",XLOOKUP($B135,Derived_Variables!$A:$A,Derived_Variables!$Y:$Y,FALSE))</f>
        <v/>
      </c>
      <c r="AK135" s="28" t="str">
        <f t="array" ref="AK135">IF($I134="","",XLOOKUP($B135,Derived_Variables!$A:$A,Derived_Variables!$AA:$AA,"Normal"))</f>
        <v/>
      </c>
      <c r="AL135" s="28" t="str">
        <f t="array" ref="AL135">IF($I134="","",XLOOKUP($B135,Derived_Variables!$A:$A,Derived_Variables!$AB:$AB,"Normal"))</f>
        <v/>
      </c>
      <c r="AM135" s="28" t="str">
        <f t="array" ref="AM135">IF($I135="","",IFS(C135="B",IF(OR(I135="NOT_READABLE",I135="BLURRY"),-AB135,0),C135="G",IFS(I135="RED_CLEARER",XLOOKUP("duochrome_red_step",Calibration!$B:$B,Calibration!$C:$C,-0.25),I135="GREEN_CLEARER",XLOOKUP("duochrome_green_step",Calibration!$B:$B,Calibration!$C:$C,0.25),I135="EQUAL",IF(XLOOKUP($B135,Derived_Variables!$A:$A,Derived_Variables!$S:$S,"Neutral")="Undercorrect",XLOOKUP("undercorrect_step",Calibration!$B:$B,Calibration!$C:$C,0.25),IF(XLOOKUP($B135,Derived_Variables!$A:$A,Derived_Variables!$S:$S,"Neutral")="Overcorrect",-XLOOKUP("overcorrect_step",Calibration!$B:$B,Calibration!$C:$C,0.25),0)),TRUE,0),C135="K",IF(I135="TOP_CLEARER",XLOOKUP("bino_balance_step",Calibration!$B:$B,Calibration!$C:$C,0.25),0),TRUE,0))</f>
        <v/>
      </c>
      <c r="AN135" s="28" t="str">
        <f t="shared" si="10"/>
        <v/>
      </c>
      <c r="AO135" s="28" t="str">
        <f t="shared" si="11"/>
        <v/>
      </c>
      <c r="AP135" s="28" t="str">
        <f t="array" ref="AP135">IF($I135="","",IFS(C135="D",IF(OR(I135="NOT_READABLE",I135="BLURRY"),-AB135,0),C135="J",IFS(I135="RED_CLEARER",XLOOKUP("duochrome_red_step",Calibration!$B:$B,Calibration!$C:$C,-0.25),I135="GREEN_CLEARER",XLOOKUP("duochrome_green_step",Calibration!$B:$B,Calibration!$C:$C,0.25),I135="EQUAL",IF(XLOOKUP($B135,Derived_Variables!$A:$A,Derived_Variables!$S:$S,"Neutral")="Undercorrect",XLOOKUP("undercorrect_step",Calibration!$B:$B,Calibration!$C:$C,0.25),IF(XLOOKUP($B135,Derived_Variables!$A:$A,Derived_Variables!$S:$S,"Neutral")="Overcorrect",-XLOOKUP("overcorrect_step",Calibration!$B:$B,Calibration!$C:$C,0.25),0)),TRUE,0),C135="K",IF(I135="BOTTOM_CLEARER",XLOOKUP("bino_balance_step",Calibration!$B:$B,Calibration!$C:$C,0.25),0),TRUE,0))</f>
        <v/>
      </c>
      <c r="AQ135" s="28" t="str">
        <f t="shared" si="12"/>
        <v/>
      </c>
      <c r="AR135" s="28" t="str">
        <f t="shared" si="13"/>
        <v/>
      </c>
      <c r="AS135" s="28" t="str">
        <f t="array" ref="AS135">IF($I135="","",IF(C135="P",IF(OR(I135="NOT_READABLE",I135="BLURRY"),XLOOKUP("near_add_step",Calibration!$B:$B,Calibration!$C:$C,0.25),0),IF(C135="R",IF(I135="NOT_CLEAR",XLOOKUP("near_add_step",Calibration!$B:$B,Calibration!$C:$C,0.25),0),0)))</f>
        <v/>
      </c>
      <c r="AT135" s="28" t="str">
        <f t="array" ref="AT135">IF($I135="","",IF(C135="Q",IF(OR(I135="NOT_READABLE",I135="BLURRY"),XLOOKUP("near_add_step",Calibration!$B:$B,Calibration!$C:$C,0.25),0),IF(C135="R",IF(I135="NOT_CLEAR",XLOOKUP("near_add_step",Calibration!$B:$B,Calibration!$C:$C,0.25),0),0)))</f>
        <v/>
      </c>
      <c r="AU135" s="28" t="str">
        <f t="array" ref="AU135">IF($I135="","",IF(G135="SNELLEN_FEET",IF(I135="READABLE",IFERROR(XLOOKUP(XLOOKUP(R135,Chart_Scale_Distance!B:B,Chart_Scale_Distance!A:A)+1,Chart_Scale_Distance!A:A,Chart_Scale_Distance!B:B),R135),R135),R135))</f>
        <v/>
      </c>
      <c r="AV135" s="28" t="str">
        <f t="array" ref="AV135">IF($I134="","",IFERROR(XLOOKUP(R135,Chart_Scale_Distance!$B:$B,Chart_Scale_Distance!$A:$A,""),""))</f>
        <v/>
      </c>
      <c r="AW135" s="28" t="str">
        <f t="array" ref="AW135">IF($I134="","",IFERROR(XLOOKUP(AA135,Chart_Scale_Distance!$B:$B,Chart_Scale_Distance!$A:$A,""),""))</f>
        <v/>
      </c>
      <c r="AX135" s="28" t="str">
        <f t="shared" si="14"/>
        <v/>
      </c>
      <c r="AY135" s="28" t="str">
        <f t="shared" si="15"/>
        <v/>
      </c>
      <c r="AZ135" s="28" t="str">
        <f t="shared" si="16"/>
        <v/>
      </c>
      <c r="BA135" s="28" t="str">
        <f t="shared" si="17"/>
        <v/>
      </c>
      <c r="BB135" s="28" t="str">
        <f t="shared" si="18"/>
        <v/>
      </c>
      <c r="BC135" s="28" t="str">
        <f t="array" ref="BC135">IF($I135="","",LET(
conf,AI135,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duoMax,XLOOKUP($B135,Derived_Variables!$A:$A,Derived_Variables!$AI:$AI,4),
axisTol,XLOOKUP($B135,Derived_Variables!$A:$A,Derived_Variables!$W:$W,1),
maxStart,XLOOKUP($B135,Derived_Variables!$A:$A,Derived_Variables!$U:$U,1.25),
maxAR,XLOOKUP($B135,Derived_Variables!$A:$A,Derived_Variables!$V:$V,3),
anom,XLOOKUP($B135,Derived_Variables!$A:$A,Derived_Variables!$Z:$Z,FALSE),
reStart,XLOOKUP($B135,Derived_Variables!$A:$A,Derived_Variables!$K:$K,0),
leStart,XLOOKUP($B135,Derived_Variables!$A:$A,Derived_Variables!$N:$N,0),
reAR,XLOOKUP($B135,AR_Input!$A:$A,AR_Input!$B:$B,reStart),
leAR,XLOOKUP($B135,AR_Input!$A:$A,AR_Input!$E:$E,leStart),
reEsc,AND(anom,OR(ABS((S135+AM135)-reStart)&gt;maxStart,ABS((S135+AM135)-reAR)&gt;maxAR)),
leEsc,AND(anom,OR(ABS((V135+AP135)-leStart)&gt;maxStart,ABS((V135+AP135)-leAR)&gt;maxAR)),
phaseMax,IFS(
 AK135="Fast",
   IFS(
     OR(C135="B",C135="D"),XLOOKUP("timeout_coarse_fast",Calibration!$B:$B,Calibration!$C:$C,24),
     OR(C135="E",C135="F",C135="H",C135="I"),XLOOKUP("timeout_jcc_fast",Calibration!$B:$B,Calibration!$C:$C,10),
     OR(C135="G",C135="J"),XLOOKUP("timeout_duochrome_fast",Calibration!$B:$B,Calibration!$C:$C,8),
     C135="K",XLOOKUP("timeout_bino_fast",Calibration!$B:$B,Calibration!$C:$C,10),
     OR(C135="P",C135="Q",C135="R"),XLOOKUP("timeout_near_fast",Calibration!$B:$B,Calibration!$C:$C,16),
     TRUE,XLOOKUP("timeout_coarse_fast",Calibration!$B:$B,Calibration!$C:$C,24)
   ),
 AK135="Normal",
   IFS(
     OR(C135="B",C135="D"),XLOOKUP("timeout_coarse_normal",Calibration!$B:$B,Calibration!$C:$C,36),
     OR(C135="E",C135="F",C135="H",C135="I"),XLOOKUP("timeout_jcc_normal",Calibration!$B:$B,Calibration!$C:$C,14),
     OR(C135="G",C135="J"),XLOOKUP("timeout_duochrome_normal",Calibration!$B:$B,Calibration!$C:$C,10),
     C135="K",XLOOKUP("timeout_bino_normal",Calibration!$B:$B,Calibration!$C:$C,14),
     OR(C135="P",C135="Q",C135="R"),XLOOKUP("timeout_near_normal",Calibration!$B:$B,Calibration!$C:$C,22),
     TRUE,XLOOKUP("timeout_coarse_normal",Calibration!$B:$B,Calibration!$C:$C,36)
   ),
 TRUE,
   IFS(
     OR(C135="B",C135="D"),XLOOKUP("timeout_coarse_slow",Calibration!$B:$B,Calibration!$C:$C,48),
     OR(C135="E",C135="F",C135="H",C135="I"),XLOOKUP("timeout_jcc_slow",Calibration!$B:$B,Calibration!$C:$C,18),
     OR(C135="G",C135="J"),XLOOKUP("timeout_duochrome_slow",Calibration!$B:$B,Calibration!$C:$C,12),
     C135="K",XLOOKUP("timeout_bino_slow",Calibration!$B:$B,Calibration!$C:$C,18),
     OR(C135="P",C135="Q",C135="R"),XLOOKUP("timeout_near_slow",Calibration!$B:$B,Calibration!$C:$C,28),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AJ135=TRUE,"ESCALATE",
C135="A",
IF(OR(I135="NOT_READABLE",I135="BLURRY",AND(R135="20_20_20",I135="READABLE")),"B","A"),
C135="B",
IF(reEsc,"ESCALATE",IF(AY135&gt;=phaseMax,"ESCALATE",IF(AND(AV135&gt;=AW135,I135="READABLE"),"E","B"))),
C135="E",
IF(AY135&gt;=phaseMax,"ESCALATE",IF(OR(I135="SAME",I135="CANT_TELL",AD135&lt;axisTol),"F","E")),
C135="F",
IF(AY135&gt;=phaseMax,"ESCALATE",IF(AX135&gt;=powerSameN,"G","F")),
C135="G",
IF(AY135&gt;=phaseMax,"ESCALATE",IF(OR(AX135&gt;=duoEqualN,BB135&gt;=duoMax),"D","G")),
C135="D",
IF(leEsc,"ESCALATE",IF(AY135&gt;=phaseMax,"ESCALATE",IF(AND(AV135&gt;=AW135,I135="READABLE"),"H","D"))),
C135="H",
IF(AY135&gt;=phaseMax,"ESCALATE",IF(OR(I135="SAME",I135="CANT_TELL",AD135&lt;axisTol),"I","H")),
C135="I",
IF(AY135&gt;=phaseMax,"ESCALATE",IF(AX135&gt;=powerSameN,"J","I")),
C135="J",
IF(AY135&gt;=phaseMax,"ESCALATE",IF(OR(AX135&gt;=duoEqualN,BB135&gt;=duoMax),"K","J")),
C135="K",
IF(AY135&gt;=phaseMax,"ESCALATE",IF(AX135&gt;=binoSameN,IF(XLOOKUP($B135,Derived_Variables!$A:$A,Derived_Variables!$AJ:$AJ,FALSE)=TRUE,"P","END"),"K")),
C135="P",
IF(AY135&gt;=phaseMax,"ESCALATE",IF(OR(I135="READABLE",I135="SAME"),"Q","P")),
C135="Q",
IF(AY135&gt;=phaseMax,"ESCALATE",IF(OR(I135="READABLE",I135="SAME"),"R","Q")),
C135="R",
IF(AY135&gt;=phaseMax,"ESCALATE",IF(OR(I135=nearTarget,I135="SAME"),"END","R")),
TRUE,"END"
)))</f>
        <v/>
      </c>
      <c r="BD135" s="28" t="b">
        <f t="shared" si="19"/>
        <v>0</v>
      </c>
    </row>
    <row r="136" ht="15.75" customHeight="1">
      <c r="A136" s="28">
        <f t="shared" si="3"/>
        <v>135</v>
      </c>
      <c r="B136" s="28">
        <f t="shared" si="4"/>
        <v>6</v>
      </c>
      <c r="C136" s="28" t="str">
        <f t="shared" si="5"/>
        <v/>
      </c>
      <c r="D136" s="28" t="str">
        <f t="array" ref="D136">IF($I135="","",XLOOKUP(C136,FSM_State_Map!A:A,FSM_State_Map!B:B,""))</f>
        <v/>
      </c>
      <c r="E136" s="28" t="str">
        <f t="array" ref="E136">IF($I135="","",XLOOKUP(C136,FSM_State_Map!A:A,FSM_State_Map!C:C,""))</f>
        <v/>
      </c>
      <c r="F136" s="28" t="str">
        <f t="array" ref="F136">IF($I135="","",XLOOKUP(E136,Phase_UI_Map!A:A,Phase_UI_Map!B:B,""))</f>
        <v/>
      </c>
      <c r="G136" s="28" t="str">
        <f t="array" ref="G136">IF($I135="","",XLOOKUP(E136,Phase_UI_Map!A:A,Phase_UI_Map!C:C,""))</f>
        <v/>
      </c>
      <c r="H136" s="28" t="str">
        <f t="array" ref="H136">IF($I135="","",XLOOKUP(E136,Phase_UI_Map!A:A,Phase_UI_Map!D:D,""))</f>
        <v/>
      </c>
      <c r="I136" s="29"/>
      <c r="J136" s="28" t="str">
        <f>IFERROR(__xludf.DUMMYFUNCTION("IF($I135="""","""",IFERROR(INDEX(FILTER(Response_Lists!$B:$B,Response_Lists!$A:$A=$H136),1),""""))"),"")</f>
        <v/>
      </c>
      <c r="K136" s="28" t="str">
        <f>IFERROR(__xludf.DUMMYFUNCTION("IF($I135="""","""",IFERROR(INDEX(FILTER(Response_Lists!$B:$B,Response_Lists!$A:$A=$H136),2),""""))"),"")</f>
        <v/>
      </c>
      <c r="L136" s="28" t="str">
        <f>IFERROR(__xludf.DUMMYFUNCTION("IF($I135="""","""",IFERROR(INDEX(FILTER(Response_Lists!$B:$B,Response_Lists!$A:$A=$H136),3),""""))"),"")</f>
        <v/>
      </c>
      <c r="M136" s="28" t="str">
        <f>IFERROR(__xludf.DUMMYFUNCTION("IF($I135="""","""",IFERROR(INDEX(FILTER(Response_Lists!$B:$B,Response_Lists!$A:$A=$H136),4),""""))"),"")</f>
        <v/>
      </c>
      <c r="N136" s="28" t="str">
        <f>IFERROR(__xludf.DUMMYFUNCTION("IF($I135="""","""",IFERROR(INDEX(FILTER(Response_Lists!$B:$B,Response_Lists!$A:$A=$H136),5),""""))"),"")</f>
        <v/>
      </c>
      <c r="O136" s="28" t="str">
        <f>IFERROR(__xludf.DUMMYFUNCTION("IF($I135="""","""",IFERROR(INDEX(FILTER(Response_Lists!$B:$B,Response_Lists!$A:$A=$H136),6),""""))"),"")</f>
        <v/>
      </c>
      <c r="P136" s="28" t="str">
        <f t="shared" si="6"/>
        <v/>
      </c>
      <c r="Q136" s="28" t="str">
        <f t="array" ref="Q136">IF($I135="","",XLOOKUP(C136,FSM_State_Map!A:A,FSM_State_Map!D:D,""))</f>
        <v/>
      </c>
      <c r="R136" s="28" t="str">
        <f t="shared" si="7"/>
        <v/>
      </c>
      <c r="S136" s="28" t="str">
        <f t="array" ref="S136">IF($I135="","",
IF(
  AND(C136="B",C135&lt;&gt;"B"),
  XLOOKUP($B136,Derived_Variables!$A:$A,Derived_Variables!$K:$K,0)
  + XLOOKUP($B136,Derived_Variables!$A:$A,Derived_Variables!$AE:$AE,0),
  S135+AM135
))</f>
        <v/>
      </c>
      <c r="T136" s="28" t="str">
        <f t="shared" ref="T136:U136" si="282">IF($I135="","",T135+AN135)</f>
        <v/>
      </c>
      <c r="U136" s="28" t="str">
        <f t="shared" si="282"/>
        <v/>
      </c>
      <c r="V136" s="28" t="str">
        <f t="array" ref="V136">IF($I135="","",
IF(
  AND(C136="D",C135&lt;&gt;"D"),
  XLOOKUP($B136,Derived_Variables!$A:$A,Derived_Variables!$N:$N,0)
  + XLOOKUP($B136,Derived_Variables!$A:$A,Derived_Variables!$AE:$AE,0),
  V135+AP135
))</f>
        <v/>
      </c>
      <c r="W136" s="28" t="str">
        <f t="shared" ref="W136:X136" si="283">IF($I135="","",W135+AQ135)</f>
        <v/>
      </c>
      <c r="X136" s="28" t="str">
        <f t="shared" si="283"/>
        <v/>
      </c>
      <c r="Y136" s="28" t="str">
        <f t="array" ref="Y136">IF($I135="","",IF(AND(C136="P",C135&lt;&gt;"P"),IFERROR(XLOOKUP($B136,Lenso_Input!$A:$A,Lenso_Input!$E:$E,0),0),Y135+AS135))</f>
        <v/>
      </c>
      <c r="Z136" s="28" t="str">
        <f t="array" ref="Z136">IF($I135="","",IF(AND(C136="Q",C135&lt;&gt;"Q"),IFERROR(XLOOKUP($B136,Lenso_Input!$A:$A,Lenso_Input!$I:$I,0),0),Z135+AT135))</f>
        <v/>
      </c>
      <c r="AA136" s="28" t="str">
        <f t="array" ref="AA136">IF($I135="","",IF(XLOOKUP($B136,Derived_Variables!$A:$A,Derived_Variables!$R:$R,"6/6_target")="6/6_target","20_20_20","40_30_25"))</f>
        <v/>
      </c>
      <c r="AB136" s="28" t="str">
        <f t="array" ref="AB136">IF($I135="","",XLOOKUP(LOWER(XLOOKUP($B136,Derived_Variables!$A:$A,Derived_Variables!$T:$T,"Standard"))&amp;"_sph_step",Calibration!$B:$B,Calibration!$C:$C,0.25))</f>
        <v/>
      </c>
      <c r="AC136" s="28" t="str">
        <f t="array" ref="AC136">IF($I135="","",XLOOKUP(LOWER(XLOOKUP($B136,Derived_Variables!$A:$A,Derived_Variables!$T:$T,"Standard"))&amp;"_cyl_step",Calibration!$B:$B,Calibration!$C:$C,0.25))</f>
        <v/>
      </c>
      <c r="AD136" s="28" t="str">
        <f t="array" ref="AD136">IF($I135="","",IF(OR(C136="E",C136="H"),LET(startStep,XLOOKUP("axis_start_step",Calibration!$B:$B,Calibration!$C:$C,5),step1,XLOOKUP("axis_reversal_step_1",Calibration!$B:$B,Calibration!$C:$C,3),step2,XLOOKUP("axis_reversal_step_2",Calibration!$B:$B,Calibration!$C:$C,1),IF(OR(C135&lt;&gt;C136,AZ136="",AZ136="SAME",AZ136="CANT_TELL",I136="",I136="SAME",I136="CANT_TELL"),startStep,IF(OR(AND(AZ136="BETTER_1",I136="BETTER_2"),AND(AZ136="BETTER_2",I136="BETTER_1")),IF(AD135&gt;step1,step1,step2),AD135))),0))</f>
        <v/>
      </c>
      <c r="AE136" s="28" t="str">
        <f t="array" ref="AE136">IF($I135="","",XLOOKUP($B136,Derived_Variables!$A:$A,Derived_Variables!$AD:$AD,"No_Fog"))</f>
        <v/>
      </c>
      <c r="AF136" s="28" t="str">
        <f t="array" ref="AF136">IF($I135="","",XLOOKUP($B136,Derived_Variables!$A:$A,Derived_Variables!$AE:$AE,0))</f>
        <v/>
      </c>
      <c r="AG136" s="28" t="str">
        <f t="array" ref="AG136">IF($I135="","",XLOOKUP($B136,Derived_Variables!$A:$A,Derived_Variables!$AF:$AF,""))</f>
        <v/>
      </c>
      <c r="AH136" s="28" t="str">
        <f t="array" ref="AH136">IF($I135="","",XLOOKUP($B136,Derived_Variables!$A:$A,Derived_Variables!$AG:$AG,""))</f>
        <v/>
      </c>
      <c r="AI136" s="28" t="str">
        <f t="array" ref="AI136">IF($I135="","",XLOOKUP($B136,Derived_Variables!$A:$A,Derived_Variables!$AC:$AC,"Medium"))</f>
        <v/>
      </c>
      <c r="AJ136" s="28" t="str">
        <f t="array" ref="AJ136">IF($I135="","",XLOOKUP($B136,Derived_Variables!$A:$A,Derived_Variables!$Y:$Y,FALSE))</f>
        <v/>
      </c>
      <c r="AK136" s="28" t="str">
        <f t="array" ref="AK136">IF($I135="","",XLOOKUP($B136,Derived_Variables!$A:$A,Derived_Variables!$AA:$AA,"Normal"))</f>
        <v/>
      </c>
      <c r="AL136" s="28" t="str">
        <f t="array" ref="AL136">IF($I135="","",XLOOKUP($B136,Derived_Variables!$A:$A,Derived_Variables!$AB:$AB,"Normal"))</f>
        <v/>
      </c>
      <c r="AM136" s="28" t="str">
        <f t="array" ref="AM136">IF($I136="","",IFS(C136="B",IF(OR(I136="NOT_READABLE",I136="BLURRY"),-AB136,0),C136="G",IFS(I136="RED_CLEARER",XLOOKUP("duochrome_red_step",Calibration!$B:$B,Calibration!$C:$C,-0.25),I136="GREEN_CLEARER",XLOOKUP("duochrome_green_step",Calibration!$B:$B,Calibration!$C:$C,0.25),I136="EQUAL",IF(XLOOKUP($B136,Derived_Variables!$A:$A,Derived_Variables!$S:$S,"Neutral")="Undercorrect",XLOOKUP("undercorrect_step",Calibration!$B:$B,Calibration!$C:$C,0.25),IF(XLOOKUP($B136,Derived_Variables!$A:$A,Derived_Variables!$S:$S,"Neutral")="Overcorrect",-XLOOKUP("overcorrect_step",Calibration!$B:$B,Calibration!$C:$C,0.25),0)),TRUE,0),C136="K",IF(I136="TOP_CLEARER",XLOOKUP("bino_balance_step",Calibration!$B:$B,Calibration!$C:$C,0.25),0),TRUE,0))</f>
        <v/>
      </c>
      <c r="AN136" s="28" t="str">
        <f t="shared" si="10"/>
        <v/>
      </c>
      <c r="AO136" s="28" t="str">
        <f t="shared" si="11"/>
        <v/>
      </c>
      <c r="AP136" s="28" t="str">
        <f t="array" ref="AP136">IF($I136="","",IFS(C136="D",IF(OR(I136="NOT_READABLE",I136="BLURRY"),-AB136,0),C136="J",IFS(I136="RED_CLEARER",XLOOKUP("duochrome_red_step",Calibration!$B:$B,Calibration!$C:$C,-0.25),I136="GREEN_CLEARER",XLOOKUP("duochrome_green_step",Calibration!$B:$B,Calibration!$C:$C,0.25),I136="EQUAL",IF(XLOOKUP($B136,Derived_Variables!$A:$A,Derived_Variables!$S:$S,"Neutral")="Undercorrect",XLOOKUP("undercorrect_step",Calibration!$B:$B,Calibration!$C:$C,0.25),IF(XLOOKUP($B136,Derived_Variables!$A:$A,Derived_Variables!$S:$S,"Neutral")="Overcorrect",-XLOOKUP("overcorrect_step",Calibration!$B:$B,Calibration!$C:$C,0.25),0)),TRUE,0),C136="K",IF(I136="BOTTOM_CLEARER",XLOOKUP("bino_balance_step",Calibration!$B:$B,Calibration!$C:$C,0.25),0),TRUE,0))</f>
        <v/>
      </c>
      <c r="AQ136" s="28" t="str">
        <f t="shared" si="12"/>
        <v/>
      </c>
      <c r="AR136" s="28" t="str">
        <f t="shared" si="13"/>
        <v/>
      </c>
      <c r="AS136" s="28" t="str">
        <f t="array" ref="AS136">IF($I136="","",IF(C136="P",IF(OR(I136="NOT_READABLE",I136="BLURRY"),XLOOKUP("near_add_step",Calibration!$B:$B,Calibration!$C:$C,0.25),0),IF(C136="R",IF(I136="NOT_CLEAR",XLOOKUP("near_add_step",Calibration!$B:$B,Calibration!$C:$C,0.25),0),0)))</f>
        <v/>
      </c>
      <c r="AT136" s="28" t="str">
        <f t="array" ref="AT136">IF($I136="","",IF(C136="Q",IF(OR(I136="NOT_READABLE",I136="BLURRY"),XLOOKUP("near_add_step",Calibration!$B:$B,Calibration!$C:$C,0.25),0),IF(C136="R",IF(I136="NOT_CLEAR",XLOOKUP("near_add_step",Calibration!$B:$B,Calibration!$C:$C,0.25),0),0)))</f>
        <v/>
      </c>
      <c r="AU136" s="28" t="str">
        <f t="array" ref="AU136">IF($I136="","",IF(G136="SNELLEN_FEET",IF(I136="READABLE",IFERROR(XLOOKUP(XLOOKUP(R136,Chart_Scale_Distance!B:B,Chart_Scale_Distance!A:A)+1,Chart_Scale_Distance!A:A,Chart_Scale_Distance!B:B),R136),R136),R136))</f>
        <v/>
      </c>
      <c r="AV136" s="28" t="str">
        <f t="array" ref="AV136">IF($I135="","",IFERROR(XLOOKUP(R136,Chart_Scale_Distance!$B:$B,Chart_Scale_Distance!$A:$A,""),""))</f>
        <v/>
      </c>
      <c r="AW136" s="28" t="str">
        <f t="array" ref="AW136">IF($I135="","",IFERROR(XLOOKUP(AA136,Chart_Scale_Distance!$B:$B,Chart_Scale_Distance!$A:$A,""),""))</f>
        <v/>
      </c>
      <c r="AX136" s="28" t="str">
        <f t="shared" si="14"/>
        <v/>
      </c>
      <c r="AY136" s="28" t="str">
        <f t="shared" si="15"/>
        <v/>
      </c>
      <c r="AZ136" s="28" t="str">
        <f t="shared" si="16"/>
        <v/>
      </c>
      <c r="BA136" s="28" t="str">
        <f t="shared" si="17"/>
        <v/>
      </c>
      <c r="BB136" s="28" t="str">
        <f t="shared" si="18"/>
        <v/>
      </c>
      <c r="BC136" s="28" t="str">
        <f t="array" ref="BC136">IF($I136="","",LET(
conf,AI136,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duoMax,XLOOKUP($B136,Derived_Variables!$A:$A,Derived_Variables!$AI:$AI,4),
axisTol,XLOOKUP($B136,Derived_Variables!$A:$A,Derived_Variables!$W:$W,1),
maxStart,XLOOKUP($B136,Derived_Variables!$A:$A,Derived_Variables!$U:$U,1.25),
maxAR,XLOOKUP($B136,Derived_Variables!$A:$A,Derived_Variables!$V:$V,3),
anom,XLOOKUP($B136,Derived_Variables!$A:$A,Derived_Variables!$Z:$Z,FALSE),
reStart,XLOOKUP($B136,Derived_Variables!$A:$A,Derived_Variables!$K:$K,0),
leStart,XLOOKUP($B136,Derived_Variables!$A:$A,Derived_Variables!$N:$N,0),
reAR,XLOOKUP($B136,AR_Input!$A:$A,AR_Input!$B:$B,reStart),
leAR,XLOOKUP($B136,AR_Input!$A:$A,AR_Input!$E:$E,leStart),
reEsc,AND(anom,OR(ABS((S136+AM136)-reStart)&gt;maxStart,ABS((S136+AM136)-reAR)&gt;maxAR)),
leEsc,AND(anom,OR(ABS((V136+AP136)-leStart)&gt;maxStart,ABS((V136+AP136)-leAR)&gt;maxAR)),
phaseMax,IFS(
 AK136="Fast",
   IFS(
     OR(C136="B",C136="D"),XLOOKUP("timeout_coarse_fast",Calibration!$B:$B,Calibration!$C:$C,24),
     OR(C136="E",C136="F",C136="H",C136="I"),XLOOKUP("timeout_jcc_fast",Calibration!$B:$B,Calibration!$C:$C,10),
     OR(C136="G",C136="J"),XLOOKUP("timeout_duochrome_fast",Calibration!$B:$B,Calibration!$C:$C,8),
     C136="K",XLOOKUP("timeout_bino_fast",Calibration!$B:$B,Calibration!$C:$C,10),
     OR(C136="P",C136="Q",C136="R"),XLOOKUP("timeout_near_fast",Calibration!$B:$B,Calibration!$C:$C,16),
     TRUE,XLOOKUP("timeout_coarse_fast",Calibration!$B:$B,Calibration!$C:$C,24)
   ),
 AK136="Normal",
   IFS(
     OR(C136="B",C136="D"),XLOOKUP("timeout_coarse_normal",Calibration!$B:$B,Calibration!$C:$C,36),
     OR(C136="E",C136="F",C136="H",C136="I"),XLOOKUP("timeout_jcc_normal",Calibration!$B:$B,Calibration!$C:$C,14),
     OR(C136="G",C136="J"),XLOOKUP("timeout_duochrome_normal",Calibration!$B:$B,Calibration!$C:$C,10),
     C136="K",XLOOKUP("timeout_bino_normal",Calibration!$B:$B,Calibration!$C:$C,14),
     OR(C136="P",C136="Q",C136="R"),XLOOKUP("timeout_near_normal",Calibration!$B:$B,Calibration!$C:$C,22),
     TRUE,XLOOKUP("timeout_coarse_normal",Calibration!$B:$B,Calibration!$C:$C,36)
   ),
 TRUE,
   IFS(
     OR(C136="B",C136="D"),XLOOKUP("timeout_coarse_slow",Calibration!$B:$B,Calibration!$C:$C,48),
     OR(C136="E",C136="F",C136="H",C136="I"),XLOOKUP("timeout_jcc_slow",Calibration!$B:$B,Calibration!$C:$C,18),
     OR(C136="G",C136="J"),XLOOKUP("timeout_duochrome_slow",Calibration!$B:$B,Calibration!$C:$C,12),
     C136="K",XLOOKUP("timeout_bino_slow",Calibration!$B:$B,Calibration!$C:$C,18),
     OR(C136="P",C136="Q",C136="R"),XLOOKUP("timeout_near_slow",Calibration!$B:$B,Calibration!$C:$C,28),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AJ136=TRUE,"ESCALATE",
C136="A",
IF(OR(I136="NOT_READABLE",I136="BLURRY",AND(R136="20_20_20",I136="READABLE")),"B","A"),
C136="B",
IF(reEsc,"ESCALATE",IF(AY136&gt;=phaseMax,"ESCALATE",IF(AND(AV136&gt;=AW136,I136="READABLE"),"E","B"))),
C136="E",
IF(AY136&gt;=phaseMax,"ESCALATE",IF(OR(I136="SAME",I136="CANT_TELL",AD136&lt;axisTol),"F","E")),
C136="F",
IF(AY136&gt;=phaseMax,"ESCALATE",IF(AX136&gt;=powerSameN,"G","F")),
C136="G",
IF(AY136&gt;=phaseMax,"ESCALATE",IF(OR(AX136&gt;=duoEqualN,BB136&gt;=duoMax),"D","G")),
C136="D",
IF(leEsc,"ESCALATE",IF(AY136&gt;=phaseMax,"ESCALATE",IF(AND(AV136&gt;=AW136,I136="READABLE"),"H","D"))),
C136="H",
IF(AY136&gt;=phaseMax,"ESCALATE",IF(OR(I136="SAME",I136="CANT_TELL",AD136&lt;axisTol),"I","H")),
C136="I",
IF(AY136&gt;=phaseMax,"ESCALATE",IF(AX136&gt;=powerSameN,"J","I")),
C136="J",
IF(AY136&gt;=phaseMax,"ESCALATE",IF(OR(AX136&gt;=duoEqualN,BB136&gt;=duoMax),"K","J")),
C136="K",
IF(AY136&gt;=phaseMax,"ESCALATE",IF(AX136&gt;=binoSameN,IF(XLOOKUP($B136,Derived_Variables!$A:$A,Derived_Variables!$AJ:$AJ,FALSE)=TRUE,"P","END"),"K")),
C136="P",
IF(AY136&gt;=phaseMax,"ESCALATE",IF(OR(I136="READABLE",I136="SAME"),"Q","P")),
C136="Q",
IF(AY136&gt;=phaseMax,"ESCALATE",IF(OR(I136="READABLE",I136="SAME"),"R","Q")),
C136="R",
IF(AY136&gt;=phaseMax,"ESCALATE",IF(OR(I136=nearTarget,I136="SAME"),"END","R")),
TRUE,"END"
)))</f>
        <v/>
      </c>
      <c r="BD136" s="28" t="b">
        <f t="shared" si="19"/>
        <v>0</v>
      </c>
    </row>
    <row r="137" ht="15.75" customHeight="1">
      <c r="A137" s="28">
        <f t="shared" si="3"/>
        <v>136</v>
      </c>
      <c r="B137" s="28">
        <f t="shared" si="4"/>
        <v>6</v>
      </c>
      <c r="C137" s="28" t="str">
        <f t="shared" si="5"/>
        <v/>
      </c>
      <c r="D137" s="28" t="str">
        <f t="array" ref="D137">IF($I136="","",XLOOKUP(C137,FSM_State_Map!A:A,FSM_State_Map!B:B,""))</f>
        <v/>
      </c>
      <c r="E137" s="28" t="str">
        <f t="array" ref="E137">IF($I136="","",XLOOKUP(C137,FSM_State_Map!A:A,FSM_State_Map!C:C,""))</f>
        <v/>
      </c>
      <c r="F137" s="28" t="str">
        <f t="array" ref="F137">IF($I136="","",XLOOKUP(E137,Phase_UI_Map!A:A,Phase_UI_Map!B:B,""))</f>
        <v/>
      </c>
      <c r="G137" s="28" t="str">
        <f t="array" ref="G137">IF($I136="","",XLOOKUP(E137,Phase_UI_Map!A:A,Phase_UI_Map!C:C,""))</f>
        <v/>
      </c>
      <c r="H137" s="28" t="str">
        <f t="array" ref="H137">IF($I136="","",XLOOKUP(E137,Phase_UI_Map!A:A,Phase_UI_Map!D:D,""))</f>
        <v/>
      </c>
      <c r="I137" s="29"/>
      <c r="J137" s="28" t="str">
        <f>IFERROR(__xludf.DUMMYFUNCTION("IF($I136="""","""",IFERROR(INDEX(FILTER(Response_Lists!$B:$B,Response_Lists!$A:$A=$H137),1),""""))"),"")</f>
        <v/>
      </c>
      <c r="K137" s="28" t="str">
        <f>IFERROR(__xludf.DUMMYFUNCTION("IF($I136="""","""",IFERROR(INDEX(FILTER(Response_Lists!$B:$B,Response_Lists!$A:$A=$H137),2),""""))"),"")</f>
        <v/>
      </c>
      <c r="L137" s="28" t="str">
        <f>IFERROR(__xludf.DUMMYFUNCTION("IF($I136="""","""",IFERROR(INDEX(FILTER(Response_Lists!$B:$B,Response_Lists!$A:$A=$H137),3),""""))"),"")</f>
        <v/>
      </c>
      <c r="M137" s="28" t="str">
        <f>IFERROR(__xludf.DUMMYFUNCTION("IF($I136="""","""",IFERROR(INDEX(FILTER(Response_Lists!$B:$B,Response_Lists!$A:$A=$H137),4),""""))"),"")</f>
        <v/>
      </c>
      <c r="N137" s="28" t="str">
        <f>IFERROR(__xludf.DUMMYFUNCTION("IF($I136="""","""",IFERROR(INDEX(FILTER(Response_Lists!$B:$B,Response_Lists!$A:$A=$H137),5),""""))"),"")</f>
        <v/>
      </c>
      <c r="O137" s="28" t="str">
        <f>IFERROR(__xludf.DUMMYFUNCTION("IF($I136="""","""",IFERROR(INDEX(FILTER(Response_Lists!$B:$B,Response_Lists!$A:$A=$H137),6),""""))"),"")</f>
        <v/>
      </c>
      <c r="P137" s="28" t="str">
        <f t="shared" si="6"/>
        <v/>
      </c>
      <c r="Q137" s="28" t="str">
        <f t="array" ref="Q137">IF($I136="","",XLOOKUP(C137,FSM_State_Map!A:A,FSM_State_Map!D:D,""))</f>
        <v/>
      </c>
      <c r="R137" s="28" t="str">
        <f t="shared" si="7"/>
        <v/>
      </c>
      <c r="S137" s="28" t="str">
        <f t="array" ref="S137">IF($I136="","",
IF(
  AND(C137="B",C136&lt;&gt;"B"),
  XLOOKUP($B137,Derived_Variables!$A:$A,Derived_Variables!$K:$K,0)
  + XLOOKUP($B137,Derived_Variables!$A:$A,Derived_Variables!$AE:$AE,0),
  S136+AM136
))</f>
        <v/>
      </c>
      <c r="T137" s="28" t="str">
        <f t="shared" ref="T137:U137" si="284">IF($I136="","",T136+AN136)</f>
        <v/>
      </c>
      <c r="U137" s="28" t="str">
        <f t="shared" si="284"/>
        <v/>
      </c>
      <c r="V137" s="28" t="str">
        <f t="array" ref="V137">IF($I136="","",
IF(
  AND(C137="D",C136&lt;&gt;"D"),
  XLOOKUP($B137,Derived_Variables!$A:$A,Derived_Variables!$N:$N,0)
  + XLOOKUP($B137,Derived_Variables!$A:$A,Derived_Variables!$AE:$AE,0),
  V136+AP136
))</f>
        <v/>
      </c>
      <c r="W137" s="28" t="str">
        <f t="shared" ref="W137:X137" si="285">IF($I136="","",W136+AQ136)</f>
        <v/>
      </c>
      <c r="X137" s="28" t="str">
        <f t="shared" si="285"/>
        <v/>
      </c>
      <c r="Y137" s="28" t="str">
        <f t="array" ref="Y137">IF($I136="","",IF(AND(C137="P",C136&lt;&gt;"P"),IFERROR(XLOOKUP($B137,Lenso_Input!$A:$A,Lenso_Input!$E:$E,0),0),Y136+AS136))</f>
        <v/>
      </c>
      <c r="Z137" s="28" t="str">
        <f t="array" ref="Z137">IF($I136="","",IF(AND(C137="Q",C136&lt;&gt;"Q"),IFERROR(XLOOKUP($B137,Lenso_Input!$A:$A,Lenso_Input!$I:$I,0),0),Z136+AT136))</f>
        <v/>
      </c>
      <c r="AA137" s="28" t="str">
        <f t="array" ref="AA137">IF($I136="","",IF(XLOOKUP($B137,Derived_Variables!$A:$A,Derived_Variables!$R:$R,"6/6_target")="6/6_target","20_20_20","40_30_25"))</f>
        <v/>
      </c>
      <c r="AB137" s="28" t="str">
        <f t="array" ref="AB137">IF($I136="","",XLOOKUP(LOWER(XLOOKUP($B137,Derived_Variables!$A:$A,Derived_Variables!$T:$T,"Standard"))&amp;"_sph_step",Calibration!$B:$B,Calibration!$C:$C,0.25))</f>
        <v/>
      </c>
      <c r="AC137" s="28" t="str">
        <f t="array" ref="AC137">IF($I136="","",XLOOKUP(LOWER(XLOOKUP($B137,Derived_Variables!$A:$A,Derived_Variables!$T:$T,"Standard"))&amp;"_cyl_step",Calibration!$B:$B,Calibration!$C:$C,0.25))</f>
        <v/>
      </c>
      <c r="AD137" s="28" t="str">
        <f t="array" ref="AD137">IF($I136="","",IF(OR(C137="E",C137="H"),LET(startStep,XLOOKUP("axis_start_step",Calibration!$B:$B,Calibration!$C:$C,5),step1,XLOOKUP("axis_reversal_step_1",Calibration!$B:$B,Calibration!$C:$C,3),step2,XLOOKUP("axis_reversal_step_2",Calibration!$B:$B,Calibration!$C:$C,1),IF(OR(C136&lt;&gt;C137,AZ137="",AZ137="SAME",AZ137="CANT_TELL",I137="",I137="SAME",I137="CANT_TELL"),startStep,IF(OR(AND(AZ137="BETTER_1",I137="BETTER_2"),AND(AZ137="BETTER_2",I137="BETTER_1")),IF(AD136&gt;step1,step1,step2),AD136))),0))</f>
        <v/>
      </c>
      <c r="AE137" s="28" t="str">
        <f t="array" ref="AE137">IF($I136="","",XLOOKUP($B137,Derived_Variables!$A:$A,Derived_Variables!$AD:$AD,"No_Fog"))</f>
        <v/>
      </c>
      <c r="AF137" s="28" t="str">
        <f t="array" ref="AF137">IF($I136="","",XLOOKUP($B137,Derived_Variables!$A:$A,Derived_Variables!$AE:$AE,0))</f>
        <v/>
      </c>
      <c r="AG137" s="28" t="str">
        <f t="array" ref="AG137">IF($I136="","",XLOOKUP($B137,Derived_Variables!$A:$A,Derived_Variables!$AF:$AF,""))</f>
        <v/>
      </c>
      <c r="AH137" s="28" t="str">
        <f t="array" ref="AH137">IF($I136="","",XLOOKUP($B137,Derived_Variables!$A:$A,Derived_Variables!$AG:$AG,""))</f>
        <v/>
      </c>
      <c r="AI137" s="28" t="str">
        <f t="array" ref="AI137">IF($I136="","",XLOOKUP($B137,Derived_Variables!$A:$A,Derived_Variables!$AC:$AC,"Medium"))</f>
        <v/>
      </c>
      <c r="AJ137" s="28" t="str">
        <f t="array" ref="AJ137">IF($I136="","",XLOOKUP($B137,Derived_Variables!$A:$A,Derived_Variables!$Y:$Y,FALSE))</f>
        <v/>
      </c>
      <c r="AK137" s="28" t="str">
        <f t="array" ref="AK137">IF($I136="","",XLOOKUP($B137,Derived_Variables!$A:$A,Derived_Variables!$AA:$AA,"Normal"))</f>
        <v/>
      </c>
      <c r="AL137" s="28" t="str">
        <f t="array" ref="AL137">IF($I136="","",XLOOKUP($B137,Derived_Variables!$A:$A,Derived_Variables!$AB:$AB,"Normal"))</f>
        <v/>
      </c>
      <c r="AM137" s="28" t="str">
        <f t="array" ref="AM137">IF($I137="","",IFS(C137="B",IF(OR(I137="NOT_READABLE",I137="BLURRY"),-AB137,0),C137="G",IFS(I137="RED_CLEARER",XLOOKUP("duochrome_red_step",Calibration!$B:$B,Calibration!$C:$C,-0.25),I137="GREEN_CLEARER",XLOOKUP("duochrome_green_step",Calibration!$B:$B,Calibration!$C:$C,0.25),I137="EQUAL",IF(XLOOKUP($B137,Derived_Variables!$A:$A,Derived_Variables!$S:$S,"Neutral")="Undercorrect",XLOOKUP("undercorrect_step",Calibration!$B:$B,Calibration!$C:$C,0.25),IF(XLOOKUP($B137,Derived_Variables!$A:$A,Derived_Variables!$S:$S,"Neutral")="Overcorrect",-XLOOKUP("overcorrect_step",Calibration!$B:$B,Calibration!$C:$C,0.25),0)),TRUE,0),C137="K",IF(I137="TOP_CLEARER",XLOOKUP("bino_balance_step",Calibration!$B:$B,Calibration!$C:$C,0.25),0),TRUE,0))</f>
        <v/>
      </c>
      <c r="AN137" s="28" t="str">
        <f t="shared" si="10"/>
        <v/>
      </c>
      <c r="AO137" s="28" t="str">
        <f t="shared" si="11"/>
        <v/>
      </c>
      <c r="AP137" s="28" t="str">
        <f t="array" ref="AP137">IF($I137="","",IFS(C137="D",IF(OR(I137="NOT_READABLE",I137="BLURRY"),-AB137,0),C137="J",IFS(I137="RED_CLEARER",XLOOKUP("duochrome_red_step",Calibration!$B:$B,Calibration!$C:$C,-0.25),I137="GREEN_CLEARER",XLOOKUP("duochrome_green_step",Calibration!$B:$B,Calibration!$C:$C,0.25),I137="EQUAL",IF(XLOOKUP($B137,Derived_Variables!$A:$A,Derived_Variables!$S:$S,"Neutral")="Undercorrect",XLOOKUP("undercorrect_step",Calibration!$B:$B,Calibration!$C:$C,0.25),IF(XLOOKUP($B137,Derived_Variables!$A:$A,Derived_Variables!$S:$S,"Neutral")="Overcorrect",-XLOOKUP("overcorrect_step",Calibration!$B:$B,Calibration!$C:$C,0.25),0)),TRUE,0),C137="K",IF(I137="BOTTOM_CLEARER",XLOOKUP("bino_balance_step",Calibration!$B:$B,Calibration!$C:$C,0.25),0),TRUE,0))</f>
        <v/>
      </c>
      <c r="AQ137" s="28" t="str">
        <f t="shared" si="12"/>
        <v/>
      </c>
      <c r="AR137" s="28" t="str">
        <f t="shared" si="13"/>
        <v/>
      </c>
      <c r="AS137" s="28" t="str">
        <f t="array" ref="AS137">IF($I137="","",IF(C137="P",IF(OR(I137="NOT_READABLE",I137="BLURRY"),XLOOKUP("near_add_step",Calibration!$B:$B,Calibration!$C:$C,0.25),0),IF(C137="R",IF(I137="NOT_CLEAR",XLOOKUP("near_add_step",Calibration!$B:$B,Calibration!$C:$C,0.25),0),0)))</f>
        <v/>
      </c>
      <c r="AT137" s="28" t="str">
        <f t="array" ref="AT137">IF($I137="","",IF(C137="Q",IF(OR(I137="NOT_READABLE",I137="BLURRY"),XLOOKUP("near_add_step",Calibration!$B:$B,Calibration!$C:$C,0.25),0),IF(C137="R",IF(I137="NOT_CLEAR",XLOOKUP("near_add_step",Calibration!$B:$B,Calibration!$C:$C,0.25),0),0)))</f>
        <v/>
      </c>
      <c r="AU137" s="28" t="str">
        <f t="array" ref="AU137">IF($I137="","",IF(G137="SNELLEN_FEET",IF(I137="READABLE",IFERROR(XLOOKUP(XLOOKUP(R137,Chart_Scale_Distance!B:B,Chart_Scale_Distance!A:A)+1,Chart_Scale_Distance!A:A,Chart_Scale_Distance!B:B),R137),R137),R137))</f>
        <v/>
      </c>
      <c r="AV137" s="28" t="str">
        <f t="array" ref="AV137">IF($I136="","",IFERROR(XLOOKUP(R137,Chart_Scale_Distance!$B:$B,Chart_Scale_Distance!$A:$A,""),""))</f>
        <v/>
      </c>
      <c r="AW137" s="28" t="str">
        <f t="array" ref="AW137">IF($I136="","",IFERROR(XLOOKUP(AA137,Chart_Scale_Distance!$B:$B,Chart_Scale_Distance!$A:$A,""),""))</f>
        <v/>
      </c>
      <c r="AX137" s="28" t="str">
        <f t="shared" si="14"/>
        <v/>
      </c>
      <c r="AY137" s="28" t="str">
        <f t="shared" si="15"/>
        <v/>
      </c>
      <c r="AZ137" s="28" t="str">
        <f t="shared" si="16"/>
        <v/>
      </c>
      <c r="BA137" s="28" t="str">
        <f t="shared" si="17"/>
        <v/>
      </c>
      <c r="BB137" s="28" t="str">
        <f t="shared" si="18"/>
        <v/>
      </c>
      <c r="BC137" s="28" t="str">
        <f t="array" ref="BC137">IF($I137="","",LET(
conf,AI137,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duoMax,XLOOKUP($B137,Derived_Variables!$A:$A,Derived_Variables!$AI:$AI,4),
axisTol,XLOOKUP($B137,Derived_Variables!$A:$A,Derived_Variables!$W:$W,1),
maxStart,XLOOKUP($B137,Derived_Variables!$A:$A,Derived_Variables!$U:$U,1.25),
maxAR,XLOOKUP($B137,Derived_Variables!$A:$A,Derived_Variables!$V:$V,3),
anom,XLOOKUP($B137,Derived_Variables!$A:$A,Derived_Variables!$Z:$Z,FALSE),
reStart,XLOOKUP($B137,Derived_Variables!$A:$A,Derived_Variables!$K:$K,0),
leStart,XLOOKUP($B137,Derived_Variables!$A:$A,Derived_Variables!$N:$N,0),
reAR,XLOOKUP($B137,AR_Input!$A:$A,AR_Input!$B:$B,reStart),
leAR,XLOOKUP($B137,AR_Input!$A:$A,AR_Input!$E:$E,leStart),
reEsc,AND(anom,OR(ABS((S137+AM137)-reStart)&gt;maxStart,ABS((S137+AM137)-reAR)&gt;maxAR)),
leEsc,AND(anom,OR(ABS((V137+AP137)-leStart)&gt;maxStart,ABS((V137+AP137)-leAR)&gt;maxAR)),
phaseMax,IFS(
 AK137="Fast",
   IFS(
     OR(C137="B",C137="D"),XLOOKUP("timeout_coarse_fast",Calibration!$B:$B,Calibration!$C:$C,24),
     OR(C137="E",C137="F",C137="H",C137="I"),XLOOKUP("timeout_jcc_fast",Calibration!$B:$B,Calibration!$C:$C,10),
     OR(C137="G",C137="J"),XLOOKUP("timeout_duochrome_fast",Calibration!$B:$B,Calibration!$C:$C,8),
     C137="K",XLOOKUP("timeout_bino_fast",Calibration!$B:$B,Calibration!$C:$C,10),
     OR(C137="P",C137="Q",C137="R"),XLOOKUP("timeout_near_fast",Calibration!$B:$B,Calibration!$C:$C,16),
     TRUE,XLOOKUP("timeout_coarse_fast",Calibration!$B:$B,Calibration!$C:$C,24)
   ),
 AK137="Normal",
   IFS(
     OR(C137="B",C137="D"),XLOOKUP("timeout_coarse_normal",Calibration!$B:$B,Calibration!$C:$C,36),
     OR(C137="E",C137="F",C137="H",C137="I"),XLOOKUP("timeout_jcc_normal",Calibration!$B:$B,Calibration!$C:$C,14),
     OR(C137="G",C137="J"),XLOOKUP("timeout_duochrome_normal",Calibration!$B:$B,Calibration!$C:$C,10),
     C137="K",XLOOKUP("timeout_bino_normal",Calibration!$B:$B,Calibration!$C:$C,14),
     OR(C137="P",C137="Q",C137="R"),XLOOKUP("timeout_near_normal",Calibration!$B:$B,Calibration!$C:$C,22),
     TRUE,XLOOKUP("timeout_coarse_normal",Calibration!$B:$B,Calibration!$C:$C,36)
   ),
 TRUE,
   IFS(
     OR(C137="B",C137="D"),XLOOKUP("timeout_coarse_slow",Calibration!$B:$B,Calibration!$C:$C,48),
     OR(C137="E",C137="F",C137="H",C137="I"),XLOOKUP("timeout_jcc_slow",Calibration!$B:$B,Calibration!$C:$C,18),
     OR(C137="G",C137="J"),XLOOKUP("timeout_duochrome_slow",Calibration!$B:$B,Calibration!$C:$C,12),
     C137="K",XLOOKUP("timeout_bino_slow",Calibration!$B:$B,Calibration!$C:$C,18),
     OR(C137="P",C137="Q",C137="R"),XLOOKUP("timeout_near_slow",Calibration!$B:$B,Calibration!$C:$C,28),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AJ137=TRUE,"ESCALATE",
C137="A",
IF(OR(I137="NOT_READABLE",I137="BLURRY",AND(R137="20_20_20",I137="READABLE")),"B","A"),
C137="B",
IF(reEsc,"ESCALATE",IF(AY137&gt;=phaseMax,"ESCALATE",IF(AND(AV137&gt;=AW137,I137="READABLE"),"E","B"))),
C137="E",
IF(AY137&gt;=phaseMax,"ESCALATE",IF(OR(I137="SAME",I137="CANT_TELL",AD137&lt;axisTol),"F","E")),
C137="F",
IF(AY137&gt;=phaseMax,"ESCALATE",IF(AX137&gt;=powerSameN,"G","F")),
C137="G",
IF(AY137&gt;=phaseMax,"ESCALATE",IF(OR(AX137&gt;=duoEqualN,BB137&gt;=duoMax),"D","G")),
C137="D",
IF(leEsc,"ESCALATE",IF(AY137&gt;=phaseMax,"ESCALATE",IF(AND(AV137&gt;=AW137,I137="READABLE"),"H","D"))),
C137="H",
IF(AY137&gt;=phaseMax,"ESCALATE",IF(OR(I137="SAME",I137="CANT_TELL",AD137&lt;axisTol),"I","H")),
C137="I",
IF(AY137&gt;=phaseMax,"ESCALATE",IF(AX137&gt;=powerSameN,"J","I")),
C137="J",
IF(AY137&gt;=phaseMax,"ESCALATE",IF(OR(AX137&gt;=duoEqualN,BB137&gt;=duoMax),"K","J")),
C137="K",
IF(AY137&gt;=phaseMax,"ESCALATE",IF(AX137&gt;=binoSameN,IF(XLOOKUP($B137,Derived_Variables!$A:$A,Derived_Variables!$AJ:$AJ,FALSE)=TRUE,"P","END"),"K")),
C137="P",
IF(AY137&gt;=phaseMax,"ESCALATE",IF(OR(I137="READABLE",I137="SAME"),"Q","P")),
C137="Q",
IF(AY137&gt;=phaseMax,"ESCALATE",IF(OR(I137="READABLE",I137="SAME"),"R","Q")),
C137="R",
IF(AY137&gt;=phaseMax,"ESCALATE",IF(OR(I137=nearTarget,I137="SAME"),"END","R")),
TRUE,"END"
)))</f>
        <v/>
      </c>
      <c r="BD137" s="28" t="b">
        <f t="shared" si="19"/>
        <v>0</v>
      </c>
    </row>
    <row r="138" ht="15.75" customHeight="1">
      <c r="A138" s="28">
        <f t="shared" si="3"/>
        <v>137</v>
      </c>
      <c r="B138" s="28">
        <f t="shared" si="4"/>
        <v>6</v>
      </c>
      <c r="C138" s="28" t="str">
        <f t="shared" si="5"/>
        <v/>
      </c>
      <c r="D138" s="28" t="str">
        <f t="array" ref="D138">IF($I137="","",XLOOKUP(C138,FSM_State_Map!A:A,FSM_State_Map!B:B,""))</f>
        <v/>
      </c>
      <c r="E138" s="28" t="str">
        <f t="array" ref="E138">IF($I137="","",XLOOKUP(C138,FSM_State_Map!A:A,FSM_State_Map!C:C,""))</f>
        <v/>
      </c>
      <c r="F138" s="28" t="str">
        <f t="array" ref="F138">IF($I137="","",XLOOKUP(E138,Phase_UI_Map!A:A,Phase_UI_Map!B:B,""))</f>
        <v/>
      </c>
      <c r="G138" s="28" t="str">
        <f t="array" ref="G138">IF($I137="","",XLOOKUP(E138,Phase_UI_Map!A:A,Phase_UI_Map!C:C,""))</f>
        <v/>
      </c>
      <c r="H138" s="28" t="str">
        <f t="array" ref="H138">IF($I137="","",XLOOKUP(E138,Phase_UI_Map!A:A,Phase_UI_Map!D:D,""))</f>
        <v/>
      </c>
      <c r="I138" s="29"/>
      <c r="J138" s="28" t="str">
        <f>IFERROR(__xludf.DUMMYFUNCTION("IF($I137="""","""",IFERROR(INDEX(FILTER(Response_Lists!$B:$B,Response_Lists!$A:$A=$H138),1),""""))"),"")</f>
        <v/>
      </c>
      <c r="K138" s="28" t="str">
        <f>IFERROR(__xludf.DUMMYFUNCTION("IF($I137="""","""",IFERROR(INDEX(FILTER(Response_Lists!$B:$B,Response_Lists!$A:$A=$H138),2),""""))"),"")</f>
        <v/>
      </c>
      <c r="L138" s="28" t="str">
        <f>IFERROR(__xludf.DUMMYFUNCTION("IF($I137="""","""",IFERROR(INDEX(FILTER(Response_Lists!$B:$B,Response_Lists!$A:$A=$H138),3),""""))"),"")</f>
        <v/>
      </c>
      <c r="M138" s="28" t="str">
        <f>IFERROR(__xludf.DUMMYFUNCTION("IF($I137="""","""",IFERROR(INDEX(FILTER(Response_Lists!$B:$B,Response_Lists!$A:$A=$H138),4),""""))"),"")</f>
        <v/>
      </c>
      <c r="N138" s="28" t="str">
        <f>IFERROR(__xludf.DUMMYFUNCTION("IF($I137="""","""",IFERROR(INDEX(FILTER(Response_Lists!$B:$B,Response_Lists!$A:$A=$H138),5),""""))"),"")</f>
        <v/>
      </c>
      <c r="O138" s="28" t="str">
        <f>IFERROR(__xludf.DUMMYFUNCTION("IF($I137="""","""",IFERROR(INDEX(FILTER(Response_Lists!$B:$B,Response_Lists!$A:$A=$H138),6),""""))"),"")</f>
        <v/>
      </c>
      <c r="P138" s="28" t="str">
        <f t="shared" si="6"/>
        <v/>
      </c>
      <c r="Q138" s="28" t="str">
        <f t="array" ref="Q138">IF($I137="","",XLOOKUP(C138,FSM_State_Map!A:A,FSM_State_Map!D:D,""))</f>
        <v/>
      </c>
      <c r="R138" s="28" t="str">
        <f t="shared" si="7"/>
        <v/>
      </c>
      <c r="S138" s="28" t="str">
        <f t="array" ref="S138">IF($I137="","",
IF(
  AND(C138="B",C137&lt;&gt;"B"),
  XLOOKUP($B138,Derived_Variables!$A:$A,Derived_Variables!$K:$K,0)
  + XLOOKUP($B138,Derived_Variables!$A:$A,Derived_Variables!$AE:$AE,0),
  S137+AM137
))</f>
        <v/>
      </c>
      <c r="T138" s="28" t="str">
        <f t="shared" ref="T138:U138" si="286">IF($I137="","",T137+AN137)</f>
        <v/>
      </c>
      <c r="U138" s="28" t="str">
        <f t="shared" si="286"/>
        <v/>
      </c>
      <c r="V138" s="28" t="str">
        <f t="array" ref="V138">IF($I137="","",
IF(
  AND(C138="D",C137&lt;&gt;"D"),
  XLOOKUP($B138,Derived_Variables!$A:$A,Derived_Variables!$N:$N,0)
  + XLOOKUP($B138,Derived_Variables!$A:$A,Derived_Variables!$AE:$AE,0),
  V137+AP137
))</f>
        <v/>
      </c>
      <c r="W138" s="28" t="str">
        <f t="shared" ref="W138:X138" si="287">IF($I137="","",W137+AQ137)</f>
        <v/>
      </c>
      <c r="X138" s="28" t="str">
        <f t="shared" si="287"/>
        <v/>
      </c>
      <c r="Y138" s="28" t="str">
        <f t="array" ref="Y138">IF($I137="","",IF(AND(C138="P",C137&lt;&gt;"P"),IFERROR(XLOOKUP($B138,Lenso_Input!$A:$A,Lenso_Input!$E:$E,0),0),Y137+AS137))</f>
        <v/>
      </c>
      <c r="Z138" s="28" t="str">
        <f t="array" ref="Z138">IF($I137="","",IF(AND(C138="Q",C137&lt;&gt;"Q"),IFERROR(XLOOKUP($B138,Lenso_Input!$A:$A,Lenso_Input!$I:$I,0),0),Z137+AT137))</f>
        <v/>
      </c>
      <c r="AA138" s="28" t="str">
        <f t="array" ref="AA138">IF($I137="","",IF(XLOOKUP($B138,Derived_Variables!$A:$A,Derived_Variables!$R:$R,"6/6_target")="6/6_target","20_20_20","40_30_25"))</f>
        <v/>
      </c>
      <c r="AB138" s="28" t="str">
        <f t="array" ref="AB138">IF($I137="","",XLOOKUP(LOWER(XLOOKUP($B138,Derived_Variables!$A:$A,Derived_Variables!$T:$T,"Standard"))&amp;"_sph_step",Calibration!$B:$B,Calibration!$C:$C,0.25))</f>
        <v/>
      </c>
      <c r="AC138" s="28" t="str">
        <f t="array" ref="AC138">IF($I137="","",XLOOKUP(LOWER(XLOOKUP($B138,Derived_Variables!$A:$A,Derived_Variables!$T:$T,"Standard"))&amp;"_cyl_step",Calibration!$B:$B,Calibration!$C:$C,0.25))</f>
        <v/>
      </c>
      <c r="AD138" s="28" t="str">
        <f t="array" ref="AD138">IF($I137="","",IF(OR(C138="E",C138="H"),LET(startStep,XLOOKUP("axis_start_step",Calibration!$B:$B,Calibration!$C:$C,5),step1,XLOOKUP("axis_reversal_step_1",Calibration!$B:$B,Calibration!$C:$C,3),step2,XLOOKUP("axis_reversal_step_2",Calibration!$B:$B,Calibration!$C:$C,1),IF(OR(C137&lt;&gt;C138,AZ138="",AZ138="SAME",AZ138="CANT_TELL",I138="",I138="SAME",I138="CANT_TELL"),startStep,IF(OR(AND(AZ138="BETTER_1",I138="BETTER_2"),AND(AZ138="BETTER_2",I138="BETTER_1")),IF(AD137&gt;step1,step1,step2),AD137))),0))</f>
        <v/>
      </c>
      <c r="AE138" s="28" t="str">
        <f t="array" ref="AE138">IF($I137="","",XLOOKUP($B138,Derived_Variables!$A:$A,Derived_Variables!$AD:$AD,"No_Fog"))</f>
        <v/>
      </c>
      <c r="AF138" s="28" t="str">
        <f t="array" ref="AF138">IF($I137="","",XLOOKUP($B138,Derived_Variables!$A:$A,Derived_Variables!$AE:$AE,0))</f>
        <v/>
      </c>
      <c r="AG138" s="28" t="str">
        <f t="array" ref="AG138">IF($I137="","",XLOOKUP($B138,Derived_Variables!$A:$A,Derived_Variables!$AF:$AF,""))</f>
        <v/>
      </c>
      <c r="AH138" s="28" t="str">
        <f t="array" ref="AH138">IF($I137="","",XLOOKUP($B138,Derived_Variables!$A:$A,Derived_Variables!$AG:$AG,""))</f>
        <v/>
      </c>
      <c r="AI138" s="28" t="str">
        <f t="array" ref="AI138">IF($I137="","",XLOOKUP($B138,Derived_Variables!$A:$A,Derived_Variables!$AC:$AC,"Medium"))</f>
        <v/>
      </c>
      <c r="AJ138" s="28" t="str">
        <f t="array" ref="AJ138">IF($I137="","",XLOOKUP($B138,Derived_Variables!$A:$A,Derived_Variables!$Y:$Y,FALSE))</f>
        <v/>
      </c>
      <c r="AK138" s="28" t="str">
        <f t="array" ref="AK138">IF($I137="","",XLOOKUP($B138,Derived_Variables!$A:$A,Derived_Variables!$AA:$AA,"Normal"))</f>
        <v/>
      </c>
      <c r="AL138" s="28" t="str">
        <f t="array" ref="AL138">IF($I137="","",XLOOKUP($B138,Derived_Variables!$A:$A,Derived_Variables!$AB:$AB,"Normal"))</f>
        <v/>
      </c>
      <c r="AM138" s="28" t="str">
        <f t="array" ref="AM138">IF($I138="","",IFS(C138="B",IF(OR(I138="NOT_READABLE",I138="BLURRY"),-AB138,0),C138="G",IFS(I138="RED_CLEARER",XLOOKUP("duochrome_red_step",Calibration!$B:$B,Calibration!$C:$C,-0.25),I138="GREEN_CLEARER",XLOOKUP("duochrome_green_step",Calibration!$B:$B,Calibration!$C:$C,0.25),I138="EQUAL",IF(XLOOKUP($B138,Derived_Variables!$A:$A,Derived_Variables!$S:$S,"Neutral")="Undercorrect",XLOOKUP("undercorrect_step",Calibration!$B:$B,Calibration!$C:$C,0.25),IF(XLOOKUP($B138,Derived_Variables!$A:$A,Derived_Variables!$S:$S,"Neutral")="Overcorrect",-XLOOKUP("overcorrect_step",Calibration!$B:$B,Calibration!$C:$C,0.25),0)),TRUE,0),C138="K",IF(I138="TOP_CLEARER",XLOOKUP("bino_balance_step",Calibration!$B:$B,Calibration!$C:$C,0.25),0),TRUE,0))</f>
        <v/>
      </c>
      <c r="AN138" s="28" t="str">
        <f t="shared" si="10"/>
        <v/>
      </c>
      <c r="AO138" s="28" t="str">
        <f t="shared" si="11"/>
        <v/>
      </c>
      <c r="AP138" s="28" t="str">
        <f t="array" ref="AP138">IF($I138="","",IFS(C138="D",IF(OR(I138="NOT_READABLE",I138="BLURRY"),-AB138,0),C138="J",IFS(I138="RED_CLEARER",XLOOKUP("duochrome_red_step",Calibration!$B:$B,Calibration!$C:$C,-0.25),I138="GREEN_CLEARER",XLOOKUP("duochrome_green_step",Calibration!$B:$B,Calibration!$C:$C,0.25),I138="EQUAL",IF(XLOOKUP($B138,Derived_Variables!$A:$A,Derived_Variables!$S:$S,"Neutral")="Undercorrect",XLOOKUP("undercorrect_step",Calibration!$B:$B,Calibration!$C:$C,0.25),IF(XLOOKUP($B138,Derived_Variables!$A:$A,Derived_Variables!$S:$S,"Neutral")="Overcorrect",-XLOOKUP("overcorrect_step",Calibration!$B:$B,Calibration!$C:$C,0.25),0)),TRUE,0),C138="K",IF(I138="BOTTOM_CLEARER",XLOOKUP("bino_balance_step",Calibration!$B:$B,Calibration!$C:$C,0.25),0),TRUE,0))</f>
        <v/>
      </c>
      <c r="AQ138" s="28" t="str">
        <f t="shared" si="12"/>
        <v/>
      </c>
      <c r="AR138" s="28" t="str">
        <f t="shared" si="13"/>
        <v/>
      </c>
      <c r="AS138" s="28" t="str">
        <f t="array" ref="AS138">IF($I138="","",IF(C138="P",IF(OR(I138="NOT_READABLE",I138="BLURRY"),XLOOKUP("near_add_step",Calibration!$B:$B,Calibration!$C:$C,0.25),0),IF(C138="R",IF(I138="NOT_CLEAR",XLOOKUP("near_add_step",Calibration!$B:$B,Calibration!$C:$C,0.25),0),0)))</f>
        <v/>
      </c>
      <c r="AT138" s="28" t="str">
        <f t="array" ref="AT138">IF($I138="","",IF(C138="Q",IF(OR(I138="NOT_READABLE",I138="BLURRY"),XLOOKUP("near_add_step",Calibration!$B:$B,Calibration!$C:$C,0.25),0),IF(C138="R",IF(I138="NOT_CLEAR",XLOOKUP("near_add_step",Calibration!$B:$B,Calibration!$C:$C,0.25),0),0)))</f>
        <v/>
      </c>
      <c r="AU138" s="28" t="str">
        <f t="array" ref="AU138">IF($I138="","",IF(G138="SNELLEN_FEET",IF(I138="READABLE",IFERROR(XLOOKUP(XLOOKUP(R138,Chart_Scale_Distance!B:B,Chart_Scale_Distance!A:A)+1,Chart_Scale_Distance!A:A,Chart_Scale_Distance!B:B),R138),R138),R138))</f>
        <v/>
      </c>
      <c r="AV138" s="28" t="str">
        <f t="array" ref="AV138">IF($I137="","",IFERROR(XLOOKUP(R138,Chart_Scale_Distance!$B:$B,Chart_Scale_Distance!$A:$A,""),""))</f>
        <v/>
      </c>
      <c r="AW138" s="28" t="str">
        <f t="array" ref="AW138">IF($I137="","",IFERROR(XLOOKUP(AA138,Chart_Scale_Distance!$B:$B,Chart_Scale_Distance!$A:$A,""),""))</f>
        <v/>
      </c>
      <c r="AX138" s="28" t="str">
        <f t="shared" si="14"/>
        <v/>
      </c>
      <c r="AY138" s="28" t="str">
        <f t="shared" si="15"/>
        <v/>
      </c>
      <c r="AZ138" s="28" t="str">
        <f t="shared" si="16"/>
        <v/>
      </c>
      <c r="BA138" s="28" t="str">
        <f t="shared" si="17"/>
        <v/>
      </c>
      <c r="BB138" s="28" t="str">
        <f t="shared" si="18"/>
        <v/>
      </c>
      <c r="BC138" s="28" t="str">
        <f t="array" ref="BC138">IF($I138="","",LET(
conf,AI138,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duoMax,XLOOKUP($B138,Derived_Variables!$A:$A,Derived_Variables!$AI:$AI,4),
axisTol,XLOOKUP($B138,Derived_Variables!$A:$A,Derived_Variables!$W:$W,1),
maxStart,XLOOKUP($B138,Derived_Variables!$A:$A,Derived_Variables!$U:$U,1.25),
maxAR,XLOOKUP($B138,Derived_Variables!$A:$A,Derived_Variables!$V:$V,3),
anom,XLOOKUP($B138,Derived_Variables!$A:$A,Derived_Variables!$Z:$Z,FALSE),
reStart,XLOOKUP($B138,Derived_Variables!$A:$A,Derived_Variables!$K:$K,0),
leStart,XLOOKUP($B138,Derived_Variables!$A:$A,Derived_Variables!$N:$N,0),
reAR,XLOOKUP($B138,AR_Input!$A:$A,AR_Input!$B:$B,reStart),
leAR,XLOOKUP($B138,AR_Input!$A:$A,AR_Input!$E:$E,leStart),
reEsc,AND(anom,OR(ABS((S138+AM138)-reStart)&gt;maxStart,ABS((S138+AM138)-reAR)&gt;maxAR)),
leEsc,AND(anom,OR(ABS((V138+AP138)-leStart)&gt;maxStart,ABS((V138+AP138)-leAR)&gt;maxAR)),
phaseMax,IFS(
 AK138="Fast",
   IFS(
     OR(C138="B",C138="D"),XLOOKUP("timeout_coarse_fast",Calibration!$B:$B,Calibration!$C:$C,24),
     OR(C138="E",C138="F",C138="H",C138="I"),XLOOKUP("timeout_jcc_fast",Calibration!$B:$B,Calibration!$C:$C,10),
     OR(C138="G",C138="J"),XLOOKUP("timeout_duochrome_fast",Calibration!$B:$B,Calibration!$C:$C,8),
     C138="K",XLOOKUP("timeout_bino_fast",Calibration!$B:$B,Calibration!$C:$C,10),
     OR(C138="P",C138="Q",C138="R"),XLOOKUP("timeout_near_fast",Calibration!$B:$B,Calibration!$C:$C,16),
     TRUE,XLOOKUP("timeout_coarse_fast",Calibration!$B:$B,Calibration!$C:$C,24)
   ),
 AK138="Normal",
   IFS(
     OR(C138="B",C138="D"),XLOOKUP("timeout_coarse_normal",Calibration!$B:$B,Calibration!$C:$C,36),
     OR(C138="E",C138="F",C138="H",C138="I"),XLOOKUP("timeout_jcc_normal",Calibration!$B:$B,Calibration!$C:$C,14),
     OR(C138="G",C138="J"),XLOOKUP("timeout_duochrome_normal",Calibration!$B:$B,Calibration!$C:$C,10),
     C138="K",XLOOKUP("timeout_bino_normal",Calibration!$B:$B,Calibration!$C:$C,14),
     OR(C138="P",C138="Q",C138="R"),XLOOKUP("timeout_near_normal",Calibration!$B:$B,Calibration!$C:$C,22),
     TRUE,XLOOKUP("timeout_coarse_normal",Calibration!$B:$B,Calibration!$C:$C,36)
   ),
 TRUE,
   IFS(
     OR(C138="B",C138="D"),XLOOKUP("timeout_coarse_slow",Calibration!$B:$B,Calibration!$C:$C,48),
     OR(C138="E",C138="F",C138="H",C138="I"),XLOOKUP("timeout_jcc_slow",Calibration!$B:$B,Calibration!$C:$C,18),
     OR(C138="G",C138="J"),XLOOKUP("timeout_duochrome_slow",Calibration!$B:$B,Calibration!$C:$C,12),
     C138="K",XLOOKUP("timeout_bino_slow",Calibration!$B:$B,Calibration!$C:$C,18),
     OR(C138="P",C138="Q",C138="R"),XLOOKUP("timeout_near_slow",Calibration!$B:$B,Calibration!$C:$C,28),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AJ138=TRUE,"ESCALATE",
C138="A",
IF(OR(I138="NOT_READABLE",I138="BLURRY",AND(R138="20_20_20",I138="READABLE")),"B","A"),
C138="B",
IF(reEsc,"ESCALATE",IF(AY138&gt;=phaseMax,"ESCALATE",IF(AND(AV138&gt;=AW138,I138="READABLE"),"E","B"))),
C138="E",
IF(AY138&gt;=phaseMax,"ESCALATE",IF(OR(I138="SAME",I138="CANT_TELL",AD138&lt;axisTol),"F","E")),
C138="F",
IF(AY138&gt;=phaseMax,"ESCALATE",IF(AX138&gt;=powerSameN,"G","F")),
C138="G",
IF(AY138&gt;=phaseMax,"ESCALATE",IF(OR(AX138&gt;=duoEqualN,BB138&gt;=duoMax),"D","G")),
C138="D",
IF(leEsc,"ESCALATE",IF(AY138&gt;=phaseMax,"ESCALATE",IF(AND(AV138&gt;=AW138,I138="READABLE"),"H","D"))),
C138="H",
IF(AY138&gt;=phaseMax,"ESCALATE",IF(OR(I138="SAME",I138="CANT_TELL",AD138&lt;axisTol),"I","H")),
C138="I",
IF(AY138&gt;=phaseMax,"ESCALATE",IF(AX138&gt;=powerSameN,"J","I")),
C138="J",
IF(AY138&gt;=phaseMax,"ESCALATE",IF(OR(AX138&gt;=duoEqualN,BB138&gt;=duoMax),"K","J")),
C138="K",
IF(AY138&gt;=phaseMax,"ESCALATE",IF(AX138&gt;=binoSameN,IF(XLOOKUP($B138,Derived_Variables!$A:$A,Derived_Variables!$AJ:$AJ,FALSE)=TRUE,"P","END"),"K")),
C138="P",
IF(AY138&gt;=phaseMax,"ESCALATE",IF(OR(I138="READABLE",I138="SAME"),"Q","P")),
C138="Q",
IF(AY138&gt;=phaseMax,"ESCALATE",IF(OR(I138="READABLE",I138="SAME"),"R","Q")),
C138="R",
IF(AY138&gt;=phaseMax,"ESCALATE",IF(OR(I138=nearTarget,I138="SAME"),"END","R")),
TRUE,"END"
)))</f>
        <v/>
      </c>
      <c r="BD138" s="28" t="b">
        <f t="shared" si="19"/>
        <v>0</v>
      </c>
    </row>
    <row r="139" ht="15.75" customHeight="1">
      <c r="A139" s="28">
        <f t="shared" si="3"/>
        <v>138</v>
      </c>
      <c r="B139" s="28">
        <f t="shared" si="4"/>
        <v>6</v>
      </c>
      <c r="C139" s="28" t="str">
        <f t="shared" si="5"/>
        <v/>
      </c>
      <c r="D139" s="28" t="str">
        <f t="array" ref="D139">IF($I138="","",XLOOKUP(C139,FSM_State_Map!A:A,FSM_State_Map!B:B,""))</f>
        <v/>
      </c>
      <c r="E139" s="28" t="str">
        <f t="array" ref="E139">IF($I138="","",XLOOKUP(C139,FSM_State_Map!A:A,FSM_State_Map!C:C,""))</f>
        <v/>
      </c>
      <c r="F139" s="28" t="str">
        <f t="array" ref="F139">IF($I138="","",XLOOKUP(E139,Phase_UI_Map!A:A,Phase_UI_Map!B:B,""))</f>
        <v/>
      </c>
      <c r="G139" s="28" t="str">
        <f t="array" ref="G139">IF($I138="","",XLOOKUP(E139,Phase_UI_Map!A:A,Phase_UI_Map!C:C,""))</f>
        <v/>
      </c>
      <c r="H139" s="28" t="str">
        <f t="array" ref="H139">IF($I138="","",XLOOKUP(E139,Phase_UI_Map!A:A,Phase_UI_Map!D:D,""))</f>
        <v/>
      </c>
      <c r="I139" s="29"/>
      <c r="J139" s="28" t="str">
        <f>IFERROR(__xludf.DUMMYFUNCTION("IF($I138="""","""",IFERROR(INDEX(FILTER(Response_Lists!$B:$B,Response_Lists!$A:$A=$H139),1),""""))"),"")</f>
        <v/>
      </c>
      <c r="K139" s="28" t="str">
        <f>IFERROR(__xludf.DUMMYFUNCTION("IF($I138="""","""",IFERROR(INDEX(FILTER(Response_Lists!$B:$B,Response_Lists!$A:$A=$H139),2),""""))"),"")</f>
        <v/>
      </c>
      <c r="L139" s="28" t="str">
        <f>IFERROR(__xludf.DUMMYFUNCTION("IF($I138="""","""",IFERROR(INDEX(FILTER(Response_Lists!$B:$B,Response_Lists!$A:$A=$H139),3),""""))"),"")</f>
        <v/>
      </c>
      <c r="M139" s="28" t="str">
        <f>IFERROR(__xludf.DUMMYFUNCTION("IF($I138="""","""",IFERROR(INDEX(FILTER(Response_Lists!$B:$B,Response_Lists!$A:$A=$H139),4),""""))"),"")</f>
        <v/>
      </c>
      <c r="N139" s="28" t="str">
        <f>IFERROR(__xludf.DUMMYFUNCTION("IF($I138="""","""",IFERROR(INDEX(FILTER(Response_Lists!$B:$B,Response_Lists!$A:$A=$H139),5),""""))"),"")</f>
        <v/>
      </c>
      <c r="O139" s="28" t="str">
        <f>IFERROR(__xludf.DUMMYFUNCTION("IF($I138="""","""",IFERROR(INDEX(FILTER(Response_Lists!$B:$B,Response_Lists!$A:$A=$H139),6),""""))"),"")</f>
        <v/>
      </c>
      <c r="P139" s="28" t="str">
        <f t="shared" si="6"/>
        <v/>
      </c>
      <c r="Q139" s="28" t="str">
        <f t="array" ref="Q139">IF($I138="","",XLOOKUP(C139,FSM_State_Map!A:A,FSM_State_Map!D:D,""))</f>
        <v/>
      </c>
      <c r="R139" s="28" t="str">
        <f t="shared" si="7"/>
        <v/>
      </c>
      <c r="S139" s="28" t="str">
        <f t="array" ref="S139">IF($I138="","",
IF(
  AND(C139="B",C138&lt;&gt;"B"),
  XLOOKUP($B139,Derived_Variables!$A:$A,Derived_Variables!$K:$K,0)
  + XLOOKUP($B139,Derived_Variables!$A:$A,Derived_Variables!$AE:$AE,0),
  S138+AM138
))</f>
        <v/>
      </c>
      <c r="T139" s="28" t="str">
        <f t="shared" ref="T139:U139" si="288">IF($I138="","",T138+AN138)</f>
        <v/>
      </c>
      <c r="U139" s="28" t="str">
        <f t="shared" si="288"/>
        <v/>
      </c>
      <c r="V139" s="28" t="str">
        <f t="array" ref="V139">IF($I138="","",
IF(
  AND(C139="D",C138&lt;&gt;"D"),
  XLOOKUP($B139,Derived_Variables!$A:$A,Derived_Variables!$N:$N,0)
  + XLOOKUP($B139,Derived_Variables!$A:$A,Derived_Variables!$AE:$AE,0),
  V138+AP138
))</f>
        <v/>
      </c>
      <c r="W139" s="28" t="str">
        <f t="shared" ref="W139:X139" si="289">IF($I138="","",W138+AQ138)</f>
        <v/>
      </c>
      <c r="X139" s="28" t="str">
        <f t="shared" si="289"/>
        <v/>
      </c>
      <c r="Y139" s="28" t="str">
        <f t="array" ref="Y139">IF($I138="","",IF(AND(C139="P",C138&lt;&gt;"P"),IFERROR(XLOOKUP($B139,Lenso_Input!$A:$A,Lenso_Input!$E:$E,0),0),Y138+AS138))</f>
        <v/>
      </c>
      <c r="Z139" s="28" t="str">
        <f t="array" ref="Z139">IF($I138="","",IF(AND(C139="Q",C138&lt;&gt;"Q"),IFERROR(XLOOKUP($B139,Lenso_Input!$A:$A,Lenso_Input!$I:$I,0),0),Z138+AT138))</f>
        <v/>
      </c>
      <c r="AA139" s="28" t="str">
        <f t="array" ref="AA139">IF($I138="","",IF(XLOOKUP($B139,Derived_Variables!$A:$A,Derived_Variables!$R:$R,"6/6_target")="6/6_target","20_20_20","40_30_25"))</f>
        <v/>
      </c>
      <c r="AB139" s="28" t="str">
        <f t="array" ref="AB139">IF($I138="","",XLOOKUP(LOWER(XLOOKUP($B139,Derived_Variables!$A:$A,Derived_Variables!$T:$T,"Standard"))&amp;"_sph_step",Calibration!$B:$B,Calibration!$C:$C,0.25))</f>
        <v/>
      </c>
      <c r="AC139" s="28" t="str">
        <f t="array" ref="AC139">IF($I138="","",XLOOKUP(LOWER(XLOOKUP($B139,Derived_Variables!$A:$A,Derived_Variables!$T:$T,"Standard"))&amp;"_cyl_step",Calibration!$B:$B,Calibration!$C:$C,0.25))</f>
        <v/>
      </c>
      <c r="AD139" s="28" t="str">
        <f t="array" ref="AD139">IF($I138="","",IF(OR(C139="E",C139="H"),LET(startStep,XLOOKUP("axis_start_step",Calibration!$B:$B,Calibration!$C:$C,5),step1,XLOOKUP("axis_reversal_step_1",Calibration!$B:$B,Calibration!$C:$C,3),step2,XLOOKUP("axis_reversal_step_2",Calibration!$B:$B,Calibration!$C:$C,1),IF(OR(C138&lt;&gt;C139,AZ139="",AZ139="SAME",AZ139="CANT_TELL",I139="",I139="SAME",I139="CANT_TELL"),startStep,IF(OR(AND(AZ139="BETTER_1",I139="BETTER_2"),AND(AZ139="BETTER_2",I139="BETTER_1")),IF(AD138&gt;step1,step1,step2),AD138))),0))</f>
        <v/>
      </c>
      <c r="AE139" s="28" t="str">
        <f t="array" ref="AE139">IF($I138="","",XLOOKUP($B139,Derived_Variables!$A:$A,Derived_Variables!$AD:$AD,"No_Fog"))</f>
        <v/>
      </c>
      <c r="AF139" s="28" t="str">
        <f t="array" ref="AF139">IF($I138="","",XLOOKUP($B139,Derived_Variables!$A:$A,Derived_Variables!$AE:$AE,0))</f>
        <v/>
      </c>
      <c r="AG139" s="28" t="str">
        <f t="array" ref="AG139">IF($I138="","",XLOOKUP($B139,Derived_Variables!$A:$A,Derived_Variables!$AF:$AF,""))</f>
        <v/>
      </c>
      <c r="AH139" s="28" t="str">
        <f t="array" ref="AH139">IF($I138="","",XLOOKUP($B139,Derived_Variables!$A:$A,Derived_Variables!$AG:$AG,""))</f>
        <v/>
      </c>
      <c r="AI139" s="28" t="str">
        <f t="array" ref="AI139">IF($I138="","",XLOOKUP($B139,Derived_Variables!$A:$A,Derived_Variables!$AC:$AC,"Medium"))</f>
        <v/>
      </c>
      <c r="AJ139" s="28" t="str">
        <f t="array" ref="AJ139">IF($I138="","",XLOOKUP($B139,Derived_Variables!$A:$A,Derived_Variables!$Y:$Y,FALSE))</f>
        <v/>
      </c>
      <c r="AK139" s="28" t="str">
        <f t="array" ref="AK139">IF($I138="","",XLOOKUP($B139,Derived_Variables!$A:$A,Derived_Variables!$AA:$AA,"Normal"))</f>
        <v/>
      </c>
      <c r="AL139" s="28" t="str">
        <f t="array" ref="AL139">IF($I138="","",XLOOKUP($B139,Derived_Variables!$A:$A,Derived_Variables!$AB:$AB,"Normal"))</f>
        <v/>
      </c>
      <c r="AM139" s="28" t="str">
        <f t="array" ref="AM139">IF($I139="","",IFS(C139="B",IF(OR(I139="NOT_READABLE",I139="BLURRY"),-AB139,0),C139="G",IFS(I139="RED_CLEARER",XLOOKUP("duochrome_red_step",Calibration!$B:$B,Calibration!$C:$C,-0.25),I139="GREEN_CLEARER",XLOOKUP("duochrome_green_step",Calibration!$B:$B,Calibration!$C:$C,0.25),I139="EQUAL",IF(XLOOKUP($B139,Derived_Variables!$A:$A,Derived_Variables!$S:$S,"Neutral")="Undercorrect",XLOOKUP("undercorrect_step",Calibration!$B:$B,Calibration!$C:$C,0.25),IF(XLOOKUP($B139,Derived_Variables!$A:$A,Derived_Variables!$S:$S,"Neutral")="Overcorrect",-XLOOKUP("overcorrect_step",Calibration!$B:$B,Calibration!$C:$C,0.25),0)),TRUE,0),C139="K",IF(I139="TOP_CLEARER",XLOOKUP("bino_balance_step",Calibration!$B:$B,Calibration!$C:$C,0.25),0),TRUE,0))</f>
        <v/>
      </c>
      <c r="AN139" s="28" t="str">
        <f t="shared" si="10"/>
        <v/>
      </c>
      <c r="AO139" s="28" t="str">
        <f t="shared" si="11"/>
        <v/>
      </c>
      <c r="AP139" s="28" t="str">
        <f t="array" ref="AP139">IF($I139="","",IFS(C139="D",IF(OR(I139="NOT_READABLE",I139="BLURRY"),-AB139,0),C139="J",IFS(I139="RED_CLEARER",XLOOKUP("duochrome_red_step",Calibration!$B:$B,Calibration!$C:$C,-0.25),I139="GREEN_CLEARER",XLOOKUP("duochrome_green_step",Calibration!$B:$B,Calibration!$C:$C,0.25),I139="EQUAL",IF(XLOOKUP($B139,Derived_Variables!$A:$A,Derived_Variables!$S:$S,"Neutral")="Undercorrect",XLOOKUP("undercorrect_step",Calibration!$B:$B,Calibration!$C:$C,0.25),IF(XLOOKUP($B139,Derived_Variables!$A:$A,Derived_Variables!$S:$S,"Neutral")="Overcorrect",-XLOOKUP("overcorrect_step",Calibration!$B:$B,Calibration!$C:$C,0.25),0)),TRUE,0),C139="K",IF(I139="BOTTOM_CLEARER",XLOOKUP("bino_balance_step",Calibration!$B:$B,Calibration!$C:$C,0.25),0),TRUE,0))</f>
        <v/>
      </c>
      <c r="AQ139" s="28" t="str">
        <f t="shared" si="12"/>
        <v/>
      </c>
      <c r="AR139" s="28" t="str">
        <f t="shared" si="13"/>
        <v/>
      </c>
      <c r="AS139" s="28" t="str">
        <f t="array" ref="AS139">IF($I139="","",IF(C139="P",IF(OR(I139="NOT_READABLE",I139="BLURRY"),XLOOKUP("near_add_step",Calibration!$B:$B,Calibration!$C:$C,0.25),0),IF(C139="R",IF(I139="NOT_CLEAR",XLOOKUP("near_add_step",Calibration!$B:$B,Calibration!$C:$C,0.25),0),0)))</f>
        <v/>
      </c>
      <c r="AT139" s="28" t="str">
        <f t="array" ref="AT139">IF($I139="","",IF(C139="Q",IF(OR(I139="NOT_READABLE",I139="BLURRY"),XLOOKUP("near_add_step",Calibration!$B:$B,Calibration!$C:$C,0.25),0),IF(C139="R",IF(I139="NOT_CLEAR",XLOOKUP("near_add_step",Calibration!$B:$B,Calibration!$C:$C,0.25),0),0)))</f>
        <v/>
      </c>
      <c r="AU139" s="28" t="str">
        <f t="array" ref="AU139">IF($I139="","",IF(G139="SNELLEN_FEET",IF(I139="READABLE",IFERROR(XLOOKUP(XLOOKUP(R139,Chart_Scale_Distance!B:B,Chart_Scale_Distance!A:A)+1,Chart_Scale_Distance!A:A,Chart_Scale_Distance!B:B),R139),R139),R139))</f>
        <v/>
      </c>
      <c r="AV139" s="28" t="str">
        <f t="array" ref="AV139">IF($I138="","",IFERROR(XLOOKUP(R139,Chart_Scale_Distance!$B:$B,Chart_Scale_Distance!$A:$A,""),""))</f>
        <v/>
      </c>
      <c r="AW139" s="28" t="str">
        <f t="array" ref="AW139">IF($I138="","",IFERROR(XLOOKUP(AA139,Chart_Scale_Distance!$B:$B,Chart_Scale_Distance!$A:$A,""),""))</f>
        <v/>
      </c>
      <c r="AX139" s="28" t="str">
        <f t="shared" si="14"/>
        <v/>
      </c>
      <c r="AY139" s="28" t="str">
        <f t="shared" si="15"/>
        <v/>
      </c>
      <c r="AZ139" s="28" t="str">
        <f t="shared" si="16"/>
        <v/>
      </c>
      <c r="BA139" s="28" t="str">
        <f t="shared" si="17"/>
        <v/>
      </c>
      <c r="BB139" s="28" t="str">
        <f t="shared" si="18"/>
        <v/>
      </c>
      <c r="BC139" s="28" t="str">
        <f t="array" ref="BC139">IF($I139="","",LET(
conf,AI139,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duoMax,XLOOKUP($B139,Derived_Variables!$A:$A,Derived_Variables!$AI:$AI,4),
axisTol,XLOOKUP($B139,Derived_Variables!$A:$A,Derived_Variables!$W:$W,1),
maxStart,XLOOKUP($B139,Derived_Variables!$A:$A,Derived_Variables!$U:$U,1.25),
maxAR,XLOOKUP($B139,Derived_Variables!$A:$A,Derived_Variables!$V:$V,3),
anom,XLOOKUP($B139,Derived_Variables!$A:$A,Derived_Variables!$Z:$Z,FALSE),
reStart,XLOOKUP($B139,Derived_Variables!$A:$A,Derived_Variables!$K:$K,0),
leStart,XLOOKUP($B139,Derived_Variables!$A:$A,Derived_Variables!$N:$N,0),
reAR,XLOOKUP($B139,AR_Input!$A:$A,AR_Input!$B:$B,reStart),
leAR,XLOOKUP($B139,AR_Input!$A:$A,AR_Input!$E:$E,leStart),
reEsc,AND(anom,OR(ABS((S139+AM139)-reStart)&gt;maxStart,ABS((S139+AM139)-reAR)&gt;maxAR)),
leEsc,AND(anom,OR(ABS((V139+AP139)-leStart)&gt;maxStart,ABS((V139+AP139)-leAR)&gt;maxAR)),
phaseMax,IFS(
 AK139="Fast",
   IFS(
     OR(C139="B",C139="D"),XLOOKUP("timeout_coarse_fast",Calibration!$B:$B,Calibration!$C:$C,24),
     OR(C139="E",C139="F",C139="H",C139="I"),XLOOKUP("timeout_jcc_fast",Calibration!$B:$B,Calibration!$C:$C,10),
     OR(C139="G",C139="J"),XLOOKUP("timeout_duochrome_fast",Calibration!$B:$B,Calibration!$C:$C,8),
     C139="K",XLOOKUP("timeout_bino_fast",Calibration!$B:$B,Calibration!$C:$C,10),
     OR(C139="P",C139="Q",C139="R"),XLOOKUP("timeout_near_fast",Calibration!$B:$B,Calibration!$C:$C,16),
     TRUE,XLOOKUP("timeout_coarse_fast",Calibration!$B:$B,Calibration!$C:$C,24)
   ),
 AK139="Normal",
   IFS(
     OR(C139="B",C139="D"),XLOOKUP("timeout_coarse_normal",Calibration!$B:$B,Calibration!$C:$C,36),
     OR(C139="E",C139="F",C139="H",C139="I"),XLOOKUP("timeout_jcc_normal",Calibration!$B:$B,Calibration!$C:$C,14),
     OR(C139="G",C139="J"),XLOOKUP("timeout_duochrome_normal",Calibration!$B:$B,Calibration!$C:$C,10),
     C139="K",XLOOKUP("timeout_bino_normal",Calibration!$B:$B,Calibration!$C:$C,14),
     OR(C139="P",C139="Q",C139="R"),XLOOKUP("timeout_near_normal",Calibration!$B:$B,Calibration!$C:$C,22),
     TRUE,XLOOKUP("timeout_coarse_normal",Calibration!$B:$B,Calibration!$C:$C,36)
   ),
 TRUE,
   IFS(
     OR(C139="B",C139="D"),XLOOKUP("timeout_coarse_slow",Calibration!$B:$B,Calibration!$C:$C,48),
     OR(C139="E",C139="F",C139="H",C139="I"),XLOOKUP("timeout_jcc_slow",Calibration!$B:$B,Calibration!$C:$C,18),
     OR(C139="G",C139="J"),XLOOKUP("timeout_duochrome_slow",Calibration!$B:$B,Calibration!$C:$C,12),
     C139="K",XLOOKUP("timeout_bino_slow",Calibration!$B:$B,Calibration!$C:$C,18),
     OR(C139="P",C139="Q",C139="R"),XLOOKUP("timeout_near_slow",Calibration!$B:$B,Calibration!$C:$C,28),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AJ139=TRUE,"ESCALATE",
C139="A",
IF(OR(I139="NOT_READABLE",I139="BLURRY",AND(R139="20_20_20",I139="READABLE")),"B","A"),
C139="B",
IF(reEsc,"ESCALATE",IF(AY139&gt;=phaseMax,"ESCALATE",IF(AND(AV139&gt;=AW139,I139="READABLE"),"E","B"))),
C139="E",
IF(AY139&gt;=phaseMax,"ESCALATE",IF(OR(I139="SAME",I139="CANT_TELL",AD139&lt;axisTol),"F","E")),
C139="F",
IF(AY139&gt;=phaseMax,"ESCALATE",IF(AX139&gt;=powerSameN,"G","F")),
C139="G",
IF(AY139&gt;=phaseMax,"ESCALATE",IF(OR(AX139&gt;=duoEqualN,BB139&gt;=duoMax),"D","G")),
C139="D",
IF(leEsc,"ESCALATE",IF(AY139&gt;=phaseMax,"ESCALATE",IF(AND(AV139&gt;=AW139,I139="READABLE"),"H","D"))),
C139="H",
IF(AY139&gt;=phaseMax,"ESCALATE",IF(OR(I139="SAME",I139="CANT_TELL",AD139&lt;axisTol),"I","H")),
C139="I",
IF(AY139&gt;=phaseMax,"ESCALATE",IF(AX139&gt;=powerSameN,"J","I")),
C139="J",
IF(AY139&gt;=phaseMax,"ESCALATE",IF(OR(AX139&gt;=duoEqualN,BB139&gt;=duoMax),"K","J")),
C139="K",
IF(AY139&gt;=phaseMax,"ESCALATE",IF(AX139&gt;=binoSameN,IF(XLOOKUP($B139,Derived_Variables!$A:$A,Derived_Variables!$AJ:$AJ,FALSE)=TRUE,"P","END"),"K")),
C139="P",
IF(AY139&gt;=phaseMax,"ESCALATE",IF(OR(I139="READABLE",I139="SAME"),"Q","P")),
C139="Q",
IF(AY139&gt;=phaseMax,"ESCALATE",IF(OR(I139="READABLE",I139="SAME"),"R","Q")),
C139="R",
IF(AY139&gt;=phaseMax,"ESCALATE",IF(OR(I139=nearTarget,I139="SAME"),"END","R")),
TRUE,"END"
)))</f>
        <v/>
      </c>
      <c r="BD139" s="28" t="b">
        <f t="shared" si="19"/>
        <v>0</v>
      </c>
    </row>
    <row r="140" ht="15.75" customHeight="1">
      <c r="A140" s="28">
        <f t="shared" si="3"/>
        <v>139</v>
      </c>
      <c r="B140" s="28">
        <f t="shared" si="4"/>
        <v>6</v>
      </c>
      <c r="C140" s="28" t="str">
        <f t="shared" si="5"/>
        <v/>
      </c>
      <c r="D140" s="28" t="str">
        <f t="array" ref="D140">IF($I139="","",XLOOKUP(C140,FSM_State_Map!A:A,FSM_State_Map!B:B,""))</f>
        <v/>
      </c>
      <c r="E140" s="28" t="str">
        <f t="array" ref="E140">IF($I139="","",XLOOKUP(C140,FSM_State_Map!A:A,FSM_State_Map!C:C,""))</f>
        <v/>
      </c>
      <c r="F140" s="28" t="str">
        <f t="array" ref="F140">IF($I139="","",XLOOKUP(E140,Phase_UI_Map!A:A,Phase_UI_Map!B:B,""))</f>
        <v/>
      </c>
      <c r="G140" s="28" t="str">
        <f t="array" ref="G140">IF($I139="","",XLOOKUP(E140,Phase_UI_Map!A:A,Phase_UI_Map!C:C,""))</f>
        <v/>
      </c>
      <c r="H140" s="28" t="str">
        <f t="array" ref="H140">IF($I139="","",XLOOKUP(E140,Phase_UI_Map!A:A,Phase_UI_Map!D:D,""))</f>
        <v/>
      </c>
      <c r="I140" s="29"/>
      <c r="J140" s="28" t="str">
        <f>IFERROR(__xludf.DUMMYFUNCTION("IF($I139="""","""",IFERROR(INDEX(FILTER(Response_Lists!$B:$B,Response_Lists!$A:$A=$H140),1),""""))"),"")</f>
        <v/>
      </c>
      <c r="K140" s="28" t="str">
        <f>IFERROR(__xludf.DUMMYFUNCTION("IF($I139="""","""",IFERROR(INDEX(FILTER(Response_Lists!$B:$B,Response_Lists!$A:$A=$H140),2),""""))"),"")</f>
        <v/>
      </c>
      <c r="L140" s="28" t="str">
        <f>IFERROR(__xludf.DUMMYFUNCTION("IF($I139="""","""",IFERROR(INDEX(FILTER(Response_Lists!$B:$B,Response_Lists!$A:$A=$H140),3),""""))"),"")</f>
        <v/>
      </c>
      <c r="M140" s="28" t="str">
        <f>IFERROR(__xludf.DUMMYFUNCTION("IF($I139="""","""",IFERROR(INDEX(FILTER(Response_Lists!$B:$B,Response_Lists!$A:$A=$H140),4),""""))"),"")</f>
        <v/>
      </c>
      <c r="N140" s="28" t="str">
        <f>IFERROR(__xludf.DUMMYFUNCTION("IF($I139="""","""",IFERROR(INDEX(FILTER(Response_Lists!$B:$B,Response_Lists!$A:$A=$H140),5),""""))"),"")</f>
        <v/>
      </c>
      <c r="O140" s="28" t="str">
        <f>IFERROR(__xludf.DUMMYFUNCTION("IF($I139="""","""",IFERROR(INDEX(FILTER(Response_Lists!$B:$B,Response_Lists!$A:$A=$H140),6),""""))"),"")</f>
        <v/>
      </c>
      <c r="P140" s="28" t="str">
        <f t="shared" si="6"/>
        <v/>
      </c>
      <c r="Q140" s="28" t="str">
        <f t="array" ref="Q140">IF($I139="","",XLOOKUP(C140,FSM_State_Map!A:A,FSM_State_Map!D:D,""))</f>
        <v/>
      </c>
      <c r="R140" s="28" t="str">
        <f t="shared" si="7"/>
        <v/>
      </c>
      <c r="S140" s="28" t="str">
        <f t="array" ref="S140">IF($I139="","",
IF(
  AND(C140="B",C139&lt;&gt;"B"),
  XLOOKUP($B140,Derived_Variables!$A:$A,Derived_Variables!$K:$K,0)
  + XLOOKUP($B140,Derived_Variables!$A:$A,Derived_Variables!$AE:$AE,0),
  S139+AM139
))</f>
        <v/>
      </c>
      <c r="T140" s="28" t="str">
        <f t="shared" ref="T140:U140" si="290">IF($I139="","",T139+AN139)</f>
        <v/>
      </c>
      <c r="U140" s="28" t="str">
        <f t="shared" si="290"/>
        <v/>
      </c>
      <c r="V140" s="28" t="str">
        <f t="array" ref="V140">IF($I139="","",
IF(
  AND(C140="D",C139&lt;&gt;"D"),
  XLOOKUP($B140,Derived_Variables!$A:$A,Derived_Variables!$N:$N,0)
  + XLOOKUP($B140,Derived_Variables!$A:$A,Derived_Variables!$AE:$AE,0),
  V139+AP139
))</f>
        <v/>
      </c>
      <c r="W140" s="28" t="str">
        <f t="shared" ref="W140:X140" si="291">IF($I139="","",W139+AQ139)</f>
        <v/>
      </c>
      <c r="X140" s="28" t="str">
        <f t="shared" si="291"/>
        <v/>
      </c>
      <c r="Y140" s="28" t="str">
        <f t="array" ref="Y140">IF($I139="","",IF(AND(C140="P",C139&lt;&gt;"P"),IFERROR(XLOOKUP($B140,Lenso_Input!$A:$A,Lenso_Input!$E:$E,0),0),Y139+AS139))</f>
        <v/>
      </c>
      <c r="Z140" s="28" t="str">
        <f t="array" ref="Z140">IF($I139="","",IF(AND(C140="Q",C139&lt;&gt;"Q"),IFERROR(XLOOKUP($B140,Lenso_Input!$A:$A,Lenso_Input!$I:$I,0),0),Z139+AT139))</f>
        <v/>
      </c>
      <c r="AA140" s="28" t="str">
        <f t="array" ref="AA140">IF($I139="","",IF(XLOOKUP($B140,Derived_Variables!$A:$A,Derived_Variables!$R:$R,"6/6_target")="6/6_target","20_20_20","40_30_25"))</f>
        <v/>
      </c>
      <c r="AB140" s="28" t="str">
        <f t="array" ref="AB140">IF($I139="","",XLOOKUP(LOWER(XLOOKUP($B140,Derived_Variables!$A:$A,Derived_Variables!$T:$T,"Standard"))&amp;"_sph_step",Calibration!$B:$B,Calibration!$C:$C,0.25))</f>
        <v/>
      </c>
      <c r="AC140" s="28" t="str">
        <f t="array" ref="AC140">IF($I139="","",XLOOKUP(LOWER(XLOOKUP($B140,Derived_Variables!$A:$A,Derived_Variables!$T:$T,"Standard"))&amp;"_cyl_step",Calibration!$B:$B,Calibration!$C:$C,0.25))</f>
        <v/>
      </c>
      <c r="AD140" s="28" t="str">
        <f t="array" ref="AD140">IF($I139="","",IF(OR(C140="E",C140="H"),LET(startStep,XLOOKUP("axis_start_step",Calibration!$B:$B,Calibration!$C:$C,5),step1,XLOOKUP("axis_reversal_step_1",Calibration!$B:$B,Calibration!$C:$C,3),step2,XLOOKUP("axis_reversal_step_2",Calibration!$B:$B,Calibration!$C:$C,1),IF(OR(C139&lt;&gt;C140,AZ140="",AZ140="SAME",AZ140="CANT_TELL",I140="",I140="SAME",I140="CANT_TELL"),startStep,IF(OR(AND(AZ140="BETTER_1",I140="BETTER_2"),AND(AZ140="BETTER_2",I140="BETTER_1")),IF(AD139&gt;step1,step1,step2),AD139))),0))</f>
        <v/>
      </c>
      <c r="AE140" s="28" t="str">
        <f t="array" ref="AE140">IF($I139="","",XLOOKUP($B140,Derived_Variables!$A:$A,Derived_Variables!$AD:$AD,"No_Fog"))</f>
        <v/>
      </c>
      <c r="AF140" s="28" t="str">
        <f t="array" ref="AF140">IF($I139="","",XLOOKUP($B140,Derived_Variables!$A:$A,Derived_Variables!$AE:$AE,0))</f>
        <v/>
      </c>
      <c r="AG140" s="28" t="str">
        <f t="array" ref="AG140">IF($I139="","",XLOOKUP($B140,Derived_Variables!$A:$A,Derived_Variables!$AF:$AF,""))</f>
        <v/>
      </c>
      <c r="AH140" s="28" t="str">
        <f t="array" ref="AH140">IF($I139="","",XLOOKUP($B140,Derived_Variables!$A:$A,Derived_Variables!$AG:$AG,""))</f>
        <v/>
      </c>
      <c r="AI140" s="28" t="str">
        <f t="array" ref="AI140">IF($I139="","",XLOOKUP($B140,Derived_Variables!$A:$A,Derived_Variables!$AC:$AC,"Medium"))</f>
        <v/>
      </c>
      <c r="AJ140" s="28" t="str">
        <f t="array" ref="AJ140">IF($I139="","",XLOOKUP($B140,Derived_Variables!$A:$A,Derived_Variables!$Y:$Y,FALSE))</f>
        <v/>
      </c>
      <c r="AK140" s="28" t="str">
        <f t="array" ref="AK140">IF($I139="","",XLOOKUP($B140,Derived_Variables!$A:$A,Derived_Variables!$AA:$AA,"Normal"))</f>
        <v/>
      </c>
      <c r="AL140" s="28" t="str">
        <f t="array" ref="AL140">IF($I139="","",XLOOKUP($B140,Derived_Variables!$A:$A,Derived_Variables!$AB:$AB,"Normal"))</f>
        <v/>
      </c>
      <c r="AM140" s="28" t="str">
        <f t="array" ref="AM140">IF($I140="","",IFS(C140="B",IF(OR(I140="NOT_READABLE",I140="BLURRY"),-AB140,0),C140="G",IFS(I140="RED_CLEARER",XLOOKUP("duochrome_red_step",Calibration!$B:$B,Calibration!$C:$C,-0.25),I140="GREEN_CLEARER",XLOOKUP("duochrome_green_step",Calibration!$B:$B,Calibration!$C:$C,0.25),I140="EQUAL",IF(XLOOKUP($B140,Derived_Variables!$A:$A,Derived_Variables!$S:$S,"Neutral")="Undercorrect",XLOOKUP("undercorrect_step",Calibration!$B:$B,Calibration!$C:$C,0.25),IF(XLOOKUP($B140,Derived_Variables!$A:$A,Derived_Variables!$S:$S,"Neutral")="Overcorrect",-XLOOKUP("overcorrect_step",Calibration!$B:$B,Calibration!$C:$C,0.25),0)),TRUE,0),C140="K",IF(I140="TOP_CLEARER",XLOOKUP("bino_balance_step",Calibration!$B:$B,Calibration!$C:$C,0.25),0),TRUE,0))</f>
        <v/>
      </c>
      <c r="AN140" s="28" t="str">
        <f t="shared" si="10"/>
        <v/>
      </c>
      <c r="AO140" s="28" t="str">
        <f t="shared" si="11"/>
        <v/>
      </c>
      <c r="AP140" s="28" t="str">
        <f t="array" ref="AP140">IF($I140="","",IFS(C140="D",IF(OR(I140="NOT_READABLE",I140="BLURRY"),-AB140,0),C140="J",IFS(I140="RED_CLEARER",XLOOKUP("duochrome_red_step",Calibration!$B:$B,Calibration!$C:$C,-0.25),I140="GREEN_CLEARER",XLOOKUP("duochrome_green_step",Calibration!$B:$B,Calibration!$C:$C,0.25),I140="EQUAL",IF(XLOOKUP($B140,Derived_Variables!$A:$A,Derived_Variables!$S:$S,"Neutral")="Undercorrect",XLOOKUP("undercorrect_step",Calibration!$B:$B,Calibration!$C:$C,0.25),IF(XLOOKUP($B140,Derived_Variables!$A:$A,Derived_Variables!$S:$S,"Neutral")="Overcorrect",-XLOOKUP("overcorrect_step",Calibration!$B:$B,Calibration!$C:$C,0.25),0)),TRUE,0),C140="K",IF(I140="BOTTOM_CLEARER",XLOOKUP("bino_balance_step",Calibration!$B:$B,Calibration!$C:$C,0.25),0),TRUE,0))</f>
        <v/>
      </c>
      <c r="AQ140" s="28" t="str">
        <f t="shared" si="12"/>
        <v/>
      </c>
      <c r="AR140" s="28" t="str">
        <f t="shared" si="13"/>
        <v/>
      </c>
      <c r="AS140" s="28" t="str">
        <f t="array" ref="AS140">IF($I140="","",IF(C140="P",IF(OR(I140="NOT_READABLE",I140="BLURRY"),XLOOKUP("near_add_step",Calibration!$B:$B,Calibration!$C:$C,0.25),0),IF(C140="R",IF(I140="NOT_CLEAR",XLOOKUP("near_add_step",Calibration!$B:$B,Calibration!$C:$C,0.25),0),0)))</f>
        <v/>
      </c>
      <c r="AT140" s="28" t="str">
        <f t="array" ref="AT140">IF($I140="","",IF(C140="Q",IF(OR(I140="NOT_READABLE",I140="BLURRY"),XLOOKUP("near_add_step",Calibration!$B:$B,Calibration!$C:$C,0.25),0),IF(C140="R",IF(I140="NOT_CLEAR",XLOOKUP("near_add_step",Calibration!$B:$B,Calibration!$C:$C,0.25),0),0)))</f>
        <v/>
      </c>
      <c r="AU140" s="28" t="str">
        <f t="array" ref="AU140">IF($I140="","",IF(G140="SNELLEN_FEET",IF(I140="READABLE",IFERROR(XLOOKUP(XLOOKUP(R140,Chart_Scale_Distance!B:B,Chart_Scale_Distance!A:A)+1,Chart_Scale_Distance!A:A,Chart_Scale_Distance!B:B),R140),R140),R140))</f>
        <v/>
      </c>
      <c r="AV140" s="28" t="str">
        <f t="array" ref="AV140">IF($I139="","",IFERROR(XLOOKUP(R140,Chart_Scale_Distance!$B:$B,Chart_Scale_Distance!$A:$A,""),""))</f>
        <v/>
      </c>
      <c r="AW140" s="28" t="str">
        <f t="array" ref="AW140">IF($I139="","",IFERROR(XLOOKUP(AA140,Chart_Scale_Distance!$B:$B,Chart_Scale_Distance!$A:$A,""),""))</f>
        <v/>
      </c>
      <c r="AX140" s="28" t="str">
        <f t="shared" si="14"/>
        <v/>
      </c>
      <c r="AY140" s="28" t="str">
        <f t="shared" si="15"/>
        <v/>
      </c>
      <c r="AZ140" s="28" t="str">
        <f t="shared" si="16"/>
        <v/>
      </c>
      <c r="BA140" s="28" t="str">
        <f t="shared" si="17"/>
        <v/>
      </c>
      <c r="BB140" s="28" t="str">
        <f t="shared" si="18"/>
        <v/>
      </c>
      <c r="BC140" s="28" t="str">
        <f t="array" ref="BC140">IF($I140="","",LET(
conf,AI140,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duoMax,XLOOKUP($B140,Derived_Variables!$A:$A,Derived_Variables!$AI:$AI,4),
axisTol,XLOOKUP($B140,Derived_Variables!$A:$A,Derived_Variables!$W:$W,1),
maxStart,XLOOKUP($B140,Derived_Variables!$A:$A,Derived_Variables!$U:$U,1.25),
maxAR,XLOOKUP($B140,Derived_Variables!$A:$A,Derived_Variables!$V:$V,3),
anom,XLOOKUP($B140,Derived_Variables!$A:$A,Derived_Variables!$Z:$Z,FALSE),
reStart,XLOOKUP($B140,Derived_Variables!$A:$A,Derived_Variables!$K:$K,0),
leStart,XLOOKUP($B140,Derived_Variables!$A:$A,Derived_Variables!$N:$N,0),
reAR,XLOOKUP($B140,AR_Input!$A:$A,AR_Input!$B:$B,reStart),
leAR,XLOOKUP($B140,AR_Input!$A:$A,AR_Input!$E:$E,leStart),
reEsc,AND(anom,OR(ABS((S140+AM140)-reStart)&gt;maxStart,ABS((S140+AM140)-reAR)&gt;maxAR)),
leEsc,AND(anom,OR(ABS((V140+AP140)-leStart)&gt;maxStart,ABS((V140+AP140)-leAR)&gt;maxAR)),
phaseMax,IFS(
 AK140="Fast",
   IFS(
     OR(C140="B",C140="D"),XLOOKUP("timeout_coarse_fast",Calibration!$B:$B,Calibration!$C:$C,24),
     OR(C140="E",C140="F",C140="H",C140="I"),XLOOKUP("timeout_jcc_fast",Calibration!$B:$B,Calibration!$C:$C,10),
     OR(C140="G",C140="J"),XLOOKUP("timeout_duochrome_fast",Calibration!$B:$B,Calibration!$C:$C,8),
     C140="K",XLOOKUP("timeout_bino_fast",Calibration!$B:$B,Calibration!$C:$C,10),
     OR(C140="P",C140="Q",C140="R"),XLOOKUP("timeout_near_fast",Calibration!$B:$B,Calibration!$C:$C,16),
     TRUE,XLOOKUP("timeout_coarse_fast",Calibration!$B:$B,Calibration!$C:$C,24)
   ),
 AK140="Normal",
   IFS(
     OR(C140="B",C140="D"),XLOOKUP("timeout_coarse_normal",Calibration!$B:$B,Calibration!$C:$C,36),
     OR(C140="E",C140="F",C140="H",C140="I"),XLOOKUP("timeout_jcc_normal",Calibration!$B:$B,Calibration!$C:$C,14),
     OR(C140="G",C140="J"),XLOOKUP("timeout_duochrome_normal",Calibration!$B:$B,Calibration!$C:$C,10),
     C140="K",XLOOKUP("timeout_bino_normal",Calibration!$B:$B,Calibration!$C:$C,14),
     OR(C140="P",C140="Q",C140="R"),XLOOKUP("timeout_near_normal",Calibration!$B:$B,Calibration!$C:$C,22),
     TRUE,XLOOKUP("timeout_coarse_normal",Calibration!$B:$B,Calibration!$C:$C,36)
   ),
 TRUE,
   IFS(
     OR(C140="B",C140="D"),XLOOKUP("timeout_coarse_slow",Calibration!$B:$B,Calibration!$C:$C,48),
     OR(C140="E",C140="F",C140="H",C140="I"),XLOOKUP("timeout_jcc_slow",Calibration!$B:$B,Calibration!$C:$C,18),
     OR(C140="G",C140="J"),XLOOKUP("timeout_duochrome_slow",Calibration!$B:$B,Calibration!$C:$C,12),
     C140="K",XLOOKUP("timeout_bino_slow",Calibration!$B:$B,Calibration!$C:$C,18),
     OR(C140="P",C140="Q",C140="R"),XLOOKUP("timeout_near_slow",Calibration!$B:$B,Calibration!$C:$C,28),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AJ140=TRUE,"ESCALATE",
C140="A",
IF(OR(I140="NOT_READABLE",I140="BLURRY",AND(R140="20_20_20",I140="READABLE")),"B","A"),
C140="B",
IF(reEsc,"ESCALATE",IF(AY140&gt;=phaseMax,"ESCALATE",IF(AND(AV140&gt;=AW140,I140="READABLE"),"E","B"))),
C140="E",
IF(AY140&gt;=phaseMax,"ESCALATE",IF(OR(I140="SAME",I140="CANT_TELL",AD140&lt;axisTol),"F","E")),
C140="F",
IF(AY140&gt;=phaseMax,"ESCALATE",IF(AX140&gt;=powerSameN,"G","F")),
C140="G",
IF(AY140&gt;=phaseMax,"ESCALATE",IF(OR(AX140&gt;=duoEqualN,BB140&gt;=duoMax),"D","G")),
C140="D",
IF(leEsc,"ESCALATE",IF(AY140&gt;=phaseMax,"ESCALATE",IF(AND(AV140&gt;=AW140,I140="READABLE"),"H","D"))),
C140="H",
IF(AY140&gt;=phaseMax,"ESCALATE",IF(OR(I140="SAME",I140="CANT_TELL",AD140&lt;axisTol),"I","H")),
C140="I",
IF(AY140&gt;=phaseMax,"ESCALATE",IF(AX140&gt;=powerSameN,"J","I")),
C140="J",
IF(AY140&gt;=phaseMax,"ESCALATE",IF(OR(AX140&gt;=duoEqualN,BB140&gt;=duoMax),"K","J")),
C140="K",
IF(AY140&gt;=phaseMax,"ESCALATE",IF(AX140&gt;=binoSameN,IF(XLOOKUP($B140,Derived_Variables!$A:$A,Derived_Variables!$AJ:$AJ,FALSE)=TRUE,"P","END"),"K")),
C140="P",
IF(AY140&gt;=phaseMax,"ESCALATE",IF(OR(I140="READABLE",I140="SAME"),"Q","P")),
C140="Q",
IF(AY140&gt;=phaseMax,"ESCALATE",IF(OR(I140="READABLE",I140="SAME"),"R","Q")),
C140="R",
IF(AY140&gt;=phaseMax,"ESCALATE",IF(OR(I140=nearTarget,I140="SAME"),"END","R")),
TRUE,"END"
)))</f>
        <v/>
      </c>
      <c r="BD140" s="28" t="b">
        <f t="shared" si="19"/>
        <v>0</v>
      </c>
    </row>
    <row r="141" ht="15.75" customHeight="1">
      <c r="A141" s="28">
        <f t="shared" si="3"/>
        <v>140</v>
      </c>
      <c r="B141" s="28">
        <f t="shared" si="4"/>
        <v>6</v>
      </c>
      <c r="C141" s="28" t="str">
        <f t="shared" si="5"/>
        <v/>
      </c>
      <c r="D141" s="28" t="str">
        <f t="array" ref="D141">IF($I140="","",XLOOKUP(C141,FSM_State_Map!A:A,FSM_State_Map!B:B,""))</f>
        <v/>
      </c>
      <c r="E141" s="28" t="str">
        <f t="array" ref="E141">IF($I140="","",XLOOKUP(C141,FSM_State_Map!A:A,FSM_State_Map!C:C,""))</f>
        <v/>
      </c>
      <c r="F141" s="28" t="str">
        <f t="array" ref="F141">IF($I140="","",XLOOKUP(E141,Phase_UI_Map!A:A,Phase_UI_Map!B:B,""))</f>
        <v/>
      </c>
      <c r="G141" s="28" t="str">
        <f t="array" ref="G141">IF($I140="","",XLOOKUP(E141,Phase_UI_Map!A:A,Phase_UI_Map!C:C,""))</f>
        <v/>
      </c>
      <c r="H141" s="28" t="str">
        <f t="array" ref="H141">IF($I140="","",XLOOKUP(E141,Phase_UI_Map!A:A,Phase_UI_Map!D:D,""))</f>
        <v/>
      </c>
      <c r="I141" s="29"/>
      <c r="J141" s="28" t="str">
        <f>IFERROR(__xludf.DUMMYFUNCTION("IF($I140="""","""",IFERROR(INDEX(FILTER(Response_Lists!$B:$B,Response_Lists!$A:$A=$H141),1),""""))"),"")</f>
        <v/>
      </c>
      <c r="K141" s="28" t="str">
        <f>IFERROR(__xludf.DUMMYFUNCTION("IF($I140="""","""",IFERROR(INDEX(FILTER(Response_Lists!$B:$B,Response_Lists!$A:$A=$H141),2),""""))"),"")</f>
        <v/>
      </c>
      <c r="L141" s="28" t="str">
        <f>IFERROR(__xludf.DUMMYFUNCTION("IF($I140="""","""",IFERROR(INDEX(FILTER(Response_Lists!$B:$B,Response_Lists!$A:$A=$H141),3),""""))"),"")</f>
        <v/>
      </c>
      <c r="M141" s="28" t="str">
        <f>IFERROR(__xludf.DUMMYFUNCTION("IF($I140="""","""",IFERROR(INDEX(FILTER(Response_Lists!$B:$B,Response_Lists!$A:$A=$H141),4),""""))"),"")</f>
        <v/>
      </c>
      <c r="N141" s="28" t="str">
        <f>IFERROR(__xludf.DUMMYFUNCTION("IF($I140="""","""",IFERROR(INDEX(FILTER(Response_Lists!$B:$B,Response_Lists!$A:$A=$H141),5),""""))"),"")</f>
        <v/>
      </c>
      <c r="O141" s="28" t="str">
        <f>IFERROR(__xludf.DUMMYFUNCTION("IF($I140="""","""",IFERROR(INDEX(FILTER(Response_Lists!$B:$B,Response_Lists!$A:$A=$H141),6),""""))"),"")</f>
        <v/>
      </c>
      <c r="P141" s="28" t="str">
        <f t="shared" si="6"/>
        <v/>
      </c>
      <c r="Q141" s="28" t="str">
        <f t="array" ref="Q141">IF($I140="","",XLOOKUP(C141,FSM_State_Map!A:A,FSM_State_Map!D:D,""))</f>
        <v/>
      </c>
      <c r="R141" s="28" t="str">
        <f t="shared" si="7"/>
        <v/>
      </c>
      <c r="S141" s="28" t="str">
        <f t="array" ref="S141">IF($I140="","",
IF(
  AND(C141="B",C140&lt;&gt;"B"),
  XLOOKUP($B141,Derived_Variables!$A:$A,Derived_Variables!$K:$K,0)
  + XLOOKUP($B141,Derived_Variables!$A:$A,Derived_Variables!$AE:$AE,0),
  S140+AM140
))</f>
        <v/>
      </c>
      <c r="T141" s="28" t="str">
        <f t="shared" ref="T141:U141" si="292">IF($I140="","",T140+AN140)</f>
        <v/>
      </c>
      <c r="U141" s="28" t="str">
        <f t="shared" si="292"/>
        <v/>
      </c>
      <c r="V141" s="28" t="str">
        <f t="array" ref="V141">IF($I140="","",
IF(
  AND(C141="D",C140&lt;&gt;"D"),
  XLOOKUP($B141,Derived_Variables!$A:$A,Derived_Variables!$N:$N,0)
  + XLOOKUP($B141,Derived_Variables!$A:$A,Derived_Variables!$AE:$AE,0),
  V140+AP140
))</f>
        <v/>
      </c>
      <c r="W141" s="28" t="str">
        <f t="shared" ref="W141:X141" si="293">IF($I140="","",W140+AQ140)</f>
        <v/>
      </c>
      <c r="X141" s="28" t="str">
        <f t="shared" si="293"/>
        <v/>
      </c>
      <c r="Y141" s="28" t="str">
        <f t="array" ref="Y141">IF($I140="","",IF(AND(C141="P",C140&lt;&gt;"P"),IFERROR(XLOOKUP($B141,Lenso_Input!$A:$A,Lenso_Input!$E:$E,0),0),Y140+AS140))</f>
        <v/>
      </c>
      <c r="Z141" s="28" t="str">
        <f t="array" ref="Z141">IF($I140="","",IF(AND(C141="Q",C140&lt;&gt;"Q"),IFERROR(XLOOKUP($B141,Lenso_Input!$A:$A,Lenso_Input!$I:$I,0),0),Z140+AT140))</f>
        <v/>
      </c>
      <c r="AA141" s="28" t="str">
        <f t="array" ref="AA141">IF($I140="","",IF(XLOOKUP($B141,Derived_Variables!$A:$A,Derived_Variables!$R:$R,"6/6_target")="6/6_target","20_20_20","40_30_25"))</f>
        <v/>
      </c>
      <c r="AB141" s="28" t="str">
        <f t="array" ref="AB141">IF($I140="","",XLOOKUP(LOWER(XLOOKUP($B141,Derived_Variables!$A:$A,Derived_Variables!$T:$T,"Standard"))&amp;"_sph_step",Calibration!$B:$B,Calibration!$C:$C,0.25))</f>
        <v/>
      </c>
      <c r="AC141" s="28" t="str">
        <f t="array" ref="AC141">IF($I140="","",XLOOKUP(LOWER(XLOOKUP($B141,Derived_Variables!$A:$A,Derived_Variables!$T:$T,"Standard"))&amp;"_cyl_step",Calibration!$B:$B,Calibration!$C:$C,0.25))</f>
        <v/>
      </c>
      <c r="AD141" s="28" t="str">
        <f t="array" ref="AD141">IF($I140="","",IF(OR(C141="E",C141="H"),LET(startStep,XLOOKUP("axis_start_step",Calibration!$B:$B,Calibration!$C:$C,5),step1,XLOOKUP("axis_reversal_step_1",Calibration!$B:$B,Calibration!$C:$C,3),step2,XLOOKUP("axis_reversal_step_2",Calibration!$B:$B,Calibration!$C:$C,1),IF(OR(C140&lt;&gt;C141,AZ141="",AZ141="SAME",AZ141="CANT_TELL",I141="",I141="SAME",I141="CANT_TELL"),startStep,IF(OR(AND(AZ141="BETTER_1",I141="BETTER_2"),AND(AZ141="BETTER_2",I141="BETTER_1")),IF(AD140&gt;step1,step1,step2),AD140))),0))</f>
        <v/>
      </c>
      <c r="AE141" s="28" t="str">
        <f t="array" ref="AE141">IF($I140="","",XLOOKUP($B141,Derived_Variables!$A:$A,Derived_Variables!$AD:$AD,"No_Fog"))</f>
        <v/>
      </c>
      <c r="AF141" s="28" t="str">
        <f t="array" ref="AF141">IF($I140="","",XLOOKUP($B141,Derived_Variables!$A:$A,Derived_Variables!$AE:$AE,0))</f>
        <v/>
      </c>
      <c r="AG141" s="28" t="str">
        <f t="array" ref="AG141">IF($I140="","",XLOOKUP($B141,Derived_Variables!$A:$A,Derived_Variables!$AF:$AF,""))</f>
        <v/>
      </c>
      <c r="AH141" s="28" t="str">
        <f t="array" ref="AH141">IF($I140="","",XLOOKUP($B141,Derived_Variables!$A:$A,Derived_Variables!$AG:$AG,""))</f>
        <v/>
      </c>
      <c r="AI141" s="28" t="str">
        <f t="array" ref="AI141">IF($I140="","",XLOOKUP($B141,Derived_Variables!$A:$A,Derived_Variables!$AC:$AC,"Medium"))</f>
        <v/>
      </c>
      <c r="AJ141" s="28" t="str">
        <f t="array" ref="AJ141">IF($I140="","",XLOOKUP($B141,Derived_Variables!$A:$A,Derived_Variables!$Y:$Y,FALSE))</f>
        <v/>
      </c>
      <c r="AK141" s="28" t="str">
        <f t="array" ref="AK141">IF($I140="","",XLOOKUP($B141,Derived_Variables!$A:$A,Derived_Variables!$AA:$AA,"Normal"))</f>
        <v/>
      </c>
      <c r="AL141" s="28" t="str">
        <f t="array" ref="AL141">IF($I140="","",XLOOKUP($B141,Derived_Variables!$A:$A,Derived_Variables!$AB:$AB,"Normal"))</f>
        <v/>
      </c>
      <c r="AM141" s="28" t="str">
        <f t="array" ref="AM141">IF($I141="","",IFS(C141="B",IF(OR(I141="NOT_READABLE",I141="BLURRY"),-AB141,0),C141="G",IFS(I141="RED_CLEARER",XLOOKUP("duochrome_red_step",Calibration!$B:$B,Calibration!$C:$C,-0.25),I141="GREEN_CLEARER",XLOOKUP("duochrome_green_step",Calibration!$B:$B,Calibration!$C:$C,0.25),I141="EQUAL",IF(XLOOKUP($B141,Derived_Variables!$A:$A,Derived_Variables!$S:$S,"Neutral")="Undercorrect",XLOOKUP("undercorrect_step",Calibration!$B:$B,Calibration!$C:$C,0.25),IF(XLOOKUP($B141,Derived_Variables!$A:$A,Derived_Variables!$S:$S,"Neutral")="Overcorrect",-XLOOKUP("overcorrect_step",Calibration!$B:$B,Calibration!$C:$C,0.25),0)),TRUE,0),C141="K",IF(I141="TOP_CLEARER",XLOOKUP("bino_balance_step",Calibration!$B:$B,Calibration!$C:$C,0.25),0),TRUE,0))</f>
        <v/>
      </c>
      <c r="AN141" s="28" t="str">
        <f t="shared" si="10"/>
        <v/>
      </c>
      <c r="AO141" s="28" t="str">
        <f t="shared" si="11"/>
        <v/>
      </c>
      <c r="AP141" s="28" t="str">
        <f t="array" ref="AP141">IF($I141="","",IFS(C141="D",IF(OR(I141="NOT_READABLE",I141="BLURRY"),-AB141,0),C141="J",IFS(I141="RED_CLEARER",XLOOKUP("duochrome_red_step",Calibration!$B:$B,Calibration!$C:$C,-0.25),I141="GREEN_CLEARER",XLOOKUP("duochrome_green_step",Calibration!$B:$B,Calibration!$C:$C,0.25),I141="EQUAL",IF(XLOOKUP($B141,Derived_Variables!$A:$A,Derived_Variables!$S:$S,"Neutral")="Undercorrect",XLOOKUP("undercorrect_step",Calibration!$B:$B,Calibration!$C:$C,0.25),IF(XLOOKUP($B141,Derived_Variables!$A:$A,Derived_Variables!$S:$S,"Neutral")="Overcorrect",-XLOOKUP("overcorrect_step",Calibration!$B:$B,Calibration!$C:$C,0.25),0)),TRUE,0),C141="K",IF(I141="BOTTOM_CLEARER",XLOOKUP("bino_balance_step",Calibration!$B:$B,Calibration!$C:$C,0.25),0),TRUE,0))</f>
        <v/>
      </c>
      <c r="AQ141" s="28" t="str">
        <f t="shared" si="12"/>
        <v/>
      </c>
      <c r="AR141" s="28" t="str">
        <f t="shared" si="13"/>
        <v/>
      </c>
      <c r="AS141" s="28" t="str">
        <f t="array" ref="AS141">IF($I141="","",IF(C141="P",IF(OR(I141="NOT_READABLE",I141="BLURRY"),XLOOKUP("near_add_step",Calibration!$B:$B,Calibration!$C:$C,0.25),0),IF(C141="R",IF(I141="NOT_CLEAR",XLOOKUP("near_add_step",Calibration!$B:$B,Calibration!$C:$C,0.25),0),0)))</f>
        <v/>
      </c>
      <c r="AT141" s="28" t="str">
        <f t="array" ref="AT141">IF($I141="","",IF(C141="Q",IF(OR(I141="NOT_READABLE",I141="BLURRY"),XLOOKUP("near_add_step",Calibration!$B:$B,Calibration!$C:$C,0.25),0),IF(C141="R",IF(I141="NOT_CLEAR",XLOOKUP("near_add_step",Calibration!$B:$B,Calibration!$C:$C,0.25),0),0)))</f>
        <v/>
      </c>
      <c r="AU141" s="28" t="str">
        <f t="array" ref="AU141">IF($I141="","",IF(G141="SNELLEN_FEET",IF(I141="READABLE",IFERROR(XLOOKUP(XLOOKUP(R141,Chart_Scale_Distance!B:B,Chart_Scale_Distance!A:A)+1,Chart_Scale_Distance!A:A,Chart_Scale_Distance!B:B),R141),R141),R141))</f>
        <v/>
      </c>
      <c r="AV141" s="28" t="str">
        <f t="array" ref="AV141">IF($I140="","",IFERROR(XLOOKUP(R141,Chart_Scale_Distance!$B:$B,Chart_Scale_Distance!$A:$A,""),""))</f>
        <v/>
      </c>
      <c r="AW141" s="28" t="str">
        <f t="array" ref="AW141">IF($I140="","",IFERROR(XLOOKUP(AA141,Chart_Scale_Distance!$B:$B,Chart_Scale_Distance!$A:$A,""),""))</f>
        <v/>
      </c>
      <c r="AX141" s="28" t="str">
        <f t="shared" si="14"/>
        <v/>
      </c>
      <c r="AY141" s="28" t="str">
        <f t="shared" si="15"/>
        <v/>
      </c>
      <c r="AZ141" s="28" t="str">
        <f t="shared" si="16"/>
        <v/>
      </c>
      <c r="BA141" s="28" t="str">
        <f t="shared" si="17"/>
        <v/>
      </c>
      <c r="BB141" s="28" t="str">
        <f t="shared" si="18"/>
        <v/>
      </c>
      <c r="BC141" s="28" t="str">
        <f t="array" ref="BC141">IF($I141="","",LET(
conf,AI141,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duoMax,XLOOKUP($B141,Derived_Variables!$A:$A,Derived_Variables!$AI:$AI,4),
axisTol,XLOOKUP($B141,Derived_Variables!$A:$A,Derived_Variables!$W:$W,1),
maxStart,XLOOKUP($B141,Derived_Variables!$A:$A,Derived_Variables!$U:$U,1.25),
maxAR,XLOOKUP($B141,Derived_Variables!$A:$A,Derived_Variables!$V:$V,3),
anom,XLOOKUP($B141,Derived_Variables!$A:$A,Derived_Variables!$Z:$Z,FALSE),
reStart,XLOOKUP($B141,Derived_Variables!$A:$A,Derived_Variables!$K:$K,0),
leStart,XLOOKUP($B141,Derived_Variables!$A:$A,Derived_Variables!$N:$N,0),
reAR,XLOOKUP($B141,AR_Input!$A:$A,AR_Input!$B:$B,reStart),
leAR,XLOOKUP($B141,AR_Input!$A:$A,AR_Input!$E:$E,leStart),
reEsc,AND(anom,OR(ABS((S141+AM141)-reStart)&gt;maxStart,ABS((S141+AM141)-reAR)&gt;maxAR)),
leEsc,AND(anom,OR(ABS((V141+AP141)-leStart)&gt;maxStart,ABS((V141+AP141)-leAR)&gt;maxAR)),
phaseMax,IFS(
 AK141="Fast",
   IFS(
     OR(C141="B",C141="D"),XLOOKUP("timeout_coarse_fast",Calibration!$B:$B,Calibration!$C:$C,24),
     OR(C141="E",C141="F",C141="H",C141="I"),XLOOKUP("timeout_jcc_fast",Calibration!$B:$B,Calibration!$C:$C,10),
     OR(C141="G",C141="J"),XLOOKUP("timeout_duochrome_fast",Calibration!$B:$B,Calibration!$C:$C,8),
     C141="K",XLOOKUP("timeout_bino_fast",Calibration!$B:$B,Calibration!$C:$C,10),
     OR(C141="P",C141="Q",C141="R"),XLOOKUP("timeout_near_fast",Calibration!$B:$B,Calibration!$C:$C,16),
     TRUE,XLOOKUP("timeout_coarse_fast",Calibration!$B:$B,Calibration!$C:$C,24)
   ),
 AK141="Normal",
   IFS(
     OR(C141="B",C141="D"),XLOOKUP("timeout_coarse_normal",Calibration!$B:$B,Calibration!$C:$C,36),
     OR(C141="E",C141="F",C141="H",C141="I"),XLOOKUP("timeout_jcc_normal",Calibration!$B:$B,Calibration!$C:$C,14),
     OR(C141="G",C141="J"),XLOOKUP("timeout_duochrome_normal",Calibration!$B:$B,Calibration!$C:$C,10),
     C141="K",XLOOKUP("timeout_bino_normal",Calibration!$B:$B,Calibration!$C:$C,14),
     OR(C141="P",C141="Q",C141="R"),XLOOKUP("timeout_near_normal",Calibration!$B:$B,Calibration!$C:$C,22),
     TRUE,XLOOKUP("timeout_coarse_normal",Calibration!$B:$B,Calibration!$C:$C,36)
   ),
 TRUE,
   IFS(
     OR(C141="B",C141="D"),XLOOKUP("timeout_coarse_slow",Calibration!$B:$B,Calibration!$C:$C,48),
     OR(C141="E",C141="F",C141="H",C141="I"),XLOOKUP("timeout_jcc_slow",Calibration!$B:$B,Calibration!$C:$C,18),
     OR(C141="G",C141="J"),XLOOKUP("timeout_duochrome_slow",Calibration!$B:$B,Calibration!$C:$C,12),
     C141="K",XLOOKUP("timeout_bino_slow",Calibration!$B:$B,Calibration!$C:$C,18),
     OR(C141="P",C141="Q",C141="R"),XLOOKUP("timeout_near_slow",Calibration!$B:$B,Calibration!$C:$C,28),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AJ141=TRUE,"ESCALATE",
C141="A",
IF(OR(I141="NOT_READABLE",I141="BLURRY",AND(R141="20_20_20",I141="READABLE")),"B","A"),
C141="B",
IF(reEsc,"ESCALATE",IF(AY141&gt;=phaseMax,"ESCALATE",IF(AND(AV141&gt;=AW141,I141="READABLE"),"E","B"))),
C141="E",
IF(AY141&gt;=phaseMax,"ESCALATE",IF(OR(I141="SAME",I141="CANT_TELL",AD141&lt;axisTol),"F","E")),
C141="F",
IF(AY141&gt;=phaseMax,"ESCALATE",IF(AX141&gt;=powerSameN,"G","F")),
C141="G",
IF(AY141&gt;=phaseMax,"ESCALATE",IF(OR(AX141&gt;=duoEqualN,BB141&gt;=duoMax),"D","G")),
C141="D",
IF(leEsc,"ESCALATE",IF(AY141&gt;=phaseMax,"ESCALATE",IF(AND(AV141&gt;=AW141,I141="READABLE"),"H","D"))),
C141="H",
IF(AY141&gt;=phaseMax,"ESCALATE",IF(OR(I141="SAME",I141="CANT_TELL",AD141&lt;axisTol),"I","H")),
C141="I",
IF(AY141&gt;=phaseMax,"ESCALATE",IF(AX141&gt;=powerSameN,"J","I")),
C141="J",
IF(AY141&gt;=phaseMax,"ESCALATE",IF(OR(AX141&gt;=duoEqualN,BB141&gt;=duoMax),"K","J")),
C141="K",
IF(AY141&gt;=phaseMax,"ESCALATE",IF(AX141&gt;=binoSameN,IF(XLOOKUP($B141,Derived_Variables!$A:$A,Derived_Variables!$AJ:$AJ,FALSE)=TRUE,"P","END"),"K")),
C141="P",
IF(AY141&gt;=phaseMax,"ESCALATE",IF(OR(I141="READABLE",I141="SAME"),"Q","P")),
C141="Q",
IF(AY141&gt;=phaseMax,"ESCALATE",IF(OR(I141="READABLE",I141="SAME"),"R","Q")),
C141="R",
IF(AY141&gt;=phaseMax,"ESCALATE",IF(OR(I141=nearTarget,I141="SAME"),"END","R")),
TRUE,"END"
)))</f>
        <v/>
      </c>
      <c r="BD141" s="28" t="b">
        <f t="shared" si="19"/>
        <v>0</v>
      </c>
    </row>
    <row r="142" ht="15.75" customHeight="1">
      <c r="A142" s="28">
        <f t="shared" si="3"/>
        <v>141</v>
      </c>
      <c r="B142" s="28">
        <f t="shared" si="4"/>
        <v>6</v>
      </c>
      <c r="C142" s="28" t="str">
        <f t="shared" si="5"/>
        <v/>
      </c>
      <c r="D142" s="28" t="str">
        <f t="array" ref="D142">IF($I141="","",XLOOKUP(C142,FSM_State_Map!A:A,FSM_State_Map!B:B,""))</f>
        <v/>
      </c>
      <c r="E142" s="28" t="str">
        <f t="array" ref="E142">IF($I141="","",XLOOKUP(C142,FSM_State_Map!A:A,FSM_State_Map!C:C,""))</f>
        <v/>
      </c>
      <c r="F142" s="28" t="str">
        <f t="array" ref="F142">IF($I141="","",XLOOKUP(E142,Phase_UI_Map!A:A,Phase_UI_Map!B:B,""))</f>
        <v/>
      </c>
      <c r="G142" s="28" t="str">
        <f t="array" ref="G142">IF($I141="","",XLOOKUP(E142,Phase_UI_Map!A:A,Phase_UI_Map!C:C,""))</f>
        <v/>
      </c>
      <c r="H142" s="28" t="str">
        <f t="array" ref="H142">IF($I141="","",XLOOKUP(E142,Phase_UI_Map!A:A,Phase_UI_Map!D:D,""))</f>
        <v/>
      </c>
      <c r="I142" s="29"/>
      <c r="J142" s="28" t="str">
        <f>IFERROR(__xludf.DUMMYFUNCTION("IF($I141="""","""",IFERROR(INDEX(FILTER(Response_Lists!$B:$B,Response_Lists!$A:$A=$H142),1),""""))"),"")</f>
        <v/>
      </c>
      <c r="K142" s="28" t="str">
        <f>IFERROR(__xludf.DUMMYFUNCTION("IF($I141="""","""",IFERROR(INDEX(FILTER(Response_Lists!$B:$B,Response_Lists!$A:$A=$H142),2),""""))"),"")</f>
        <v/>
      </c>
      <c r="L142" s="28" t="str">
        <f>IFERROR(__xludf.DUMMYFUNCTION("IF($I141="""","""",IFERROR(INDEX(FILTER(Response_Lists!$B:$B,Response_Lists!$A:$A=$H142),3),""""))"),"")</f>
        <v/>
      </c>
      <c r="M142" s="28" t="str">
        <f>IFERROR(__xludf.DUMMYFUNCTION("IF($I141="""","""",IFERROR(INDEX(FILTER(Response_Lists!$B:$B,Response_Lists!$A:$A=$H142),4),""""))"),"")</f>
        <v/>
      </c>
      <c r="N142" s="28" t="str">
        <f>IFERROR(__xludf.DUMMYFUNCTION("IF($I141="""","""",IFERROR(INDEX(FILTER(Response_Lists!$B:$B,Response_Lists!$A:$A=$H142),5),""""))"),"")</f>
        <v/>
      </c>
      <c r="O142" s="28" t="str">
        <f>IFERROR(__xludf.DUMMYFUNCTION("IF($I141="""","""",IFERROR(INDEX(FILTER(Response_Lists!$B:$B,Response_Lists!$A:$A=$H142),6),""""))"),"")</f>
        <v/>
      </c>
      <c r="P142" s="28" t="str">
        <f t="shared" si="6"/>
        <v/>
      </c>
      <c r="Q142" s="28" t="str">
        <f t="array" ref="Q142">IF($I141="","",XLOOKUP(C142,FSM_State_Map!A:A,FSM_State_Map!D:D,""))</f>
        <v/>
      </c>
      <c r="R142" s="28" t="str">
        <f t="shared" si="7"/>
        <v/>
      </c>
      <c r="S142" s="28" t="str">
        <f t="array" ref="S142">IF($I141="","",
IF(
  AND(C142="B",C141&lt;&gt;"B"),
  XLOOKUP($B142,Derived_Variables!$A:$A,Derived_Variables!$K:$K,0)
  + XLOOKUP($B142,Derived_Variables!$A:$A,Derived_Variables!$AE:$AE,0),
  S141+AM141
))</f>
        <v/>
      </c>
      <c r="T142" s="28" t="str">
        <f t="shared" ref="T142:U142" si="294">IF($I141="","",T141+AN141)</f>
        <v/>
      </c>
      <c r="U142" s="28" t="str">
        <f t="shared" si="294"/>
        <v/>
      </c>
      <c r="V142" s="28" t="str">
        <f t="array" ref="V142">IF($I141="","",
IF(
  AND(C142="D",C141&lt;&gt;"D"),
  XLOOKUP($B142,Derived_Variables!$A:$A,Derived_Variables!$N:$N,0)
  + XLOOKUP($B142,Derived_Variables!$A:$A,Derived_Variables!$AE:$AE,0),
  V141+AP141
))</f>
        <v/>
      </c>
      <c r="W142" s="28" t="str">
        <f t="shared" ref="W142:X142" si="295">IF($I141="","",W141+AQ141)</f>
        <v/>
      </c>
      <c r="X142" s="28" t="str">
        <f t="shared" si="295"/>
        <v/>
      </c>
      <c r="Y142" s="28" t="str">
        <f t="array" ref="Y142">IF($I141="","",IF(AND(C142="P",C141&lt;&gt;"P"),IFERROR(XLOOKUP($B142,Lenso_Input!$A:$A,Lenso_Input!$E:$E,0),0),Y141+AS141))</f>
        <v/>
      </c>
      <c r="Z142" s="28" t="str">
        <f t="array" ref="Z142">IF($I141="","",IF(AND(C142="Q",C141&lt;&gt;"Q"),IFERROR(XLOOKUP($B142,Lenso_Input!$A:$A,Lenso_Input!$I:$I,0),0),Z141+AT141))</f>
        <v/>
      </c>
      <c r="AA142" s="28" t="str">
        <f t="array" ref="AA142">IF($I141="","",IF(XLOOKUP($B142,Derived_Variables!$A:$A,Derived_Variables!$R:$R,"6/6_target")="6/6_target","20_20_20","40_30_25"))</f>
        <v/>
      </c>
      <c r="AB142" s="28" t="str">
        <f t="array" ref="AB142">IF($I141="","",XLOOKUP(LOWER(XLOOKUP($B142,Derived_Variables!$A:$A,Derived_Variables!$T:$T,"Standard"))&amp;"_sph_step",Calibration!$B:$B,Calibration!$C:$C,0.25))</f>
        <v/>
      </c>
      <c r="AC142" s="28" t="str">
        <f t="array" ref="AC142">IF($I141="","",XLOOKUP(LOWER(XLOOKUP($B142,Derived_Variables!$A:$A,Derived_Variables!$T:$T,"Standard"))&amp;"_cyl_step",Calibration!$B:$B,Calibration!$C:$C,0.25))</f>
        <v/>
      </c>
      <c r="AD142" s="28" t="str">
        <f t="array" ref="AD142">IF($I141="","",IF(OR(C142="E",C142="H"),LET(startStep,XLOOKUP("axis_start_step",Calibration!$B:$B,Calibration!$C:$C,5),step1,XLOOKUP("axis_reversal_step_1",Calibration!$B:$B,Calibration!$C:$C,3),step2,XLOOKUP("axis_reversal_step_2",Calibration!$B:$B,Calibration!$C:$C,1),IF(OR(C141&lt;&gt;C142,AZ142="",AZ142="SAME",AZ142="CANT_TELL",I142="",I142="SAME",I142="CANT_TELL"),startStep,IF(OR(AND(AZ142="BETTER_1",I142="BETTER_2"),AND(AZ142="BETTER_2",I142="BETTER_1")),IF(AD141&gt;step1,step1,step2),AD141))),0))</f>
        <v/>
      </c>
      <c r="AE142" s="28" t="str">
        <f t="array" ref="AE142">IF($I141="","",XLOOKUP($B142,Derived_Variables!$A:$A,Derived_Variables!$AD:$AD,"No_Fog"))</f>
        <v/>
      </c>
      <c r="AF142" s="28" t="str">
        <f t="array" ref="AF142">IF($I141="","",XLOOKUP($B142,Derived_Variables!$A:$A,Derived_Variables!$AE:$AE,0))</f>
        <v/>
      </c>
      <c r="AG142" s="28" t="str">
        <f t="array" ref="AG142">IF($I141="","",XLOOKUP($B142,Derived_Variables!$A:$A,Derived_Variables!$AF:$AF,""))</f>
        <v/>
      </c>
      <c r="AH142" s="28" t="str">
        <f t="array" ref="AH142">IF($I141="","",XLOOKUP($B142,Derived_Variables!$A:$A,Derived_Variables!$AG:$AG,""))</f>
        <v/>
      </c>
      <c r="AI142" s="28" t="str">
        <f t="array" ref="AI142">IF($I141="","",XLOOKUP($B142,Derived_Variables!$A:$A,Derived_Variables!$AC:$AC,"Medium"))</f>
        <v/>
      </c>
      <c r="AJ142" s="28" t="str">
        <f t="array" ref="AJ142">IF($I141="","",XLOOKUP($B142,Derived_Variables!$A:$A,Derived_Variables!$Y:$Y,FALSE))</f>
        <v/>
      </c>
      <c r="AK142" s="28" t="str">
        <f t="array" ref="AK142">IF($I141="","",XLOOKUP($B142,Derived_Variables!$A:$A,Derived_Variables!$AA:$AA,"Normal"))</f>
        <v/>
      </c>
      <c r="AL142" s="28" t="str">
        <f t="array" ref="AL142">IF($I141="","",XLOOKUP($B142,Derived_Variables!$A:$A,Derived_Variables!$AB:$AB,"Normal"))</f>
        <v/>
      </c>
      <c r="AM142" s="28" t="str">
        <f t="array" ref="AM142">IF($I142="","",IFS(C142="B",IF(OR(I142="NOT_READABLE",I142="BLURRY"),-AB142,0),C142="G",IFS(I142="RED_CLEARER",XLOOKUP("duochrome_red_step",Calibration!$B:$B,Calibration!$C:$C,-0.25),I142="GREEN_CLEARER",XLOOKUP("duochrome_green_step",Calibration!$B:$B,Calibration!$C:$C,0.25),I142="EQUAL",IF(XLOOKUP($B142,Derived_Variables!$A:$A,Derived_Variables!$S:$S,"Neutral")="Undercorrect",XLOOKUP("undercorrect_step",Calibration!$B:$B,Calibration!$C:$C,0.25),IF(XLOOKUP($B142,Derived_Variables!$A:$A,Derived_Variables!$S:$S,"Neutral")="Overcorrect",-XLOOKUP("overcorrect_step",Calibration!$B:$B,Calibration!$C:$C,0.25),0)),TRUE,0),C142="K",IF(I142="TOP_CLEARER",XLOOKUP("bino_balance_step",Calibration!$B:$B,Calibration!$C:$C,0.25),0),TRUE,0))</f>
        <v/>
      </c>
      <c r="AN142" s="28" t="str">
        <f t="shared" si="10"/>
        <v/>
      </c>
      <c r="AO142" s="28" t="str">
        <f t="shared" si="11"/>
        <v/>
      </c>
      <c r="AP142" s="28" t="str">
        <f t="array" ref="AP142">IF($I142="","",IFS(C142="D",IF(OR(I142="NOT_READABLE",I142="BLURRY"),-AB142,0),C142="J",IFS(I142="RED_CLEARER",XLOOKUP("duochrome_red_step",Calibration!$B:$B,Calibration!$C:$C,-0.25),I142="GREEN_CLEARER",XLOOKUP("duochrome_green_step",Calibration!$B:$B,Calibration!$C:$C,0.25),I142="EQUAL",IF(XLOOKUP($B142,Derived_Variables!$A:$A,Derived_Variables!$S:$S,"Neutral")="Undercorrect",XLOOKUP("undercorrect_step",Calibration!$B:$B,Calibration!$C:$C,0.25),IF(XLOOKUP($B142,Derived_Variables!$A:$A,Derived_Variables!$S:$S,"Neutral")="Overcorrect",-XLOOKUP("overcorrect_step",Calibration!$B:$B,Calibration!$C:$C,0.25),0)),TRUE,0),C142="K",IF(I142="BOTTOM_CLEARER",XLOOKUP("bino_balance_step",Calibration!$B:$B,Calibration!$C:$C,0.25),0),TRUE,0))</f>
        <v/>
      </c>
      <c r="AQ142" s="28" t="str">
        <f t="shared" si="12"/>
        <v/>
      </c>
      <c r="AR142" s="28" t="str">
        <f t="shared" si="13"/>
        <v/>
      </c>
      <c r="AS142" s="28" t="str">
        <f t="array" ref="AS142">IF($I142="","",IF(C142="P",IF(OR(I142="NOT_READABLE",I142="BLURRY"),XLOOKUP("near_add_step",Calibration!$B:$B,Calibration!$C:$C,0.25),0),IF(C142="R",IF(I142="NOT_CLEAR",XLOOKUP("near_add_step",Calibration!$B:$B,Calibration!$C:$C,0.25),0),0)))</f>
        <v/>
      </c>
      <c r="AT142" s="28" t="str">
        <f t="array" ref="AT142">IF($I142="","",IF(C142="Q",IF(OR(I142="NOT_READABLE",I142="BLURRY"),XLOOKUP("near_add_step",Calibration!$B:$B,Calibration!$C:$C,0.25),0),IF(C142="R",IF(I142="NOT_CLEAR",XLOOKUP("near_add_step",Calibration!$B:$B,Calibration!$C:$C,0.25),0),0)))</f>
        <v/>
      </c>
      <c r="AU142" s="28" t="str">
        <f t="array" ref="AU142">IF($I142="","",IF(G142="SNELLEN_FEET",IF(I142="READABLE",IFERROR(XLOOKUP(XLOOKUP(R142,Chart_Scale_Distance!B:B,Chart_Scale_Distance!A:A)+1,Chart_Scale_Distance!A:A,Chart_Scale_Distance!B:B),R142),R142),R142))</f>
        <v/>
      </c>
      <c r="AV142" s="28" t="str">
        <f t="array" ref="AV142">IF($I141="","",IFERROR(XLOOKUP(R142,Chart_Scale_Distance!$B:$B,Chart_Scale_Distance!$A:$A,""),""))</f>
        <v/>
      </c>
      <c r="AW142" s="28" t="str">
        <f t="array" ref="AW142">IF($I141="","",IFERROR(XLOOKUP(AA142,Chart_Scale_Distance!$B:$B,Chart_Scale_Distance!$A:$A,""),""))</f>
        <v/>
      </c>
      <c r="AX142" s="28" t="str">
        <f t="shared" si="14"/>
        <v/>
      </c>
      <c r="AY142" s="28" t="str">
        <f t="shared" si="15"/>
        <v/>
      </c>
      <c r="AZ142" s="28" t="str">
        <f t="shared" si="16"/>
        <v/>
      </c>
      <c r="BA142" s="28" t="str">
        <f t="shared" si="17"/>
        <v/>
      </c>
      <c r="BB142" s="28" t="str">
        <f t="shared" si="18"/>
        <v/>
      </c>
      <c r="BC142" s="28" t="str">
        <f t="array" ref="BC142">IF($I142="","",LET(
conf,AI142,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duoMax,XLOOKUP($B142,Derived_Variables!$A:$A,Derived_Variables!$AI:$AI,4),
axisTol,XLOOKUP($B142,Derived_Variables!$A:$A,Derived_Variables!$W:$W,1),
maxStart,XLOOKUP($B142,Derived_Variables!$A:$A,Derived_Variables!$U:$U,1.25),
maxAR,XLOOKUP($B142,Derived_Variables!$A:$A,Derived_Variables!$V:$V,3),
anom,XLOOKUP($B142,Derived_Variables!$A:$A,Derived_Variables!$Z:$Z,FALSE),
reStart,XLOOKUP($B142,Derived_Variables!$A:$A,Derived_Variables!$K:$K,0),
leStart,XLOOKUP($B142,Derived_Variables!$A:$A,Derived_Variables!$N:$N,0),
reAR,XLOOKUP($B142,AR_Input!$A:$A,AR_Input!$B:$B,reStart),
leAR,XLOOKUP($B142,AR_Input!$A:$A,AR_Input!$E:$E,leStart),
reEsc,AND(anom,OR(ABS((S142+AM142)-reStart)&gt;maxStart,ABS((S142+AM142)-reAR)&gt;maxAR)),
leEsc,AND(anom,OR(ABS((V142+AP142)-leStart)&gt;maxStart,ABS((V142+AP142)-leAR)&gt;maxAR)),
phaseMax,IFS(
 AK142="Fast",
   IFS(
     OR(C142="B",C142="D"),XLOOKUP("timeout_coarse_fast",Calibration!$B:$B,Calibration!$C:$C,24),
     OR(C142="E",C142="F",C142="H",C142="I"),XLOOKUP("timeout_jcc_fast",Calibration!$B:$B,Calibration!$C:$C,10),
     OR(C142="G",C142="J"),XLOOKUP("timeout_duochrome_fast",Calibration!$B:$B,Calibration!$C:$C,8),
     C142="K",XLOOKUP("timeout_bino_fast",Calibration!$B:$B,Calibration!$C:$C,10),
     OR(C142="P",C142="Q",C142="R"),XLOOKUP("timeout_near_fast",Calibration!$B:$B,Calibration!$C:$C,16),
     TRUE,XLOOKUP("timeout_coarse_fast",Calibration!$B:$B,Calibration!$C:$C,24)
   ),
 AK142="Normal",
   IFS(
     OR(C142="B",C142="D"),XLOOKUP("timeout_coarse_normal",Calibration!$B:$B,Calibration!$C:$C,36),
     OR(C142="E",C142="F",C142="H",C142="I"),XLOOKUP("timeout_jcc_normal",Calibration!$B:$B,Calibration!$C:$C,14),
     OR(C142="G",C142="J"),XLOOKUP("timeout_duochrome_normal",Calibration!$B:$B,Calibration!$C:$C,10),
     C142="K",XLOOKUP("timeout_bino_normal",Calibration!$B:$B,Calibration!$C:$C,14),
     OR(C142="P",C142="Q",C142="R"),XLOOKUP("timeout_near_normal",Calibration!$B:$B,Calibration!$C:$C,22),
     TRUE,XLOOKUP("timeout_coarse_normal",Calibration!$B:$B,Calibration!$C:$C,36)
   ),
 TRUE,
   IFS(
     OR(C142="B",C142="D"),XLOOKUP("timeout_coarse_slow",Calibration!$B:$B,Calibration!$C:$C,48),
     OR(C142="E",C142="F",C142="H",C142="I"),XLOOKUP("timeout_jcc_slow",Calibration!$B:$B,Calibration!$C:$C,18),
     OR(C142="G",C142="J"),XLOOKUP("timeout_duochrome_slow",Calibration!$B:$B,Calibration!$C:$C,12),
     C142="K",XLOOKUP("timeout_bino_slow",Calibration!$B:$B,Calibration!$C:$C,18),
     OR(C142="P",C142="Q",C142="R"),XLOOKUP("timeout_near_slow",Calibration!$B:$B,Calibration!$C:$C,28),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AJ142=TRUE,"ESCALATE",
C142="A",
IF(OR(I142="NOT_READABLE",I142="BLURRY",AND(R142="20_20_20",I142="READABLE")),"B","A"),
C142="B",
IF(reEsc,"ESCALATE",IF(AY142&gt;=phaseMax,"ESCALATE",IF(AND(AV142&gt;=AW142,I142="READABLE"),"E","B"))),
C142="E",
IF(AY142&gt;=phaseMax,"ESCALATE",IF(OR(I142="SAME",I142="CANT_TELL",AD142&lt;axisTol),"F","E")),
C142="F",
IF(AY142&gt;=phaseMax,"ESCALATE",IF(AX142&gt;=powerSameN,"G","F")),
C142="G",
IF(AY142&gt;=phaseMax,"ESCALATE",IF(OR(AX142&gt;=duoEqualN,BB142&gt;=duoMax),"D","G")),
C142="D",
IF(leEsc,"ESCALATE",IF(AY142&gt;=phaseMax,"ESCALATE",IF(AND(AV142&gt;=AW142,I142="READABLE"),"H","D"))),
C142="H",
IF(AY142&gt;=phaseMax,"ESCALATE",IF(OR(I142="SAME",I142="CANT_TELL",AD142&lt;axisTol),"I","H")),
C142="I",
IF(AY142&gt;=phaseMax,"ESCALATE",IF(AX142&gt;=powerSameN,"J","I")),
C142="J",
IF(AY142&gt;=phaseMax,"ESCALATE",IF(OR(AX142&gt;=duoEqualN,BB142&gt;=duoMax),"K","J")),
C142="K",
IF(AY142&gt;=phaseMax,"ESCALATE",IF(AX142&gt;=binoSameN,IF(XLOOKUP($B142,Derived_Variables!$A:$A,Derived_Variables!$AJ:$AJ,FALSE)=TRUE,"P","END"),"K")),
C142="P",
IF(AY142&gt;=phaseMax,"ESCALATE",IF(OR(I142="READABLE",I142="SAME"),"Q","P")),
C142="Q",
IF(AY142&gt;=phaseMax,"ESCALATE",IF(OR(I142="READABLE",I142="SAME"),"R","Q")),
C142="R",
IF(AY142&gt;=phaseMax,"ESCALATE",IF(OR(I142=nearTarget,I142="SAME"),"END","R")),
TRUE,"END"
)))</f>
        <v/>
      </c>
      <c r="BD142" s="28" t="b">
        <f t="shared" si="19"/>
        <v>0</v>
      </c>
    </row>
    <row r="143" ht="15.75" customHeight="1">
      <c r="A143" s="28">
        <f t="shared" si="3"/>
        <v>142</v>
      </c>
      <c r="B143" s="28">
        <f t="shared" si="4"/>
        <v>6</v>
      </c>
      <c r="C143" s="28" t="str">
        <f t="shared" si="5"/>
        <v/>
      </c>
      <c r="D143" s="28" t="str">
        <f t="array" ref="D143">IF($I142="","",XLOOKUP(C143,FSM_State_Map!A:A,FSM_State_Map!B:B,""))</f>
        <v/>
      </c>
      <c r="E143" s="28" t="str">
        <f t="array" ref="E143">IF($I142="","",XLOOKUP(C143,FSM_State_Map!A:A,FSM_State_Map!C:C,""))</f>
        <v/>
      </c>
      <c r="F143" s="28" t="str">
        <f t="array" ref="F143">IF($I142="","",XLOOKUP(E143,Phase_UI_Map!A:A,Phase_UI_Map!B:B,""))</f>
        <v/>
      </c>
      <c r="G143" s="28" t="str">
        <f t="array" ref="G143">IF($I142="","",XLOOKUP(E143,Phase_UI_Map!A:A,Phase_UI_Map!C:C,""))</f>
        <v/>
      </c>
      <c r="H143" s="28" t="str">
        <f t="array" ref="H143">IF($I142="","",XLOOKUP(E143,Phase_UI_Map!A:A,Phase_UI_Map!D:D,""))</f>
        <v/>
      </c>
      <c r="I143" s="29"/>
      <c r="J143" s="28" t="str">
        <f>IFERROR(__xludf.DUMMYFUNCTION("IF($I142="""","""",IFERROR(INDEX(FILTER(Response_Lists!$B:$B,Response_Lists!$A:$A=$H143),1),""""))"),"")</f>
        <v/>
      </c>
      <c r="K143" s="28" t="str">
        <f>IFERROR(__xludf.DUMMYFUNCTION("IF($I142="""","""",IFERROR(INDEX(FILTER(Response_Lists!$B:$B,Response_Lists!$A:$A=$H143),2),""""))"),"")</f>
        <v/>
      </c>
      <c r="L143" s="28" t="str">
        <f>IFERROR(__xludf.DUMMYFUNCTION("IF($I142="""","""",IFERROR(INDEX(FILTER(Response_Lists!$B:$B,Response_Lists!$A:$A=$H143),3),""""))"),"")</f>
        <v/>
      </c>
      <c r="M143" s="28" t="str">
        <f>IFERROR(__xludf.DUMMYFUNCTION("IF($I142="""","""",IFERROR(INDEX(FILTER(Response_Lists!$B:$B,Response_Lists!$A:$A=$H143),4),""""))"),"")</f>
        <v/>
      </c>
      <c r="N143" s="28" t="str">
        <f>IFERROR(__xludf.DUMMYFUNCTION("IF($I142="""","""",IFERROR(INDEX(FILTER(Response_Lists!$B:$B,Response_Lists!$A:$A=$H143),5),""""))"),"")</f>
        <v/>
      </c>
      <c r="O143" s="28" t="str">
        <f>IFERROR(__xludf.DUMMYFUNCTION("IF($I142="""","""",IFERROR(INDEX(FILTER(Response_Lists!$B:$B,Response_Lists!$A:$A=$H143),6),""""))"),"")</f>
        <v/>
      </c>
      <c r="P143" s="28" t="str">
        <f t="shared" si="6"/>
        <v/>
      </c>
      <c r="Q143" s="28" t="str">
        <f t="array" ref="Q143">IF($I142="","",XLOOKUP(C143,FSM_State_Map!A:A,FSM_State_Map!D:D,""))</f>
        <v/>
      </c>
      <c r="R143" s="28" t="str">
        <f t="shared" si="7"/>
        <v/>
      </c>
      <c r="S143" s="28" t="str">
        <f t="array" ref="S143">IF($I142="","",
IF(
  AND(C143="B",C142&lt;&gt;"B"),
  XLOOKUP($B143,Derived_Variables!$A:$A,Derived_Variables!$K:$K,0)
  + XLOOKUP($B143,Derived_Variables!$A:$A,Derived_Variables!$AE:$AE,0),
  S142+AM142
))</f>
        <v/>
      </c>
      <c r="T143" s="28" t="str">
        <f t="shared" ref="T143:U143" si="296">IF($I142="","",T142+AN142)</f>
        <v/>
      </c>
      <c r="U143" s="28" t="str">
        <f t="shared" si="296"/>
        <v/>
      </c>
      <c r="V143" s="28" t="str">
        <f t="array" ref="V143">IF($I142="","",
IF(
  AND(C143="D",C142&lt;&gt;"D"),
  XLOOKUP($B143,Derived_Variables!$A:$A,Derived_Variables!$N:$N,0)
  + XLOOKUP($B143,Derived_Variables!$A:$A,Derived_Variables!$AE:$AE,0),
  V142+AP142
))</f>
        <v/>
      </c>
      <c r="W143" s="28" t="str">
        <f t="shared" ref="W143:X143" si="297">IF($I142="","",W142+AQ142)</f>
        <v/>
      </c>
      <c r="X143" s="28" t="str">
        <f t="shared" si="297"/>
        <v/>
      </c>
      <c r="Y143" s="28" t="str">
        <f t="array" ref="Y143">IF($I142="","",IF(AND(C143="P",C142&lt;&gt;"P"),IFERROR(XLOOKUP($B143,Lenso_Input!$A:$A,Lenso_Input!$E:$E,0),0),Y142+AS142))</f>
        <v/>
      </c>
      <c r="Z143" s="28" t="str">
        <f t="array" ref="Z143">IF($I142="","",IF(AND(C143="Q",C142&lt;&gt;"Q"),IFERROR(XLOOKUP($B143,Lenso_Input!$A:$A,Lenso_Input!$I:$I,0),0),Z142+AT142))</f>
        <v/>
      </c>
      <c r="AA143" s="28" t="str">
        <f t="array" ref="AA143">IF($I142="","",IF(XLOOKUP($B143,Derived_Variables!$A:$A,Derived_Variables!$R:$R,"6/6_target")="6/6_target","20_20_20","40_30_25"))</f>
        <v/>
      </c>
      <c r="AB143" s="28" t="str">
        <f t="array" ref="AB143">IF($I142="","",XLOOKUP(LOWER(XLOOKUP($B143,Derived_Variables!$A:$A,Derived_Variables!$T:$T,"Standard"))&amp;"_sph_step",Calibration!$B:$B,Calibration!$C:$C,0.25))</f>
        <v/>
      </c>
      <c r="AC143" s="28" t="str">
        <f t="array" ref="AC143">IF($I142="","",XLOOKUP(LOWER(XLOOKUP($B143,Derived_Variables!$A:$A,Derived_Variables!$T:$T,"Standard"))&amp;"_cyl_step",Calibration!$B:$B,Calibration!$C:$C,0.25))</f>
        <v/>
      </c>
      <c r="AD143" s="28" t="str">
        <f t="array" ref="AD143">IF($I142="","",IF(OR(C143="E",C143="H"),LET(startStep,XLOOKUP("axis_start_step",Calibration!$B:$B,Calibration!$C:$C,5),step1,XLOOKUP("axis_reversal_step_1",Calibration!$B:$B,Calibration!$C:$C,3),step2,XLOOKUP("axis_reversal_step_2",Calibration!$B:$B,Calibration!$C:$C,1),IF(OR(C142&lt;&gt;C143,AZ143="",AZ143="SAME",AZ143="CANT_TELL",I143="",I143="SAME",I143="CANT_TELL"),startStep,IF(OR(AND(AZ143="BETTER_1",I143="BETTER_2"),AND(AZ143="BETTER_2",I143="BETTER_1")),IF(AD142&gt;step1,step1,step2),AD142))),0))</f>
        <v/>
      </c>
      <c r="AE143" s="28" t="str">
        <f t="array" ref="AE143">IF($I142="","",XLOOKUP($B143,Derived_Variables!$A:$A,Derived_Variables!$AD:$AD,"No_Fog"))</f>
        <v/>
      </c>
      <c r="AF143" s="28" t="str">
        <f t="array" ref="AF143">IF($I142="","",XLOOKUP($B143,Derived_Variables!$A:$A,Derived_Variables!$AE:$AE,0))</f>
        <v/>
      </c>
      <c r="AG143" s="28" t="str">
        <f t="array" ref="AG143">IF($I142="","",XLOOKUP($B143,Derived_Variables!$A:$A,Derived_Variables!$AF:$AF,""))</f>
        <v/>
      </c>
      <c r="AH143" s="28" t="str">
        <f t="array" ref="AH143">IF($I142="","",XLOOKUP($B143,Derived_Variables!$A:$A,Derived_Variables!$AG:$AG,""))</f>
        <v/>
      </c>
      <c r="AI143" s="28" t="str">
        <f t="array" ref="AI143">IF($I142="","",XLOOKUP($B143,Derived_Variables!$A:$A,Derived_Variables!$AC:$AC,"Medium"))</f>
        <v/>
      </c>
      <c r="AJ143" s="28" t="str">
        <f t="array" ref="AJ143">IF($I142="","",XLOOKUP($B143,Derived_Variables!$A:$A,Derived_Variables!$Y:$Y,FALSE))</f>
        <v/>
      </c>
      <c r="AK143" s="28" t="str">
        <f t="array" ref="AK143">IF($I142="","",XLOOKUP($B143,Derived_Variables!$A:$A,Derived_Variables!$AA:$AA,"Normal"))</f>
        <v/>
      </c>
      <c r="AL143" s="28" t="str">
        <f t="array" ref="AL143">IF($I142="","",XLOOKUP($B143,Derived_Variables!$A:$A,Derived_Variables!$AB:$AB,"Normal"))</f>
        <v/>
      </c>
      <c r="AM143" s="28" t="str">
        <f t="array" ref="AM143">IF($I143="","",IFS(C143="B",IF(OR(I143="NOT_READABLE",I143="BLURRY"),-AB143,0),C143="G",IFS(I143="RED_CLEARER",XLOOKUP("duochrome_red_step",Calibration!$B:$B,Calibration!$C:$C,-0.25),I143="GREEN_CLEARER",XLOOKUP("duochrome_green_step",Calibration!$B:$B,Calibration!$C:$C,0.25),I143="EQUAL",IF(XLOOKUP($B143,Derived_Variables!$A:$A,Derived_Variables!$S:$S,"Neutral")="Undercorrect",XLOOKUP("undercorrect_step",Calibration!$B:$B,Calibration!$C:$C,0.25),IF(XLOOKUP($B143,Derived_Variables!$A:$A,Derived_Variables!$S:$S,"Neutral")="Overcorrect",-XLOOKUP("overcorrect_step",Calibration!$B:$B,Calibration!$C:$C,0.25),0)),TRUE,0),C143="K",IF(I143="TOP_CLEARER",XLOOKUP("bino_balance_step",Calibration!$B:$B,Calibration!$C:$C,0.25),0),TRUE,0))</f>
        <v/>
      </c>
      <c r="AN143" s="28" t="str">
        <f t="shared" si="10"/>
        <v/>
      </c>
      <c r="AO143" s="28" t="str">
        <f t="shared" si="11"/>
        <v/>
      </c>
      <c r="AP143" s="28" t="str">
        <f t="array" ref="AP143">IF($I143="","",IFS(C143="D",IF(OR(I143="NOT_READABLE",I143="BLURRY"),-AB143,0),C143="J",IFS(I143="RED_CLEARER",XLOOKUP("duochrome_red_step",Calibration!$B:$B,Calibration!$C:$C,-0.25),I143="GREEN_CLEARER",XLOOKUP("duochrome_green_step",Calibration!$B:$B,Calibration!$C:$C,0.25),I143="EQUAL",IF(XLOOKUP($B143,Derived_Variables!$A:$A,Derived_Variables!$S:$S,"Neutral")="Undercorrect",XLOOKUP("undercorrect_step",Calibration!$B:$B,Calibration!$C:$C,0.25),IF(XLOOKUP($B143,Derived_Variables!$A:$A,Derived_Variables!$S:$S,"Neutral")="Overcorrect",-XLOOKUP("overcorrect_step",Calibration!$B:$B,Calibration!$C:$C,0.25),0)),TRUE,0),C143="K",IF(I143="BOTTOM_CLEARER",XLOOKUP("bino_balance_step",Calibration!$B:$B,Calibration!$C:$C,0.25),0),TRUE,0))</f>
        <v/>
      </c>
      <c r="AQ143" s="28" t="str">
        <f t="shared" si="12"/>
        <v/>
      </c>
      <c r="AR143" s="28" t="str">
        <f t="shared" si="13"/>
        <v/>
      </c>
      <c r="AS143" s="28" t="str">
        <f t="array" ref="AS143">IF($I143="","",IF(C143="P",IF(OR(I143="NOT_READABLE",I143="BLURRY"),XLOOKUP("near_add_step",Calibration!$B:$B,Calibration!$C:$C,0.25),0),IF(C143="R",IF(I143="NOT_CLEAR",XLOOKUP("near_add_step",Calibration!$B:$B,Calibration!$C:$C,0.25),0),0)))</f>
        <v/>
      </c>
      <c r="AT143" s="28" t="str">
        <f t="array" ref="AT143">IF($I143="","",IF(C143="Q",IF(OR(I143="NOT_READABLE",I143="BLURRY"),XLOOKUP("near_add_step",Calibration!$B:$B,Calibration!$C:$C,0.25),0),IF(C143="R",IF(I143="NOT_CLEAR",XLOOKUP("near_add_step",Calibration!$B:$B,Calibration!$C:$C,0.25),0),0)))</f>
        <v/>
      </c>
      <c r="AU143" s="28" t="str">
        <f t="array" ref="AU143">IF($I143="","",IF(G143="SNELLEN_FEET",IF(I143="READABLE",IFERROR(XLOOKUP(XLOOKUP(R143,Chart_Scale_Distance!B:B,Chart_Scale_Distance!A:A)+1,Chart_Scale_Distance!A:A,Chart_Scale_Distance!B:B),R143),R143),R143))</f>
        <v/>
      </c>
      <c r="AV143" s="28" t="str">
        <f t="array" ref="AV143">IF($I142="","",IFERROR(XLOOKUP(R143,Chart_Scale_Distance!$B:$B,Chart_Scale_Distance!$A:$A,""),""))</f>
        <v/>
      </c>
      <c r="AW143" s="28" t="str">
        <f t="array" ref="AW143">IF($I142="","",IFERROR(XLOOKUP(AA143,Chart_Scale_Distance!$B:$B,Chart_Scale_Distance!$A:$A,""),""))</f>
        <v/>
      </c>
      <c r="AX143" s="28" t="str">
        <f t="shared" si="14"/>
        <v/>
      </c>
      <c r="AY143" s="28" t="str">
        <f t="shared" si="15"/>
        <v/>
      </c>
      <c r="AZ143" s="28" t="str">
        <f t="shared" si="16"/>
        <v/>
      </c>
      <c r="BA143" s="28" t="str">
        <f t="shared" si="17"/>
        <v/>
      </c>
      <c r="BB143" s="28" t="str">
        <f t="shared" si="18"/>
        <v/>
      </c>
      <c r="BC143" s="28" t="str">
        <f t="array" ref="BC143">IF($I143="","",LET(
conf,AI143,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duoMax,XLOOKUP($B143,Derived_Variables!$A:$A,Derived_Variables!$AI:$AI,4),
axisTol,XLOOKUP($B143,Derived_Variables!$A:$A,Derived_Variables!$W:$W,1),
maxStart,XLOOKUP($B143,Derived_Variables!$A:$A,Derived_Variables!$U:$U,1.25),
maxAR,XLOOKUP($B143,Derived_Variables!$A:$A,Derived_Variables!$V:$V,3),
anom,XLOOKUP($B143,Derived_Variables!$A:$A,Derived_Variables!$Z:$Z,FALSE),
reStart,XLOOKUP($B143,Derived_Variables!$A:$A,Derived_Variables!$K:$K,0),
leStart,XLOOKUP($B143,Derived_Variables!$A:$A,Derived_Variables!$N:$N,0),
reAR,XLOOKUP($B143,AR_Input!$A:$A,AR_Input!$B:$B,reStart),
leAR,XLOOKUP($B143,AR_Input!$A:$A,AR_Input!$E:$E,leStart),
reEsc,AND(anom,OR(ABS((S143+AM143)-reStart)&gt;maxStart,ABS((S143+AM143)-reAR)&gt;maxAR)),
leEsc,AND(anom,OR(ABS((V143+AP143)-leStart)&gt;maxStart,ABS((V143+AP143)-leAR)&gt;maxAR)),
phaseMax,IFS(
 AK143="Fast",
   IFS(
     OR(C143="B",C143="D"),XLOOKUP("timeout_coarse_fast",Calibration!$B:$B,Calibration!$C:$C,24),
     OR(C143="E",C143="F",C143="H",C143="I"),XLOOKUP("timeout_jcc_fast",Calibration!$B:$B,Calibration!$C:$C,10),
     OR(C143="G",C143="J"),XLOOKUP("timeout_duochrome_fast",Calibration!$B:$B,Calibration!$C:$C,8),
     C143="K",XLOOKUP("timeout_bino_fast",Calibration!$B:$B,Calibration!$C:$C,10),
     OR(C143="P",C143="Q",C143="R"),XLOOKUP("timeout_near_fast",Calibration!$B:$B,Calibration!$C:$C,16),
     TRUE,XLOOKUP("timeout_coarse_fast",Calibration!$B:$B,Calibration!$C:$C,24)
   ),
 AK143="Normal",
   IFS(
     OR(C143="B",C143="D"),XLOOKUP("timeout_coarse_normal",Calibration!$B:$B,Calibration!$C:$C,36),
     OR(C143="E",C143="F",C143="H",C143="I"),XLOOKUP("timeout_jcc_normal",Calibration!$B:$B,Calibration!$C:$C,14),
     OR(C143="G",C143="J"),XLOOKUP("timeout_duochrome_normal",Calibration!$B:$B,Calibration!$C:$C,10),
     C143="K",XLOOKUP("timeout_bino_normal",Calibration!$B:$B,Calibration!$C:$C,14),
     OR(C143="P",C143="Q",C143="R"),XLOOKUP("timeout_near_normal",Calibration!$B:$B,Calibration!$C:$C,22),
     TRUE,XLOOKUP("timeout_coarse_normal",Calibration!$B:$B,Calibration!$C:$C,36)
   ),
 TRUE,
   IFS(
     OR(C143="B",C143="D"),XLOOKUP("timeout_coarse_slow",Calibration!$B:$B,Calibration!$C:$C,48),
     OR(C143="E",C143="F",C143="H",C143="I"),XLOOKUP("timeout_jcc_slow",Calibration!$B:$B,Calibration!$C:$C,18),
     OR(C143="G",C143="J"),XLOOKUP("timeout_duochrome_slow",Calibration!$B:$B,Calibration!$C:$C,12),
     C143="K",XLOOKUP("timeout_bino_slow",Calibration!$B:$B,Calibration!$C:$C,18),
     OR(C143="P",C143="Q",C143="R"),XLOOKUP("timeout_near_slow",Calibration!$B:$B,Calibration!$C:$C,28),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AJ143=TRUE,"ESCALATE",
C143="A",
IF(OR(I143="NOT_READABLE",I143="BLURRY",AND(R143="20_20_20",I143="READABLE")),"B","A"),
C143="B",
IF(reEsc,"ESCALATE",IF(AY143&gt;=phaseMax,"ESCALATE",IF(AND(AV143&gt;=AW143,I143="READABLE"),"E","B"))),
C143="E",
IF(AY143&gt;=phaseMax,"ESCALATE",IF(OR(I143="SAME",I143="CANT_TELL",AD143&lt;axisTol),"F","E")),
C143="F",
IF(AY143&gt;=phaseMax,"ESCALATE",IF(AX143&gt;=powerSameN,"G","F")),
C143="G",
IF(AY143&gt;=phaseMax,"ESCALATE",IF(OR(AX143&gt;=duoEqualN,BB143&gt;=duoMax),"D","G")),
C143="D",
IF(leEsc,"ESCALATE",IF(AY143&gt;=phaseMax,"ESCALATE",IF(AND(AV143&gt;=AW143,I143="READABLE"),"H","D"))),
C143="H",
IF(AY143&gt;=phaseMax,"ESCALATE",IF(OR(I143="SAME",I143="CANT_TELL",AD143&lt;axisTol),"I","H")),
C143="I",
IF(AY143&gt;=phaseMax,"ESCALATE",IF(AX143&gt;=powerSameN,"J","I")),
C143="J",
IF(AY143&gt;=phaseMax,"ESCALATE",IF(OR(AX143&gt;=duoEqualN,BB143&gt;=duoMax),"K","J")),
C143="K",
IF(AY143&gt;=phaseMax,"ESCALATE",IF(AX143&gt;=binoSameN,IF(XLOOKUP($B143,Derived_Variables!$A:$A,Derived_Variables!$AJ:$AJ,FALSE)=TRUE,"P","END"),"K")),
C143="P",
IF(AY143&gt;=phaseMax,"ESCALATE",IF(OR(I143="READABLE",I143="SAME"),"Q","P")),
C143="Q",
IF(AY143&gt;=phaseMax,"ESCALATE",IF(OR(I143="READABLE",I143="SAME"),"R","Q")),
C143="R",
IF(AY143&gt;=phaseMax,"ESCALATE",IF(OR(I143=nearTarget,I143="SAME"),"END","R")),
TRUE,"END"
)))</f>
        <v/>
      </c>
      <c r="BD143" s="28" t="b">
        <f t="shared" si="19"/>
        <v>0</v>
      </c>
    </row>
    <row r="144" ht="15.75" customHeight="1">
      <c r="A144" s="28">
        <f t="shared" si="3"/>
        <v>143</v>
      </c>
      <c r="B144" s="28">
        <f t="shared" si="4"/>
        <v>6</v>
      </c>
      <c r="C144" s="28" t="str">
        <f t="shared" si="5"/>
        <v/>
      </c>
      <c r="D144" s="28" t="str">
        <f t="array" ref="D144">IF($I143="","",XLOOKUP(C144,FSM_State_Map!A:A,FSM_State_Map!B:B,""))</f>
        <v/>
      </c>
      <c r="E144" s="28" t="str">
        <f t="array" ref="E144">IF($I143="","",XLOOKUP(C144,FSM_State_Map!A:A,FSM_State_Map!C:C,""))</f>
        <v/>
      </c>
      <c r="F144" s="28" t="str">
        <f t="array" ref="F144">IF($I143="","",XLOOKUP(E144,Phase_UI_Map!A:A,Phase_UI_Map!B:B,""))</f>
        <v/>
      </c>
      <c r="G144" s="28" t="str">
        <f t="array" ref="G144">IF($I143="","",XLOOKUP(E144,Phase_UI_Map!A:A,Phase_UI_Map!C:C,""))</f>
        <v/>
      </c>
      <c r="H144" s="28" t="str">
        <f t="array" ref="H144">IF($I143="","",XLOOKUP(E144,Phase_UI_Map!A:A,Phase_UI_Map!D:D,""))</f>
        <v/>
      </c>
      <c r="I144" s="29"/>
      <c r="J144" s="28" t="str">
        <f>IFERROR(__xludf.DUMMYFUNCTION("IF($I143="""","""",IFERROR(INDEX(FILTER(Response_Lists!$B:$B,Response_Lists!$A:$A=$H144),1),""""))"),"")</f>
        <v/>
      </c>
      <c r="K144" s="28" t="str">
        <f>IFERROR(__xludf.DUMMYFUNCTION("IF($I143="""","""",IFERROR(INDEX(FILTER(Response_Lists!$B:$B,Response_Lists!$A:$A=$H144),2),""""))"),"")</f>
        <v/>
      </c>
      <c r="L144" s="28" t="str">
        <f>IFERROR(__xludf.DUMMYFUNCTION("IF($I143="""","""",IFERROR(INDEX(FILTER(Response_Lists!$B:$B,Response_Lists!$A:$A=$H144),3),""""))"),"")</f>
        <v/>
      </c>
      <c r="M144" s="28" t="str">
        <f>IFERROR(__xludf.DUMMYFUNCTION("IF($I143="""","""",IFERROR(INDEX(FILTER(Response_Lists!$B:$B,Response_Lists!$A:$A=$H144),4),""""))"),"")</f>
        <v/>
      </c>
      <c r="N144" s="28" t="str">
        <f>IFERROR(__xludf.DUMMYFUNCTION("IF($I143="""","""",IFERROR(INDEX(FILTER(Response_Lists!$B:$B,Response_Lists!$A:$A=$H144),5),""""))"),"")</f>
        <v/>
      </c>
      <c r="O144" s="28" t="str">
        <f>IFERROR(__xludf.DUMMYFUNCTION("IF($I143="""","""",IFERROR(INDEX(FILTER(Response_Lists!$B:$B,Response_Lists!$A:$A=$H144),6),""""))"),"")</f>
        <v/>
      </c>
      <c r="P144" s="28" t="str">
        <f t="shared" si="6"/>
        <v/>
      </c>
      <c r="Q144" s="28" t="str">
        <f t="array" ref="Q144">IF($I143="","",XLOOKUP(C144,FSM_State_Map!A:A,FSM_State_Map!D:D,""))</f>
        <v/>
      </c>
      <c r="R144" s="28" t="str">
        <f t="shared" si="7"/>
        <v/>
      </c>
      <c r="S144" s="28" t="str">
        <f t="array" ref="S144">IF($I143="","",
IF(
  AND(C144="B",C143&lt;&gt;"B"),
  XLOOKUP($B144,Derived_Variables!$A:$A,Derived_Variables!$K:$K,0)
  + XLOOKUP($B144,Derived_Variables!$A:$A,Derived_Variables!$AE:$AE,0),
  S143+AM143
))</f>
        <v/>
      </c>
      <c r="T144" s="28" t="str">
        <f t="shared" ref="T144:U144" si="298">IF($I143="","",T143+AN143)</f>
        <v/>
      </c>
      <c r="U144" s="28" t="str">
        <f t="shared" si="298"/>
        <v/>
      </c>
      <c r="V144" s="28" t="str">
        <f t="array" ref="V144">IF($I143="","",
IF(
  AND(C144="D",C143&lt;&gt;"D"),
  XLOOKUP($B144,Derived_Variables!$A:$A,Derived_Variables!$N:$N,0)
  + XLOOKUP($B144,Derived_Variables!$A:$A,Derived_Variables!$AE:$AE,0),
  V143+AP143
))</f>
        <v/>
      </c>
      <c r="W144" s="28" t="str">
        <f t="shared" ref="W144:X144" si="299">IF($I143="","",W143+AQ143)</f>
        <v/>
      </c>
      <c r="X144" s="28" t="str">
        <f t="shared" si="299"/>
        <v/>
      </c>
      <c r="Y144" s="28" t="str">
        <f t="array" ref="Y144">IF($I143="","",IF(AND(C144="P",C143&lt;&gt;"P"),IFERROR(XLOOKUP($B144,Lenso_Input!$A:$A,Lenso_Input!$E:$E,0),0),Y143+AS143))</f>
        <v/>
      </c>
      <c r="Z144" s="28" t="str">
        <f t="array" ref="Z144">IF($I143="","",IF(AND(C144="Q",C143&lt;&gt;"Q"),IFERROR(XLOOKUP($B144,Lenso_Input!$A:$A,Lenso_Input!$I:$I,0),0),Z143+AT143))</f>
        <v/>
      </c>
      <c r="AA144" s="28" t="str">
        <f t="array" ref="AA144">IF($I143="","",IF(XLOOKUP($B144,Derived_Variables!$A:$A,Derived_Variables!$R:$R,"6/6_target")="6/6_target","20_20_20","40_30_25"))</f>
        <v/>
      </c>
      <c r="AB144" s="28" t="str">
        <f t="array" ref="AB144">IF($I143="","",XLOOKUP(LOWER(XLOOKUP($B144,Derived_Variables!$A:$A,Derived_Variables!$T:$T,"Standard"))&amp;"_sph_step",Calibration!$B:$B,Calibration!$C:$C,0.25))</f>
        <v/>
      </c>
      <c r="AC144" s="28" t="str">
        <f t="array" ref="AC144">IF($I143="","",XLOOKUP(LOWER(XLOOKUP($B144,Derived_Variables!$A:$A,Derived_Variables!$T:$T,"Standard"))&amp;"_cyl_step",Calibration!$B:$B,Calibration!$C:$C,0.25))</f>
        <v/>
      </c>
      <c r="AD144" s="28" t="str">
        <f t="array" ref="AD144">IF($I143="","",IF(OR(C144="E",C144="H"),LET(startStep,XLOOKUP("axis_start_step",Calibration!$B:$B,Calibration!$C:$C,5),step1,XLOOKUP("axis_reversal_step_1",Calibration!$B:$B,Calibration!$C:$C,3),step2,XLOOKUP("axis_reversal_step_2",Calibration!$B:$B,Calibration!$C:$C,1),IF(OR(C143&lt;&gt;C144,AZ144="",AZ144="SAME",AZ144="CANT_TELL",I144="",I144="SAME",I144="CANT_TELL"),startStep,IF(OR(AND(AZ144="BETTER_1",I144="BETTER_2"),AND(AZ144="BETTER_2",I144="BETTER_1")),IF(AD143&gt;step1,step1,step2),AD143))),0))</f>
        <v/>
      </c>
      <c r="AE144" s="28" t="str">
        <f t="array" ref="AE144">IF($I143="","",XLOOKUP($B144,Derived_Variables!$A:$A,Derived_Variables!$AD:$AD,"No_Fog"))</f>
        <v/>
      </c>
      <c r="AF144" s="28" t="str">
        <f t="array" ref="AF144">IF($I143="","",XLOOKUP($B144,Derived_Variables!$A:$A,Derived_Variables!$AE:$AE,0))</f>
        <v/>
      </c>
      <c r="AG144" s="28" t="str">
        <f t="array" ref="AG144">IF($I143="","",XLOOKUP($B144,Derived_Variables!$A:$A,Derived_Variables!$AF:$AF,""))</f>
        <v/>
      </c>
      <c r="AH144" s="28" t="str">
        <f t="array" ref="AH144">IF($I143="","",XLOOKUP($B144,Derived_Variables!$A:$A,Derived_Variables!$AG:$AG,""))</f>
        <v/>
      </c>
      <c r="AI144" s="28" t="str">
        <f t="array" ref="AI144">IF($I143="","",XLOOKUP($B144,Derived_Variables!$A:$A,Derived_Variables!$AC:$AC,"Medium"))</f>
        <v/>
      </c>
      <c r="AJ144" s="28" t="str">
        <f t="array" ref="AJ144">IF($I143="","",XLOOKUP($B144,Derived_Variables!$A:$A,Derived_Variables!$Y:$Y,FALSE))</f>
        <v/>
      </c>
      <c r="AK144" s="28" t="str">
        <f t="array" ref="AK144">IF($I143="","",XLOOKUP($B144,Derived_Variables!$A:$A,Derived_Variables!$AA:$AA,"Normal"))</f>
        <v/>
      </c>
      <c r="AL144" s="28" t="str">
        <f t="array" ref="AL144">IF($I143="","",XLOOKUP($B144,Derived_Variables!$A:$A,Derived_Variables!$AB:$AB,"Normal"))</f>
        <v/>
      </c>
      <c r="AM144" s="28" t="str">
        <f t="array" ref="AM144">IF($I144="","",IFS(C144="B",IF(OR(I144="NOT_READABLE",I144="BLURRY"),-AB144,0),C144="G",IFS(I144="RED_CLEARER",XLOOKUP("duochrome_red_step",Calibration!$B:$B,Calibration!$C:$C,-0.25),I144="GREEN_CLEARER",XLOOKUP("duochrome_green_step",Calibration!$B:$B,Calibration!$C:$C,0.25),I144="EQUAL",IF(XLOOKUP($B144,Derived_Variables!$A:$A,Derived_Variables!$S:$S,"Neutral")="Undercorrect",XLOOKUP("undercorrect_step",Calibration!$B:$B,Calibration!$C:$C,0.25),IF(XLOOKUP($B144,Derived_Variables!$A:$A,Derived_Variables!$S:$S,"Neutral")="Overcorrect",-XLOOKUP("overcorrect_step",Calibration!$B:$B,Calibration!$C:$C,0.25),0)),TRUE,0),C144="K",IF(I144="TOP_CLEARER",XLOOKUP("bino_balance_step",Calibration!$B:$B,Calibration!$C:$C,0.25),0),TRUE,0))</f>
        <v/>
      </c>
      <c r="AN144" s="28" t="str">
        <f t="shared" si="10"/>
        <v/>
      </c>
      <c r="AO144" s="28" t="str">
        <f t="shared" si="11"/>
        <v/>
      </c>
      <c r="AP144" s="28" t="str">
        <f t="array" ref="AP144">IF($I144="","",IFS(C144="D",IF(OR(I144="NOT_READABLE",I144="BLURRY"),-AB144,0),C144="J",IFS(I144="RED_CLEARER",XLOOKUP("duochrome_red_step",Calibration!$B:$B,Calibration!$C:$C,-0.25),I144="GREEN_CLEARER",XLOOKUP("duochrome_green_step",Calibration!$B:$B,Calibration!$C:$C,0.25),I144="EQUAL",IF(XLOOKUP($B144,Derived_Variables!$A:$A,Derived_Variables!$S:$S,"Neutral")="Undercorrect",XLOOKUP("undercorrect_step",Calibration!$B:$B,Calibration!$C:$C,0.25),IF(XLOOKUP($B144,Derived_Variables!$A:$A,Derived_Variables!$S:$S,"Neutral")="Overcorrect",-XLOOKUP("overcorrect_step",Calibration!$B:$B,Calibration!$C:$C,0.25),0)),TRUE,0),C144="K",IF(I144="BOTTOM_CLEARER",XLOOKUP("bino_balance_step",Calibration!$B:$B,Calibration!$C:$C,0.25),0),TRUE,0))</f>
        <v/>
      </c>
      <c r="AQ144" s="28" t="str">
        <f t="shared" si="12"/>
        <v/>
      </c>
      <c r="AR144" s="28" t="str">
        <f t="shared" si="13"/>
        <v/>
      </c>
      <c r="AS144" s="28" t="str">
        <f t="array" ref="AS144">IF($I144="","",IF(C144="P",IF(OR(I144="NOT_READABLE",I144="BLURRY"),XLOOKUP("near_add_step",Calibration!$B:$B,Calibration!$C:$C,0.25),0),IF(C144="R",IF(I144="NOT_CLEAR",XLOOKUP("near_add_step",Calibration!$B:$B,Calibration!$C:$C,0.25),0),0)))</f>
        <v/>
      </c>
      <c r="AT144" s="28" t="str">
        <f t="array" ref="AT144">IF($I144="","",IF(C144="Q",IF(OR(I144="NOT_READABLE",I144="BLURRY"),XLOOKUP("near_add_step",Calibration!$B:$B,Calibration!$C:$C,0.25),0),IF(C144="R",IF(I144="NOT_CLEAR",XLOOKUP("near_add_step",Calibration!$B:$B,Calibration!$C:$C,0.25),0),0)))</f>
        <v/>
      </c>
      <c r="AU144" s="28" t="str">
        <f t="array" ref="AU144">IF($I144="","",IF(G144="SNELLEN_FEET",IF(I144="READABLE",IFERROR(XLOOKUP(XLOOKUP(R144,Chart_Scale_Distance!B:B,Chart_Scale_Distance!A:A)+1,Chart_Scale_Distance!A:A,Chart_Scale_Distance!B:B),R144),R144),R144))</f>
        <v/>
      </c>
      <c r="AV144" s="28" t="str">
        <f t="array" ref="AV144">IF($I143="","",IFERROR(XLOOKUP(R144,Chart_Scale_Distance!$B:$B,Chart_Scale_Distance!$A:$A,""),""))</f>
        <v/>
      </c>
      <c r="AW144" s="28" t="str">
        <f t="array" ref="AW144">IF($I143="","",IFERROR(XLOOKUP(AA144,Chart_Scale_Distance!$B:$B,Chart_Scale_Distance!$A:$A,""),""))</f>
        <v/>
      </c>
      <c r="AX144" s="28" t="str">
        <f t="shared" si="14"/>
        <v/>
      </c>
      <c r="AY144" s="28" t="str">
        <f t="shared" si="15"/>
        <v/>
      </c>
      <c r="AZ144" s="28" t="str">
        <f t="shared" si="16"/>
        <v/>
      </c>
      <c r="BA144" s="28" t="str">
        <f t="shared" si="17"/>
        <v/>
      </c>
      <c r="BB144" s="28" t="str">
        <f t="shared" si="18"/>
        <v/>
      </c>
      <c r="BC144" s="28" t="str">
        <f t="array" ref="BC144">IF($I144="","",LET(
conf,AI144,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duoMax,XLOOKUP($B144,Derived_Variables!$A:$A,Derived_Variables!$AI:$AI,4),
axisTol,XLOOKUP($B144,Derived_Variables!$A:$A,Derived_Variables!$W:$W,1),
maxStart,XLOOKUP($B144,Derived_Variables!$A:$A,Derived_Variables!$U:$U,1.25),
maxAR,XLOOKUP($B144,Derived_Variables!$A:$A,Derived_Variables!$V:$V,3),
anom,XLOOKUP($B144,Derived_Variables!$A:$A,Derived_Variables!$Z:$Z,FALSE),
reStart,XLOOKUP($B144,Derived_Variables!$A:$A,Derived_Variables!$K:$K,0),
leStart,XLOOKUP($B144,Derived_Variables!$A:$A,Derived_Variables!$N:$N,0),
reAR,XLOOKUP($B144,AR_Input!$A:$A,AR_Input!$B:$B,reStart),
leAR,XLOOKUP($B144,AR_Input!$A:$A,AR_Input!$E:$E,leStart),
reEsc,AND(anom,OR(ABS((S144+AM144)-reStart)&gt;maxStart,ABS((S144+AM144)-reAR)&gt;maxAR)),
leEsc,AND(anom,OR(ABS((V144+AP144)-leStart)&gt;maxStart,ABS((V144+AP144)-leAR)&gt;maxAR)),
phaseMax,IFS(
 AK144="Fast",
   IFS(
     OR(C144="B",C144="D"),XLOOKUP("timeout_coarse_fast",Calibration!$B:$B,Calibration!$C:$C,24),
     OR(C144="E",C144="F",C144="H",C144="I"),XLOOKUP("timeout_jcc_fast",Calibration!$B:$B,Calibration!$C:$C,10),
     OR(C144="G",C144="J"),XLOOKUP("timeout_duochrome_fast",Calibration!$B:$B,Calibration!$C:$C,8),
     C144="K",XLOOKUP("timeout_bino_fast",Calibration!$B:$B,Calibration!$C:$C,10),
     OR(C144="P",C144="Q",C144="R"),XLOOKUP("timeout_near_fast",Calibration!$B:$B,Calibration!$C:$C,16),
     TRUE,XLOOKUP("timeout_coarse_fast",Calibration!$B:$B,Calibration!$C:$C,24)
   ),
 AK144="Normal",
   IFS(
     OR(C144="B",C144="D"),XLOOKUP("timeout_coarse_normal",Calibration!$B:$B,Calibration!$C:$C,36),
     OR(C144="E",C144="F",C144="H",C144="I"),XLOOKUP("timeout_jcc_normal",Calibration!$B:$B,Calibration!$C:$C,14),
     OR(C144="G",C144="J"),XLOOKUP("timeout_duochrome_normal",Calibration!$B:$B,Calibration!$C:$C,10),
     C144="K",XLOOKUP("timeout_bino_normal",Calibration!$B:$B,Calibration!$C:$C,14),
     OR(C144="P",C144="Q",C144="R"),XLOOKUP("timeout_near_normal",Calibration!$B:$B,Calibration!$C:$C,22),
     TRUE,XLOOKUP("timeout_coarse_normal",Calibration!$B:$B,Calibration!$C:$C,36)
   ),
 TRUE,
   IFS(
     OR(C144="B",C144="D"),XLOOKUP("timeout_coarse_slow",Calibration!$B:$B,Calibration!$C:$C,48),
     OR(C144="E",C144="F",C144="H",C144="I"),XLOOKUP("timeout_jcc_slow",Calibration!$B:$B,Calibration!$C:$C,18),
     OR(C144="G",C144="J"),XLOOKUP("timeout_duochrome_slow",Calibration!$B:$B,Calibration!$C:$C,12),
     C144="K",XLOOKUP("timeout_bino_slow",Calibration!$B:$B,Calibration!$C:$C,18),
     OR(C144="P",C144="Q",C144="R"),XLOOKUP("timeout_near_slow",Calibration!$B:$B,Calibration!$C:$C,28),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AJ144=TRUE,"ESCALATE",
C144="A",
IF(OR(I144="NOT_READABLE",I144="BLURRY",AND(R144="20_20_20",I144="READABLE")),"B","A"),
C144="B",
IF(reEsc,"ESCALATE",IF(AY144&gt;=phaseMax,"ESCALATE",IF(AND(AV144&gt;=AW144,I144="READABLE"),"E","B"))),
C144="E",
IF(AY144&gt;=phaseMax,"ESCALATE",IF(OR(I144="SAME",I144="CANT_TELL",AD144&lt;axisTol),"F","E")),
C144="F",
IF(AY144&gt;=phaseMax,"ESCALATE",IF(AX144&gt;=powerSameN,"G","F")),
C144="G",
IF(AY144&gt;=phaseMax,"ESCALATE",IF(OR(AX144&gt;=duoEqualN,BB144&gt;=duoMax),"D","G")),
C144="D",
IF(leEsc,"ESCALATE",IF(AY144&gt;=phaseMax,"ESCALATE",IF(AND(AV144&gt;=AW144,I144="READABLE"),"H","D"))),
C144="H",
IF(AY144&gt;=phaseMax,"ESCALATE",IF(OR(I144="SAME",I144="CANT_TELL",AD144&lt;axisTol),"I","H")),
C144="I",
IF(AY144&gt;=phaseMax,"ESCALATE",IF(AX144&gt;=powerSameN,"J","I")),
C144="J",
IF(AY144&gt;=phaseMax,"ESCALATE",IF(OR(AX144&gt;=duoEqualN,BB144&gt;=duoMax),"K","J")),
C144="K",
IF(AY144&gt;=phaseMax,"ESCALATE",IF(AX144&gt;=binoSameN,IF(XLOOKUP($B144,Derived_Variables!$A:$A,Derived_Variables!$AJ:$AJ,FALSE)=TRUE,"P","END"),"K")),
C144="P",
IF(AY144&gt;=phaseMax,"ESCALATE",IF(OR(I144="READABLE",I144="SAME"),"Q","P")),
C144="Q",
IF(AY144&gt;=phaseMax,"ESCALATE",IF(OR(I144="READABLE",I144="SAME"),"R","Q")),
C144="R",
IF(AY144&gt;=phaseMax,"ESCALATE",IF(OR(I144=nearTarget,I144="SAME"),"END","R")),
TRUE,"END"
)))</f>
        <v/>
      </c>
      <c r="BD144" s="28" t="b">
        <f t="shared" si="19"/>
        <v>0</v>
      </c>
    </row>
    <row r="145" ht="15.75" customHeight="1">
      <c r="A145" s="28">
        <f t="shared" si="3"/>
        <v>144</v>
      </c>
      <c r="B145" s="28">
        <f t="shared" si="4"/>
        <v>6</v>
      </c>
      <c r="C145" s="28" t="str">
        <f t="shared" si="5"/>
        <v/>
      </c>
      <c r="D145" s="28" t="str">
        <f t="array" ref="D145">IF($I144="","",XLOOKUP(C145,FSM_State_Map!A:A,FSM_State_Map!B:B,""))</f>
        <v/>
      </c>
      <c r="E145" s="28" t="str">
        <f t="array" ref="E145">IF($I144="","",XLOOKUP(C145,FSM_State_Map!A:A,FSM_State_Map!C:C,""))</f>
        <v/>
      </c>
      <c r="F145" s="28" t="str">
        <f t="array" ref="F145">IF($I144="","",XLOOKUP(E145,Phase_UI_Map!A:A,Phase_UI_Map!B:B,""))</f>
        <v/>
      </c>
      <c r="G145" s="28" t="str">
        <f t="array" ref="G145">IF($I144="","",XLOOKUP(E145,Phase_UI_Map!A:A,Phase_UI_Map!C:C,""))</f>
        <v/>
      </c>
      <c r="H145" s="28" t="str">
        <f t="array" ref="H145">IF($I144="","",XLOOKUP(E145,Phase_UI_Map!A:A,Phase_UI_Map!D:D,""))</f>
        <v/>
      </c>
      <c r="I145" s="29"/>
      <c r="J145" s="28" t="str">
        <f>IFERROR(__xludf.DUMMYFUNCTION("IF($I144="""","""",IFERROR(INDEX(FILTER(Response_Lists!$B:$B,Response_Lists!$A:$A=$H145),1),""""))"),"")</f>
        <v/>
      </c>
      <c r="K145" s="28" t="str">
        <f>IFERROR(__xludf.DUMMYFUNCTION("IF($I144="""","""",IFERROR(INDEX(FILTER(Response_Lists!$B:$B,Response_Lists!$A:$A=$H145),2),""""))"),"")</f>
        <v/>
      </c>
      <c r="L145" s="28" t="str">
        <f>IFERROR(__xludf.DUMMYFUNCTION("IF($I144="""","""",IFERROR(INDEX(FILTER(Response_Lists!$B:$B,Response_Lists!$A:$A=$H145),3),""""))"),"")</f>
        <v/>
      </c>
      <c r="M145" s="28" t="str">
        <f>IFERROR(__xludf.DUMMYFUNCTION("IF($I144="""","""",IFERROR(INDEX(FILTER(Response_Lists!$B:$B,Response_Lists!$A:$A=$H145),4),""""))"),"")</f>
        <v/>
      </c>
      <c r="N145" s="28" t="str">
        <f>IFERROR(__xludf.DUMMYFUNCTION("IF($I144="""","""",IFERROR(INDEX(FILTER(Response_Lists!$B:$B,Response_Lists!$A:$A=$H145),5),""""))"),"")</f>
        <v/>
      </c>
      <c r="O145" s="28" t="str">
        <f>IFERROR(__xludf.DUMMYFUNCTION("IF($I144="""","""",IFERROR(INDEX(FILTER(Response_Lists!$B:$B,Response_Lists!$A:$A=$H145),6),""""))"),"")</f>
        <v/>
      </c>
      <c r="P145" s="28" t="str">
        <f t="shared" si="6"/>
        <v/>
      </c>
      <c r="Q145" s="28" t="str">
        <f t="array" ref="Q145">IF($I144="","",XLOOKUP(C145,FSM_State_Map!A:A,FSM_State_Map!D:D,""))</f>
        <v/>
      </c>
      <c r="R145" s="28" t="str">
        <f t="shared" si="7"/>
        <v/>
      </c>
      <c r="S145" s="28" t="str">
        <f t="array" ref="S145">IF($I144="","",
IF(
  AND(C145="B",C144&lt;&gt;"B"),
  XLOOKUP($B145,Derived_Variables!$A:$A,Derived_Variables!$K:$K,0)
  + XLOOKUP($B145,Derived_Variables!$A:$A,Derived_Variables!$AE:$AE,0),
  S144+AM144
))</f>
        <v/>
      </c>
      <c r="T145" s="28" t="str">
        <f t="shared" ref="T145:U145" si="300">IF($I144="","",T144+AN144)</f>
        <v/>
      </c>
      <c r="U145" s="28" t="str">
        <f t="shared" si="300"/>
        <v/>
      </c>
      <c r="V145" s="28" t="str">
        <f t="array" ref="V145">IF($I144="","",
IF(
  AND(C145="D",C144&lt;&gt;"D"),
  XLOOKUP($B145,Derived_Variables!$A:$A,Derived_Variables!$N:$N,0)
  + XLOOKUP($B145,Derived_Variables!$A:$A,Derived_Variables!$AE:$AE,0),
  V144+AP144
))</f>
        <v/>
      </c>
      <c r="W145" s="28" t="str">
        <f t="shared" ref="W145:X145" si="301">IF($I144="","",W144+AQ144)</f>
        <v/>
      </c>
      <c r="X145" s="28" t="str">
        <f t="shared" si="301"/>
        <v/>
      </c>
      <c r="Y145" s="28" t="str">
        <f t="array" ref="Y145">IF($I144="","",IF(AND(C145="P",C144&lt;&gt;"P"),IFERROR(XLOOKUP($B145,Lenso_Input!$A:$A,Lenso_Input!$E:$E,0),0),Y144+AS144))</f>
        <v/>
      </c>
      <c r="Z145" s="28" t="str">
        <f t="array" ref="Z145">IF($I144="","",IF(AND(C145="Q",C144&lt;&gt;"Q"),IFERROR(XLOOKUP($B145,Lenso_Input!$A:$A,Lenso_Input!$I:$I,0),0),Z144+AT144))</f>
        <v/>
      </c>
      <c r="AA145" s="28" t="str">
        <f t="array" ref="AA145">IF($I144="","",IF(XLOOKUP($B145,Derived_Variables!$A:$A,Derived_Variables!$R:$R,"6/6_target")="6/6_target","20_20_20","40_30_25"))</f>
        <v/>
      </c>
      <c r="AB145" s="28" t="str">
        <f t="array" ref="AB145">IF($I144="","",XLOOKUP(LOWER(XLOOKUP($B145,Derived_Variables!$A:$A,Derived_Variables!$T:$T,"Standard"))&amp;"_sph_step",Calibration!$B:$B,Calibration!$C:$C,0.25))</f>
        <v/>
      </c>
      <c r="AC145" s="28" t="str">
        <f t="array" ref="AC145">IF($I144="","",XLOOKUP(LOWER(XLOOKUP($B145,Derived_Variables!$A:$A,Derived_Variables!$T:$T,"Standard"))&amp;"_cyl_step",Calibration!$B:$B,Calibration!$C:$C,0.25))</f>
        <v/>
      </c>
      <c r="AD145" s="28" t="str">
        <f t="array" ref="AD145">IF($I144="","",IF(OR(C145="E",C145="H"),LET(startStep,XLOOKUP("axis_start_step",Calibration!$B:$B,Calibration!$C:$C,5),step1,XLOOKUP("axis_reversal_step_1",Calibration!$B:$B,Calibration!$C:$C,3),step2,XLOOKUP("axis_reversal_step_2",Calibration!$B:$B,Calibration!$C:$C,1),IF(OR(C144&lt;&gt;C145,AZ145="",AZ145="SAME",AZ145="CANT_TELL",I145="",I145="SAME",I145="CANT_TELL"),startStep,IF(OR(AND(AZ145="BETTER_1",I145="BETTER_2"),AND(AZ145="BETTER_2",I145="BETTER_1")),IF(AD144&gt;step1,step1,step2),AD144))),0))</f>
        <v/>
      </c>
      <c r="AE145" s="28" t="str">
        <f t="array" ref="AE145">IF($I144="","",XLOOKUP($B145,Derived_Variables!$A:$A,Derived_Variables!$AD:$AD,"No_Fog"))</f>
        <v/>
      </c>
      <c r="AF145" s="28" t="str">
        <f t="array" ref="AF145">IF($I144="","",XLOOKUP($B145,Derived_Variables!$A:$A,Derived_Variables!$AE:$AE,0))</f>
        <v/>
      </c>
      <c r="AG145" s="28" t="str">
        <f t="array" ref="AG145">IF($I144="","",XLOOKUP($B145,Derived_Variables!$A:$A,Derived_Variables!$AF:$AF,""))</f>
        <v/>
      </c>
      <c r="AH145" s="28" t="str">
        <f t="array" ref="AH145">IF($I144="","",XLOOKUP($B145,Derived_Variables!$A:$A,Derived_Variables!$AG:$AG,""))</f>
        <v/>
      </c>
      <c r="AI145" s="28" t="str">
        <f t="array" ref="AI145">IF($I144="","",XLOOKUP($B145,Derived_Variables!$A:$A,Derived_Variables!$AC:$AC,"Medium"))</f>
        <v/>
      </c>
      <c r="AJ145" s="28" t="str">
        <f t="array" ref="AJ145">IF($I144="","",XLOOKUP($B145,Derived_Variables!$A:$A,Derived_Variables!$Y:$Y,FALSE))</f>
        <v/>
      </c>
      <c r="AK145" s="28" t="str">
        <f t="array" ref="AK145">IF($I144="","",XLOOKUP($B145,Derived_Variables!$A:$A,Derived_Variables!$AA:$AA,"Normal"))</f>
        <v/>
      </c>
      <c r="AL145" s="28" t="str">
        <f t="array" ref="AL145">IF($I144="","",XLOOKUP($B145,Derived_Variables!$A:$A,Derived_Variables!$AB:$AB,"Normal"))</f>
        <v/>
      </c>
      <c r="AM145" s="28" t="str">
        <f t="array" ref="AM145">IF($I145="","",IFS(C145="B",IF(OR(I145="NOT_READABLE",I145="BLURRY"),-AB145,0),C145="G",IFS(I145="RED_CLEARER",XLOOKUP("duochrome_red_step",Calibration!$B:$B,Calibration!$C:$C,-0.25),I145="GREEN_CLEARER",XLOOKUP("duochrome_green_step",Calibration!$B:$B,Calibration!$C:$C,0.25),I145="EQUAL",IF(XLOOKUP($B145,Derived_Variables!$A:$A,Derived_Variables!$S:$S,"Neutral")="Undercorrect",XLOOKUP("undercorrect_step",Calibration!$B:$B,Calibration!$C:$C,0.25),IF(XLOOKUP($B145,Derived_Variables!$A:$A,Derived_Variables!$S:$S,"Neutral")="Overcorrect",-XLOOKUP("overcorrect_step",Calibration!$B:$B,Calibration!$C:$C,0.25),0)),TRUE,0),C145="K",IF(I145="TOP_CLEARER",XLOOKUP("bino_balance_step",Calibration!$B:$B,Calibration!$C:$C,0.25),0),TRUE,0))</f>
        <v/>
      </c>
      <c r="AN145" s="28" t="str">
        <f t="shared" si="10"/>
        <v/>
      </c>
      <c r="AO145" s="28" t="str">
        <f t="shared" si="11"/>
        <v/>
      </c>
      <c r="AP145" s="28" t="str">
        <f t="array" ref="AP145">IF($I145="","",IFS(C145="D",IF(OR(I145="NOT_READABLE",I145="BLURRY"),-AB145,0),C145="J",IFS(I145="RED_CLEARER",XLOOKUP("duochrome_red_step",Calibration!$B:$B,Calibration!$C:$C,-0.25),I145="GREEN_CLEARER",XLOOKUP("duochrome_green_step",Calibration!$B:$B,Calibration!$C:$C,0.25),I145="EQUAL",IF(XLOOKUP($B145,Derived_Variables!$A:$A,Derived_Variables!$S:$S,"Neutral")="Undercorrect",XLOOKUP("undercorrect_step",Calibration!$B:$B,Calibration!$C:$C,0.25),IF(XLOOKUP($B145,Derived_Variables!$A:$A,Derived_Variables!$S:$S,"Neutral")="Overcorrect",-XLOOKUP("overcorrect_step",Calibration!$B:$B,Calibration!$C:$C,0.25),0)),TRUE,0),C145="K",IF(I145="BOTTOM_CLEARER",XLOOKUP("bino_balance_step",Calibration!$B:$B,Calibration!$C:$C,0.25),0),TRUE,0))</f>
        <v/>
      </c>
      <c r="AQ145" s="28" t="str">
        <f t="shared" si="12"/>
        <v/>
      </c>
      <c r="AR145" s="28" t="str">
        <f t="shared" si="13"/>
        <v/>
      </c>
      <c r="AS145" s="28" t="str">
        <f t="array" ref="AS145">IF($I145="","",IF(C145="P",IF(OR(I145="NOT_READABLE",I145="BLURRY"),XLOOKUP("near_add_step",Calibration!$B:$B,Calibration!$C:$C,0.25),0),IF(C145="R",IF(I145="NOT_CLEAR",XLOOKUP("near_add_step",Calibration!$B:$B,Calibration!$C:$C,0.25),0),0)))</f>
        <v/>
      </c>
      <c r="AT145" s="28" t="str">
        <f t="array" ref="AT145">IF($I145="","",IF(C145="Q",IF(OR(I145="NOT_READABLE",I145="BLURRY"),XLOOKUP("near_add_step",Calibration!$B:$B,Calibration!$C:$C,0.25),0),IF(C145="R",IF(I145="NOT_CLEAR",XLOOKUP("near_add_step",Calibration!$B:$B,Calibration!$C:$C,0.25),0),0)))</f>
        <v/>
      </c>
      <c r="AU145" s="28" t="str">
        <f t="array" ref="AU145">IF($I145="","",IF(G145="SNELLEN_FEET",IF(I145="READABLE",IFERROR(XLOOKUP(XLOOKUP(R145,Chart_Scale_Distance!B:B,Chart_Scale_Distance!A:A)+1,Chart_Scale_Distance!A:A,Chart_Scale_Distance!B:B),R145),R145),R145))</f>
        <v/>
      </c>
      <c r="AV145" s="28" t="str">
        <f t="array" ref="AV145">IF($I144="","",IFERROR(XLOOKUP(R145,Chart_Scale_Distance!$B:$B,Chart_Scale_Distance!$A:$A,""),""))</f>
        <v/>
      </c>
      <c r="AW145" s="28" t="str">
        <f t="array" ref="AW145">IF($I144="","",IFERROR(XLOOKUP(AA145,Chart_Scale_Distance!$B:$B,Chart_Scale_Distance!$A:$A,""),""))</f>
        <v/>
      </c>
      <c r="AX145" s="28" t="str">
        <f t="shared" si="14"/>
        <v/>
      </c>
      <c r="AY145" s="28" t="str">
        <f t="shared" si="15"/>
        <v/>
      </c>
      <c r="AZ145" s="28" t="str">
        <f t="shared" si="16"/>
        <v/>
      </c>
      <c r="BA145" s="28" t="str">
        <f t="shared" si="17"/>
        <v/>
      </c>
      <c r="BB145" s="28" t="str">
        <f t="shared" si="18"/>
        <v/>
      </c>
      <c r="BC145" s="28" t="str">
        <f t="array" ref="BC145">IF($I145="","",LET(
conf,AI145,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duoMax,XLOOKUP($B145,Derived_Variables!$A:$A,Derived_Variables!$AI:$AI,4),
axisTol,XLOOKUP($B145,Derived_Variables!$A:$A,Derived_Variables!$W:$W,1),
maxStart,XLOOKUP($B145,Derived_Variables!$A:$A,Derived_Variables!$U:$U,1.25),
maxAR,XLOOKUP($B145,Derived_Variables!$A:$A,Derived_Variables!$V:$V,3),
anom,XLOOKUP($B145,Derived_Variables!$A:$A,Derived_Variables!$Z:$Z,FALSE),
reStart,XLOOKUP($B145,Derived_Variables!$A:$A,Derived_Variables!$K:$K,0),
leStart,XLOOKUP($B145,Derived_Variables!$A:$A,Derived_Variables!$N:$N,0),
reAR,XLOOKUP($B145,AR_Input!$A:$A,AR_Input!$B:$B,reStart),
leAR,XLOOKUP($B145,AR_Input!$A:$A,AR_Input!$E:$E,leStart),
reEsc,AND(anom,OR(ABS((S145+AM145)-reStart)&gt;maxStart,ABS((S145+AM145)-reAR)&gt;maxAR)),
leEsc,AND(anom,OR(ABS((V145+AP145)-leStart)&gt;maxStart,ABS((V145+AP145)-leAR)&gt;maxAR)),
phaseMax,IFS(
 AK145="Fast",
   IFS(
     OR(C145="B",C145="D"),XLOOKUP("timeout_coarse_fast",Calibration!$B:$B,Calibration!$C:$C,24),
     OR(C145="E",C145="F",C145="H",C145="I"),XLOOKUP("timeout_jcc_fast",Calibration!$B:$B,Calibration!$C:$C,10),
     OR(C145="G",C145="J"),XLOOKUP("timeout_duochrome_fast",Calibration!$B:$B,Calibration!$C:$C,8),
     C145="K",XLOOKUP("timeout_bino_fast",Calibration!$B:$B,Calibration!$C:$C,10),
     OR(C145="P",C145="Q",C145="R"),XLOOKUP("timeout_near_fast",Calibration!$B:$B,Calibration!$C:$C,16),
     TRUE,XLOOKUP("timeout_coarse_fast",Calibration!$B:$B,Calibration!$C:$C,24)
   ),
 AK145="Normal",
   IFS(
     OR(C145="B",C145="D"),XLOOKUP("timeout_coarse_normal",Calibration!$B:$B,Calibration!$C:$C,36),
     OR(C145="E",C145="F",C145="H",C145="I"),XLOOKUP("timeout_jcc_normal",Calibration!$B:$B,Calibration!$C:$C,14),
     OR(C145="G",C145="J"),XLOOKUP("timeout_duochrome_normal",Calibration!$B:$B,Calibration!$C:$C,10),
     C145="K",XLOOKUP("timeout_bino_normal",Calibration!$B:$B,Calibration!$C:$C,14),
     OR(C145="P",C145="Q",C145="R"),XLOOKUP("timeout_near_normal",Calibration!$B:$B,Calibration!$C:$C,22),
     TRUE,XLOOKUP("timeout_coarse_normal",Calibration!$B:$B,Calibration!$C:$C,36)
   ),
 TRUE,
   IFS(
     OR(C145="B",C145="D"),XLOOKUP("timeout_coarse_slow",Calibration!$B:$B,Calibration!$C:$C,48),
     OR(C145="E",C145="F",C145="H",C145="I"),XLOOKUP("timeout_jcc_slow",Calibration!$B:$B,Calibration!$C:$C,18),
     OR(C145="G",C145="J"),XLOOKUP("timeout_duochrome_slow",Calibration!$B:$B,Calibration!$C:$C,12),
     C145="K",XLOOKUP("timeout_bino_slow",Calibration!$B:$B,Calibration!$C:$C,18),
     OR(C145="P",C145="Q",C145="R"),XLOOKUP("timeout_near_slow",Calibration!$B:$B,Calibration!$C:$C,28),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AJ145=TRUE,"ESCALATE",
C145="A",
IF(OR(I145="NOT_READABLE",I145="BLURRY",AND(R145="20_20_20",I145="READABLE")),"B","A"),
C145="B",
IF(reEsc,"ESCALATE",IF(AY145&gt;=phaseMax,"ESCALATE",IF(AND(AV145&gt;=AW145,I145="READABLE"),"E","B"))),
C145="E",
IF(AY145&gt;=phaseMax,"ESCALATE",IF(OR(I145="SAME",I145="CANT_TELL",AD145&lt;axisTol),"F","E")),
C145="F",
IF(AY145&gt;=phaseMax,"ESCALATE",IF(AX145&gt;=powerSameN,"G","F")),
C145="G",
IF(AY145&gt;=phaseMax,"ESCALATE",IF(OR(AX145&gt;=duoEqualN,BB145&gt;=duoMax),"D","G")),
C145="D",
IF(leEsc,"ESCALATE",IF(AY145&gt;=phaseMax,"ESCALATE",IF(AND(AV145&gt;=AW145,I145="READABLE"),"H","D"))),
C145="H",
IF(AY145&gt;=phaseMax,"ESCALATE",IF(OR(I145="SAME",I145="CANT_TELL",AD145&lt;axisTol),"I","H")),
C145="I",
IF(AY145&gt;=phaseMax,"ESCALATE",IF(AX145&gt;=powerSameN,"J","I")),
C145="J",
IF(AY145&gt;=phaseMax,"ESCALATE",IF(OR(AX145&gt;=duoEqualN,BB145&gt;=duoMax),"K","J")),
C145="K",
IF(AY145&gt;=phaseMax,"ESCALATE",IF(AX145&gt;=binoSameN,IF(XLOOKUP($B145,Derived_Variables!$A:$A,Derived_Variables!$AJ:$AJ,FALSE)=TRUE,"P","END"),"K")),
C145="P",
IF(AY145&gt;=phaseMax,"ESCALATE",IF(OR(I145="READABLE",I145="SAME"),"Q","P")),
C145="Q",
IF(AY145&gt;=phaseMax,"ESCALATE",IF(OR(I145="READABLE",I145="SAME"),"R","Q")),
C145="R",
IF(AY145&gt;=phaseMax,"ESCALATE",IF(OR(I145=nearTarget,I145="SAME"),"END","R")),
TRUE,"END"
)))</f>
        <v/>
      </c>
      <c r="BD145" s="28" t="b">
        <f t="shared" si="19"/>
        <v>0</v>
      </c>
    </row>
    <row r="146" ht="15.75" customHeight="1">
      <c r="A146" s="28">
        <f t="shared" si="3"/>
        <v>145</v>
      </c>
      <c r="B146" s="28">
        <f t="shared" si="4"/>
        <v>6</v>
      </c>
      <c r="C146" s="28" t="str">
        <f t="shared" si="5"/>
        <v/>
      </c>
      <c r="D146" s="28" t="str">
        <f t="array" ref="D146">IF($I145="","",XLOOKUP(C146,FSM_State_Map!A:A,FSM_State_Map!B:B,""))</f>
        <v/>
      </c>
      <c r="E146" s="28" t="str">
        <f t="array" ref="E146">IF($I145="","",XLOOKUP(C146,FSM_State_Map!A:A,FSM_State_Map!C:C,""))</f>
        <v/>
      </c>
      <c r="F146" s="28" t="str">
        <f t="array" ref="F146">IF($I145="","",XLOOKUP(E146,Phase_UI_Map!A:A,Phase_UI_Map!B:B,""))</f>
        <v/>
      </c>
      <c r="G146" s="28" t="str">
        <f t="array" ref="G146">IF($I145="","",XLOOKUP(E146,Phase_UI_Map!A:A,Phase_UI_Map!C:C,""))</f>
        <v/>
      </c>
      <c r="H146" s="28" t="str">
        <f t="array" ref="H146">IF($I145="","",XLOOKUP(E146,Phase_UI_Map!A:A,Phase_UI_Map!D:D,""))</f>
        <v/>
      </c>
      <c r="I146" s="29"/>
      <c r="J146" s="28" t="str">
        <f>IFERROR(__xludf.DUMMYFUNCTION("IF($I145="""","""",IFERROR(INDEX(FILTER(Response_Lists!$B:$B,Response_Lists!$A:$A=$H146),1),""""))"),"")</f>
        <v/>
      </c>
      <c r="K146" s="28" t="str">
        <f>IFERROR(__xludf.DUMMYFUNCTION("IF($I145="""","""",IFERROR(INDEX(FILTER(Response_Lists!$B:$B,Response_Lists!$A:$A=$H146),2),""""))"),"")</f>
        <v/>
      </c>
      <c r="L146" s="28" t="str">
        <f>IFERROR(__xludf.DUMMYFUNCTION("IF($I145="""","""",IFERROR(INDEX(FILTER(Response_Lists!$B:$B,Response_Lists!$A:$A=$H146),3),""""))"),"")</f>
        <v/>
      </c>
      <c r="M146" s="28" t="str">
        <f>IFERROR(__xludf.DUMMYFUNCTION("IF($I145="""","""",IFERROR(INDEX(FILTER(Response_Lists!$B:$B,Response_Lists!$A:$A=$H146),4),""""))"),"")</f>
        <v/>
      </c>
      <c r="N146" s="28" t="str">
        <f>IFERROR(__xludf.DUMMYFUNCTION("IF($I145="""","""",IFERROR(INDEX(FILTER(Response_Lists!$B:$B,Response_Lists!$A:$A=$H146),5),""""))"),"")</f>
        <v/>
      </c>
      <c r="O146" s="28" t="str">
        <f>IFERROR(__xludf.DUMMYFUNCTION("IF($I145="""","""",IFERROR(INDEX(FILTER(Response_Lists!$B:$B,Response_Lists!$A:$A=$H146),6),""""))"),"")</f>
        <v/>
      </c>
      <c r="P146" s="28" t="str">
        <f t="shared" si="6"/>
        <v/>
      </c>
      <c r="Q146" s="28" t="str">
        <f t="array" ref="Q146">IF($I145="","",XLOOKUP(C146,FSM_State_Map!A:A,FSM_State_Map!D:D,""))</f>
        <v/>
      </c>
      <c r="R146" s="28" t="str">
        <f t="shared" si="7"/>
        <v/>
      </c>
      <c r="S146" s="28" t="str">
        <f t="array" ref="S146">IF($I145="","",
IF(
  AND(C146="B",C145&lt;&gt;"B"),
  XLOOKUP($B146,Derived_Variables!$A:$A,Derived_Variables!$K:$K,0)
  + XLOOKUP($B146,Derived_Variables!$A:$A,Derived_Variables!$AE:$AE,0),
  S145+AM145
))</f>
        <v/>
      </c>
      <c r="T146" s="28" t="str">
        <f t="shared" ref="T146:U146" si="302">IF($I145="","",T145+AN145)</f>
        <v/>
      </c>
      <c r="U146" s="28" t="str">
        <f t="shared" si="302"/>
        <v/>
      </c>
      <c r="V146" s="28" t="str">
        <f t="array" ref="V146">IF($I145="","",
IF(
  AND(C146="D",C145&lt;&gt;"D"),
  XLOOKUP($B146,Derived_Variables!$A:$A,Derived_Variables!$N:$N,0)
  + XLOOKUP($B146,Derived_Variables!$A:$A,Derived_Variables!$AE:$AE,0),
  V145+AP145
))</f>
        <v/>
      </c>
      <c r="W146" s="28" t="str">
        <f t="shared" ref="W146:X146" si="303">IF($I145="","",W145+AQ145)</f>
        <v/>
      </c>
      <c r="X146" s="28" t="str">
        <f t="shared" si="303"/>
        <v/>
      </c>
      <c r="Y146" s="28" t="str">
        <f t="array" ref="Y146">IF($I145="","",IF(AND(C146="P",C145&lt;&gt;"P"),IFERROR(XLOOKUP($B146,Lenso_Input!$A:$A,Lenso_Input!$E:$E,0),0),Y145+AS145))</f>
        <v/>
      </c>
      <c r="Z146" s="28" t="str">
        <f t="array" ref="Z146">IF($I145="","",IF(AND(C146="Q",C145&lt;&gt;"Q"),IFERROR(XLOOKUP($B146,Lenso_Input!$A:$A,Lenso_Input!$I:$I,0),0),Z145+AT145))</f>
        <v/>
      </c>
      <c r="AA146" s="28" t="str">
        <f t="array" ref="AA146">IF($I145="","",IF(XLOOKUP($B146,Derived_Variables!$A:$A,Derived_Variables!$R:$R,"6/6_target")="6/6_target","20_20_20","40_30_25"))</f>
        <v/>
      </c>
      <c r="AB146" s="28" t="str">
        <f t="array" ref="AB146">IF($I145="","",XLOOKUP(LOWER(XLOOKUP($B146,Derived_Variables!$A:$A,Derived_Variables!$T:$T,"Standard"))&amp;"_sph_step",Calibration!$B:$B,Calibration!$C:$C,0.25))</f>
        <v/>
      </c>
      <c r="AC146" s="28" t="str">
        <f t="array" ref="AC146">IF($I145="","",XLOOKUP(LOWER(XLOOKUP($B146,Derived_Variables!$A:$A,Derived_Variables!$T:$T,"Standard"))&amp;"_cyl_step",Calibration!$B:$B,Calibration!$C:$C,0.25))</f>
        <v/>
      </c>
      <c r="AD146" s="28" t="str">
        <f t="array" ref="AD146">IF($I145="","",IF(OR(C146="E",C146="H"),LET(startStep,XLOOKUP("axis_start_step",Calibration!$B:$B,Calibration!$C:$C,5),step1,XLOOKUP("axis_reversal_step_1",Calibration!$B:$B,Calibration!$C:$C,3),step2,XLOOKUP("axis_reversal_step_2",Calibration!$B:$B,Calibration!$C:$C,1),IF(OR(C145&lt;&gt;C146,AZ146="",AZ146="SAME",AZ146="CANT_TELL",I146="",I146="SAME",I146="CANT_TELL"),startStep,IF(OR(AND(AZ146="BETTER_1",I146="BETTER_2"),AND(AZ146="BETTER_2",I146="BETTER_1")),IF(AD145&gt;step1,step1,step2),AD145))),0))</f>
        <v/>
      </c>
      <c r="AE146" s="28" t="str">
        <f t="array" ref="AE146">IF($I145="","",XLOOKUP($B146,Derived_Variables!$A:$A,Derived_Variables!$AD:$AD,"No_Fog"))</f>
        <v/>
      </c>
      <c r="AF146" s="28" t="str">
        <f t="array" ref="AF146">IF($I145="","",XLOOKUP($B146,Derived_Variables!$A:$A,Derived_Variables!$AE:$AE,0))</f>
        <v/>
      </c>
      <c r="AG146" s="28" t="str">
        <f t="array" ref="AG146">IF($I145="","",XLOOKUP($B146,Derived_Variables!$A:$A,Derived_Variables!$AF:$AF,""))</f>
        <v/>
      </c>
      <c r="AH146" s="28" t="str">
        <f t="array" ref="AH146">IF($I145="","",XLOOKUP($B146,Derived_Variables!$A:$A,Derived_Variables!$AG:$AG,""))</f>
        <v/>
      </c>
      <c r="AI146" s="28" t="str">
        <f t="array" ref="AI146">IF($I145="","",XLOOKUP($B146,Derived_Variables!$A:$A,Derived_Variables!$AC:$AC,"Medium"))</f>
        <v/>
      </c>
      <c r="AJ146" s="28" t="str">
        <f t="array" ref="AJ146">IF($I145="","",XLOOKUP($B146,Derived_Variables!$A:$A,Derived_Variables!$Y:$Y,FALSE))</f>
        <v/>
      </c>
      <c r="AK146" s="28" t="str">
        <f t="array" ref="AK146">IF($I145="","",XLOOKUP($B146,Derived_Variables!$A:$A,Derived_Variables!$AA:$AA,"Normal"))</f>
        <v/>
      </c>
      <c r="AL146" s="28" t="str">
        <f t="array" ref="AL146">IF($I145="","",XLOOKUP($B146,Derived_Variables!$A:$A,Derived_Variables!$AB:$AB,"Normal"))</f>
        <v/>
      </c>
      <c r="AM146" s="28" t="str">
        <f t="array" ref="AM146">IF($I146="","",IFS(C146="B",IF(OR(I146="NOT_READABLE",I146="BLURRY"),-AB146,0),C146="G",IFS(I146="RED_CLEARER",XLOOKUP("duochrome_red_step",Calibration!$B:$B,Calibration!$C:$C,-0.25),I146="GREEN_CLEARER",XLOOKUP("duochrome_green_step",Calibration!$B:$B,Calibration!$C:$C,0.25),I146="EQUAL",IF(XLOOKUP($B146,Derived_Variables!$A:$A,Derived_Variables!$S:$S,"Neutral")="Undercorrect",XLOOKUP("undercorrect_step",Calibration!$B:$B,Calibration!$C:$C,0.25),IF(XLOOKUP($B146,Derived_Variables!$A:$A,Derived_Variables!$S:$S,"Neutral")="Overcorrect",-XLOOKUP("overcorrect_step",Calibration!$B:$B,Calibration!$C:$C,0.25),0)),TRUE,0),C146="K",IF(I146="TOP_CLEARER",XLOOKUP("bino_balance_step",Calibration!$B:$B,Calibration!$C:$C,0.25),0),TRUE,0))</f>
        <v/>
      </c>
      <c r="AN146" s="28" t="str">
        <f t="shared" si="10"/>
        <v/>
      </c>
      <c r="AO146" s="28" t="str">
        <f t="shared" si="11"/>
        <v/>
      </c>
      <c r="AP146" s="28" t="str">
        <f t="array" ref="AP146">IF($I146="","",IFS(C146="D",IF(OR(I146="NOT_READABLE",I146="BLURRY"),-AB146,0),C146="J",IFS(I146="RED_CLEARER",XLOOKUP("duochrome_red_step",Calibration!$B:$B,Calibration!$C:$C,-0.25),I146="GREEN_CLEARER",XLOOKUP("duochrome_green_step",Calibration!$B:$B,Calibration!$C:$C,0.25),I146="EQUAL",IF(XLOOKUP($B146,Derived_Variables!$A:$A,Derived_Variables!$S:$S,"Neutral")="Undercorrect",XLOOKUP("undercorrect_step",Calibration!$B:$B,Calibration!$C:$C,0.25),IF(XLOOKUP($B146,Derived_Variables!$A:$A,Derived_Variables!$S:$S,"Neutral")="Overcorrect",-XLOOKUP("overcorrect_step",Calibration!$B:$B,Calibration!$C:$C,0.25),0)),TRUE,0),C146="K",IF(I146="BOTTOM_CLEARER",XLOOKUP("bino_balance_step",Calibration!$B:$B,Calibration!$C:$C,0.25),0),TRUE,0))</f>
        <v/>
      </c>
      <c r="AQ146" s="28" t="str">
        <f t="shared" si="12"/>
        <v/>
      </c>
      <c r="AR146" s="28" t="str">
        <f t="shared" si="13"/>
        <v/>
      </c>
      <c r="AS146" s="28" t="str">
        <f t="array" ref="AS146">IF($I146="","",IF(C146="P",IF(OR(I146="NOT_READABLE",I146="BLURRY"),XLOOKUP("near_add_step",Calibration!$B:$B,Calibration!$C:$C,0.25),0),IF(C146="R",IF(I146="NOT_CLEAR",XLOOKUP("near_add_step",Calibration!$B:$B,Calibration!$C:$C,0.25),0),0)))</f>
        <v/>
      </c>
      <c r="AT146" s="28" t="str">
        <f t="array" ref="AT146">IF($I146="","",IF(C146="Q",IF(OR(I146="NOT_READABLE",I146="BLURRY"),XLOOKUP("near_add_step",Calibration!$B:$B,Calibration!$C:$C,0.25),0),IF(C146="R",IF(I146="NOT_CLEAR",XLOOKUP("near_add_step",Calibration!$B:$B,Calibration!$C:$C,0.25),0),0)))</f>
        <v/>
      </c>
      <c r="AU146" s="28" t="str">
        <f t="array" ref="AU146">IF($I146="","",IF(G146="SNELLEN_FEET",IF(I146="READABLE",IFERROR(XLOOKUP(XLOOKUP(R146,Chart_Scale_Distance!B:B,Chart_Scale_Distance!A:A)+1,Chart_Scale_Distance!A:A,Chart_Scale_Distance!B:B),R146),R146),R146))</f>
        <v/>
      </c>
      <c r="AV146" s="28" t="str">
        <f t="array" ref="AV146">IF($I145="","",IFERROR(XLOOKUP(R146,Chart_Scale_Distance!$B:$B,Chart_Scale_Distance!$A:$A,""),""))</f>
        <v/>
      </c>
      <c r="AW146" s="28" t="str">
        <f t="array" ref="AW146">IF($I145="","",IFERROR(XLOOKUP(AA146,Chart_Scale_Distance!$B:$B,Chart_Scale_Distance!$A:$A,""),""))</f>
        <v/>
      </c>
      <c r="AX146" s="28" t="str">
        <f t="shared" si="14"/>
        <v/>
      </c>
      <c r="AY146" s="28" t="str">
        <f t="shared" si="15"/>
        <v/>
      </c>
      <c r="AZ146" s="28" t="str">
        <f t="shared" si="16"/>
        <v/>
      </c>
      <c r="BA146" s="28" t="str">
        <f t="shared" si="17"/>
        <v/>
      </c>
      <c r="BB146" s="28" t="str">
        <f t="shared" si="18"/>
        <v/>
      </c>
      <c r="BC146" s="28" t="str">
        <f t="array" ref="BC146">IF($I146="","",LET(
conf,AI146,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duoMax,XLOOKUP($B146,Derived_Variables!$A:$A,Derived_Variables!$AI:$AI,4),
axisTol,XLOOKUP($B146,Derived_Variables!$A:$A,Derived_Variables!$W:$W,1),
maxStart,XLOOKUP($B146,Derived_Variables!$A:$A,Derived_Variables!$U:$U,1.25),
maxAR,XLOOKUP($B146,Derived_Variables!$A:$A,Derived_Variables!$V:$V,3),
anom,XLOOKUP($B146,Derived_Variables!$A:$A,Derived_Variables!$Z:$Z,FALSE),
reStart,XLOOKUP($B146,Derived_Variables!$A:$A,Derived_Variables!$K:$K,0),
leStart,XLOOKUP($B146,Derived_Variables!$A:$A,Derived_Variables!$N:$N,0),
reAR,XLOOKUP($B146,AR_Input!$A:$A,AR_Input!$B:$B,reStart),
leAR,XLOOKUP($B146,AR_Input!$A:$A,AR_Input!$E:$E,leStart),
reEsc,AND(anom,OR(ABS((S146+AM146)-reStart)&gt;maxStart,ABS((S146+AM146)-reAR)&gt;maxAR)),
leEsc,AND(anom,OR(ABS((V146+AP146)-leStart)&gt;maxStart,ABS((V146+AP146)-leAR)&gt;maxAR)),
phaseMax,IFS(
 AK146="Fast",
   IFS(
     OR(C146="B",C146="D"),XLOOKUP("timeout_coarse_fast",Calibration!$B:$B,Calibration!$C:$C,24),
     OR(C146="E",C146="F",C146="H",C146="I"),XLOOKUP("timeout_jcc_fast",Calibration!$B:$B,Calibration!$C:$C,10),
     OR(C146="G",C146="J"),XLOOKUP("timeout_duochrome_fast",Calibration!$B:$B,Calibration!$C:$C,8),
     C146="K",XLOOKUP("timeout_bino_fast",Calibration!$B:$B,Calibration!$C:$C,10),
     OR(C146="P",C146="Q",C146="R"),XLOOKUP("timeout_near_fast",Calibration!$B:$B,Calibration!$C:$C,16),
     TRUE,XLOOKUP("timeout_coarse_fast",Calibration!$B:$B,Calibration!$C:$C,24)
   ),
 AK146="Normal",
   IFS(
     OR(C146="B",C146="D"),XLOOKUP("timeout_coarse_normal",Calibration!$B:$B,Calibration!$C:$C,36),
     OR(C146="E",C146="F",C146="H",C146="I"),XLOOKUP("timeout_jcc_normal",Calibration!$B:$B,Calibration!$C:$C,14),
     OR(C146="G",C146="J"),XLOOKUP("timeout_duochrome_normal",Calibration!$B:$B,Calibration!$C:$C,10),
     C146="K",XLOOKUP("timeout_bino_normal",Calibration!$B:$B,Calibration!$C:$C,14),
     OR(C146="P",C146="Q",C146="R"),XLOOKUP("timeout_near_normal",Calibration!$B:$B,Calibration!$C:$C,22),
     TRUE,XLOOKUP("timeout_coarse_normal",Calibration!$B:$B,Calibration!$C:$C,36)
   ),
 TRUE,
   IFS(
     OR(C146="B",C146="D"),XLOOKUP("timeout_coarse_slow",Calibration!$B:$B,Calibration!$C:$C,48),
     OR(C146="E",C146="F",C146="H",C146="I"),XLOOKUP("timeout_jcc_slow",Calibration!$B:$B,Calibration!$C:$C,18),
     OR(C146="G",C146="J"),XLOOKUP("timeout_duochrome_slow",Calibration!$B:$B,Calibration!$C:$C,12),
     C146="K",XLOOKUP("timeout_bino_slow",Calibration!$B:$B,Calibration!$C:$C,18),
     OR(C146="P",C146="Q",C146="R"),XLOOKUP("timeout_near_slow",Calibration!$B:$B,Calibration!$C:$C,28),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AJ146=TRUE,"ESCALATE",
C146="A",
IF(OR(I146="NOT_READABLE",I146="BLURRY",AND(R146="20_20_20",I146="READABLE")),"B","A"),
C146="B",
IF(reEsc,"ESCALATE",IF(AY146&gt;=phaseMax,"ESCALATE",IF(AND(AV146&gt;=AW146,I146="READABLE"),"E","B"))),
C146="E",
IF(AY146&gt;=phaseMax,"ESCALATE",IF(OR(I146="SAME",I146="CANT_TELL",AD146&lt;axisTol),"F","E")),
C146="F",
IF(AY146&gt;=phaseMax,"ESCALATE",IF(AX146&gt;=powerSameN,"G","F")),
C146="G",
IF(AY146&gt;=phaseMax,"ESCALATE",IF(OR(AX146&gt;=duoEqualN,BB146&gt;=duoMax),"D","G")),
C146="D",
IF(leEsc,"ESCALATE",IF(AY146&gt;=phaseMax,"ESCALATE",IF(AND(AV146&gt;=AW146,I146="READABLE"),"H","D"))),
C146="H",
IF(AY146&gt;=phaseMax,"ESCALATE",IF(OR(I146="SAME",I146="CANT_TELL",AD146&lt;axisTol),"I","H")),
C146="I",
IF(AY146&gt;=phaseMax,"ESCALATE",IF(AX146&gt;=powerSameN,"J","I")),
C146="J",
IF(AY146&gt;=phaseMax,"ESCALATE",IF(OR(AX146&gt;=duoEqualN,BB146&gt;=duoMax),"K","J")),
C146="K",
IF(AY146&gt;=phaseMax,"ESCALATE",IF(AX146&gt;=binoSameN,IF(XLOOKUP($B146,Derived_Variables!$A:$A,Derived_Variables!$AJ:$AJ,FALSE)=TRUE,"P","END"),"K")),
C146="P",
IF(AY146&gt;=phaseMax,"ESCALATE",IF(OR(I146="READABLE",I146="SAME"),"Q","P")),
C146="Q",
IF(AY146&gt;=phaseMax,"ESCALATE",IF(OR(I146="READABLE",I146="SAME"),"R","Q")),
C146="R",
IF(AY146&gt;=phaseMax,"ESCALATE",IF(OR(I146=nearTarget,I146="SAME"),"END","R")),
TRUE,"END"
)))</f>
        <v/>
      </c>
      <c r="BD146" s="28" t="b">
        <f t="shared" si="19"/>
        <v>0</v>
      </c>
    </row>
    <row r="147" ht="15.75" customHeight="1">
      <c r="A147" s="28">
        <f t="shared" si="3"/>
        <v>146</v>
      </c>
      <c r="B147" s="28">
        <f t="shared" si="4"/>
        <v>6</v>
      </c>
      <c r="C147" s="28" t="str">
        <f t="shared" si="5"/>
        <v/>
      </c>
      <c r="D147" s="28" t="str">
        <f t="array" ref="D147">IF($I146="","",XLOOKUP(C147,FSM_State_Map!A:A,FSM_State_Map!B:B,""))</f>
        <v/>
      </c>
      <c r="E147" s="28" t="str">
        <f t="array" ref="E147">IF($I146="","",XLOOKUP(C147,FSM_State_Map!A:A,FSM_State_Map!C:C,""))</f>
        <v/>
      </c>
      <c r="F147" s="28" t="str">
        <f t="array" ref="F147">IF($I146="","",XLOOKUP(E147,Phase_UI_Map!A:A,Phase_UI_Map!B:B,""))</f>
        <v/>
      </c>
      <c r="G147" s="28" t="str">
        <f t="array" ref="G147">IF($I146="","",XLOOKUP(E147,Phase_UI_Map!A:A,Phase_UI_Map!C:C,""))</f>
        <v/>
      </c>
      <c r="H147" s="28" t="str">
        <f t="array" ref="H147">IF($I146="","",XLOOKUP(E147,Phase_UI_Map!A:A,Phase_UI_Map!D:D,""))</f>
        <v/>
      </c>
      <c r="I147" s="29"/>
      <c r="J147" s="28" t="str">
        <f>IFERROR(__xludf.DUMMYFUNCTION("IF($I146="""","""",IFERROR(INDEX(FILTER(Response_Lists!$B:$B,Response_Lists!$A:$A=$H147),1),""""))"),"")</f>
        <v/>
      </c>
      <c r="K147" s="28" t="str">
        <f>IFERROR(__xludf.DUMMYFUNCTION("IF($I146="""","""",IFERROR(INDEX(FILTER(Response_Lists!$B:$B,Response_Lists!$A:$A=$H147),2),""""))"),"")</f>
        <v/>
      </c>
      <c r="L147" s="28" t="str">
        <f>IFERROR(__xludf.DUMMYFUNCTION("IF($I146="""","""",IFERROR(INDEX(FILTER(Response_Lists!$B:$B,Response_Lists!$A:$A=$H147),3),""""))"),"")</f>
        <v/>
      </c>
      <c r="M147" s="28" t="str">
        <f>IFERROR(__xludf.DUMMYFUNCTION("IF($I146="""","""",IFERROR(INDEX(FILTER(Response_Lists!$B:$B,Response_Lists!$A:$A=$H147),4),""""))"),"")</f>
        <v/>
      </c>
      <c r="N147" s="28" t="str">
        <f>IFERROR(__xludf.DUMMYFUNCTION("IF($I146="""","""",IFERROR(INDEX(FILTER(Response_Lists!$B:$B,Response_Lists!$A:$A=$H147),5),""""))"),"")</f>
        <v/>
      </c>
      <c r="O147" s="28" t="str">
        <f>IFERROR(__xludf.DUMMYFUNCTION("IF($I146="""","""",IFERROR(INDEX(FILTER(Response_Lists!$B:$B,Response_Lists!$A:$A=$H147),6),""""))"),"")</f>
        <v/>
      </c>
      <c r="P147" s="28" t="str">
        <f t="shared" si="6"/>
        <v/>
      </c>
      <c r="Q147" s="28" t="str">
        <f t="array" ref="Q147">IF($I146="","",XLOOKUP(C147,FSM_State_Map!A:A,FSM_State_Map!D:D,""))</f>
        <v/>
      </c>
      <c r="R147" s="28" t="str">
        <f t="shared" si="7"/>
        <v/>
      </c>
      <c r="S147" s="28" t="str">
        <f t="array" ref="S147">IF($I146="","",
IF(
  AND(C147="B",C146&lt;&gt;"B"),
  XLOOKUP($B147,Derived_Variables!$A:$A,Derived_Variables!$K:$K,0)
  + XLOOKUP($B147,Derived_Variables!$A:$A,Derived_Variables!$AE:$AE,0),
  S146+AM146
))</f>
        <v/>
      </c>
      <c r="T147" s="28" t="str">
        <f t="shared" ref="T147:U147" si="304">IF($I146="","",T146+AN146)</f>
        <v/>
      </c>
      <c r="U147" s="28" t="str">
        <f t="shared" si="304"/>
        <v/>
      </c>
      <c r="V147" s="28" t="str">
        <f t="array" ref="V147">IF($I146="","",
IF(
  AND(C147="D",C146&lt;&gt;"D"),
  XLOOKUP($B147,Derived_Variables!$A:$A,Derived_Variables!$N:$N,0)
  + XLOOKUP($B147,Derived_Variables!$A:$A,Derived_Variables!$AE:$AE,0),
  V146+AP146
))</f>
        <v/>
      </c>
      <c r="W147" s="28" t="str">
        <f t="shared" ref="W147:X147" si="305">IF($I146="","",W146+AQ146)</f>
        <v/>
      </c>
      <c r="X147" s="28" t="str">
        <f t="shared" si="305"/>
        <v/>
      </c>
      <c r="Y147" s="28" t="str">
        <f t="array" ref="Y147">IF($I146="","",IF(AND(C147="P",C146&lt;&gt;"P"),IFERROR(XLOOKUP($B147,Lenso_Input!$A:$A,Lenso_Input!$E:$E,0),0),Y146+AS146))</f>
        <v/>
      </c>
      <c r="Z147" s="28" t="str">
        <f t="array" ref="Z147">IF($I146="","",IF(AND(C147="Q",C146&lt;&gt;"Q"),IFERROR(XLOOKUP($B147,Lenso_Input!$A:$A,Lenso_Input!$I:$I,0),0),Z146+AT146))</f>
        <v/>
      </c>
      <c r="AA147" s="28" t="str">
        <f t="array" ref="AA147">IF($I146="","",IF(XLOOKUP($B147,Derived_Variables!$A:$A,Derived_Variables!$R:$R,"6/6_target")="6/6_target","20_20_20","40_30_25"))</f>
        <v/>
      </c>
      <c r="AB147" s="28" t="str">
        <f t="array" ref="AB147">IF($I146="","",XLOOKUP(LOWER(XLOOKUP($B147,Derived_Variables!$A:$A,Derived_Variables!$T:$T,"Standard"))&amp;"_sph_step",Calibration!$B:$B,Calibration!$C:$C,0.25))</f>
        <v/>
      </c>
      <c r="AC147" s="28" t="str">
        <f t="array" ref="AC147">IF($I146="","",XLOOKUP(LOWER(XLOOKUP($B147,Derived_Variables!$A:$A,Derived_Variables!$T:$T,"Standard"))&amp;"_cyl_step",Calibration!$B:$B,Calibration!$C:$C,0.25))</f>
        <v/>
      </c>
      <c r="AD147" s="28" t="str">
        <f t="array" ref="AD147">IF($I146="","",IF(OR(C147="E",C147="H"),LET(startStep,XLOOKUP("axis_start_step",Calibration!$B:$B,Calibration!$C:$C,5),step1,XLOOKUP("axis_reversal_step_1",Calibration!$B:$B,Calibration!$C:$C,3),step2,XLOOKUP("axis_reversal_step_2",Calibration!$B:$B,Calibration!$C:$C,1),IF(OR(C146&lt;&gt;C147,AZ147="",AZ147="SAME",AZ147="CANT_TELL",I147="",I147="SAME",I147="CANT_TELL"),startStep,IF(OR(AND(AZ147="BETTER_1",I147="BETTER_2"),AND(AZ147="BETTER_2",I147="BETTER_1")),IF(AD146&gt;step1,step1,step2),AD146))),0))</f>
        <v/>
      </c>
      <c r="AE147" s="28" t="str">
        <f t="array" ref="AE147">IF($I146="","",XLOOKUP($B147,Derived_Variables!$A:$A,Derived_Variables!$AD:$AD,"No_Fog"))</f>
        <v/>
      </c>
      <c r="AF147" s="28" t="str">
        <f t="array" ref="AF147">IF($I146="","",XLOOKUP($B147,Derived_Variables!$A:$A,Derived_Variables!$AE:$AE,0))</f>
        <v/>
      </c>
      <c r="AG147" s="28" t="str">
        <f t="array" ref="AG147">IF($I146="","",XLOOKUP($B147,Derived_Variables!$A:$A,Derived_Variables!$AF:$AF,""))</f>
        <v/>
      </c>
      <c r="AH147" s="28" t="str">
        <f t="array" ref="AH147">IF($I146="","",XLOOKUP($B147,Derived_Variables!$A:$A,Derived_Variables!$AG:$AG,""))</f>
        <v/>
      </c>
      <c r="AI147" s="28" t="str">
        <f t="array" ref="AI147">IF($I146="","",XLOOKUP($B147,Derived_Variables!$A:$A,Derived_Variables!$AC:$AC,"Medium"))</f>
        <v/>
      </c>
      <c r="AJ147" s="28" t="str">
        <f t="array" ref="AJ147">IF($I146="","",XLOOKUP($B147,Derived_Variables!$A:$A,Derived_Variables!$Y:$Y,FALSE))</f>
        <v/>
      </c>
      <c r="AK147" s="28" t="str">
        <f t="array" ref="AK147">IF($I146="","",XLOOKUP($B147,Derived_Variables!$A:$A,Derived_Variables!$AA:$AA,"Normal"))</f>
        <v/>
      </c>
      <c r="AL147" s="28" t="str">
        <f t="array" ref="AL147">IF($I146="","",XLOOKUP($B147,Derived_Variables!$A:$A,Derived_Variables!$AB:$AB,"Normal"))</f>
        <v/>
      </c>
      <c r="AM147" s="28" t="str">
        <f t="array" ref="AM147">IF($I147="","",IFS(C147="B",IF(OR(I147="NOT_READABLE",I147="BLURRY"),-AB147,0),C147="G",IFS(I147="RED_CLEARER",XLOOKUP("duochrome_red_step",Calibration!$B:$B,Calibration!$C:$C,-0.25),I147="GREEN_CLEARER",XLOOKUP("duochrome_green_step",Calibration!$B:$B,Calibration!$C:$C,0.25),I147="EQUAL",IF(XLOOKUP($B147,Derived_Variables!$A:$A,Derived_Variables!$S:$S,"Neutral")="Undercorrect",XLOOKUP("undercorrect_step",Calibration!$B:$B,Calibration!$C:$C,0.25),IF(XLOOKUP($B147,Derived_Variables!$A:$A,Derived_Variables!$S:$S,"Neutral")="Overcorrect",-XLOOKUP("overcorrect_step",Calibration!$B:$B,Calibration!$C:$C,0.25),0)),TRUE,0),C147="K",IF(I147="TOP_CLEARER",XLOOKUP("bino_balance_step",Calibration!$B:$B,Calibration!$C:$C,0.25),0),TRUE,0))</f>
        <v/>
      </c>
      <c r="AN147" s="28" t="str">
        <f t="shared" si="10"/>
        <v/>
      </c>
      <c r="AO147" s="28" t="str">
        <f t="shared" si="11"/>
        <v/>
      </c>
      <c r="AP147" s="28" t="str">
        <f t="array" ref="AP147">IF($I147="","",IFS(C147="D",IF(OR(I147="NOT_READABLE",I147="BLURRY"),-AB147,0),C147="J",IFS(I147="RED_CLEARER",XLOOKUP("duochrome_red_step",Calibration!$B:$B,Calibration!$C:$C,-0.25),I147="GREEN_CLEARER",XLOOKUP("duochrome_green_step",Calibration!$B:$B,Calibration!$C:$C,0.25),I147="EQUAL",IF(XLOOKUP($B147,Derived_Variables!$A:$A,Derived_Variables!$S:$S,"Neutral")="Undercorrect",XLOOKUP("undercorrect_step",Calibration!$B:$B,Calibration!$C:$C,0.25),IF(XLOOKUP($B147,Derived_Variables!$A:$A,Derived_Variables!$S:$S,"Neutral")="Overcorrect",-XLOOKUP("overcorrect_step",Calibration!$B:$B,Calibration!$C:$C,0.25),0)),TRUE,0),C147="K",IF(I147="BOTTOM_CLEARER",XLOOKUP("bino_balance_step",Calibration!$B:$B,Calibration!$C:$C,0.25),0),TRUE,0))</f>
        <v/>
      </c>
      <c r="AQ147" s="28" t="str">
        <f t="shared" si="12"/>
        <v/>
      </c>
      <c r="AR147" s="28" t="str">
        <f t="shared" si="13"/>
        <v/>
      </c>
      <c r="AS147" s="28" t="str">
        <f t="array" ref="AS147">IF($I147="","",IF(C147="P",IF(OR(I147="NOT_READABLE",I147="BLURRY"),XLOOKUP("near_add_step",Calibration!$B:$B,Calibration!$C:$C,0.25),0),IF(C147="R",IF(I147="NOT_CLEAR",XLOOKUP("near_add_step",Calibration!$B:$B,Calibration!$C:$C,0.25),0),0)))</f>
        <v/>
      </c>
      <c r="AT147" s="28" t="str">
        <f t="array" ref="AT147">IF($I147="","",IF(C147="Q",IF(OR(I147="NOT_READABLE",I147="BLURRY"),XLOOKUP("near_add_step",Calibration!$B:$B,Calibration!$C:$C,0.25),0),IF(C147="R",IF(I147="NOT_CLEAR",XLOOKUP("near_add_step",Calibration!$B:$B,Calibration!$C:$C,0.25),0),0)))</f>
        <v/>
      </c>
      <c r="AU147" s="28" t="str">
        <f t="array" ref="AU147">IF($I147="","",IF(G147="SNELLEN_FEET",IF(I147="READABLE",IFERROR(XLOOKUP(XLOOKUP(R147,Chart_Scale_Distance!B:B,Chart_Scale_Distance!A:A)+1,Chart_Scale_Distance!A:A,Chart_Scale_Distance!B:B),R147),R147),R147))</f>
        <v/>
      </c>
      <c r="AV147" s="28" t="str">
        <f t="array" ref="AV147">IF($I146="","",IFERROR(XLOOKUP(R147,Chart_Scale_Distance!$B:$B,Chart_Scale_Distance!$A:$A,""),""))</f>
        <v/>
      </c>
      <c r="AW147" s="28" t="str">
        <f t="array" ref="AW147">IF($I146="","",IFERROR(XLOOKUP(AA147,Chart_Scale_Distance!$B:$B,Chart_Scale_Distance!$A:$A,""),""))</f>
        <v/>
      </c>
      <c r="AX147" s="28" t="str">
        <f t="shared" si="14"/>
        <v/>
      </c>
      <c r="AY147" s="28" t="str">
        <f t="shared" si="15"/>
        <v/>
      </c>
      <c r="AZ147" s="28" t="str">
        <f t="shared" si="16"/>
        <v/>
      </c>
      <c r="BA147" s="28" t="str">
        <f t="shared" si="17"/>
        <v/>
      </c>
      <c r="BB147" s="28" t="str">
        <f t="shared" si="18"/>
        <v/>
      </c>
      <c r="BC147" s="28" t="str">
        <f t="array" ref="BC147">IF($I147="","",LET(
conf,AI147,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duoMax,XLOOKUP($B147,Derived_Variables!$A:$A,Derived_Variables!$AI:$AI,4),
axisTol,XLOOKUP($B147,Derived_Variables!$A:$A,Derived_Variables!$W:$W,1),
maxStart,XLOOKUP($B147,Derived_Variables!$A:$A,Derived_Variables!$U:$U,1.25),
maxAR,XLOOKUP($B147,Derived_Variables!$A:$A,Derived_Variables!$V:$V,3),
anom,XLOOKUP($B147,Derived_Variables!$A:$A,Derived_Variables!$Z:$Z,FALSE),
reStart,XLOOKUP($B147,Derived_Variables!$A:$A,Derived_Variables!$K:$K,0),
leStart,XLOOKUP($B147,Derived_Variables!$A:$A,Derived_Variables!$N:$N,0),
reAR,XLOOKUP($B147,AR_Input!$A:$A,AR_Input!$B:$B,reStart),
leAR,XLOOKUP($B147,AR_Input!$A:$A,AR_Input!$E:$E,leStart),
reEsc,AND(anom,OR(ABS((S147+AM147)-reStart)&gt;maxStart,ABS((S147+AM147)-reAR)&gt;maxAR)),
leEsc,AND(anom,OR(ABS((V147+AP147)-leStart)&gt;maxStart,ABS((V147+AP147)-leAR)&gt;maxAR)),
phaseMax,IFS(
 AK147="Fast",
   IFS(
     OR(C147="B",C147="D"),XLOOKUP("timeout_coarse_fast",Calibration!$B:$B,Calibration!$C:$C,24),
     OR(C147="E",C147="F",C147="H",C147="I"),XLOOKUP("timeout_jcc_fast",Calibration!$B:$B,Calibration!$C:$C,10),
     OR(C147="G",C147="J"),XLOOKUP("timeout_duochrome_fast",Calibration!$B:$B,Calibration!$C:$C,8),
     C147="K",XLOOKUP("timeout_bino_fast",Calibration!$B:$B,Calibration!$C:$C,10),
     OR(C147="P",C147="Q",C147="R"),XLOOKUP("timeout_near_fast",Calibration!$B:$B,Calibration!$C:$C,16),
     TRUE,XLOOKUP("timeout_coarse_fast",Calibration!$B:$B,Calibration!$C:$C,24)
   ),
 AK147="Normal",
   IFS(
     OR(C147="B",C147="D"),XLOOKUP("timeout_coarse_normal",Calibration!$B:$B,Calibration!$C:$C,36),
     OR(C147="E",C147="F",C147="H",C147="I"),XLOOKUP("timeout_jcc_normal",Calibration!$B:$B,Calibration!$C:$C,14),
     OR(C147="G",C147="J"),XLOOKUP("timeout_duochrome_normal",Calibration!$B:$B,Calibration!$C:$C,10),
     C147="K",XLOOKUP("timeout_bino_normal",Calibration!$B:$B,Calibration!$C:$C,14),
     OR(C147="P",C147="Q",C147="R"),XLOOKUP("timeout_near_normal",Calibration!$B:$B,Calibration!$C:$C,22),
     TRUE,XLOOKUP("timeout_coarse_normal",Calibration!$B:$B,Calibration!$C:$C,36)
   ),
 TRUE,
   IFS(
     OR(C147="B",C147="D"),XLOOKUP("timeout_coarse_slow",Calibration!$B:$B,Calibration!$C:$C,48),
     OR(C147="E",C147="F",C147="H",C147="I"),XLOOKUP("timeout_jcc_slow",Calibration!$B:$B,Calibration!$C:$C,18),
     OR(C147="G",C147="J"),XLOOKUP("timeout_duochrome_slow",Calibration!$B:$B,Calibration!$C:$C,12),
     C147="K",XLOOKUP("timeout_bino_slow",Calibration!$B:$B,Calibration!$C:$C,18),
     OR(C147="P",C147="Q",C147="R"),XLOOKUP("timeout_near_slow",Calibration!$B:$B,Calibration!$C:$C,28),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AJ147=TRUE,"ESCALATE",
C147="A",
IF(OR(I147="NOT_READABLE",I147="BLURRY",AND(R147="20_20_20",I147="READABLE")),"B","A"),
C147="B",
IF(reEsc,"ESCALATE",IF(AY147&gt;=phaseMax,"ESCALATE",IF(AND(AV147&gt;=AW147,I147="READABLE"),"E","B"))),
C147="E",
IF(AY147&gt;=phaseMax,"ESCALATE",IF(OR(I147="SAME",I147="CANT_TELL",AD147&lt;axisTol),"F","E")),
C147="F",
IF(AY147&gt;=phaseMax,"ESCALATE",IF(AX147&gt;=powerSameN,"G","F")),
C147="G",
IF(AY147&gt;=phaseMax,"ESCALATE",IF(OR(AX147&gt;=duoEqualN,BB147&gt;=duoMax),"D","G")),
C147="D",
IF(leEsc,"ESCALATE",IF(AY147&gt;=phaseMax,"ESCALATE",IF(AND(AV147&gt;=AW147,I147="READABLE"),"H","D"))),
C147="H",
IF(AY147&gt;=phaseMax,"ESCALATE",IF(OR(I147="SAME",I147="CANT_TELL",AD147&lt;axisTol),"I","H")),
C147="I",
IF(AY147&gt;=phaseMax,"ESCALATE",IF(AX147&gt;=powerSameN,"J","I")),
C147="J",
IF(AY147&gt;=phaseMax,"ESCALATE",IF(OR(AX147&gt;=duoEqualN,BB147&gt;=duoMax),"K","J")),
C147="K",
IF(AY147&gt;=phaseMax,"ESCALATE",IF(AX147&gt;=binoSameN,IF(XLOOKUP($B147,Derived_Variables!$A:$A,Derived_Variables!$AJ:$AJ,FALSE)=TRUE,"P","END"),"K")),
C147="P",
IF(AY147&gt;=phaseMax,"ESCALATE",IF(OR(I147="READABLE",I147="SAME"),"Q","P")),
C147="Q",
IF(AY147&gt;=phaseMax,"ESCALATE",IF(OR(I147="READABLE",I147="SAME"),"R","Q")),
C147="R",
IF(AY147&gt;=phaseMax,"ESCALATE",IF(OR(I147=nearTarget,I147="SAME"),"END","R")),
TRUE,"END"
)))</f>
        <v/>
      </c>
      <c r="BD147" s="28" t="b">
        <f t="shared" si="19"/>
        <v>0</v>
      </c>
    </row>
    <row r="148" ht="15.75" customHeight="1">
      <c r="A148" s="28">
        <f t="shared" si="3"/>
        <v>147</v>
      </c>
      <c r="B148" s="28">
        <f t="shared" si="4"/>
        <v>6</v>
      </c>
      <c r="C148" s="28" t="str">
        <f t="shared" si="5"/>
        <v/>
      </c>
      <c r="D148" s="28" t="str">
        <f t="array" ref="D148">IF($I147="","",XLOOKUP(C148,FSM_State_Map!A:A,FSM_State_Map!B:B,""))</f>
        <v/>
      </c>
      <c r="E148" s="28" t="str">
        <f t="array" ref="E148">IF($I147="","",XLOOKUP(C148,FSM_State_Map!A:A,FSM_State_Map!C:C,""))</f>
        <v/>
      </c>
      <c r="F148" s="28" t="str">
        <f t="array" ref="F148">IF($I147="","",XLOOKUP(E148,Phase_UI_Map!A:A,Phase_UI_Map!B:B,""))</f>
        <v/>
      </c>
      <c r="G148" s="28" t="str">
        <f t="array" ref="G148">IF($I147="","",XLOOKUP(E148,Phase_UI_Map!A:A,Phase_UI_Map!C:C,""))</f>
        <v/>
      </c>
      <c r="H148" s="28" t="str">
        <f t="array" ref="H148">IF($I147="","",XLOOKUP(E148,Phase_UI_Map!A:A,Phase_UI_Map!D:D,""))</f>
        <v/>
      </c>
      <c r="I148" s="29"/>
      <c r="J148" s="28" t="str">
        <f>IFERROR(__xludf.DUMMYFUNCTION("IF($I147="""","""",IFERROR(INDEX(FILTER(Response_Lists!$B:$B,Response_Lists!$A:$A=$H148),1),""""))"),"")</f>
        <v/>
      </c>
      <c r="K148" s="28" t="str">
        <f>IFERROR(__xludf.DUMMYFUNCTION("IF($I147="""","""",IFERROR(INDEX(FILTER(Response_Lists!$B:$B,Response_Lists!$A:$A=$H148),2),""""))"),"")</f>
        <v/>
      </c>
      <c r="L148" s="28" t="str">
        <f>IFERROR(__xludf.DUMMYFUNCTION("IF($I147="""","""",IFERROR(INDEX(FILTER(Response_Lists!$B:$B,Response_Lists!$A:$A=$H148),3),""""))"),"")</f>
        <v/>
      </c>
      <c r="M148" s="28" t="str">
        <f>IFERROR(__xludf.DUMMYFUNCTION("IF($I147="""","""",IFERROR(INDEX(FILTER(Response_Lists!$B:$B,Response_Lists!$A:$A=$H148),4),""""))"),"")</f>
        <v/>
      </c>
      <c r="N148" s="28" t="str">
        <f>IFERROR(__xludf.DUMMYFUNCTION("IF($I147="""","""",IFERROR(INDEX(FILTER(Response_Lists!$B:$B,Response_Lists!$A:$A=$H148),5),""""))"),"")</f>
        <v/>
      </c>
      <c r="O148" s="28" t="str">
        <f>IFERROR(__xludf.DUMMYFUNCTION("IF($I147="""","""",IFERROR(INDEX(FILTER(Response_Lists!$B:$B,Response_Lists!$A:$A=$H148),6),""""))"),"")</f>
        <v/>
      </c>
      <c r="P148" s="28" t="str">
        <f t="shared" si="6"/>
        <v/>
      </c>
      <c r="Q148" s="28" t="str">
        <f t="array" ref="Q148">IF($I147="","",XLOOKUP(C148,FSM_State_Map!A:A,FSM_State_Map!D:D,""))</f>
        <v/>
      </c>
      <c r="R148" s="28" t="str">
        <f t="shared" si="7"/>
        <v/>
      </c>
      <c r="S148" s="28" t="str">
        <f t="array" ref="S148">IF($I147="","",
IF(
  AND(C148="B",C147&lt;&gt;"B"),
  XLOOKUP($B148,Derived_Variables!$A:$A,Derived_Variables!$K:$K,0)
  + XLOOKUP($B148,Derived_Variables!$A:$A,Derived_Variables!$AE:$AE,0),
  S147+AM147
))</f>
        <v/>
      </c>
      <c r="T148" s="28" t="str">
        <f t="shared" ref="T148:U148" si="306">IF($I147="","",T147+AN147)</f>
        <v/>
      </c>
      <c r="U148" s="28" t="str">
        <f t="shared" si="306"/>
        <v/>
      </c>
      <c r="V148" s="28" t="str">
        <f t="array" ref="V148">IF($I147="","",
IF(
  AND(C148="D",C147&lt;&gt;"D"),
  XLOOKUP($B148,Derived_Variables!$A:$A,Derived_Variables!$N:$N,0)
  + XLOOKUP($B148,Derived_Variables!$A:$A,Derived_Variables!$AE:$AE,0),
  V147+AP147
))</f>
        <v/>
      </c>
      <c r="W148" s="28" t="str">
        <f t="shared" ref="W148:X148" si="307">IF($I147="","",W147+AQ147)</f>
        <v/>
      </c>
      <c r="X148" s="28" t="str">
        <f t="shared" si="307"/>
        <v/>
      </c>
      <c r="Y148" s="28" t="str">
        <f t="array" ref="Y148">IF($I147="","",IF(AND(C148="P",C147&lt;&gt;"P"),IFERROR(XLOOKUP($B148,Lenso_Input!$A:$A,Lenso_Input!$E:$E,0),0),Y147+AS147))</f>
        <v/>
      </c>
      <c r="Z148" s="28" t="str">
        <f t="array" ref="Z148">IF($I147="","",IF(AND(C148="Q",C147&lt;&gt;"Q"),IFERROR(XLOOKUP($B148,Lenso_Input!$A:$A,Lenso_Input!$I:$I,0),0),Z147+AT147))</f>
        <v/>
      </c>
      <c r="AA148" s="28" t="str">
        <f t="array" ref="AA148">IF($I147="","",IF(XLOOKUP($B148,Derived_Variables!$A:$A,Derived_Variables!$R:$R,"6/6_target")="6/6_target","20_20_20","40_30_25"))</f>
        <v/>
      </c>
      <c r="AB148" s="28" t="str">
        <f t="array" ref="AB148">IF($I147="","",XLOOKUP(LOWER(XLOOKUP($B148,Derived_Variables!$A:$A,Derived_Variables!$T:$T,"Standard"))&amp;"_sph_step",Calibration!$B:$B,Calibration!$C:$C,0.25))</f>
        <v/>
      </c>
      <c r="AC148" s="28" t="str">
        <f t="array" ref="AC148">IF($I147="","",XLOOKUP(LOWER(XLOOKUP($B148,Derived_Variables!$A:$A,Derived_Variables!$T:$T,"Standard"))&amp;"_cyl_step",Calibration!$B:$B,Calibration!$C:$C,0.25))</f>
        <v/>
      </c>
      <c r="AD148" s="28" t="str">
        <f t="array" ref="AD148">IF($I147="","",IF(OR(C148="E",C148="H"),LET(startStep,XLOOKUP("axis_start_step",Calibration!$B:$B,Calibration!$C:$C,5),step1,XLOOKUP("axis_reversal_step_1",Calibration!$B:$B,Calibration!$C:$C,3),step2,XLOOKUP("axis_reversal_step_2",Calibration!$B:$B,Calibration!$C:$C,1),IF(OR(C147&lt;&gt;C148,AZ148="",AZ148="SAME",AZ148="CANT_TELL",I148="",I148="SAME",I148="CANT_TELL"),startStep,IF(OR(AND(AZ148="BETTER_1",I148="BETTER_2"),AND(AZ148="BETTER_2",I148="BETTER_1")),IF(AD147&gt;step1,step1,step2),AD147))),0))</f>
        <v/>
      </c>
      <c r="AE148" s="28" t="str">
        <f t="array" ref="AE148">IF($I147="","",XLOOKUP($B148,Derived_Variables!$A:$A,Derived_Variables!$AD:$AD,"No_Fog"))</f>
        <v/>
      </c>
      <c r="AF148" s="28" t="str">
        <f t="array" ref="AF148">IF($I147="","",XLOOKUP($B148,Derived_Variables!$A:$A,Derived_Variables!$AE:$AE,0))</f>
        <v/>
      </c>
      <c r="AG148" s="28" t="str">
        <f t="array" ref="AG148">IF($I147="","",XLOOKUP($B148,Derived_Variables!$A:$A,Derived_Variables!$AF:$AF,""))</f>
        <v/>
      </c>
      <c r="AH148" s="28" t="str">
        <f t="array" ref="AH148">IF($I147="","",XLOOKUP($B148,Derived_Variables!$A:$A,Derived_Variables!$AG:$AG,""))</f>
        <v/>
      </c>
      <c r="AI148" s="28" t="str">
        <f t="array" ref="AI148">IF($I147="","",XLOOKUP($B148,Derived_Variables!$A:$A,Derived_Variables!$AC:$AC,"Medium"))</f>
        <v/>
      </c>
      <c r="AJ148" s="28" t="str">
        <f t="array" ref="AJ148">IF($I147="","",XLOOKUP($B148,Derived_Variables!$A:$A,Derived_Variables!$Y:$Y,FALSE))</f>
        <v/>
      </c>
      <c r="AK148" s="28" t="str">
        <f t="array" ref="AK148">IF($I147="","",XLOOKUP($B148,Derived_Variables!$A:$A,Derived_Variables!$AA:$AA,"Normal"))</f>
        <v/>
      </c>
      <c r="AL148" s="28" t="str">
        <f t="array" ref="AL148">IF($I147="","",XLOOKUP($B148,Derived_Variables!$A:$A,Derived_Variables!$AB:$AB,"Normal"))</f>
        <v/>
      </c>
      <c r="AM148" s="28" t="str">
        <f t="array" ref="AM148">IF($I148="","",IFS(C148="B",IF(OR(I148="NOT_READABLE",I148="BLURRY"),-AB148,0),C148="G",IFS(I148="RED_CLEARER",XLOOKUP("duochrome_red_step",Calibration!$B:$B,Calibration!$C:$C,-0.25),I148="GREEN_CLEARER",XLOOKUP("duochrome_green_step",Calibration!$B:$B,Calibration!$C:$C,0.25),I148="EQUAL",IF(XLOOKUP($B148,Derived_Variables!$A:$A,Derived_Variables!$S:$S,"Neutral")="Undercorrect",XLOOKUP("undercorrect_step",Calibration!$B:$B,Calibration!$C:$C,0.25),IF(XLOOKUP($B148,Derived_Variables!$A:$A,Derived_Variables!$S:$S,"Neutral")="Overcorrect",-XLOOKUP("overcorrect_step",Calibration!$B:$B,Calibration!$C:$C,0.25),0)),TRUE,0),C148="K",IF(I148="TOP_CLEARER",XLOOKUP("bino_balance_step",Calibration!$B:$B,Calibration!$C:$C,0.25),0),TRUE,0))</f>
        <v/>
      </c>
      <c r="AN148" s="28" t="str">
        <f t="shared" si="10"/>
        <v/>
      </c>
      <c r="AO148" s="28" t="str">
        <f t="shared" si="11"/>
        <v/>
      </c>
      <c r="AP148" s="28" t="str">
        <f t="array" ref="AP148">IF($I148="","",IFS(C148="D",IF(OR(I148="NOT_READABLE",I148="BLURRY"),-AB148,0),C148="J",IFS(I148="RED_CLEARER",XLOOKUP("duochrome_red_step",Calibration!$B:$B,Calibration!$C:$C,-0.25),I148="GREEN_CLEARER",XLOOKUP("duochrome_green_step",Calibration!$B:$B,Calibration!$C:$C,0.25),I148="EQUAL",IF(XLOOKUP($B148,Derived_Variables!$A:$A,Derived_Variables!$S:$S,"Neutral")="Undercorrect",XLOOKUP("undercorrect_step",Calibration!$B:$B,Calibration!$C:$C,0.25),IF(XLOOKUP($B148,Derived_Variables!$A:$A,Derived_Variables!$S:$S,"Neutral")="Overcorrect",-XLOOKUP("overcorrect_step",Calibration!$B:$B,Calibration!$C:$C,0.25),0)),TRUE,0),C148="K",IF(I148="BOTTOM_CLEARER",XLOOKUP("bino_balance_step",Calibration!$B:$B,Calibration!$C:$C,0.25),0),TRUE,0))</f>
        <v/>
      </c>
      <c r="AQ148" s="28" t="str">
        <f t="shared" si="12"/>
        <v/>
      </c>
      <c r="AR148" s="28" t="str">
        <f t="shared" si="13"/>
        <v/>
      </c>
      <c r="AS148" s="28" t="str">
        <f t="array" ref="AS148">IF($I148="","",IF(C148="P",IF(OR(I148="NOT_READABLE",I148="BLURRY"),XLOOKUP("near_add_step",Calibration!$B:$B,Calibration!$C:$C,0.25),0),IF(C148="R",IF(I148="NOT_CLEAR",XLOOKUP("near_add_step",Calibration!$B:$B,Calibration!$C:$C,0.25),0),0)))</f>
        <v/>
      </c>
      <c r="AT148" s="28" t="str">
        <f t="array" ref="AT148">IF($I148="","",IF(C148="Q",IF(OR(I148="NOT_READABLE",I148="BLURRY"),XLOOKUP("near_add_step",Calibration!$B:$B,Calibration!$C:$C,0.25),0),IF(C148="R",IF(I148="NOT_CLEAR",XLOOKUP("near_add_step",Calibration!$B:$B,Calibration!$C:$C,0.25),0),0)))</f>
        <v/>
      </c>
      <c r="AU148" s="28" t="str">
        <f t="array" ref="AU148">IF($I148="","",IF(G148="SNELLEN_FEET",IF(I148="READABLE",IFERROR(XLOOKUP(XLOOKUP(R148,Chart_Scale_Distance!B:B,Chart_Scale_Distance!A:A)+1,Chart_Scale_Distance!A:A,Chart_Scale_Distance!B:B),R148),R148),R148))</f>
        <v/>
      </c>
      <c r="AV148" s="28" t="str">
        <f t="array" ref="AV148">IF($I147="","",IFERROR(XLOOKUP(R148,Chart_Scale_Distance!$B:$B,Chart_Scale_Distance!$A:$A,""),""))</f>
        <v/>
      </c>
      <c r="AW148" s="28" t="str">
        <f t="array" ref="AW148">IF($I147="","",IFERROR(XLOOKUP(AA148,Chart_Scale_Distance!$B:$B,Chart_Scale_Distance!$A:$A,""),""))</f>
        <v/>
      </c>
      <c r="AX148" s="28" t="str">
        <f t="shared" si="14"/>
        <v/>
      </c>
      <c r="AY148" s="28" t="str">
        <f t="shared" si="15"/>
        <v/>
      </c>
      <c r="AZ148" s="28" t="str">
        <f t="shared" si="16"/>
        <v/>
      </c>
      <c r="BA148" s="28" t="str">
        <f t="shared" si="17"/>
        <v/>
      </c>
      <c r="BB148" s="28" t="str">
        <f t="shared" si="18"/>
        <v/>
      </c>
      <c r="BC148" s="28" t="str">
        <f t="array" ref="BC148">IF($I148="","",LET(
conf,AI148,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duoMax,XLOOKUP($B148,Derived_Variables!$A:$A,Derived_Variables!$AI:$AI,4),
axisTol,XLOOKUP($B148,Derived_Variables!$A:$A,Derived_Variables!$W:$W,1),
maxStart,XLOOKUP($B148,Derived_Variables!$A:$A,Derived_Variables!$U:$U,1.25),
maxAR,XLOOKUP($B148,Derived_Variables!$A:$A,Derived_Variables!$V:$V,3),
anom,XLOOKUP($B148,Derived_Variables!$A:$A,Derived_Variables!$Z:$Z,FALSE),
reStart,XLOOKUP($B148,Derived_Variables!$A:$A,Derived_Variables!$K:$K,0),
leStart,XLOOKUP($B148,Derived_Variables!$A:$A,Derived_Variables!$N:$N,0),
reAR,XLOOKUP($B148,AR_Input!$A:$A,AR_Input!$B:$B,reStart),
leAR,XLOOKUP($B148,AR_Input!$A:$A,AR_Input!$E:$E,leStart),
reEsc,AND(anom,OR(ABS((S148+AM148)-reStart)&gt;maxStart,ABS((S148+AM148)-reAR)&gt;maxAR)),
leEsc,AND(anom,OR(ABS((V148+AP148)-leStart)&gt;maxStart,ABS((V148+AP148)-leAR)&gt;maxAR)),
phaseMax,IFS(
 AK148="Fast",
   IFS(
     OR(C148="B",C148="D"),XLOOKUP("timeout_coarse_fast",Calibration!$B:$B,Calibration!$C:$C,24),
     OR(C148="E",C148="F",C148="H",C148="I"),XLOOKUP("timeout_jcc_fast",Calibration!$B:$B,Calibration!$C:$C,10),
     OR(C148="G",C148="J"),XLOOKUP("timeout_duochrome_fast",Calibration!$B:$B,Calibration!$C:$C,8),
     C148="K",XLOOKUP("timeout_bino_fast",Calibration!$B:$B,Calibration!$C:$C,10),
     OR(C148="P",C148="Q",C148="R"),XLOOKUP("timeout_near_fast",Calibration!$B:$B,Calibration!$C:$C,16),
     TRUE,XLOOKUP("timeout_coarse_fast",Calibration!$B:$B,Calibration!$C:$C,24)
   ),
 AK148="Normal",
   IFS(
     OR(C148="B",C148="D"),XLOOKUP("timeout_coarse_normal",Calibration!$B:$B,Calibration!$C:$C,36),
     OR(C148="E",C148="F",C148="H",C148="I"),XLOOKUP("timeout_jcc_normal",Calibration!$B:$B,Calibration!$C:$C,14),
     OR(C148="G",C148="J"),XLOOKUP("timeout_duochrome_normal",Calibration!$B:$B,Calibration!$C:$C,10),
     C148="K",XLOOKUP("timeout_bino_normal",Calibration!$B:$B,Calibration!$C:$C,14),
     OR(C148="P",C148="Q",C148="R"),XLOOKUP("timeout_near_normal",Calibration!$B:$B,Calibration!$C:$C,22),
     TRUE,XLOOKUP("timeout_coarse_normal",Calibration!$B:$B,Calibration!$C:$C,36)
   ),
 TRUE,
   IFS(
     OR(C148="B",C148="D"),XLOOKUP("timeout_coarse_slow",Calibration!$B:$B,Calibration!$C:$C,48),
     OR(C148="E",C148="F",C148="H",C148="I"),XLOOKUP("timeout_jcc_slow",Calibration!$B:$B,Calibration!$C:$C,18),
     OR(C148="G",C148="J"),XLOOKUP("timeout_duochrome_slow",Calibration!$B:$B,Calibration!$C:$C,12),
     C148="K",XLOOKUP("timeout_bino_slow",Calibration!$B:$B,Calibration!$C:$C,18),
     OR(C148="P",C148="Q",C148="R"),XLOOKUP("timeout_near_slow",Calibration!$B:$B,Calibration!$C:$C,28),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AJ148=TRUE,"ESCALATE",
C148="A",
IF(OR(I148="NOT_READABLE",I148="BLURRY",AND(R148="20_20_20",I148="READABLE")),"B","A"),
C148="B",
IF(reEsc,"ESCALATE",IF(AY148&gt;=phaseMax,"ESCALATE",IF(AND(AV148&gt;=AW148,I148="READABLE"),"E","B"))),
C148="E",
IF(AY148&gt;=phaseMax,"ESCALATE",IF(OR(I148="SAME",I148="CANT_TELL",AD148&lt;axisTol),"F","E")),
C148="F",
IF(AY148&gt;=phaseMax,"ESCALATE",IF(AX148&gt;=powerSameN,"G","F")),
C148="G",
IF(AY148&gt;=phaseMax,"ESCALATE",IF(OR(AX148&gt;=duoEqualN,BB148&gt;=duoMax),"D","G")),
C148="D",
IF(leEsc,"ESCALATE",IF(AY148&gt;=phaseMax,"ESCALATE",IF(AND(AV148&gt;=AW148,I148="READABLE"),"H","D"))),
C148="H",
IF(AY148&gt;=phaseMax,"ESCALATE",IF(OR(I148="SAME",I148="CANT_TELL",AD148&lt;axisTol),"I","H")),
C148="I",
IF(AY148&gt;=phaseMax,"ESCALATE",IF(AX148&gt;=powerSameN,"J","I")),
C148="J",
IF(AY148&gt;=phaseMax,"ESCALATE",IF(OR(AX148&gt;=duoEqualN,BB148&gt;=duoMax),"K","J")),
C148="K",
IF(AY148&gt;=phaseMax,"ESCALATE",IF(AX148&gt;=binoSameN,IF(XLOOKUP($B148,Derived_Variables!$A:$A,Derived_Variables!$AJ:$AJ,FALSE)=TRUE,"P","END"),"K")),
C148="P",
IF(AY148&gt;=phaseMax,"ESCALATE",IF(OR(I148="READABLE",I148="SAME"),"Q","P")),
C148="Q",
IF(AY148&gt;=phaseMax,"ESCALATE",IF(OR(I148="READABLE",I148="SAME"),"R","Q")),
C148="R",
IF(AY148&gt;=phaseMax,"ESCALATE",IF(OR(I148=nearTarget,I148="SAME"),"END","R")),
TRUE,"END"
)))</f>
        <v/>
      </c>
      <c r="BD148" s="28" t="b">
        <f t="shared" si="19"/>
        <v>0</v>
      </c>
    </row>
    <row r="149" ht="15.75" customHeight="1">
      <c r="A149" s="28">
        <f t="shared" si="3"/>
        <v>148</v>
      </c>
      <c r="B149" s="28">
        <f t="shared" si="4"/>
        <v>6</v>
      </c>
      <c r="C149" s="28" t="str">
        <f t="shared" si="5"/>
        <v/>
      </c>
      <c r="D149" s="28" t="str">
        <f t="array" ref="D149">IF($I148="","",XLOOKUP(C149,FSM_State_Map!A:A,FSM_State_Map!B:B,""))</f>
        <v/>
      </c>
      <c r="E149" s="28" t="str">
        <f t="array" ref="E149">IF($I148="","",XLOOKUP(C149,FSM_State_Map!A:A,FSM_State_Map!C:C,""))</f>
        <v/>
      </c>
      <c r="F149" s="28" t="str">
        <f t="array" ref="F149">IF($I148="","",XLOOKUP(E149,Phase_UI_Map!A:A,Phase_UI_Map!B:B,""))</f>
        <v/>
      </c>
      <c r="G149" s="28" t="str">
        <f t="array" ref="G149">IF($I148="","",XLOOKUP(E149,Phase_UI_Map!A:A,Phase_UI_Map!C:C,""))</f>
        <v/>
      </c>
      <c r="H149" s="28" t="str">
        <f t="array" ref="H149">IF($I148="","",XLOOKUP(E149,Phase_UI_Map!A:A,Phase_UI_Map!D:D,""))</f>
        <v/>
      </c>
      <c r="I149" s="29"/>
      <c r="J149" s="28" t="str">
        <f>IFERROR(__xludf.DUMMYFUNCTION("IF($I148="""","""",IFERROR(INDEX(FILTER(Response_Lists!$B:$B,Response_Lists!$A:$A=$H149),1),""""))"),"")</f>
        <v/>
      </c>
      <c r="K149" s="28" t="str">
        <f>IFERROR(__xludf.DUMMYFUNCTION("IF($I148="""","""",IFERROR(INDEX(FILTER(Response_Lists!$B:$B,Response_Lists!$A:$A=$H149),2),""""))"),"")</f>
        <v/>
      </c>
      <c r="L149" s="28" t="str">
        <f>IFERROR(__xludf.DUMMYFUNCTION("IF($I148="""","""",IFERROR(INDEX(FILTER(Response_Lists!$B:$B,Response_Lists!$A:$A=$H149),3),""""))"),"")</f>
        <v/>
      </c>
      <c r="M149" s="28" t="str">
        <f>IFERROR(__xludf.DUMMYFUNCTION("IF($I148="""","""",IFERROR(INDEX(FILTER(Response_Lists!$B:$B,Response_Lists!$A:$A=$H149),4),""""))"),"")</f>
        <v/>
      </c>
      <c r="N149" s="28" t="str">
        <f>IFERROR(__xludf.DUMMYFUNCTION("IF($I148="""","""",IFERROR(INDEX(FILTER(Response_Lists!$B:$B,Response_Lists!$A:$A=$H149),5),""""))"),"")</f>
        <v/>
      </c>
      <c r="O149" s="28" t="str">
        <f>IFERROR(__xludf.DUMMYFUNCTION("IF($I148="""","""",IFERROR(INDEX(FILTER(Response_Lists!$B:$B,Response_Lists!$A:$A=$H149),6),""""))"),"")</f>
        <v/>
      </c>
      <c r="P149" s="28" t="str">
        <f t="shared" si="6"/>
        <v/>
      </c>
      <c r="Q149" s="28" t="str">
        <f t="array" ref="Q149">IF($I148="","",XLOOKUP(C149,FSM_State_Map!A:A,FSM_State_Map!D:D,""))</f>
        <v/>
      </c>
      <c r="R149" s="28" t="str">
        <f t="shared" si="7"/>
        <v/>
      </c>
      <c r="S149" s="28" t="str">
        <f t="array" ref="S149">IF($I148="","",
IF(
  AND(C149="B",C148&lt;&gt;"B"),
  XLOOKUP($B149,Derived_Variables!$A:$A,Derived_Variables!$K:$K,0)
  + XLOOKUP($B149,Derived_Variables!$A:$A,Derived_Variables!$AE:$AE,0),
  S148+AM148
))</f>
        <v/>
      </c>
      <c r="T149" s="28" t="str">
        <f t="shared" ref="T149:U149" si="308">IF($I148="","",T148+AN148)</f>
        <v/>
      </c>
      <c r="U149" s="28" t="str">
        <f t="shared" si="308"/>
        <v/>
      </c>
      <c r="V149" s="28" t="str">
        <f t="array" ref="V149">IF($I148="","",
IF(
  AND(C149="D",C148&lt;&gt;"D"),
  XLOOKUP($B149,Derived_Variables!$A:$A,Derived_Variables!$N:$N,0)
  + XLOOKUP($B149,Derived_Variables!$A:$A,Derived_Variables!$AE:$AE,0),
  V148+AP148
))</f>
        <v/>
      </c>
      <c r="W149" s="28" t="str">
        <f t="shared" ref="W149:X149" si="309">IF($I148="","",W148+AQ148)</f>
        <v/>
      </c>
      <c r="X149" s="28" t="str">
        <f t="shared" si="309"/>
        <v/>
      </c>
      <c r="Y149" s="28" t="str">
        <f t="array" ref="Y149">IF($I148="","",IF(AND(C149="P",C148&lt;&gt;"P"),IFERROR(XLOOKUP($B149,Lenso_Input!$A:$A,Lenso_Input!$E:$E,0),0),Y148+AS148))</f>
        <v/>
      </c>
      <c r="Z149" s="28" t="str">
        <f t="array" ref="Z149">IF($I148="","",IF(AND(C149="Q",C148&lt;&gt;"Q"),IFERROR(XLOOKUP($B149,Lenso_Input!$A:$A,Lenso_Input!$I:$I,0),0),Z148+AT148))</f>
        <v/>
      </c>
      <c r="AA149" s="28" t="str">
        <f t="array" ref="AA149">IF($I148="","",IF(XLOOKUP($B149,Derived_Variables!$A:$A,Derived_Variables!$R:$R,"6/6_target")="6/6_target","20_20_20","40_30_25"))</f>
        <v/>
      </c>
      <c r="AB149" s="28" t="str">
        <f t="array" ref="AB149">IF($I148="","",XLOOKUP(LOWER(XLOOKUP($B149,Derived_Variables!$A:$A,Derived_Variables!$T:$T,"Standard"))&amp;"_sph_step",Calibration!$B:$B,Calibration!$C:$C,0.25))</f>
        <v/>
      </c>
      <c r="AC149" s="28" t="str">
        <f t="array" ref="AC149">IF($I148="","",XLOOKUP(LOWER(XLOOKUP($B149,Derived_Variables!$A:$A,Derived_Variables!$T:$T,"Standard"))&amp;"_cyl_step",Calibration!$B:$B,Calibration!$C:$C,0.25))</f>
        <v/>
      </c>
      <c r="AD149" s="28" t="str">
        <f t="array" ref="AD149">IF($I148="","",IF(OR(C149="E",C149="H"),LET(startStep,XLOOKUP("axis_start_step",Calibration!$B:$B,Calibration!$C:$C,5),step1,XLOOKUP("axis_reversal_step_1",Calibration!$B:$B,Calibration!$C:$C,3),step2,XLOOKUP("axis_reversal_step_2",Calibration!$B:$B,Calibration!$C:$C,1),IF(OR(C148&lt;&gt;C149,AZ149="",AZ149="SAME",AZ149="CANT_TELL",I149="",I149="SAME",I149="CANT_TELL"),startStep,IF(OR(AND(AZ149="BETTER_1",I149="BETTER_2"),AND(AZ149="BETTER_2",I149="BETTER_1")),IF(AD148&gt;step1,step1,step2),AD148))),0))</f>
        <v/>
      </c>
      <c r="AE149" s="28" t="str">
        <f t="array" ref="AE149">IF($I148="","",XLOOKUP($B149,Derived_Variables!$A:$A,Derived_Variables!$AD:$AD,"No_Fog"))</f>
        <v/>
      </c>
      <c r="AF149" s="28" t="str">
        <f t="array" ref="AF149">IF($I148="","",XLOOKUP($B149,Derived_Variables!$A:$A,Derived_Variables!$AE:$AE,0))</f>
        <v/>
      </c>
      <c r="AG149" s="28" t="str">
        <f t="array" ref="AG149">IF($I148="","",XLOOKUP($B149,Derived_Variables!$A:$A,Derived_Variables!$AF:$AF,""))</f>
        <v/>
      </c>
      <c r="AH149" s="28" t="str">
        <f t="array" ref="AH149">IF($I148="","",XLOOKUP($B149,Derived_Variables!$A:$A,Derived_Variables!$AG:$AG,""))</f>
        <v/>
      </c>
      <c r="AI149" s="28" t="str">
        <f t="array" ref="AI149">IF($I148="","",XLOOKUP($B149,Derived_Variables!$A:$A,Derived_Variables!$AC:$AC,"Medium"))</f>
        <v/>
      </c>
      <c r="AJ149" s="28" t="str">
        <f t="array" ref="AJ149">IF($I148="","",XLOOKUP($B149,Derived_Variables!$A:$A,Derived_Variables!$Y:$Y,FALSE))</f>
        <v/>
      </c>
      <c r="AK149" s="28" t="str">
        <f t="array" ref="AK149">IF($I148="","",XLOOKUP($B149,Derived_Variables!$A:$A,Derived_Variables!$AA:$AA,"Normal"))</f>
        <v/>
      </c>
      <c r="AL149" s="28" t="str">
        <f t="array" ref="AL149">IF($I148="","",XLOOKUP($B149,Derived_Variables!$A:$A,Derived_Variables!$AB:$AB,"Normal"))</f>
        <v/>
      </c>
      <c r="AM149" s="28" t="str">
        <f t="array" ref="AM149">IF($I149="","",IFS(C149="B",IF(OR(I149="NOT_READABLE",I149="BLURRY"),-AB149,0),C149="G",IFS(I149="RED_CLEARER",XLOOKUP("duochrome_red_step",Calibration!$B:$B,Calibration!$C:$C,-0.25),I149="GREEN_CLEARER",XLOOKUP("duochrome_green_step",Calibration!$B:$B,Calibration!$C:$C,0.25),I149="EQUAL",IF(XLOOKUP($B149,Derived_Variables!$A:$A,Derived_Variables!$S:$S,"Neutral")="Undercorrect",XLOOKUP("undercorrect_step",Calibration!$B:$B,Calibration!$C:$C,0.25),IF(XLOOKUP($B149,Derived_Variables!$A:$A,Derived_Variables!$S:$S,"Neutral")="Overcorrect",-XLOOKUP("overcorrect_step",Calibration!$B:$B,Calibration!$C:$C,0.25),0)),TRUE,0),C149="K",IF(I149="TOP_CLEARER",XLOOKUP("bino_balance_step",Calibration!$B:$B,Calibration!$C:$C,0.25),0),TRUE,0))</f>
        <v/>
      </c>
      <c r="AN149" s="28" t="str">
        <f t="shared" si="10"/>
        <v/>
      </c>
      <c r="AO149" s="28" t="str">
        <f t="shared" si="11"/>
        <v/>
      </c>
      <c r="AP149" s="28" t="str">
        <f t="array" ref="AP149">IF($I149="","",IFS(C149="D",IF(OR(I149="NOT_READABLE",I149="BLURRY"),-AB149,0),C149="J",IFS(I149="RED_CLEARER",XLOOKUP("duochrome_red_step",Calibration!$B:$B,Calibration!$C:$C,-0.25),I149="GREEN_CLEARER",XLOOKUP("duochrome_green_step",Calibration!$B:$B,Calibration!$C:$C,0.25),I149="EQUAL",IF(XLOOKUP($B149,Derived_Variables!$A:$A,Derived_Variables!$S:$S,"Neutral")="Undercorrect",XLOOKUP("undercorrect_step",Calibration!$B:$B,Calibration!$C:$C,0.25),IF(XLOOKUP($B149,Derived_Variables!$A:$A,Derived_Variables!$S:$S,"Neutral")="Overcorrect",-XLOOKUP("overcorrect_step",Calibration!$B:$B,Calibration!$C:$C,0.25),0)),TRUE,0),C149="K",IF(I149="BOTTOM_CLEARER",XLOOKUP("bino_balance_step",Calibration!$B:$B,Calibration!$C:$C,0.25),0),TRUE,0))</f>
        <v/>
      </c>
      <c r="AQ149" s="28" t="str">
        <f t="shared" si="12"/>
        <v/>
      </c>
      <c r="AR149" s="28" t="str">
        <f t="shared" si="13"/>
        <v/>
      </c>
      <c r="AS149" s="28" t="str">
        <f t="array" ref="AS149">IF($I149="","",IF(C149="P",IF(OR(I149="NOT_READABLE",I149="BLURRY"),XLOOKUP("near_add_step",Calibration!$B:$B,Calibration!$C:$C,0.25),0),IF(C149="R",IF(I149="NOT_CLEAR",XLOOKUP("near_add_step",Calibration!$B:$B,Calibration!$C:$C,0.25),0),0)))</f>
        <v/>
      </c>
      <c r="AT149" s="28" t="str">
        <f t="array" ref="AT149">IF($I149="","",IF(C149="Q",IF(OR(I149="NOT_READABLE",I149="BLURRY"),XLOOKUP("near_add_step",Calibration!$B:$B,Calibration!$C:$C,0.25),0),IF(C149="R",IF(I149="NOT_CLEAR",XLOOKUP("near_add_step",Calibration!$B:$B,Calibration!$C:$C,0.25),0),0)))</f>
        <v/>
      </c>
      <c r="AU149" s="28" t="str">
        <f t="array" ref="AU149">IF($I149="","",IF(G149="SNELLEN_FEET",IF(I149="READABLE",IFERROR(XLOOKUP(XLOOKUP(R149,Chart_Scale_Distance!B:B,Chart_Scale_Distance!A:A)+1,Chart_Scale_Distance!A:A,Chart_Scale_Distance!B:B),R149),R149),R149))</f>
        <v/>
      </c>
      <c r="AV149" s="28" t="str">
        <f t="array" ref="AV149">IF($I148="","",IFERROR(XLOOKUP(R149,Chart_Scale_Distance!$B:$B,Chart_Scale_Distance!$A:$A,""),""))</f>
        <v/>
      </c>
      <c r="AW149" s="28" t="str">
        <f t="array" ref="AW149">IF($I148="","",IFERROR(XLOOKUP(AA149,Chart_Scale_Distance!$B:$B,Chart_Scale_Distance!$A:$A,""),""))</f>
        <v/>
      </c>
      <c r="AX149" s="28" t="str">
        <f t="shared" si="14"/>
        <v/>
      </c>
      <c r="AY149" s="28" t="str">
        <f t="shared" si="15"/>
        <v/>
      </c>
      <c r="AZ149" s="28" t="str">
        <f t="shared" si="16"/>
        <v/>
      </c>
      <c r="BA149" s="28" t="str">
        <f t="shared" si="17"/>
        <v/>
      </c>
      <c r="BB149" s="28" t="str">
        <f t="shared" si="18"/>
        <v/>
      </c>
      <c r="BC149" s="28" t="str">
        <f t="array" ref="BC149">IF($I149="","",LET(
conf,AI149,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duoMax,XLOOKUP($B149,Derived_Variables!$A:$A,Derived_Variables!$AI:$AI,4),
axisTol,XLOOKUP($B149,Derived_Variables!$A:$A,Derived_Variables!$W:$W,1),
maxStart,XLOOKUP($B149,Derived_Variables!$A:$A,Derived_Variables!$U:$U,1.25),
maxAR,XLOOKUP($B149,Derived_Variables!$A:$A,Derived_Variables!$V:$V,3),
anom,XLOOKUP($B149,Derived_Variables!$A:$A,Derived_Variables!$Z:$Z,FALSE),
reStart,XLOOKUP($B149,Derived_Variables!$A:$A,Derived_Variables!$K:$K,0),
leStart,XLOOKUP($B149,Derived_Variables!$A:$A,Derived_Variables!$N:$N,0),
reAR,XLOOKUP($B149,AR_Input!$A:$A,AR_Input!$B:$B,reStart),
leAR,XLOOKUP($B149,AR_Input!$A:$A,AR_Input!$E:$E,leStart),
reEsc,AND(anom,OR(ABS((S149+AM149)-reStart)&gt;maxStart,ABS((S149+AM149)-reAR)&gt;maxAR)),
leEsc,AND(anom,OR(ABS((V149+AP149)-leStart)&gt;maxStart,ABS((V149+AP149)-leAR)&gt;maxAR)),
phaseMax,IFS(
 AK149="Fast",
   IFS(
     OR(C149="B",C149="D"),XLOOKUP("timeout_coarse_fast",Calibration!$B:$B,Calibration!$C:$C,24),
     OR(C149="E",C149="F",C149="H",C149="I"),XLOOKUP("timeout_jcc_fast",Calibration!$B:$B,Calibration!$C:$C,10),
     OR(C149="G",C149="J"),XLOOKUP("timeout_duochrome_fast",Calibration!$B:$B,Calibration!$C:$C,8),
     C149="K",XLOOKUP("timeout_bino_fast",Calibration!$B:$B,Calibration!$C:$C,10),
     OR(C149="P",C149="Q",C149="R"),XLOOKUP("timeout_near_fast",Calibration!$B:$B,Calibration!$C:$C,16),
     TRUE,XLOOKUP("timeout_coarse_fast",Calibration!$B:$B,Calibration!$C:$C,24)
   ),
 AK149="Normal",
   IFS(
     OR(C149="B",C149="D"),XLOOKUP("timeout_coarse_normal",Calibration!$B:$B,Calibration!$C:$C,36),
     OR(C149="E",C149="F",C149="H",C149="I"),XLOOKUP("timeout_jcc_normal",Calibration!$B:$B,Calibration!$C:$C,14),
     OR(C149="G",C149="J"),XLOOKUP("timeout_duochrome_normal",Calibration!$B:$B,Calibration!$C:$C,10),
     C149="K",XLOOKUP("timeout_bino_normal",Calibration!$B:$B,Calibration!$C:$C,14),
     OR(C149="P",C149="Q",C149="R"),XLOOKUP("timeout_near_normal",Calibration!$B:$B,Calibration!$C:$C,22),
     TRUE,XLOOKUP("timeout_coarse_normal",Calibration!$B:$B,Calibration!$C:$C,36)
   ),
 TRUE,
   IFS(
     OR(C149="B",C149="D"),XLOOKUP("timeout_coarse_slow",Calibration!$B:$B,Calibration!$C:$C,48),
     OR(C149="E",C149="F",C149="H",C149="I"),XLOOKUP("timeout_jcc_slow",Calibration!$B:$B,Calibration!$C:$C,18),
     OR(C149="G",C149="J"),XLOOKUP("timeout_duochrome_slow",Calibration!$B:$B,Calibration!$C:$C,12),
     C149="K",XLOOKUP("timeout_bino_slow",Calibration!$B:$B,Calibration!$C:$C,18),
     OR(C149="P",C149="Q",C149="R"),XLOOKUP("timeout_near_slow",Calibration!$B:$B,Calibration!$C:$C,28),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AJ149=TRUE,"ESCALATE",
C149="A",
IF(OR(I149="NOT_READABLE",I149="BLURRY",AND(R149="20_20_20",I149="READABLE")),"B","A"),
C149="B",
IF(reEsc,"ESCALATE",IF(AY149&gt;=phaseMax,"ESCALATE",IF(AND(AV149&gt;=AW149,I149="READABLE"),"E","B"))),
C149="E",
IF(AY149&gt;=phaseMax,"ESCALATE",IF(OR(I149="SAME",I149="CANT_TELL",AD149&lt;axisTol),"F","E")),
C149="F",
IF(AY149&gt;=phaseMax,"ESCALATE",IF(AX149&gt;=powerSameN,"G","F")),
C149="G",
IF(AY149&gt;=phaseMax,"ESCALATE",IF(OR(AX149&gt;=duoEqualN,BB149&gt;=duoMax),"D","G")),
C149="D",
IF(leEsc,"ESCALATE",IF(AY149&gt;=phaseMax,"ESCALATE",IF(AND(AV149&gt;=AW149,I149="READABLE"),"H","D"))),
C149="H",
IF(AY149&gt;=phaseMax,"ESCALATE",IF(OR(I149="SAME",I149="CANT_TELL",AD149&lt;axisTol),"I","H")),
C149="I",
IF(AY149&gt;=phaseMax,"ESCALATE",IF(AX149&gt;=powerSameN,"J","I")),
C149="J",
IF(AY149&gt;=phaseMax,"ESCALATE",IF(OR(AX149&gt;=duoEqualN,BB149&gt;=duoMax),"K","J")),
C149="K",
IF(AY149&gt;=phaseMax,"ESCALATE",IF(AX149&gt;=binoSameN,IF(XLOOKUP($B149,Derived_Variables!$A:$A,Derived_Variables!$AJ:$AJ,FALSE)=TRUE,"P","END"),"K")),
C149="P",
IF(AY149&gt;=phaseMax,"ESCALATE",IF(OR(I149="READABLE",I149="SAME"),"Q","P")),
C149="Q",
IF(AY149&gt;=phaseMax,"ESCALATE",IF(OR(I149="READABLE",I149="SAME"),"R","Q")),
C149="R",
IF(AY149&gt;=phaseMax,"ESCALATE",IF(OR(I149=nearTarget,I149="SAME"),"END","R")),
TRUE,"END"
)))</f>
        <v/>
      </c>
      <c r="BD149" s="28" t="b">
        <f t="shared" si="19"/>
        <v>0</v>
      </c>
    </row>
    <row r="150" ht="15.75" customHeight="1">
      <c r="A150" s="28">
        <f t="shared" si="3"/>
        <v>149</v>
      </c>
      <c r="B150" s="28">
        <f t="shared" si="4"/>
        <v>6</v>
      </c>
      <c r="C150" s="28" t="str">
        <f t="shared" si="5"/>
        <v/>
      </c>
      <c r="D150" s="28" t="str">
        <f t="array" ref="D150">IF($I149="","",XLOOKUP(C150,FSM_State_Map!A:A,FSM_State_Map!B:B,""))</f>
        <v/>
      </c>
      <c r="E150" s="28" t="str">
        <f t="array" ref="E150">IF($I149="","",XLOOKUP(C150,FSM_State_Map!A:A,FSM_State_Map!C:C,""))</f>
        <v/>
      </c>
      <c r="F150" s="28" t="str">
        <f t="array" ref="F150">IF($I149="","",XLOOKUP(E150,Phase_UI_Map!A:A,Phase_UI_Map!B:B,""))</f>
        <v/>
      </c>
      <c r="G150" s="28" t="str">
        <f t="array" ref="G150">IF($I149="","",XLOOKUP(E150,Phase_UI_Map!A:A,Phase_UI_Map!C:C,""))</f>
        <v/>
      </c>
      <c r="H150" s="28" t="str">
        <f t="array" ref="H150">IF($I149="","",XLOOKUP(E150,Phase_UI_Map!A:A,Phase_UI_Map!D:D,""))</f>
        <v/>
      </c>
      <c r="I150" s="29"/>
      <c r="J150" s="28" t="str">
        <f>IFERROR(__xludf.DUMMYFUNCTION("IF($I149="""","""",IFERROR(INDEX(FILTER(Response_Lists!$B:$B,Response_Lists!$A:$A=$H150),1),""""))"),"")</f>
        <v/>
      </c>
      <c r="K150" s="28" t="str">
        <f>IFERROR(__xludf.DUMMYFUNCTION("IF($I149="""","""",IFERROR(INDEX(FILTER(Response_Lists!$B:$B,Response_Lists!$A:$A=$H150),2),""""))"),"")</f>
        <v/>
      </c>
      <c r="L150" s="28" t="str">
        <f>IFERROR(__xludf.DUMMYFUNCTION("IF($I149="""","""",IFERROR(INDEX(FILTER(Response_Lists!$B:$B,Response_Lists!$A:$A=$H150),3),""""))"),"")</f>
        <v/>
      </c>
      <c r="M150" s="28" t="str">
        <f>IFERROR(__xludf.DUMMYFUNCTION("IF($I149="""","""",IFERROR(INDEX(FILTER(Response_Lists!$B:$B,Response_Lists!$A:$A=$H150),4),""""))"),"")</f>
        <v/>
      </c>
      <c r="N150" s="28" t="str">
        <f>IFERROR(__xludf.DUMMYFUNCTION("IF($I149="""","""",IFERROR(INDEX(FILTER(Response_Lists!$B:$B,Response_Lists!$A:$A=$H150),5),""""))"),"")</f>
        <v/>
      </c>
      <c r="O150" s="28" t="str">
        <f>IFERROR(__xludf.DUMMYFUNCTION("IF($I149="""","""",IFERROR(INDEX(FILTER(Response_Lists!$B:$B,Response_Lists!$A:$A=$H150),6),""""))"),"")</f>
        <v/>
      </c>
      <c r="P150" s="28" t="str">
        <f t="shared" si="6"/>
        <v/>
      </c>
      <c r="Q150" s="28" t="str">
        <f t="array" ref="Q150">IF($I149="","",XLOOKUP(C150,FSM_State_Map!A:A,FSM_State_Map!D:D,""))</f>
        <v/>
      </c>
      <c r="R150" s="28" t="str">
        <f t="shared" si="7"/>
        <v/>
      </c>
      <c r="S150" s="28" t="str">
        <f t="array" ref="S150">IF($I149="","",
IF(
  AND(C150="B",C149&lt;&gt;"B"),
  XLOOKUP($B150,Derived_Variables!$A:$A,Derived_Variables!$K:$K,0)
  + XLOOKUP($B150,Derived_Variables!$A:$A,Derived_Variables!$AE:$AE,0),
  S149+AM149
))</f>
        <v/>
      </c>
      <c r="T150" s="28" t="str">
        <f t="shared" ref="T150:U150" si="310">IF($I149="","",T149+AN149)</f>
        <v/>
      </c>
      <c r="U150" s="28" t="str">
        <f t="shared" si="310"/>
        <v/>
      </c>
      <c r="V150" s="28" t="str">
        <f t="array" ref="V150">IF($I149="","",
IF(
  AND(C150="D",C149&lt;&gt;"D"),
  XLOOKUP($B150,Derived_Variables!$A:$A,Derived_Variables!$N:$N,0)
  + XLOOKUP($B150,Derived_Variables!$A:$A,Derived_Variables!$AE:$AE,0),
  V149+AP149
))</f>
        <v/>
      </c>
      <c r="W150" s="28" t="str">
        <f t="shared" ref="W150:X150" si="311">IF($I149="","",W149+AQ149)</f>
        <v/>
      </c>
      <c r="X150" s="28" t="str">
        <f t="shared" si="311"/>
        <v/>
      </c>
      <c r="Y150" s="28" t="str">
        <f t="array" ref="Y150">IF($I149="","",IF(AND(C150="P",C149&lt;&gt;"P"),IFERROR(XLOOKUP($B150,Lenso_Input!$A:$A,Lenso_Input!$E:$E,0),0),Y149+AS149))</f>
        <v/>
      </c>
      <c r="Z150" s="28" t="str">
        <f t="array" ref="Z150">IF($I149="","",IF(AND(C150="Q",C149&lt;&gt;"Q"),IFERROR(XLOOKUP($B150,Lenso_Input!$A:$A,Lenso_Input!$I:$I,0),0),Z149+AT149))</f>
        <v/>
      </c>
      <c r="AA150" s="28" t="str">
        <f t="array" ref="AA150">IF($I149="","",IF(XLOOKUP($B150,Derived_Variables!$A:$A,Derived_Variables!$R:$R,"6/6_target")="6/6_target","20_20_20","40_30_25"))</f>
        <v/>
      </c>
      <c r="AB150" s="28" t="str">
        <f t="array" ref="AB150">IF($I149="","",XLOOKUP(LOWER(XLOOKUP($B150,Derived_Variables!$A:$A,Derived_Variables!$T:$T,"Standard"))&amp;"_sph_step",Calibration!$B:$B,Calibration!$C:$C,0.25))</f>
        <v/>
      </c>
      <c r="AC150" s="28" t="str">
        <f t="array" ref="AC150">IF($I149="","",XLOOKUP(LOWER(XLOOKUP($B150,Derived_Variables!$A:$A,Derived_Variables!$T:$T,"Standard"))&amp;"_cyl_step",Calibration!$B:$B,Calibration!$C:$C,0.25))</f>
        <v/>
      </c>
      <c r="AD150" s="28" t="str">
        <f t="array" ref="AD150">IF($I149="","",IF(OR(C150="E",C150="H"),LET(startStep,XLOOKUP("axis_start_step",Calibration!$B:$B,Calibration!$C:$C,5),step1,XLOOKUP("axis_reversal_step_1",Calibration!$B:$B,Calibration!$C:$C,3),step2,XLOOKUP("axis_reversal_step_2",Calibration!$B:$B,Calibration!$C:$C,1),IF(OR(C149&lt;&gt;C150,AZ150="",AZ150="SAME",AZ150="CANT_TELL",I150="",I150="SAME",I150="CANT_TELL"),startStep,IF(OR(AND(AZ150="BETTER_1",I150="BETTER_2"),AND(AZ150="BETTER_2",I150="BETTER_1")),IF(AD149&gt;step1,step1,step2),AD149))),0))</f>
        <v/>
      </c>
      <c r="AE150" s="28" t="str">
        <f t="array" ref="AE150">IF($I149="","",XLOOKUP($B150,Derived_Variables!$A:$A,Derived_Variables!$AD:$AD,"No_Fog"))</f>
        <v/>
      </c>
      <c r="AF150" s="28" t="str">
        <f t="array" ref="AF150">IF($I149="","",XLOOKUP($B150,Derived_Variables!$A:$A,Derived_Variables!$AE:$AE,0))</f>
        <v/>
      </c>
      <c r="AG150" s="28" t="str">
        <f t="array" ref="AG150">IF($I149="","",XLOOKUP($B150,Derived_Variables!$A:$A,Derived_Variables!$AF:$AF,""))</f>
        <v/>
      </c>
      <c r="AH150" s="28" t="str">
        <f t="array" ref="AH150">IF($I149="","",XLOOKUP($B150,Derived_Variables!$A:$A,Derived_Variables!$AG:$AG,""))</f>
        <v/>
      </c>
      <c r="AI150" s="28" t="str">
        <f t="array" ref="AI150">IF($I149="","",XLOOKUP($B150,Derived_Variables!$A:$A,Derived_Variables!$AC:$AC,"Medium"))</f>
        <v/>
      </c>
      <c r="AJ150" s="28" t="str">
        <f t="array" ref="AJ150">IF($I149="","",XLOOKUP($B150,Derived_Variables!$A:$A,Derived_Variables!$Y:$Y,FALSE))</f>
        <v/>
      </c>
      <c r="AK150" s="28" t="str">
        <f t="array" ref="AK150">IF($I149="","",XLOOKUP($B150,Derived_Variables!$A:$A,Derived_Variables!$AA:$AA,"Normal"))</f>
        <v/>
      </c>
      <c r="AL150" s="28" t="str">
        <f t="array" ref="AL150">IF($I149="","",XLOOKUP($B150,Derived_Variables!$A:$A,Derived_Variables!$AB:$AB,"Normal"))</f>
        <v/>
      </c>
      <c r="AM150" s="28" t="str">
        <f t="array" ref="AM150">IF($I150="","",IFS(C150="B",IF(OR(I150="NOT_READABLE",I150="BLURRY"),-AB150,0),C150="G",IFS(I150="RED_CLEARER",XLOOKUP("duochrome_red_step",Calibration!$B:$B,Calibration!$C:$C,-0.25),I150="GREEN_CLEARER",XLOOKUP("duochrome_green_step",Calibration!$B:$B,Calibration!$C:$C,0.25),I150="EQUAL",IF(XLOOKUP($B150,Derived_Variables!$A:$A,Derived_Variables!$S:$S,"Neutral")="Undercorrect",XLOOKUP("undercorrect_step",Calibration!$B:$B,Calibration!$C:$C,0.25),IF(XLOOKUP($B150,Derived_Variables!$A:$A,Derived_Variables!$S:$S,"Neutral")="Overcorrect",-XLOOKUP("overcorrect_step",Calibration!$B:$B,Calibration!$C:$C,0.25),0)),TRUE,0),C150="K",IF(I150="TOP_CLEARER",XLOOKUP("bino_balance_step",Calibration!$B:$B,Calibration!$C:$C,0.25),0),TRUE,0))</f>
        <v/>
      </c>
      <c r="AN150" s="28" t="str">
        <f t="shared" si="10"/>
        <v/>
      </c>
      <c r="AO150" s="28" t="str">
        <f t="shared" si="11"/>
        <v/>
      </c>
      <c r="AP150" s="28" t="str">
        <f t="array" ref="AP150">IF($I150="","",IFS(C150="D",IF(OR(I150="NOT_READABLE",I150="BLURRY"),-AB150,0),C150="J",IFS(I150="RED_CLEARER",XLOOKUP("duochrome_red_step",Calibration!$B:$B,Calibration!$C:$C,-0.25),I150="GREEN_CLEARER",XLOOKUP("duochrome_green_step",Calibration!$B:$B,Calibration!$C:$C,0.25),I150="EQUAL",IF(XLOOKUP($B150,Derived_Variables!$A:$A,Derived_Variables!$S:$S,"Neutral")="Undercorrect",XLOOKUP("undercorrect_step",Calibration!$B:$B,Calibration!$C:$C,0.25),IF(XLOOKUP($B150,Derived_Variables!$A:$A,Derived_Variables!$S:$S,"Neutral")="Overcorrect",-XLOOKUP("overcorrect_step",Calibration!$B:$B,Calibration!$C:$C,0.25),0)),TRUE,0),C150="K",IF(I150="BOTTOM_CLEARER",XLOOKUP("bino_balance_step",Calibration!$B:$B,Calibration!$C:$C,0.25),0),TRUE,0))</f>
        <v/>
      </c>
      <c r="AQ150" s="28" t="str">
        <f t="shared" si="12"/>
        <v/>
      </c>
      <c r="AR150" s="28" t="str">
        <f t="shared" si="13"/>
        <v/>
      </c>
      <c r="AS150" s="28" t="str">
        <f t="array" ref="AS150">IF($I150="","",IF(C150="P",IF(OR(I150="NOT_READABLE",I150="BLURRY"),XLOOKUP("near_add_step",Calibration!$B:$B,Calibration!$C:$C,0.25),0),IF(C150="R",IF(I150="NOT_CLEAR",XLOOKUP("near_add_step",Calibration!$B:$B,Calibration!$C:$C,0.25),0),0)))</f>
        <v/>
      </c>
      <c r="AT150" s="28" t="str">
        <f t="array" ref="AT150">IF($I150="","",IF(C150="Q",IF(OR(I150="NOT_READABLE",I150="BLURRY"),XLOOKUP("near_add_step",Calibration!$B:$B,Calibration!$C:$C,0.25),0),IF(C150="R",IF(I150="NOT_CLEAR",XLOOKUP("near_add_step",Calibration!$B:$B,Calibration!$C:$C,0.25),0),0)))</f>
        <v/>
      </c>
      <c r="AU150" s="28" t="str">
        <f t="array" ref="AU150">IF($I150="","",IF(G150="SNELLEN_FEET",IF(I150="READABLE",IFERROR(XLOOKUP(XLOOKUP(R150,Chart_Scale_Distance!B:B,Chart_Scale_Distance!A:A)+1,Chart_Scale_Distance!A:A,Chart_Scale_Distance!B:B),R150),R150),R150))</f>
        <v/>
      </c>
      <c r="AV150" s="28" t="str">
        <f t="array" ref="AV150">IF($I149="","",IFERROR(XLOOKUP(R150,Chart_Scale_Distance!$B:$B,Chart_Scale_Distance!$A:$A,""),""))</f>
        <v/>
      </c>
      <c r="AW150" s="28" t="str">
        <f t="array" ref="AW150">IF($I149="","",IFERROR(XLOOKUP(AA150,Chart_Scale_Distance!$B:$B,Chart_Scale_Distance!$A:$A,""),""))</f>
        <v/>
      </c>
      <c r="AX150" s="28" t="str">
        <f t="shared" si="14"/>
        <v/>
      </c>
      <c r="AY150" s="28" t="str">
        <f t="shared" si="15"/>
        <v/>
      </c>
      <c r="AZ150" s="28" t="str">
        <f t="shared" si="16"/>
        <v/>
      </c>
      <c r="BA150" s="28" t="str">
        <f t="shared" si="17"/>
        <v/>
      </c>
      <c r="BB150" s="28" t="str">
        <f t="shared" si="18"/>
        <v/>
      </c>
      <c r="BC150" s="28" t="str">
        <f t="array" ref="BC150">IF($I150="","",LET(
conf,AI150,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duoMax,XLOOKUP($B150,Derived_Variables!$A:$A,Derived_Variables!$AI:$AI,4),
axisTol,XLOOKUP($B150,Derived_Variables!$A:$A,Derived_Variables!$W:$W,1),
maxStart,XLOOKUP($B150,Derived_Variables!$A:$A,Derived_Variables!$U:$U,1.25),
maxAR,XLOOKUP($B150,Derived_Variables!$A:$A,Derived_Variables!$V:$V,3),
anom,XLOOKUP($B150,Derived_Variables!$A:$A,Derived_Variables!$Z:$Z,FALSE),
reStart,XLOOKUP($B150,Derived_Variables!$A:$A,Derived_Variables!$K:$K,0),
leStart,XLOOKUP($B150,Derived_Variables!$A:$A,Derived_Variables!$N:$N,0),
reAR,XLOOKUP($B150,AR_Input!$A:$A,AR_Input!$B:$B,reStart),
leAR,XLOOKUP($B150,AR_Input!$A:$A,AR_Input!$E:$E,leStart),
reEsc,AND(anom,OR(ABS((S150+AM150)-reStart)&gt;maxStart,ABS((S150+AM150)-reAR)&gt;maxAR)),
leEsc,AND(anom,OR(ABS((V150+AP150)-leStart)&gt;maxStart,ABS((V150+AP150)-leAR)&gt;maxAR)),
phaseMax,IFS(
 AK150="Fast",
   IFS(
     OR(C150="B",C150="D"),XLOOKUP("timeout_coarse_fast",Calibration!$B:$B,Calibration!$C:$C,24),
     OR(C150="E",C150="F",C150="H",C150="I"),XLOOKUP("timeout_jcc_fast",Calibration!$B:$B,Calibration!$C:$C,10),
     OR(C150="G",C150="J"),XLOOKUP("timeout_duochrome_fast",Calibration!$B:$B,Calibration!$C:$C,8),
     C150="K",XLOOKUP("timeout_bino_fast",Calibration!$B:$B,Calibration!$C:$C,10),
     OR(C150="P",C150="Q",C150="R"),XLOOKUP("timeout_near_fast",Calibration!$B:$B,Calibration!$C:$C,16),
     TRUE,XLOOKUP("timeout_coarse_fast",Calibration!$B:$B,Calibration!$C:$C,24)
   ),
 AK150="Normal",
   IFS(
     OR(C150="B",C150="D"),XLOOKUP("timeout_coarse_normal",Calibration!$B:$B,Calibration!$C:$C,36),
     OR(C150="E",C150="F",C150="H",C150="I"),XLOOKUP("timeout_jcc_normal",Calibration!$B:$B,Calibration!$C:$C,14),
     OR(C150="G",C150="J"),XLOOKUP("timeout_duochrome_normal",Calibration!$B:$B,Calibration!$C:$C,10),
     C150="K",XLOOKUP("timeout_bino_normal",Calibration!$B:$B,Calibration!$C:$C,14),
     OR(C150="P",C150="Q",C150="R"),XLOOKUP("timeout_near_normal",Calibration!$B:$B,Calibration!$C:$C,22),
     TRUE,XLOOKUP("timeout_coarse_normal",Calibration!$B:$B,Calibration!$C:$C,36)
   ),
 TRUE,
   IFS(
     OR(C150="B",C150="D"),XLOOKUP("timeout_coarse_slow",Calibration!$B:$B,Calibration!$C:$C,48),
     OR(C150="E",C150="F",C150="H",C150="I"),XLOOKUP("timeout_jcc_slow",Calibration!$B:$B,Calibration!$C:$C,18),
     OR(C150="G",C150="J"),XLOOKUP("timeout_duochrome_slow",Calibration!$B:$B,Calibration!$C:$C,12),
     C150="K",XLOOKUP("timeout_bino_slow",Calibration!$B:$B,Calibration!$C:$C,18),
     OR(C150="P",C150="Q",C150="R"),XLOOKUP("timeout_near_slow",Calibration!$B:$B,Calibration!$C:$C,28),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AJ150=TRUE,"ESCALATE",
C150="A",
IF(OR(I150="NOT_READABLE",I150="BLURRY",AND(R150="20_20_20",I150="READABLE")),"B","A"),
C150="B",
IF(reEsc,"ESCALATE",IF(AY150&gt;=phaseMax,"ESCALATE",IF(AND(AV150&gt;=AW150,I150="READABLE"),"E","B"))),
C150="E",
IF(AY150&gt;=phaseMax,"ESCALATE",IF(OR(I150="SAME",I150="CANT_TELL",AD150&lt;axisTol),"F","E")),
C150="F",
IF(AY150&gt;=phaseMax,"ESCALATE",IF(AX150&gt;=powerSameN,"G","F")),
C150="G",
IF(AY150&gt;=phaseMax,"ESCALATE",IF(OR(AX150&gt;=duoEqualN,BB150&gt;=duoMax),"D","G")),
C150="D",
IF(leEsc,"ESCALATE",IF(AY150&gt;=phaseMax,"ESCALATE",IF(AND(AV150&gt;=AW150,I150="READABLE"),"H","D"))),
C150="H",
IF(AY150&gt;=phaseMax,"ESCALATE",IF(OR(I150="SAME",I150="CANT_TELL",AD150&lt;axisTol),"I","H")),
C150="I",
IF(AY150&gt;=phaseMax,"ESCALATE",IF(AX150&gt;=powerSameN,"J","I")),
C150="J",
IF(AY150&gt;=phaseMax,"ESCALATE",IF(OR(AX150&gt;=duoEqualN,BB150&gt;=duoMax),"K","J")),
C150="K",
IF(AY150&gt;=phaseMax,"ESCALATE",IF(AX150&gt;=binoSameN,IF(XLOOKUP($B150,Derived_Variables!$A:$A,Derived_Variables!$AJ:$AJ,FALSE)=TRUE,"P","END"),"K")),
C150="P",
IF(AY150&gt;=phaseMax,"ESCALATE",IF(OR(I150="READABLE",I150="SAME"),"Q","P")),
C150="Q",
IF(AY150&gt;=phaseMax,"ESCALATE",IF(OR(I150="READABLE",I150="SAME"),"R","Q")),
C150="R",
IF(AY150&gt;=phaseMax,"ESCALATE",IF(OR(I150=nearTarget,I150="SAME"),"END","R")),
TRUE,"END"
)))</f>
        <v/>
      </c>
      <c r="BD150" s="28" t="b">
        <f t="shared" si="19"/>
        <v>0</v>
      </c>
    </row>
    <row r="151" ht="15.75" customHeight="1">
      <c r="A151" s="28">
        <f t="shared" si="3"/>
        <v>150</v>
      </c>
      <c r="B151" s="28">
        <f t="shared" si="4"/>
        <v>6</v>
      </c>
      <c r="C151" s="28" t="str">
        <f t="shared" si="5"/>
        <v/>
      </c>
      <c r="D151" s="28" t="str">
        <f t="array" ref="D151">IF($I150="","",XLOOKUP(C151,FSM_State_Map!A:A,FSM_State_Map!B:B,""))</f>
        <v/>
      </c>
      <c r="E151" s="28" t="str">
        <f t="array" ref="E151">IF($I150="","",XLOOKUP(C151,FSM_State_Map!A:A,FSM_State_Map!C:C,""))</f>
        <v/>
      </c>
      <c r="F151" s="28" t="str">
        <f t="array" ref="F151">IF($I150="","",XLOOKUP(E151,Phase_UI_Map!A:A,Phase_UI_Map!B:B,""))</f>
        <v/>
      </c>
      <c r="G151" s="28" t="str">
        <f t="array" ref="G151">IF($I150="","",XLOOKUP(E151,Phase_UI_Map!A:A,Phase_UI_Map!C:C,""))</f>
        <v/>
      </c>
      <c r="H151" s="28" t="str">
        <f t="array" ref="H151">IF($I150="","",XLOOKUP(E151,Phase_UI_Map!A:A,Phase_UI_Map!D:D,""))</f>
        <v/>
      </c>
      <c r="I151" s="29"/>
      <c r="J151" s="28" t="str">
        <f>IFERROR(__xludf.DUMMYFUNCTION("IF($I150="""","""",IFERROR(INDEX(FILTER(Response_Lists!$B:$B,Response_Lists!$A:$A=$H151),1),""""))"),"")</f>
        <v/>
      </c>
      <c r="K151" s="28" t="str">
        <f>IFERROR(__xludf.DUMMYFUNCTION("IF($I150="""","""",IFERROR(INDEX(FILTER(Response_Lists!$B:$B,Response_Lists!$A:$A=$H151),2),""""))"),"")</f>
        <v/>
      </c>
      <c r="L151" s="28" t="str">
        <f>IFERROR(__xludf.DUMMYFUNCTION("IF($I150="""","""",IFERROR(INDEX(FILTER(Response_Lists!$B:$B,Response_Lists!$A:$A=$H151),3),""""))"),"")</f>
        <v/>
      </c>
      <c r="M151" s="28" t="str">
        <f>IFERROR(__xludf.DUMMYFUNCTION("IF($I150="""","""",IFERROR(INDEX(FILTER(Response_Lists!$B:$B,Response_Lists!$A:$A=$H151),4),""""))"),"")</f>
        <v/>
      </c>
      <c r="N151" s="28" t="str">
        <f>IFERROR(__xludf.DUMMYFUNCTION("IF($I150="""","""",IFERROR(INDEX(FILTER(Response_Lists!$B:$B,Response_Lists!$A:$A=$H151),5),""""))"),"")</f>
        <v/>
      </c>
      <c r="O151" s="28" t="str">
        <f>IFERROR(__xludf.DUMMYFUNCTION("IF($I150="""","""",IFERROR(INDEX(FILTER(Response_Lists!$B:$B,Response_Lists!$A:$A=$H151),6),""""))"),"")</f>
        <v/>
      </c>
      <c r="P151" s="28" t="str">
        <f t="shared" si="6"/>
        <v/>
      </c>
      <c r="Q151" s="28" t="str">
        <f t="array" ref="Q151">IF($I150="","",XLOOKUP(C151,FSM_State_Map!A:A,FSM_State_Map!D:D,""))</f>
        <v/>
      </c>
      <c r="R151" s="28" t="str">
        <f t="shared" si="7"/>
        <v/>
      </c>
      <c r="S151" s="28" t="str">
        <f t="array" ref="S151">IF($I150="","",
IF(
  AND(C151="B",C150&lt;&gt;"B"),
  XLOOKUP($B151,Derived_Variables!$A:$A,Derived_Variables!$K:$K,0)
  + XLOOKUP($B151,Derived_Variables!$A:$A,Derived_Variables!$AE:$AE,0),
  S150+AM150
))</f>
        <v/>
      </c>
      <c r="T151" s="28" t="str">
        <f t="shared" ref="T151:U151" si="312">IF($I150="","",T150+AN150)</f>
        <v/>
      </c>
      <c r="U151" s="28" t="str">
        <f t="shared" si="312"/>
        <v/>
      </c>
      <c r="V151" s="28" t="str">
        <f t="array" ref="V151">IF($I150="","",
IF(
  AND(C151="D",C150&lt;&gt;"D"),
  XLOOKUP($B151,Derived_Variables!$A:$A,Derived_Variables!$N:$N,0)
  + XLOOKUP($B151,Derived_Variables!$A:$A,Derived_Variables!$AE:$AE,0),
  V150+AP150
))</f>
        <v/>
      </c>
      <c r="W151" s="28" t="str">
        <f t="shared" ref="W151:X151" si="313">IF($I150="","",W150+AQ150)</f>
        <v/>
      </c>
      <c r="X151" s="28" t="str">
        <f t="shared" si="313"/>
        <v/>
      </c>
      <c r="Y151" s="28" t="str">
        <f t="array" ref="Y151">IF($I150="","",IF(AND(C151="P",C150&lt;&gt;"P"),IFERROR(XLOOKUP($B151,Lenso_Input!$A:$A,Lenso_Input!$E:$E,0),0),Y150+AS150))</f>
        <v/>
      </c>
      <c r="Z151" s="28" t="str">
        <f t="array" ref="Z151">IF($I150="","",IF(AND(C151="Q",C150&lt;&gt;"Q"),IFERROR(XLOOKUP($B151,Lenso_Input!$A:$A,Lenso_Input!$I:$I,0),0),Z150+AT150))</f>
        <v/>
      </c>
      <c r="AA151" s="28" t="str">
        <f t="array" ref="AA151">IF($I150="","",IF(XLOOKUP($B151,Derived_Variables!$A:$A,Derived_Variables!$R:$R,"6/6_target")="6/6_target","20_20_20","40_30_25"))</f>
        <v/>
      </c>
      <c r="AB151" s="28" t="str">
        <f t="array" ref="AB151">IF($I150="","",XLOOKUP(LOWER(XLOOKUP($B151,Derived_Variables!$A:$A,Derived_Variables!$T:$T,"Standard"))&amp;"_sph_step",Calibration!$B:$B,Calibration!$C:$C,0.25))</f>
        <v/>
      </c>
      <c r="AC151" s="28" t="str">
        <f t="array" ref="AC151">IF($I150="","",XLOOKUP(LOWER(XLOOKUP($B151,Derived_Variables!$A:$A,Derived_Variables!$T:$T,"Standard"))&amp;"_cyl_step",Calibration!$B:$B,Calibration!$C:$C,0.25))</f>
        <v/>
      </c>
      <c r="AD151" s="28" t="str">
        <f t="array" ref="AD151">IF($I150="","",IF(OR(C151="E",C151="H"),LET(startStep,XLOOKUP("axis_start_step",Calibration!$B:$B,Calibration!$C:$C,5),step1,XLOOKUP("axis_reversal_step_1",Calibration!$B:$B,Calibration!$C:$C,3),step2,XLOOKUP("axis_reversal_step_2",Calibration!$B:$B,Calibration!$C:$C,1),IF(OR(C150&lt;&gt;C151,AZ151="",AZ151="SAME",AZ151="CANT_TELL",I151="",I151="SAME",I151="CANT_TELL"),startStep,IF(OR(AND(AZ151="BETTER_1",I151="BETTER_2"),AND(AZ151="BETTER_2",I151="BETTER_1")),IF(AD150&gt;step1,step1,step2),AD150))),0))</f>
        <v/>
      </c>
      <c r="AE151" s="28" t="str">
        <f t="array" ref="AE151">IF($I150="","",XLOOKUP($B151,Derived_Variables!$A:$A,Derived_Variables!$AD:$AD,"No_Fog"))</f>
        <v/>
      </c>
      <c r="AF151" s="28" t="str">
        <f t="array" ref="AF151">IF($I150="","",XLOOKUP($B151,Derived_Variables!$A:$A,Derived_Variables!$AE:$AE,0))</f>
        <v/>
      </c>
      <c r="AG151" s="28" t="str">
        <f t="array" ref="AG151">IF($I150="","",XLOOKUP($B151,Derived_Variables!$A:$A,Derived_Variables!$AF:$AF,""))</f>
        <v/>
      </c>
      <c r="AH151" s="28" t="str">
        <f t="array" ref="AH151">IF($I150="","",XLOOKUP($B151,Derived_Variables!$A:$A,Derived_Variables!$AG:$AG,""))</f>
        <v/>
      </c>
      <c r="AI151" s="28" t="str">
        <f t="array" ref="AI151">IF($I150="","",XLOOKUP($B151,Derived_Variables!$A:$A,Derived_Variables!$AC:$AC,"Medium"))</f>
        <v/>
      </c>
      <c r="AJ151" s="28" t="str">
        <f t="array" ref="AJ151">IF($I150="","",XLOOKUP($B151,Derived_Variables!$A:$A,Derived_Variables!$Y:$Y,FALSE))</f>
        <v/>
      </c>
      <c r="AK151" s="28" t="str">
        <f t="array" ref="AK151">IF($I150="","",XLOOKUP($B151,Derived_Variables!$A:$A,Derived_Variables!$AA:$AA,"Normal"))</f>
        <v/>
      </c>
      <c r="AL151" s="28" t="str">
        <f t="array" ref="AL151">IF($I150="","",XLOOKUP($B151,Derived_Variables!$A:$A,Derived_Variables!$AB:$AB,"Normal"))</f>
        <v/>
      </c>
      <c r="AM151" s="28" t="str">
        <f t="array" ref="AM151">IF($I151="","",IFS(C151="B",IF(OR(I151="NOT_READABLE",I151="BLURRY"),-AB151,0),C151="G",IFS(I151="RED_CLEARER",XLOOKUP("duochrome_red_step",Calibration!$B:$B,Calibration!$C:$C,-0.25),I151="GREEN_CLEARER",XLOOKUP("duochrome_green_step",Calibration!$B:$B,Calibration!$C:$C,0.25),I151="EQUAL",IF(XLOOKUP($B151,Derived_Variables!$A:$A,Derived_Variables!$S:$S,"Neutral")="Undercorrect",XLOOKUP("undercorrect_step",Calibration!$B:$B,Calibration!$C:$C,0.25),IF(XLOOKUP($B151,Derived_Variables!$A:$A,Derived_Variables!$S:$S,"Neutral")="Overcorrect",-XLOOKUP("overcorrect_step",Calibration!$B:$B,Calibration!$C:$C,0.25),0)),TRUE,0),C151="K",IF(I151="TOP_CLEARER",XLOOKUP("bino_balance_step",Calibration!$B:$B,Calibration!$C:$C,0.25),0),TRUE,0))</f>
        <v/>
      </c>
      <c r="AN151" s="28" t="str">
        <f t="shared" si="10"/>
        <v/>
      </c>
      <c r="AO151" s="28" t="str">
        <f t="shared" si="11"/>
        <v/>
      </c>
      <c r="AP151" s="28" t="str">
        <f t="array" ref="AP151">IF($I151="","",IFS(C151="D",IF(OR(I151="NOT_READABLE",I151="BLURRY"),-AB151,0),C151="J",IFS(I151="RED_CLEARER",XLOOKUP("duochrome_red_step",Calibration!$B:$B,Calibration!$C:$C,-0.25),I151="GREEN_CLEARER",XLOOKUP("duochrome_green_step",Calibration!$B:$B,Calibration!$C:$C,0.25),I151="EQUAL",IF(XLOOKUP($B151,Derived_Variables!$A:$A,Derived_Variables!$S:$S,"Neutral")="Undercorrect",XLOOKUP("undercorrect_step",Calibration!$B:$B,Calibration!$C:$C,0.25),IF(XLOOKUP($B151,Derived_Variables!$A:$A,Derived_Variables!$S:$S,"Neutral")="Overcorrect",-XLOOKUP("overcorrect_step",Calibration!$B:$B,Calibration!$C:$C,0.25),0)),TRUE,0),C151="K",IF(I151="BOTTOM_CLEARER",XLOOKUP("bino_balance_step",Calibration!$B:$B,Calibration!$C:$C,0.25),0),TRUE,0))</f>
        <v/>
      </c>
      <c r="AQ151" s="28" t="str">
        <f t="shared" si="12"/>
        <v/>
      </c>
      <c r="AR151" s="28" t="str">
        <f t="shared" si="13"/>
        <v/>
      </c>
      <c r="AS151" s="28" t="str">
        <f t="array" ref="AS151">IF($I151="","",IF(C151="P",IF(OR(I151="NOT_READABLE",I151="BLURRY"),XLOOKUP("near_add_step",Calibration!$B:$B,Calibration!$C:$C,0.25),0),IF(C151="R",IF(I151="NOT_CLEAR",XLOOKUP("near_add_step",Calibration!$B:$B,Calibration!$C:$C,0.25),0),0)))</f>
        <v/>
      </c>
      <c r="AT151" s="28" t="str">
        <f t="array" ref="AT151">IF($I151="","",IF(C151="Q",IF(OR(I151="NOT_READABLE",I151="BLURRY"),XLOOKUP("near_add_step",Calibration!$B:$B,Calibration!$C:$C,0.25),0),IF(C151="R",IF(I151="NOT_CLEAR",XLOOKUP("near_add_step",Calibration!$B:$B,Calibration!$C:$C,0.25),0),0)))</f>
        <v/>
      </c>
      <c r="AU151" s="28" t="str">
        <f t="array" ref="AU151">IF($I151="","",IF(G151="SNELLEN_FEET",IF(I151="READABLE",IFERROR(XLOOKUP(XLOOKUP(R151,Chart_Scale_Distance!B:B,Chart_Scale_Distance!A:A)+1,Chart_Scale_Distance!A:A,Chart_Scale_Distance!B:B),R151),R151),R151))</f>
        <v/>
      </c>
      <c r="AV151" s="28" t="str">
        <f t="array" ref="AV151">IF($I150="","",IFERROR(XLOOKUP(R151,Chart_Scale_Distance!$B:$B,Chart_Scale_Distance!$A:$A,""),""))</f>
        <v/>
      </c>
      <c r="AW151" s="28" t="str">
        <f t="array" ref="AW151">IF($I150="","",IFERROR(XLOOKUP(AA151,Chart_Scale_Distance!$B:$B,Chart_Scale_Distance!$A:$A,""),""))</f>
        <v/>
      </c>
      <c r="AX151" s="28" t="str">
        <f t="shared" si="14"/>
        <v/>
      </c>
      <c r="AY151" s="28" t="str">
        <f t="shared" si="15"/>
        <v/>
      </c>
      <c r="AZ151" s="28" t="str">
        <f t="shared" si="16"/>
        <v/>
      </c>
      <c r="BA151" s="28" t="str">
        <f t="shared" si="17"/>
        <v/>
      </c>
      <c r="BB151" s="28" t="str">
        <f t="shared" si="18"/>
        <v/>
      </c>
      <c r="BC151" s="28" t="str">
        <f t="array" ref="BC151">IF($I151="","",LET(
conf,AI151,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duoMax,XLOOKUP($B151,Derived_Variables!$A:$A,Derived_Variables!$AI:$AI,4),
axisTol,XLOOKUP($B151,Derived_Variables!$A:$A,Derived_Variables!$W:$W,1),
maxStart,XLOOKUP($B151,Derived_Variables!$A:$A,Derived_Variables!$U:$U,1.25),
maxAR,XLOOKUP($B151,Derived_Variables!$A:$A,Derived_Variables!$V:$V,3),
anom,XLOOKUP($B151,Derived_Variables!$A:$A,Derived_Variables!$Z:$Z,FALSE),
reStart,XLOOKUP($B151,Derived_Variables!$A:$A,Derived_Variables!$K:$K,0),
leStart,XLOOKUP($B151,Derived_Variables!$A:$A,Derived_Variables!$N:$N,0),
reAR,XLOOKUP($B151,AR_Input!$A:$A,AR_Input!$B:$B,reStart),
leAR,XLOOKUP($B151,AR_Input!$A:$A,AR_Input!$E:$E,leStart),
reEsc,AND(anom,OR(ABS((S151+AM151)-reStart)&gt;maxStart,ABS((S151+AM151)-reAR)&gt;maxAR)),
leEsc,AND(anom,OR(ABS((V151+AP151)-leStart)&gt;maxStart,ABS((V151+AP151)-leAR)&gt;maxAR)),
phaseMax,IFS(
 AK151="Fast",
   IFS(
     OR(C151="B",C151="D"),XLOOKUP("timeout_coarse_fast",Calibration!$B:$B,Calibration!$C:$C,24),
     OR(C151="E",C151="F",C151="H",C151="I"),XLOOKUP("timeout_jcc_fast",Calibration!$B:$B,Calibration!$C:$C,10),
     OR(C151="G",C151="J"),XLOOKUP("timeout_duochrome_fast",Calibration!$B:$B,Calibration!$C:$C,8),
     C151="K",XLOOKUP("timeout_bino_fast",Calibration!$B:$B,Calibration!$C:$C,10),
     OR(C151="P",C151="Q",C151="R"),XLOOKUP("timeout_near_fast",Calibration!$B:$B,Calibration!$C:$C,16),
     TRUE,XLOOKUP("timeout_coarse_fast",Calibration!$B:$B,Calibration!$C:$C,24)
   ),
 AK151="Normal",
   IFS(
     OR(C151="B",C151="D"),XLOOKUP("timeout_coarse_normal",Calibration!$B:$B,Calibration!$C:$C,36),
     OR(C151="E",C151="F",C151="H",C151="I"),XLOOKUP("timeout_jcc_normal",Calibration!$B:$B,Calibration!$C:$C,14),
     OR(C151="G",C151="J"),XLOOKUP("timeout_duochrome_normal",Calibration!$B:$B,Calibration!$C:$C,10),
     C151="K",XLOOKUP("timeout_bino_normal",Calibration!$B:$B,Calibration!$C:$C,14),
     OR(C151="P",C151="Q",C151="R"),XLOOKUP("timeout_near_normal",Calibration!$B:$B,Calibration!$C:$C,22),
     TRUE,XLOOKUP("timeout_coarse_normal",Calibration!$B:$B,Calibration!$C:$C,36)
   ),
 TRUE,
   IFS(
     OR(C151="B",C151="D"),XLOOKUP("timeout_coarse_slow",Calibration!$B:$B,Calibration!$C:$C,48),
     OR(C151="E",C151="F",C151="H",C151="I"),XLOOKUP("timeout_jcc_slow",Calibration!$B:$B,Calibration!$C:$C,18),
     OR(C151="G",C151="J"),XLOOKUP("timeout_duochrome_slow",Calibration!$B:$B,Calibration!$C:$C,12),
     C151="K",XLOOKUP("timeout_bino_slow",Calibration!$B:$B,Calibration!$C:$C,18),
     OR(C151="P",C151="Q",C151="R"),XLOOKUP("timeout_near_slow",Calibration!$B:$B,Calibration!$C:$C,28),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AJ151=TRUE,"ESCALATE",
C151="A",
IF(OR(I151="NOT_READABLE",I151="BLURRY",AND(R151="20_20_20",I151="READABLE")),"B","A"),
C151="B",
IF(reEsc,"ESCALATE",IF(AY151&gt;=phaseMax,"ESCALATE",IF(AND(AV151&gt;=AW151,I151="READABLE"),"E","B"))),
C151="E",
IF(AY151&gt;=phaseMax,"ESCALATE",IF(OR(I151="SAME",I151="CANT_TELL",AD151&lt;axisTol),"F","E")),
C151="F",
IF(AY151&gt;=phaseMax,"ESCALATE",IF(AX151&gt;=powerSameN,"G","F")),
C151="G",
IF(AY151&gt;=phaseMax,"ESCALATE",IF(OR(AX151&gt;=duoEqualN,BB151&gt;=duoMax),"D","G")),
C151="D",
IF(leEsc,"ESCALATE",IF(AY151&gt;=phaseMax,"ESCALATE",IF(AND(AV151&gt;=AW151,I151="READABLE"),"H","D"))),
C151="H",
IF(AY151&gt;=phaseMax,"ESCALATE",IF(OR(I151="SAME",I151="CANT_TELL",AD151&lt;axisTol),"I","H")),
C151="I",
IF(AY151&gt;=phaseMax,"ESCALATE",IF(AX151&gt;=powerSameN,"J","I")),
C151="J",
IF(AY151&gt;=phaseMax,"ESCALATE",IF(OR(AX151&gt;=duoEqualN,BB151&gt;=duoMax),"K","J")),
C151="K",
IF(AY151&gt;=phaseMax,"ESCALATE",IF(AX151&gt;=binoSameN,IF(XLOOKUP($B151,Derived_Variables!$A:$A,Derived_Variables!$AJ:$AJ,FALSE)=TRUE,"P","END"),"K")),
C151="P",
IF(AY151&gt;=phaseMax,"ESCALATE",IF(OR(I151="READABLE",I151="SAME"),"Q","P")),
C151="Q",
IF(AY151&gt;=phaseMax,"ESCALATE",IF(OR(I151="READABLE",I151="SAME"),"R","Q")),
C151="R",
IF(AY151&gt;=phaseMax,"ESCALATE",IF(OR(I151=nearTarget,I151="SAME"),"END","R")),
TRUE,"END"
)))</f>
        <v/>
      </c>
      <c r="BD151" s="28" t="b">
        <f t="shared" si="19"/>
        <v>0</v>
      </c>
    </row>
    <row r="152" ht="15.75" customHeight="1">
      <c r="A152" s="28">
        <f t="shared" si="3"/>
        <v>151</v>
      </c>
      <c r="B152" s="28">
        <f t="shared" si="4"/>
        <v>6</v>
      </c>
      <c r="C152" s="28" t="str">
        <f t="shared" si="5"/>
        <v/>
      </c>
      <c r="D152" s="28" t="str">
        <f t="array" ref="D152">IF($I151="","",XLOOKUP(C152,FSM_State_Map!A:A,FSM_State_Map!B:B,""))</f>
        <v/>
      </c>
      <c r="E152" s="28" t="str">
        <f t="array" ref="E152">IF($I151="","",XLOOKUP(C152,FSM_State_Map!A:A,FSM_State_Map!C:C,""))</f>
        <v/>
      </c>
      <c r="F152" s="28" t="str">
        <f t="array" ref="F152">IF($I151="","",XLOOKUP(E152,Phase_UI_Map!A:A,Phase_UI_Map!B:B,""))</f>
        <v/>
      </c>
      <c r="G152" s="28" t="str">
        <f t="array" ref="G152">IF($I151="","",XLOOKUP(E152,Phase_UI_Map!A:A,Phase_UI_Map!C:C,""))</f>
        <v/>
      </c>
      <c r="H152" s="28" t="str">
        <f t="array" ref="H152">IF($I151="","",XLOOKUP(E152,Phase_UI_Map!A:A,Phase_UI_Map!D:D,""))</f>
        <v/>
      </c>
      <c r="I152" s="29"/>
      <c r="J152" s="28" t="str">
        <f>IFERROR(__xludf.DUMMYFUNCTION("IF($I151="""","""",IFERROR(INDEX(FILTER(Response_Lists!$B:$B,Response_Lists!$A:$A=$H152),1),""""))"),"")</f>
        <v/>
      </c>
      <c r="K152" s="28" t="str">
        <f>IFERROR(__xludf.DUMMYFUNCTION("IF($I151="""","""",IFERROR(INDEX(FILTER(Response_Lists!$B:$B,Response_Lists!$A:$A=$H152),2),""""))"),"")</f>
        <v/>
      </c>
      <c r="L152" s="28" t="str">
        <f>IFERROR(__xludf.DUMMYFUNCTION("IF($I151="""","""",IFERROR(INDEX(FILTER(Response_Lists!$B:$B,Response_Lists!$A:$A=$H152),3),""""))"),"")</f>
        <v/>
      </c>
      <c r="M152" s="28" t="str">
        <f>IFERROR(__xludf.DUMMYFUNCTION("IF($I151="""","""",IFERROR(INDEX(FILTER(Response_Lists!$B:$B,Response_Lists!$A:$A=$H152),4),""""))"),"")</f>
        <v/>
      </c>
      <c r="N152" s="28" t="str">
        <f>IFERROR(__xludf.DUMMYFUNCTION("IF($I151="""","""",IFERROR(INDEX(FILTER(Response_Lists!$B:$B,Response_Lists!$A:$A=$H152),5),""""))"),"")</f>
        <v/>
      </c>
      <c r="O152" s="28" t="str">
        <f>IFERROR(__xludf.DUMMYFUNCTION("IF($I151="""","""",IFERROR(INDEX(FILTER(Response_Lists!$B:$B,Response_Lists!$A:$A=$H152),6),""""))"),"")</f>
        <v/>
      </c>
      <c r="P152" s="28" t="str">
        <f t="shared" si="6"/>
        <v/>
      </c>
      <c r="Q152" s="28" t="str">
        <f t="array" ref="Q152">IF($I151="","",XLOOKUP(C152,FSM_State_Map!A:A,FSM_State_Map!D:D,""))</f>
        <v/>
      </c>
      <c r="R152" s="28" t="str">
        <f t="shared" si="7"/>
        <v/>
      </c>
      <c r="S152" s="28" t="str">
        <f t="array" ref="S152">IF($I151="","",
IF(
  AND(C152="B",C151&lt;&gt;"B"),
  XLOOKUP($B152,Derived_Variables!$A:$A,Derived_Variables!$K:$K,0)
  + XLOOKUP($B152,Derived_Variables!$A:$A,Derived_Variables!$AE:$AE,0),
  S151+AM151
))</f>
        <v/>
      </c>
      <c r="T152" s="28" t="str">
        <f t="shared" ref="T152:U152" si="314">IF($I151="","",T151+AN151)</f>
        <v/>
      </c>
      <c r="U152" s="28" t="str">
        <f t="shared" si="314"/>
        <v/>
      </c>
      <c r="V152" s="28" t="str">
        <f t="array" ref="V152">IF($I151="","",
IF(
  AND(C152="D",C151&lt;&gt;"D"),
  XLOOKUP($B152,Derived_Variables!$A:$A,Derived_Variables!$N:$N,0)
  + XLOOKUP($B152,Derived_Variables!$A:$A,Derived_Variables!$AE:$AE,0),
  V151+AP151
))</f>
        <v/>
      </c>
      <c r="W152" s="28" t="str">
        <f t="shared" ref="W152:X152" si="315">IF($I151="","",W151+AQ151)</f>
        <v/>
      </c>
      <c r="X152" s="28" t="str">
        <f t="shared" si="315"/>
        <v/>
      </c>
      <c r="Y152" s="28" t="str">
        <f t="array" ref="Y152">IF($I151="","",IF(AND(C152="P",C151&lt;&gt;"P"),IFERROR(XLOOKUP($B152,Lenso_Input!$A:$A,Lenso_Input!$E:$E,0),0),Y151+AS151))</f>
        <v/>
      </c>
      <c r="Z152" s="28" t="str">
        <f t="array" ref="Z152">IF($I151="","",IF(AND(C152="Q",C151&lt;&gt;"Q"),IFERROR(XLOOKUP($B152,Lenso_Input!$A:$A,Lenso_Input!$I:$I,0),0),Z151+AT151))</f>
        <v/>
      </c>
      <c r="AA152" s="28" t="str">
        <f t="array" ref="AA152">IF($I151="","",IF(XLOOKUP($B152,Derived_Variables!$A:$A,Derived_Variables!$R:$R,"6/6_target")="6/6_target","20_20_20","40_30_25"))</f>
        <v/>
      </c>
      <c r="AB152" s="28" t="str">
        <f t="array" ref="AB152">IF($I151="","",XLOOKUP(LOWER(XLOOKUP($B152,Derived_Variables!$A:$A,Derived_Variables!$T:$T,"Standard"))&amp;"_sph_step",Calibration!$B:$B,Calibration!$C:$C,0.25))</f>
        <v/>
      </c>
      <c r="AC152" s="28" t="str">
        <f t="array" ref="AC152">IF($I151="","",XLOOKUP(LOWER(XLOOKUP($B152,Derived_Variables!$A:$A,Derived_Variables!$T:$T,"Standard"))&amp;"_cyl_step",Calibration!$B:$B,Calibration!$C:$C,0.25))</f>
        <v/>
      </c>
      <c r="AD152" s="28" t="str">
        <f t="array" ref="AD152">IF($I151="","",IF(OR(C152="E",C152="H"),LET(startStep,XLOOKUP("axis_start_step",Calibration!$B:$B,Calibration!$C:$C,5),step1,XLOOKUP("axis_reversal_step_1",Calibration!$B:$B,Calibration!$C:$C,3),step2,XLOOKUP("axis_reversal_step_2",Calibration!$B:$B,Calibration!$C:$C,1),IF(OR(C151&lt;&gt;C152,AZ152="",AZ152="SAME",AZ152="CANT_TELL",I152="",I152="SAME",I152="CANT_TELL"),startStep,IF(OR(AND(AZ152="BETTER_1",I152="BETTER_2"),AND(AZ152="BETTER_2",I152="BETTER_1")),IF(AD151&gt;step1,step1,step2),AD151))),0))</f>
        <v/>
      </c>
      <c r="AE152" s="28" t="str">
        <f t="array" ref="AE152">IF($I151="","",XLOOKUP($B152,Derived_Variables!$A:$A,Derived_Variables!$AD:$AD,"No_Fog"))</f>
        <v/>
      </c>
      <c r="AF152" s="28" t="str">
        <f t="array" ref="AF152">IF($I151="","",XLOOKUP($B152,Derived_Variables!$A:$A,Derived_Variables!$AE:$AE,0))</f>
        <v/>
      </c>
      <c r="AG152" s="28" t="str">
        <f t="array" ref="AG152">IF($I151="","",XLOOKUP($B152,Derived_Variables!$A:$A,Derived_Variables!$AF:$AF,""))</f>
        <v/>
      </c>
      <c r="AH152" s="28" t="str">
        <f t="array" ref="AH152">IF($I151="","",XLOOKUP($B152,Derived_Variables!$A:$A,Derived_Variables!$AG:$AG,""))</f>
        <v/>
      </c>
      <c r="AI152" s="28" t="str">
        <f t="array" ref="AI152">IF($I151="","",XLOOKUP($B152,Derived_Variables!$A:$A,Derived_Variables!$AC:$AC,"Medium"))</f>
        <v/>
      </c>
      <c r="AJ152" s="28" t="str">
        <f t="array" ref="AJ152">IF($I151="","",XLOOKUP($B152,Derived_Variables!$A:$A,Derived_Variables!$Y:$Y,FALSE))</f>
        <v/>
      </c>
      <c r="AK152" s="28" t="str">
        <f t="array" ref="AK152">IF($I151="","",XLOOKUP($B152,Derived_Variables!$A:$A,Derived_Variables!$AA:$AA,"Normal"))</f>
        <v/>
      </c>
      <c r="AL152" s="28" t="str">
        <f t="array" ref="AL152">IF($I151="","",XLOOKUP($B152,Derived_Variables!$A:$A,Derived_Variables!$AB:$AB,"Normal"))</f>
        <v/>
      </c>
      <c r="AM152" s="28" t="str">
        <f t="array" ref="AM152">IF($I152="","",IFS(C152="B",IF(OR(I152="NOT_READABLE",I152="BLURRY"),-AB152,0),C152="G",IFS(I152="RED_CLEARER",XLOOKUP("duochrome_red_step",Calibration!$B:$B,Calibration!$C:$C,-0.25),I152="GREEN_CLEARER",XLOOKUP("duochrome_green_step",Calibration!$B:$B,Calibration!$C:$C,0.25),I152="EQUAL",IF(XLOOKUP($B152,Derived_Variables!$A:$A,Derived_Variables!$S:$S,"Neutral")="Undercorrect",XLOOKUP("undercorrect_step",Calibration!$B:$B,Calibration!$C:$C,0.25),IF(XLOOKUP($B152,Derived_Variables!$A:$A,Derived_Variables!$S:$S,"Neutral")="Overcorrect",-XLOOKUP("overcorrect_step",Calibration!$B:$B,Calibration!$C:$C,0.25),0)),TRUE,0),C152="K",IF(I152="TOP_CLEARER",XLOOKUP("bino_balance_step",Calibration!$B:$B,Calibration!$C:$C,0.25),0),TRUE,0))</f>
        <v/>
      </c>
      <c r="AN152" s="28" t="str">
        <f t="shared" si="10"/>
        <v/>
      </c>
      <c r="AO152" s="28" t="str">
        <f t="shared" si="11"/>
        <v/>
      </c>
      <c r="AP152" s="28" t="str">
        <f t="array" ref="AP152">IF($I152="","",IFS(C152="D",IF(OR(I152="NOT_READABLE",I152="BLURRY"),-AB152,0),C152="J",IFS(I152="RED_CLEARER",XLOOKUP("duochrome_red_step",Calibration!$B:$B,Calibration!$C:$C,-0.25),I152="GREEN_CLEARER",XLOOKUP("duochrome_green_step",Calibration!$B:$B,Calibration!$C:$C,0.25),I152="EQUAL",IF(XLOOKUP($B152,Derived_Variables!$A:$A,Derived_Variables!$S:$S,"Neutral")="Undercorrect",XLOOKUP("undercorrect_step",Calibration!$B:$B,Calibration!$C:$C,0.25),IF(XLOOKUP($B152,Derived_Variables!$A:$A,Derived_Variables!$S:$S,"Neutral")="Overcorrect",-XLOOKUP("overcorrect_step",Calibration!$B:$B,Calibration!$C:$C,0.25),0)),TRUE,0),C152="K",IF(I152="BOTTOM_CLEARER",XLOOKUP("bino_balance_step",Calibration!$B:$B,Calibration!$C:$C,0.25),0),TRUE,0))</f>
        <v/>
      </c>
      <c r="AQ152" s="28" t="str">
        <f t="shared" si="12"/>
        <v/>
      </c>
      <c r="AR152" s="28" t="str">
        <f t="shared" si="13"/>
        <v/>
      </c>
      <c r="AS152" s="28" t="str">
        <f t="array" ref="AS152">IF($I152="","",IF(C152="P",IF(OR(I152="NOT_READABLE",I152="BLURRY"),XLOOKUP("near_add_step",Calibration!$B:$B,Calibration!$C:$C,0.25),0),IF(C152="R",IF(I152="NOT_CLEAR",XLOOKUP("near_add_step",Calibration!$B:$B,Calibration!$C:$C,0.25),0),0)))</f>
        <v/>
      </c>
      <c r="AT152" s="28" t="str">
        <f t="array" ref="AT152">IF($I152="","",IF(C152="Q",IF(OR(I152="NOT_READABLE",I152="BLURRY"),XLOOKUP("near_add_step",Calibration!$B:$B,Calibration!$C:$C,0.25),0),IF(C152="R",IF(I152="NOT_CLEAR",XLOOKUP("near_add_step",Calibration!$B:$B,Calibration!$C:$C,0.25),0),0)))</f>
        <v/>
      </c>
      <c r="AU152" s="28" t="str">
        <f t="array" ref="AU152">IF($I152="","",IF(G152="SNELLEN_FEET",IF(I152="READABLE",IFERROR(XLOOKUP(XLOOKUP(R152,Chart_Scale_Distance!B:B,Chart_Scale_Distance!A:A)+1,Chart_Scale_Distance!A:A,Chart_Scale_Distance!B:B),R152),R152),R152))</f>
        <v/>
      </c>
      <c r="AV152" s="28" t="str">
        <f t="array" ref="AV152">IF($I151="","",IFERROR(XLOOKUP(R152,Chart_Scale_Distance!$B:$B,Chart_Scale_Distance!$A:$A,""),""))</f>
        <v/>
      </c>
      <c r="AW152" s="28" t="str">
        <f t="array" ref="AW152">IF($I151="","",IFERROR(XLOOKUP(AA152,Chart_Scale_Distance!$B:$B,Chart_Scale_Distance!$A:$A,""),""))</f>
        <v/>
      </c>
      <c r="AX152" s="28" t="str">
        <f t="shared" si="14"/>
        <v/>
      </c>
      <c r="AY152" s="28" t="str">
        <f t="shared" si="15"/>
        <v/>
      </c>
      <c r="AZ152" s="28" t="str">
        <f t="shared" si="16"/>
        <v/>
      </c>
      <c r="BA152" s="28" t="str">
        <f t="shared" si="17"/>
        <v/>
      </c>
      <c r="BB152" s="28" t="str">
        <f t="shared" si="18"/>
        <v/>
      </c>
      <c r="BC152" s="28" t="str">
        <f t="array" ref="BC152">IF($I152="","",LET(
conf,AI152,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duoMax,XLOOKUP($B152,Derived_Variables!$A:$A,Derived_Variables!$AI:$AI,4),
axisTol,XLOOKUP($B152,Derived_Variables!$A:$A,Derived_Variables!$W:$W,1),
maxStart,XLOOKUP($B152,Derived_Variables!$A:$A,Derived_Variables!$U:$U,1.25),
maxAR,XLOOKUP($B152,Derived_Variables!$A:$A,Derived_Variables!$V:$V,3),
anom,XLOOKUP($B152,Derived_Variables!$A:$A,Derived_Variables!$Z:$Z,FALSE),
reStart,XLOOKUP($B152,Derived_Variables!$A:$A,Derived_Variables!$K:$K,0),
leStart,XLOOKUP($B152,Derived_Variables!$A:$A,Derived_Variables!$N:$N,0),
reAR,XLOOKUP($B152,AR_Input!$A:$A,AR_Input!$B:$B,reStart),
leAR,XLOOKUP($B152,AR_Input!$A:$A,AR_Input!$E:$E,leStart),
reEsc,AND(anom,OR(ABS((S152+AM152)-reStart)&gt;maxStart,ABS((S152+AM152)-reAR)&gt;maxAR)),
leEsc,AND(anom,OR(ABS((V152+AP152)-leStart)&gt;maxStart,ABS((V152+AP152)-leAR)&gt;maxAR)),
phaseMax,IFS(
 AK152="Fast",
   IFS(
     OR(C152="B",C152="D"),XLOOKUP("timeout_coarse_fast",Calibration!$B:$B,Calibration!$C:$C,24),
     OR(C152="E",C152="F",C152="H",C152="I"),XLOOKUP("timeout_jcc_fast",Calibration!$B:$B,Calibration!$C:$C,10),
     OR(C152="G",C152="J"),XLOOKUP("timeout_duochrome_fast",Calibration!$B:$B,Calibration!$C:$C,8),
     C152="K",XLOOKUP("timeout_bino_fast",Calibration!$B:$B,Calibration!$C:$C,10),
     OR(C152="P",C152="Q",C152="R"),XLOOKUP("timeout_near_fast",Calibration!$B:$B,Calibration!$C:$C,16),
     TRUE,XLOOKUP("timeout_coarse_fast",Calibration!$B:$B,Calibration!$C:$C,24)
   ),
 AK152="Normal",
   IFS(
     OR(C152="B",C152="D"),XLOOKUP("timeout_coarse_normal",Calibration!$B:$B,Calibration!$C:$C,36),
     OR(C152="E",C152="F",C152="H",C152="I"),XLOOKUP("timeout_jcc_normal",Calibration!$B:$B,Calibration!$C:$C,14),
     OR(C152="G",C152="J"),XLOOKUP("timeout_duochrome_normal",Calibration!$B:$B,Calibration!$C:$C,10),
     C152="K",XLOOKUP("timeout_bino_normal",Calibration!$B:$B,Calibration!$C:$C,14),
     OR(C152="P",C152="Q",C152="R"),XLOOKUP("timeout_near_normal",Calibration!$B:$B,Calibration!$C:$C,22),
     TRUE,XLOOKUP("timeout_coarse_normal",Calibration!$B:$B,Calibration!$C:$C,36)
   ),
 TRUE,
   IFS(
     OR(C152="B",C152="D"),XLOOKUP("timeout_coarse_slow",Calibration!$B:$B,Calibration!$C:$C,48),
     OR(C152="E",C152="F",C152="H",C152="I"),XLOOKUP("timeout_jcc_slow",Calibration!$B:$B,Calibration!$C:$C,18),
     OR(C152="G",C152="J"),XLOOKUP("timeout_duochrome_slow",Calibration!$B:$B,Calibration!$C:$C,12),
     C152="K",XLOOKUP("timeout_bino_slow",Calibration!$B:$B,Calibration!$C:$C,18),
     OR(C152="P",C152="Q",C152="R"),XLOOKUP("timeout_near_slow",Calibration!$B:$B,Calibration!$C:$C,28),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AJ152=TRUE,"ESCALATE",
C152="A",
IF(OR(I152="NOT_READABLE",I152="BLURRY",AND(R152="20_20_20",I152="READABLE")),"B","A"),
C152="B",
IF(reEsc,"ESCALATE",IF(AY152&gt;=phaseMax,"ESCALATE",IF(AND(AV152&gt;=AW152,I152="READABLE"),"E","B"))),
C152="E",
IF(AY152&gt;=phaseMax,"ESCALATE",IF(OR(I152="SAME",I152="CANT_TELL",AD152&lt;axisTol),"F","E")),
C152="F",
IF(AY152&gt;=phaseMax,"ESCALATE",IF(AX152&gt;=powerSameN,"G","F")),
C152="G",
IF(AY152&gt;=phaseMax,"ESCALATE",IF(OR(AX152&gt;=duoEqualN,BB152&gt;=duoMax),"D","G")),
C152="D",
IF(leEsc,"ESCALATE",IF(AY152&gt;=phaseMax,"ESCALATE",IF(AND(AV152&gt;=AW152,I152="READABLE"),"H","D"))),
C152="H",
IF(AY152&gt;=phaseMax,"ESCALATE",IF(OR(I152="SAME",I152="CANT_TELL",AD152&lt;axisTol),"I","H")),
C152="I",
IF(AY152&gt;=phaseMax,"ESCALATE",IF(AX152&gt;=powerSameN,"J","I")),
C152="J",
IF(AY152&gt;=phaseMax,"ESCALATE",IF(OR(AX152&gt;=duoEqualN,BB152&gt;=duoMax),"K","J")),
C152="K",
IF(AY152&gt;=phaseMax,"ESCALATE",IF(AX152&gt;=binoSameN,IF(XLOOKUP($B152,Derived_Variables!$A:$A,Derived_Variables!$AJ:$AJ,FALSE)=TRUE,"P","END"),"K")),
C152="P",
IF(AY152&gt;=phaseMax,"ESCALATE",IF(OR(I152="READABLE",I152="SAME"),"Q","P")),
C152="Q",
IF(AY152&gt;=phaseMax,"ESCALATE",IF(OR(I152="READABLE",I152="SAME"),"R","Q")),
C152="R",
IF(AY152&gt;=phaseMax,"ESCALATE",IF(OR(I152=nearTarget,I152="SAME"),"END","R")),
TRUE,"END"
)))</f>
        <v/>
      </c>
      <c r="BD152" s="28" t="b">
        <f t="shared" si="19"/>
        <v>0</v>
      </c>
    </row>
    <row r="153" ht="15.75" customHeight="1">
      <c r="A153" s="28">
        <f t="shared" si="3"/>
        <v>152</v>
      </c>
      <c r="B153" s="28">
        <f t="shared" si="4"/>
        <v>6</v>
      </c>
      <c r="C153" s="28" t="str">
        <f t="shared" si="5"/>
        <v/>
      </c>
      <c r="D153" s="28" t="str">
        <f t="array" ref="D153">IF($I152="","",XLOOKUP(C153,FSM_State_Map!A:A,FSM_State_Map!B:B,""))</f>
        <v/>
      </c>
      <c r="E153" s="28" t="str">
        <f t="array" ref="E153">IF($I152="","",XLOOKUP(C153,FSM_State_Map!A:A,FSM_State_Map!C:C,""))</f>
        <v/>
      </c>
      <c r="F153" s="28" t="str">
        <f t="array" ref="F153">IF($I152="","",XLOOKUP(E153,Phase_UI_Map!A:A,Phase_UI_Map!B:B,""))</f>
        <v/>
      </c>
      <c r="G153" s="28" t="str">
        <f t="array" ref="G153">IF($I152="","",XLOOKUP(E153,Phase_UI_Map!A:A,Phase_UI_Map!C:C,""))</f>
        <v/>
      </c>
      <c r="H153" s="28" t="str">
        <f t="array" ref="H153">IF($I152="","",XLOOKUP(E153,Phase_UI_Map!A:A,Phase_UI_Map!D:D,""))</f>
        <v/>
      </c>
      <c r="I153" s="29"/>
      <c r="J153" s="28" t="str">
        <f>IFERROR(__xludf.DUMMYFUNCTION("IF($I152="""","""",IFERROR(INDEX(FILTER(Response_Lists!$B:$B,Response_Lists!$A:$A=$H153),1),""""))"),"")</f>
        <v/>
      </c>
      <c r="K153" s="28" t="str">
        <f>IFERROR(__xludf.DUMMYFUNCTION("IF($I152="""","""",IFERROR(INDEX(FILTER(Response_Lists!$B:$B,Response_Lists!$A:$A=$H153),2),""""))"),"")</f>
        <v/>
      </c>
      <c r="L153" s="28" t="str">
        <f>IFERROR(__xludf.DUMMYFUNCTION("IF($I152="""","""",IFERROR(INDEX(FILTER(Response_Lists!$B:$B,Response_Lists!$A:$A=$H153),3),""""))"),"")</f>
        <v/>
      </c>
      <c r="M153" s="28" t="str">
        <f>IFERROR(__xludf.DUMMYFUNCTION("IF($I152="""","""",IFERROR(INDEX(FILTER(Response_Lists!$B:$B,Response_Lists!$A:$A=$H153),4),""""))"),"")</f>
        <v/>
      </c>
      <c r="N153" s="28" t="str">
        <f>IFERROR(__xludf.DUMMYFUNCTION("IF($I152="""","""",IFERROR(INDEX(FILTER(Response_Lists!$B:$B,Response_Lists!$A:$A=$H153),5),""""))"),"")</f>
        <v/>
      </c>
      <c r="O153" s="28" t="str">
        <f>IFERROR(__xludf.DUMMYFUNCTION("IF($I152="""","""",IFERROR(INDEX(FILTER(Response_Lists!$B:$B,Response_Lists!$A:$A=$H153),6),""""))"),"")</f>
        <v/>
      </c>
      <c r="P153" s="28" t="str">
        <f t="shared" si="6"/>
        <v/>
      </c>
      <c r="Q153" s="28" t="str">
        <f t="array" ref="Q153">IF($I152="","",XLOOKUP(C153,FSM_State_Map!A:A,FSM_State_Map!D:D,""))</f>
        <v/>
      </c>
      <c r="R153" s="28" t="str">
        <f t="shared" si="7"/>
        <v/>
      </c>
      <c r="S153" s="28" t="str">
        <f t="array" ref="S153">IF($I152="","",
IF(
  AND(C153="B",C152&lt;&gt;"B"),
  XLOOKUP($B153,Derived_Variables!$A:$A,Derived_Variables!$K:$K,0)
  + XLOOKUP($B153,Derived_Variables!$A:$A,Derived_Variables!$AE:$AE,0),
  S152+AM152
))</f>
        <v/>
      </c>
      <c r="T153" s="28" t="str">
        <f t="shared" ref="T153:U153" si="316">IF($I152="","",T152+AN152)</f>
        <v/>
      </c>
      <c r="U153" s="28" t="str">
        <f t="shared" si="316"/>
        <v/>
      </c>
      <c r="V153" s="28" t="str">
        <f t="array" ref="V153">IF($I152="","",
IF(
  AND(C153="D",C152&lt;&gt;"D"),
  XLOOKUP($B153,Derived_Variables!$A:$A,Derived_Variables!$N:$N,0)
  + XLOOKUP($B153,Derived_Variables!$A:$A,Derived_Variables!$AE:$AE,0),
  V152+AP152
))</f>
        <v/>
      </c>
      <c r="W153" s="28" t="str">
        <f t="shared" ref="W153:X153" si="317">IF($I152="","",W152+AQ152)</f>
        <v/>
      </c>
      <c r="X153" s="28" t="str">
        <f t="shared" si="317"/>
        <v/>
      </c>
      <c r="Y153" s="28" t="str">
        <f t="array" ref="Y153">IF($I152="","",IF(AND(C153="P",C152&lt;&gt;"P"),IFERROR(XLOOKUP($B153,Lenso_Input!$A:$A,Lenso_Input!$E:$E,0),0),Y152+AS152))</f>
        <v/>
      </c>
      <c r="Z153" s="28" t="str">
        <f t="array" ref="Z153">IF($I152="","",IF(AND(C153="Q",C152&lt;&gt;"Q"),IFERROR(XLOOKUP($B153,Lenso_Input!$A:$A,Lenso_Input!$I:$I,0),0),Z152+AT152))</f>
        <v/>
      </c>
      <c r="AA153" s="28" t="str">
        <f t="array" ref="AA153">IF($I152="","",IF(XLOOKUP($B153,Derived_Variables!$A:$A,Derived_Variables!$R:$R,"6/6_target")="6/6_target","20_20_20","40_30_25"))</f>
        <v/>
      </c>
      <c r="AB153" s="28" t="str">
        <f t="array" ref="AB153">IF($I152="","",XLOOKUP(LOWER(XLOOKUP($B153,Derived_Variables!$A:$A,Derived_Variables!$T:$T,"Standard"))&amp;"_sph_step",Calibration!$B:$B,Calibration!$C:$C,0.25))</f>
        <v/>
      </c>
      <c r="AC153" s="28" t="str">
        <f t="array" ref="AC153">IF($I152="","",XLOOKUP(LOWER(XLOOKUP($B153,Derived_Variables!$A:$A,Derived_Variables!$T:$T,"Standard"))&amp;"_cyl_step",Calibration!$B:$B,Calibration!$C:$C,0.25))</f>
        <v/>
      </c>
      <c r="AD153" s="28" t="str">
        <f t="array" ref="AD153">IF($I152="","",IF(OR(C153="E",C153="H"),LET(startStep,XLOOKUP("axis_start_step",Calibration!$B:$B,Calibration!$C:$C,5),step1,XLOOKUP("axis_reversal_step_1",Calibration!$B:$B,Calibration!$C:$C,3),step2,XLOOKUP("axis_reversal_step_2",Calibration!$B:$B,Calibration!$C:$C,1),IF(OR(C152&lt;&gt;C153,AZ153="",AZ153="SAME",AZ153="CANT_TELL",I153="",I153="SAME",I153="CANT_TELL"),startStep,IF(OR(AND(AZ153="BETTER_1",I153="BETTER_2"),AND(AZ153="BETTER_2",I153="BETTER_1")),IF(AD152&gt;step1,step1,step2),AD152))),0))</f>
        <v/>
      </c>
      <c r="AE153" s="28" t="str">
        <f t="array" ref="AE153">IF($I152="","",XLOOKUP($B153,Derived_Variables!$A:$A,Derived_Variables!$AD:$AD,"No_Fog"))</f>
        <v/>
      </c>
      <c r="AF153" s="28" t="str">
        <f t="array" ref="AF153">IF($I152="","",XLOOKUP($B153,Derived_Variables!$A:$A,Derived_Variables!$AE:$AE,0))</f>
        <v/>
      </c>
      <c r="AG153" s="28" t="str">
        <f t="array" ref="AG153">IF($I152="","",XLOOKUP($B153,Derived_Variables!$A:$A,Derived_Variables!$AF:$AF,""))</f>
        <v/>
      </c>
      <c r="AH153" s="28" t="str">
        <f t="array" ref="AH153">IF($I152="","",XLOOKUP($B153,Derived_Variables!$A:$A,Derived_Variables!$AG:$AG,""))</f>
        <v/>
      </c>
      <c r="AI153" s="28" t="str">
        <f t="array" ref="AI153">IF($I152="","",XLOOKUP($B153,Derived_Variables!$A:$A,Derived_Variables!$AC:$AC,"Medium"))</f>
        <v/>
      </c>
      <c r="AJ153" s="28" t="str">
        <f t="array" ref="AJ153">IF($I152="","",XLOOKUP($B153,Derived_Variables!$A:$A,Derived_Variables!$Y:$Y,FALSE))</f>
        <v/>
      </c>
      <c r="AK153" s="28" t="str">
        <f t="array" ref="AK153">IF($I152="","",XLOOKUP($B153,Derived_Variables!$A:$A,Derived_Variables!$AA:$AA,"Normal"))</f>
        <v/>
      </c>
      <c r="AL153" s="28" t="str">
        <f t="array" ref="AL153">IF($I152="","",XLOOKUP($B153,Derived_Variables!$A:$A,Derived_Variables!$AB:$AB,"Normal"))</f>
        <v/>
      </c>
      <c r="AM153" s="28" t="str">
        <f t="array" ref="AM153">IF($I153="","",IFS(C153="B",IF(OR(I153="NOT_READABLE",I153="BLURRY"),-AB153,0),C153="G",IFS(I153="RED_CLEARER",XLOOKUP("duochrome_red_step",Calibration!$B:$B,Calibration!$C:$C,-0.25),I153="GREEN_CLEARER",XLOOKUP("duochrome_green_step",Calibration!$B:$B,Calibration!$C:$C,0.25),I153="EQUAL",IF(XLOOKUP($B153,Derived_Variables!$A:$A,Derived_Variables!$S:$S,"Neutral")="Undercorrect",XLOOKUP("undercorrect_step",Calibration!$B:$B,Calibration!$C:$C,0.25),IF(XLOOKUP($B153,Derived_Variables!$A:$A,Derived_Variables!$S:$S,"Neutral")="Overcorrect",-XLOOKUP("overcorrect_step",Calibration!$B:$B,Calibration!$C:$C,0.25),0)),TRUE,0),C153="K",IF(I153="TOP_CLEARER",XLOOKUP("bino_balance_step",Calibration!$B:$B,Calibration!$C:$C,0.25),0),TRUE,0))</f>
        <v/>
      </c>
      <c r="AN153" s="28" t="str">
        <f t="shared" si="10"/>
        <v/>
      </c>
      <c r="AO153" s="28" t="str">
        <f t="shared" si="11"/>
        <v/>
      </c>
      <c r="AP153" s="28" t="str">
        <f t="array" ref="AP153">IF($I153="","",IFS(C153="D",IF(OR(I153="NOT_READABLE",I153="BLURRY"),-AB153,0),C153="J",IFS(I153="RED_CLEARER",XLOOKUP("duochrome_red_step",Calibration!$B:$B,Calibration!$C:$C,-0.25),I153="GREEN_CLEARER",XLOOKUP("duochrome_green_step",Calibration!$B:$B,Calibration!$C:$C,0.25),I153="EQUAL",IF(XLOOKUP($B153,Derived_Variables!$A:$A,Derived_Variables!$S:$S,"Neutral")="Undercorrect",XLOOKUP("undercorrect_step",Calibration!$B:$B,Calibration!$C:$C,0.25),IF(XLOOKUP($B153,Derived_Variables!$A:$A,Derived_Variables!$S:$S,"Neutral")="Overcorrect",-XLOOKUP("overcorrect_step",Calibration!$B:$B,Calibration!$C:$C,0.25),0)),TRUE,0),C153="K",IF(I153="BOTTOM_CLEARER",XLOOKUP("bino_balance_step",Calibration!$B:$B,Calibration!$C:$C,0.25),0),TRUE,0))</f>
        <v/>
      </c>
      <c r="AQ153" s="28" t="str">
        <f t="shared" si="12"/>
        <v/>
      </c>
      <c r="AR153" s="28" t="str">
        <f t="shared" si="13"/>
        <v/>
      </c>
      <c r="AS153" s="28" t="str">
        <f t="array" ref="AS153">IF($I153="","",IF(C153="P",IF(OR(I153="NOT_READABLE",I153="BLURRY"),XLOOKUP("near_add_step",Calibration!$B:$B,Calibration!$C:$C,0.25),0),IF(C153="R",IF(I153="NOT_CLEAR",XLOOKUP("near_add_step",Calibration!$B:$B,Calibration!$C:$C,0.25),0),0)))</f>
        <v/>
      </c>
      <c r="AT153" s="28" t="str">
        <f t="array" ref="AT153">IF($I153="","",IF(C153="Q",IF(OR(I153="NOT_READABLE",I153="BLURRY"),XLOOKUP("near_add_step",Calibration!$B:$B,Calibration!$C:$C,0.25),0),IF(C153="R",IF(I153="NOT_CLEAR",XLOOKUP("near_add_step",Calibration!$B:$B,Calibration!$C:$C,0.25),0),0)))</f>
        <v/>
      </c>
      <c r="AU153" s="28" t="str">
        <f t="array" ref="AU153">IF($I153="","",IF(G153="SNELLEN_FEET",IF(I153="READABLE",IFERROR(XLOOKUP(XLOOKUP(R153,Chart_Scale_Distance!B:B,Chart_Scale_Distance!A:A)+1,Chart_Scale_Distance!A:A,Chart_Scale_Distance!B:B),R153),R153),R153))</f>
        <v/>
      </c>
      <c r="AV153" s="28" t="str">
        <f t="array" ref="AV153">IF($I152="","",IFERROR(XLOOKUP(R153,Chart_Scale_Distance!$B:$B,Chart_Scale_Distance!$A:$A,""),""))</f>
        <v/>
      </c>
      <c r="AW153" s="28" t="str">
        <f t="array" ref="AW153">IF($I152="","",IFERROR(XLOOKUP(AA153,Chart_Scale_Distance!$B:$B,Chart_Scale_Distance!$A:$A,""),""))</f>
        <v/>
      </c>
      <c r="AX153" s="28" t="str">
        <f t="shared" si="14"/>
        <v/>
      </c>
      <c r="AY153" s="28" t="str">
        <f t="shared" si="15"/>
        <v/>
      </c>
      <c r="AZ153" s="28" t="str">
        <f t="shared" si="16"/>
        <v/>
      </c>
      <c r="BA153" s="28" t="str">
        <f t="shared" si="17"/>
        <v/>
      </c>
      <c r="BB153" s="28" t="str">
        <f t="shared" si="18"/>
        <v/>
      </c>
      <c r="BC153" s="28" t="str">
        <f t="array" ref="BC153">IF($I153="","",LET(
conf,AI153,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duoMax,XLOOKUP($B153,Derived_Variables!$A:$A,Derived_Variables!$AI:$AI,4),
axisTol,XLOOKUP($B153,Derived_Variables!$A:$A,Derived_Variables!$W:$W,1),
maxStart,XLOOKUP($B153,Derived_Variables!$A:$A,Derived_Variables!$U:$U,1.25),
maxAR,XLOOKUP($B153,Derived_Variables!$A:$A,Derived_Variables!$V:$V,3),
anom,XLOOKUP($B153,Derived_Variables!$A:$A,Derived_Variables!$Z:$Z,FALSE),
reStart,XLOOKUP($B153,Derived_Variables!$A:$A,Derived_Variables!$K:$K,0),
leStart,XLOOKUP($B153,Derived_Variables!$A:$A,Derived_Variables!$N:$N,0),
reAR,XLOOKUP($B153,AR_Input!$A:$A,AR_Input!$B:$B,reStart),
leAR,XLOOKUP($B153,AR_Input!$A:$A,AR_Input!$E:$E,leStart),
reEsc,AND(anom,OR(ABS((S153+AM153)-reStart)&gt;maxStart,ABS((S153+AM153)-reAR)&gt;maxAR)),
leEsc,AND(anom,OR(ABS((V153+AP153)-leStart)&gt;maxStart,ABS((V153+AP153)-leAR)&gt;maxAR)),
phaseMax,IFS(
 AK153="Fast",
   IFS(
     OR(C153="B",C153="D"),XLOOKUP("timeout_coarse_fast",Calibration!$B:$B,Calibration!$C:$C,24),
     OR(C153="E",C153="F",C153="H",C153="I"),XLOOKUP("timeout_jcc_fast",Calibration!$B:$B,Calibration!$C:$C,10),
     OR(C153="G",C153="J"),XLOOKUP("timeout_duochrome_fast",Calibration!$B:$B,Calibration!$C:$C,8),
     C153="K",XLOOKUP("timeout_bino_fast",Calibration!$B:$B,Calibration!$C:$C,10),
     OR(C153="P",C153="Q",C153="R"),XLOOKUP("timeout_near_fast",Calibration!$B:$B,Calibration!$C:$C,16),
     TRUE,XLOOKUP("timeout_coarse_fast",Calibration!$B:$B,Calibration!$C:$C,24)
   ),
 AK153="Normal",
   IFS(
     OR(C153="B",C153="D"),XLOOKUP("timeout_coarse_normal",Calibration!$B:$B,Calibration!$C:$C,36),
     OR(C153="E",C153="F",C153="H",C153="I"),XLOOKUP("timeout_jcc_normal",Calibration!$B:$B,Calibration!$C:$C,14),
     OR(C153="G",C153="J"),XLOOKUP("timeout_duochrome_normal",Calibration!$B:$B,Calibration!$C:$C,10),
     C153="K",XLOOKUP("timeout_bino_normal",Calibration!$B:$B,Calibration!$C:$C,14),
     OR(C153="P",C153="Q",C153="R"),XLOOKUP("timeout_near_normal",Calibration!$B:$B,Calibration!$C:$C,22),
     TRUE,XLOOKUP("timeout_coarse_normal",Calibration!$B:$B,Calibration!$C:$C,36)
   ),
 TRUE,
   IFS(
     OR(C153="B",C153="D"),XLOOKUP("timeout_coarse_slow",Calibration!$B:$B,Calibration!$C:$C,48),
     OR(C153="E",C153="F",C153="H",C153="I"),XLOOKUP("timeout_jcc_slow",Calibration!$B:$B,Calibration!$C:$C,18),
     OR(C153="G",C153="J"),XLOOKUP("timeout_duochrome_slow",Calibration!$B:$B,Calibration!$C:$C,12),
     C153="K",XLOOKUP("timeout_bino_slow",Calibration!$B:$B,Calibration!$C:$C,18),
     OR(C153="P",C153="Q",C153="R"),XLOOKUP("timeout_near_slow",Calibration!$B:$B,Calibration!$C:$C,28),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AJ153=TRUE,"ESCALATE",
C153="A",
IF(OR(I153="NOT_READABLE",I153="BLURRY",AND(R153="20_20_20",I153="READABLE")),"B","A"),
C153="B",
IF(reEsc,"ESCALATE",IF(AY153&gt;=phaseMax,"ESCALATE",IF(AND(AV153&gt;=AW153,I153="READABLE"),"E","B"))),
C153="E",
IF(AY153&gt;=phaseMax,"ESCALATE",IF(OR(I153="SAME",I153="CANT_TELL",AD153&lt;axisTol),"F","E")),
C153="F",
IF(AY153&gt;=phaseMax,"ESCALATE",IF(AX153&gt;=powerSameN,"G","F")),
C153="G",
IF(AY153&gt;=phaseMax,"ESCALATE",IF(OR(AX153&gt;=duoEqualN,BB153&gt;=duoMax),"D","G")),
C153="D",
IF(leEsc,"ESCALATE",IF(AY153&gt;=phaseMax,"ESCALATE",IF(AND(AV153&gt;=AW153,I153="READABLE"),"H","D"))),
C153="H",
IF(AY153&gt;=phaseMax,"ESCALATE",IF(OR(I153="SAME",I153="CANT_TELL",AD153&lt;axisTol),"I","H")),
C153="I",
IF(AY153&gt;=phaseMax,"ESCALATE",IF(AX153&gt;=powerSameN,"J","I")),
C153="J",
IF(AY153&gt;=phaseMax,"ESCALATE",IF(OR(AX153&gt;=duoEqualN,BB153&gt;=duoMax),"K","J")),
C153="K",
IF(AY153&gt;=phaseMax,"ESCALATE",IF(AX153&gt;=binoSameN,IF(XLOOKUP($B153,Derived_Variables!$A:$A,Derived_Variables!$AJ:$AJ,FALSE)=TRUE,"P","END"),"K")),
C153="P",
IF(AY153&gt;=phaseMax,"ESCALATE",IF(OR(I153="READABLE",I153="SAME"),"Q","P")),
C153="Q",
IF(AY153&gt;=phaseMax,"ESCALATE",IF(OR(I153="READABLE",I153="SAME"),"R","Q")),
C153="R",
IF(AY153&gt;=phaseMax,"ESCALATE",IF(OR(I153=nearTarget,I153="SAME"),"END","R")),
TRUE,"END"
)))</f>
        <v/>
      </c>
      <c r="BD153" s="28" t="b">
        <f t="shared" si="19"/>
        <v>0</v>
      </c>
    </row>
    <row r="154" ht="15.75" customHeight="1">
      <c r="A154" s="28">
        <f t="shared" si="3"/>
        <v>153</v>
      </c>
      <c r="B154" s="28">
        <f t="shared" si="4"/>
        <v>6</v>
      </c>
      <c r="C154" s="28" t="str">
        <f t="shared" si="5"/>
        <v/>
      </c>
      <c r="D154" s="28" t="str">
        <f t="array" ref="D154">IF($I153="","",XLOOKUP(C154,FSM_State_Map!A:A,FSM_State_Map!B:B,""))</f>
        <v/>
      </c>
      <c r="E154" s="28" t="str">
        <f t="array" ref="E154">IF($I153="","",XLOOKUP(C154,FSM_State_Map!A:A,FSM_State_Map!C:C,""))</f>
        <v/>
      </c>
      <c r="F154" s="28" t="str">
        <f t="array" ref="F154">IF($I153="","",XLOOKUP(E154,Phase_UI_Map!A:A,Phase_UI_Map!B:B,""))</f>
        <v/>
      </c>
      <c r="G154" s="28" t="str">
        <f t="array" ref="G154">IF($I153="","",XLOOKUP(E154,Phase_UI_Map!A:A,Phase_UI_Map!C:C,""))</f>
        <v/>
      </c>
      <c r="H154" s="28" t="str">
        <f t="array" ref="H154">IF($I153="","",XLOOKUP(E154,Phase_UI_Map!A:A,Phase_UI_Map!D:D,""))</f>
        <v/>
      </c>
      <c r="I154" s="29"/>
      <c r="J154" s="28" t="str">
        <f>IFERROR(__xludf.DUMMYFUNCTION("IF($I153="""","""",IFERROR(INDEX(FILTER(Response_Lists!$B:$B,Response_Lists!$A:$A=$H154),1),""""))"),"")</f>
        <v/>
      </c>
      <c r="K154" s="28" t="str">
        <f>IFERROR(__xludf.DUMMYFUNCTION("IF($I153="""","""",IFERROR(INDEX(FILTER(Response_Lists!$B:$B,Response_Lists!$A:$A=$H154),2),""""))"),"")</f>
        <v/>
      </c>
      <c r="L154" s="28" t="str">
        <f>IFERROR(__xludf.DUMMYFUNCTION("IF($I153="""","""",IFERROR(INDEX(FILTER(Response_Lists!$B:$B,Response_Lists!$A:$A=$H154),3),""""))"),"")</f>
        <v/>
      </c>
      <c r="M154" s="28" t="str">
        <f>IFERROR(__xludf.DUMMYFUNCTION("IF($I153="""","""",IFERROR(INDEX(FILTER(Response_Lists!$B:$B,Response_Lists!$A:$A=$H154),4),""""))"),"")</f>
        <v/>
      </c>
      <c r="N154" s="28" t="str">
        <f>IFERROR(__xludf.DUMMYFUNCTION("IF($I153="""","""",IFERROR(INDEX(FILTER(Response_Lists!$B:$B,Response_Lists!$A:$A=$H154),5),""""))"),"")</f>
        <v/>
      </c>
      <c r="O154" s="28" t="str">
        <f>IFERROR(__xludf.DUMMYFUNCTION("IF($I153="""","""",IFERROR(INDEX(FILTER(Response_Lists!$B:$B,Response_Lists!$A:$A=$H154),6),""""))"),"")</f>
        <v/>
      </c>
      <c r="P154" s="28" t="str">
        <f t="shared" si="6"/>
        <v/>
      </c>
      <c r="Q154" s="28" t="str">
        <f t="array" ref="Q154">IF($I153="","",XLOOKUP(C154,FSM_State_Map!A:A,FSM_State_Map!D:D,""))</f>
        <v/>
      </c>
      <c r="R154" s="28" t="str">
        <f t="shared" si="7"/>
        <v/>
      </c>
      <c r="S154" s="28" t="str">
        <f t="array" ref="S154">IF($I153="","",
IF(
  AND(C154="B",C153&lt;&gt;"B"),
  XLOOKUP($B154,Derived_Variables!$A:$A,Derived_Variables!$K:$K,0)
  + XLOOKUP($B154,Derived_Variables!$A:$A,Derived_Variables!$AE:$AE,0),
  S153+AM153
))</f>
        <v/>
      </c>
      <c r="T154" s="28" t="str">
        <f t="shared" ref="T154:U154" si="318">IF($I153="","",T153+AN153)</f>
        <v/>
      </c>
      <c r="U154" s="28" t="str">
        <f t="shared" si="318"/>
        <v/>
      </c>
      <c r="V154" s="28" t="str">
        <f t="array" ref="V154">IF($I153="","",
IF(
  AND(C154="D",C153&lt;&gt;"D"),
  XLOOKUP($B154,Derived_Variables!$A:$A,Derived_Variables!$N:$N,0)
  + XLOOKUP($B154,Derived_Variables!$A:$A,Derived_Variables!$AE:$AE,0),
  V153+AP153
))</f>
        <v/>
      </c>
      <c r="W154" s="28" t="str">
        <f t="shared" ref="W154:X154" si="319">IF($I153="","",W153+AQ153)</f>
        <v/>
      </c>
      <c r="X154" s="28" t="str">
        <f t="shared" si="319"/>
        <v/>
      </c>
      <c r="Y154" s="28" t="str">
        <f t="array" ref="Y154">IF($I153="","",IF(AND(C154="P",C153&lt;&gt;"P"),IFERROR(XLOOKUP($B154,Lenso_Input!$A:$A,Lenso_Input!$E:$E,0),0),Y153+AS153))</f>
        <v/>
      </c>
      <c r="Z154" s="28" t="str">
        <f t="array" ref="Z154">IF($I153="","",IF(AND(C154="Q",C153&lt;&gt;"Q"),IFERROR(XLOOKUP($B154,Lenso_Input!$A:$A,Lenso_Input!$I:$I,0),0),Z153+AT153))</f>
        <v/>
      </c>
      <c r="AA154" s="28" t="str">
        <f t="array" ref="AA154">IF($I153="","",IF(XLOOKUP($B154,Derived_Variables!$A:$A,Derived_Variables!$R:$R,"6/6_target")="6/6_target","20_20_20","40_30_25"))</f>
        <v/>
      </c>
      <c r="AB154" s="28" t="str">
        <f t="array" ref="AB154">IF($I153="","",XLOOKUP(LOWER(XLOOKUP($B154,Derived_Variables!$A:$A,Derived_Variables!$T:$T,"Standard"))&amp;"_sph_step",Calibration!$B:$B,Calibration!$C:$C,0.25))</f>
        <v/>
      </c>
      <c r="AC154" s="28" t="str">
        <f t="array" ref="AC154">IF($I153="","",XLOOKUP(LOWER(XLOOKUP($B154,Derived_Variables!$A:$A,Derived_Variables!$T:$T,"Standard"))&amp;"_cyl_step",Calibration!$B:$B,Calibration!$C:$C,0.25))</f>
        <v/>
      </c>
      <c r="AD154" s="28" t="str">
        <f t="array" ref="AD154">IF($I153="","",IF(OR(C154="E",C154="H"),LET(startStep,XLOOKUP("axis_start_step",Calibration!$B:$B,Calibration!$C:$C,5),step1,XLOOKUP("axis_reversal_step_1",Calibration!$B:$B,Calibration!$C:$C,3),step2,XLOOKUP("axis_reversal_step_2",Calibration!$B:$B,Calibration!$C:$C,1),IF(OR(C153&lt;&gt;C154,AZ154="",AZ154="SAME",AZ154="CANT_TELL",I154="",I154="SAME",I154="CANT_TELL"),startStep,IF(OR(AND(AZ154="BETTER_1",I154="BETTER_2"),AND(AZ154="BETTER_2",I154="BETTER_1")),IF(AD153&gt;step1,step1,step2),AD153))),0))</f>
        <v/>
      </c>
      <c r="AE154" s="28" t="str">
        <f t="array" ref="AE154">IF($I153="","",XLOOKUP($B154,Derived_Variables!$A:$A,Derived_Variables!$AD:$AD,"No_Fog"))</f>
        <v/>
      </c>
      <c r="AF154" s="28" t="str">
        <f t="array" ref="AF154">IF($I153="","",XLOOKUP($B154,Derived_Variables!$A:$A,Derived_Variables!$AE:$AE,0))</f>
        <v/>
      </c>
      <c r="AG154" s="28" t="str">
        <f t="array" ref="AG154">IF($I153="","",XLOOKUP($B154,Derived_Variables!$A:$A,Derived_Variables!$AF:$AF,""))</f>
        <v/>
      </c>
      <c r="AH154" s="28" t="str">
        <f t="array" ref="AH154">IF($I153="","",XLOOKUP($B154,Derived_Variables!$A:$A,Derived_Variables!$AG:$AG,""))</f>
        <v/>
      </c>
      <c r="AI154" s="28" t="str">
        <f t="array" ref="AI154">IF($I153="","",XLOOKUP($B154,Derived_Variables!$A:$A,Derived_Variables!$AC:$AC,"Medium"))</f>
        <v/>
      </c>
      <c r="AJ154" s="28" t="str">
        <f t="array" ref="AJ154">IF($I153="","",XLOOKUP($B154,Derived_Variables!$A:$A,Derived_Variables!$Y:$Y,FALSE))</f>
        <v/>
      </c>
      <c r="AK154" s="28" t="str">
        <f t="array" ref="AK154">IF($I153="","",XLOOKUP($B154,Derived_Variables!$A:$A,Derived_Variables!$AA:$AA,"Normal"))</f>
        <v/>
      </c>
      <c r="AL154" s="28" t="str">
        <f t="array" ref="AL154">IF($I153="","",XLOOKUP($B154,Derived_Variables!$A:$A,Derived_Variables!$AB:$AB,"Normal"))</f>
        <v/>
      </c>
      <c r="AM154" s="28" t="str">
        <f t="array" ref="AM154">IF($I154="","",IFS(C154="B",IF(OR(I154="NOT_READABLE",I154="BLURRY"),-AB154,0),C154="G",IFS(I154="RED_CLEARER",XLOOKUP("duochrome_red_step",Calibration!$B:$B,Calibration!$C:$C,-0.25),I154="GREEN_CLEARER",XLOOKUP("duochrome_green_step",Calibration!$B:$B,Calibration!$C:$C,0.25),I154="EQUAL",IF(XLOOKUP($B154,Derived_Variables!$A:$A,Derived_Variables!$S:$S,"Neutral")="Undercorrect",XLOOKUP("undercorrect_step",Calibration!$B:$B,Calibration!$C:$C,0.25),IF(XLOOKUP($B154,Derived_Variables!$A:$A,Derived_Variables!$S:$S,"Neutral")="Overcorrect",-XLOOKUP("overcorrect_step",Calibration!$B:$B,Calibration!$C:$C,0.25),0)),TRUE,0),C154="K",IF(I154="TOP_CLEARER",XLOOKUP("bino_balance_step",Calibration!$B:$B,Calibration!$C:$C,0.25),0),TRUE,0))</f>
        <v/>
      </c>
      <c r="AN154" s="28" t="str">
        <f t="shared" si="10"/>
        <v/>
      </c>
      <c r="AO154" s="28" t="str">
        <f t="shared" si="11"/>
        <v/>
      </c>
      <c r="AP154" s="28" t="str">
        <f t="array" ref="AP154">IF($I154="","",IFS(C154="D",IF(OR(I154="NOT_READABLE",I154="BLURRY"),-AB154,0),C154="J",IFS(I154="RED_CLEARER",XLOOKUP("duochrome_red_step",Calibration!$B:$B,Calibration!$C:$C,-0.25),I154="GREEN_CLEARER",XLOOKUP("duochrome_green_step",Calibration!$B:$B,Calibration!$C:$C,0.25),I154="EQUAL",IF(XLOOKUP($B154,Derived_Variables!$A:$A,Derived_Variables!$S:$S,"Neutral")="Undercorrect",XLOOKUP("undercorrect_step",Calibration!$B:$B,Calibration!$C:$C,0.25),IF(XLOOKUP($B154,Derived_Variables!$A:$A,Derived_Variables!$S:$S,"Neutral")="Overcorrect",-XLOOKUP("overcorrect_step",Calibration!$B:$B,Calibration!$C:$C,0.25),0)),TRUE,0),C154="K",IF(I154="BOTTOM_CLEARER",XLOOKUP("bino_balance_step",Calibration!$B:$B,Calibration!$C:$C,0.25),0),TRUE,0))</f>
        <v/>
      </c>
      <c r="AQ154" s="28" t="str">
        <f t="shared" si="12"/>
        <v/>
      </c>
      <c r="AR154" s="28" t="str">
        <f t="shared" si="13"/>
        <v/>
      </c>
      <c r="AS154" s="28" t="str">
        <f t="array" ref="AS154">IF($I154="","",IF(C154="P",IF(OR(I154="NOT_READABLE",I154="BLURRY"),XLOOKUP("near_add_step",Calibration!$B:$B,Calibration!$C:$C,0.25),0),IF(C154="R",IF(I154="NOT_CLEAR",XLOOKUP("near_add_step",Calibration!$B:$B,Calibration!$C:$C,0.25),0),0)))</f>
        <v/>
      </c>
      <c r="AT154" s="28" t="str">
        <f t="array" ref="AT154">IF($I154="","",IF(C154="Q",IF(OR(I154="NOT_READABLE",I154="BLURRY"),XLOOKUP("near_add_step",Calibration!$B:$B,Calibration!$C:$C,0.25),0),IF(C154="R",IF(I154="NOT_CLEAR",XLOOKUP("near_add_step",Calibration!$B:$B,Calibration!$C:$C,0.25),0),0)))</f>
        <v/>
      </c>
      <c r="AU154" s="28" t="str">
        <f t="array" ref="AU154">IF($I154="","",IF(G154="SNELLEN_FEET",IF(I154="READABLE",IFERROR(XLOOKUP(XLOOKUP(R154,Chart_Scale_Distance!B:B,Chart_Scale_Distance!A:A)+1,Chart_Scale_Distance!A:A,Chart_Scale_Distance!B:B),R154),R154),R154))</f>
        <v/>
      </c>
      <c r="AV154" s="28" t="str">
        <f t="array" ref="AV154">IF($I153="","",IFERROR(XLOOKUP(R154,Chart_Scale_Distance!$B:$B,Chart_Scale_Distance!$A:$A,""),""))</f>
        <v/>
      </c>
      <c r="AW154" s="28" t="str">
        <f t="array" ref="AW154">IF($I153="","",IFERROR(XLOOKUP(AA154,Chart_Scale_Distance!$B:$B,Chart_Scale_Distance!$A:$A,""),""))</f>
        <v/>
      </c>
      <c r="AX154" s="28" t="str">
        <f t="shared" si="14"/>
        <v/>
      </c>
      <c r="AY154" s="28" t="str">
        <f t="shared" si="15"/>
        <v/>
      </c>
      <c r="AZ154" s="28" t="str">
        <f t="shared" si="16"/>
        <v/>
      </c>
      <c r="BA154" s="28" t="str">
        <f t="shared" si="17"/>
        <v/>
      </c>
      <c r="BB154" s="28" t="str">
        <f t="shared" si="18"/>
        <v/>
      </c>
      <c r="BC154" s="28" t="str">
        <f t="array" ref="BC154">IF($I154="","",LET(
conf,AI154,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duoMax,XLOOKUP($B154,Derived_Variables!$A:$A,Derived_Variables!$AI:$AI,4),
axisTol,XLOOKUP($B154,Derived_Variables!$A:$A,Derived_Variables!$W:$W,1),
maxStart,XLOOKUP($B154,Derived_Variables!$A:$A,Derived_Variables!$U:$U,1.25),
maxAR,XLOOKUP($B154,Derived_Variables!$A:$A,Derived_Variables!$V:$V,3),
anom,XLOOKUP($B154,Derived_Variables!$A:$A,Derived_Variables!$Z:$Z,FALSE),
reStart,XLOOKUP($B154,Derived_Variables!$A:$A,Derived_Variables!$K:$K,0),
leStart,XLOOKUP($B154,Derived_Variables!$A:$A,Derived_Variables!$N:$N,0),
reAR,XLOOKUP($B154,AR_Input!$A:$A,AR_Input!$B:$B,reStart),
leAR,XLOOKUP($B154,AR_Input!$A:$A,AR_Input!$E:$E,leStart),
reEsc,AND(anom,OR(ABS((S154+AM154)-reStart)&gt;maxStart,ABS((S154+AM154)-reAR)&gt;maxAR)),
leEsc,AND(anom,OR(ABS((V154+AP154)-leStart)&gt;maxStart,ABS((V154+AP154)-leAR)&gt;maxAR)),
phaseMax,IFS(
 AK154="Fast",
   IFS(
     OR(C154="B",C154="D"),XLOOKUP("timeout_coarse_fast",Calibration!$B:$B,Calibration!$C:$C,24),
     OR(C154="E",C154="F",C154="H",C154="I"),XLOOKUP("timeout_jcc_fast",Calibration!$B:$B,Calibration!$C:$C,10),
     OR(C154="G",C154="J"),XLOOKUP("timeout_duochrome_fast",Calibration!$B:$B,Calibration!$C:$C,8),
     C154="K",XLOOKUP("timeout_bino_fast",Calibration!$B:$B,Calibration!$C:$C,10),
     OR(C154="P",C154="Q",C154="R"),XLOOKUP("timeout_near_fast",Calibration!$B:$B,Calibration!$C:$C,16),
     TRUE,XLOOKUP("timeout_coarse_fast",Calibration!$B:$B,Calibration!$C:$C,24)
   ),
 AK154="Normal",
   IFS(
     OR(C154="B",C154="D"),XLOOKUP("timeout_coarse_normal",Calibration!$B:$B,Calibration!$C:$C,36),
     OR(C154="E",C154="F",C154="H",C154="I"),XLOOKUP("timeout_jcc_normal",Calibration!$B:$B,Calibration!$C:$C,14),
     OR(C154="G",C154="J"),XLOOKUP("timeout_duochrome_normal",Calibration!$B:$B,Calibration!$C:$C,10),
     C154="K",XLOOKUP("timeout_bino_normal",Calibration!$B:$B,Calibration!$C:$C,14),
     OR(C154="P",C154="Q",C154="R"),XLOOKUP("timeout_near_normal",Calibration!$B:$B,Calibration!$C:$C,22),
     TRUE,XLOOKUP("timeout_coarse_normal",Calibration!$B:$B,Calibration!$C:$C,36)
   ),
 TRUE,
   IFS(
     OR(C154="B",C154="D"),XLOOKUP("timeout_coarse_slow",Calibration!$B:$B,Calibration!$C:$C,48),
     OR(C154="E",C154="F",C154="H",C154="I"),XLOOKUP("timeout_jcc_slow",Calibration!$B:$B,Calibration!$C:$C,18),
     OR(C154="G",C154="J"),XLOOKUP("timeout_duochrome_slow",Calibration!$B:$B,Calibration!$C:$C,12),
     C154="K",XLOOKUP("timeout_bino_slow",Calibration!$B:$B,Calibration!$C:$C,18),
     OR(C154="P",C154="Q",C154="R"),XLOOKUP("timeout_near_slow",Calibration!$B:$B,Calibration!$C:$C,28),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AJ154=TRUE,"ESCALATE",
C154="A",
IF(OR(I154="NOT_READABLE",I154="BLURRY",AND(R154="20_20_20",I154="READABLE")),"B","A"),
C154="B",
IF(reEsc,"ESCALATE",IF(AY154&gt;=phaseMax,"ESCALATE",IF(AND(AV154&gt;=AW154,I154="READABLE"),"E","B"))),
C154="E",
IF(AY154&gt;=phaseMax,"ESCALATE",IF(OR(I154="SAME",I154="CANT_TELL",AD154&lt;axisTol),"F","E")),
C154="F",
IF(AY154&gt;=phaseMax,"ESCALATE",IF(AX154&gt;=powerSameN,"G","F")),
C154="G",
IF(AY154&gt;=phaseMax,"ESCALATE",IF(OR(AX154&gt;=duoEqualN,BB154&gt;=duoMax),"D","G")),
C154="D",
IF(leEsc,"ESCALATE",IF(AY154&gt;=phaseMax,"ESCALATE",IF(AND(AV154&gt;=AW154,I154="READABLE"),"H","D"))),
C154="H",
IF(AY154&gt;=phaseMax,"ESCALATE",IF(OR(I154="SAME",I154="CANT_TELL",AD154&lt;axisTol),"I","H")),
C154="I",
IF(AY154&gt;=phaseMax,"ESCALATE",IF(AX154&gt;=powerSameN,"J","I")),
C154="J",
IF(AY154&gt;=phaseMax,"ESCALATE",IF(OR(AX154&gt;=duoEqualN,BB154&gt;=duoMax),"K","J")),
C154="K",
IF(AY154&gt;=phaseMax,"ESCALATE",IF(AX154&gt;=binoSameN,IF(XLOOKUP($B154,Derived_Variables!$A:$A,Derived_Variables!$AJ:$AJ,FALSE)=TRUE,"P","END"),"K")),
C154="P",
IF(AY154&gt;=phaseMax,"ESCALATE",IF(OR(I154="READABLE",I154="SAME"),"Q","P")),
C154="Q",
IF(AY154&gt;=phaseMax,"ESCALATE",IF(OR(I154="READABLE",I154="SAME"),"R","Q")),
C154="R",
IF(AY154&gt;=phaseMax,"ESCALATE",IF(OR(I154=nearTarget,I154="SAME"),"END","R")),
TRUE,"END"
)))</f>
        <v/>
      </c>
      <c r="BD154" s="28" t="b">
        <f t="shared" si="19"/>
        <v>0</v>
      </c>
    </row>
    <row r="155" ht="15.75" customHeight="1">
      <c r="A155" s="28">
        <f t="shared" si="3"/>
        <v>154</v>
      </c>
      <c r="B155" s="28">
        <f t="shared" si="4"/>
        <v>6</v>
      </c>
      <c r="C155" s="28" t="str">
        <f t="shared" si="5"/>
        <v/>
      </c>
      <c r="D155" s="28" t="str">
        <f t="array" ref="D155">IF($I154="","",XLOOKUP(C155,FSM_State_Map!A:A,FSM_State_Map!B:B,""))</f>
        <v/>
      </c>
      <c r="E155" s="28" t="str">
        <f t="array" ref="E155">IF($I154="","",XLOOKUP(C155,FSM_State_Map!A:A,FSM_State_Map!C:C,""))</f>
        <v/>
      </c>
      <c r="F155" s="28" t="str">
        <f t="array" ref="F155">IF($I154="","",XLOOKUP(E155,Phase_UI_Map!A:A,Phase_UI_Map!B:B,""))</f>
        <v/>
      </c>
      <c r="G155" s="28" t="str">
        <f t="array" ref="G155">IF($I154="","",XLOOKUP(E155,Phase_UI_Map!A:A,Phase_UI_Map!C:C,""))</f>
        <v/>
      </c>
      <c r="H155" s="28" t="str">
        <f t="array" ref="H155">IF($I154="","",XLOOKUP(E155,Phase_UI_Map!A:A,Phase_UI_Map!D:D,""))</f>
        <v/>
      </c>
      <c r="I155" s="29"/>
      <c r="J155" s="28" t="str">
        <f>IFERROR(__xludf.DUMMYFUNCTION("IF($I154="""","""",IFERROR(INDEX(FILTER(Response_Lists!$B:$B,Response_Lists!$A:$A=$H155),1),""""))"),"")</f>
        <v/>
      </c>
      <c r="K155" s="28" t="str">
        <f>IFERROR(__xludf.DUMMYFUNCTION("IF($I154="""","""",IFERROR(INDEX(FILTER(Response_Lists!$B:$B,Response_Lists!$A:$A=$H155),2),""""))"),"")</f>
        <v/>
      </c>
      <c r="L155" s="28" t="str">
        <f>IFERROR(__xludf.DUMMYFUNCTION("IF($I154="""","""",IFERROR(INDEX(FILTER(Response_Lists!$B:$B,Response_Lists!$A:$A=$H155),3),""""))"),"")</f>
        <v/>
      </c>
      <c r="M155" s="28" t="str">
        <f>IFERROR(__xludf.DUMMYFUNCTION("IF($I154="""","""",IFERROR(INDEX(FILTER(Response_Lists!$B:$B,Response_Lists!$A:$A=$H155),4),""""))"),"")</f>
        <v/>
      </c>
      <c r="N155" s="28" t="str">
        <f>IFERROR(__xludf.DUMMYFUNCTION("IF($I154="""","""",IFERROR(INDEX(FILTER(Response_Lists!$B:$B,Response_Lists!$A:$A=$H155),5),""""))"),"")</f>
        <v/>
      </c>
      <c r="O155" s="28" t="str">
        <f>IFERROR(__xludf.DUMMYFUNCTION("IF($I154="""","""",IFERROR(INDEX(FILTER(Response_Lists!$B:$B,Response_Lists!$A:$A=$H155),6),""""))"),"")</f>
        <v/>
      </c>
      <c r="P155" s="28" t="str">
        <f t="shared" si="6"/>
        <v/>
      </c>
      <c r="Q155" s="28" t="str">
        <f t="array" ref="Q155">IF($I154="","",XLOOKUP(C155,FSM_State_Map!A:A,FSM_State_Map!D:D,""))</f>
        <v/>
      </c>
      <c r="R155" s="28" t="str">
        <f t="shared" si="7"/>
        <v/>
      </c>
      <c r="S155" s="28" t="str">
        <f t="array" ref="S155">IF($I154="","",
IF(
  AND(C155="B",C154&lt;&gt;"B"),
  XLOOKUP($B155,Derived_Variables!$A:$A,Derived_Variables!$K:$K,0)
  + XLOOKUP($B155,Derived_Variables!$A:$A,Derived_Variables!$AE:$AE,0),
  S154+AM154
))</f>
        <v/>
      </c>
      <c r="T155" s="28" t="str">
        <f t="shared" ref="T155:U155" si="320">IF($I154="","",T154+AN154)</f>
        <v/>
      </c>
      <c r="U155" s="28" t="str">
        <f t="shared" si="320"/>
        <v/>
      </c>
      <c r="V155" s="28" t="str">
        <f t="array" ref="V155">IF($I154="","",
IF(
  AND(C155="D",C154&lt;&gt;"D"),
  XLOOKUP($B155,Derived_Variables!$A:$A,Derived_Variables!$N:$N,0)
  + XLOOKUP($B155,Derived_Variables!$A:$A,Derived_Variables!$AE:$AE,0),
  V154+AP154
))</f>
        <v/>
      </c>
      <c r="W155" s="28" t="str">
        <f t="shared" ref="W155:X155" si="321">IF($I154="","",W154+AQ154)</f>
        <v/>
      </c>
      <c r="X155" s="28" t="str">
        <f t="shared" si="321"/>
        <v/>
      </c>
      <c r="Y155" s="28" t="str">
        <f t="array" ref="Y155">IF($I154="","",IF(AND(C155="P",C154&lt;&gt;"P"),IFERROR(XLOOKUP($B155,Lenso_Input!$A:$A,Lenso_Input!$E:$E,0),0),Y154+AS154))</f>
        <v/>
      </c>
      <c r="Z155" s="28" t="str">
        <f t="array" ref="Z155">IF($I154="","",IF(AND(C155="Q",C154&lt;&gt;"Q"),IFERROR(XLOOKUP($B155,Lenso_Input!$A:$A,Lenso_Input!$I:$I,0),0),Z154+AT154))</f>
        <v/>
      </c>
      <c r="AA155" s="28" t="str">
        <f t="array" ref="AA155">IF($I154="","",IF(XLOOKUP($B155,Derived_Variables!$A:$A,Derived_Variables!$R:$R,"6/6_target")="6/6_target","20_20_20","40_30_25"))</f>
        <v/>
      </c>
      <c r="AB155" s="28" t="str">
        <f t="array" ref="AB155">IF($I154="","",XLOOKUP(LOWER(XLOOKUP($B155,Derived_Variables!$A:$A,Derived_Variables!$T:$T,"Standard"))&amp;"_sph_step",Calibration!$B:$B,Calibration!$C:$C,0.25))</f>
        <v/>
      </c>
      <c r="AC155" s="28" t="str">
        <f t="array" ref="AC155">IF($I154="","",XLOOKUP(LOWER(XLOOKUP($B155,Derived_Variables!$A:$A,Derived_Variables!$T:$T,"Standard"))&amp;"_cyl_step",Calibration!$B:$B,Calibration!$C:$C,0.25))</f>
        <v/>
      </c>
      <c r="AD155" s="28" t="str">
        <f t="array" ref="AD155">IF($I154="","",IF(OR(C155="E",C155="H"),LET(startStep,XLOOKUP("axis_start_step",Calibration!$B:$B,Calibration!$C:$C,5),step1,XLOOKUP("axis_reversal_step_1",Calibration!$B:$B,Calibration!$C:$C,3),step2,XLOOKUP("axis_reversal_step_2",Calibration!$B:$B,Calibration!$C:$C,1),IF(OR(C154&lt;&gt;C155,AZ155="",AZ155="SAME",AZ155="CANT_TELL",I155="",I155="SAME",I155="CANT_TELL"),startStep,IF(OR(AND(AZ155="BETTER_1",I155="BETTER_2"),AND(AZ155="BETTER_2",I155="BETTER_1")),IF(AD154&gt;step1,step1,step2),AD154))),0))</f>
        <v/>
      </c>
      <c r="AE155" s="28" t="str">
        <f t="array" ref="AE155">IF($I154="","",XLOOKUP($B155,Derived_Variables!$A:$A,Derived_Variables!$AD:$AD,"No_Fog"))</f>
        <v/>
      </c>
      <c r="AF155" s="28" t="str">
        <f t="array" ref="AF155">IF($I154="","",XLOOKUP($B155,Derived_Variables!$A:$A,Derived_Variables!$AE:$AE,0))</f>
        <v/>
      </c>
      <c r="AG155" s="28" t="str">
        <f t="array" ref="AG155">IF($I154="","",XLOOKUP($B155,Derived_Variables!$A:$A,Derived_Variables!$AF:$AF,""))</f>
        <v/>
      </c>
      <c r="AH155" s="28" t="str">
        <f t="array" ref="AH155">IF($I154="","",XLOOKUP($B155,Derived_Variables!$A:$A,Derived_Variables!$AG:$AG,""))</f>
        <v/>
      </c>
      <c r="AI155" s="28" t="str">
        <f t="array" ref="AI155">IF($I154="","",XLOOKUP($B155,Derived_Variables!$A:$A,Derived_Variables!$AC:$AC,"Medium"))</f>
        <v/>
      </c>
      <c r="AJ155" s="28" t="str">
        <f t="array" ref="AJ155">IF($I154="","",XLOOKUP($B155,Derived_Variables!$A:$A,Derived_Variables!$Y:$Y,FALSE))</f>
        <v/>
      </c>
      <c r="AK155" s="28" t="str">
        <f t="array" ref="AK155">IF($I154="","",XLOOKUP($B155,Derived_Variables!$A:$A,Derived_Variables!$AA:$AA,"Normal"))</f>
        <v/>
      </c>
      <c r="AL155" s="28" t="str">
        <f t="array" ref="AL155">IF($I154="","",XLOOKUP($B155,Derived_Variables!$A:$A,Derived_Variables!$AB:$AB,"Normal"))</f>
        <v/>
      </c>
      <c r="AM155" s="28" t="str">
        <f t="array" ref="AM155">IF($I155="","",IFS(C155="B",IF(OR(I155="NOT_READABLE",I155="BLURRY"),-AB155,0),C155="G",IFS(I155="RED_CLEARER",XLOOKUP("duochrome_red_step",Calibration!$B:$B,Calibration!$C:$C,-0.25),I155="GREEN_CLEARER",XLOOKUP("duochrome_green_step",Calibration!$B:$B,Calibration!$C:$C,0.25),I155="EQUAL",IF(XLOOKUP($B155,Derived_Variables!$A:$A,Derived_Variables!$S:$S,"Neutral")="Undercorrect",XLOOKUP("undercorrect_step",Calibration!$B:$B,Calibration!$C:$C,0.25),IF(XLOOKUP($B155,Derived_Variables!$A:$A,Derived_Variables!$S:$S,"Neutral")="Overcorrect",-XLOOKUP("overcorrect_step",Calibration!$B:$B,Calibration!$C:$C,0.25),0)),TRUE,0),C155="K",IF(I155="TOP_CLEARER",XLOOKUP("bino_balance_step",Calibration!$B:$B,Calibration!$C:$C,0.25),0),TRUE,0))</f>
        <v/>
      </c>
      <c r="AN155" s="28" t="str">
        <f t="shared" si="10"/>
        <v/>
      </c>
      <c r="AO155" s="28" t="str">
        <f t="shared" si="11"/>
        <v/>
      </c>
      <c r="AP155" s="28" t="str">
        <f t="array" ref="AP155">IF($I155="","",IFS(C155="D",IF(OR(I155="NOT_READABLE",I155="BLURRY"),-AB155,0),C155="J",IFS(I155="RED_CLEARER",XLOOKUP("duochrome_red_step",Calibration!$B:$B,Calibration!$C:$C,-0.25),I155="GREEN_CLEARER",XLOOKUP("duochrome_green_step",Calibration!$B:$B,Calibration!$C:$C,0.25),I155="EQUAL",IF(XLOOKUP($B155,Derived_Variables!$A:$A,Derived_Variables!$S:$S,"Neutral")="Undercorrect",XLOOKUP("undercorrect_step",Calibration!$B:$B,Calibration!$C:$C,0.25),IF(XLOOKUP($B155,Derived_Variables!$A:$A,Derived_Variables!$S:$S,"Neutral")="Overcorrect",-XLOOKUP("overcorrect_step",Calibration!$B:$B,Calibration!$C:$C,0.25),0)),TRUE,0),C155="K",IF(I155="BOTTOM_CLEARER",XLOOKUP("bino_balance_step",Calibration!$B:$B,Calibration!$C:$C,0.25),0),TRUE,0))</f>
        <v/>
      </c>
      <c r="AQ155" s="28" t="str">
        <f t="shared" si="12"/>
        <v/>
      </c>
      <c r="AR155" s="28" t="str">
        <f t="shared" si="13"/>
        <v/>
      </c>
      <c r="AS155" s="28" t="str">
        <f t="array" ref="AS155">IF($I155="","",IF(C155="P",IF(OR(I155="NOT_READABLE",I155="BLURRY"),XLOOKUP("near_add_step",Calibration!$B:$B,Calibration!$C:$C,0.25),0),IF(C155="R",IF(I155="NOT_CLEAR",XLOOKUP("near_add_step",Calibration!$B:$B,Calibration!$C:$C,0.25),0),0)))</f>
        <v/>
      </c>
      <c r="AT155" s="28" t="str">
        <f t="array" ref="AT155">IF($I155="","",IF(C155="Q",IF(OR(I155="NOT_READABLE",I155="BLURRY"),XLOOKUP("near_add_step",Calibration!$B:$B,Calibration!$C:$C,0.25),0),IF(C155="R",IF(I155="NOT_CLEAR",XLOOKUP("near_add_step",Calibration!$B:$B,Calibration!$C:$C,0.25),0),0)))</f>
        <v/>
      </c>
      <c r="AU155" s="28" t="str">
        <f t="array" ref="AU155">IF($I155="","",IF(G155="SNELLEN_FEET",IF(I155="READABLE",IFERROR(XLOOKUP(XLOOKUP(R155,Chart_Scale_Distance!B:B,Chart_Scale_Distance!A:A)+1,Chart_Scale_Distance!A:A,Chart_Scale_Distance!B:B),R155),R155),R155))</f>
        <v/>
      </c>
      <c r="AV155" s="28" t="str">
        <f t="array" ref="AV155">IF($I154="","",IFERROR(XLOOKUP(R155,Chart_Scale_Distance!$B:$B,Chart_Scale_Distance!$A:$A,""),""))</f>
        <v/>
      </c>
      <c r="AW155" s="28" t="str">
        <f t="array" ref="AW155">IF($I154="","",IFERROR(XLOOKUP(AA155,Chart_Scale_Distance!$B:$B,Chart_Scale_Distance!$A:$A,""),""))</f>
        <v/>
      </c>
      <c r="AX155" s="28" t="str">
        <f t="shared" si="14"/>
        <v/>
      </c>
      <c r="AY155" s="28" t="str">
        <f t="shared" si="15"/>
        <v/>
      </c>
      <c r="AZ155" s="28" t="str">
        <f t="shared" si="16"/>
        <v/>
      </c>
      <c r="BA155" s="28" t="str">
        <f t="shared" si="17"/>
        <v/>
      </c>
      <c r="BB155" s="28" t="str">
        <f t="shared" si="18"/>
        <v/>
      </c>
      <c r="BC155" s="28" t="str">
        <f t="array" ref="BC155">IF($I155="","",LET(
conf,AI155,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duoMax,XLOOKUP($B155,Derived_Variables!$A:$A,Derived_Variables!$AI:$AI,4),
axisTol,XLOOKUP($B155,Derived_Variables!$A:$A,Derived_Variables!$W:$W,1),
maxStart,XLOOKUP($B155,Derived_Variables!$A:$A,Derived_Variables!$U:$U,1.25),
maxAR,XLOOKUP($B155,Derived_Variables!$A:$A,Derived_Variables!$V:$V,3),
anom,XLOOKUP($B155,Derived_Variables!$A:$A,Derived_Variables!$Z:$Z,FALSE),
reStart,XLOOKUP($B155,Derived_Variables!$A:$A,Derived_Variables!$K:$K,0),
leStart,XLOOKUP($B155,Derived_Variables!$A:$A,Derived_Variables!$N:$N,0),
reAR,XLOOKUP($B155,AR_Input!$A:$A,AR_Input!$B:$B,reStart),
leAR,XLOOKUP($B155,AR_Input!$A:$A,AR_Input!$E:$E,leStart),
reEsc,AND(anom,OR(ABS((S155+AM155)-reStart)&gt;maxStart,ABS((S155+AM155)-reAR)&gt;maxAR)),
leEsc,AND(anom,OR(ABS((V155+AP155)-leStart)&gt;maxStart,ABS((V155+AP155)-leAR)&gt;maxAR)),
phaseMax,IFS(
 AK155="Fast",
   IFS(
     OR(C155="B",C155="D"),XLOOKUP("timeout_coarse_fast",Calibration!$B:$B,Calibration!$C:$C,24),
     OR(C155="E",C155="F",C155="H",C155="I"),XLOOKUP("timeout_jcc_fast",Calibration!$B:$B,Calibration!$C:$C,10),
     OR(C155="G",C155="J"),XLOOKUP("timeout_duochrome_fast",Calibration!$B:$B,Calibration!$C:$C,8),
     C155="K",XLOOKUP("timeout_bino_fast",Calibration!$B:$B,Calibration!$C:$C,10),
     OR(C155="P",C155="Q",C155="R"),XLOOKUP("timeout_near_fast",Calibration!$B:$B,Calibration!$C:$C,16),
     TRUE,XLOOKUP("timeout_coarse_fast",Calibration!$B:$B,Calibration!$C:$C,24)
   ),
 AK155="Normal",
   IFS(
     OR(C155="B",C155="D"),XLOOKUP("timeout_coarse_normal",Calibration!$B:$B,Calibration!$C:$C,36),
     OR(C155="E",C155="F",C155="H",C155="I"),XLOOKUP("timeout_jcc_normal",Calibration!$B:$B,Calibration!$C:$C,14),
     OR(C155="G",C155="J"),XLOOKUP("timeout_duochrome_normal",Calibration!$B:$B,Calibration!$C:$C,10),
     C155="K",XLOOKUP("timeout_bino_normal",Calibration!$B:$B,Calibration!$C:$C,14),
     OR(C155="P",C155="Q",C155="R"),XLOOKUP("timeout_near_normal",Calibration!$B:$B,Calibration!$C:$C,22),
     TRUE,XLOOKUP("timeout_coarse_normal",Calibration!$B:$B,Calibration!$C:$C,36)
   ),
 TRUE,
   IFS(
     OR(C155="B",C155="D"),XLOOKUP("timeout_coarse_slow",Calibration!$B:$B,Calibration!$C:$C,48),
     OR(C155="E",C155="F",C155="H",C155="I"),XLOOKUP("timeout_jcc_slow",Calibration!$B:$B,Calibration!$C:$C,18),
     OR(C155="G",C155="J"),XLOOKUP("timeout_duochrome_slow",Calibration!$B:$B,Calibration!$C:$C,12),
     C155="K",XLOOKUP("timeout_bino_slow",Calibration!$B:$B,Calibration!$C:$C,18),
     OR(C155="P",C155="Q",C155="R"),XLOOKUP("timeout_near_slow",Calibration!$B:$B,Calibration!$C:$C,28),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AJ155=TRUE,"ESCALATE",
C155="A",
IF(OR(I155="NOT_READABLE",I155="BLURRY",AND(R155="20_20_20",I155="READABLE")),"B","A"),
C155="B",
IF(reEsc,"ESCALATE",IF(AY155&gt;=phaseMax,"ESCALATE",IF(AND(AV155&gt;=AW155,I155="READABLE"),"E","B"))),
C155="E",
IF(AY155&gt;=phaseMax,"ESCALATE",IF(OR(I155="SAME",I155="CANT_TELL",AD155&lt;axisTol),"F","E")),
C155="F",
IF(AY155&gt;=phaseMax,"ESCALATE",IF(AX155&gt;=powerSameN,"G","F")),
C155="G",
IF(AY155&gt;=phaseMax,"ESCALATE",IF(OR(AX155&gt;=duoEqualN,BB155&gt;=duoMax),"D","G")),
C155="D",
IF(leEsc,"ESCALATE",IF(AY155&gt;=phaseMax,"ESCALATE",IF(AND(AV155&gt;=AW155,I155="READABLE"),"H","D"))),
C155="H",
IF(AY155&gt;=phaseMax,"ESCALATE",IF(OR(I155="SAME",I155="CANT_TELL",AD155&lt;axisTol),"I","H")),
C155="I",
IF(AY155&gt;=phaseMax,"ESCALATE",IF(AX155&gt;=powerSameN,"J","I")),
C155="J",
IF(AY155&gt;=phaseMax,"ESCALATE",IF(OR(AX155&gt;=duoEqualN,BB155&gt;=duoMax),"K","J")),
C155="K",
IF(AY155&gt;=phaseMax,"ESCALATE",IF(AX155&gt;=binoSameN,IF(XLOOKUP($B155,Derived_Variables!$A:$A,Derived_Variables!$AJ:$AJ,FALSE)=TRUE,"P","END"),"K")),
C155="P",
IF(AY155&gt;=phaseMax,"ESCALATE",IF(OR(I155="READABLE",I155="SAME"),"Q","P")),
C155="Q",
IF(AY155&gt;=phaseMax,"ESCALATE",IF(OR(I155="READABLE",I155="SAME"),"R","Q")),
C155="R",
IF(AY155&gt;=phaseMax,"ESCALATE",IF(OR(I155=nearTarget,I155="SAME"),"END","R")),
TRUE,"END"
)))</f>
        <v/>
      </c>
      <c r="BD155" s="28" t="b">
        <f t="shared" si="19"/>
        <v>0</v>
      </c>
    </row>
    <row r="156" ht="15.75" customHeight="1">
      <c r="A156" s="28">
        <f t="shared" si="3"/>
        <v>155</v>
      </c>
      <c r="B156" s="28">
        <f t="shared" si="4"/>
        <v>6</v>
      </c>
      <c r="C156" s="28" t="str">
        <f t="shared" si="5"/>
        <v/>
      </c>
      <c r="D156" s="28" t="str">
        <f t="array" ref="D156">IF($I155="","",XLOOKUP(C156,FSM_State_Map!A:A,FSM_State_Map!B:B,""))</f>
        <v/>
      </c>
      <c r="E156" s="28" t="str">
        <f t="array" ref="E156">IF($I155="","",XLOOKUP(C156,FSM_State_Map!A:A,FSM_State_Map!C:C,""))</f>
        <v/>
      </c>
      <c r="F156" s="28" t="str">
        <f t="array" ref="F156">IF($I155="","",XLOOKUP(E156,Phase_UI_Map!A:A,Phase_UI_Map!B:B,""))</f>
        <v/>
      </c>
      <c r="G156" s="28" t="str">
        <f t="array" ref="G156">IF($I155="","",XLOOKUP(E156,Phase_UI_Map!A:A,Phase_UI_Map!C:C,""))</f>
        <v/>
      </c>
      <c r="H156" s="28" t="str">
        <f t="array" ref="H156">IF($I155="","",XLOOKUP(E156,Phase_UI_Map!A:A,Phase_UI_Map!D:D,""))</f>
        <v/>
      </c>
      <c r="I156" s="29"/>
      <c r="J156" s="28" t="str">
        <f>IFERROR(__xludf.DUMMYFUNCTION("IF($I155="""","""",IFERROR(INDEX(FILTER(Response_Lists!$B:$B,Response_Lists!$A:$A=$H156),1),""""))"),"")</f>
        <v/>
      </c>
      <c r="K156" s="28" t="str">
        <f>IFERROR(__xludf.DUMMYFUNCTION("IF($I155="""","""",IFERROR(INDEX(FILTER(Response_Lists!$B:$B,Response_Lists!$A:$A=$H156),2),""""))"),"")</f>
        <v/>
      </c>
      <c r="L156" s="28" t="str">
        <f>IFERROR(__xludf.DUMMYFUNCTION("IF($I155="""","""",IFERROR(INDEX(FILTER(Response_Lists!$B:$B,Response_Lists!$A:$A=$H156),3),""""))"),"")</f>
        <v/>
      </c>
      <c r="M156" s="28" t="str">
        <f>IFERROR(__xludf.DUMMYFUNCTION("IF($I155="""","""",IFERROR(INDEX(FILTER(Response_Lists!$B:$B,Response_Lists!$A:$A=$H156),4),""""))"),"")</f>
        <v/>
      </c>
      <c r="N156" s="28" t="str">
        <f>IFERROR(__xludf.DUMMYFUNCTION("IF($I155="""","""",IFERROR(INDEX(FILTER(Response_Lists!$B:$B,Response_Lists!$A:$A=$H156),5),""""))"),"")</f>
        <v/>
      </c>
      <c r="O156" s="28" t="str">
        <f>IFERROR(__xludf.DUMMYFUNCTION("IF($I155="""","""",IFERROR(INDEX(FILTER(Response_Lists!$B:$B,Response_Lists!$A:$A=$H156),6),""""))"),"")</f>
        <v/>
      </c>
      <c r="P156" s="28" t="str">
        <f t="shared" si="6"/>
        <v/>
      </c>
      <c r="Q156" s="28" t="str">
        <f t="array" ref="Q156">IF($I155="","",XLOOKUP(C156,FSM_State_Map!A:A,FSM_State_Map!D:D,""))</f>
        <v/>
      </c>
      <c r="R156" s="28" t="str">
        <f t="shared" si="7"/>
        <v/>
      </c>
      <c r="S156" s="28" t="str">
        <f t="array" ref="S156">IF($I155="","",
IF(
  AND(C156="B",C155&lt;&gt;"B"),
  XLOOKUP($B156,Derived_Variables!$A:$A,Derived_Variables!$K:$K,0)
  + XLOOKUP($B156,Derived_Variables!$A:$A,Derived_Variables!$AE:$AE,0),
  S155+AM155
))</f>
        <v/>
      </c>
      <c r="T156" s="28" t="str">
        <f t="shared" ref="T156:U156" si="322">IF($I155="","",T155+AN155)</f>
        <v/>
      </c>
      <c r="U156" s="28" t="str">
        <f t="shared" si="322"/>
        <v/>
      </c>
      <c r="V156" s="28" t="str">
        <f t="array" ref="V156">IF($I155="","",
IF(
  AND(C156="D",C155&lt;&gt;"D"),
  XLOOKUP($B156,Derived_Variables!$A:$A,Derived_Variables!$N:$N,0)
  + XLOOKUP($B156,Derived_Variables!$A:$A,Derived_Variables!$AE:$AE,0),
  V155+AP155
))</f>
        <v/>
      </c>
      <c r="W156" s="28" t="str">
        <f t="shared" ref="W156:X156" si="323">IF($I155="","",W155+AQ155)</f>
        <v/>
      </c>
      <c r="X156" s="28" t="str">
        <f t="shared" si="323"/>
        <v/>
      </c>
      <c r="Y156" s="28" t="str">
        <f t="array" ref="Y156">IF($I155="","",IF(AND(C156="P",C155&lt;&gt;"P"),IFERROR(XLOOKUP($B156,Lenso_Input!$A:$A,Lenso_Input!$E:$E,0),0),Y155+AS155))</f>
        <v/>
      </c>
      <c r="Z156" s="28" t="str">
        <f t="array" ref="Z156">IF($I155="","",IF(AND(C156="Q",C155&lt;&gt;"Q"),IFERROR(XLOOKUP($B156,Lenso_Input!$A:$A,Lenso_Input!$I:$I,0),0),Z155+AT155))</f>
        <v/>
      </c>
      <c r="AA156" s="28" t="str">
        <f t="array" ref="AA156">IF($I155="","",IF(XLOOKUP($B156,Derived_Variables!$A:$A,Derived_Variables!$R:$R,"6/6_target")="6/6_target","20_20_20","40_30_25"))</f>
        <v/>
      </c>
      <c r="AB156" s="28" t="str">
        <f t="array" ref="AB156">IF($I155="","",XLOOKUP(LOWER(XLOOKUP($B156,Derived_Variables!$A:$A,Derived_Variables!$T:$T,"Standard"))&amp;"_sph_step",Calibration!$B:$B,Calibration!$C:$C,0.25))</f>
        <v/>
      </c>
      <c r="AC156" s="28" t="str">
        <f t="array" ref="AC156">IF($I155="","",XLOOKUP(LOWER(XLOOKUP($B156,Derived_Variables!$A:$A,Derived_Variables!$T:$T,"Standard"))&amp;"_cyl_step",Calibration!$B:$B,Calibration!$C:$C,0.25))</f>
        <v/>
      </c>
      <c r="AD156" s="28" t="str">
        <f t="array" ref="AD156">IF($I155="","",IF(OR(C156="E",C156="H"),LET(startStep,XLOOKUP("axis_start_step",Calibration!$B:$B,Calibration!$C:$C,5),step1,XLOOKUP("axis_reversal_step_1",Calibration!$B:$B,Calibration!$C:$C,3),step2,XLOOKUP("axis_reversal_step_2",Calibration!$B:$B,Calibration!$C:$C,1),IF(OR(C155&lt;&gt;C156,AZ156="",AZ156="SAME",AZ156="CANT_TELL",I156="",I156="SAME",I156="CANT_TELL"),startStep,IF(OR(AND(AZ156="BETTER_1",I156="BETTER_2"),AND(AZ156="BETTER_2",I156="BETTER_1")),IF(AD155&gt;step1,step1,step2),AD155))),0))</f>
        <v/>
      </c>
      <c r="AE156" s="28" t="str">
        <f t="array" ref="AE156">IF($I155="","",XLOOKUP($B156,Derived_Variables!$A:$A,Derived_Variables!$AD:$AD,"No_Fog"))</f>
        <v/>
      </c>
      <c r="AF156" s="28" t="str">
        <f t="array" ref="AF156">IF($I155="","",XLOOKUP($B156,Derived_Variables!$A:$A,Derived_Variables!$AE:$AE,0))</f>
        <v/>
      </c>
      <c r="AG156" s="28" t="str">
        <f t="array" ref="AG156">IF($I155="","",XLOOKUP($B156,Derived_Variables!$A:$A,Derived_Variables!$AF:$AF,""))</f>
        <v/>
      </c>
      <c r="AH156" s="28" t="str">
        <f t="array" ref="AH156">IF($I155="","",XLOOKUP($B156,Derived_Variables!$A:$A,Derived_Variables!$AG:$AG,""))</f>
        <v/>
      </c>
      <c r="AI156" s="28" t="str">
        <f t="array" ref="AI156">IF($I155="","",XLOOKUP($B156,Derived_Variables!$A:$A,Derived_Variables!$AC:$AC,"Medium"))</f>
        <v/>
      </c>
      <c r="AJ156" s="28" t="str">
        <f t="array" ref="AJ156">IF($I155="","",XLOOKUP($B156,Derived_Variables!$A:$A,Derived_Variables!$Y:$Y,FALSE))</f>
        <v/>
      </c>
      <c r="AK156" s="28" t="str">
        <f t="array" ref="AK156">IF($I155="","",XLOOKUP($B156,Derived_Variables!$A:$A,Derived_Variables!$AA:$AA,"Normal"))</f>
        <v/>
      </c>
      <c r="AL156" s="28" t="str">
        <f t="array" ref="AL156">IF($I155="","",XLOOKUP($B156,Derived_Variables!$A:$A,Derived_Variables!$AB:$AB,"Normal"))</f>
        <v/>
      </c>
      <c r="AM156" s="28" t="str">
        <f t="array" ref="AM156">IF($I156="","",IFS(C156="B",IF(OR(I156="NOT_READABLE",I156="BLURRY"),-AB156,0),C156="G",IFS(I156="RED_CLEARER",XLOOKUP("duochrome_red_step",Calibration!$B:$B,Calibration!$C:$C,-0.25),I156="GREEN_CLEARER",XLOOKUP("duochrome_green_step",Calibration!$B:$B,Calibration!$C:$C,0.25),I156="EQUAL",IF(XLOOKUP($B156,Derived_Variables!$A:$A,Derived_Variables!$S:$S,"Neutral")="Undercorrect",XLOOKUP("undercorrect_step",Calibration!$B:$B,Calibration!$C:$C,0.25),IF(XLOOKUP($B156,Derived_Variables!$A:$A,Derived_Variables!$S:$S,"Neutral")="Overcorrect",-XLOOKUP("overcorrect_step",Calibration!$B:$B,Calibration!$C:$C,0.25),0)),TRUE,0),C156="K",IF(I156="TOP_CLEARER",XLOOKUP("bino_balance_step",Calibration!$B:$B,Calibration!$C:$C,0.25),0),TRUE,0))</f>
        <v/>
      </c>
      <c r="AN156" s="28" t="str">
        <f t="shared" si="10"/>
        <v/>
      </c>
      <c r="AO156" s="28" t="str">
        <f t="shared" si="11"/>
        <v/>
      </c>
      <c r="AP156" s="28" t="str">
        <f t="array" ref="AP156">IF($I156="","",IFS(C156="D",IF(OR(I156="NOT_READABLE",I156="BLURRY"),-AB156,0),C156="J",IFS(I156="RED_CLEARER",XLOOKUP("duochrome_red_step",Calibration!$B:$B,Calibration!$C:$C,-0.25),I156="GREEN_CLEARER",XLOOKUP("duochrome_green_step",Calibration!$B:$B,Calibration!$C:$C,0.25),I156="EQUAL",IF(XLOOKUP($B156,Derived_Variables!$A:$A,Derived_Variables!$S:$S,"Neutral")="Undercorrect",XLOOKUP("undercorrect_step",Calibration!$B:$B,Calibration!$C:$C,0.25),IF(XLOOKUP($B156,Derived_Variables!$A:$A,Derived_Variables!$S:$S,"Neutral")="Overcorrect",-XLOOKUP("overcorrect_step",Calibration!$B:$B,Calibration!$C:$C,0.25),0)),TRUE,0),C156="K",IF(I156="BOTTOM_CLEARER",XLOOKUP("bino_balance_step",Calibration!$B:$B,Calibration!$C:$C,0.25),0),TRUE,0))</f>
        <v/>
      </c>
      <c r="AQ156" s="28" t="str">
        <f t="shared" si="12"/>
        <v/>
      </c>
      <c r="AR156" s="28" t="str">
        <f t="shared" si="13"/>
        <v/>
      </c>
      <c r="AS156" s="28" t="str">
        <f t="array" ref="AS156">IF($I156="","",IF(C156="P",IF(OR(I156="NOT_READABLE",I156="BLURRY"),XLOOKUP("near_add_step",Calibration!$B:$B,Calibration!$C:$C,0.25),0),IF(C156="R",IF(I156="NOT_CLEAR",XLOOKUP("near_add_step",Calibration!$B:$B,Calibration!$C:$C,0.25),0),0)))</f>
        <v/>
      </c>
      <c r="AT156" s="28" t="str">
        <f t="array" ref="AT156">IF($I156="","",IF(C156="Q",IF(OR(I156="NOT_READABLE",I156="BLURRY"),XLOOKUP("near_add_step",Calibration!$B:$B,Calibration!$C:$C,0.25),0),IF(C156="R",IF(I156="NOT_CLEAR",XLOOKUP("near_add_step",Calibration!$B:$B,Calibration!$C:$C,0.25),0),0)))</f>
        <v/>
      </c>
      <c r="AU156" s="28" t="str">
        <f t="array" ref="AU156">IF($I156="","",IF(G156="SNELLEN_FEET",IF(I156="READABLE",IFERROR(XLOOKUP(XLOOKUP(R156,Chart_Scale_Distance!B:B,Chart_Scale_Distance!A:A)+1,Chart_Scale_Distance!A:A,Chart_Scale_Distance!B:B),R156),R156),R156))</f>
        <v/>
      </c>
      <c r="AV156" s="28" t="str">
        <f t="array" ref="AV156">IF($I155="","",IFERROR(XLOOKUP(R156,Chart_Scale_Distance!$B:$B,Chart_Scale_Distance!$A:$A,""),""))</f>
        <v/>
      </c>
      <c r="AW156" s="28" t="str">
        <f t="array" ref="AW156">IF($I155="","",IFERROR(XLOOKUP(AA156,Chart_Scale_Distance!$B:$B,Chart_Scale_Distance!$A:$A,""),""))</f>
        <v/>
      </c>
      <c r="AX156" s="28" t="str">
        <f t="shared" si="14"/>
        <v/>
      </c>
      <c r="AY156" s="28" t="str">
        <f t="shared" si="15"/>
        <v/>
      </c>
      <c r="AZ156" s="28" t="str">
        <f t="shared" si="16"/>
        <v/>
      </c>
      <c r="BA156" s="28" t="str">
        <f t="shared" si="17"/>
        <v/>
      </c>
      <c r="BB156" s="28" t="str">
        <f t="shared" si="18"/>
        <v/>
      </c>
      <c r="BC156" s="28" t="str">
        <f t="array" ref="BC156">IF($I156="","",LET(
conf,AI156,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duoMax,XLOOKUP($B156,Derived_Variables!$A:$A,Derived_Variables!$AI:$AI,4),
axisTol,XLOOKUP($B156,Derived_Variables!$A:$A,Derived_Variables!$W:$W,1),
maxStart,XLOOKUP($B156,Derived_Variables!$A:$A,Derived_Variables!$U:$U,1.25),
maxAR,XLOOKUP($B156,Derived_Variables!$A:$A,Derived_Variables!$V:$V,3),
anom,XLOOKUP($B156,Derived_Variables!$A:$A,Derived_Variables!$Z:$Z,FALSE),
reStart,XLOOKUP($B156,Derived_Variables!$A:$A,Derived_Variables!$K:$K,0),
leStart,XLOOKUP($B156,Derived_Variables!$A:$A,Derived_Variables!$N:$N,0),
reAR,XLOOKUP($B156,AR_Input!$A:$A,AR_Input!$B:$B,reStart),
leAR,XLOOKUP($B156,AR_Input!$A:$A,AR_Input!$E:$E,leStart),
reEsc,AND(anom,OR(ABS((S156+AM156)-reStart)&gt;maxStart,ABS((S156+AM156)-reAR)&gt;maxAR)),
leEsc,AND(anom,OR(ABS((V156+AP156)-leStart)&gt;maxStart,ABS((V156+AP156)-leAR)&gt;maxAR)),
phaseMax,IFS(
 AK156="Fast",
   IFS(
     OR(C156="B",C156="D"),XLOOKUP("timeout_coarse_fast",Calibration!$B:$B,Calibration!$C:$C,24),
     OR(C156="E",C156="F",C156="H",C156="I"),XLOOKUP("timeout_jcc_fast",Calibration!$B:$B,Calibration!$C:$C,10),
     OR(C156="G",C156="J"),XLOOKUP("timeout_duochrome_fast",Calibration!$B:$B,Calibration!$C:$C,8),
     C156="K",XLOOKUP("timeout_bino_fast",Calibration!$B:$B,Calibration!$C:$C,10),
     OR(C156="P",C156="Q",C156="R"),XLOOKUP("timeout_near_fast",Calibration!$B:$B,Calibration!$C:$C,16),
     TRUE,XLOOKUP("timeout_coarse_fast",Calibration!$B:$B,Calibration!$C:$C,24)
   ),
 AK156="Normal",
   IFS(
     OR(C156="B",C156="D"),XLOOKUP("timeout_coarse_normal",Calibration!$B:$B,Calibration!$C:$C,36),
     OR(C156="E",C156="F",C156="H",C156="I"),XLOOKUP("timeout_jcc_normal",Calibration!$B:$B,Calibration!$C:$C,14),
     OR(C156="G",C156="J"),XLOOKUP("timeout_duochrome_normal",Calibration!$B:$B,Calibration!$C:$C,10),
     C156="K",XLOOKUP("timeout_bino_normal",Calibration!$B:$B,Calibration!$C:$C,14),
     OR(C156="P",C156="Q",C156="R"),XLOOKUP("timeout_near_normal",Calibration!$B:$B,Calibration!$C:$C,22),
     TRUE,XLOOKUP("timeout_coarse_normal",Calibration!$B:$B,Calibration!$C:$C,36)
   ),
 TRUE,
   IFS(
     OR(C156="B",C156="D"),XLOOKUP("timeout_coarse_slow",Calibration!$B:$B,Calibration!$C:$C,48),
     OR(C156="E",C156="F",C156="H",C156="I"),XLOOKUP("timeout_jcc_slow",Calibration!$B:$B,Calibration!$C:$C,18),
     OR(C156="G",C156="J"),XLOOKUP("timeout_duochrome_slow",Calibration!$B:$B,Calibration!$C:$C,12),
     C156="K",XLOOKUP("timeout_bino_slow",Calibration!$B:$B,Calibration!$C:$C,18),
     OR(C156="P",C156="Q",C156="R"),XLOOKUP("timeout_near_slow",Calibration!$B:$B,Calibration!$C:$C,28),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AJ156=TRUE,"ESCALATE",
C156="A",
IF(OR(I156="NOT_READABLE",I156="BLURRY",AND(R156="20_20_20",I156="READABLE")),"B","A"),
C156="B",
IF(reEsc,"ESCALATE",IF(AY156&gt;=phaseMax,"ESCALATE",IF(AND(AV156&gt;=AW156,I156="READABLE"),"E","B"))),
C156="E",
IF(AY156&gt;=phaseMax,"ESCALATE",IF(OR(I156="SAME",I156="CANT_TELL",AD156&lt;axisTol),"F","E")),
C156="F",
IF(AY156&gt;=phaseMax,"ESCALATE",IF(AX156&gt;=powerSameN,"G","F")),
C156="G",
IF(AY156&gt;=phaseMax,"ESCALATE",IF(OR(AX156&gt;=duoEqualN,BB156&gt;=duoMax),"D","G")),
C156="D",
IF(leEsc,"ESCALATE",IF(AY156&gt;=phaseMax,"ESCALATE",IF(AND(AV156&gt;=AW156,I156="READABLE"),"H","D"))),
C156="H",
IF(AY156&gt;=phaseMax,"ESCALATE",IF(OR(I156="SAME",I156="CANT_TELL",AD156&lt;axisTol),"I","H")),
C156="I",
IF(AY156&gt;=phaseMax,"ESCALATE",IF(AX156&gt;=powerSameN,"J","I")),
C156="J",
IF(AY156&gt;=phaseMax,"ESCALATE",IF(OR(AX156&gt;=duoEqualN,BB156&gt;=duoMax),"K","J")),
C156="K",
IF(AY156&gt;=phaseMax,"ESCALATE",IF(AX156&gt;=binoSameN,IF(XLOOKUP($B156,Derived_Variables!$A:$A,Derived_Variables!$AJ:$AJ,FALSE)=TRUE,"P","END"),"K")),
C156="P",
IF(AY156&gt;=phaseMax,"ESCALATE",IF(OR(I156="READABLE",I156="SAME"),"Q","P")),
C156="Q",
IF(AY156&gt;=phaseMax,"ESCALATE",IF(OR(I156="READABLE",I156="SAME"),"R","Q")),
C156="R",
IF(AY156&gt;=phaseMax,"ESCALATE",IF(OR(I156=nearTarget,I156="SAME"),"END","R")),
TRUE,"END"
)))</f>
        <v/>
      </c>
      <c r="BD156" s="28" t="b">
        <f t="shared" si="19"/>
        <v>0</v>
      </c>
    </row>
    <row r="157" ht="15.75" customHeight="1">
      <c r="A157" s="28">
        <f t="shared" si="3"/>
        <v>156</v>
      </c>
      <c r="B157" s="28">
        <f t="shared" si="4"/>
        <v>6</v>
      </c>
      <c r="C157" s="28" t="str">
        <f t="shared" si="5"/>
        <v/>
      </c>
      <c r="D157" s="28" t="str">
        <f t="array" ref="D157">IF($I156="","",XLOOKUP(C157,FSM_State_Map!A:A,FSM_State_Map!B:B,""))</f>
        <v/>
      </c>
      <c r="E157" s="28" t="str">
        <f t="array" ref="E157">IF($I156="","",XLOOKUP(C157,FSM_State_Map!A:A,FSM_State_Map!C:C,""))</f>
        <v/>
      </c>
      <c r="F157" s="28" t="str">
        <f t="array" ref="F157">IF($I156="","",XLOOKUP(E157,Phase_UI_Map!A:A,Phase_UI_Map!B:B,""))</f>
        <v/>
      </c>
      <c r="G157" s="28" t="str">
        <f t="array" ref="G157">IF($I156="","",XLOOKUP(E157,Phase_UI_Map!A:A,Phase_UI_Map!C:C,""))</f>
        <v/>
      </c>
      <c r="H157" s="28" t="str">
        <f t="array" ref="H157">IF($I156="","",XLOOKUP(E157,Phase_UI_Map!A:A,Phase_UI_Map!D:D,""))</f>
        <v/>
      </c>
      <c r="I157" s="29"/>
      <c r="J157" s="28" t="str">
        <f>IFERROR(__xludf.DUMMYFUNCTION("IF($I156="""","""",IFERROR(INDEX(FILTER(Response_Lists!$B:$B,Response_Lists!$A:$A=$H157),1),""""))"),"")</f>
        <v/>
      </c>
      <c r="K157" s="28" t="str">
        <f>IFERROR(__xludf.DUMMYFUNCTION("IF($I156="""","""",IFERROR(INDEX(FILTER(Response_Lists!$B:$B,Response_Lists!$A:$A=$H157),2),""""))"),"")</f>
        <v/>
      </c>
      <c r="L157" s="28" t="str">
        <f>IFERROR(__xludf.DUMMYFUNCTION("IF($I156="""","""",IFERROR(INDEX(FILTER(Response_Lists!$B:$B,Response_Lists!$A:$A=$H157),3),""""))"),"")</f>
        <v/>
      </c>
      <c r="M157" s="28" t="str">
        <f>IFERROR(__xludf.DUMMYFUNCTION("IF($I156="""","""",IFERROR(INDEX(FILTER(Response_Lists!$B:$B,Response_Lists!$A:$A=$H157),4),""""))"),"")</f>
        <v/>
      </c>
      <c r="N157" s="28" t="str">
        <f>IFERROR(__xludf.DUMMYFUNCTION("IF($I156="""","""",IFERROR(INDEX(FILTER(Response_Lists!$B:$B,Response_Lists!$A:$A=$H157),5),""""))"),"")</f>
        <v/>
      </c>
      <c r="O157" s="28" t="str">
        <f>IFERROR(__xludf.DUMMYFUNCTION("IF($I156="""","""",IFERROR(INDEX(FILTER(Response_Lists!$B:$B,Response_Lists!$A:$A=$H157),6),""""))"),"")</f>
        <v/>
      </c>
      <c r="P157" s="28" t="str">
        <f t="shared" si="6"/>
        <v/>
      </c>
      <c r="Q157" s="28" t="str">
        <f t="array" ref="Q157">IF($I156="","",XLOOKUP(C157,FSM_State_Map!A:A,FSM_State_Map!D:D,""))</f>
        <v/>
      </c>
      <c r="R157" s="28" t="str">
        <f t="shared" si="7"/>
        <v/>
      </c>
      <c r="S157" s="28" t="str">
        <f t="array" ref="S157">IF($I156="","",
IF(
  AND(C157="B",C156&lt;&gt;"B"),
  XLOOKUP($B157,Derived_Variables!$A:$A,Derived_Variables!$K:$K,0)
  + XLOOKUP($B157,Derived_Variables!$A:$A,Derived_Variables!$AE:$AE,0),
  S156+AM156
))</f>
        <v/>
      </c>
      <c r="T157" s="28" t="str">
        <f t="shared" ref="T157:U157" si="324">IF($I156="","",T156+AN156)</f>
        <v/>
      </c>
      <c r="U157" s="28" t="str">
        <f t="shared" si="324"/>
        <v/>
      </c>
      <c r="V157" s="28" t="str">
        <f t="array" ref="V157">IF($I156="","",
IF(
  AND(C157="D",C156&lt;&gt;"D"),
  XLOOKUP($B157,Derived_Variables!$A:$A,Derived_Variables!$N:$N,0)
  + XLOOKUP($B157,Derived_Variables!$A:$A,Derived_Variables!$AE:$AE,0),
  V156+AP156
))</f>
        <v/>
      </c>
      <c r="W157" s="28" t="str">
        <f t="shared" ref="W157:X157" si="325">IF($I156="","",W156+AQ156)</f>
        <v/>
      </c>
      <c r="X157" s="28" t="str">
        <f t="shared" si="325"/>
        <v/>
      </c>
      <c r="Y157" s="28" t="str">
        <f t="array" ref="Y157">IF($I156="","",IF(AND(C157="P",C156&lt;&gt;"P"),IFERROR(XLOOKUP($B157,Lenso_Input!$A:$A,Lenso_Input!$E:$E,0),0),Y156+AS156))</f>
        <v/>
      </c>
      <c r="Z157" s="28" t="str">
        <f t="array" ref="Z157">IF($I156="","",IF(AND(C157="Q",C156&lt;&gt;"Q"),IFERROR(XLOOKUP($B157,Lenso_Input!$A:$A,Lenso_Input!$I:$I,0),0),Z156+AT156))</f>
        <v/>
      </c>
      <c r="AA157" s="28" t="str">
        <f t="array" ref="AA157">IF($I156="","",IF(XLOOKUP($B157,Derived_Variables!$A:$A,Derived_Variables!$R:$R,"6/6_target")="6/6_target","20_20_20","40_30_25"))</f>
        <v/>
      </c>
      <c r="AB157" s="28" t="str">
        <f t="array" ref="AB157">IF($I156="","",XLOOKUP(LOWER(XLOOKUP($B157,Derived_Variables!$A:$A,Derived_Variables!$T:$T,"Standard"))&amp;"_sph_step",Calibration!$B:$B,Calibration!$C:$C,0.25))</f>
        <v/>
      </c>
      <c r="AC157" s="28" t="str">
        <f t="array" ref="AC157">IF($I156="","",XLOOKUP(LOWER(XLOOKUP($B157,Derived_Variables!$A:$A,Derived_Variables!$T:$T,"Standard"))&amp;"_cyl_step",Calibration!$B:$B,Calibration!$C:$C,0.25))</f>
        <v/>
      </c>
      <c r="AD157" s="28" t="str">
        <f t="array" ref="AD157">IF($I156="","",IF(OR(C157="E",C157="H"),LET(startStep,XLOOKUP("axis_start_step",Calibration!$B:$B,Calibration!$C:$C,5),step1,XLOOKUP("axis_reversal_step_1",Calibration!$B:$B,Calibration!$C:$C,3),step2,XLOOKUP("axis_reversal_step_2",Calibration!$B:$B,Calibration!$C:$C,1),IF(OR(C156&lt;&gt;C157,AZ157="",AZ157="SAME",AZ157="CANT_TELL",I157="",I157="SAME",I157="CANT_TELL"),startStep,IF(OR(AND(AZ157="BETTER_1",I157="BETTER_2"),AND(AZ157="BETTER_2",I157="BETTER_1")),IF(AD156&gt;step1,step1,step2),AD156))),0))</f>
        <v/>
      </c>
      <c r="AE157" s="28" t="str">
        <f t="array" ref="AE157">IF($I156="","",XLOOKUP($B157,Derived_Variables!$A:$A,Derived_Variables!$AD:$AD,"No_Fog"))</f>
        <v/>
      </c>
      <c r="AF157" s="28" t="str">
        <f t="array" ref="AF157">IF($I156="","",XLOOKUP($B157,Derived_Variables!$A:$A,Derived_Variables!$AE:$AE,0))</f>
        <v/>
      </c>
      <c r="AG157" s="28" t="str">
        <f t="array" ref="AG157">IF($I156="","",XLOOKUP($B157,Derived_Variables!$A:$A,Derived_Variables!$AF:$AF,""))</f>
        <v/>
      </c>
      <c r="AH157" s="28" t="str">
        <f t="array" ref="AH157">IF($I156="","",XLOOKUP($B157,Derived_Variables!$A:$A,Derived_Variables!$AG:$AG,""))</f>
        <v/>
      </c>
      <c r="AI157" s="28" t="str">
        <f t="array" ref="AI157">IF($I156="","",XLOOKUP($B157,Derived_Variables!$A:$A,Derived_Variables!$AC:$AC,"Medium"))</f>
        <v/>
      </c>
      <c r="AJ157" s="28" t="str">
        <f t="array" ref="AJ157">IF($I156="","",XLOOKUP($B157,Derived_Variables!$A:$A,Derived_Variables!$Y:$Y,FALSE))</f>
        <v/>
      </c>
      <c r="AK157" s="28" t="str">
        <f t="array" ref="AK157">IF($I156="","",XLOOKUP($B157,Derived_Variables!$A:$A,Derived_Variables!$AA:$AA,"Normal"))</f>
        <v/>
      </c>
      <c r="AL157" s="28" t="str">
        <f t="array" ref="AL157">IF($I156="","",XLOOKUP($B157,Derived_Variables!$A:$A,Derived_Variables!$AB:$AB,"Normal"))</f>
        <v/>
      </c>
      <c r="AM157" s="28" t="str">
        <f t="array" ref="AM157">IF($I157="","",IFS(C157="B",IF(OR(I157="NOT_READABLE",I157="BLURRY"),-AB157,0),C157="G",IFS(I157="RED_CLEARER",XLOOKUP("duochrome_red_step",Calibration!$B:$B,Calibration!$C:$C,-0.25),I157="GREEN_CLEARER",XLOOKUP("duochrome_green_step",Calibration!$B:$B,Calibration!$C:$C,0.25),I157="EQUAL",IF(XLOOKUP($B157,Derived_Variables!$A:$A,Derived_Variables!$S:$S,"Neutral")="Undercorrect",XLOOKUP("undercorrect_step",Calibration!$B:$B,Calibration!$C:$C,0.25),IF(XLOOKUP($B157,Derived_Variables!$A:$A,Derived_Variables!$S:$S,"Neutral")="Overcorrect",-XLOOKUP("overcorrect_step",Calibration!$B:$B,Calibration!$C:$C,0.25),0)),TRUE,0),C157="K",IF(I157="TOP_CLEARER",XLOOKUP("bino_balance_step",Calibration!$B:$B,Calibration!$C:$C,0.25),0),TRUE,0))</f>
        <v/>
      </c>
      <c r="AN157" s="28" t="str">
        <f t="shared" si="10"/>
        <v/>
      </c>
      <c r="AO157" s="28" t="str">
        <f t="shared" si="11"/>
        <v/>
      </c>
      <c r="AP157" s="28" t="str">
        <f t="array" ref="AP157">IF($I157="","",IFS(C157="D",IF(OR(I157="NOT_READABLE",I157="BLURRY"),-AB157,0),C157="J",IFS(I157="RED_CLEARER",XLOOKUP("duochrome_red_step",Calibration!$B:$B,Calibration!$C:$C,-0.25),I157="GREEN_CLEARER",XLOOKUP("duochrome_green_step",Calibration!$B:$B,Calibration!$C:$C,0.25),I157="EQUAL",IF(XLOOKUP($B157,Derived_Variables!$A:$A,Derived_Variables!$S:$S,"Neutral")="Undercorrect",XLOOKUP("undercorrect_step",Calibration!$B:$B,Calibration!$C:$C,0.25),IF(XLOOKUP($B157,Derived_Variables!$A:$A,Derived_Variables!$S:$S,"Neutral")="Overcorrect",-XLOOKUP("overcorrect_step",Calibration!$B:$B,Calibration!$C:$C,0.25),0)),TRUE,0),C157="K",IF(I157="BOTTOM_CLEARER",XLOOKUP("bino_balance_step",Calibration!$B:$B,Calibration!$C:$C,0.25),0),TRUE,0))</f>
        <v/>
      </c>
      <c r="AQ157" s="28" t="str">
        <f t="shared" si="12"/>
        <v/>
      </c>
      <c r="AR157" s="28" t="str">
        <f t="shared" si="13"/>
        <v/>
      </c>
      <c r="AS157" s="28" t="str">
        <f t="array" ref="AS157">IF($I157="","",IF(C157="P",IF(OR(I157="NOT_READABLE",I157="BLURRY"),XLOOKUP("near_add_step",Calibration!$B:$B,Calibration!$C:$C,0.25),0),IF(C157="R",IF(I157="NOT_CLEAR",XLOOKUP("near_add_step",Calibration!$B:$B,Calibration!$C:$C,0.25),0),0)))</f>
        <v/>
      </c>
      <c r="AT157" s="28" t="str">
        <f t="array" ref="AT157">IF($I157="","",IF(C157="Q",IF(OR(I157="NOT_READABLE",I157="BLURRY"),XLOOKUP("near_add_step",Calibration!$B:$B,Calibration!$C:$C,0.25),0),IF(C157="R",IF(I157="NOT_CLEAR",XLOOKUP("near_add_step",Calibration!$B:$B,Calibration!$C:$C,0.25),0),0)))</f>
        <v/>
      </c>
      <c r="AU157" s="28" t="str">
        <f t="array" ref="AU157">IF($I157="","",IF(G157="SNELLEN_FEET",IF(I157="READABLE",IFERROR(XLOOKUP(XLOOKUP(R157,Chart_Scale_Distance!B:B,Chart_Scale_Distance!A:A)+1,Chart_Scale_Distance!A:A,Chart_Scale_Distance!B:B),R157),R157),R157))</f>
        <v/>
      </c>
      <c r="AV157" s="28" t="str">
        <f t="array" ref="AV157">IF($I156="","",IFERROR(XLOOKUP(R157,Chart_Scale_Distance!$B:$B,Chart_Scale_Distance!$A:$A,""),""))</f>
        <v/>
      </c>
      <c r="AW157" s="28" t="str">
        <f t="array" ref="AW157">IF($I156="","",IFERROR(XLOOKUP(AA157,Chart_Scale_Distance!$B:$B,Chart_Scale_Distance!$A:$A,""),""))</f>
        <v/>
      </c>
      <c r="AX157" s="28" t="str">
        <f t="shared" si="14"/>
        <v/>
      </c>
      <c r="AY157" s="28" t="str">
        <f t="shared" si="15"/>
        <v/>
      </c>
      <c r="AZ157" s="28" t="str">
        <f t="shared" si="16"/>
        <v/>
      </c>
      <c r="BA157" s="28" t="str">
        <f t="shared" si="17"/>
        <v/>
      </c>
      <c r="BB157" s="28" t="str">
        <f t="shared" si="18"/>
        <v/>
      </c>
      <c r="BC157" s="28" t="str">
        <f t="array" ref="BC157">IF($I157="","",LET(
conf,AI157,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duoMax,XLOOKUP($B157,Derived_Variables!$A:$A,Derived_Variables!$AI:$AI,4),
axisTol,XLOOKUP($B157,Derived_Variables!$A:$A,Derived_Variables!$W:$W,1),
maxStart,XLOOKUP($B157,Derived_Variables!$A:$A,Derived_Variables!$U:$U,1.25),
maxAR,XLOOKUP($B157,Derived_Variables!$A:$A,Derived_Variables!$V:$V,3),
anom,XLOOKUP($B157,Derived_Variables!$A:$A,Derived_Variables!$Z:$Z,FALSE),
reStart,XLOOKUP($B157,Derived_Variables!$A:$A,Derived_Variables!$K:$K,0),
leStart,XLOOKUP($B157,Derived_Variables!$A:$A,Derived_Variables!$N:$N,0),
reAR,XLOOKUP($B157,AR_Input!$A:$A,AR_Input!$B:$B,reStart),
leAR,XLOOKUP($B157,AR_Input!$A:$A,AR_Input!$E:$E,leStart),
reEsc,AND(anom,OR(ABS((S157+AM157)-reStart)&gt;maxStart,ABS((S157+AM157)-reAR)&gt;maxAR)),
leEsc,AND(anom,OR(ABS((V157+AP157)-leStart)&gt;maxStart,ABS((V157+AP157)-leAR)&gt;maxAR)),
phaseMax,IFS(
 AK157="Fast",
   IFS(
     OR(C157="B",C157="D"),XLOOKUP("timeout_coarse_fast",Calibration!$B:$B,Calibration!$C:$C,24),
     OR(C157="E",C157="F",C157="H",C157="I"),XLOOKUP("timeout_jcc_fast",Calibration!$B:$B,Calibration!$C:$C,10),
     OR(C157="G",C157="J"),XLOOKUP("timeout_duochrome_fast",Calibration!$B:$B,Calibration!$C:$C,8),
     C157="K",XLOOKUP("timeout_bino_fast",Calibration!$B:$B,Calibration!$C:$C,10),
     OR(C157="P",C157="Q",C157="R"),XLOOKUP("timeout_near_fast",Calibration!$B:$B,Calibration!$C:$C,16),
     TRUE,XLOOKUP("timeout_coarse_fast",Calibration!$B:$B,Calibration!$C:$C,24)
   ),
 AK157="Normal",
   IFS(
     OR(C157="B",C157="D"),XLOOKUP("timeout_coarse_normal",Calibration!$B:$B,Calibration!$C:$C,36),
     OR(C157="E",C157="F",C157="H",C157="I"),XLOOKUP("timeout_jcc_normal",Calibration!$B:$B,Calibration!$C:$C,14),
     OR(C157="G",C157="J"),XLOOKUP("timeout_duochrome_normal",Calibration!$B:$B,Calibration!$C:$C,10),
     C157="K",XLOOKUP("timeout_bino_normal",Calibration!$B:$B,Calibration!$C:$C,14),
     OR(C157="P",C157="Q",C157="R"),XLOOKUP("timeout_near_normal",Calibration!$B:$B,Calibration!$C:$C,22),
     TRUE,XLOOKUP("timeout_coarse_normal",Calibration!$B:$B,Calibration!$C:$C,36)
   ),
 TRUE,
   IFS(
     OR(C157="B",C157="D"),XLOOKUP("timeout_coarse_slow",Calibration!$B:$B,Calibration!$C:$C,48),
     OR(C157="E",C157="F",C157="H",C157="I"),XLOOKUP("timeout_jcc_slow",Calibration!$B:$B,Calibration!$C:$C,18),
     OR(C157="G",C157="J"),XLOOKUP("timeout_duochrome_slow",Calibration!$B:$B,Calibration!$C:$C,12),
     C157="K",XLOOKUP("timeout_bino_slow",Calibration!$B:$B,Calibration!$C:$C,18),
     OR(C157="P",C157="Q",C157="R"),XLOOKUP("timeout_near_slow",Calibration!$B:$B,Calibration!$C:$C,28),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AJ157=TRUE,"ESCALATE",
C157="A",
IF(OR(I157="NOT_READABLE",I157="BLURRY",AND(R157="20_20_20",I157="READABLE")),"B","A"),
C157="B",
IF(reEsc,"ESCALATE",IF(AY157&gt;=phaseMax,"ESCALATE",IF(AND(AV157&gt;=AW157,I157="READABLE"),"E","B"))),
C157="E",
IF(AY157&gt;=phaseMax,"ESCALATE",IF(OR(I157="SAME",I157="CANT_TELL",AD157&lt;axisTol),"F","E")),
C157="F",
IF(AY157&gt;=phaseMax,"ESCALATE",IF(AX157&gt;=powerSameN,"G","F")),
C157="G",
IF(AY157&gt;=phaseMax,"ESCALATE",IF(OR(AX157&gt;=duoEqualN,BB157&gt;=duoMax),"D","G")),
C157="D",
IF(leEsc,"ESCALATE",IF(AY157&gt;=phaseMax,"ESCALATE",IF(AND(AV157&gt;=AW157,I157="READABLE"),"H","D"))),
C157="H",
IF(AY157&gt;=phaseMax,"ESCALATE",IF(OR(I157="SAME",I157="CANT_TELL",AD157&lt;axisTol),"I","H")),
C157="I",
IF(AY157&gt;=phaseMax,"ESCALATE",IF(AX157&gt;=powerSameN,"J","I")),
C157="J",
IF(AY157&gt;=phaseMax,"ESCALATE",IF(OR(AX157&gt;=duoEqualN,BB157&gt;=duoMax),"K","J")),
C157="K",
IF(AY157&gt;=phaseMax,"ESCALATE",IF(AX157&gt;=binoSameN,IF(XLOOKUP($B157,Derived_Variables!$A:$A,Derived_Variables!$AJ:$AJ,FALSE)=TRUE,"P","END"),"K")),
C157="P",
IF(AY157&gt;=phaseMax,"ESCALATE",IF(OR(I157="READABLE",I157="SAME"),"Q","P")),
C157="Q",
IF(AY157&gt;=phaseMax,"ESCALATE",IF(OR(I157="READABLE",I157="SAME"),"R","Q")),
C157="R",
IF(AY157&gt;=phaseMax,"ESCALATE",IF(OR(I157=nearTarget,I157="SAME"),"END","R")),
TRUE,"END"
)))</f>
        <v/>
      </c>
      <c r="BD157" s="28" t="b">
        <f t="shared" si="19"/>
        <v>0</v>
      </c>
    </row>
    <row r="158" ht="15.75" customHeight="1">
      <c r="A158" s="28">
        <f t="shared" si="3"/>
        <v>157</v>
      </c>
      <c r="B158" s="28">
        <f t="shared" si="4"/>
        <v>6</v>
      </c>
      <c r="C158" s="28" t="str">
        <f t="shared" si="5"/>
        <v/>
      </c>
      <c r="D158" s="28" t="str">
        <f t="array" ref="D158">IF($I157="","",XLOOKUP(C158,FSM_State_Map!A:A,FSM_State_Map!B:B,""))</f>
        <v/>
      </c>
      <c r="E158" s="28" t="str">
        <f t="array" ref="E158">IF($I157="","",XLOOKUP(C158,FSM_State_Map!A:A,FSM_State_Map!C:C,""))</f>
        <v/>
      </c>
      <c r="F158" s="28" t="str">
        <f t="array" ref="F158">IF($I157="","",XLOOKUP(E158,Phase_UI_Map!A:A,Phase_UI_Map!B:B,""))</f>
        <v/>
      </c>
      <c r="G158" s="28" t="str">
        <f t="array" ref="G158">IF($I157="","",XLOOKUP(E158,Phase_UI_Map!A:A,Phase_UI_Map!C:C,""))</f>
        <v/>
      </c>
      <c r="H158" s="28" t="str">
        <f t="array" ref="H158">IF($I157="","",XLOOKUP(E158,Phase_UI_Map!A:A,Phase_UI_Map!D:D,""))</f>
        <v/>
      </c>
      <c r="I158" s="29"/>
      <c r="J158" s="28" t="str">
        <f>IFERROR(__xludf.DUMMYFUNCTION("IF($I157="""","""",IFERROR(INDEX(FILTER(Response_Lists!$B:$B,Response_Lists!$A:$A=$H158),1),""""))"),"")</f>
        <v/>
      </c>
      <c r="K158" s="28" t="str">
        <f>IFERROR(__xludf.DUMMYFUNCTION("IF($I157="""","""",IFERROR(INDEX(FILTER(Response_Lists!$B:$B,Response_Lists!$A:$A=$H158),2),""""))"),"")</f>
        <v/>
      </c>
      <c r="L158" s="28" t="str">
        <f>IFERROR(__xludf.DUMMYFUNCTION("IF($I157="""","""",IFERROR(INDEX(FILTER(Response_Lists!$B:$B,Response_Lists!$A:$A=$H158),3),""""))"),"")</f>
        <v/>
      </c>
      <c r="M158" s="28" t="str">
        <f>IFERROR(__xludf.DUMMYFUNCTION("IF($I157="""","""",IFERROR(INDEX(FILTER(Response_Lists!$B:$B,Response_Lists!$A:$A=$H158),4),""""))"),"")</f>
        <v/>
      </c>
      <c r="N158" s="28" t="str">
        <f>IFERROR(__xludf.DUMMYFUNCTION("IF($I157="""","""",IFERROR(INDEX(FILTER(Response_Lists!$B:$B,Response_Lists!$A:$A=$H158),5),""""))"),"")</f>
        <v/>
      </c>
      <c r="O158" s="28" t="str">
        <f>IFERROR(__xludf.DUMMYFUNCTION("IF($I157="""","""",IFERROR(INDEX(FILTER(Response_Lists!$B:$B,Response_Lists!$A:$A=$H158),6),""""))"),"")</f>
        <v/>
      </c>
      <c r="P158" s="28" t="str">
        <f t="shared" si="6"/>
        <v/>
      </c>
      <c r="Q158" s="28" t="str">
        <f t="array" ref="Q158">IF($I157="","",XLOOKUP(C158,FSM_State_Map!A:A,FSM_State_Map!D:D,""))</f>
        <v/>
      </c>
      <c r="R158" s="28" t="str">
        <f t="shared" si="7"/>
        <v/>
      </c>
      <c r="S158" s="28" t="str">
        <f t="array" ref="S158">IF($I157="","",
IF(
  AND(C158="B",C157&lt;&gt;"B"),
  XLOOKUP($B158,Derived_Variables!$A:$A,Derived_Variables!$K:$K,0)
  + XLOOKUP($B158,Derived_Variables!$A:$A,Derived_Variables!$AE:$AE,0),
  S157+AM157
))</f>
        <v/>
      </c>
      <c r="T158" s="28" t="str">
        <f t="shared" ref="T158:U158" si="326">IF($I157="","",T157+AN157)</f>
        <v/>
      </c>
      <c r="U158" s="28" t="str">
        <f t="shared" si="326"/>
        <v/>
      </c>
      <c r="V158" s="28" t="str">
        <f t="array" ref="V158">IF($I157="","",
IF(
  AND(C158="D",C157&lt;&gt;"D"),
  XLOOKUP($B158,Derived_Variables!$A:$A,Derived_Variables!$N:$N,0)
  + XLOOKUP($B158,Derived_Variables!$A:$A,Derived_Variables!$AE:$AE,0),
  V157+AP157
))</f>
        <v/>
      </c>
      <c r="W158" s="28" t="str">
        <f t="shared" ref="W158:X158" si="327">IF($I157="","",W157+AQ157)</f>
        <v/>
      </c>
      <c r="X158" s="28" t="str">
        <f t="shared" si="327"/>
        <v/>
      </c>
      <c r="Y158" s="28" t="str">
        <f t="array" ref="Y158">IF($I157="","",IF(AND(C158="P",C157&lt;&gt;"P"),IFERROR(XLOOKUP($B158,Lenso_Input!$A:$A,Lenso_Input!$E:$E,0),0),Y157+AS157))</f>
        <v/>
      </c>
      <c r="Z158" s="28" t="str">
        <f t="array" ref="Z158">IF($I157="","",IF(AND(C158="Q",C157&lt;&gt;"Q"),IFERROR(XLOOKUP($B158,Lenso_Input!$A:$A,Lenso_Input!$I:$I,0),0),Z157+AT157))</f>
        <v/>
      </c>
      <c r="AA158" s="28" t="str">
        <f t="array" ref="AA158">IF($I157="","",IF(XLOOKUP($B158,Derived_Variables!$A:$A,Derived_Variables!$R:$R,"6/6_target")="6/6_target","20_20_20","40_30_25"))</f>
        <v/>
      </c>
      <c r="AB158" s="28" t="str">
        <f t="array" ref="AB158">IF($I157="","",XLOOKUP(LOWER(XLOOKUP($B158,Derived_Variables!$A:$A,Derived_Variables!$T:$T,"Standard"))&amp;"_sph_step",Calibration!$B:$B,Calibration!$C:$C,0.25))</f>
        <v/>
      </c>
      <c r="AC158" s="28" t="str">
        <f t="array" ref="AC158">IF($I157="","",XLOOKUP(LOWER(XLOOKUP($B158,Derived_Variables!$A:$A,Derived_Variables!$T:$T,"Standard"))&amp;"_cyl_step",Calibration!$B:$B,Calibration!$C:$C,0.25))</f>
        <v/>
      </c>
      <c r="AD158" s="28" t="str">
        <f t="array" ref="AD158">IF($I157="","",IF(OR(C158="E",C158="H"),LET(startStep,XLOOKUP("axis_start_step",Calibration!$B:$B,Calibration!$C:$C,5),step1,XLOOKUP("axis_reversal_step_1",Calibration!$B:$B,Calibration!$C:$C,3),step2,XLOOKUP("axis_reversal_step_2",Calibration!$B:$B,Calibration!$C:$C,1),IF(OR(C157&lt;&gt;C158,AZ158="",AZ158="SAME",AZ158="CANT_TELL",I158="",I158="SAME",I158="CANT_TELL"),startStep,IF(OR(AND(AZ158="BETTER_1",I158="BETTER_2"),AND(AZ158="BETTER_2",I158="BETTER_1")),IF(AD157&gt;step1,step1,step2),AD157))),0))</f>
        <v/>
      </c>
      <c r="AE158" s="28" t="str">
        <f t="array" ref="AE158">IF($I157="","",XLOOKUP($B158,Derived_Variables!$A:$A,Derived_Variables!$AD:$AD,"No_Fog"))</f>
        <v/>
      </c>
      <c r="AF158" s="28" t="str">
        <f t="array" ref="AF158">IF($I157="","",XLOOKUP($B158,Derived_Variables!$A:$A,Derived_Variables!$AE:$AE,0))</f>
        <v/>
      </c>
      <c r="AG158" s="28" t="str">
        <f t="array" ref="AG158">IF($I157="","",XLOOKUP($B158,Derived_Variables!$A:$A,Derived_Variables!$AF:$AF,""))</f>
        <v/>
      </c>
      <c r="AH158" s="28" t="str">
        <f t="array" ref="AH158">IF($I157="","",XLOOKUP($B158,Derived_Variables!$A:$A,Derived_Variables!$AG:$AG,""))</f>
        <v/>
      </c>
      <c r="AI158" s="28" t="str">
        <f t="array" ref="AI158">IF($I157="","",XLOOKUP($B158,Derived_Variables!$A:$A,Derived_Variables!$AC:$AC,"Medium"))</f>
        <v/>
      </c>
      <c r="AJ158" s="28" t="str">
        <f t="array" ref="AJ158">IF($I157="","",XLOOKUP($B158,Derived_Variables!$A:$A,Derived_Variables!$Y:$Y,FALSE))</f>
        <v/>
      </c>
      <c r="AK158" s="28" t="str">
        <f t="array" ref="AK158">IF($I157="","",XLOOKUP($B158,Derived_Variables!$A:$A,Derived_Variables!$AA:$AA,"Normal"))</f>
        <v/>
      </c>
      <c r="AL158" s="28" t="str">
        <f t="array" ref="AL158">IF($I157="","",XLOOKUP($B158,Derived_Variables!$A:$A,Derived_Variables!$AB:$AB,"Normal"))</f>
        <v/>
      </c>
      <c r="AM158" s="28" t="str">
        <f t="array" ref="AM158">IF($I158="","",IFS(C158="B",IF(OR(I158="NOT_READABLE",I158="BLURRY"),-AB158,0),C158="G",IFS(I158="RED_CLEARER",XLOOKUP("duochrome_red_step",Calibration!$B:$B,Calibration!$C:$C,-0.25),I158="GREEN_CLEARER",XLOOKUP("duochrome_green_step",Calibration!$B:$B,Calibration!$C:$C,0.25),I158="EQUAL",IF(XLOOKUP($B158,Derived_Variables!$A:$A,Derived_Variables!$S:$S,"Neutral")="Undercorrect",XLOOKUP("undercorrect_step",Calibration!$B:$B,Calibration!$C:$C,0.25),IF(XLOOKUP($B158,Derived_Variables!$A:$A,Derived_Variables!$S:$S,"Neutral")="Overcorrect",-XLOOKUP("overcorrect_step",Calibration!$B:$B,Calibration!$C:$C,0.25),0)),TRUE,0),C158="K",IF(I158="TOP_CLEARER",XLOOKUP("bino_balance_step",Calibration!$B:$B,Calibration!$C:$C,0.25),0),TRUE,0))</f>
        <v/>
      </c>
      <c r="AN158" s="28" t="str">
        <f t="shared" si="10"/>
        <v/>
      </c>
      <c r="AO158" s="28" t="str">
        <f t="shared" si="11"/>
        <v/>
      </c>
      <c r="AP158" s="28" t="str">
        <f t="array" ref="AP158">IF($I158="","",IFS(C158="D",IF(OR(I158="NOT_READABLE",I158="BLURRY"),-AB158,0),C158="J",IFS(I158="RED_CLEARER",XLOOKUP("duochrome_red_step",Calibration!$B:$B,Calibration!$C:$C,-0.25),I158="GREEN_CLEARER",XLOOKUP("duochrome_green_step",Calibration!$B:$B,Calibration!$C:$C,0.25),I158="EQUAL",IF(XLOOKUP($B158,Derived_Variables!$A:$A,Derived_Variables!$S:$S,"Neutral")="Undercorrect",XLOOKUP("undercorrect_step",Calibration!$B:$B,Calibration!$C:$C,0.25),IF(XLOOKUP($B158,Derived_Variables!$A:$A,Derived_Variables!$S:$S,"Neutral")="Overcorrect",-XLOOKUP("overcorrect_step",Calibration!$B:$B,Calibration!$C:$C,0.25),0)),TRUE,0),C158="K",IF(I158="BOTTOM_CLEARER",XLOOKUP("bino_balance_step",Calibration!$B:$B,Calibration!$C:$C,0.25),0),TRUE,0))</f>
        <v/>
      </c>
      <c r="AQ158" s="28" t="str">
        <f t="shared" si="12"/>
        <v/>
      </c>
      <c r="AR158" s="28" t="str">
        <f t="shared" si="13"/>
        <v/>
      </c>
      <c r="AS158" s="28" t="str">
        <f t="array" ref="AS158">IF($I158="","",IF(C158="P",IF(OR(I158="NOT_READABLE",I158="BLURRY"),XLOOKUP("near_add_step",Calibration!$B:$B,Calibration!$C:$C,0.25),0),IF(C158="R",IF(I158="NOT_CLEAR",XLOOKUP("near_add_step",Calibration!$B:$B,Calibration!$C:$C,0.25),0),0)))</f>
        <v/>
      </c>
      <c r="AT158" s="28" t="str">
        <f t="array" ref="AT158">IF($I158="","",IF(C158="Q",IF(OR(I158="NOT_READABLE",I158="BLURRY"),XLOOKUP("near_add_step",Calibration!$B:$B,Calibration!$C:$C,0.25),0),IF(C158="R",IF(I158="NOT_CLEAR",XLOOKUP("near_add_step",Calibration!$B:$B,Calibration!$C:$C,0.25),0),0)))</f>
        <v/>
      </c>
      <c r="AU158" s="28" t="str">
        <f t="array" ref="AU158">IF($I158="","",IF(G158="SNELLEN_FEET",IF(I158="READABLE",IFERROR(XLOOKUP(XLOOKUP(R158,Chart_Scale_Distance!B:B,Chart_Scale_Distance!A:A)+1,Chart_Scale_Distance!A:A,Chart_Scale_Distance!B:B),R158),R158),R158))</f>
        <v/>
      </c>
      <c r="AV158" s="28" t="str">
        <f t="array" ref="AV158">IF($I157="","",IFERROR(XLOOKUP(R158,Chart_Scale_Distance!$B:$B,Chart_Scale_Distance!$A:$A,""),""))</f>
        <v/>
      </c>
      <c r="AW158" s="28" t="str">
        <f t="array" ref="AW158">IF($I157="","",IFERROR(XLOOKUP(AA158,Chart_Scale_Distance!$B:$B,Chart_Scale_Distance!$A:$A,""),""))</f>
        <v/>
      </c>
      <c r="AX158" s="28" t="str">
        <f t="shared" si="14"/>
        <v/>
      </c>
      <c r="AY158" s="28" t="str">
        <f t="shared" si="15"/>
        <v/>
      </c>
      <c r="AZ158" s="28" t="str">
        <f t="shared" si="16"/>
        <v/>
      </c>
      <c r="BA158" s="28" t="str">
        <f t="shared" si="17"/>
        <v/>
      </c>
      <c r="BB158" s="28" t="str">
        <f t="shared" si="18"/>
        <v/>
      </c>
      <c r="BC158" s="28" t="str">
        <f t="array" ref="BC158">IF($I158="","",LET(
conf,AI158,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duoMax,XLOOKUP($B158,Derived_Variables!$A:$A,Derived_Variables!$AI:$AI,4),
axisTol,XLOOKUP($B158,Derived_Variables!$A:$A,Derived_Variables!$W:$W,1),
maxStart,XLOOKUP($B158,Derived_Variables!$A:$A,Derived_Variables!$U:$U,1.25),
maxAR,XLOOKUP($B158,Derived_Variables!$A:$A,Derived_Variables!$V:$V,3),
anom,XLOOKUP($B158,Derived_Variables!$A:$A,Derived_Variables!$Z:$Z,FALSE),
reStart,XLOOKUP($B158,Derived_Variables!$A:$A,Derived_Variables!$K:$K,0),
leStart,XLOOKUP($B158,Derived_Variables!$A:$A,Derived_Variables!$N:$N,0),
reAR,XLOOKUP($B158,AR_Input!$A:$A,AR_Input!$B:$B,reStart),
leAR,XLOOKUP($B158,AR_Input!$A:$A,AR_Input!$E:$E,leStart),
reEsc,AND(anom,OR(ABS((S158+AM158)-reStart)&gt;maxStart,ABS((S158+AM158)-reAR)&gt;maxAR)),
leEsc,AND(anom,OR(ABS((V158+AP158)-leStart)&gt;maxStart,ABS((V158+AP158)-leAR)&gt;maxAR)),
phaseMax,IFS(
 AK158="Fast",
   IFS(
     OR(C158="B",C158="D"),XLOOKUP("timeout_coarse_fast",Calibration!$B:$B,Calibration!$C:$C,24),
     OR(C158="E",C158="F",C158="H",C158="I"),XLOOKUP("timeout_jcc_fast",Calibration!$B:$B,Calibration!$C:$C,10),
     OR(C158="G",C158="J"),XLOOKUP("timeout_duochrome_fast",Calibration!$B:$B,Calibration!$C:$C,8),
     C158="K",XLOOKUP("timeout_bino_fast",Calibration!$B:$B,Calibration!$C:$C,10),
     OR(C158="P",C158="Q",C158="R"),XLOOKUP("timeout_near_fast",Calibration!$B:$B,Calibration!$C:$C,16),
     TRUE,XLOOKUP("timeout_coarse_fast",Calibration!$B:$B,Calibration!$C:$C,24)
   ),
 AK158="Normal",
   IFS(
     OR(C158="B",C158="D"),XLOOKUP("timeout_coarse_normal",Calibration!$B:$B,Calibration!$C:$C,36),
     OR(C158="E",C158="F",C158="H",C158="I"),XLOOKUP("timeout_jcc_normal",Calibration!$B:$B,Calibration!$C:$C,14),
     OR(C158="G",C158="J"),XLOOKUP("timeout_duochrome_normal",Calibration!$B:$B,Calibration!$C:$C,10),
     C158="K",XLOOKUP("timeout_bino_normal",Calibration!$B:$B,Calibration!$C:$C,14),
     OR(C158="P",C158="Q",C158="R"),XLOOKUP("timeout_near_normal",Calibration!$B:$B,Calibration!$C:$C,22),
     TRUE,XLOOKUP("timeout_coarse_normal",Calibration!$B:$B,Calibration!$C:$C,36)
   ),
 TRUE,
   IFS(
     OR(C158="B",C158="D"),XLOOKUP("timeout_coarse_slow",Calibration!$B:$B,Calibration!$C:$C,48),
     OR(C158="E",C158="F",C158="H",C158="I"),XLOOKUP("timeout_jcc_slow",Calibration!$B:$B,Calibration!$C:$C,18),
     OR(C158="G",C158="J"),XLOOKUP("timeout_duochrome_slow",Calibration!$B:$B,Calibration!$C:$C,12),
     C158="K",XLOOKUP("timeout_bino_slow",Calibration!$B:$B,Calibration!$C:$C,18),
     OR(C158="P",C158="Q",C158="R"),XLOOKUP("timeout_near_slow",Calibration!$B:$B,Calibration!$C:$C,28),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AJ158=TRUE,"ESCALATE",
C158="A",
IF(OR(I158="NOT_READABLE",I158="BLURRY",AND(R158="20_20_20",I158="READABLE")),"B","A"),
C158="B",
IF(reEsc,"ESCALATE",IF(AY158&gt;=phaseMax,"ESCALATE",IF(AND(AV158&gt;=AW158,I158="READABLE"),"E","B"))),
C158="E",
IF(AY158&gt;=phaseMax,"ESCALATE",IF(OR(I158="SAME",I158="CANT_TELL",AD158&lt;axisTol),"F","E")),
C158="F",
IF(AY158&gt;=phaseMax,"ESCALATE",IF(AX158&gt;=powerSameN,"G","F")),
C158="G",
IF(AY158&gt;=phaseMax,"ESCALATE",IF(OR(AX158&gt;=duoEqualN,BB158&gt;=duoMax),"D","G")),
C158="D",
IF(leEsc,"ESCALATE",IF(AY158&gt;=phaseMax,"ESCALATE",IF(AND(AV158&gt;=AW158,I158="READABLE"),"H","D"))),
C158="H",
IF(AY158&gt;=phaseMax,"ESCALATE",IF(OR(I158="SAME",I158="CANT_TELL",AD158&lt;axisTol),"I","H")),
C158="I",
IF(AY158&gt;=phaseMax,"ESCALATE",IF(AX158&gt;=powerSameN,"J","I")),
C158="J",
IF(AY158&gt;=phaseMax,"ESCALATE",IF(OR(AX158&gt;=duoEqualN,BB158&gt;=duoMax),"K","J")),
C158="K",
IF(AY158&gt;=phaseMax,"ESCALATE",IF(AX158&gt;=binoSameN,IF(XLOOKUP($B158,Derived_Variables!$A:$A,Derived_Variables!$AJ:$AJ,FALSE)=TRUE,"P","END"),"K")),
C158="P",
IF(AY158&gt;=phaseMax,"ESCALATE",IF(OR(I158="READABLE",I158="SAME"),"Q","P")),
C158="Q",
IF(AY158&gt;=phaseMax,"ESCALATE",IF(OR(I158="READABLE",I158="SAME"),"R","Q")),
C158="R",
IF(AY158&gt;=phaseMax,"ESCALATE",IF(OR(I158=nearTarget,I158="SAME"),"END","R")),
TRUE,"END"
)))</f>
        <v/>
      </c>
      <c r="BD158" s="28" t="b">
        <f t="shared" si="19"/>
        <v>0</v>
      </c>
    </row>
    <row r="159" ht="15.75" customHeight="1">
      <c r="A159" s="28">
        <f t="shared" si="3"/>
        <v>158</v>
      </c>
      <c r="B159" s="28">
        <f t="shared" si="4"/>
        <v>6</v>
      </c>
      <c r="C159" s="28" t="str">
        <f t="shared" si="5"/>
        <v/>
      </c>
      <c r="D159" s="28" t="str">
        <f t="array" ref="D159">IF($I158="","",XLOOKUP(C159,FSM_State_Map!A:A,FSM_State_Map!B:B,""))</f>
        <v/>
      </c>
      <c r="E159" s="28" t="str">
        <f t="array" ref="E159">IF($I158="","",XLOOKUP(C159,FSM_State_Map!A:A,FSM_State_Map!C:C,""))</f>
        <v/>
      </c>
      <c r="F159" s="28" t="str">
        <f t="array" ref="F159">IF($I158="","",XLOOKUP(E159,Phase_UI_Map!A:A,Phase_UI_Map!B:B,""))</f>
        <v/>
      </c>
      <c r="G159" s="28" t="str">
        <f t="array" ref="G159">IF($I158="","",XLOOKUP(E159,Phase_UI_Map!A:A,Phase_UI_Map!C:C,""))</f>
        <v/>
      </c>
      <c r="H159" s="28" t="str">
        <f t="array" ref="H159">IF($I158="","",XLOOKUP(E159,Phase_UI_Map!A:A,Phase_UI_Map!D:D,""))</f>
        <v/>
      </c>
      <c r="I159" s="29"/>
      <c r="J159" s="28" t="str">
        <f>IFERROR(__xludf.DUMMYFUNCTION("IF($I158="""","""",IFERROR(INDEX(FILTER(Response_Lists!$B:$B,Response_Lists!$A:$A=$H159),1),""""))"),"")</f>
        <v/>
      </c>
      <c r="K159" s="28" t="str">
        <f>IFERROR(__xludf.DUMMYFUNCTION("IF($I158="""","""",IFERROR(INDEX(FILTER(Response_Lists!$B:$B,Response_Lists!$A:$A=$H159),2),""""))"),"")</f>
        <v/>
      </c>
      <c r="L159" s="28" t="str">
        <f>IFERROR(__xludf.DUMMYFUNCTION("IF($I158="""","""",IFERROR(INDEX(FILTER(Response_Lists!$B:$B,Response_Lists!$A:$A=$H159),3),""""))"),"")</f>
        <v/>
      </c>
      <c r="M159" s="28" t="str">
        <f>IFERROR(__xludf.DUMMYFUNCTION("IF($I158="""","""",IFERROR(INDEX(FILTER(Response_Lists!$B:$B,Response_Lists!$A:$A=$H159),4),""""))"),"")</f>
        <v/>
      </c>
      <c r="N159" s="28" t="str">
        <f>IFERROR(__xludf.DUMMYFUNCTION("IF($I158="""","""",IFERROR(INDEX(FILTER(Response_Lists!$B:$B,Response_Lists!$A:$A=$H159),5),""""))"),"")</f>
        <v/>
      </c>
      <c r="O159" s="28" t="str">
        <f>IFERROR(__xludf.DUMMYFUNCTION("IF($I158="""","""",IFERROR(INDEX(FILTER(Response_Lists!$B:$B,Response_Lists!$A:$A=$H159),6),""""))"),"")</f>
        <v/>
      </c>
      <c r="P159" s="28" t="str">
        <f t="shared" si="6"/>
        <v/>
      </c>
      <c r="Q159" s="28" t="str">
        <f t="array" ref="Q159">IF($I158="","",XLOOKUP(C159,FSM_State_Map!A:A,FSM_State_Map!D:D,""))</f>
        <v/>
      </c>
      <c r="R159" s="28" t="str">
        <f t="shared" si="7"/>
        <v/>
      </c>
      <c r="S159" s="28" t="str">
        <f t="array" ref="S159">IF($I158="","",
IF(
  AND(C159="B",C158&lt;&gt;"B"),
  XLOOKUP($B159,Derived_Variables!$A:$A,Derived_Variables!$K:$K,0)
  + XLOOKUP($B159,Derived_Variables!$A:$A,Derived_Variables!$AE:$AE,0),
  S158+AM158
))</f>
        <v/>
      </c>
      <c r="T159" s="28" t="str">
        <f t="shared" ref="T159:U159" si="328">IF($I158="","",T158+AN158)</f>
        <v/>
      </c>
      <c r="U159" s="28" t="str">
        <f t="shared" si="328"/>
        <v/>
      </c>
      <c r="V159" s="28" t="str">
        <f t="array" ref="V159">IF($I158="","",
IF(
  AND(C159="D",C158&lt;&gt;"D"),
  XLOOKUP($B159,Derived_Variables!$A:$A,Derived_Variables!$N:$N,0)
  + XLOOKUP($B159,Derived_Variables!$A:$A,Derived_Variables!$AE:$AE,0),
  V158+AP158
))</f>
        <v/>
      </c>
      <c r="W159" s="28" t="str">
        <f t="shared" ref="W159:X159" si="329">IF($I158="","",W158+AQ158)</f>
        <v/>
      </c>
      <c r="X159" s="28" t="str">
        <f t="shared" si="329"/>
        <v/>
      </c>
      <c r="Y159" s="28" t="str">
        <f t="array" ref="Y159">IF($I158="","",IF(AND(C159="P",C158&lt;&gt;"P"),IFERROR(XLOOKUP($B159,Lenso_Input!$A:$A,Lenso_Input!$E:$E,0),0),Y158+AS158))</f>
        <v/>
      </c>
      <c r="Z159" s="28" t="str">
        <f t="array" ref="Z159">IF($I158="","",IF(AND(C159="Q",C158&lt;&gt;"Q"),IFERROR(XLOOKUP($B159,Lenso_Input!$A:$A,Lenso_Input!$I:$I,0),0),Z158+AT158))</f>
        <v/>
      </c>
      <c r="AA159" s="28" t="str">
        <f t="array" ref="AA159">IF($I158="","",IF(XLOOKUP($B159,Derived_Variables!$A:$A,Derived_Variables!$R:$R,"6/6_target")="6/6_target","20_20_20","40_30_25"))</f>
        <v/>
      </c>
      <c r="AB159" s="28" t="str">
        <f t="array" ref="AB159">IF($I158="","",XLOOKUP(LOWER(XLOOKUP($B159,Derived_Variables!$A:$A,Derived_Variables!$T:$T,"Standard"))&amp;"_sph_step",Calibration!$B:$B,Calibration!$C:$C,0.25))</f>
        <v/>
      </c>
      <c r="AC159" s="28" t="str">
        <f t="array" ref="AC159">IF($I158="","",XLOOKUP(LOWER(XLOOKUP($B159,Derived_Variables!$A:$A,Derived_Variables!$T:$T,"Standard"))&amp;"_cyl_step",Calibration!$B:$B,Calibration!$C:$C,0.25))</f>
        <v/>
      </c>
      <c r="AD159" s="28" t="str">
        <f t="array" ref="AD159">IF($I158="","",IF(OR(C159="E",C159="H"),LET(startStep,XLOOKUP("axis_start_step",Calibration!$B:$B,Calibration!$C:$C,5),step1,XLOOKUP("axis_reversal_step_1",Calibration!$B:$B,Calibration!$C:$C,3),step2,XLOOKUP("axis_reversal_step_2",Calibration!$B:$B,Calibration!$C:$C,1),IF(OR(C158&lt;&gt;C159,AZ159="",AZ159="SAME",AZ159="CANT_TELL",I159="",I159="SAME",I159="CANT_TELL"),startStep,IF(OR(AND(AZ159="BETTER_1",I159="BETTER_2"),AND(AZ159="BETTER_2",I159="BETTER_1")),IF(AD158&gt;step1,step1,step2),AD158))),0))</f>
        <v/>
      </c>
      <c r="AE159" s="28" t="str">
        <f t="array" ref="AE159">IF($I158="","",XLOOKUP($B159,Derived_Variables!$A:$A,Derived_Variables!$AD:$AD,"No_Fog"))</f>
        <v/>
      </c>
      <c r="AF159" s="28" t="str">
        <f t="array" ref="AF159">IF($I158="","",XLOOKUP($B159,Derived_Variables!$A:$A,Derived_Variables!$AE:$AE,0))</f>
        <v/>
      </c>
      <c r="AG159" s="28" t="str">
        <f t="array" ref="AG159">IF($I158="","",XLOOKUP($B159,Derived_Variables!$A:$A,Derived_Variables!$AF:$AF,""))</f>
        <v/>
      </c>
      <c r="AH159" s="28" t="str">
        <f t="array" ref="AH159">IF($I158="","",XLOOKUP($B159,Derived_Variables!$A:$A,Derived_Variables!$AG:$AG,""))</f>
        <v/>
      </c>
      <c r="AI159" s="28" t="str">
        <f t="array" ref="AI159">IF($I158="","",XLOOKUP($B159,Derived_Variables!$A:$A,Derived_Variables!$AC:$AC,"Medium"))</f>
        <v/>
      </c>
      <c r="AJ159" s="28" t="str">
        <f t="array" ref="AJ159">IF($I158="","",XLOOKUP($B159,Derived_Variables!$A:$A,Derived_Variables!$Y:$Y,FALSE))</f>
        <v/>
      </c>
      <c r="AK159" s="28" t="str">
        <f t="array" ref="AK159">IF($I158="","",XLOOKUP($B159,Derived_Variables!$A:$A,Derived_Variables!$AA:$AA,"Normal"))</f>
        <v/>
      </c>
      <c r="AL159" s="28" t="str">
        <f t="array" ref="AL159">IF($I158="","",XLOOKUP($B159,Derived_Variables!$A:$A,Derived_Variables!$AB:$AB,"Normal"))</f>
        <v/>
      </c>
      <c r="AM159" s="28" t="str">
        <f t="array" ref="AM159">IF($I159="","",IFS(C159="B",IF(OR(I159="NOT_READABLE",I159="BLURRY"),-AB159,0),C159="G",IFS(I159="RED_CLEARER",XLOOKUP("duochrome_red_step",Calibration!$B:$B,Calibration!$C:$C,-0.25),I159="GREEN_CLEARER",XLOOKUP("duochrome_green_step",Calibration!$B:$B,Calibration!$C:$C,0.25),I159="EQUAL",IF(XLOOKUP($B159,Derived_Variables!$A:$A,Derived_Variables!$S:$S,"Neutral")="Undercorrect",XLOOKUP("undercorrect_step",Calibration!$B:$B,Calibration!$C:$C,0.25),IF(XLOOKUP($B159,Derived_Variables!$A:$A,Derived_Variables!$S:$S,"Neutral")="Overcorrect",-XLOOKUP("overcorrect_step",Calibration!$B:$B,Calibration!$C:$C,0.25),0)),TRUE,0),C159="K",IF(I159="TOP_CLEARER",XLOOKUP("bino_balance_step",Calibration!$B:$B,Calibration!$C:$C,0.25),0),TRUE,0))</f>
        <v/>
      </c>
      <c r="AN159" s="28" t="str">
        <f t="shared" si="10"/>
        <v/>
      </c>
      <c r="AO159" s="28" t="str">
        <f t="shared" si="11"/>
        <v/>
      </c>
      <c r="AP159" s="28" t="str">
        <f t="array" ref="AP159">IF($I159="","",IFS(C159="D",IF(OR(I159="NOT_READABLE",I159="BLURRY"),-AB159,0),C159="J",IFS(I159="RED_CLEARER",XLOOKUP("duochrome_red_step",Calibration!$B:$B,Calibration!$C:$C,-0.25),I159="GREEN_CLEARER",XLOOKUP("duochrome_green_step",Calibration!$B:$B,Calibration!$C:$C,0.25),I159="EQUAL",IF(XLOOKUP($B159,Derived_Variables!$A:$A,Derived_Variables!$S:$S,"Neutral")="Undercorrect",XLOOKUP("undercorrect_step",Calibration!$B:$B,Calibration!$C:$C,0.25),IF(XLOOKUP($B159,Derived_Variables!$A:$A,Derived_Variables!$S:$S,"Neutral")="Overcorrect",-XLOOKUP("overcorrect_step",Calibration!$B:$B,Calibration!$C:$C,0.25),0)),TRUE,0),C159="K",IF(I159="BOTTOM_CLEARER",XLOOKUP("bino_balance_step",Calibration!$B:$B,Calibration!$C:$C,0.25),0),TRUE,0))</f>
        <v/>
      </c>
      <c r="AQ159" s="28" t="str">
        <f t="shared" si="12"/>
        <v/>
      </c>
      <c r="AR159" s="28" t="str">
        <f t="shared" si="13"/>
        <v/>
      </c>
      <c r="AS159" s="28" t="str">
        <f t="array" ref="AS159">IF($I159="","",IF(C159="P",IF(OR(I159="NOT_READABLE",I159="BLURRY"),XLOOKUP("near_add_step",Calibration!$B:$B,Calibration!$C:$C,0.25),0),IF(C159="R",IF(I159="NOT_CLEAR",XLOOKUP("near_add_step",Calibration!$B:$B,Calibration!$C:$C,0.25),0),0)))</f>
        <v/>
      </c>
      <c r="AT159" s="28" t="str">
        <f t="array" ref="AT159">IF($I159="","",IF(C159="Q",IF(OR(I159="NOT_READABLE",I159="BLURRY"),XLOOKUP("near_add_step",Calibration!$B:$B,Calibration!$C:$C,0.25),0),IF(C159="R",IF(I159="NOT_CLEAR",XLOOKUP("near_add_step",Calibration!$B:$B,Calibration!$C:$C,0.25),0),0)))</f>
        <v/>
      </c>
      <c r="AU159" s="28" t="str">
        <f t="array" ref="AU159">IF($I159="","",IF(G159="SNELLEN_FEET",IF(I159="READABLE",IFERROR(XLOOKUP(XLOOKUP(R159,Chart_Scale_Distance!B:B,Chart_Scale_Distance!A:A)+1,Chart_Scale_Distance!A:A,Chart_Scale_Distance!B:B),R159),R159),R159))</f>
        <v/>
      </c>
      <c r="AV159" s="28" t="str">
        <f t="array" ref="AV159">IF($I158="","",IFERROR(XLOOKUP(R159,Chart_Scale_Distance!$B:$B,Chart_Scale_Distance!$A:$A,""),""))</f>
        <v/>
      </c>
      <c r="AW159" s="28" t="str">
        <f t="array" ref="AW159">IF($I158="","",IFERROR(XLOOKUP(AA159,Chart_Scale_Distance!$B:$B,Chart_Scale_Distance!$A:$A,""),""))</f>
        <v/>
      </c>
      <c r="AX159" s="28" t="str">
        <f t="shared" si="14"/>
        <v/>
      </c>
      <c r="AY159" s="28" t="str">
        <f t="shared" si="15"/>
        <v/>
      </c>
      <c r="AZ159" s="28" t="str">
        <f t="shared" si="16"/>
        <v/>
      </c>
      <c r="BA159" s="28" t="str">
        <f t="shared" si="17"/>
        <v/>
      </c>
      <c r="BB159" s="28" t="str">
        <f t="shared" si="18"/>
        <v/>
      </c>
      <c r="BC159" s="28" t="str">
        <f t="array" ref="BC159">IF($I159="","",LET(
conf,AI159,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duoMax,XLOOKUP($B159,Derived_Variables!$A:$A,Derived_Variables!$AI:$AI,4),
axisTol,XLOOKUP($B159,Derived_Variables!$A:$A,Derived_Variables!$W:$W,1),
maxStart,XLOOKUP($B159,Derived_Variables!$A:$A,Derived_Variables!$U:$U,1.25),
maxAR,XLOOKUP($B159,Derived_Variables!$A:$A,Derived_Variables!$V:$V,3),
anom,XLOOKUP($B159,Derived_Variables!$A:$A,Derived_Variables!$Z:$Z,FALSE),
reStart,XLOOKUP($B159,Derived_Variables!$A:$A,Derived_Variables!$K:$K,0),
leStart,XLOOKUP($B159,Derived_Variables!$A:$A,Derived_Variables!$N:$N,0),
reAR,XLOOKUP($B159,AR_Input!$A:$A,AR_Input!$B:$B,reStart),
leAR,XLOOKUP($B159,AR_Input!$A:$A,AR_Input!$E:$E,leStart),
reEsc,AND(anom,OR(ABS((S159+AM159)-reStart)&gt;maxStart,ABS((S159+AM159)-reAR)&gt;maxAR)),
leEsc,AND(anom,OR(ABS((V159+AP159)-leStart)&gt;maxStart,ABS((V159+AP159)-leAR)&gt;maxAR)),
phaseMax,IFS(
 AK159="Fast",
   IFS(
     OR(C159="B",C159="D"),XLOOKUP("timeout_coarse_fast",Calibration!$B:$B,Calibration!$C:$C,24),
     OR(C159="E",C159="F",C159="H",C159="I"),XLOOKUP("timeout_jcc_fast",Calibration!$B:$B,Calibration!$C:$C,10),
     OR(C159="G",C159="J"),XLOOKUP("timeout_duochrome_fast",Calibration!$B:$B,Calibration!$C:$C,8),
     C159="K",XLOOKUP("timeout_bino_fast",Calibration!$B:$B,Calibration!$C:$C,10),
     OR(C159="P",C159="Q",C159="R"),XLOOKUP("timeout_near_fast",Calibration!$B:$B,Calibration!$C:$C,16),
     TRUE,XLOOKUP("timeout_coarse_fast",Calibration!$B:$B,Calibration!$C:$C,24)
   ),
 AK159="Normal",
   IFS(
     OR(C159="B",C159="D"),XLOOKUP("timeout_coarse_normal",Calibration!$B:$B,Calibration!$C:$C,36),
     OR(C159="E",C159="F",C159="H",C159="I"),XLOOKUP("timeout_jcc_normal",Calibration!$B:$B,Calibration!$C:$C,14),
     OR(C159="G",C159="J"),XLOOKUP("timeout_duochrome_normal",Calibration!$B:$B,Calibration!$C:$C,10),
     C159="K",XLOOKUP("timeout_bino_normal",Calibration!$B:$B,Calibration!$C:$C,14),
     OR(C159="P",C159="Q",C159="R"),XLOOKUP("timeout_near_normal",Calibration!$B:$B,Calibration!$C:$C,22),
     TRUE,XLOOKUP("timeout_coarse_normal",Calibration!$B:$B,Calibration!$C:$C,36)
   ),
 TRUE,
   IFS(
     OR(C159="B",C159="D"),XLOOKUP("timeout_coarse_slow",Calibration!$B:$B,Calibration!$C:$C,48),
     OR(C159="E",C159="F",C159="H",C159="I"),XLOOKUP("timeout_jcc_slow",Calibration!$B:$B,Calibration!$C:$C,18),
     OR(C159="G",C159="J"),XLOOKUP("timeout_duochrome_slow",Calibration!$B:$B,Calibration!$C:$C,12),
     C159="K",XLOOKUP("timeout_bino_slow",Calibration!$B:$B,Calibration!$C:$C,18),
     OR(C159="P",C159="Q",C159="R"),XLOOKUP("timeout_near_slow",Calibration!$B:$B,Calibration!$C:$C,28),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AJ159=TRUE,"ESCALATE",
C159="A",
IF(OR(I159="NOT_READABLE",I159="BLURRY",AND(R159="20_20_20",I159="READABLE")),"B","A"),
C159="B",
IF(reEsc,"ESCALATE",IF(AY159&gt;=phaseMax,"ESCALATE",IF(AND(AV159&gt;=AW159,I159="READABLE"),"E","B"))),
C159="E",
IF(AY159&gt;=phaseMax,"ESCALATE",IF(OR(I159="SAME",I159="CANT_TELL",AD159&lt;axisTol),"F","E")),
C159="F",
IF(AY159&gt;=phaseMax,"ESCALATE",IF(AX159&gt;=powerSameN,"G","F")),
C159="G",
IF(AY159&gt;=phaseMax,"ESCALATE",IF(OR(AX159&gt;=duoEqualN,BB159&gt;=duoMax),"D","G")),
C159="D",
IF(leEsc,"ESCALATE",IF(AY159&gt;=phaseMax,"ESCALATE",IF(AND(AV159&gt;=AW159,I159="READABLE"),"H","D"))),
C159="H",
IF(AY159&gt;=phaseMax,"ESCALATE",IF(OR(I159="SAME",I159="CANT_TELL",AD159&lt;axisTol),"I","H")),
C159="I",
IF(AY159&gt;=phaseMax,"ESCALATE",IF(AX159&gt;=powerSameN,"J","I")),
C159="J",
IF(AY159&gt;=phaseMax,"ESCALATE",IF(OR(AX159&gt;=duoEqualN,BB159&gt;=duoMax),"K","J")),
C159="K",
IF(AY159&gt;=phaseMax,"ESCALATE",IF(AX159&gt;=binoSameN,IF(XLOOKUP($B159,Derived_Variables!$A:$A,Derived_Variables!$AJ:$AJ,FALSE)=TRUE,"P","END"),"K")),
C159="P",
IF(AY159&gt;=phaseMax,"ESCALATE",IF(OR(I159="READABLE",I159="SAME"),"Q","P")),
C159="Q",
IF(AY159&gt;=phaseMax,"ESCALATE",IF(OR(I159="READABLE",I159="SAME"),"R","Q")),
C159="R",
IF(AY159&gt;=phaseMax,"ESCALATE",IF(OR(I159=nearTarget,I159="SAME"),"END","R")),
TRUE,"END"
)))</f>
        <v/>
      </c>
      <c r="BD159" s="28" t="b">
        <f t="shared" si="19"/>
        <v>0</v>
      </c>
    </row>
    <row r="160" ht="15.75" customHeight="1">
      <c r="A160" s="28">
        <f t="shared" si="3"/>
        <v>159</v>
      </c>
      <c r="B160" s="28">
        <f t="shared" si="4"/>
        <v>6</v>
      </c>
      <c r="C160" s="28" t="str">
        <f t="shared" si="5"/>
        <v/>
      </c>
      <c r="D160" s="28" t="str">
        <f t="array" ref="D160">IF($I159="","",XLOOKUP(C160,FSM_State_Map!A:A,FSM_State_Map!B:B,""))</f>
        <v/>
      </c>
      <c r="E160" s="28" t="str">
        <f t="array" ref="E160">IF($I159="","",XLOOKUP(C160,FSM_State_Map!A:A,FSM_State_Map!C:C,""))</f>
        <v/>
      </c>
      <c r="F160" s="28" t="str">
        <f t="array" ref="F160">IF($I159="","",XLOOKUP(E160,Phase_UI_Map!A:A,Phase_UI_Map!B:B,""))</f>
        <v/>
      </c>
      <c r="G160" s="28" t="str">
        <f t="array" ref="G160">IF($I159="","",XLOOKUP(E160,Phase_UI_Map!A:A,Phase_UI_Map!C:C,""))</f>
        <v/>
      </c>
      <c r="H160" s="28" t="str">
        <f t="array" ref="H160">IF($I159="","",XLOOKUP(E160,Phase_UI_Map!A:A,Phase_UI_Map!D:D,""))</f>
        <v/>
      </c>
      <c r="I160" s="29"/>
      <c r="J160" s="28" t="str">
        <f>IFERROR(__xludf.DUMMYFUNCTION("IF($I159="""","""",IFERROR(INDEX(FILTER(Response_Lists!$B:$B,Response_Lists!$A:$A=$H160),1),""""))"),"")</f>
        <v/>
      </c>
      <c r="K160" s="28" t="str">
        <f>IFERROR(__xludf.DUMMYFUNCTION("IF($I159="""","""",IFERROR(INDEX(FILTER(Response_Lists!$B:$B,Response_Lists!$A:$A=$H160),2),""""))"),"")</f>
        <v/>
      </c>
      <c r="L160" s="28" t="str">
        <f>IFERROR(__xludf.DUMMYFUNCTION("IF($I159="""","""",IFERROR(INDEX(FILTER(Response_Lists!$B:$B,Response_Lists!$A:$A=$H160),3),""""))"),"")</f>
        <v/>
      </c>
      <c r="M160" s="28" t="str">
        <f>IFERROR(__xludf.DUMMYFUNCTION("IF($I159="""","""",IFERROR(INDEX(FILTER(Response_Lists!$B:$B,Response_Lists!$A:$A=$H160),4),""""))"),"")</f>
        <v/>
      </c>
      <c r="N160" s="28" t="str">
        <f>IFERROR(__xludf.DUMMYFUNCTION("IF($I159="""","""",IFERROR(INDEX(FILTER(Response_Lists!$B:$B,Response_Lists!$A:$A=$H160),5),""""))"),"")</f>
        <v/>
      </c>
      <c r="O160" s="28" t="str">
        <f>IFERROR(__xludf.DUMMYFUNCTION("IF($I159="""","""",IFERROR(INDEX(FILTER(Response_Lists!$B:$B,Response_Lists!$A:$A=$H160),6),""""))"),"")</f>
        <v/>
      </c>
      <c r="P160" s="28" t="str">
        <f t="shared" si="6"/>
        <v/>
      </c>
      <c r="Q160" s="28" t="str">
        <f t="array" ref="Q160">IF($I159="","",XLOOKUP(C160,FSM_State_Map!A:A,FSM_State_Map!D:D,""))</f>
        <v/>
      </c>
      <c r="R160" s="28" t="str">
        <f t="shared" si="7"/>
        <v/>
      </c>
      <c r="S160" s="28" t="str">
        <f t="array" ref="S160">IF($I159="","",
IF(
  AND(C160="B",C159&lt;&gt;"B"),
  XLOOKUP($B160,Derived_Variables!$A:$A,Derived_Variables!$K:$K,0)
  + XLOOKUP($B160,Derived_Variables!$A:$A,Derived_Variables!$AE:$AE,0),
  S159+AM159
))</f>
        <v/>
      </c>
      <c r="T160" s="28" t="str">
        <f t="shared" ref="T160:U160" si="330">IF($I159="","",T159+AN159)</f>
        <v/>
      </c>
      <c r="U160" s="28" t="str">
        <f t="shared" si="330"/>
        <v/>
      </c>
      <c r="V160" s="28" t="str">
        <f t="array" ref="V160">IF($I159="","",
IF(
  AND(C160="D",C159&lt;&gt;"D"),
  XLOOKUP($B160,Derived_Variables!$A:$A,Derived_Variables!$N:$N,0)
  + XLOOKUP($B160,Derived_Variables!$A:$A,Derived_Variables!$AE:$AE,0),
  V159+AP159
))</f>
        <v/>
      </c>
      <c r="W160" s="28" t="str">
        <f t="shared" ref="W160:X160" si="331">IF($I159="","",W159+AQ159)</f>
        <v/>
      </c>
      <c r="X160" s="28" t="str">
        <f t="shared" si="331"/>
        <v/>
      </c>
      <c r="Y160" s="28" t="str">
        <f t="array" ref="Y160">IF($I159="","",IF(AND(C160="P",C159&lt;&gt;"P"),IFERROR(XLOOKUP($B160,Lenso_Input!$A:$A,Lenso_Input!$E:$E,0),0),Y159+AS159))</f>
        <v/>
      </c>
      <c r="Z160" s="28" t="str">
        <f t="array" ref="Z160">IF($I159="","",IF(AND(C160="Q",C159&lt;&gt;"Q"),IFERROR(XLOOKUP($B160,Lenso_Input!$A:$A,Lenso_Input!$I:$I,0),0),Z159+AT159))</f>
        <v/>
      </c>
      <c r="AA160" s="28" t="str">
        <f t="array" ref="AA160">IF($I159="","",IF(XLOOKUP($B160,Derived_Variables!$A:$A,Derived_Variables!$R:$R,"6/6_target")="6/6_target","20_20_20","40_30_25"))</f>
        <v/>
      </c>
      <c r="AB160" s="28" t="str">
        <f t="array" ref="AB160">IF($I159="","",XLOOKUP(LOWER(XLOOKUP($B160,Derived_Variables!$A:$A,Derived_Variables!$T:$T,"Standard"))&amp;"_sph_step",Calibration!$B:$B,Calibration!$C:$C,0.25))</f>
        <v/>
      </c>
      <c r="AC160" s="28" t="str">
        <f t="array" ref="AC160">IF($I159="","",XLOOKUP(LOWER(XLOOKUP($B160,Derived_Variables!$A:$A,Derived_Variables!$T:$T,"Standard"))&amp;"_cyl_step",Calibration!$B:$B,Calibration!$C:$C,0.25))</f>
        <v/>
      </c>
      <c r="AD160" s="28" t="str">
        <f t="array" ref="AD160">IF($I159="","",IF(OR(C160="E",C160="H"),LET(startStep,XLOOKUP("axis_start_step",Calibration!$B:$B,Calibration!$C:$C,5),step1,XLOOKUP("axis_reversal_step_1",Calibration!$B:$B,Calibration!$C:$C,3),step2,XLOOKUP("axis_reversal_step_2",Calibration!$B:$B,Calibration!$C:$C,1),IF(OR(C159&lt;&gt;C160,AZ160="",AZ160="SAME",AZ160="CANT_TELL",I160="",I160="SAME",I160="CANT_TELL"),startStep,IF(OR(AND(AZ160="BETTER_1",I160="BETTER_2"),AND(AZ160="BETTER_2",I160="BETTER_1")),IF(AD159&gt;step1,step1,step2),AD159))),0))</f>
        <v/>
      </c>
      <c r="AE160" s="28" t="str">
        <f t="array" ref="AE160">IF($I159="","",XLOOKUP($B160,Derived_Variables!$A:$A,Derived_Variables!$AD:$AD,"No_Fog"))</f>
        <v/>
      </c>
      <c r="AF160" s="28" t="str">
        <f t="array" ref="AF160">IF($I159="","",XLOOKUP($B160,Derived_Variables!$A:$A,Derived_Variables!$AE:$AE,0))</f>
        <v/>
      </c>
      <c r="AG160" s="28" t="str">
        <f t="array" ref="AG160">IF($I159="","",XLOOKUP($B160,Derived_Variables!$A:$A,Derived_Variables!$AF:$AF,""))</f>
        <v/>
      </c>
      <c r="AH160" s="28" t="str">
        <f t="array" ref="AH160">IF($I159="","",XLOOKUP($B160,Derived_Variables!$A:$A,Derived_Variables!$AG:$AG,""))</f>
        <v/>
      </c>
      <c r="AI160" s="28" t="str">
        <f t="array" ref="AI160">IF($I159="","",XLOOKUP($B160,Derived_Variables!$A:$A,Derived_Variables!$AC:$AC,"Medium"))</f>
        <v/>
      </c>
      <c r="AJ160" s="28" t="str">
        <f t="array" ref="AJ160">IF($I159="","",XLOOKUP($B160,Derived_Variables!$A:$A,Derived_Variables!$Y:$Y,FALSE))</f>
        <v/>
      </c>
      <c r="AK160" s="28" t="str">
        <f t="array" ref="AK160">IF($I159="","",XLOOKUP($B160,Derived_Variables!$A:$A,Derived_Variables!$AA:$AA,"Normal"))</f>
        <v/>
      </c>
      <c r="AL160" s="28" t="str">
        <f t="array" ref="AL160">IF($I159="","",XLOOKUP($B160,Derived_Variables!$A:$A,Derived_Variables!$AB:$AB,"Normal"))</f>
        <v/>
      </c>
      <c r="AM160" s="28" t="str">
        <f t="array" ref="AM160">IF($I160="","",IFS(C160="B",IF(OR(I160="NOT_READABLE",I160="BLURRY"),-AB160,0),C160="G",IFS(I160="RED_CLEARER",XLOOKUP("duochrome_red_step",Calibration!$B:$B,Calibration!$C:$C,-0.25),I160="GREEN_CLEARER",XLOOKUP("duochrome_green_step",Calibration!$B:$B,Calibration!$C:$C,0.25),I160="EQUAL",IF(XLOOKUP($B160,Derived_Variables!$A:$A,Derived_Variables!$S:$S,"Neutral")="Undercorrect",XLOOKUP("undercorrect_step",Calibration!$B:$B,Calibration!$C:$C,0.25),IF(XLOOKUP($B160,Derived_Variables!$A:$A,Derived_Variables!$S:$S,"Neutral")="Overcorrect",-XLOOKUP("overcorrect_step",Calibration!$B:$B,Calibration!$C:$C,0.25),0)),TRUE,0),C160="K",IF(I160="TOP_CLEARER",XLOOKUP("bino_balance_step",Calibration!$B:$B,Calibration!$C:$C,0.25),0),TRUE,0))</f>
        <v/>
      </c>
      <c r="AN160" s="28" t="str">
        <f t="shared" si="10"/>
        <v/>
      </c>
      <c r="AO160" s="28" t="str">
        <f t="shared" si="11"/>
        <v/>
      </c>
      <c r="AP160" s="28" t="str">
        <f t="array" ref="AP160">IF($I160="","",IFS(C160="D",IF(OR(I160="NOT_READABLE",I160="BLURRY"),-AB160,0),C160="J",IFS(I160="RED_CLEARER",XLOOKUP("duochrome_red_step",Calibration!$B:$B,Calibration!$C:$C,-0.25),I160="GREEN_CLEARER",XLOOKUP("duochrome_green_step",Calibration!$B:$B,Calibration!$C:$C,0.25),I160="EQUAL",IF(XLOOKUP($B160,Derived_Variables!$A:$A,Derived_Variables!$S:$S,"Neutral")="Undercorrect",XLOOKUP("undercorrect_step",Calibration!$B:$B,Calibration!$C:$C,0.25),IF(XLOOKUP($B160,Derived_Variables!$A:$A,Derived_Variables!$S:$S,"Neutral")="Overcorrect",-XLOOKUP("overcorrect_step",Calibration!$B:$B,Calibration!$C:$C,0.25),0)),TRUE,0),C160="K",IF(I160="BOTTOM_CLEARER",XLOOKUP("bino_balance_step",Calibration!$B:$B,Calibration!$C:$C,0.25),0),TRUE,0))</f>
        <v/>
      </c>
      <c r="AQ160" s="28" t="str">
        <f t="shared" si="12"/>
        <v/>
      </c>
      <c r="AR160" s="28" t="str">
        <f t="shared" si="13"/>
        <v/>
      </c>
      <c r="AS160" s="28" t="str">
        <f t="array" ref="AS160">IF($I160="","",IF(C160="P",IF(OR(I160="NOT_READABLE",I160="BLURRY"),XLOOKUP("near_add_step",Calibration!$B:$B,Calibration!$C:$C,0.25),0),IF(C160="R",IF(I160="NOT_CLEAR",XLOOKUP("near_add_step",Calibration!$B:$B,Calibration!$C:$C,0.25),0),0)))</f>
        <v/>
      </c>
      <c r="AT160" s="28" t="str">
        <f t="array" ref="AT160">IF($I160="","",IF(C160="Q",IF(OR(I160="NOT_READABLE",I160="BLURRY"),XLOOKUP("near_add_step",Calibration!$B:$B,Calibration!$C:$C,0.25),0),IF(C160="R",IF(I160="NOT_CLEAR",XLOOKUP("near_add_step",Calibration!$B:$B,Calibration!$C:$C,0.25),0),0)))</f>
        <v/>
      </c>
      <c r="AU160" s="28" t="str">
        <f t="array" ref="AU160">IF($I160="","",IF(G160="SNELLEN_FEET",IF(I160="READABLE",IFERROR(XLOOKUP(XLOOKUP(R160,Chart_Scale_Distance!B:B,Chart_Scale_Distance!A:A)+1,Chart_Scale_Distance!A:A,Chart_Scale_Distance!B:B),R160),R160),R160))</f>
        <v/>
      </c>
      <c r="AV160" s="28" t="str">
        <f t="array" ref="AV160">IF($I159="","",IFERROR(XLOOKUP(R160,Chart_Scale_Distance!$B:$B,Chart_Scale_Distance!$A:$A,""),""))</f>
        <v/>
      </c>
      <c r="AW160" s="28" t="str">
        <f t="array" ref="AW160">IF($I159="","",IFERROR(XLOOKUP(AA160,Chart_Scale_Distance!$B:$B,Chart_Scale_Distance!$A:$A,""),""))</f>
        <v/>
      </c>
      <c r="AX160" s="28" t="str">
        <f t="shared" si="14"/>
        <v/>
      </c>
      <c r="AY160" s="28" t="str">
        <f t="shared" si="15"/>
        <v/>
      </c>
      <c r="AZ160" s="28" t="str">
        <f t="shared" si="16"/>
        <v/>
      </c>
      <c r="BA160" s="28" t="str">
        <f t="shared" si="17"/>
        <v/>
      </c>
      <c r="BB160" s="28" t="str">
        <f t="shared" si="18"/>
        <v/>
      </c>
      <c r="BC160" s="28" t="str">
        <f t="array" ref="BC160">IF($I160="","",LET(
conf,AI160,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duoMax,XLOOKUP($B160,Derived_Variables!$A:$A,Derived_Variables!$AI:$AI,4),
axisTol,XLOOKUP($B160,Derived_Variables!$A:$A,Derived_Variables!$W:$W,1),
maxStart,XLOOKUP($B160,Derived_Variables!$A:$A,Derived_Variables!$U:$U,1.25),
maxAR,XLOOKUP($B160,Derived_Variables!$A:$A,Derived_Variables!$V:$V,3),
anom,XLOOKUP($B160,Derived_Variables!$A:$A,Derived_Variables!$Z:$Z,FALSE),
reStart,XLOOKUP($B160,Derived_Variables!$A:$A,Derived_Variables!$K:$K,0),
leStart,XLOOKUP($B160,Derived_Variables!$A:$A,Derived_Variables!$N:$N,0),
reAR,XLOOKUP($B160,AR_Input!$A:$A,AR_Input!$B:$B,reStart),
leAR,XLOOKUP($B160,AR_Input!$A:$A,AR_Input!$E:$E,leStart),
reEsc,AND(anom,OR(ABS((S160+AM160)-reStart)&gt;maxStart,ABS((S160+AM160)-reAR)&gt;maxAR)),
leEsc,AND(anom,OR(ABS((V160+AP160)-leStart)&gt;maxStart,ABS((V160+AP160)-leAR)&gt;maxAR)),
phaseMax,IFS(
 AK160="Fast",
   IFS(
     OR(C160="B",C160="D"),XLOOKUP("timeout_coarse_fast",Calibration!$B:$B,Calibration!$C:$C,24),
     OR(C160="E",C160="F",C160="H",C160="I"),XLOOKUP("timeout_jcc_fast",Calibration!$B:$B,Calibration!$C:$C,10),
     OR(C160="G",C160="J"),XLOOKUP("timeout_duochrome_fast",Calibration!$B:$B,Calibration!$C:$C,8),
     C160="K",XLOOKUP("timeout_bino_fast",Calibration!$B:$B,Calibration!$C:$C,10),
     OR(C160="P",C160="Q",C160="R"),XLOOKUP("timeout_near_fast",Calibration!$B:$B,Calibration!$C:$C,16),
     TRUE,XLOOKUP("timeout_coarse_fast",Calibration!$B:$B,Calibration!$C:$C,24)
   ),
 AK160="Normal",
   IFS(
     OR(C160="B",C160="D"),XLOOKUP("timeout_coarse_normal",Calibration!$B:$B,Calibration!$C:$C,36),
     OR(C160="E",C160="F",C160="H",C160="I"),XLOOKUP("timeout_jcc_normal",Calibration!$B:$B,Calibration!$C:$C,14),
     OR(C160="G",C160="J"),XLOOKUP("timeout_duochrome_normal",Calibration!$B:$B,Calibration!$C:$C,10),
     C160="K",XLOOKUP("timeout_bino_normal",Calibration!$B:$B,Calibration!$C:$C,14),
     OR(C160="P",C160="Q",C160="R"),XLOOKUP("timeout_near_normal",Calibration!$B:$B,Calibration!$C:$C,22),
     TRUE,XLOOKUP("timeout_coarse_normal",Calibration!$B:$B,Calibration!$C:$C,36)
   ),
 TRUE,
   IFS(
     OR(C160="B",C160="D"),XLOOKUP("timeout_coarse_slow",Calibration!$B:$B,Calibration!$C:$C,48),
     OR(C160="E",C160="F",C160="H",C160="I"),XLOOKUP("timeout_jcc_slow",Calibration!$B:$B,Calibration!$C:$C,18),
     OR(C160="G",C160="J"),XLOOKUP("timeout_duochrome_slow",Calibration!$B:$B,Calibration!$C:$C,12),
     C160="K",XLOOKUP("timeout_bino_slow",Calibration!$B:$B,Calibration!$C:$C,18),
     OR(C160="P",C160="Q",C160="R"),XLOOKUP("timeout_near_slow",Calibration!$B:$B,Calibration!$C:$C,28),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AJ160=TRUE,"ESCALATE",
C160="A",
IF(OR(I160="NOT_READABLE",I160="BLURRY",AND(R160="20_20_20",I160="READABLE")),"B","A"),
C160="B",
IF(reEsc,"ESCALATE",IF(AY160&gt;=phaseMax,"ESCALATE",IF(AND(AV160&gt;=AW160,I160="READABLE"),"E","B"))),
C160="E",
IF(AY160&gt;=phaseMax,"ESCALATE",IF(OR(I160="SAME",I160="CANT_TELL",AD160&lt;axisTol),"F","E")),
C160="F",
IF(AY160&gt;=phaseMax,"ESCALATE",IF(AX160&gt;=powerSameN,"G","F")),
C160="G",
IF(AY160&gt;=phaseMax,"ESCALATE",IF(OR(AX160&gt;=duoEqualN,BB160&gt;=duoMax),"D","G")),
C160="D",
IF(leEsc,"ESCALATE",IF(AY160&gt;=phaseMax,"ESCALATE",IF(AND(AV160&gt;=AW160,I160="READABLE"),"H","D"))),
C160="H",
IF(AY160&gt;=phaseMax,"ESCALATE",IF(OR(I160="SAME",I160="CANT_TELL",AD160&lt;axisTol),"I","H")),
C160="I",
IF(AY160&gt;=phaseMax,"ESCALATE",IF(AX160&gt;=powerSameN,"J","I")),
C160="J",
IF(AY160&gt;=phaseMax,"ESCALATE",IF(OR(AX160&gt;=duoEqualN,BB160&gt;=duoMax),"K","J")),
C160="K",
IF(AY160&gt;=phaseMax,"ESCALATE",IF(AX160&gt;=binoSameN,IF(XLOOKUP($B160,Derived_Variables!$A:$A,Derived_Variables!$AJ:$AJ,FALSE)=TRUE,"P","END"),"K")),
C160="P",
IF(AY160&gt;=phaseMax,"ESCALATE",IF(OR(I160="READABLE",I160="SAME"),"Q","P")),
C160="Q",
IF(AY160&gt;=phaseMax,"ESCALATE",IF(OR(I160="READABLE",I160="SAME"),"R","Q")),
C160="R",
IF(AY160&gt;=phaseMax,"ESCALATE",IF(OR(I160=nearTarget,I160="SAME"),"END","R")),
TRUE,"END"
)))</f>
        <v/>
      </c>
      <c r="BD160" s="28" t="b">
        <f t="shared" si="19"/>
        <v>0</v>
      </c>
    </row>
    <row r="161" ht="15.75" customHeight="1">
      <c r="A161" s="28">
        <f t="shared" si="3"/>
        <v>160</v>
      </c>
      <c r="B161" s="28">
        <f t="shared" si="4"/>
        <v>6</v>
      </c>
      <c r="C161" s="28" t="str">
        <f t="shared" si="5"/>
        <v/>
      </c>
      <c r="D161" s="28" t="str">
        <f t="array" ref="D161">IF($I160="","",XLOOKUP(C161,FSM_State_Map!A:A,FSM_State_Map!B:B,""))</f>
        <v/>
      </c>
      <c r="E161" s="28" t="str">
        <f t="array" ref="E161">IF($I160="","",XLOOKUP(C161,FSM_State_Map!A:A,FSM_State_Map!C:C,""))</f>
        <v/>
      </c>
      <c r="F161" s="28" t="str">
        <f t="array" ref="F161">IF($I160="","",XLOOKUP(E161,Phase_UI_Map!A:A,Phase_UI_Map!B:B,""))</f>
        <v/>
      </c>
      <c r="G161" s="28" t="str">
        <f t="array" ref="G161">IF($I160="","",XLOOKUP(E161,Phase_UI_Map!A:A,Phase_UI_Map!C:C,""))</f>
        <v/>
      </c>
      <c r="H161" s="28" t="str">
        <f t="array" ref="H161">IF($I160="","",XLOOKUP(E161,Phase_UI_Map!A:A,Phase_UI_Map!D:D,""))</f>
        <v/>
      </c>
      <c r="I161" s="29"/>
      <c r="J161" s="28" t="str">
        <f>IFERROR(__xludf.DUMMYFUNCTION("IF($I160="""","""",IFERROR(INDEX(FILTER(Response_Lists!$B:$B,Response_Lists!$A:$A=$H161),1),""""))"),"")</f>
        <v/>
      </c>
      <c r="K161" s="28" t="str">
        <f>IFERROR(__xludf.DUMMYFUNCTION("IF($I160="""","""",IFERROR(INDEX(FILTER(Response_Lists!$B:$B,Response_Lists!$A:$A=$H161),2),""""))"),"")</f>
        <v/>
      </c>
      <c r="L161" s="28" t="str">
        <f>IFERROR(__xludf.DUMMYFUNCTION("IF($I160="""","""",IFERROR(INDEX(FILTER(Response_Lists!$B:$B,Response_Lists!$A:$A=$H161),3),""""))"),"")</f>
        <v/>
      </c>
      <c r="M161" s="28" t="str">
        <f>IFERROR(__xludf.DUMMYFUNCTION("IF($I160="""","""",IFERROR(INDEX(FILTER(Response_Lists!$B:$B,Response_Lists!$A:$A=$H161),4),""""))"),"")</f>
        <v/>
      </c>
      <c r="N161" s="28" t="str">
        <f>IFERROR(__xludf.DUMMYFUNCTION("IF($I160="""","""",IFERROR(INDEX(FILTER(Response_Lists!$B:$B,Response_Lists!$A:$A=$H161),5),""""))"),"")</f>
        <v/>
      </c>
      <c r="O161" s="28" t="str">
        <f>IFERROR(__xludf.DUMMYFUNCTION("IF($I160="""","""",IFERROR(INDEX(FILTER(Response_Lists!$B:$B,Response_Lists!$A:$A=$H161),6),""""))"),"")</f>
        <v/>
      </c>
      <c r="P161" s="28" t="str">
        <f t="shared" si="6"/>
        <v/>
      </c>
      <c r="Q161" s="28" t="str">
        <f t="array" ref="Q161">IF($I160="","",XLOOKUP(C161,FSM_State_Map!A:A,FSM_State_Map!D:D,""))</f>
        <v/>
      </c>
      <c r="R161" s="28" t="str">
        <f t="shared" si="7"/>
        <v/>
      </c>
      <c r="S161" s="28" t="str">
        <f t="array" ref="S161">IF($I160="","",
IF(
  AND(C161="B",C160&lt;&gt;"B"),
  XLOOKUP($B161,Derived_Variables!$A:$A,Derived_Variables!$K:$K,0)
  + XLOOKUP($B161,Derived_Variables!$A:$A,Derived_Variables!$AE:$AE,0),
  S160+AM160
))</f>
        <v/>
      </c>
      <c r="T161" s="28" t="str">
        <f t="shared" ref="T161:U161" si="332">IF($I160="","",T160+AN160)</f>
        <v/>
      </c>
      <c r="U161" s="28" t="str">
        <f t="shared" si="332"/>
        <v/>
      </c>
      <c r="V161" s="28" t="str">
        <f t="array" ref="V161">IF($I160="","",
IF(
  AND(C161="D",C160&lt;&gt;"D"),
  XLOOKUP($B161,Derived_Variables!$A:$A,Derived_Variables!$N:$N,0)
  + XLOOKUP($B161,Derived_Variables!$A:$A,Derived_Variables!$AE:$AE,0),
  V160+AP160
))</f>
        <v/>
      </c>
      <c r="W161" s="28" t="str">
        <f t="shared" ref="W161:X161" si="333">IF($I160="","",W160+AQ160)</f>
        <v/>
      </c>
      <c r="X161" s="28" t="str">
        <f t="shared" si="333"/>
        <v/>
      </c>
      <c r="Y161" s="28" t="str">
        <f t="array" ref="Y161">IF($I160="","",IF(AND(C161="P",C160&lt;&gt;"P"),IFERROR(XLOOKUP($B161,Lenso_Input!$A:$A,Lenso_Input!$E:$E,0),0),Y160+AS160))</f>
        <v/>
      </c>
      <c r="Z161" s="28" t="str">
        <f t="array" ref="Z161">IF($I160="","",IF(AND(C161="Q",C160&lt;&gt;"Q"),IFERROR(XLOOKUP($B161,Lenso_Input!$A:$A,Lenso_Input!$I:$I,0),0),Z160+AT160))</f>
        <v/>
      </c>
      <c r="AA161" s="28" t="str">
        <f t="array" ref="AA161">IF($I160="","",IF(XLOOKUP($B161,Derived_Variables!$A:$A,Derived_Variables!$R:$R,"6/6_target")="6/6_target","20_20_20","40_30_25"))</f>
        <v/>
      </c>
      <c r="AB161" s="28" t="str">
        <f t="array" ref="AB161">IF($I160="","",XLOOKUP(LOWER(XLOOKUP($B161,Derived_Variables!$A:$A,Derived_Variables!$T:$T,"Standard"))&amp;"_sph_step",Calibration!$B:$B,Calibration!$C:$C,0.25))</f>
        <v/>
      </c>
      <c r="AC161" s="28" t="str">
        <f t="array" ref="AC161">IF($I160="","",XLOOKUP(LOWER(XLOOKUP($B161,Derived_Variables!$A:$A,Derived_Variables!$T:$T,"Standard"))&amp;"_cyl_step",Calibration!$B:$B,Calibration!$C:$C,0.25))</f>
        <v/>
      </c>
      <c r="AD161" s="28" t="str">
        <f t="array" ref="AD161">IF($I160="","",IF(OR(C161="E",C161="H"),LET(startStep,XLOOKUP("axis_start_step",Calibration!$B:$B,Calibration!$C:$C,5),step1,XLOOKUP("axis_reversal_step_1",Calibration!$B:$B,Calibration!$C:$C,3),step2,XLOOKUP("axis_reversal_step_2",Calibration!$B:$B,Calibration!$C:$C,1),IF(OR(C160&lt;&gt;C161,AZ161="",AZ161="SAME",AZ161="CANT_TELL",I161="",I161="SAME",I161="CANT_TELL"),startStep,IF(OR(AND(AZ161="BETTER_1",I161="BETTER_2"),AND(AZ161="BETTER_2",I161="BETTER_1")),IF(AD160&gt;step1,step1,step2),AD160))),0))</f>
        <v/>
      </c>
      <c r="AE161" s="28" t="str">
        <f t="array" ref="AE161">IF($I160="","",XLOOKUP($B161,Derived_Variables!$A:$A,Derived_Variables!$AD:$AD,"No_Fog"))</f>
        <v/>
      </c>
      <c r="AF161" s="28" t="str">
        <f t="array" ref="AF161">IF($I160="","",XLOOKUP($B161,Derived_Variables!$A:$A,Derived_Variables!$AE:$AE,0))</f>
        <v/>
      </c>
      <c r="AG161" s="28" t="str">
        <f t="array" ref="AG161">IF($I160="","",XLOOKUP($B161,Derived_Variables!$A:$A,Derived_Variables!$AF:$AF,""))</f>
        <v/>
      </c>
      <c r="AH161" s="28" t="str">
        <f t="array" ref="AH161">IF($I160="","",XLOOKUP($B161,Derived_Variables!$A:$A,Derived_Variables!$AG:$AG,""))</f>
        <v/>
      </c>
      <c r="AI161" s="28" t="str">
        <f t="array" ref="AI161">IF($I160="","",XLOOKUP($B161,Derived_Variables!$A:$A,Derived_Variables!$AC:$AC,"Medium"))</f>
        <v/>
      </c>
      <c r="AJ161" s="28" t="str">
        <f t="array" ref="AJ161">IF($I160="","",XLOOKUP($B161,Derived_Variables!$A:$A,Derived_Variables!$Y:$Y,FALSE))</f>
        <v/>
      </c>
      <c r="AK161" s="28" t="str">
        <f t="array" ref="AK161">IF($I160="","",XLOOKUP($B161,Derived_Variables!$A:$A,Derived_Variables!$AA:$AA,"Normal"))</f>
        <v/>
      </c>
      <c r="AL161" s="28" t="str">
        <f t="array" ref="AL161">IF($I160="","",XLOOKUP($B161,Derived_Variables!$A:$A,Derived_Variables!$AB:$AB,"Normal"))</f>
        <v/>
      </c>
      <c r="AM161" s="28" t="str">
        <f t="array" ref="AM161">IF($I161="","",IFS(C161="B",IF(OR(I161="NOT_READABLE",I161="BLURRY"),-AB161,0),C161="G",IFS(I161="RED_CLEARER",XLOOKUP("duochrome_red_step",Calibration!$B:$B,Calibration!$C:$C,-0.25),I161="GREEN_CLEARER",XLOOKUP("duochrome_green_step",Calibration!$B:$B,Calibration!$C:$C,0.25),I161="EQUAL",IF(XLOOKUP($B161,Derived_Variables!$A:$A,Derived_Variables!$S:$S,"Neutral")="Undercorrect",XLOOKUP("undercorrect_step",Calibration!$B:$B,Calibration!$C:$C,0.25),IF(XLOOKUP($B161,Derived_Variables!$A:$A,Derived_Variables!$S:$S,"Neutral")="Overcorrect",-XLOOKUP("overcorrect_step",Calibration!$B:$B,Calibration!$C:$C,0.25),0)),TRUE,0),C161="K",IF(I161="TOP_CLEARER",XLOOKUP("bino_balance_step",Calibration!$B:$B,Calibration!$C:$C,0.25),0),TRUE,0))</f>
        <v/>
      </c>
      <c r="AN161" s="28" t="str">
        <f t="shared" si="10"/>
        <v/>
      </c>
      <c r="AO161" s="28" t="str">
        <f t="shared" si="11"/>
        <v/>
      </c>
      <c r="AP161" s="28" t="str">
        <f t="array" ref="AP161">IF($I161="","",IFS(C161="D",IF(OR(I161="NOT_READABLE",I161="BLURRY"),-AB161,0),C161="J",IFS(I161="RED_CLEARER",XLOOKUP("duochrome_red_step",Calibration!$B:$B,Calibration!$C:$C,-0.25),I161="GREEN_CLEARER",XLOOKUP("duochrome_green_step",Calibration!$B:$B,Calibration!$C:$C,0.25),I161="EQUAL",IF(XLOOKUP($B161,Derived_Variables!$A:$A,Derived_Variables!$S:$S,"Neutral")="Undercorrect",XLOOKUP("undercorrect_step",Calibration!$B:$B,Calibration!$C:$C,0.25),IF(XLOOKUP($B161,Derived_Variables!$A:$A,Derived_Variables!$S:$S,"Neutral")="Overcorrect",-XLOOKUP("overcorrect_step",Calibration!$B:$B,Calibration!$C:$C,0.25),0)),TRUE,0),C161="K",IF(I161="BOTTOM_CLEARER",XLOOKUP("bino_balance_step",Calibration!$B:$B,Calibration!$C:$C,0.25),0),TRUE,0))</f>
        <v/>
      </c>
      <c r="AQ161" s="28" t="str">
        <f t="shared" si="12"/>
        <v/>
      </c>
      <c r="AR161" s="28" t="str">
        <f t="shared" si="13"/>
        <v/>
      </c>
      <c r="AS161" s="28" t="str">
        <f t="array" ref="AS161">IF($I161="","",IF(C161="P",IF(OR(I161="NOT_READABLE",I161="BLURRY"),XLOOKUP("near_add_step",Calibration!$B:$B,Calibration!$C:$C,0.25),0),IF(C161="R",IF(I161="NOT_CLEAR",XLOOKUP("near_add_step",Calibration!$B:$B,Calibration!$C:$C,0.25),0),0)))</f>
        <v/>
      </c>
      <c r="AT161" s="28" t="str">
        <f t="array" ref="AT161">IF($I161="","",IF(C161="Q",IF(OR(I161="NOT_READABLE",I161="BLURRY"),XLOOKUP("near_add_step",Calibration!$B:$B,Calibration!$C:$C,0.25),0),IF(C161="R",IF(I161="NOT_CLEAR",XLOOKUP("near_add_step",Calibration!$B:$B,Calibration!$C:$C,0.25),0),0)))</f>
        <v/>
      </c>
      <c r="AU161" s="28" t="str">
        <f t="array" ref="AU161">IF($I161="","",IF(G161="SNELLEN_FEET",IF(I161="READABLE",IFERROR(XLOOKUP(XLOOKUP(R161,Chart_Scale_Distance!B:B,Chart_Scale_Distance!A:A)+1,Chart_Scale_Distance!A:A,Chart_Scale_Distance!B:B),R161),R161),R161))</f>
        <v/>
      </c>
      <c r="AV161" s="28" t="str">
        <f t="array" ref="AV161">IF($I160="","",IFERROR(XLOOKUP(R161,Chart_Scale_Distance!$B:$B,Chart_Scale_Distance!$A:$A,""),""))</f>
        <v/>
      </c>
      <c r="AW161" s="28" t="str">
        <f t="array" ref="AW161">IF($I160="","",IFERROR(XLOOKUP(AA161,Chart_Scale_Distance!$B:$B,Chart_Scale_Distance!$A:$A,""),""))</f>
        <v/>
      </c>
      <c r="AX161" s="28" t="str">
        <f t="shared" si="14"/>
        <v/>
      </c>
      <c r="AY161" s="28" t="str">
        <f t="shared" si="15"/>
        <v/>
      </c>
      <c r="AZ161" s="28" t="str">
        <f t="shared" si="16"/>
        <v/>
      </c>
      <c r="BA161" s="28" t="str">
        <f t="shared" si="17"/>
        <v/>
      </c>
      <c r="BB161" s="28" t="str">
        <f t="shared" si="18"/>
        <v/>
      </c>
      <c r="BC161" s="28" t="str">
        <f t="array" ref="BC161">IF($I161="","",LET(
conf,AI161,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duoMax,XLOOKUP($B161,Derived_Variables!$A:$A,Derived_Variables!$AI:$AI,4),
axisTol,XLOOKUP($B161,Derived_Variables!$A:$A,Derived_Variables!$W:$W,1),
maxStart,XLOOKUP($B161,Derived_Variables!$A:$A,Derived_Variables!$U:$U,1.25),
maxAR,XLOOKUP($B161,Derived_Variables!$A:$A,Derived_Variables!$V:$V,3),
anom,XLOOKUP($B161,Derived_Variables!$A:$A,Derived_Variables!$Z:$Z,FALSE),
reStart,XLOOKUP($B161,Derived_Variables!$A:$A,Derived_Variables!$K:$K,0),
leStart,XLOOKUP($B161,Derived_Variables!$A:$A,Derived_Variables!$N:$N,0),
reAR,XLOOKUP($B161,AR_Input!$A:$A,AR_Input!$B:$B,reStart),
leAR,XLOOKUP($B161,AR_Input!$A:$A,AR_Input!$E:$E,leStart),
reEsc,AND(anom,OR(ABS((S161+AM161)-reStart)&gt;maxStart,ABS((S161+AM161)-reAR)&gt;maxAR)),
leEsc,AND(anom,OR(ABS((V161+AP161)-leStart)&gt;maxStart,ABS((V161+AP161)-leAR)&gt;maxAR)),
phaseMax,IFS(
 AK161="Fast",
   IFS(
     OR(C161="B",C161="D"),XLOOKUP("timeout_coarse_fast",Calibration!$B:$B,Calibration!$C:$C,24),
     OR(C161="E",C161="F",C161="H",C161="I"),XLOOKUP("timeout_jcc_fast",Calibration!$B:$B,Calibration!$C:$C,10),
     OR(C161="G",C161="J"),XLOOKUP("timeout_duochrome_fast",Calibration!$B:$B,Calibration!$C:$C,8),
     C161="K",XLOOKUP("timeout_bino_fast",Calibration!$B:$B,Calibration!$C:$C,10),
     OR(C161="P",C161="Q",C161="R"),XLOOKUP("timeout_near_fast",Calibration!$B:$B,Calibration!$C:$C,16),
     TRUE,XLOOKUP("timeout_coarse_fast",Calibration!$B:$B,Calibration!$C:$C,24)
   ),
 AK161="Normal",
   IFS(
     OR(C161="B",C161="D"),XLOOKUP("timeout_coarse_normal",Calibration!$B:$B,Calibration!$C:$C,36),
     OR(C161="E",C161="F",C161="H",C161="I"),XLOOKUP("timeout_jcc_normal",Calibration!$B:$B,Calibration!$C:$C,14),
     OR(C161="G",C161="J"),XLOOKUP("timeout_duochrome_normal",Calibration!$B:$B,Calibration!$C:$C,10),
     C161="K",XLOOKUP("timeout_bino_normal",Calibration!$B:$B,Calibration!$C:$C,14),
     OR(C161="P",C161="Q",C161="R"),XLOOKUP("timeout_near_normal",Calibration!$B:$B,Calibration!$C:$C,22),
     TRUE,XLOOKUP("timeout_coarse_normal",Calibration!$B:$B,Calibration!$C:$C,36)
   ),
 TRUE,
   IFS(
     OR(C161="B",C161="D"),XLOOKUP("timeout_coarse_slow",Calibration!$B:$B,Calibration!$C:$C,48),
     OR(C161="E",C161="F",C161="H",C161="I"),XLOOKUP("timeout_jcc_slow",Calibration!$B:$B,Calibration!$C:$C,18),
     OR(C161="G",C161="J"),XLOOKUP("timeout_duochrome_slow",Calibration!$B:$B,Calibration!$C:$C,12),
     C161="K",XLOOKUP("timeout_bino_slow",Calibration!$B:$B,Calibration!$C:$C,18),
     OR(C161="P",C161="Q",C161="R"),XLOOKUP("timeout_near_slow",Calibration!$B:$B,Calibration!$C:$C,28),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AJ161=TRUE,"ESCALATE",
C161="A",
IF(OR(I161="NOT_READABLE",I161="BLURRY",AND(R161="20_20_20",I161="READABLE")),"B","A"),
C161="B",
IF(reEsc,"ESCALATE",IF(AY161&gt;=phaseMax,"ESCALATE",IF(AND(AV161&gt;=AW161,I161="READABLE"),"E","B"))),
C161="E",
IF(AY161&gt;=phaseMax,"ESCALATE",IF(OR(I161="SAME",I161="CANT_TELL",AD161&lt;axisTol),"F","E")),
C161="F",
IF(AY161&gt;=phaseMax,"ESCALATE",IF(AX161&gt;=powerSameN,"G","F")),
C161="G",
IF(AY161&gt;=phaseMax,"ESCALATE",IF(OR(AX161&gt;=duoEqualN,BB161&gt;=duoMax),"D","G")),
C161="D",
IF(leEsc,"ESCALATE",IF(AY161&gt;=phaseMax,"ESCALATE",IF(AND(AV161&gt;=AW161,I161="READABLE"),"H","D"))),
C161="H",
IF(AY161&gt;=phaseMax,"ESCALATE",IF(OR(I161="SAME",I161="CANT_TELL",AD161&lt;axisTol),"I","H")),
C161="I",
IF(AY161&gt;=phaseMax,"ESCALATE",IF(AX161&gt;=powerSameN,"J","I")),
C161="J",
IF(AY161&gt;=phaseMax,"ESCALATE",IF(OR(AX161&gt;=duoEqualN,BB161&gt;=duoMax),"K","J")),
C161="K",
IF(AY161&gt;=phaseMax,"ESCALATE",IF(AX161&gt;=binoSameN,IF(XLOOKUP($B161,Derived_Variables!$A:$A,Derived_Variables!$AJ:$AJ,FALSE)=TRUE,"P","END"),"K")),
C161="P",
IF(AY161&gt;=phaseMax,"ESCALATE",IF(OR(I161="READABLE",I161="SAME"),"Q","P")),
C161="Q",
IF(AY161&gt;=phaseMax,"ESCALATE",IF(OR(I161="READABLE",I161="SAME"),"R","Q")),
C161="R",
IF(AY161&gt;=phaseMax,"ESCALATE",IF(OR(I161=nearTarget,I161="SAME"),"END","R")),
TRUE,"END"
)))</f>
        <v/>
      </c>
      <c r="BD161" s="28" t="b">
        <f t="shared" si="19"/>
        <v>0</v>
      </c>
    </row>
    <row r="162" ht="15.75" customHeight="1">
      <c r="A162" s="28">
        <f t="shared" si="3"/>
        <v>161</v>
      </c>
      <c r="B162" s="28">
        <f t="shared" si="4"/>
        <v>6</v>
      </c>
      <c r="C162" s="28" t="str">
        <f t="shared" si="5"/>
        <v/>
      </c>
      <c r="D162" s="28" t="str">
        <f t="array" ref="D162">IF($I161="","",XLOOKUP(C162,FSM_State_Map!A:A,FSM_State_Map!B:B,""))</f>
        <v/>
      </c>
      <c r="E162" s="28" t="str">
        <f t="array" ref="E162">IF($I161="","",XLOOKUP(C162,FSM_State_Map!A:A,FSM_State_Map!C:C,""))</f>
        <v/>
      </c>
      <c r="F162" s="28" t="str">
        <f t="array" ref="F162">IF($I161="","",XLOOKUP(E162,Phase_UI_Map!A:A,Phase_UI_Map!B:B,""))</f>
        <v/>
      </c>
      <c r="G162" s="28" t="str">
        <f t="array" ref="G162">IF($I161="","",XLOOKUP(E162,Phase_UI_Map!A:A,Phase_UI_Map!C:C,""))</f>
        <v/>
      </c>
      <c r="H162" s="28" t="str">
        <f t="array" ref="H162">IF($I161="","",XLOOKUP(E162,Phase_UI_Map!A:A,Phase_UI_Map!D:D,""))</f>
        <v/>
      </c>
      <c r="I162" s="29"/>
      <c r="J162" s="28" t="str">
        <f>IFERROR(__xludf.DUMMYFUNCTION("IF($I161="""","""",IFERROR(INDEX(FILTER(Response_Lists!$B:$B,Response_Lists!$A:$A=$H162),1),""""))"),"")</f>
        <v/>
      </c>
      <c r="K162" s="28" t="str">
        <f>IFERROR(__xludf.DUMMYFUNCTION("IF($I161="""","""",IFERROR(INDEX(FILTER(Response_Lists!$B:$B,Response_Lists!$A:$A=$H162),2),""""))"),"")</f>
        <v/>
      </c>
      <c r="L162" s="28" t="str">
        <f>IFERROR(__xludf.DUMMYFUNCTION("IF($I161="""","""",IFERROR(INDEX(FILTER(Response_Lists!$B:$B,Response_Lists!$A:$A=$H162),3),""""))"),"")</f>
        <v/>
      </c>
      <c r="M162" s="28" t="str">
        <f>IFERROR(__xludf.DUMMYFUNCTION("IF($I161="""","""",IFERROR(INDEX(FILTER(Response_Lists!$B:$B,Response_Lists!$A:$A=$H162),4),""""))"),"")</f>
        <v/>
      </c>
      <c r="N162" s="28" t="str">
        <f>IFERROR(__xludf.DUMMYFUNCTION("IF($I161="""","""",IFERROR(INDEX(FILTER(Response_Lists!$B:$B,Response_Lists!$A:$A=$H162),5),""""))"),"")</f>
        <v/>
      </c>
      <c r="O162" s="28" t="str">
        <f>IFERROR(__xludf.DUMMYFUNCTION("IF($I161="""","""",IFERROR(INDEX(FILTER(Response_Lists!$B:$B,Response_Lists!$A:$A=$H162),6),""""))"),"")</f>
        <v/>
      </c>
      <c r="P162" s="28" t="str">
        <f t="shared" si="6"/>
        <v/>
      </c>
      <c r="Q162" s="28" t="str">
        <f t="array" ref="Q162">IF($I161="","",XLOOKUP(C162,FSM_State_Map!A:A,FSM_State_Map!D:D,""))</f>
        <v/>
      </c>
      <c r="R162" s="28" t="str">
        <f t="shared" si="7"/>
        <v/>
      </c>
      <c r="S162" s="28" t="str">
        <f t="array" ref="S162">IF($I161="","",
IF(
  AND(C162="B",C161&lt;&gt;"B"),
  XLOOKUP($B162,Derived_Variables!$A:$A,Derived_Variables!$K:$K,0)
  + XLOOKUP($B162,Derived_Variables!$A:$A,Derived_Variables!$AE:$AE,0),
  S161+AM161
))</f>
        <v/>
      </c>
      <c r="T162" s="28" t="str">
        <f t="shared" ref="T162:U162" si="334">IF($I161="","",T161+AN161)</f>
        <v/>
      </c>
      <c r="U162" s="28" t="str">
        <f t="shared" si="334"/>
        <v/>
      </c>
      <c r="V162" s="28" t="str">
        <f t="array" ref="V162">IF($I161="","",
IF(
  AND(C162="D",C161&lt;&gt;"D"),
  XLOOKUP($B162,Derived_Variables!$A:$A,Derived_Variables!$N:$N,0)
  + XLOOKUP($B162,Derived_Variables!$A:$A,Derived_Variables!$AE:$AE,0),
  V161+AP161
))</f>
        <v/>
      </c>
      <c r="W162" s="28" t="str">
        <f t="shared" ref="W162:X162" si="335">IF($I161="","",W161+AQ161)</f>
        <v/>
      </c>
      <c r="X162" s="28" t="str">
        <f t="shared" si="335"/>
        <v/>
      </c>
      <c r="Y162" s="28" t="str">
        <f t="array" ref="Y162">IF($I161="","",IF(AND(C162="P",C161&lt;&gt;"P"),IFERROR(XLOOKUP($B162,Lenso_Input!$A:$A,Lenso_Input!$E:$E,0),0),Y161+AS161))</f>
        <v/>
      </c>
      <c r="Z162" s="28" t="str">
        <f t="array" ref="Z162">IF($I161="","",IF(AND(C162="Q",C161&lt;&gt;"Q"),IFERROR(XLOOKUP($B162,Lenso_Input!$A:$A,Lenso_Input!$I:$I,0),0),Z161+AT161))</f>
        <v/>
      </c>
      <c r="AA162" s="28" t="str">
        <f t="array" ref="AA162">IF($I161="","",IF(XLOOKUP($B162,Derived_Variables!$A:$A,Derived_Variables!$R:$R,"6/6_target")="6/6_target","20_20_20","40_30_25"))</f>
        <v/>
      </c>
      <c r="AB162" s="28" t="str">
        <f t="array" ref="AB162">IF($I161="","",XLOOKUP(LOWER(XLOOKUP($B162,Derived_Variables!$A:$A,Derived_Variables!$T:$T,"Standard"))&amp;"_sph_step",Calibration!$B:$B,Calibration!$C:$C,0.25))</f>
        <v/>
      </c>
      <c r="AC162" s="28" t="str">
        <f t="array" ref="AC162">IF($I161="","",XLOOKUP(LOWER(XLOOKUP($B162,Derived_Variables!$A:$A,Derived_Variables!$T:$T,"Standard"))&amp;"_cyl_step",Calibration!$B:$B,Calibration!$C:$C,0.25))</f>
        <v/>
      </c>
      <c r="AD162" s="28" t="str">
        <f t="array" ref="AD162">IF($I161="","",IF(OR(C162="E",C162="H"),LET(startStep,XLOOKUP("axis_start_step",Calibration!$B:$B,Calibration!$C:$C,5),step1,XLOOKUP("axis_reversal_step_1",Calibration!$B:$B,Calibration!$C:$C,3),step2,XLOOKUP("axis_reversal_step_2",Calibration!$B:$B,Calibration!$C:$C,1),IF(OR(C161&lt;&gt;C162,AZ162="",AZ162="SAME",AZ162="CANT_TELL",I162="",I162="SAME",I162="CANT_TELL"),startStep,IF(OR(AND(AZ162="BETTER_1",I162="BETTER_2"),AND(AZ162="BETTER_2",I162="BETTER_1")),IF(AD161&gt;step1,step1,step2),AD161))),0))</f>
        <v/>
      </c>
      <c r="AE162" s="28" t="str">
        <f t="array" ref="AE162">IF($I161="","",XLOOKUP($B162,Derived_Variables!$A:$A,Derived_Variables!$AD:$AD,"No_Fog"))</f>
        <v/>
      </c>
      <c r="AF162" s="28" t="str">
        <f t="array" ref="AF162">IF($I161="","",XLOOKUP($B162,Derived_Variables!$A:$A,Derived_Variables!$AE:$AE,0))</f>
        <v/>
      </c>
      <c r="AG162" s="28" t="str">
        <f t="array" ref="AG162">IF($I161="","",XLOOKUP($B162,Derived_Variables!$A:$A,Derived_Variables!$AF:$AF,""))</f>
        <v/>
      </c>
      <c r="AH162" s="28" t="str">
        <f t="array" ref="AH162">IF($I161="","",XLOOKUP($B162,Derived_Variables!$A:$A,Derived_Variables!$AG:$AG,""))</f>
        <v/>
      </c>
      <c r="AI162" s="28" t="str">
        <f t="array" ref="AI162">IF($I161="","",XLOOKUP($B162,Derived_Variables!$A:$A,Derived_Variables!$AC:$AC,"Medium"))</f>
        <v/>
      </c>
      <c r="AJ162" s="28" t="str">
        <f t="array" ref="AJ162">IF($I161="","",XLOOKUP($B162,Derived_Variables!$A:$A,Derived_Variables!$Y:$Y,FALSE))</f>
        <v/>
      </c>
      <c r="AK162" s="28" t="str">
        <f t="array" ref="AK162">IF($I161="","",XLOOKUP($B162,Derived_Variables!$A:$A,Derived_Variables!$AA:$AA,"Normal"))</f>
        <v/>
      </c>
      <c r="AL162" s="28" t="str">
        <f t="array" ref="AL162">IF($I161="","",XLOOKUP($B162,Derived_Variables!$A:$A,Derived_Variables!$AB:$AB,"Normal"))</f>
        <v/>
      </c>
      <c r="AM162" s="28" t="str">
        <f t="array" ref="AM162">IF($I162="","",IFS(C162="B",IF(OR(I162="NOT_READABLE",I162="BLURRY"),-AB162,0),C162="G",IFS(I162="RED_CLEARER",XLOOKUP("duochrome_red_step",Calibration!$B:$B,Calibration!$C:$C,-0.25),I162="GREEN_CLEARER",XLOOKUP("duochrome_green_step",Calibration!$B:$B,Calibration!$C:$C,0.25),I162="EQUAL",IF(XLOOKUP($B162,Derived_Variables!$A:$A,Derived_Variables!$S:$S,"Neutral")="Undercorrect",XLOOKUP("undercorrect_step",Calibration!$B:$B,Calibration!$C:$C,0.25),IF(XLOOKUP($B162,Derived_Variables!$A:$A,Derived_Variables!$S:$S,"Neutral")="Overcorrect",-XLOOKUP("overcorrect_step",Calibration!$B:$B,Calibration!$C:$C,0.25),0)),TRUE,0),C162="K",IF(I162="TOP_CLEARER",XLOOKUP("bino_balance_step",Calibration!$B:$B,Calibration!$C:$C,0.25),0),TRUE,0))</f>
        <v/>
      </c>
      <c r="AN162" s="28" t="str">
        <f t="shared" si="10"/>
        <v/>
      </c>
      <c r="AO162" s="28" t="str">
        <f t="shared" si="11"/>
        <v/>
      </c>
      <c r="AP162" s="28" t="str">
        <f t="array" ref="AP162">IF($I162="","",IFS(C162="D",IF(OR(I162="NOT_READABLE",I162="BLURRY"),-AB162,0),C162="J",IFS(I162="RED_CLEARER",XLOOKUP("duochrome_red_step",Calibration!$B:$B,Calibration!$C:$C,-0.25),I162="GREEN_CLEARER",XLOOKUP("duochrome_green_step",Calibration!$B:$B,Calibration!$C:$C,0.25),I162="EQUAL",IF(XLOOKUP($B162,Derived_Variables!$A:$A,Derived_Variables!$S:$S,"Neutral")="Undercorrect",XLOOKUP("undercorrect_step",Calibration!$B:$B,Calibration!$C:$C,0.25),IF(XLOOKUP($B162,Derived_Variables!$A:$A,Derived_Variables!$S:$S,"Neutral")="Overcorrect",-XLOOKUP("overcorrect_step",Calibration!$B:$B,Calibration!$C:$C,0.25),0)),TRUE,0),C162="K",IF(I162="BOTTOM_CLEARER",XLOOKUP("bino_balance_step",Calibration!$B:$B,Calibration!$C:$C,0.25),0),TRUE,0))</f>
        <v/>
      </c>
      <c r="AQ162" s="28" t="str">
        <f t="shared" si="12"/>
        <v/>
      </c>
      <c r="AR162" s="28" t="str">
        <f t="shared" si="13"/>
        <v/>
      </c>
      <c r="AS162" s="28" t="str">
        <f t="array" ref="AS162">IF($I162="","",IF(C162="P",IF(OR(I162="NOT_READABLE",I162="BLURRY"),XLOOKUP("near_add_step",Calibration!$B:$B,Calibration!$C:$C,0.25),0),IF(C162="R",IF(I162="NOT_CLEAR",XLOOKUP("near_add_step",Calibration!$B:$B,Calibration!$C:$C,0.25),0),0)))</f>
        <v/>
      </c>
      <c r="AT162" s="28" t="str">
        <f t="array" ref="AT162">IF($I162="","",IF(C162="Q",IF(OR(I162="NOT_READABLE",I162="BLURRY"),XLOOKUP("near_add_step",Calibration!$B:$B,Calibration!$C:$C,0.25),0),IF(C162="R",IF(I162="NOT_CLEAR",XLOOKUP("near_add_step",Calibration!$B:$B,Calibration!$C:$C,0.25),0),0)))</f>
        <v/>
      </c>
      <c r="AU162" s="28" t="str">
        <f t="array" ref="AU162">IF($I162="","",IF(G162="SNELLEN_FEET",IF(I162="READABLE",IFERROR(XLOOKUP(XLOOKUP(R162,Chart_Scale_Distance!B:B,Chart_Scale_Distance!A:A)+1,Chart_Scale_Distance!A:A,Chart_Scale_Distance!B:B),R162),R162),R162))</f>
        <v/>
      </c>
      <c r="AV162" s="28" t="str">
        <f t="array" ref="AV162">IF($I161="","",IFERROR(XLOOKUP(R162,Chart_Scale_Distance!$B:$B,Chart_Scale_Distance!$A:$A,""),""))</f>
        <v/>
      </c>
      <c r="AW162" s="28" t="str">
        <f t="array" ref="AW162">IF($I161="","",IFERROR(XLOOKUP(AA162,Chart_Scale_Distance!$B:$B,Chart_Scale_Distance!$A:$A,""),""))</f>
        <v/>
      </c>
      <c r="AX162" s="28" t="str">
        <f t="shared" si="14"/>
        <v/>
      </c>
      <c r="AY162" s="28" t="str">
        <f t="shared" si="15"/>
        <v/>
      </c>
      <c r="AZ162" s="28" t="str">
        <f t="shared" si="16"/>
        <v/>
      </c>
      <c r="BA162" s="28" t="str">
        <f t="shared" si="17"/>
        <v/>
      </c>
      <c r="BB162" s="28" t="str">
        <f t="shared" si="18"/>
        <v/>
      </c>
      <c r="BC162" s="28" t="str">
        <f t="array" ref="BC162">IF($I162="","",LET(
conf,AI162,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duoMax,XLOOKUP($B162,Derived_Variables!$A:$A,Derived_Variables!$AI:$AI,4),
axisTol,XLOOKUP($B162,Derived_Variables!$A:$A,Derived_Variables!$W:$W,1),
maxStart,XLOOKUP($B162,Derived_Variables!$A:$A,Derived_Variables!$U:$U,1.25),
maxAR,XLOOKUP($B162,Derived_Variables!$A:$A,Derived_Variables!$V:$V,3),
anom,XLOOKUP($B162,Derived_Variables!$A:$A,Derived_Variables!$Z:$Z,FALSE),
reStart,XLOOKUP($B162,Derived_Variables!$A:$A,Derived_Variables!$K:$K,0),
leStart,XLOOKUP($B162,Derived_Variables!$A:$A,Derived_Variables!$N:$N,0),
reAR,XLOOKUP($B162,AR_Input!$A:$A,AR_Input!$B:$B,reStart),
leAR,XLOOKUP($B162,AR_Input!$A:$A,AR_Input!$E:$E,leStart),
reEsc,AND(anom,OR(ABS((S162+AM162)-reStart)&gt;maxStart,ABS((S162+AM162)-reAR)&gt;maxAR)),
leEsc,AND(anom,OR(ABS((V162+AP162)-leStart)&gt;maxStart,ABS((V162+AP162)-leAR)&gt;maxAR)),
phaseMax,IFS(
 AK162="Fast",
   IFS(
     OR(C162="B",C162="D"),XLOOKUP("timeout_coarse_fast",Calibration!$B:$B,Calibration!$C:$C,24),
     OR(C162="E",C162="F",C162="H",C162="I"),XLOOKUP("timeout_jcc_fast",Calibration!$B:$B,Calibration!$C:$C,10),
     OR(C162="G",C162="J"),XLOOKUP("timeout_duochrome_fast",Calibration!$B:$B,Calibration!$C:$C,8),
     C162="K",XLOOKUP("timeout_bino_fast",Calibration!$B:$B,Calibration!$C:$C,10),
     OR(C162="P",C162="Q",C162="R"),XLOOKUP("timeout_near_fast",Calibration!$B:$B,Calibration!$C:$C,16),
     TRUE,XLOOKUP("timeout_coarse_fast",Calibration!$B:$B,Calibration!$C:$C,24)
   ),
 AK162="Normal",
   IFS(
     OR(C162="B",C162="D"),XLOOKUP("timeout_coarse_normal",Calibration!$B:$B,Calibration!$C:$C,36),
     OR(C162="E",C162="F",C162="H",C162="I"),XLOOKUP("timeout_jcc_normal",Calibration!$B:$B,Calibration!$C:$C,14),
     OR(C162="G",C162="J"),XLOOKUP("timeout_duochrome_normal",Calibration!$B:$B,Calibration!$C:$C,10),
     C162="K",XLOOKUP("timeout_bino_normal",Calibration!$B:$B,Calibration!$C:$C,14),
     OR(C162="P",C162="Q",C162="R"),XLOOKUP("timeout_near_normal",Calibration!$B:$B,Calibration!$C:$C,22),
     TRUE,XLOOKUP("timeout_coarse_normal",Calibration!$B:$B,Calibration!$C:$C,36)
   ),
 TRUE,
   IFS(
     OR(C162="B",C162="D"),XLOOKUP("timeout_coarse_slow",Calibration!$B:$B,Calibration!$C:$C,48),
     OR(C162="E",C162="F",C162="H",C162="I"),XLOOKUP("timeout_jcc_slow",Calibration!$B:$B,Calibration!$C:$C,18),
     OR(C162="G",C162="J"),XLOOKUP("timeout_duochrome_slow",Calibration!$B:$B,Calibration!$C:$C,12),
     C162="K",XLOOKUP("timeout_bino_slow",Calibration!$B:$B,Calibration!$C:$C,18),
     OR(C162="P",C162="Q",C162="R"),XLOOKUP("timeout_near_slow",Calibration!$B:$B,Calibration!$C:$C,28),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AJ162=TRUE,"ESCALATE",
C162="A",
IF(OR(I162="NOT_READABLE",I162="BLURRY",AND(R162="20_20_20",I162="READABLE")),"B","A"),
C162="B",
IF(reEsc,"ESCALATE",IF(AY162&gt;=phaseMax,"ESCALATE",IF(AND(AV162&gt;=AW162,I162="READABLE"),"E","B"))),
C162="E",
IF(AY162&gt;=phaseMax,"ESCALATE",IF(OR(I162="SAME",I162="CANT_TELL",AD162&lt;axisTol),"F","E")),
C162="F",
IF(AY162&gt;=phaseMax,"ESCALATE",IF(AX162&gt;=powerSameN,"G","F")),
C162="G",
IF(AY162&gt;=phaseMax,"ESCALATE",IF(OR(AX162&gt;=duoEqualN,BB162&gt;=duoMax),"D","G")),
C162="D",
IF(leEsc,"ESCALATE",IF(AY162&gt;=phaseMax,"ESCALATE",IF(AND(AV162&gt;=AW162,I162="READABLE"),"H","D"))),
C162="H",
IF(AY162&gt;=phaseMax,"ESCALATE",IF(OR(I162="SAME",I162="CANT_TELL",AD162&lt;axisTol),"I","H")),
C162="I",
IF(AY162&gt;=phaseMax,"ESCALATE",IF(AX162&gt;=powerSameN,"J","I")),
C162="J",
IF(AY162&gt;=phaseMax,"ESCALATE",IF(OR(AX162&gt;=duoEqualN,BB162&gt;=duoMax),"K","J")),
C162="K",
IF(AY162&gt;=phaseMax,"ESCALATE",IF(AX162&gt;=binoSameN,IF(XLOOKUP($B162,Derived_Variables!$A:$A,Derived_Variables!$AJ:$AJ,FALSE)=TRUE,"P","END"),"K")),
C162="P",
IF(AY162&gt;=phaseMax,"ESCALATE",IF(OR(I162="READABLE",I162="SAME"),"Q","P")),
C162="Q",
IF(AY162&gt;=phaseMax,"ESCALATE",IF(OR(I162="READABLE",I162="SAME"),"R","Q")),
C162="R",
IF(AY162&gt;=phaseMax,"ESCALATE",IF(OR(I162=nearTarget,I162="SAME"),"END","R")),
TRUE,"END"
)))</f>
        <v/>
      </c>
      <c r="BD162" s="28" t="b">
        <f t="shared" si="19"/>
        <v>0</v>
      </c>
    </row>
    <row r="163" ht="15.75" customHeight="1">
      <c r="A163" s="28">
        <f t="shared" si="3"/>
        <v>162</v>
      </c>
      <c r="B163" s="28">
        <f t="shared" si="4"/>
        <v>6</v>
      </c>
      <c r="C163" s="28" t="str">
        <f t="shared" si="5"/>
        <v/>
      </c>
      <c r="D163" s="28" t="str">
        <f t="array" ref="D163">IF($I162="","",XLOOKUP(C163,FSM_State_Map!A:A,FSM_State_Map!B:B,""))</f>
        <v/>
      </c>
      <c r="E163" s="28" t="str">
        <f t="array" ref="E163">IF($I162="","",XLOOKUP(C163,FSM_State_Map!A:A,FSM_State_Map!C:C,""))</f>
        <v/>
      </c>
      <c r="F163" s="28" t="str">
        <f t="array" ref="F163">IF($I162="","",XLOOKUP(E163,Phase_UI_Map!A:A,Phase_UI_Map!B:B,""))</f>
        <v/>
      </c>
      <c r="G163" s="28" t="str">
        <f t="array" ref="G163">IF($I162="","",XLOOKUP(E163,Phase_UI_Map!A:A,Phase_UI_Map!C:C,""))</f>
        <v/>
      </c>
      <c r="H163" s="28" t="str">
        <f t="array" ref="H163">IF($I162="","",XLOOKUP(E163,Phase_UI_Map!A:A,Phase_UI_Map!D:D,""))</f>
        <v/>
      </c>
      <c r="I163" s="29"/>
      <c r="J163" s="28" t="str">
        <f>IFERROR(__xludf.DUMMYFUNCTION("IF($I162="""","""",IFERROR(INDEX(FILTER(Response_Lists!$B:$B,Response_Lists!$A:$A=$H163),1),""""))"),"")</f>
        <v/>
      </c>
      <c r="K163" s="28" t="str">
        <f>IFERROR(__xludf.DUMMYFUNCTION("IF($I162="""","""",IFERROR(INDEX(FILTER(Response_Lists!$B:$B,Response_Lists!$A:$A=$H163),2),""""))"),"")</f>
        <v/>
      </c>
      <c r="L163" s="28" t="str">
        <f>IFERROR(__xludf.DUMMYFUNCTION("IF($I162="""","""",IFERROR(INDEX(FILTER(Response_Lists!$B:$B,Response_Lists!$A:$A=$H163),3),""""))"),"")</f>
        <v/>
      </c>
      <c r="M163" s="28" t="str">
        <f>IFERROR(__xludf.DUMMYFUNCTION("IF($I162="""","""",IFERROR(INDEX(FILTER(Response_Lists!$B:$B,Response_Lists!$A:$A=$H163),4),""""))"),"")</f>
        <v/>
      </c>
      <c r="N163" s="28" t="str">
        <f>IFERROR(__xludf.DUMMYFUNCTION("IF($I162="""","""",IFERROR(INDEX(FILTER(Response_Lists!$B:$B,Response_Lists!$A:$A=$H163),5),""""))"),"")</f>
        <v/>
      </c>
      <c r="O163" s="28" t="str">
        <f>IFERROR(__xludf.DUMMYFUNCTION("IF($I162="""","""",IFERROR(INDEX(FILTER(Response_Lists!$B:$B,Response_Lists!$A:$A=$H163),6),""""))"),"")</f>
        <v/>
      </c>
      <c r="P163" s="28" t="str">
        <f t="shared" si="6"/>
        <v/>
      </c>
      <c r="Q163" s="28" t="str">
        <f t="array" ref="Q163">IF($I162="","",XLOOKUP(C163,FSM_State_Map!A:A,FSM_State_Map!D:D,""))</f>
        <v/>
      </c>
      <c r="R163" s="28" t="str">
        <f t="shared" si="7"/>
        <v/>
      </c>
      <c r="S163" s="28" t="str">
        <f t="array" ref="S163">IF($I162="","",
IF(
  AND(C163="B",C162&lt;&gt;"B"),
  XLOOKUP($B163,Derived_Variables!$A:$A,Derived_Variables!$K:$K,0)
  + XLOOKUP($B163,Derived_Variables!$A:$A,Derived_Variables!$AE:$AE,0),
  S162+AM162
))</f>
        <v/>
      </c>
      <c r="T163" s="28" t="str">
        <f t="shared" ref="T163:U163" si="336">IF($I162="","",T162+AN162)</f>
        <v/>
      </c>
      <c r="U163" s="28" t="str">
        <f t="shared" si="336"/>
        <v/>
      </c>
      <c r="V163" s="28" t="str">
        <f t="array" ref="V163">IF($I162="","",
IF(
  AND(C163="D",C162&lt;&gt;"D"),
  XLOOKUP($B163,Derived_Variables!$A:$A,Derived_Variables!$N:$N,0)
  + XLOOKUP($B163,Derived_Variables!$A:$A,Derived_Variables!$AE:$AE,0),
  V162+AP162
))</f>
        <v/>
      </c>
      <c r="W163" s="28" t="str">
        <f t="shared" ref="W163:X163" si="337">IF($I162="","",W162+AQ162)</f>
        <v/>
      </c>
      <c r="X163" s="28" t="str">
        <f t="shared" si="337"/>
        <v/>
      </c>
      <c r="Y163" s="28" t="str">
        <f t="array" ref="Y163">IF($I162="","",IF(AND(C163="P",C162&lt;&gt;"P"),IFERROR(XLOOKUP($B163,Lenso_Input!$A:$A,Lenso_Input!$E:$E,0),0),Y162+AS162))</f>
        <v/>
      </c>
      <c r="Z163" s="28" t="str">
        <f t="array" ref="Z163">IF($I162="","",IF(AND(C163="Q",C162&lt;&gt;"Q"),IFERROR(XLOOKUP($B163,Lenso_Input!$A:$A,Lenso_Input!$I:$I,0),0),Z162+AT162))</f>
        <v/>
      </c>
      <c r="AA163" s="28" t="str">
        <f t="array" ref="AA163">IF($I162="","",IF(XLOOKUP($B163,Derived_Variables!$A:$A,Derived_Variables!$R:$R,"6/6_target")="6/6_target","20_20_20","40_30_25"))</f>
        <v/>
      </c>
      <c r="AB163" s="28" t="str">
        <f t="array" ref="AB163">IF($I162="","",XLOOKUP(LOWER(XLOOKUP($B163,Derived_Variables!$A:$A,Derived_Variables!$T:$T,"Standard"))&amp;"_sph_step",Calibration!$B:$B,Calibration!$C:$C,0.25))</f>
        <v/>
      </c>
      <c r="AC163" s="28" t="str">
        <f t="array" ref="AC163">IF($I162="","",XLOOKUP(LOWER(XLOOKUP($B163,Derived_Variables!$A:$A,Derived_Variables!$T:$T,"Standard"))&amp;"_cyl_step",Calibration!$B:$B,Calibration!$C:$C,0.25))</f>
        <v/>
      </c>
      <c r="AD163" s="28" t="str">
        <f t="array" ref="AD163">IF($I162="","",IF(OR(C163="E",C163="H"),LET(startStep,XLOOKUP("axis_start_step",Calibration!$B:$B,Calibration!$C:$C,5),step1,XLOOKUP("axis_reversal_step_1",Calibration!$B:$B,Calibration!$C:$C,3),step2,XLOOKUP("axis_reversal_step_2",Calibration!$B:$B,Calibration!$C:$C,1),IF(OR(C162&lt;&gt;C163,AZ163="",AZ163="SAME",AZ163="CANT_TELL",I163="",I163="SAME",I163="CANT_TELL"),startStep,IF(OR(AND(AZ163="BETTER_1",I163="BETTER_2"),AND(AZ163="BETTER_2",I163="BETTER_1")),IF(AD162&gt;step1,step1,step2),AD162))),0))</f>
        <v/>
      </c>
      <c r="AE163" s="28" t="str">
        <f t="array" ref="AE163">IF($I162="","",XLOOKUP($B163,Derived_Variables!$A:$A,Derived_Variables!$AD:$AD,"No_Fog"))</f>
        <v/>
      </c>
      <c r="AF163" s="28" t="str">
        <f t="array" ref="AF163">IF($I162="","",XLOOKUP($B163,Derived_Variables!$A:$A,Derived_Variables!$AE:$AE,0))</f>
        <v/>
      </c>
      <c r="AG163" s="28" t="str">
        <f t="array" ref="AG163">IF($I162="","",XLOOKUP($B163,Derived_Variables!$A:$A,Derived_Variables!$AF:$AF,""))</f>
        <v/>
      </c>
      <c r="AH163" s="28" t="str">
        <f t="array" ref="AH163">IF($I162="","",XLOOKUP($B163,Derived_Variables!$A:$A,Derived_Variables!$AG:$AG,""))</f>
        <v/>
      </c>
      <c r="AI163" s="28" t="str">
        <f t="array" ref="AI163">IF($I162="","",XLOOKUP($B163,Derived_Variables!$A:$A,Derived_Variables!$AC:$AC,"Medium"))</f>
        <v/>
      </c>
      <c r="AJ163" s="28" t="str">
        <f t="array" ref="AJ163">IF($I162="","",XLOOKUP($B163,Derived_Variables!$A:$A,Derived_Variables!$Y:$Y,FALSE))</f>
        <v/>
      </c>
      <c r="AK163" s="28" t="str">
        <f t="array" ref="AK163">IF($I162="","",XLOOKUP($B163,Derived_Variables!$A:$A,Derived_Variables!$AA:$AA,"Normal"))</f>
        <v/>
      </c>
      <c r="AL163" s="28" t="str">
        <f t="array" ref="AL163">IF($I162="","",XLOOKUP($B163,Derived_Variables!$A:$A,Derived_Variables!$AB:$AB,"Normal"))</f>
        <v/>
      </c>
      <c r="AM163" s="28" t="str">
        <f t="array" ref="AM163">IF($I163="","",IFS(C163="B",IF(OR(I163="NOT_READABLE",I163="BLURRY"),-AB163,0),C163="G",IFS(I163="RED_CLEARER",XLOOKUP("duochrome_red_step",Calibration!$B:$B,Calibration!$C:$C,-0.25),I163="GREEN_CLEARER",XLOOKUP("duochrome_green_step",Calibration!$B:$B,Calibration!$C:$C,0.25),I163="EQUAL",IF(XLOOKUP($B163,Derived_Variables!$A:$A,Derived_Variables!$S:$S,"Neutral")="Undercorrect",XLOOKUP("undercorrect_step",Calibration!$B:$B,Calibration!$C:$C,0.25),IF(XLOOKUP($B163,Derived_Variables!$A:$A,Derived_Variables!$S:$S,"Neutral")="Overcorrect",-XLOOKUP("overcorrect_step",Calibration!$B:$B,Calibration!$C:$C,0.25),0)),TRUE,0),C163="K",IF(I163="TOP_CLEARER",XLOOKUP("bino_balance_step",Calibration!$B:$B,Calibration!$C:$C,0.25),0),TRUE,0))</f>
        <v/>
      </c>
      <c r="AN163" s="28" t="str">
        <f t="shared" si="10"/>
        <v/>
      </c>
      <c r="AO163" s="28" t="str">
        <f t="shared" si="11"/>
        <v/>
      </c>
      <c r="AP163" s="28" t="str">
        <f t="array" ref="AP163">IF($I163="","",IFS(C163="D",IF(OR(I163="NOT_READABLE",I163="BLURRY"),-AB163,0),C163="J",IFS(I163="RED_CLEARER",XLOOKUP("duochrome_red_step",Calibration!$B:$B,Calibration!$C:$C,-0.25),I163="GREEN_CLEARER",XLOOKUP("duochrome_green_step",Calibration!$B:$B,Calibration!$C:$C,0.25),I163="EQUAL",IF(XLOOKUP($B163,Derived_Variables!$A:$A,Derived_Variables!$S:$S,"Neutral")="Undercorrect",XLOOKUP("undercorrect_step",Calibration!$B:$B,Calibration!$C:$C,0.25),IF(XLOOKUP($B163,Derived_Variables!$A:$A,Derived_Variables!$S:$S,"Neutral")="Overcorrect",-XLOOKUP("overcorrect_step",Calibration!$B:$B,Calibration!$C:$C,0.25),0)),TRUE,0),C163="K",IF(I163="BOTTOM_CLEARER",XLOOKUP("bino_balance_step",Calibration!$B:$B,Calibration!$C:$C,0.25),0),TRUE,0))</f>
        <v/>
      </c>
      <c r="AQ163" s="28" t="str">
        <f t="shared" si="12"/>
        <v/>
      </c>
      <c r="AR163" s="28" t="str">
        <f t="shared" si="13"/>
        <v/>
      </c>
      <c r="AS163" s="28" t="str">
        <f t="array" ref="AS163">IF($I163="","",IF(C163="P",IF(OR(I163="NOT_READABLE",I163="BLURRY"),XLOOKUP("near_add_step",Calibration!$B:$B,Calibration!$C:$C,0.25),0),IF(C163="R",IF(I163="NOT_CLEAR",XLOOKUP("near_add_step",Calibration!$B:$B,Calibration!$C:$C,0.25),0),0)))</f>
        <v/>
      </c>
      <c r="AT163" s="28" t="str">
        <f t="array" ref="AT163">IF($I163="","",IF(C163="Q",IF(OR(I163="NOT_READABLE",I163="BLURRY"),XLOOKUP("near_add_step",Calibration!$B:$B,Calibration!$C:$C,0.25),0),IF(C163="R",IF(I163="NOT_CLEAR",XLOOKUP("near_add_step",Calibration!$B:$B,Calibration!$C:$C,0.25),0),0)))</f>
        <v/>
      </c>
      <c r="AU163" s="28" t="str">
        <f t="array" ref="AU163">IF($I163="","",IF(G163="SNELLEN_FEET",IF(I163="READABLE",IFERROR(XLOOKUP(XLOOKUP(R163,Chart_Scale_Distance!B:B,Chart_Scale_Distance!A:A)+1,Chart_Scale_Distance!A:A,Chart_Scale_Distance!B:B),R163),R163),R163))</f>
        <v/>
      </c>
      <c r="AV163" s="28" t="str">
        <f t="array" ref="AV163">IF($I162="","",IFERROR(XLOOKUP(R163,Chart_Scale_Distance!$B:$B,Chart_Scale_Distance!$A:$A,""),""))</f>
        <v/>
      </c>
      <c r="AW163" s="28" t="str">
        <f t="array" ref="AW163">IF($I162="","",IFERROR(XLOOKUP(AA163,Chart_Scale_Distance!$B:$B,Chart_Scale_Distance!$A:$A,""),""))</f>
        <v/>
      </c>
      <c r="AX163" s="28" t="str">
        <f t="shared" si="14"/>
        <v/>
      </c>
      <c r="AY163" s="28" t="str">
        <f t="shared" si="15"/>
        <v/>
      </c>
      <c r="AZ163" s="28" t="str">
        <f t="shared" si="16"/>
        <v/>
      </c>
      <c r="BA163" s="28" t="str">
        <f t="shared" si="17"/>
        <v/>
      </c>
      <c r="BB163" s="28" t="str">
        <f t="shared" si="18"/>
        <v/>
      </c>
      <c r="BC163" s="28" t="str">
        <f t="array" ref="BC163">IF($I163="","",LET(
conf,AI163,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duoMax,XLOOKUP($B163,Derived_Variables!$A:$A,Derived_Variables!$AI:$AI,4),
axisTol,XLOOKUP($B163,Derived_Variables!$A:$A,Derived_Variables!$W:$W,1),
maxStart,XLOOKUP($B163,Derived_Variables!$A:$A,Derived_Variables!$U:$U,1.25),
maxAR,XLOOKUP($B163,Derived_Variables!$A:$A,Derived_Variables!$V:$V,3),
anom,XLOOKUP($B163,Derived_Variables!$A:$A,Derived_Variables!$Z:$Z,FALSE),
reStart,XLOOKUP($B163,Derived_Variables!$A:$A,Derived_Variables!$K:$K,0),
leStart,XLOOKUP($B163,Derived_Variables!$A:$A,Derived_Variables!$N:$N,0),
reAR,XLOOKUP($B163,AR_Input!$A:$A,AR_Input!$B:$B,reStart),
leAR,XLOOKUP($B163,AR_Input!$A:$A,AR_Input!$E:$E,leStart),
reEsc,AND(anom,OR(ABS((S163+AM163)-reStart)&gt;maxStart,ABS((S163+AM163)-reAR)&gt;maxAR)),
leEsc,AND(anom,OR(ABS((V163+AP163)-leStart)&gt;maxStart,ABS((V163+AP163)-leAR)&gt;maxAR)),
phaseMax,IFS(
 AK163="Fast",
   IFS(
     OR(C163="B",C163="D"),XLOOKUP("timeout_coarse_fast",Calibration!$B:$B,Calibration!$C:$C,24),
     OR(C163="E",C163="F",C163="H",C163="I"),XLOOKUP("timeout_jcc_fast",Calibration!$B:$B,Calibration!$C:$C,10),
     OR(C163="G",C163="J"),XLOOKUP("timeout_duochrome_fast",Calibration!$B:$B,Calibration!$C:$C,8),
     C163="K",XLOOKUP("timeout_bino_fast",Calibration!$B:$B,Calibration!$C:$C,10),
     OR(C163="P",C163="Q",C163="R"),XLOOKUP("timeout_near_fast",Calibration!$B:$B,Calibration!$C:$C,16),
     TRUE,XLOOKUP("timeout_coarse_fast",Calibration!$B:$B,Calibration!$C:$C,24)
   ),
 AK163="Normal",
   IFS(
     OR(C163="B",C163="D"),XLOOKUP("timeout_coarse_normal",Calibration!$B:$B,Calibration!$C:$C,36),
     OR(C163="E",C163="F",C163="H",C163="I"),XLOOKUP("timeout_jcc_normal",Calibration!$B:$B,Calibration!$C:$C,14),
     OR(C163="G",C163="J"),XLOOKUP("timeout_duochrome_normal",Calibration!$B:$B,Calibration!$C:$C,10),
     C163="K",XLOOKUP("timeout_bino_normal",Calibration!$B:$B,Calibration!$C:$C,14),
     OR(C163="P",C163="Q",C163="R"),XLOOKUP("timeout_near_normal",Calibration!$B:$B,Calibration!$C:$C,22),
     TRUE,XLOOKUP("timeout_coarse_normal",Calibration!$B:$B,Calibration!$C:$C,36)
   ),
 TRUE,
   IFS(
     OR(C163="B",C163="D"),XLOOKUP("timeout_coarse_slow",Calibration!$B:$B,Calibration!$C:$C,48),
     OR(C163="E",C163="F",C163="H",C163="I"),XLOOKUP("timeout_jcc_slow",Calibration!$B:$B,Calibration!$C:$C,18),
     OR(C163="G",C163="J"),XLOOKUP("timeout_duochrome_slow",Calibration!$B:$B,Calibration!$C:$C,12),
     C163="K",XLOOKUP("timeout_bino_slow",Calibration!$B:$B,Calibration!$C:$C,18),
     OR(C163="P",C163="Q",C163="R"),XLOOKUP("timeout_near_slow",Calibration!$B:$B,Calibration!$C:$C,28),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AJ163=TRUE,"ESCALATE",
C163="A",
IF(OR(I163="NOT_READABLE",I163="BLURRY",AND(R163="20_20_20",I163="READABLE")),"B","A"),
C163="B",
IF(reEsc,"ESCALATE",IF(AY163&gt;=phaseMax,"ESCALATE",IF(AND(AV163&gt;=AW163,I163="READABLE"),"E","B"))),
C163="E",
IF(AY163&gt;=phaseMax,"ESCALATE",IF(OR(I163="SAME",I163="CANT_TELL",AD163&lt;axisTol),"F","E")),
C163="F",
IF(AY163&gt;=phaseMax,"ESCALATE",IF(AX163&gt;=powerSameN,"G","F")),
C163="G",
IF(AY163&gt;=phaseMax,"ESCALATE",IF(OR(AX163&gt;=duoEqualN,BB163&gt;=duoMax),"D","G")),
C163="D",
IF(leEsc,"ESCALATE",IF(AY163&gt;=phaseMax,"ESCALATE",IF(AND(AV163&gt;=AW163,I163="READABLE"),"H","D"))),
C163="H",
IF(AY163&gt;=phaseMax,"ESCALATE",IF(OR(I163="SAME",I163="CANT_TELL",AD163&lt;axisTol),"I","H")),
C163="I",
IF(AY163&gt;=phaseMax,"ESCALATE",IF(AX163&gt;=powerSameN,"J","I")),
C163="J",
IF(AY163&gt;=phaseMax,"ESCALATE",IF(OR(AX163&gt;=duoEqualN,BB163&gt;=duoMax),"K","J")),
C163="K",
IF(AY163&gt;=phaseMax,"ESCALATE",IF(AX163&gt;=binoSameN,IF(XLOOKUP($B163,Derived_Variables!$A:$A,Derived_Variables!$AJ:$AJ,FALSE)=TRUE,"P","END"),"K")),
C163="P",
IF(AY163&gt;=phaseMax,"ESCALATE",IF(OR(I163="READABLE",I163="SAME"),"Q","P")),
C163="Q",
IF(AY163&gt;=phaseMax,"ESCALATE",IF(OR(I163="READABLE",I163="SAME"),"R","Q")),
C163="R",
IF(AY163&gt;=phaseMax,"ESCALATE",IF(OR(I163=nearTarget,I163="SAME"),"END","R")),
TRUE,"END"
)))</f>
        <v/>
      </c>
      <c r="BD163" s="28" t="b">
        <f t="shared" si="19"/>
        <v>0</v>
      </c>
    </row>
    <row r="164" ht="15.75" customHeight="1">
      <c r="A164" s="28">
        <f t="shared" si="3"/>
        <v>163</v>
      </c>
      <c r="B164" s="28">
        <f t="shared" si="4"/>
        <v>6</v>
      </c>
      <c r="C164" s="28" t="str">
        <f t="shared" si="5"/>
        <v/>
      </c>
      <c r="D164" s="28" t="str">
        <f t="array" ref="D164">IF($I163="","",XLOOKUP(C164,FSM_State_Map!A:A,FSM_State_Map!B:B,""))</f>
        <v/>
      </c>
      <c r="E164" s="28" t="str">
        <f t="array" ref="E164">IF($I163="","",XLOOKUP(C164,FSM_State_Map!A:A,FSM_State_Map!C:C,""))</f>
        <v/>
      </c>
      <c r="F164" s="28" t="str">
        <f t="array" ref="F164">IF($I163="","",XLOOKUP(E164,Phase_UI_Map!A:A,Phase_UI_Map!B:B,""))</f>
        <v/>
      </c>
      <c r="G164" s="28" t="str">
        <f t="array" ref="G164">IF($I163="","",XLOOKUP(E164,Phase_UI_Map!A:A,Phase_UI_Map!C:C,""))</f>
        <v/>
      </c>
      <c r="H164" s="28" t="str">
        <f t="array" ref="H164">IF($I163="","",XLOOKUP(E164,Phase_UI_Map!A:A,Phase_UI_Map!D:D,""))</f>
        <v/>
      </c>
      <c r="I164" s="29"/>
      <c r="J164" s="28" t="str">
        <f>IFERROR(__xludf.DUMMYFUNCTION("IF($I163="""","""",IFERROR(INDEX(FILTER(Response_Lists!$B:$B,Response_Lists!$A:$A=$H164),1),""""))"),"")</f>
        <v/>
      </c>
      <c r="K164" s="28" t="str">
        <f>IFERROR(__xludf.DUMMYFUNCTION("IF($I163="""","""",IFERROR(INDEX(FILTER(Response_Lists!$B:$B,Response_Lists!$A:$A=$H164),2),""""))"),"")</f>
        <v/>
      </c>
      <c r="L164" s="28" t="str">
        <f>IFERROR(__xludf.DUMMYFUNCTION("IF($I163="""","""",IFERROR(INDEX(FILTER(Response_Lists!$B:$B,Response_Lists!$A:$A=$H164),3),""""))"),"")</f>
        <v/>
      </c>
      <c r="M164" s="28" t="str">
        <f>IFERROR(__xludf.DUMMYFUNCTION("IF($I163="""","""",IFERROR(INDEX(FILTER(Response_Lists!$B:$B,Response_Lists!$A:$A=$H164),4),""""))"),"")</f>
        <v/>
      </c>
      <c r="N164" s="28" t="str">
        <f>IFERROR(__xludf.DUMMYFUNCTION("IF($I163="""","""",IFERROR(INDEX(FILTER(Response_Lists!$B:$B,Response_Lists!$A:$A=$H164),5),""""))"),"")</f>
        <v/>
      </c>
      <c r="O164" s="28" t="str">
        <f>IFERROR(__xludf.DUMMYFUNCTION("IF($I163="""","""",IFERROR(INDEX(FILTER(Response_Lists!$B:$B,Response_Lists!$A:$A=$H164),6),""""))"),"")</f>
        <v/>
      </c>
      <c r="P164" s="28" t="str">
        <f t="shared" si="6"/>
        <v/>
      </c>
      <c r="Q164" s="28" t="str">
        <f t="array" ref="Q164">IF($I163="","",XLOOKUP(C164,FSM_State_Map!A:A,FSM_State_Map!D:D,""))</f>
        <v/>
      </c>
      <c r="R164" s="28" t="str">
        <f t="shared" si="7"/>
        <v/>
      </c>
      <c r="S164" s="28" t="str">
        <f t="array" ref="S164">IF($I163="","",
IF(
  AND(C164="B",C163&lt;&gt;"B"),
  XLOOKUP($B164,Derived_Variables!$A:$A,Derived_Variables!$K:$K,0)
  + XLOOKUP($B164,Derived_Variables!$A:$A,Derived_Variables!$AE:$AE,0),
  S163+AM163
))</f>
        <v/>
      </c>
      <c r="T164" s="28" t="str">
        <f t="shared" ref="T164:U164" si="338">IF($I163="","",T163+AN163)</f>
        <v/>
      </c>
      <c r="U164" s="28" t="str">
        <f t="shared" si="338"/>
        <v/>
      </c>
      <c r="V164" s="28" t="str">
        <f t="array" ref="V164">IF($I163="","",
IF(
  AND(C164="D",C163&lt;&gt;"D"),
  XLOOKUP($B164,Derived_Variables!$A:$A,Derived_Variables!$N:$N,0)
  + XLOOKUP($B164,Derived_Variables!$A:$A,Derived_Variables!$AE:$AE,0),
  V163+AP163
))</f>
        <v/>
      </c>
      <c r="W164" s="28" t="str">
        <f t="shared" ref="W164:X164" si="339">IF($I163="","",W163+AQ163)</f>
        <v/>
      </c>
      <c r="X164" s="28" t="str">
        <f t="shared" si="339"/>
        <v/>
      </c>
      <c r="Y164" s="28" t="str">
        <f t="array" ref="Y164">IF($I163="","",IF(AND(C164="P",C163&lt;&gt;"P"),IFERROR(XLOOKUP($B164,Lenso_Input!$A:$A,Lenso_Input!$E:$E,0),0),Y163+AS163))</f>
        <v/>
      </c>
      <c r="Z164" s="28" t="str">
        <f t="array" ref="Z164">IF($I163="","",IF(AND(C164="Q",C163&lt;&gt;"Q"),IFERROR(XLOOKUP($B164,Lenso_Input!$A:$A,Lenso_Input!$I:$I,0),0),Z163+AT163))</f>
        <v/>
      </c>
      <c r="AA164" s="28" t="str">
        <f t="array" ref="AA164">IF($I163="","",IF(XLOOKUP($B164,Derived_Variables!$A:$A,Derived_Variables!$R:$R,"6/6_target")="6/6_target","20_20_20","40_30_25"))</f>
        <v/>
      </c>
      <c r="AB164" s="28" t="str">
        <f t="array" ref="AB164">IF($I163="","",XLOOKUP(LOWER(XLOOKUP($B164,Derived_Variables!$A:$A,Derived_Variables!$T:$T,"Standard"))&amp;"_sph_step",Calibration!$B:$B,Calibration!$C:$C,0.25))</f>
        <v/>
      </c>
      <c r="AC164" s="28" t="str">
        <f t="array" ref="AC164">IF($I163="","",XLOOKUP(LOWER(XLOOKUP($B164,Derived_Variables!$A:$A,Derived_Variables!$T:$T,"Standard"))&amp;"_cyl_step",Calibration!$B:$B,Calibration!$C:$C,0.25))</f>
        <v/>
      </c>
      <c r="AD164" s="28" t="str">
        <f t="array" ref="AD164">IF($I163="","",IF(OR(C164="E",C164="H"),LET(startStep,XLOOKUP("axis_start_step",Calibration!$B:$B,Calibration!$C:$C,5),step1,XLOOKUP("axis_reversal_step_1",Calibration!$B:$B,Calibration!$C:$C,3),step2,XLOOKUP("axis_reversal_step_2",Calibration!$B:$B,Calibration!$C:$C,1),IF(OR(C163&lt;&gt;C164,AZ164="",AZ164="SAME",AZ164="CANT_TELL",I164="",I164="SAME",I164="CANT_TELL"),startStep,IF(OR(AND(AZ164="BETTER_1",I164="BETTER_2"),AND(AZ164="BETTER_2",I164="BETTER_1")),IF(AD163&gt;step1,step1,step2),AD163))),0))</f>
        <v/>
      </c>
      <c r="AE164" s="28" t="str">
        <f t="array" ref="AE164">IF($I163="","",XLOOKUP($B164,Derived_Variables!$A:$A,Derived_Variables!$AD:$AD,"No_Fog"))</f>
        <v/>
      </c>
      <c r="AF164" s="28" t="str">
        <f t="array" ref="AF164">IF($I163="","",XLOOKUP($B164,Derived_Variables!$A:$A,Derived_Variables!$AE:$AE,0))</f>
        <v/>
      </c>
      <c r="AG164" s="28" t="str">
        <f t="array" ref="AG164">IF($I163="","",XLOOKUP($B164,Derived_Variables!$A:$A,Derived_Variables!$AF:$AF,""))</f>
        <v/>
      </c>
      <c r="AH164" s="28" t="str">
        <f t="array" ref="AH164">IF($I163="","",XLOOKUP($B164,Derived_Variables!$A:$A,Derived_Variables!$AG:$AG,""))</f>
        <v/>
      </c>
      <c r="AI164" s="28" t="str">
        <f t="array" ref="AI164">IF($I163="","",XLOOKUP($B164,Derived_Variables!$A:$A,Derived_Variables!$AC:$AC,"Medium"))</f>
        <v/>
      </c>
      <c r="AJ164" s="28" t="str">
        <f t="array" ref="AJ164">IF($I163="","",XLOOKUP($B164,Derived_Variables!$A:$A,Derived_Variables!$Y:$Y,FALSE))</f>
        <v/>
      </c>
      <c r="AK164" s="28" t="str">
        <f t="array" ref="AK164">IF($I163="","",XLOOKUP($B164,Derived_Variables!$A:$A,Derived_Variables!$AA:$AA,"Normal"))</f>
        <v/>
      </c>
      <c r="AL164" s="28" t="str">
        <f t="array" ref="AL164">IF($I163="","",XLOOKUP($B164,Derived_Variables!$A:$A,Derived_Variables!$AB:$AB,"Normal"))</f>
        <v/>
      </c>
      <c r="AM164" s="28" t="str">
        <f t="array" ref="AM164">IF($I164="","",IFS(C164="B",IF(OR(I164="NOT_READABLE",I164="BLURRY"),-AB164,0),C164="G",IFS(I164="RED_CLEARER",XLOOKUP("duochrome_red_step",Calibration!$B:$B,Calibration!$C:$C,-0.25),I164="GREEN_CLEARER",XLOOKUP("duochrome_green_step",Calibration!$B:$B,Calibration!$C:$C,0.25),I164="EQUAL",IF(XLOOKUP($B164,Derived_Variables!$A:$A,Derived_Variables!$S:$S,"Neutral")="Undercorrect",XLOOKUP("undercorrect_step",Calibration!$B:$B,Calibration!$C:$C,0.25),IF(XLOOKUP($B164,Derived_Variables!$A:$A,Derived_Variables!$S:$S,"Neutral")="Overcorrect",-XLOOKUP("overcorrect_step",Calibration!$B:$B,Calibration!$C:$C,0.25),0)),TRUE,0),C164="K",IF(I164="TOP_CLEARER",XLOOKUP("bino_balance_step",Calibration!$B:$B,Calibration!$C:$C,0.25),0),TRUE,0))</f>
        <v/>
      </c>
      <c r="AN164" s="28" t="str">
        <f t="shared" si="10"/>
        <v/>
      </c>
      <c r="AO164" s="28" t="str">
        <f t="shared" si="11"/>
        <v/>
      </c>
      <c r="AP164" s="28" t="str">
        <f t="array" ref="AP164">IF($I164="","",IFS(C164="D",IF(OR(I164="NOT_READABLE",I164="BLURRY"),-AB164,0),C164="J",IFS(I164="RED_CLEARER",XLOOKUP("duochrome_red_step",Calibration!$B:$B,Calibration!$C:$C,-0.25),I164="GREEN_CLEARER",XLOOKUP("duochrome_green_step",Calibration!$B:$B,Calibration!$C:$C,0.25),I164="EQUAL",IF(XLOOKUP($B164,Derived_Variables!$A:$A,Derived_Variables!$S:$S,"Neutral")="Undercorrect",XLOOKUP("undercorrect_step",Calibration!$B:$B,Calibration!$C:$C,0.25),IF(XLOOKUP($B164,Derived_Variables!$A:$A,Derived_Variables!$S:$S,"Neutral")="Overcorrect",-XLOOKUP("overcorrect_step",Calibration!$B:$B,Calibration!$C:$C,0.25),0)),TRUE,0),C164="K",IF(I164="BOTTOM_CLEARER",XLOOKUP("bino_balance_step",Calibration!$B:$B,Calibration!$C:$C,0.25),0),TRUE,0))</f>
        <v/>
      </c>
      <c r="AQ164" s="28" t="str">
        <f t="shared" si="12"/>
        <v/>
      </c>
      <c r="AR164" s="28" t="str">
        <f t="shared" si="13"/>
        <v/>
      </c>
      <c r="AS164" s="28" t="str">
        <f t="array" ref="AS164">IF($I164="","",IF(C164="P",IF(OR(I164="NOT_READABLE",I164="BLURRY"),XLOOKUP("near_add_step",Calibration!$B:$B,Calibration!$C:$C,0.25),0),IF(C164="R",IF(I164="NOT_CLEAR",XLOOKUP("near_add_step",Calibration!$B:$B,Calibration!$C:$C,0.25),0),0)))</f>
        <v/>
      </c>
      <c r="AT164" s="28" t="str">
        <f t="array" ref="AT164">IF($I164="","",IF(C164="Q",IF(OR(I164="NOT_READABLE",I164="BLURRY"),XLOOKUP("near_add_step",Calibration!$B:$B,Calibration!$C:$C,0.25),0),IF(C164="R",IF(I164="NOT_CLEAR",XLOOKUP("near_add_step",Calibration!$B:$B,Calibration!$C:$C,0.25),0),0)))</f>
        <v/>
      </c>
      <c r="AU164" s="28" t="str">
        <f t="array" ref="AU164">IF($I164="","",IF(G164="SNELLEN_FEET",IF(I164="READABLE",IFERROR(XLOOKUP(XLOOKUP(R164,Chart_Scale_Distance!B:B,Chart_Scale_Distance!A:A)+1,Chart_Scale_Distance!A:A,Chart_Scale_Distance!B:B),R164),R164),R164))</f>
        <v/>
      </c>
      <c r="AV164" s="28" t="str">
        <f t="array" ref="AV164">IF($I163="","",IFERROR(XLOOKUP(R164,Chart_Scale_Distance!$B:$B,Chart_Scale_Distance!$A:$A,""),""))</f>
        <v/>
      </c>
      <c r="AW164" s="28" t="str">
        <f t="array" ref="AW164">IF($I163="","",IFERROR(XLOOKUP(AA164,Chart_Scale_Distance!$B:$B,Chart_Scale_Distance!$A:$A,""),""))</f>
        <v/>
      </c>
      <c r="AX164" s="28" t="str">
        <f t="shared" si="14"/>
        <v/>
      </c>
      <c r="AY164" s="28" t="str">
        <f t="shared" si="15"/>
        <v/>
      </c>
      <c r="AZ164" s="28" t="str">
        <f t="shared" si="16"/>
        <v/>
      </c>
      <c r="BA164" s="28" t="str">
        <f t="shared" si="17"/>
        <v/>
      </c>
      <c r="BB164" s="28" t="str">
        <f t="shared" si="18"/>
        <v/>
      </c>
      <c r="BC164" s="28" t="str">
        <f t="array" ref="BC164">IF($I164="","",LET(
conf,AI164,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duoMax,XLOOKUP($B164,Derived_Variables!$A:$A,Derived_Variables!$AI:$AI,4),
axisTol,XLOOKUP($B164,Derived_Variables!$A:$A,Derived_Variables!$W:$W,1),
maxStart,XLOOKUP($B164,Derived_Variables!$A:$A,Derived_Variables!$U:$U,1.25),
maxAR,XLOOKUP($B164,Derived_Variables!$A:$A,Derived_Variables!$V:$V,3),
anom,XLOOKUP($B164,Derived_Variables!$A:$A,Derived_Variables!$Z:$Z,FALSE),
reStart,XLOOKUP($B164,Derived_Variables!$A:$A,Derived_Variables!$K:$K,0),
leStart,XLOOKUP($B164,Derived_Variables!$A:$A,Derived_Variables!$N:$N,0),
reAR,XLOOKUP($B164,AR_Input!$A:$A,AR_Input!$B:$B,reStart),
leAR,XLOOKUP($B164,AR_Input!$A:$A,AR_Input!$E:$E,leStart),
reEsc,AND(anom,OR(ABS((S164+AM164)-reStart)&gt;maxStart,ABS((S164+AM164)-reAR)&gt;maxAR)),
leEsc,AND(anom,OR(ABS((V164+AP164)-leStart)&gt;maxStart,ABS((V164+AP164)-leAR)&gt;maxAR)),
phaseMax,IFS(
 AK164="Fast",
   IFS(
     OR(C164="B",C164="D"),XLOOKUP("timeout_coarse_fast",Calibration!$B:$B,Calibration!$C:$C,24),
     OR(C164="E",C164="F",C164="H",C164="I"),XLOOKUP("timeout_jcc_fast",Calibration!$B:$B,Calibration!$C:$C,10),
     OR(C164="G",C164="J"),XLOOKUP("timeout_duochrome_fast",Calibration!$B:$B,Calibration!$C:$C,8),
     C164="K",XLOOKUP("timeout_bino_fast",Calibration!$B:$B,Calibration!$C:$C,10),
     OR(C164="P",C164="Q",C164="R"),XLOOKUP("timeout_near_fast",Calibration!$B:$B,Calibration!$C:$C,16),
     TRUE,XLOOKUP("timeout_coarse_fast",Calibration!$B:$B,Calibration!$C:$C,24)
   ),
 AK164="Normal",
   IFS(
     OR(C164="B",C164="D"),XLOOKUP("timeout_coarse_normal",Calibration!$B:$B,Calibration!$C:$C,36),
     OR(C164="E",C164="F",C164="H",C164="I"),XLOOKUP("timeout_jcc_normal",Calibration!$B:$B,Calibration!$C:$C,14),
     OR(C164="G",C164="J"),XLOOKUP("timeout_duochrome_normal",Calibration!$B:$B,Calibration!$C:$C,10),
     C164="K",XLOOKUP("timeout_bino_normal",Calibration!$B:$B,Calibration!$C:$C,14),
     OR(C164="P",C164="Q",C164="R"),XLOOKUP("timeout_near_normal",Calibration!$B:$B,Calibration!$C:$C,22),
     TRUE,XLOOKUP("timeout_coarse_normal",Calibration!$B:$B,Calibration!$C:$C,36)
   ),
 TRUE,
   IFS(
     OR(C164="B",C164="D"),XLOOKUP("timeout_coarse_slow",Calibration!$B:$B,Calibration!$C:$C,48),
     OR(C164="E",C164="F",C164="H",C164="I"),XLOOKUP("timeout_jcc_slow",Calibration!$B:$B,Calibration!$C:$C,18),
     OR(C164="G",C164="J"),XLOOKUP("timeout_duochrome_slow",Calibration!$B:$B,Calibration!$C:$C,12),
     C164="K",XLOOKUP("timeout_bino_slow",Calibration!$B:$B,Calibration!$C:$C,18),
     OR(C164="P",C164="Q",C164="R"),XLOOKUP("timeout_near_slow",Calibration!$B:$B,Calibration!$C:$C,28),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AJ164=TRUE,"ESCALATE",
C164="A",
IF(OR(I164="NOT_READABLE",I164="BLURRY",AND(R164="20_20_20",I164="READABLE")),"B","A"),
C164="B",
IF(reEsc,"ESCALATE",IF(AY164&gt;=phaseMax,"ESCALATE",IF(AND(AV164&gt;=AW164,I164="READABLE"),"E","B"))),
C164="E",
IF(AY164&gt;=phaseMax,"ESCALATE",IF(OR(I164="SAME",I164="CANT_TELL",AD164&lt;axisTol),"F","E")),
C164="F",
IF(AY164&gt;=phaseMax,"ESCALATE",IF(AX164&gt;=powerSameN,"G","F")),
C164="G",
IF(AY164&gt;=phaseMax,"ESCALATE",IF(OR(AX164&gt;=duoEqualN,BB164&gt;=duoMax),"D","G")),
C164="D",
IF(leEsc,"ESCALATE",IF(AY164&gt;=phaseMax,"ESCALATE",IF(AND(AV164&gt;=AW164,I164="READABLE"),"H","D"))),
C164="H",
IF(AY164&gt;=phaseMax,"ESCALATE",IF(OR(I164="SAME",I164="CANT_TELL",AD164&lt;axisTol),"I","H")),
C164="I",
IF(AY164&gt;=phaseMax,"ESCALATE",IF(AX164&gt;=powerSameN,"J","I")),
C164="J",
IF(AY164&gt;=phaseMax,"ESCALATE",IF(OR(AX164&gt;=duoEqualN,BB164&gt;=duoMax),"K","J")),
C164="K",
IF(AY164&gt;=phaseMax,"ESCALATE",IF(AX164&gt;=binoSameN,IF(XLOOKUP($B164,Derived_Variables!$A:$A,Derived_Variables!$AJ:$AJ,FALSE)=TRUE,"P","END"),"K")),
C164="P",
IF(AY164&gt;=phaseMax,"ESCALATE",IF(OR(I164="READABLE",I164="SAME"),"Q","P")),
C164="Q",
IF(AY164&gt;=phaseMax,"ESCALATE",IF(OR(I164="READABLE",I164="SAME"),"R","Q")),
C164="R",
IF(AY164&gt;=phaseMax,"ESCALATE",IF(OR(I164=nearTarget,I164="SAME"),"END","R")),
TRUE,"END"
)))</f>
        <v/>
      </c>
      <c r="BD164" s="28" t="b">
        <f t="shared" si="19"/>
        <v>0</v>
      </c>
    </row>
    <row r="165" ht="15.75" customHeight="1">
      <c r="A165" s="28">
        <f t="shared" si="3"/>
        <v>164</v>
      </c>
      <c r="B165" s="28">
        <f t="shared" si="4"/>
        <v>6</v>
      </c>
      <c r="C165" s="28" t="str">
        <f t="shared" si="5"/>
        <v/>
      </c>
      <c r="D165" s="28" t="str">
        <f t="array" ref="D165">IF($I164="","",XLOOKUP(C165,FSM_State_Map!A:A,FSM_State_Map!B:B,""))</f>
        <v/>
      </c>
      <c r="E165" s="28" t="str">
        <f t="array" ref="E165">IF($I164="","",XLOOKUP(C165,FSM_State_Map!A:A,FSM_State_Map!C:C,""))</f>
        <v/>
      </c>
      <c r="F165" s="28" t="str">
        <f t="array" ref="F165">IF($I164="","",XLOOKUP(E165,Phase_UI_Map!A:A,Phase_UI_Map!B:B,""))</f>
        <v/>
      </c>
      <c r="G165" s="28" t="str">
        <f t="array" ref="G165">IF($I164="","",XLOOKUP(E165,Phase_UI_Map!A:A,Phase_UI_Map!C:C,""))</f>
        <v/>
      </c>
      <c r="H165" s="28" t="str">
        <f t="array" ref="H165">IF($I164="","",XLOOKUP(E165,Phase_UI_Map!A:A,Phase_UI_Map!D:D,""))</f>
        <v/>
      </c>
      <c r="I165" s="29"/>
      <c r="J165" s="28" t="str">
        <f>IFERROR(__xludf.DUMMYFUNCTION("IF($I164="""","""",IFERROR(INDEX(FILTER(Response_Lists!$B:$B,Response_Lists!$A:$A=$H165),1),""""))"),"")</f>
        <v/>
      </c>
      <c r="K165" s="28" t="str">
        <f>IFERROR(__xludf.DUMMYFUNCTION("IF($I164="""","""",IFERROR(INDEX(FILTER(Response_Lists!$B:$B,Response_Lists!$A:$A=$H165),2),""""))"),"")</f>
        <v/>
      </c>
      <c r="L165" s="28" t="str">
        <f>IFERROR(__xludf.DUMMYFUNCTION("IF($I164="""","""",IFERROR(INDEX(FILTER(Response_Lists!$B:$B,Response_Lists!$A:$A=$H165),3),""""))"),"")</f>
        <v/>
      </c>
      <c r="M165" s="28" t="str">
        <f>IFERROR(__xludf.DUMMYFUNCTION("IF($I164="""","""",IFERROR(INDEX(FILTER(Response_Lists!$B:$B,Response_Lists!$A:$A=$H165),4),""""))"),"")</f>
        <v/>
      </c>
      <c r="N165" s="28" t="str">
        <f>IFERROR(__xludf.DUMMYFUNCTION("IF($I164="""","""",IFERROR(INDEX(FILTER(Response_Lists!$B:$B,Response_Lists!$A:$A=$H165),5),""""))"),"")</f>
        <v/>
      </c>
      <c r="O165" s="28" t="str">
        <f>IFERROR(__xludf.DUMMYFUNCTION("IF($I164="""","""",IFERROR(INDEX(FILTER(Response_Lists!$B:$B,Response_Lists!$A:$A=$H165),6),""""))"),"")</f>
        <v/>
      </c>
      <c r="P165" s="28" t="str">
        <f t="shared" si="6"/>
        <v/>
      </c>
      <c r="Q165" s="28" t="str">
        <f t="array" ref="Q165">IF($I164="","",XLOOKUP(C165,FSM_State_Map!A:A,FSM_State_Map!D:D,""))</f>
        <v/>
      </c>
      <c r="R165" s="28" t="str">
        <f t="shared" si="7"/>
        <v/>
      </c>
      <c r="S165" s="28" t="str">
        <f t="array" ref="S165">IF($I164="","",
IF(
  AND(C165="B",C164&lt;&gt;"B"),
  XLOOKUP($B165,Derived_Variables!$A:$A,Derived_Variables!$K:$K,0)
  + XLOOKUP($B165,Derived_Variables!$A:$A,Derived_Variables!$AE:$AE,0),
  S164+AM164
))</f>
        <v/>
      </c>
      <c r="T165" s="28" t="str">
        <f t="shared" ref="T165:U165" si="340">IF($I164="","",T164+AN164)</f>
        <v/>
      </c>
      <c r="U165" s="28" t="str">
        <f t="shared" si="340"/>
        <v/>
      </c>
      <c r="V165" s="28" t="str">
        <f t="array" ref="V165">IF($I164="","",
IF(
  AND(C165="D",C164&lt;&gt;"D"),
  XLOOKUP($B165,Derived_Variables!$A:$A,Derived_Variables!$N:$N,0)
  + XLOOKUP($B165,Derived_Variables!$A:$A,Derived_Variables!$AE:$AE,0),
  V164+AP164
))</f>
        <v/>
      </c>
      <c r="W165" s="28" t="str">
        <f t="shared" ref="W165:X165" si="341">IF($I164="","",W164+AQ164)</f>
        <v/>
      </c>
      <c r="X165" s="28" t="str">
        <f t="shared" si="341"/>
        <v/>
      </c>
      <c r="Y165" s="28" t="str">
        <f t="array" ref="Y165">IF($I164="","",IF(AND(C165="P",C164&lt;&gt;"P"),IFERROR(XLOOKUP($B165,Lenso_Input!$A:$A,Lenso_Input!$E:$E,0),0),Y164+AS164))</f>
        <v/>
      </c>
      <c r="Z165" s="28" t="str">
        <f t="array" ref="Z165">IF($I164="","",IF(AND(C165="Q",C164&lt;&gt;"Q"),IFERROR(XLOOKUP($B165,Lenso_Input!$A:$A,Lenso_Input!$I:$I,0),0),Z164+AT164))</f>
        <v/>
      </c>
      <c r="AA165" s="28" t="str">
        <f t="array" ref="AA165">IF($I164="","",IF(XLOOKUP($B165,Derived_Variables!$A:$A,Derived_Variables!$R:$R,"6/6_target")="6/6_target","20_20_20","40_30_25"))</f>
        <v/>
      </c>
      <c r="AB165" s="28" t="str">
        <f t="array" ref="AB165">IF($I164="","",XLOOKUP(LOWER(XLOOKUP($B165,Derived_Variables!$A:$A,Derived_Variables!$T:$T,"Standard"))&amp;"_sph_step",Calibration!$B:$B,Calibration!$C:$C,0.25))</f>
        <v/>
      </c>
      <c r="AC165" s="28" t="str">
        <f t="array" ref="AC165">IF($I164="","",XLOOKUP(LOWER(XLOOKUP($B165,Derived_Variables!$A:$A,Derived_Variables!$T:$T,"Standard"))&amp;"_cyl_step",Calibration!$B:$B,Calibration!$C:$C,0.25))</f>
        <v/>
      </c>
      <c r="AD165" s="28" t="str">
        <f t="array" ref="AD165">IF($I164="","",IF(OR(C165="E",C165="H"),LET(startStep,XLOOKUP("axis_start_step",Calibration!$B:$B,Calibration!$C:$C,5),step1,XLOOKUP("axis_reversal_step_1",Calibration!$B:$B,Calibration!$C:$C,3),step2,XLOOKUP("axis_reversal_step_2",Calibration!$B:$B,Calibration!$C:$C,1),IF(OR(C164&lt;&gt;C165,AZ165="",AZ165="SAME",AZ165="CANT_TELL",I165="",I165="SAME",I165="CANT_TELL"),startStep,IF(OR(AND(AZ165="BETTER_1",I165="BETTER_2"),AND(AZ165="BETTER_2",I165="BETTER_1")),IF(AD164&gt;step1,step1,step2),AD164))),0))</f>
        <v/>
      </c>
      <c r="AE165" s="28" t="str">
        <f t="array" ref="AE165">IF($I164="","",XLOOKUP($B165,Derived_Variables!$A:$A,Derived_Variables!$AD:$AD,"No_Fog"))</f>
        <v/>
      </c>
      <c r="AF165" s="28" t="str">
        <f t="array" ref="AF165">IF($I164="","",XLOOKUP($B165,Derived_Variables!$A:$A,Derived_Variables!$AE:$AE,0))</f>
        <v/>
      </c>
      <c r="AG165" s="28" t="str">
        <f t="array" ref="AG165">IF($I164="","",XLOOKUP($B165,Derived_Variables!$A:$A,Derived_Variables!$AF:$AF,""))</f>
        <v/>
      </c>
      <c r="AH165" s="28" t="str">
        <f t="array" ref="AH165">IF($I164="","",XLOOKUP($B165,Derived_Variables!$A:$A,Derived_Variables!$AG:$AG,""))</f>
        <v/>
      </c>
      <c r="AI165" s="28" t="str">
        <f t="array" ref="AI165">IF($I164="","",XLOOKUP($B165,Derived_Variables!$A:$A,Derived_Variables!$AC:$AC,"Medium"))</f>
        <v/>
      </c>
      <c r="AJ165" s="28" t="str">
        <f t="array" ref="AJ165">IF($I164="","",XLOOKUP($B165,Derived_Variables!$A:$A,Derived_Variables!$Y:$Y,FALSE))</f>
        <v/>
      </c>
      <c r="AK165" s="28" t="str">
        <f t="array" ref="AK165">IF($I164="","",XLOOKUP($B165,Derived_Variables!$A:$A,Derived_Variables!$AA:$AA,"Normal"))</f>
        <v/>
      </c>
      <c r="AL165" s="28" t="str">
        <f t="array" ref="AL165">IF($I164="","",XLOOKUP($B165,Derived_Variables!$A:$A,Derived_Variables!$AB:$AB,"Normal"))</f>
        <v/>
      </c>
      <c r="AM165" s="28" t="str">
        <f t="array" ref="AM165">IF($I165="","",IFS(C165="B",IF(OR(I165="NOT_READABLE",I165="BLURRY"),-AB165,0),C165="G",IFS(I165="RED_CLEARER",XLOOKUP("duochrome_red_step",Calibration!$B:$B,Calibration!$C:$C,-0.25),I165="GREEN_CLEARER",XLOOKUP("duochrome_green_step",Calibration!$B:$B,Calibration!$C:$C,0.25),I165="EQUAL",IF(XLOOKUP($B165,Derived_Variables!$A:$A,Derived_Variables!$S:$S,"Neutral")="Undercorrect",XLOOKUP("undercorrect_step",Calibration!$B:$B,Calibration!$C:$C,0.25),IF(XLOOKUP($B165,Derived_Variables!$A:$A,Derived_Variables!$S:$S,"Neutral")="Overcorrect",-XLOOKUP("overcorrect_step",Calibration!$B:$B,Calibration!$C:$C,0.25),0)),TRUE,0),C165="K",IF(I165="TOP_CLEARER",XLOOKUP("bino_balance_step",Calibration!$B:$B,Calibration!$C:$C,0.25),0),TRUE,0))</f>
        <v/>
      </c>
      <c r="AN165" s="28" t="str">
        <f t="shared" si="10"/>
        <v/>
      </c>
      <c r="AO165" s="28" t="str">
        <f t="shared" si="11"/>
        <v/>
      </c>
      <c r="AP165" s="28" t="str">
        <f t="array" ref="AP165">IF($I165="","",IFS(C165="D",IF(OR(I165="NOT_READABLE",I165="BLURRY"),-AB165,0),C165="J",IFS(I165="RED_CLEARER",XLOOKUP("duochrome_red_step",Calibration!$B:$B,Calibration!$C:$C,-0.25),I165="GREEN_CLEARER",XLOOKUP("duochrome_green_step",Calibration!$B:$B,Calibration!$C:$C,0.25),I165="EQUAL",IF(XLOOKUP($B165,Derived_Variables!$A:$A,Derived_Variables!$S:$S,"Neutral")="Undercorrect",XLOOKUP("undercorrect_step",Calibration!$B:$B,Calibration!$C:$C,0.25),IF(XLOOKUP($B165,Derived_Variables!$A:$A,Derived_Variables!$S:$S,"Neutral")="Overcorrect",-XLOOKUP("overcorrect_step",Calibration!$B:$B,Calibration!$C:$C,0.25),0)),TRUE,0),C165="K",IF(I165="BOTTOM_CLEARER",XLOOKUP("bino_balance_step",Calibration!$B:$B,Calibration!$C:$C,0.25),0),TRUE,0))</f>
        <v/>
      </c>
      <c r="AQ165" s="28" t="str">
        <f t="shared" si="12"/>
        <v/>
      </c>
      <c r="AR165" s="28" t="str">
        <f t="shared" si="13"/>
        <v/>
      </c>
      <c r="AS165" s="28" t="str">
        <f t="array" ref="AS165">IF($I165="","",IF(C165="P",IF(OR(I165="NOT_READABLE",I165="BLURRY"),XLOOKUP("near_add_step",Calibration!$B:$B,Calibration!$C:$C,0.25),0),IF(C165="R",IF(I165="NOT_CLEAR",XLOOKUP("near_add_step",Calibration!$B:$B,Calibration!$C:$C,0.25),0),0)))</f>
        <v/>
      </c>
      <c r="AT165" s="28" t="str">
        <f t="array" ref="AT165">IF($I165="","",IF(C165="Q",IF(OR(I165="NOT_READABLE",I165="BLURRY"),XLOOKUP("near_add_step",Calibration!$B:$B,Calibration!$C:$C,0.25),0),IF(C165="R",IF(I165="NOT_CLEAR",XLOOKUP("near_add_step",Calibration!$B:$B,Calibration!$C:$C,0.25),0),0)))</f>
        <v/>
      </c>
      <c r="AU165" s="28" t="str">
        <f t="array" ref="AU165">IF($I165="","",IF(G165="SNELLEN_FEET",IF(I165="READABLE",IFERROR(XLOOKUP(XLOOKUP(R165,Chart_Scale_Distance!B:B,Chart_Scale_Distance!A:A)+1,Chart_Scale_Distance!A:A,Chart_Scale_Distance!B:B),R165),R165),R165))</f>
        <v/>
      </c>
      <c r="AV165" s="28" t="str">
        <f t="array" ref="AV165">IF($I164="","",IFERROR(XLOOKUP(R165,Chart_Scale_Distance!$B:$B,Chart_Scale_Distance!$A:$A,""),""))</f>
        <v/>
      </c>
      <c r="AW165" s="28" t="str">
        <f t="array" ref="AW165">IF($I164="","",IFERROR(XLOOKUP(AA165,Chart_Scale_Distance!$B:$B,Chart_Scale_Distance!$A:$A,""),""))</f>
        <v/>
      </c>
      <c r="AX165" s="28" t="str">
        <f t="shared" si="14"/>
        <v/>
      </c>
      <c r="AY165" s="28" t="str">
        <f t="shared" si="15"/>
        <v/>
      </c>
      <c r="AZ165" s="28" t="str">
        <f t="shared" si="16"/>
        <v/>
      </c>
      <c r="BA165" s="28" t="str">
        <f t="shared" si="17"/>
        <v/>
      </c>
      <c r="BB165" s="28" t="str">
        <f t="shared" si="18"/>
        <v/>
      </c>
      <c r="BC165" s="28" t="str">
        <f t="array" ref="BC165">IF($I165="","",LET(
conf,AI165,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duoMax,XLOOKUP($B165,Derived_Variables!$A:$A,Derived_Variables!$AI:$AI,4),
axisTol,XLOOKUP($B165,Derived_Variables!$A:$A,Derived_Variables!$W:$W,1),
maxStart,XLOOKUP($B165,Derived_Variables!$A:$A,Derived_Variables!$U:$U,1.25),
maxAR,XLOOKUP($B165,Derived_Variables!$A:$A,Derived_Variables!$V:$V,3),
anom,XLOOKUP($B165,Derived_Variables!$A:$A,Derived_Variables!$Z:$Z,FALSE),
reStart,XLOOKUP($B165,Derived_Variables!$A:$A,Derived_Variables!$K:$K,0),
leStart,XLOOKUP($B165,Derived_Variables!$A:$A,Derived_Variables!$N:$N,0),
reAR,XLOOKUP($B165,AR_Input!$A:$A,AR_Input!$B:$B,reStart),
leAR,XLOOKUP($B165,AR_Input!$A:$A,AR_Input!$E:$E,leStart),
reEsc,AND(anom,OR(ABS((S165+AM165)-reStart)&gt;maxStart,ABS((S165+AM165)-reAR)&gt;maxAR)),
leEsc,AND(anom,OR(ABS((V165+AP165)-leStart)&gt;maxStart,ABS((V165+AP165)-leAR)&gt;maxAR)),
phaseMax,IFS(
 AK165="Fast",
   IFS(
     OR(C165="B",C165="D"),XLOOKUP("timeout_coarse_fast",Calibration!$B:$B,Calibration!$C:$C,24),
     OR(C165="E",C165="F",C165="H",C165="I"),XLOOKUP("timeout_jcc_fast",Calibration!$B:$B,Calibration!$C:$C,10),
     OR(C165="G",C165="J"),XLOOKUP("timeout_duochrome_fast",Calibration!$B:$B,Calibration!$C:$C,8),
     C165="K",XLOOKUP("timeout_bino_fast",Calibration!$B:$B,Calibration!$C:$C,10),
     OR(C165="P",C165="Q",C165="R"),XLOOKUP("timeout_near_fast",Calibration!$B:$B,Calibration!$C:$C,16),
     TRUE,XLOOKUP("timeout_coarse_fast",Calibration!$B:$B,Calibration!$C:$C,24)
   ),
 AK165="Normal",
   IFS(
     OR(C165="B",C165="D"),XLOOKUP("timeout_coarse_normal",Calibration!$B:$B,Calibration!$C:$C,36),
     OR(C165="E",C165="F",C165="H",C165="I"),XLOOKUP("timeout_jcc_normal",Calibration!$B:$B,Calibration!$C:$C,14),
     OR(C165="G",C165="J"),XLOOKUP("timeout_duochrome_normal",Calibration!$B:$B,Calibration!$C:$C,10),
     C165="K",XLOOKUP("timeout_bino_normal",Calibration!$B:$B,Calibration!$C:$C,14),
     OR(C165="P",C165="Q",C165="R"),XLOOKUP("timeout_near_normal",Calibration!$B:$B,Calibration!$C:$C,22),
     TRUE,XLOOKUP("timeout_coarse_normal",Calibration!$B:$B,Calibration!$C:$C,36)
   ),
 TRUE,
   IFS(
     OR(C165="B",C165="D"),XLOOKUP("timeout_coarse_slow",Calibration!$B:$B,Calibration!$C:$C,48),
     OR(C165="E",C165="F",C165="H",C165="I"),XLOOKUP("timeout_jcc_slow",Calibration!$B:$B,Calibration!$C:$C,18),
     OR(C165="G",C165="J"),XLOOKUP("timeout_duochrome_slow",Calibration!$B:$B,Calibration!$C:$C,12),
     C165="K",XLOOKUP("timeout_bino_slow",Calibration!$B:$B,Calibration!$C:$C,18),
     OR(C165="P",C165="Q",C165="R"),XLOOKUP("timeout_near_slow",Calibration!$B:$B,Calibration!$C:$C,28),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AJ165=TRUE,"ESCALATE",
C165="A",
IF(OR(I165="NOT_READABLE",I165="BLURRY",AND(R165="20_20_20",I165="READABLE")),"B","A"),
C165="B",
IF(reEsc,"ESCALATE",IF(AY165&gt;=phaseMax,"ESCALATE",IF(AND(AV165&gt;=AW165,I165="READABLE"),"E","B"))),
C165="E",
IF(AY165&gt;=phaseMax,"ESCALATE",IF(OR(I165="SAME",I165="CANT_TELL",AD165&lt;axisTol),"F","E")),
C165="F",
IF(AY165&gt;=phaseMax,"ESCALATE",IF(AX165&gt;=powerSameN,"G","F")),
C165="G",
IF(AY165&gt;=phaseMax,"ESCALATE",IF(OR(AX165&gt;=duoEqualN,BB165&gt;=duoMax),"D","G")),
C165="D",
IF(leEsc,"ESCALATE",IF(AY165&gt;=phaseMax,"ESCALATE",IF(AND(AV165&gt;=AW165,I165="READABLE"),"H","D"))),
C165="H",
IF(AY165&gt;=phaseMax,"ESCALATE",IF(OR(I165="SAME",I165="CANT_TELL",AD165&lt;axisTol),"I","H")),
C165="I",
IF(AY165&gt;=phaseMax,"ESCALATE",IF(AX165&gt;=powerSameN,"J","I")),
C165="J",
IF(AY165&gt;=phaseMax,"ESCALATE",IF(OR(AX165&gt;=duoEqualN,BB165&gt;=duoMax),"K","J")),
C165="K",
IF(AY165&gt;=phaseMax,"ESCALATE",IF(AX165&gt;=binoSameN,IF(XLOOKUP($B165,Derived_Variables!$A:$A,Derived_Variables!$AJ:$AJ,FALSE)=TRUE,"P","END"),"K")),
C165="P",
IF(AY165&gt;=phaseMax,"ESCALATE",IF(OR(I165="READABLE",I165="SAME"),"Q","P")),
C165="Q",
IF(AY165&gt;=phaseMax,"ESCALATE",IF(OR(I165="READABLE",I165="SAME"),"R","Q")),
C165="R",
IF(AY165&gt;=phaseMax,"ESCALATE",IF(OR(I165=nearTarget,I165="SAME"),"END","R")),
TRUE,"END"
)))</f>
        <v/>
      </c>
      <c r="BD165" s="28" t="b">
        <f t="shared" si="19"/>
        <v>0</v>
      </c>
    </row>
    <row r="166" ht="15.75" customHeight="1">
      <c r="A166" s="28">
        <f t="shared" si="3"/>
        <v>165</v>
      </c>
      <c r="B166" s="28">
        <f t="shared" si="4"/>
        <v>6</v>
      </c>
      <c r="C166" s="28" t="str">
        <f t="shared" si="5"/>
        <v/>
      </c>
      <c r="D166" s="28" t="str">
        <f t="array" ref="D166">IF($I165="","",XLOOKUP(C166,FSM_State_Map!A:A,FSM_State_Map!B:B,""))</f>
        <v/>
      </c>
      <c r="E166" s="28" t="str">
        <f t="array" ref="E166">IF($I165="","",XLOOKUP(C166,FSM_State_Map!A:A,FSM_State_Map!C:C,""))</f>
        <v/>
      </c>
      <c r="F166" s="28" t="str">
        <f t="array" ref="F166">IF($I165="","",XLOOKUP(E166,Phase_UI_Map!A:A,Phase_UI_Map!B:B,""))</f>
        <v/>
      </c>
      <c r="G166" s="28" t="str">
        <f t="array" ref="G166">IF($I165="","",XLOOKUP(E166,Phase_UI_Map!A:A,Phase_UI_Map!C:C,""))</f>
        <v/>
      </c>
      <c r="H166" s="28" t="str">
        <f t="array" ref="H166">IF($I165="","",XLOOKUP(E166,Phase_UI_Map!A:A,Phase_UI_Map!D:D,""))</f>
        <v/>
      </c>
      <c r="I166" s="29"/>
      <c r="J166" s="28" t="str">
        <f>IFERROR(__xludf.DUMMYFUNCTION("IF($I165="""","""",IFERROR(INDEX(FILTER(Response_Lists!$B:$B,Response_Lists!$A:$A=$H166),1),""""))"),"")</f>
        <v/>
      </c>
      <c r="K166" s="28" t="str">
        <f>IFERROR(__xludf.DUMMYFUNCTION("IF($I165="""","""",IFERROR(INDEX(FILTER(Response_Lists!$B:$B,Response_Lists!$A:$A=$H166),2),""""))"),"")</f>
        <v/>
      </c>
      <c r="L166" s="28" t="str">
        <f>IFERROR(__xludf.DUMMYFUNCTION("IF($I165="""","""",IFERROR(INDEX(FILTER(Response_Lists!$B:$B,Response_Lists!$A:$A=$H166),3),""""))"),"")</f>
        <v/>
      </c>
      <c r="M166" s="28" t="str">
        <f>IFERROR(__xludf.DUMMYFUNCTION("IF($I165="""","""",IFERROR(INDEX(FILTER(Response_Lists!$B:$B,Response_Lists!$A:$A=$H166),4),""""))"),"")</f>
        <v/>
      </c>
      <c r="N166" s="28" t="str">
        <f>IFERROR(__xludf.DUMMYFUNCTION("IF($I165="""","""",IFERROR(INDEX(FILTER(Response_Lists!$B:$B,Response_Lists!$A:$A=$H166),5),""""))"),"")</f>
        <v/>
      </c>
      <c r="O166" s="28" t="str">
        <f>IFERROR(__xludf.DUMMYFUNCTION("IF($I165="""","""",IFERROR(INDEX(FILTER(Response_Lists!$B:$B,Response_Lists!$A:$A=$H166),6),""""))"),"")</f>
        <v/>
      </c>
      <c r="P166" s="28" t="str">
        <f t="shared" si="6"/>
        <v/>
      </c>
      <c r="Q166" s="28" t="str">
        <f t="array" ref="Q166">IF($I165="","",XLOOKUP(C166,FSM_State_Map!A:A,FSM_State_Map!D:D,""))</f>
        <v/>
      </c>
      <c r="R166" s="28" t="str">
        <f t="shared" si="7"/>
        <v/>
      </c>
      <c r="S166" s="28" t="str">
        <f t="array" ref="S166">IF($I165="","",
IF(
  AND(C166="B",C165&lt;&gt;"B"),
  XLOOKUP($B166,Derived_Variables!$A:$A,Derived_Variables!$K:$K,0)
  + XLOOKUP($B166,Derived_Variables!$A:$A,Derived_Variables!$AE:$AE,0),
  S165+AM165
))</f>
        <v/>
      </c>
      <c r="T166" s="28" t="str">
        <f t="shared" ref="T166:U166" si="342">IF($I165="","",T165+AN165)</f>
        <v/>
      </c>
      <c r="U166" s="28" t="str">
        <f t="shared" si="342"/>
        <v/>
      </c>
      <c r="V166" s="28" t="str">
        <f t="array" ref="V166">IF($I165="","",
IF(
  AND(C166="D",C165&lt;&gt;"D"),
  XLOOKUP($B166,Derived_Variables!$A:$A,Derived_Variables!$N:$N,0)
  + XLOOKUP($B166,Derived_Variables!$A:$A,Derived_Variables!$AE:$AE,0),
  V165+AP165
))</f>
        <v/>
      </c>
      <c r="W166" s="28" t="str">
        <f t="shared" ref="W166:X166" si="343">IF($I165="","",W165+AQ165)</f>
        <v/>
      </c>
      <c r="X166" s="28" t="str">
        <f t="shared" si="343"/>
        <v/>
      </c>
      <c r="Y166" s="28" t="str">
        <f t="array" ref="Y166">IF($I165="","",IF(AND(C166="P",C165&lt;&gt;"P"),IFERROR(XLOOKUP($B166,Lenso_Input!$A:$A,Lenso_Input!$E:$E,0),0),Y165+AS165))</f>
        <v/>
      </c>
      <c r="Z166" s="28" t="str">
        <f t="array" ref="Z166">IF($I165="","",IF(AND(C166="Q",C165&lt;&gt;"Q"),IFERROR(XLOOKUP($B166,Lenso_Input!$A:$A,Lenso_Input!$I:$I,0),0),Z165+AT165))</f>
        <v/>
      </c>
      <c r="AA166" s="28" t="str">
        <f t="array" ref="AA166">IF($I165="","",IF(XLOOKUP($B166,Derived_Variables!$A:$A,Derived_Variables!$R:$R,"6/6_target")="6/6_target","20_20_20","40_30_25"))</f>
        <v/>
      </c>
      <c r="AB166" s="28" t="str">
        <f t="array" ref="AB166">IF($I165="","",XLOOKUP(LOWER(XLOOKUP($B166,Derived_Variables!$A:$A,Derived_Variables!$T:$T,"Standard"))&amp;"_sph_step",Calibration!$B:$B,Calibration!$C:$C,0.25))</f>
        <v/>
      </c>
      <c r="AC166" s="28" t="str">
        <f t="array" ref="AC166">IF($I165="","",XLOOKUP(LOWER(XLOOKUP($B166,Derived_Variables!$A:$A,Derived_Variables!$T:$T,"Standard"))&amp;"_cyl_step",Calibration!$B:$B,Calibration!$C:$C,0.25))</f>
        <v/>
      </c>
      <c r="AD166" s="28" t="str">
        <f t="array" ref="AD166">IF($I165="","",IF(OR(C166="E",C166="H"),LET(startStep,XLOOKUP("axis_start_step",Calibration!$B:$B,Calibration!$C:$C,5),step1,XLOOKUP("axis_reversal_step_1",Calibration!$B:$B,Calibration!$C:$C,3),step2,XLOOKUP("axis_reversal_step_2",Calibration!$B:$B,Calibration!$C:$C,1),IF(OR(C165&lt;&gt;C166,AZ166="",AZ166="SAME",AZ166="CANT_TELL",I166="",I166="SAME",I166="CANT_TELL"),startStep,IF(OR(AND(AZ166="BETTER_1",I166="BETTER_2"),AND(AZ166="BETTER_2",I166="BETTER_1")),IF(AD165&gt;step1,step1,step2),AD165))),0))</f>
        <v/>
      </c>
      <c r="AE166" s="28" t="str">
        <f t="array" ref="AE166">IF($I165="","",XLOOKUP($B166,Derived_Variables!$A:$A,Derived_Variables!$AD:$AD,"No_Fog"))</f>
        <v/>
      </c>
      <c r="AF166" s="28" t="str">
        <f t="array" ref="AF166">IF($I165="","",XLOOKUP($B166,Derived_Variables!$A:$A,Derived_Variables!$AE:$AE,0))</f>
        <v/>
      </c>
      <c r="AG166" s="28" t="str">
        <f t="array" ref="AG166">IF($I165="","",XLOOKUP($B166,Derived_Variables!$A:$A,Derived_Variables!$AF:$AF,""))</f>
        <v/>
      </c>
      <c r="AH166" s="28" t="str">
        <f t="array" ref="AH166">IF($I165="","",XLOOKUP($B166,Derived_Variables!$A:$A,Derived_Variables!$AG:$AG,""))</f>
        <v/>
      </c>
      <c r="AI166" s="28" t="str">
        <f t="array" ref="AI166">IF($I165="","",XLOOKUP($B166,Derived_Variables!$A:$A,Derived_Variables!$AC:$AC,"Medium"))</f>
        <v/>
      </c>
      <c r="AJ166" s="28" t="str">
        <f t="array" ref="AJ166">IF($I165="","",XLOOKUP($B166,Derived_Variables!$A:$A,Derived_Variables!$Y:$Y,FALSE))</f>
        <v/>
      </c>
      <c r="AK166" s="28" t="str">
        <f t="array" ref="AK166">IF($I165="","",XLOOKUP($B166,Derived_Variables!$A:$A,Derived_Variables!$AA:$AA,"Normal"))</f>
        <v/>
      </c>
      <c r="AL166" s="28" t="str">
        <f t="array" ref="AL166">IF($I165="","",XLOOKUP($B166,Derived_Variables!$A:$A,Derived_Variables!$AB:$AB,"Normal"))</f>
        <v/>
      </c>
      <c r="AM166" s="28" t="str">
        <f t="array" ref="AM166">IF($I166="","",IFS(C166="B",IF(OR(I166="NOT_READABLE",I166="BLURRY"),-AB166,0),C166="G",IFS(I166="RED_CLEARER",XLOOKUP("duochrome_red_step",Calibration!$B:$B,Calibration!$C:$C,-0.25),I166="GREEN_CLEARER",XLOOKUP("duochrome_green_step",Calibration!$B:$B,Calibration!$C:$C,0.25),I166="EQUAL",IF(XLOOKUP($B166,Derived_Variables!$A:$A,Derived_Variables!$S:$S,"Neutral")="Undercorrect",XLOOKUP("undercorrect_step",Calibration!$B:$B,Calibration!$C:$C,0.25),IF(XLOOKUP($B166,Derived_Variables!$A:$A,Derived_Variables!$S:$S,"Neutral")="Overcorrect",-XLOOKUP("overcorrect_step",Calibration!$B:$B,Calibration!$C:$C,0.25),0)),TRUE,0),C166="K",IF(I166="TOP_CLEARER",XLOOKUP("bino_balance_step",Calibration!$B:$B,Calibration!$C:$C,0.25),0),TRUE,0))</f>
        <v/>
      </c>
      <c r="AN166" s="28" t="str">
        <f t="shared" si="10"/>
        <v/>
      </c>
      <c r="AO166" s="28" t="str">
        <f t="shared" si="11"/>
        <v/>
      </c>
      <c r="AP166" s="28" t="str">
        <f t="array" ref="AP166">IF($I166="","",IFS(C166="D",IF(OR(I166="NOT_READABLE",I166="BLURRY"),-AB166,0),C166="J",IFS(I166="RED_CLEARER",XLOOKUP("duochrome_red_step",Calibration!$B:$B,Calibration!$C:$C,-0.25),I166="GREEN_CLEARER",XLOOKUP("duochrome_green_step",Calibration!$B:$B,Calibration!$C:$C,0.25),I166="EQUAL",IF(XLOOKUP($B166,Derived_Variables!$A:$A,Derived_Variables!$S:$S,"Neutral")="Undercorrect",XLOOKUP("undercorrect_step",Calibration!$B:$B,Calibration!$C:$C,0.25),IF(XLOOKUP($B166,Derived_Variables!$A:$A,Derived_Variables!$S:$S,"Neutral")="Overcorrect",-XLOOKUP("overcorrect_step",Calibration!$B:$B,Calibration!$C:$C,0.25),0)),TRUE,0),C166="K",IF(I166="BOTTOM_CLEARER",XLOOKUP("bino_balance_step",Calibration!$B:$B,Calibration!$C:$C,0.25),0),TRUE,0))</f>
        <v/>
      </c>
      <c r="AQ166" s="28" t="str">
        <f t="shared" si="12"/>
        <v/>
      </c>
      <c r="AR166" s="28" t="str">
        <f t="shared" si="13"/>
        <v/>
      </c>
      <c r="AS166" s="28" t="str">
        <f t="array" ref="AS166">IF($I166="","",IF(C166="P",IF(OR(I166="NOT_READABLE",I166="BLURRY"),XLOOKUP("near_add_step",Calibration!$B:$B,Calibration!$C:$C,0.25),0),IF(C166="R",IF(I166="NOT_CLEAR",XLOOKUP("near_add_step",Calibration!$B:$B,Calibration!$C:$C,0.25),0),0)))</f>
        <v/>
      </c>
      <c r="AT166" s="28" t="str">
        <f t="array" ref="AT166">IF($I166="","",IF(C166="Q",IF(OR(I166="NOT_READABLE",I166="BLURRY"),XLOOKUP("near_add_step",Calibration!$B:$B,Calibration!$C:$C,0.25),0),IF(C166="R",IF(I166="NOT_CLEAR",XLOOKUP("near_add_step",Calibration!$B:$B,Calibration!$C:$C,0.25),0),0)))</f>
        <v/>
      </c>
      <c r="AU166" s="28" t="str">
        <f t="array" ref="AU166">IF($I166="","",IF(G166="SNELLEN_FEET",IF(I166="READABLE",IFERROR(XLOOKUP(XLOOKUP(R166,Chart_Scale_Distance!B:B,Chart_Scale_Distance!A:A)+1,Chart_Scale_Distance!A:A,Chart_Scale_Distance!B:B),R166),R166),R166))</f>
        <v/>
      </c>
      <c r="AV166" s="28" t="str">
        <f t="array" ref="AV166">IF($I165="","",IFERROR(XLOOKUP(R166,Chart_Scale_Distance!$B:$B,Chart_Scale_Distance!$A:$A,""),""))</f>
        <v/>
      </c>
      <c r="AW166" s="28" t="str">
        <f t="array" ref="AW166">IF($I165="","",IFERROR(XLOOKUP(AA166,Chart_Scale_Distance!$B:$B,Chart_Scale_Distance!$A:$A,""),""))</f>
        <v/>
      </c>
      <c r="AX166" s="28" t="str">
        <f t="shared" si="14"/>
        <v/>
      </c>
      <c r="AY166" s="28" t="str">
        <f t="shared" si="15"/>
        <v/>
      </c>
      <c r="AZ166" s="28" t="str">
        <f t="shared" si="16"/>
        <v/>
      </c>
      <c r="BA166" s="28" t="str">
        <f t="shared" si="17"/>
        <v/>
      </c>
      <c r="BB166" s="28" t="str">
        <f t="shared" si="18"/>
        <v/>
      </c>
      <c r="BC166" s="28" t="str">
        <f t="array" ref="BC166">IF($I166="","",LET(
conf,AI166,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duoMax,XLOOKUP($B166,Derived_Variables!$A:$A,Derived_Variables!$AI:$AI,4),
axisTol,XLOOKUP($B166,Derived_Variables!$A:$A,Derived_Variables!$W:$W,1),
maxStart,XLOOKUP($B166,Derived_Variables!$A:$A,Derived_Variables!$U:$U,1.25),
maxAR,XLOOKUP($B166,Derived_Variables!$A:$A,Derived_Variables!$V:$V,3),
anom,XLOOKUP($B166,Derived_Variables!$A:$A,Derived_Variables!$Z:$Z,FALSE),
reStart,XLOOKUP($B166,Derived_Variables!$A:$A,Derived_Variables!$K:$K,0),
leStart,XLOOKUP($B166,Derived_Variables!$A:$A,Derived_Variables!$N:$N,0),
reAR,XLOOKUP($B166,AR_Input!$A:$A,AR_Input!$B:$B,reStart),
leAR,XLOOKUP($B166,AR_Input!$A:$A,AR_Input!$E:$E,leStart),
reEsc,AND(anom,OR(ABS((S166+AM166)-reStart)&gt;maxStart,ABS((S166+AM166)-reAR)&gt;maxAR)),
leEsc,AND(anom,OR(ABS((V166+AP166)-leStart)&gt;maxStart,ABS((V166+AP166)-leAR)&gt;maxAR)),
phaseMax,IFS(
 AK166="Fast",
   IFS(
     OR(C166="B",C166="D"),XLOOKUP("timeout_coarse_fast",Calibration!$B:$B,Calibration!$C:$C,24),
     OR(C166="E",C166="F",C166="H",C166="I"),XLOOKUP("timeout_jcc_fast",Calibration!$B:$B,Calibration!$C:$C,10),
     OR(C166="G",C166="J"),XLOOKUP("timeout_duochrome_fast",Calibration!$B:$B,Calibration!$C:$C,8),
     C166="K",XLOOKUP("timeout_bino_fast",Calibration!$B:$B,Calibration!$C:$C,10),
     OR(C166="P",C166="Q",C166="R"),XLOOKUP("timeout_near_fast",Calibration!$B:$B,Calibration!$C:$C,16),
     TRUE,XLOOKUP("timeout_coarse_fast",Calibration!$B:$B,Calibration!$C:$C,24)
   ),
 AK166="Normal",
   IFS(
     OR(C166="B",C166="D"),XLOOKUP("timeout_coarse_normal",Calibration!$B:$B,Calibration!$C:$C,36),
     OR(C166="E",C166="F",C166="H",C166="I"),XLOOKUP("timeout_jcc_normal",Calibration!$B:$B,Calibration!$C:$C,14),
     OR(C166="G",C166="J"),XLOOKUP("timeout_duochrome_normal",Calibration!$B:$B,Calibration!$C:$C,10),
     C166="K",XLOOKUP("timeout_bino_normal",Calibration!$B:$B,Calibration!$C:$C,14),
     OR(C166="P",C166="Q",C166="R"),XLOOKUP("timeout_near_normal",Calibration!$B:$B,Calibration!$C:$C,22),
     TRUE,XLOOKUP("timeout_coarse_normal",Calibration!$B:$B,Calibration!$C:$C,36)
   ),
 TRUE,
   IFS(
     OR(C166="B",C166="D"),XLOOKUP("timeout_coarse_slow",Calibration!$B:$B,Calibration!$C:$C,48),
     OR(C166="E",C166="F",C166="H",C166="I"),XLOOKUP("timeout_jcc_slow",Calibration!$B:$B,Calibration!$C:$C,18),
     OR(C166="G",C166="J"),XLOOKUP("timeout_duochrome_slow",Calibration!$B:$B,Calibration!$C:$C,12),
     C166="K",XLOOKUP("timeout_bino_slow",Calibration!$B:$B,Calibration!$C:$C,18),
     OR(C166="P",C166="Q",C166="R"),XLOOKUP("timeout_near_slow",Calibration!$B:$B,Calibration!$C:$C,28),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AJ166=TRUE,"ESCALATE",
C166="A",
IF(OR(I166="NOT_READABLE",I166="BLURRY",AND(R166="20_20_20",I166="READABLE")),"B","A"),
C166="B",
IF(reEsc,"ESCALATE",IF(AY166&gt;=phaseMax,"ESCALATE",IF(AND(AV166&gt;=AW166,I166="READABLE"),"E","B"))),
C166="E",
IF(AY166&gt;=phaseMax,"ESCALATE",IF(OR(I166="SAME",I166="CANT_TELL",AD166&lt;axisTol),"F","E")),
C166="F",
IF(AY166&gt;=phaseMax,"ESCALATE",IF(AX166&gt;=powerSameN,"G","F")),
C166="G",
IF(AY166&gt;=phaseMax,"ESCALATE",IF(OR(AX166&gt;=duoEqualN,BB166&gt;=duoMax),"D","G")),
C166="D",
IF(leEsc,"ESCALATE",IF(AY166&gt;=phaseMax,"ESCALATE",IF(AND(AV166&gt;=AW166,I166="READABLE"),"H","D"))),
C166="H",
IF(AY166&gt;=phaseMax,"ESCALATE",IF(OR(I166="SAME",I166="CANT_TELL",AD166&lt;axisTol),"I","H")),
C166="I",
IF(AY166&gt;=phaseMax,"ESCALATE",IF(AX166&gt;=powerSameN,"J","I")),
C166="J",
IF(AY166&gt;=phaseMax,"ESCALATE",IF(OR(AX166&gt;=duoEqualN,BB166&gt;=duoMax),"K","J")),
C166="K",
IF(AY166&gt;=phaseMax,"ESCALATE",IF(AX166&gt;=binoSameN,IF(XLOOKUP($B166,Derived_Variables!$A:$A,Derived_Variables!$AJ:$AJ,FALSE)=TRUE,"P","END"),"K")),
C166="P",
IF(AY166&gt;=phaseMax,"ESCALATE",IF(OR(I166="READABLE",I166="SAME"),"Q","P")),
C166="Q",
IF(AY166&gt;=phaseMax,"ESCALATE",IF(OR(I166="READABLE",I166="SAME"),"R","Q")),
C166="R",
IF(AY166&gt;=phaseMax,"ESCALATE",IF(OR(I166=nearTarget,I166="SAME"),"END","R")),
TRUE,"END"
)))</f>
        <v/>
      </c>
      <c r="BD166" s="28" t="b">
        <f t="shared" si="19"/>
        <v>0</v>
      </c>
    </row>
    <row r="167" ht="15.75" customHeight="1">
      <c r="A167" s="28">
        <f t="shared" si="3"/>
        <v>166</v>
      </c>
      <c r="B167" s="28">
        <f t="shared" si="4"/>
        <v>6</v>
      </c>
      <c r="C167" s="28" t="str">
        <f t="shared" si="5"/>
        <v/>
      </c>
      <c r="D167" s="28" t="str">
        <f t="array" ref="D167">IF($I166="","",XLOOKUP(C167,FSM_State_Map!A:A,FSM_State_Map!B:B,""))</f>
        <v/>
      </c>
      <c r="E167" s="28" t="str">
        <f t="array" ref="E167">IF($I166="","",XLOOKUP(C167,FSM_State_Map!A:A,FSM_State_Map!C:C,""))</f>
        <v/>
      </c>
      <c r="F167" s="28" t="str">
        <f t="array" ref="F167">IF($I166="","",XLOOKUP(E167,Phase_UI_Map!A:A,Phase_UI_Map!B:B,""))</f>
        <v/>
      </c>
      <c r="G167" s="28" t="str">
        <f t="array" ref="G167">IF($I166="","",XLOOKUP(E167,Phase_UI_Map!A:A,Phase_UI_Map!C:C,""))</f>
        <v/>
      </c>
      <c r="H167" s="28" t="str">
        <f t="array" ref="H167">IF($I166="","",XLOOKUP(E167,Phase_UI_Map!A:A,Phase_UI_Map!D:D,""))</f>
        <v/>
      </c>
      <c r="I167" s="29"/>
      <c r="J167" s="28" t="str">
        <f>IFERROR(__xludf.DUMMYFUNCTION("IF($I166="""","""",IFERROR(INDEX(FILTER(Response_Lists!$B:$B,Response_Lists!$A:$A=$H167),1),""""))"),"")</f>
        <v/>
      </c>
      <c r="K167" s="28" t="str">
        <f>IFERROR(__xludf.DUMMYFUNCTION("IF($I166="""","""",IFERROR(INDEX(FILTER(Response_Lists!$B:$B,Response_Lists!$A:$A=$H167),2),""""))"),"")</f>
        <v/>
      </c>
      <c r="L167" s="28" t="str">
        <f>IFERROR(__xludf.DUMMYFUNCTION("IF($I166="""","""",IFERROR(INDEX(FILTER(Response_Lists!$B:$B,Response_Lists!$A:$A=$H167),3),""""))"),"")</f>
        <v/>
      </c>
      <c r="M167" s="28" t="str">
        <f>IFERROR(__xludf.DUMMYFUNCTION("IF($I166="""","""",IFERROR(INDEX(FILTER(Response_Lists!$B:$B,Response_Lists!$A:$A=$H167),4),""""))"),"")</f>
        <v/>
      </c>
      <c r="N167" s="28" t="str">
        <f>IFERROR(__xludf.DUMMYFUNCTION("IF($I166="""","""",IFERROR(INDEX(FILTER(Response_Lists!$B:$B,Response_Lists!$A:$A=$H167),5),""""))"),"")</f>
        <v/>
      </c>
      <c r="O167" s="28" t="str">
        <f>IFERROR(__xludf.DUMMYFUNCTION("IF($I166="""","""",IFERROR(INDEX(FILTER(Response_Lists!$B:$B,Response_Lists!$A:$A=$H167),6),""""))"),"")</f>
        <v/>
      </c>
      <c r="P167" s="28" t="str">
        <f t="shared" si="6"/>
        <v/>
      </c>
      <c r="Q167" s="28" t="str">
        <f t="array" ref="Q167">IF($I166="","",XLOOKUP(C167,FSM_State_Map!A:A,FSM_State_Map!D:D,""))</f>
        <v/>
      </c>
      <c r="R167" s="28" t="str">
        <f t="shared" si="7"/>
        <v/>
      </c>
      <c r="S167" s="28" t="str">
        <f t="array" ref="S167">IF($I166="","",
IF(
  AND(C167="B",C166&lt;&gt;"B"),
  XLOOKUP($B167,Derived_Variables!$A:$A,Derived_Variables!$K:$K,0)
  + XLOOKUP($B167,Derived_Variables!$A:$A,Derived_Variables!$AE:$AE,0),
  S166+AM166
))</f>
        <v/>
      </c>
      <c r="T167" s="28" t="str">
        <f t="shared" ref="T167:U167" si="344">IF($I166="","",T166+AN166)</f>
        <v/>
      </c>
      <c r="U167" s="28" t="str">
        <f t="shared" si="344"/>
        <v/>
      </c>
      <c r="V167" s="28" t="str">
        <f t="array" ref="V167">IF($I166="","",
IF(
  AND(C167="D",C166&lt;&gt;"D"),
  XLOOKUP($B167,Derived_Variables!$A:$A,Derived_Variables!$N:$N,0)
  + XLOOKUP($B167,Derived_Variables!$A:$A,Derived_Variables!$AE:$AE,0),
  V166+AP166
))</f>
        <v/>
      </c>
      <c r="W167" s="28" t="str">
        <f t="shared" ref="W167:X167" si="345">IF($I166="","",W166+AQ166)</f>
        <v/>
      </c>
      <c r="X167" s="28" t="str">
        <f t="shared" si="345"/>
        <v/>
      </c>
      <c r="Y167" s="28" t="str">
        <f t="array" ref="Y167">IF($I166="","",IF(AND(C167="P",C166&lt;&gt;"P"),IFERROR(XLOOKUP($B167,Lenso_Input!$A:$A,Lenso_Input!$E:$E,0),0),Y166+AS166))</f>
        <v/>
      </c>
      <c r="Z167" s="28" t="str">
        <f t="array" ref="Z167">IF($I166="","",IF(AND(C167="Q",C166&lt;&gt;"Q"),IFERROR(XLOOKUP($B167,Lenso_Input!$A:$A,Lenso_Input!$I:$I,0),0),Z166+AT166))</f>
        <v/>
      </c>
      <c r="AA167" s="28" t="str">
        <f t="array" ref="AA167">IF($I166="","",IF(XLOOKUP($B167,Derived_Variables!$A:$A,Derived_Variables!$R:$R,"6/6_target")="6/6_target","20_20_20","40_30_25"))</f>
        <v/>
      </c>
      <c r="AB167" s="28" t="str">
        <f t="array" ref="AB167">IF($I166="","",XLOOKUP(LOWER(XLOOKUP($B167,Derived_Variables!$A:$A,Derived_Variables!$T:$T,"Standard"))&amp;"_sph_step",Calibration!$B:$B,Calibration!$C:$C,0.25))</f>
        <v/>
      </c>
      <c r="AC167" s="28" t="str">
        <f t="array" ref="AC167">IF($I166="","",XLOOKUP(LOWER(XLOOKUP($B167,Derived_Variables!$A:$A,Derived_Variables!$T:$T,"Standard"))&amp;"_cyl_step",Calibration!$B:$B,Calibration!$C:$C,0.25))</f>
        <v/>
      </c>
      <c r="AD167" s="28" t="str">
        <f t="array" ref="AD167">IF($I166="","",IF(OR(C167="E",C167="H"),LET(startStep,XLOOKUP("axis_start_step",Calibration!$B:$B,Calibration!$C:$C,5),step1,XLOOKUP("axis_reversal_step_1",Calibration!$B:$B,Calibration!$C:$C,3),step2,XLOOKUP("axis_reversal_step_2",Calibration!$B:$B,Calibration!$C:$C,1),IF(OR(C166&lt;&gt;C167,AZ167="",AZ167="SAME",AZ167="CANT_TELL",I167="",I167="SAME",I167="CANT_TELL"),startStep,IF(OR(AND(AZ167="BETTER_1",I167="BETTER_2"),AND(AZ167="BETTER_2",I167="BETTER_1")),IF(AD166&gt;step1,step1,step2),AD166))),0))</f>
        <v/>
      </c>
      <c r="AE167" s="28" t="str">
        <f t="array" ref="AE167">IF($I166="","",XLOOKUP($B167,Derived_Variables!$A:$A,Derived_Variables!$AD:$AD,"No_Fog"))</f>
        <v/>
      </c>
      <c r="AF167" s="28" t="str">
        <f t="array" ref="AF167">IF($I166="","",XLOOKUP($B167,Derived_Variables!$A:$A,Derived_Variables!$AE:$AE,0))</f>
        <v/>
      </c>
      <c r="AG167" s="28" t="str">
        <f t="array" ref="AG167">IF($I166="","",XLOOKUP($B167,Derived_Variables!$A:$A,Derived_Variables!$AF:$AF,""))</f>
        <v/>
      </c>
      <c r="AH167" s="28" t="str">
        <f t="array" ref="AH167">IF($I166="","",XLOOKUP($B167,Derived_Variables!$A:$A,Derived_Variables!$AG:$AG,""))</f>
        <v/>
      </c>
      <c r="AI167" s="28" t="str">
        <f t="array" ref="AI167">IF($I166="","",XLOOKUP($B167,Derived_Variables!$A:$A,Derived_Variables!$AC:$AC,"Medium"))</f>
        <v/>
      </c>
      <c r="AJ167" s="28" t="str">
        <f t="array" ref="AJ167">IF($I166="","",XLOOKUP($B167,Derived_Variables!$A:$A,Derived_Variables!$Y:$Y,FALSE))</f>
        <v/>
      </c>
      <c r="AK167" s="28" t="str">
        <f t="array" ref="AK167">IF($I166="","",XLOOKUP($B167,Derived_Variables!$A:$A,Derived_Variables!$AA:$AA,"Normal"))</f>
        <v/>
      </c>
      <c r="AL167" s="28" t="str">
        <f t="array" ref="AL167">IF($I166="","",XLOOKUP($B167,Derived_Variables!$A:$A,Derived_Variables!$AB:$AB,"Normal"))</f>
        <v/>
      </c>
      <c r="AM167" s="28" t="str">
        <f t="array" ref="AM167">IF($I167="","",IFS(C167="B",IF(OR(I167="NOT_READABLE",I167="BLURRY"),-AB167,0),C167="G",IFS(I167="RED_CLEARER",XLOOKUP("duochrome_red_step",Calibration!$B:$B,Calibration!$C:$C,-0.25),I167="GREEN_CLEARER",XLOOKUP("duochrome_green_step",Calibration!$B:$B,Calibration!$C:$C,0.25),I167="EQUAL",IF(XLOOKUP($B167,Derived_Variables!$A:$A,Derived_Variables!$S:$S,"Neutral")="Undercorrect",XLOOKUP("undercorrect_step",Calibration!$B:$B,Calibration!$C:$C,0.25),IF(XLOOKUP($B167,Derived_Variables!$A:$A,Derived_Variables!$S:$S,"Neutral")="Overcorrect",-XLOOKUP("overcorrect_step",Calibration!$B:$B,Calibration!$C:$C,0.25),0)),TRUE,0),C167="K",IF(I167="TOP_CLEARER",XLOOKUP("bino_balance_step",Calibration!$B:$B,Calibration!$C:$C,0.25),0),TRUE,0))</f>
        <v/>
      </c>
      <c r="AN167" s="28" t="str">
        <f t="shared" si="10"/>
        <v/>
      </c>
      <c r="AO167" s="28" t="str">
        <f t="shared" si="11"/>
        <v/>
      </c>
      <c r="AP167" s="28" t="str">
        <f t="array" ref="AP167">IF($I167="","",IFS(C167="D",IF(OR(I167="NOT_READABLE",I167="BLURRY"),-AB167,0),C167="J",IFS(I167="RED_CLEARER",XLOOKUP("duochrome_red_step",Calibration!$B:$B,Calibration!$C:$C,-0.25),I167="GREEN_CLEARER",XLOOKUP("duochrome_green_step",Calibration!$B:$B,Calibration!$C:$C,0.25),I167="EQUAL",IF(XLOOKUP($B167,Derived_Variables!$A:$A,Derived_Variables!$S:$S,"Neutral")="Undercorrect",XLOOKUP("undercorrect_step",Calibration!$B:$B,Calibration!$C:$C,0.25),IF(XLOOKUP($B167,Derived_Variables!$A:$A,Derived_Variables!$S:$S,"Neutral")="Overcorrect",-XLOOKUP("overcorrect_step",Calibration!$B:$B,Calibration!$C:$C,0.25),0)),TRUE,0),C167="K",IF(I167="BOTTOM_CLEARER",XLOOKUP("bino_balance_step",Calibration!$B:$B,Calibration!$C:$C,0.25),0),TRUE,0))</f>
        <v/>
      </c>
      <c r="AQ167" s="28" t="str">
        <f t="shared" si="12"/>
        <v/>
      </c>
      <c r="AR167" s="28" t="str">
        <f t="shared" si="13"/>
        <v/>
      </c>
      <c r="AS167" s="28" t="str">
        <f t="array" ref="AS167">IF($I167="","",IF(C167="P",IF(OR(I167="NOT_READABLE",I167="BLURRY"),XLOOKUP("near_add_step",Calibration!$B:$B,Calibration!$C:$C,0.25),0),IF(C167="R",IF(I167="NOT_CLEAR",XLOOKUP("near_add_step",Calibration!$B:$B,Calibration!$C:$C,0.25),0),0)))</f>
        <v/>
      </c>
      <c r="AT167" s="28" t="str">
        <f t="array" ref="AT167">IF($I167="","",IF(C167="Q",IF(OR(I167="NOT_READABLE",I167="BLURRY"),XLOOKUP("near_add_step",Calibration!$B:$B,Calibration!$C:$C,0.25),0),IF(C167="R",IF(I167="NOT_CLEAR",XLOOKUP("near_add_step",Calibration!$B:$B,Calibration!$C:$C,0.25),0),0)))</f>
        <v/>
      </c>
      <c r="AU167" s="28" t="str">
        <f t="array" ref="AU167">IF($I167="","",IF(G167="SNELLEN_FEET",IF(I167="READABLE",IFERROR(XLOOKUP(XLOOKUP(R167,Chart_Scale_Distance!B:B,Chart_Scale_Distance!A:A)+1,Chart_Scale_Distance!A:A,Chart_Scale_Distance!B:B),R167),R167),R167))</f>
        <v/>
      </c>
      <c r="AV167" s="28" t="str">
        <f t="array" ref="AV167">IF($I166="","",IFERROR(XLOOKUP(R167,Chart_Scale_Distance!$B:$B,Chart_Scale_Distance!$A:$A,""),""))</f>
        <v/>
      </c>
      <c r="AW167" s="28" t="str">
        <f t="array" ref="AW167">IF($I166="","",IFERROR(XLOOKUP(AA167,Chart_Scale_Distance!$B:$B,Chart_Scale_Distance!$A:$A,""),""))</f>
        <v/>
      </c>
      <c r="AX167" s="28" t="str">
        <f t="shared" si="14"/>
        <v/>
      </c>
      <c r="AY167" s="28" t="str">
        <f t="shared" si="15"/>
        <v/>
      </c>
      <c r="AZ167" s="28" t="str">
        <f t="shared" si="16"/>
        <v/>
      </c>
      <c r="BA167" s="28" t="str">
        <f t="shared" si="17"/>
        <v/>
      </c>
      <c r="BB167" s="28" t="str">
        <f t="shared" si="18"/>
        <v/>
      </c>
      <c r="BC167" s="28" t="str">
        <f t="array" ref="BC167">IF($I167="","",LET(
conf,AI167,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duoMax,XLOOKUP($B167,Derived_Variables!$A:$A,Derived_Variables!$AI:$AI,4),
axisTol,XLOOKUP($B167,Derived_Variables!$A:$A,Derived_Variables!$W:$W,1),
maxStart,XLOOKUP($B167,Derived_Variables!$A:$A,Derived_Variables!$U:$U,1.25),
maxAR,XLOOKUP($B167,Derived_Variables!$A:$A,Derived_Variables!$V:$V,3),
anom,XLOOKUP($B167,Derived_Variables!$A:$A,Derived_Variables!$Z:$Z,FALSE),
reStart,XLOOKUP($B167,Derived_Variables!$A:$A,Derived_Variables!$K:$K,0),
leStart,XLOOKUP($B167,Derived_Variables!$A:$A,Derived_Variables!$N:$N,0),
reAR,XLOOKUP($B167,AR_Input!$A:$A,AR_Input!$B:$B,reStart),
leAR,XLOOKUP($B167,AR_Input!$A:$A,AR_Input!$E:$E,leStart),
reEsc,AND(anom,OR(ABS((S167+AM167)-reStart)&gt;maxStart,ABS((S167+AM167)-reAR)&gt;maxAR)),
leEsc,AND(anom,OR(ABS((V167+AP167)-leStart)&gt;maxStart,ABS((V167+AP167)-leAR)&gt;maxAR)),
phaseMax,IFS(
 AK167="Fast",
   IFS(
     OR(C167="B",C167="D"),XLOOKUP("timeout_coarse_fast",Calibration!$B:$B,Calibration!$C:$C,24),
     OR(C167="E",C167="F",C167="H",C167="I"),XLOOKUP("timeout_jcc_fast",Calibration!$B:$B,Calibration!$C:$C,10),
     OR(C167="G",C167="J"),XLOOKUP("timeout_duochrome_fast",Calibration!$B:$B,Calibration!$C:$C,8),
     C167="K",XLOOKUP("timeout_bino_fast",Calibration!$B:$B,Calibration!$C:$C,10),
     OR(C167="P",C167="Q",C167="R"),XLOOKUP("timeout_near_fast",Calibration!$B:$B,Calibration!$C:$C,16),
     TRUE,XLOOKUP("timeout_coarse_fast",Calibration!$B:$B,Calibration!$C:$C,24)
   ),
 AK167="Normal",
   IFS(
     OR(C167="B",C167="D"),XLOOKUP("timeout_coarse_normal",Calibration!$B:$B,Calibration!$C:$C,36),
     OR(C167="E",C167="F",C167="H",C167="I"),XLOOKUP("timeout_jcc_normal",Calibration!$B:$B,Calibration!$C:$C,14),
     OR(C167="G",C167="J"),XLOOKUP("timeout_duochrome_normal",Calibration!$B:$B,Calibration!$C:$C,10),
     C167="K",XLOOKUP("timeout_bino_normal",Calibration!$B:$B,Calibration!$C:$C,14),
     OR(C167="P",C167="Q",C167="R"),XLOOKUP("timeout_near_normal",Calibration!$B:$B,Calibration!$C:$C,22),
     TRUE,XLOOKUP("timeout_coarse_normal",Calibration!$B:$B,Calibration!$C:$C,36)
   ),
 TRUE,
   IFS(
     OR(C167="B",C167="D"),XLOOKUP("timeout_coarse_slow",Calibration!$B:$B,Calibration!$C:$C,48),
     OR(C167="E",C167="F",C167="H",C167="I"),XLOOKUP("timeout_jcc_slow",Calibration!$B:$B,Calibration!$C:$C,18),
     OR(C167="G",C167="J"),XLOOKUP("timeout_duochrome_slow",Calibration!$B:$B,Calibration!$C:$C,12),
     C167="K",XLOOKUP("timeout_bino_slow",Calibration!$B:$B,Calibration!$C:$C,18),
     OR(C167="P",C167="Q",C167="R"),XLOOKUP("timeout_near_slow",Calibration!$B:$B,Calibration!$C:$C,28),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AJ167=TRUE,"ESCALATE",
C167="A",
IF(OR(I167="NOT_READABLE",I167="BLURRY",AND(R167="20_20_20",I167="READABLE")),"B","A"),
C167="B",
IF(reEsc,"ESCALATE",IF(AY167&gt;=phaseMax,"ESCALATE",IF(AND(AV167&gt;=AW167,I167="READABLE"),"E","B"))),
C167="E",
IF(AY167&gt;=phaseMax,"ESCALATE",IF(OR(I167="SAME",I167="CANT_TELL",AD167&lt;axisTol),"F","E")),
C167="F",
IF(AY167&gt;=phaseMax,"ESCALATE",IF(AX167&gt;=powerSameN,"G","F")),
C167="G",
IF(AY167&gt;=phaseMax,"ESCALATE",IF(OR(AX167&gt;=duoEqualN,BB167&gt;=duoMax),"D","G")),
C167="D",
IF(leEsc,"ESCALATE",IF(AY167&gt;=phaseMax,"ESCALATE",IF(AND(AV167&gt;=AW167,I167="READABLE"),"H","D"))),
C167="H",
IF(AY167&gt;=phaseMax,"ESCALATE",IF(OR(I167="SAME",I167="CANT_TELL",AD167&lt;axisTol),"I","H")),
C167="I",
IF(AY167&gt;=phaseMax,"ESCALATE",IF(AX167&gt;=powerSameN,"J","I")),
C167="J",
IF(AY167&gt;=phaseMax,"ESCALATE",IF(OR(AX167&gt;=duoEqualN,BB167&gt;=duoMax),"K","J")),
C167="K",
IF(AY167&gt;=phaseMax,"ESCALATE",IF(AX167&gt;=binoSameN,IF(XLOOKUP($B167,Derived_Variables!$A:$A,Derived_Variables!$AJ:$AJ,FALSE)=TRUE,"P","END"),"K")),
C167="P",
IF(AY167&gt;=phaseMax,"ESCALATE",IF(OR(I167="READABLE",I167="SAME"),"Q","P")),
C167="Q",
IF(AY167&gt;=phaseMax,"ESCALATE",IF(OR(I167="READABLE",I167="SAME"),"R","Q")),
C167="R",
IF(AY167&gt;=phaseMax,"ESCALATE",IF(OR(I167=nearTarget,I167="SAME"),"END","R")),
TRUE,"END"
)))</f>
        <v/>
      </c>
      <c r="BD167" s="28" t="b">
        <f t="shared" si="19"/>
        <v>0</v>
      </c>
    </row>
    <row r="168" ht="15.75" customHeight="1">
      <c r="A168" s="28">
        <f t="shared" si="3"/>
        <v>167</v>
      </c>
      <c r="B168" s="28">
        <f t="shared" si="4"/>
        <v>6</v>
      </c>
      <c r="C168" s="28" t="str">
        <f t="shared" si="5"/>
        <v/>
      </c>
      <c r="D168" s="28" t="str">
        <f t="array" ref="D168">IF($I167="","",XLOOKUP(C168,FSM_State_Map!A:A,FSM_State_Map!B:B,""))</f>
        <v/>
      </c>
      <c r="E168" s="28" t="str">
        <f t="array" ref="E168">IF($I167="","",XLOOKUP(C168,FSM_State_Map!A:A,FSM_State_Map!C:C,""))</f>
        <v/>
      </c>
      <c r="F168" s="28" t="str">
        <f t="array" ref="F168">IF($I167="","",XLOOKUP(E168,Phase_UI_Map!A:A,Phase_UI_Map!B:B,""))</f>
        <v/>
      </c>
      <c r="G168" s="28" t="str">
        <f t="array" ref="G168">IF($I167="","",XLOOKUP(E168,Phase_UI_Map!A:A,Phase_UI_Map!C:C,""))</f>
        <v/>
      </c>
      <c r="H168" s="28" t="str">
        <f t="array" ref="H168">IF($I167="","",XLOOKUP(E168,Phase_UI_Map!A:A,Phase_UI_Map!D:D,""))</f>
        <v/>
      </c>
      <c r="I168" s="29"/>
      <c r="J168" s="28" t="str">
        <f>IFERROR(__xludf.DUMMYFUNCTION("IF($I167="""","""",IFERROR(INDEX(FILTER(Response_Lists!$B:$B,Response_Lists!$A:$A=$H168),1),""""))"),"")</f>
        <v/>
      </c>
      <c r="K168" s="28" t="str">
        <f>IFERROR(__xludf.DUMMYFUNCTION("IF($I167="""","""",IFERROR(INDEX(FILTER(Response_Lists!$B:$B,Response_Lists!$A:$A=$H168),2),""""))"),"")</f>
        <v/>
      </c>
      <c r="L168" s="28" t="str">
        <f>IFERROR(__xludf.DUMMYFUNCTION("IF($I167="""","""",IFERROR(INDEX(FILTER(Response_Lists!$B:$B,Response_Lists!$A:$A=$H168),3),""""))"),"")</f>
        <v/>
      </c>
      <c r="M168" s="28" t="str">
        <f>IFERROR(__xludf.DUMMYFUNCTION("IF($I167="""","""",IFERROR(INDEX(FILTER(Response_Lists!$B:$B,Response_Lists!$A:$A=$H168),4),""""))"),"")</f>
        <v/>
      </c>
      <c r="N168" s="28" t="str">
        <f>IFERROR(__xludf.DUMMYFUNCTION("IF($I167="""","""",IFERROR(INDEX(FILTER(Response_Lists!$B:$B,Response_Lists!$A:$A=$H168),5),""""))"),"")</f>
        <v/>
      </c>
      <c r="O168" s="28" t="str">
        <f>IFERROR(__xludf.DUMMYFUNCTION("IF($I167="""","""",IFERROR(INDEX(FILTER(Response_Lists!$B:$B,Response_Lists!$A:$A=$H168),6),""""))"),"")</f>
        <v/>
      </c>
      <c r="P168" s="28" t="str">
        <f t="shared" si="6"/>
        <v/>
      </c>
      <c r="Q168" s="28" t="str">
        <f t="array" ref="Q168">IF($I167="","",XLOOKUP(C168,FSM_State_Map!A:A,FSM_State_Map!D:D,""))</f>
        <v/>
      </c>
      <c r="R168" s="28" t="str">
        <f t="shared" si="7"/>
        <v/>
      </c>
      <c r="S168" s="28" t="str">
        <f t="array" ref="S168">IF($I167="","",
IF(
  AND(C168="B",C167&lt;&gt;"B"),
  XLOOKUP($B168,Derived_Variables!$A:$A,Derived_Variables!$K:$K,0)
  + XLOOKUP($B168,Derived_Variables!$A:$A,Derived_Variables!$AE:$AE,0),
  S167+AM167
))</f>
        <v/>
      </c>
      <c r="T168" s="28" t="str">
        <f t="shared" ref="T168:U168" si="346">IF($I167="","",T167+AN167)</f>
        <v/>
      </c>
      <c r="U168" s="28" t="str">
        <f t="shared" si="346"/>
        <v/>
      </c>
      <c r="V168" s="28" t="str">
        <f t="array" ref="V168">IF($I167="","",
IF(
  AND(C168="D",C167&lt;&gt;"D"),
  XLOOKUP($B168,Derived_Variables!$A:$A,Derived_Variables!$N:$N,0)
  + XLOOKUP($B168,Derived_Variables!$A:$A,Derived_Variables!$AE:$AE,0),
  V167+AP167
))</f>
        <v/>
      </c>
      <c r="W168" s="28" t="str">
        <f t="shared" ref="W168:X168" si="347">IF($I167="","",W167+AQ167)</f>
        <v/>
      </c>
      <c r="X168" s="28" t="str">
        <f t="shared" si="347"/>
        <v/>
      </c>
      <c r="Y168" s="28" t="str">
        <f t="array" ref="Y168">IF($I167="","",IF(AND(C168="P",C167&lt;&gt;"P"),IFERROR(XLOOKUP($B168,Lenso_Input!$A:$A,Lenso_Input!$E:$E,0),0),Y167+AS167))</f>
        <v/>
      </c>
      <c r="Z168" s="28" t="str">
        <f t="array" ref="Z168">IF($I167="","",IF(AND(C168="Q",C167&lt;&gt;"Q"),IFERROR(XLOOKUP($B168,Lenso_Input!$A:$A,Lenso_Input!$I:$I,0),0),Z167+AT167))</f>
        <v/>
      </c>
      <c r="AA168" s="28" t="str">
        <f t="array" ref="AA168">IF($I167="","",IF(XLOOKUP($B168,Derived_Variables!$A:$A,Derived_Variables!$R:$R,"6/6_target")="6/6_target","20_20_20","40_30_25"))</f>
        <v/>
      </c>
      <c r="AB168" s="28" t="str">
        <f t="array" ref="AB168">IF($I167="","",XLOOKUP(LOWER(XLOOKUP($B168,Derived_Variables!$A:$A,Derived_Variables!$T:$T,"Standard"))&amp;"_sph_step",Calibration!$B:$B,Calibration!$C:$C,0.25))</f>
        <v/>
      </c>
      <c r="AC168" s="28" t="str">
        <f t="array" ref="AC168">IF($I167="","",XLOOKUP(LOWER(XLOOKUP($B168,Derived_Variables!$A:$A,Derived_Variables!$T:$T,"Standard"))&amp;"_cyl_step",Calibration!$B:$B,Calibration!$C:$C,0.25))</f>
        <v/>
      </c>
      <c r="AD168" s="28" t="str">
        <f t="array" ref="AD168">IF($I167="","",IF(OR(C168="E",C168="H"),LET(startStep,XLOOKUP("axis_start_step",Calibration!$B:$B,Calibration!$C:$C,5),step1,XLOOKUP("axis_reversal_step_1",Calibration!$B:$B,Calibration!$C:$C,3),step2,XLOOKUP("axis_reversal_step_2",Calibration!$B:$B,Calibration!$C:$C,1),IF(OR(C167&lt;&gt;C168,AZ168="",AZ168="SAME",AZ168="CANT_TELL",I168="",I168="SAME",I168="CANT_TELL"),startStep,IF(OR(AND(AZ168="BETTER_1",I168="BETTER_2"),AND(AZ168="BETTER_2",I168="BETTER_1")),IF(AD167&gt;step1,step1,step2),AD167))),0))</f>
        <v/>
      </c>
      <c r="AE168" s="28" t="str">
        <f t="array" ref="AE168">IF($I167="","",XLOOKUP($B168,Derived_Variables!$A:$A,Derived_Variables!$AD:$AD,"No_Fog"))</f>
        <v/>
      </c>
      <c r="AF168" s="28" t="str">
        <f t="array" ref="AF168">IF($I167="","",XLOOKUP($B168,Derived_Variables!$A:$A,Derived_Variables!$AE:$AE,0))</f>
        <v/>
      </c>
      <c r="AG168" s="28" t="str">
        <f t="array" ref="AG168">IF($I167="","",XLOOKUP($B168,Derived_Variables!$A:$A,Derived_Variables!$AF:$AF,""))</f>
        <v/>
      </c>
      <c r="AH168" s="28" t="str">
        <f t="array" ref="AH168">IF($I167="","",XLOOKUP($B168,Derived_Variables!$A:$A,Derived_Variables!$AG:$AG,""))</f>
        <v/>
      </c>
      <c r="AI168" s="28" t="str">
        <f t="array" ref="AI168">IF($I167="","",XLOOKUP($B168,Derived_Variables!$A:$A,Derived_Variables!$AC:$AC,"Medium"))</f>
        <v/>
      </c>
      <c r="AJ168" s="28" t="str">
        <f t="array" ref="AJ168">IF($I167="","",XLOOKUP($B168,Derived_Variables!$A:$A,Derived_Variables!$Y:$Y,FALSE))</f>
        <v/>
      </c>
      <c r="AK168" s="28" t="str">
        <f t="array" ref="AK168">IF($I167="","",XLOOKUP($B168,Derived_Variables!$A:$A,Derived_Variables!$AA:$AA,"Normal"))</f>
        <v/>
      </c>
      <c r="AL168" s="28" t="str">
        <f t="array" ref="AL168">IF($I167="","",XLOOKUP($B168,Derived_Variables!$A:$A,Derived_Variables!$AB:$AB,"Normal"))</f>
        <v/>
      </c>
      <c r="AM168" s="28" t="str">
        <f t="array" ref="AM168">IF($I168="","",IFS(C168="B",IF(OR(I168="NOT_READABLE",I168="BLURRY"),-AB168,0),C168="G",IFS(I168="RED_CLEARER",XLOOKUP("duochrome_red_step",Calibration!$B:$B,Calibration!$C:$C,-0.25),I168="GREEN_CLEARER",XLOOKUP("duochrome_green_step",Calibration!$B:$B,Calibration!$C:$C,0.25),I168="EQUAL",IF(XLOOKUP($B168,Derived_Variables!$A:$A,Derived_Variables!$S:$S,"Neutral")="Undercorrect",XLOOKUP("undercorrect_step",Calibration!$B:$B,Calibration!$C:$C,0.25),IF(XLOOKUP($B168,Derived_Variables!$A:$A,Derived_Variables!$S:$S,"Neutral")="Overcorrect",-XLOOKUP("overcorrect_step",Calibration!$B:$B,Calibration!$C:$C,0.25),0)),TRUE,0),C168="K",IF(I168="TOP_CLEARER",XLOOKUP("bino_balance_step",Calibration!$B:$B,Calibration!$C:$C,0.25),0),TRUE,0))</f>
        <v/>
      </c>
      <c r="AN168" s="28" t="str">
        <f t="shared" si="10"/>
        <v/>
      </c>
      <c r="AO168" s="28" t="str">
        <f t="shared" si="11"/>
        <v/>
      </c>
      <c r="AP168" s="28" t="str">
        <f t="array" ref="AP168">IF($I168="","",IFS(C168="D",IF(OR(I168="NOT_READABLE",I168="BLURRY"),-AB168,0),C168="J",IFS(I168="RED_CLEARER",XLOOKUP("duochrome_red_step",Calibration!$B:$B,Calibration!$C:$C,-0.25),I168="GREEN_CLEARER",XLOOKUP("duochrome_green_step",Calibration!$B:$B,Calibration!$C:$C,0.25),I168="EQUAL",IF(XLOOKUP($B168,Derived_Variables!$A:$A,Derived_Variables!$S:$S,"Neutral")="Undercorrect",XLOOKUP("undercorrect_step",Calibration!$B:$B,Calibration!$C:$C,0.25),IF(XLOOKUP($B168,Derived_Variables!$A:$A,Derived_Variables!$S:$S,"Neutral")="Overcorrect",-XLOOKUP("overcorrect_step",Calibration!$B:$B,Calibration!$C:$C,0.25),0)),TRUE,0),C168="K",IF(I168="BOTTOM_CLEARER",XLOOKUP("bino_balance_step",Calibration!$B:$B,Calibration!$C:$C,0.25),0),TRUE,0))</f>
        <v/>
      </c>
      <c r="AQ168" s="28" t="str">
        <f t="shared" si="12"/>
        <v/>
      </c>
      <c r="AR168" s="28" t="str">
        <f t="shared" si="13"/>
        <v/>
      </c>
      <c r="AS168" s="28" t="str">
        <f t="array" ref="AS168">IF($I168="","",IF(C168="P",IF(OR(I168="NOT_READABLE",I168="BLURRY"),XLOOKUP("near_add_step",Calibration!$B:$B,Calibration!$C:$C,0.25),0),IF(C168="R",IF(I168="NOT_CLEAR",XLOOKUP("near_add_step",Calibration!$B:$B,Calibration!$C:$C,0.25),0),0)))</f>
        <v/>
      </c>
      <c r="AT168" s="28" t="str">
        <f t="array" ref="AT168">IF($I168="","",IF(C168="Q",IF(OR(I168="NOT_READABLE",I168="BLURRY"),XLOOKUP("near_add_step",Calibration!$B:$B,Calibration!$C:$C,0.25),0),IF(C168="R",IF(I168="NOT_CLEAR",XLOOKUP("near_add_step",Calibration!$B:$B,Calibration!$C:$C,0.25),0),0)))</f>
        <v/>
      </c>
      <c r="AU168" s="28" t="str">
        <f t="array" ref="AU168">IF($I168="","",IF(G168="SNELLEN_FEET",IF(I168="READABLE",IFERROR(XLOOKUP(XLOOKUP(R168,Chart_Scale_Distance!B:B,Chart_Scale_Distance!A:A)+1,Chart_Scale_Distance!A:A,Chart_Scale_Distance!B:B),R168),R168),R168))</f>
        <v/>
      </c>
      <c r="AV168" s="28" t="str">
        <f t="array" ref="AV168">IF($I167="","",IFERROR(XLOOKUP(R168,Chart_Scale_Distance!$B:$B,Chart_Scale_Distance!$A:$A,""),""))</f>
        <v/>
      </c>
      <c r="AW168" s="28" t="str">
        <f t="array" ref="AW168">IF($I167="","",IFERROR(XLOOKUP(AA168,Chart_Scale_Distance!$B:$B,Chart_Scale_Distance!$A:$A,""),""))</f>
        <v/>
      </c>
      <c r="AX168" s="28" t="str">
        <f t="shared" si="14"/>
        <v/>
      </c>
      <c r="AY168" s="28" t="str">
        <f t="shared" si="15"/>
        <v/>
      </c>
      <c r="AZ168" s="28" t="str">
        <f t="shared" si="16"/>
        <v/>
      </c>
      <c r="BA168" s="28" t="str">
        <f t="shared" si="17"/>
        <v/>
      </c>
      <c r="BB168" s="28" t="str">
        <f t="shared" si="18"/>
        <v/>
      </c>
      <c r="BC168" s="28" t="str">
        <f t="array" ref="BC168">IF($I168="","",LET(
conf,AI168,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duoMax,XLOOKUP($B168,Derived_Variables!$A:$A,Derived_Variables!$AI:$AI,4),
axisTol,XLOOKUP($B168,Derived_Variables!$A:$A,Derived_Variables!$W:$W,1),
maxStart,XLOOKUP($B168,Derived_Variables!$A:$A,Derived_Variables!$U:$U,1.25),
maxAR,XLOOKUP($B168,Derived_Variables!$A:$A,Derived_Variables!$V:$V,3),
anom,XLOOKUP($B168,Derived_Variables!$A:$A,Derived_Variables!$Z:$Z,FALSE),
reStart,XLOOKUP($B168,Derived_Variables!$A:$A,Derived_Variables!$K:$K,0),
leStart,XLOOKUP($B168,Derived_Variables!$A:$A,Derived_Variables!$N:$N,0),
reAR,XLOOKUP($B168,AR_Input!$A:$A,AR_Input!$B:$B,reStart),
leAR,XLOOKUP($B168,AR_Input!$A:$A,AR_Input!$E:$E,leStart),
reEsc,AND(anom,OR(ABS((S168+AM168)-reStart)&gt;maxStart,ABS((S168+AM168)-reAR)&gt;maxAR)),
leEsc,AND(anom,OR(ABS((V168+AP168)-leStart)&gt;maxStart,ABS((V168+AP168)-leAR)&gt;maxAR)),
phaseMax,IFS(
 AK168="Fast",
   IFS(
     OR(C168="B",C168="D"),XLOOKUP("timeout_coarse_fast",Calibration!$B:$B,Calibration!$C:$C,24),
     OR(C168="E",C168="F",C168="H",C168="I"),XLOOKUP("timeout_jcc_fast",Calibration!$B:$B,Calibration!$C:$C,10),
     OR(C168="G",C168="J"),XLOOKUP("timeout_duochrome_fast",Calibration!$B:$B,Calibration!$C:$C,8),
     C168="K",XLOOKUP("timeout_bino_fast",Calibration!$B:$B,Calibration!$C:$C,10),
     OR(C168="P",C168="Q",C168="R"),XLOOKUP("timeout_near_fast",Calibration!$B:$B,Calibration!$C:$C,16),
     TRUE,XLOOKUP("timeout_coarse_fast",Calibration!$B:$B,Calibration!$C:$C,24)
   ),
 AK168="Normal",
   IFS(
     OR(C168="B",C168="D"),XLOOKUP("timeout_coarse_normal",Calibration!$B:$B,Calibration!$C:$C,36),
     OR(C168="E",C168="F",C168="H",C168="I"),XLOOKUP("timeout_jcc_normal",Calibration!$B:$B,Calibration!$C:$C,14),
     OR(C168="G",C168="J"),XLOOKUP("timeout_duochrome_normal",Calibration!$B:$B,Calibration!$C:$C,10),
     C168="K",XLOOKUP("timeout_bino_normal",Calibration!$B:$B,Calibration!$C:$C,14),
     OR(C168="P",C168="Q",C168="R"),XLOOKUP("timeout_near_normal",Calibration!$B:$B,Calibration!$C:$C,22),
     TRUE,XLOOKUP("timeout_coarse_normal",Calibration!$B:$B,Calibration!$C:$C,36)
   ),
 TRUE,
   IFS(
     OR(C168="B",C168="D"),XLOOKUP("timeout_coarse_slow",Calibration!$B:$B,Calibration!$C:$C,48),
     OR(C168="E",C168="F",C168="H",C168="I"),XLOOKUP("timeout_jcc_slow",Calibration!$B:$B,Calibration!$C:$C,18),
     OR(C168="G",C168="J"),XLOOKUP("timeout_duochrome_slow",Calibration!$B:$B,Calibration!$C:$C,12),
     C168="K",XLOOKUP("timeout_bino_slow",Calibration!$B:$B,Calibration!$C:$C,18),
     OR(C168="P",C168="Q",C168="R"),XLOOKUP("timeout_near_slow",Calibration!$B:$B,Calibration!$C:$C,28),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AJ168=TRUE,"ESCALATE",
C168="A",
IF(OR(I168="NOT_READABLE",I168="BLURRY",AND(R168="20_20_20",I168="READABLE")),"B","A"),
C168="B",
IF(reEsc,"ESCALATE",IF(AY168&gt;=phaseMax,"ESCALATE",IF(AND(AV168&gt;=AW168,I168="READABLE"),"E","B"))),
C168="E",
IF(AY168&gt;=phaseMax,"ESCALATE",IF(OR(I168="SAME",I168="CANT_TELL",AD168&lt;axisTol),"F","E")),
C168="F",
IF(AY168&gt;=phaseMax,"ESCALATE",IF(AX168&gt;=powerSameN,"G","F")),
C168="G",
IF(AY168&gt;=phaseMax,"ESCALATE",IF(OR(AX168&gt;=duoEqualN,BB168&gt;=duoMax),"D","G")),
C168="D",
IF(leEsc,"ESCALATE",IF(AY168&gt;=phaseMax,"ESCALATE",IF(AND(AV168&gt;=AW168,I168="READABLE"),"H","D"))),
C168="H",
IF(AY168&gt;=phaseMax,"ESCALATE",IF(OR(I168="SAME",I168="CANT_TELL",AD168&lt;axisTol),"I","H")),
C168="I",
IF(AY168&gt;=phaseMax,"ESCALATE",IF(AX168&gt;=powerSameN,"J","I")),
C168="J",
IF(AY168&gt;=phaseMax,"ESCALATE",IF(OR(AX168&gt;=duoEqualN,BB168&gt;=duoMax),"K","J")),
C168="K",
IF(AY168&gt;=phaseMax,"ESCALATE",IF(AX168&gt;=binoSameN,IF(XLOOKUP($B168,Derived_Variables!$A:$A,Derived_Variables!$AJ:$AJ,FALSE)=TRUE,"P","END"),"K")),
C168="P",
IF(AY168&gt;=phaseMax,"ESCALATE",IF(OR(I168="READABLE",I168="SAME"),"Q","P")),
C168="Q",
IF(AY168&gt;=phaseMax,"ESCALATE",IF(OR(I168="READABLE",I168="SAME"),"R","Q")),
C168="R",
IF(AY168&gt;=phaseMax,"ESCALATE",IF(OR(I168=nearTarget,I168="SAME"),"END","R")),
TRUE,"END"
)))</f>
        <v/>
      </c>
      <c r="BD168" s="28" t="b">
        <f t="shared" si="19"/>
        <v>0</v>
      </c>
    </row>
    <row r="169" ht="15.75" customHeight="1">
      <c r="A169" s="28">
        <f t="shared" si="3"/>
        <v>168</v>
      </c>
      <c r="B169" s="28">
        <f t="shared" si="4"/>
        <v>6</v>
      </c>
      <c r="C169" s="28" t="str">
        <f t="shared" si="5"/>
        <v/>
      </c>
      <c r="D169" s="28" t="str">
        <f t="array" ref="D169">IF($I168="","",XLOOKUP(C169,FSM_State_Map!A:A,FSM_State_Map!B:B,""))</f>
        <v/>
      </c>
      <c r="E169" s="28" t="str">
        <f t="array" ref="E169">IF($I168="","",XLOOKUP(C169,FSM_State_Map!A:A,FSM_State_Map!C:C,""))</f>
        <v/>
      </c>
      <c r="F169" s="28" t="str">
        <f t="array" ref="F169">IF($I168="","",XLOOKUP(E169,Phase_UI_Map!A:A,Phase_UI_Map!B:B,""))</f>
        <v/>
      </c>
      <c r="G169" s="28" t="str">
        <f t="array" ref="G169">IF($I168="","",XLOOKUP(E169,Phase_UI_Map!A:A,Phase_UI_Map!C:C,""))</f>
        <v/>
      </c>
      <c r="H169" s="28" t="str">
        <f t="array" ref="H169">IF($I168="","",XLOOKUP(E169,Phase_UI_Map!A:A,Phase_UI_Map!D:D,""))</f>
        <v/>
      </c>
      <c r="I169" s="29"/>
      <c r="J169" s="28" t="str">
        <f>IFERROR(__xludf.DUMMYFUNCTION("IF($I168="""","""",IFERROR(INDEX(FILTER(Response_Lists!$B:$B,Response_Lists!$A:$A=$H169),1),""""))"),"")</f>
        <v/>
      </c>
      <c r="K169" s="28" t="str">
        <f>IFERROR(__xludf.DUMMYFUNCTION("IF($I168="""","""",IFERROR(INDEX(FILTER(Response_Lists!$B:$B,Response_Lists!$A:$A=$H169),2),""""))"),"")</f>
        <v/>
      </c>
      <c r="L169" s="28" t="str">
        <f>IFERROR(__xludf.DUMMYFUNCTION("IF($I168="""","""",IFERROR(INDEX(FILTER(Response_Lists!$B:$B,Response_Lists!$A:$A=$H169),3),""""))"),"")</f>
        <v/>
      </c>
      <c r="M169" s="28" t="str">
        <f>IFERROR(__xludf.DUMMYFUNCTION("IF($I168="""","""",IFERROR(INDEX(FILTER(Response_Lists!$B:$B,Response_Lists!$A:$A=$H169),4),""""))"),"")</f>
        <v/>
      </c>
      <c r="N169" s="28" t="str">
        <f>IFERROR(__xludf.DUMMYFUNCTION("IF($I168="""","""",IFERROR(INDEX(FILTER(Response_Lists!$B:$B,Response_Lists!$A:$A=$H169),5),""""))"),"")</f>
        <v/>
      </c>
      <c r="O169" s="28" t="str">
        <f>IFERROR(__xludf.DUMMYFUNCTION("IF($I168="""","""",IFERROR(INDEX(FILTER(Response_Lists!$B:$B,Response_Lists!$A:$A=$H169),6),""""))"),"")</f>
        <v/>
      </c>
      <c r="P169" s="28" t="str">
        <f t="shared" si="6"/>
        <v/>
      </c>
      <c r="Q169" s="28" t="str">
        <f t="array" ref="Q169">IF($I168="","",XLOOKUP(C169,FSM_State_Map!A:A,FSM_State_Map!D:D,""))</f>
        <v/>
      </c>
      <c r="R169" s="28" t="str">
        <f t="shared" si="7"/>
        <v/>
      </c>
      <c r="S169" s="28" t="str">
        <f t="array" ref="S169">IF($I168="","",
IF(
  AND(C169="B",C168&lt;&gt;"B"),
  XLOOKUP($B169,Derived_Variables!$A:$A,Derived_Variables!$K:$K,0)
  + XLOOKUP($B169,Derived_Variables!$A:$A,Derived_Variables!$AE:$AE,0),
  S168+AM168
))</f>
        <v/>
      </c>
      <c r="T169" s="28" t="str">
        <f t="shared" ref="T169:U169" si="348">IF($I168="","",T168+AN168)</f>
        <v/>
      </c>
      <c r="U169" s="28" t="str">
        <f t="shared" si="348"/>
        <v/>
      </c>
      <c r="V169" s="28" t="str">
        <f t="array" ref="V169">IF($I168="","",
IF(
  AND(C169="D",C168&lt;&gt;"D"),
  XLOOKUP($B169,Derived_Variables!$A:$A,Derived_Variables!$N:$N,0)
  + XLOOKUP($B169,Derived_Variables!$A:$A,Derived_Variables!$AE:$AE,0),
  V168+AP168
))</f>
        <v/>
      </c>
      <c r="W169" s="28" t="str">
        <f t="shared" ref="W169:X169" si="349">IF($I168="","",W168+AQ168)</f>
        <v/>
      </c>
      <c r="X169" s="28" t="str">
        <f t="shared" si="349"/>
        <v/>
      </c>
      <c r="Y169" s="28" t="str">
        <f t="array" ref="Y169">IF($I168="","",IF(AND(C169="P",C168&lt;&gt;"P"),IFERROR(XLOOKUP($B169,Lenso_Input!$A:$A,Lenso_Input!$E:$E,0),0),Y168+AS168))</f>
        <v/>
      </c>
      <c r="Z169" s="28" t="str">
        <f t="array" ref="Z169">IF($I168="","",IF(AND(C169="Q",C168&lt;&gt;"Q"),IFERROR(XLOOKUP($B169,Lenso_Input!$A:$A,Lenso_Input!$I:$I,0),0),Z168+AT168))</f>
        <v/>
      </c>
      <c r="AA169" s="28" t="str">
        <f t="array" ref="AA169">IF($I168="","",IF(XLOOKUP($B169,Derived_Variables!$A:$A,Derived_Variables!$R:$R,"6/6_target")="6/6_target","20_20_20","40_30_25"))</f>
        <v/>
      </c>
      <c r="AB169" s="28" t="str">
        <f t="array" ref="AB169">IF($I168="","",XLOOKUP(LOWER(XLOOKUP($B169,Derived_Variables!$A:$A,Derived_Variables!$T:$T,"Standard"))&amp;"_sph_step",Calibration!$B:$B,Calibration!$C:$C,0.25))</f>
        <v/>
      </c>
      <c r="AC169" s="28" t="str">
        <f t="array" ref="AC169">IF($I168="","",XLOOKUP(LOWER(XLOOKUP($B169,Derived_Variables!$A:$A,Derived_Variables!$T:$T,"Standard"))&amp;"_cyl_step",Calibration!$B:$B,Calibration!$C:$C,0.25))</f>
        <v/>
      </c>
      <c r="AD169" s="28" t="str">
        <f t="array" ref="AD169">IF($I168="","",IF(OR(C169="E",C169="H"),LET(startStep,XLOOKUP("axis_start_step",Calibration!$B:$B,Calibration!$C:$C,5),step1,XLOOKUP("axis_reversal_step_1",Calibration!$B:$B,Calibration!$C:$C,3),step2,XLOOKUP("axis_reversal_step_2",Calibration!$B:$B,Calibration!$C:$C,1),IF(OR(C168&lt;&gt;C169,AZ169="",AZ169="SAME",AZ169="CANT_TELL",I169="",I169="SAME",I169="CANT_TELL"),startStep,IF(OR(AND(AZ169="BETTER_1",I169="BETTER_2"),AND(AZ169="BETTER_2",I169="BETTER_1")),IF(AD168&gt;step1,step1,step2),AD168))),0))</f>
        <v/>
      </c>
      <c r="AE169" s="28" t="str">
        <f t="array" ref="AE169">IF($I168="","",XLOOKUP($B169,Derived_Variables!$A:$A,Derived_Variables!$AD:$AD,"No_Fog"))</f>
        <v/>
      </c>
      <c r="AF169" s="28" t="str">
        <f t="array" ref="AF169">IF($I168="","",XLOOKUP($B169,Derived_Variables!$A:$A,Derived_Variables!$AE:$AE,0))</f>
        <v/>
      </c>
      <c r="AG169" s="28" t="str">
        <f t="array" ref="AG169">IF($I168="","",XLOOKUP($B169,Derived_Variables!$A:$A,Derived_Variables!$AF:$AF,""))</f>
        <v/>
      </c>
      <c r="AH169" s="28" t="str">
        <f t="array" ref="AH169">IF($I168="","",XLOOKUP($B169,Derived_Variables!$A:$A,Derived_Variables!$AG:$AG,""))</f>
        <v/>
      </c>
      <c r="AI169" s="28" t="str">
        <f t="array" ref="AI169">IF($I168="","",XLOOKUP($B169,Derived_Variables!$A:$A,Derived_Variables!$AC:$AC,"Medium"))</f>
        <v/>
      </c>
      <c r="AJ169" s="28" t="str">
        <f t="array" ref="AJ169">IF($I168="","",XLOOKUP($B169,Derived_Variables!$A:$A,Derived_Variables!$Y:$Y,FALSE))</f>
        <v/>
      </c>
      <c r="AK169" s="28" t="str">
        <f t="array" ref="AK169">IF($I168="","",XLOOKUP($B169,Derived_Variables!$A:$A,Derived_Variables!$AA:$AA,"Normal"))</f>
        <v/>
      </c>
      <c r="AL169" s="28" t="str">
        <f t="array" ref="AL169">IF($I168="","",XLOOKUP($B169,Derived_Variables!$A:$A,Derived_Variables!$AB:$AB,"Normal"))</f>
        <v/>
      </c>
      <c r="AM169" s="28" t="str">
        <f t="array" ref="AM169">IF($I169="","",IFS(C169="B",IF(OR(I169="NOT_READABLE",I169="BLURRY"),-AB169,0),C169="G",IFS(I169="RED_CLEARER",XLOOKUP("duochrome_red_step",Calibration!$B:$B,Calibration!$C:$C,-0.25),I169="GREEN_CLEARER",XLOOKUP("duochrome_green_step",Calibration!$B:$B,Calibration!$C:$C,0.25),I169="EQUAL",IF(XLOOKUP($B169,Derived_Variables!$A:$A,Derived_Variables!$S:$S,"Neutral")="Undercorrect",XLOOKUP("undercorrect_step",Calibration!$B:$B,Calibration!$C:$C,0.25),IF(XLOOKUP($B169,Derived_Variables!$A:$A,Derived_Variables!$S:$S,"Neutral")="Overcorrect",-XLOOKUP("overcorrect_step",Calibration!$B:$B,Calibration!$C:$C,0.25),0)),TRUE,0),C169="K",IF(I169="TOP_CLEARER",XLOOKUP("bino_balance_step",Calibration!$B:$B,Calibration!$C:$C,0.25),0),TRUE,0))</f>
        <v/>
      </c>
      <c r="AN169" s="28" t="str">
        <f t="shared" si="10"/>
        <v/>
      </c>
      <c r="AO169" s="28" t="str">
        <f t="shared" si="11"/>
        <v/>
      </c>
      <c r="AP169" s="28" t="str">
        <f t="array" ref="AP169">IF($I169="","",IFS(C169="D",IF(OR(I169="NOT_READABLE",I169="BLURRY"),-AB169,0),C169="J",IFS(I169="RED_CLEARER",XLOOKUP("duochrome_red_step",Calibration!$B:$B,Calibration!$C:$C,-0.25),I169="GREEN_CLEARER",XLOOKUP("duochrome_green_step",Calibration!$B:$B,Calibration!$C:$C,0.25),I169="EQUAL",IF(XLOOKUP($B169,Derived_Variables!$A:$A,Derived_Variables!$S:$S,"Neutral")="Undercorrect",XLOOKUP("undercorrect_step",Calibration!$B:$B,Calibration!$C:$C,0.25),IF(XLOOKUP($B169,Derived_Variables!$A:$A,Derived_Variables!$S:$S,"Neutral")="Overcorrect",-XLOOKUP("overcorrect_step",Calibration!$B:$B,Calibration!$C:$C,0.25),0)),TRUE,0),C169="K",IF(I169="BOTTOM_CLEARER",XLOOKUP("bino_balance_step",Calibration!$B:$B,Calibration!$C:$C,0.25),0),TRUE,0))</f>
        <v/>
      </c>
      <c r="AQ169" s="28" t="str">
        <f t="shared" si="12"/>
        <v/>
      </c>
      <c r="AR169" s="28" t="str">
        <f t="shared" si="13"/>
        <v/>
      </c>
      <c r="AS169" s="28" t="str">
        <f t="array" ref="AS169">IF($I169="","",IF(C169="P",IF(OR(I169="NOT_READABLE",I169="BLURRY"),XLOOKUP("near_add_step",Calibration!$B:$B,Calibration!$C:$C,0.25),0),IF(C169="R",IF(I169="NOT_CLEAR",XLOOKUP("near_add_step",Calibration!$B:$B,Calibration!$C:$C,0.25),0),0)))</f>
        <v/>
      </c>
      <c r="AT169" s="28" t="str">
        <f t="array" ref="AT169">IF($I169="","",IF(C169="Q",IF(OR(I169="NOT_READABLE",I169="BLURRY"),XLOOKUP("near_add_step",Calibration!$B:$B,Calibration!$C:$C,0.25),0),IF(C169="R",IF(I169="NOT_CLEAR",XLOOKUP("near_add_step",Calibration!$B:$B,Calibration!$C:$C,0.25),0),0)))</f>
        <v/>
      </c>
      <c r="AU169" s="28" t="str">
        <f t="array" ref="AU169">IF($I169="","",IF(G169="SNELLEN_FEET",IF(I169="READABLE",IFERROR(XLOOKUP(XLOOKUP(R169,Chart_Scale_Distance!B:B,Chart_Scale_Distance!A:A)+1,Chart_Scale_Distance!A:A,Chart_Scale_Distance!B:B),R169),R169),R169))</f>
        <v/>
      </c>
      <c r="AV169" s="28" t="str">
        <f t="array" ref="AV169">IF($I168="","",IFERROR(XLOOKUP(R169,Chart_Scale_Distance!$B:$B,Chart_Scale_Distance!$A:$A,""),""))</f>
        <v/>
      </c>
      <c r="AW169" s="28" t="str">
        <f t="array" ref="AW169">IF($I168="","",IFERROR(XLOOKUP(AA169,Chart_Scale_Distance!$B:$B,Chart_Scale_Distance!$A:$A,""),""))</f>
        <v/>
      </c>
      <c r="AX169" s="28" t="str">
        <f t="shared" si="14"/>
        <v/>
      </c>
      <c r="AY169" s="28" t="str">
        <f t="shared" si="15"/>
        <v/>
      </c>
      <c r="AZ169" s="28" t="str">
        <f t="shared" si="16"/>
        <v/>
      </c>
      <c r="BA169" s="28" t="str">
        <f t="shared" si="17"/>
        <v/>
      </c>
      <c r="BB169" s="28" t="str">
        <f t="shared" si="18"/>
        <v/>
      </c>
      <c r="BC169" s="28" t="str">
        <f t="array" ref="BC169">IF($I169="","",LET(
conf,AI169,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duoMax,XLOOKUP($B169,Derived_Variables!$A:$A,Derived_Variables!$AI:$AI,4),
axisTol,XLOOKUP($B169,Derived_Variables!$A:$A,Derived_Variables!$W:$W,1),
maxStart,XLOOKUP($B169,Derived_Variables!$A:$A,Derived_Variables!$U:$U,1.25),
maxAR,XLOOKUP($B169,Derived_Variables!$A:$A,Derived_Variables!$V:$V,3),
anom,XLOOKUP($B169,Derived_Variables!$A:$A,Derived_Variables!$Z:$Z,FALSE),
reStart,XLOOKUP($B169,Derived_Variables!$A:$A,Derived_Variables!$K:$K,0),
leStart,XLOOKUP($B169,Derived_Variables!$A:$A,Derived_Variables!$N:$N,0),
reAR,XLOOKUP($B169,AR_Input!$A:$A,AR_Input!$B:$B,reStart),
leAR,XLOOKUP($B169,AR_Input!$A:$A,AR_Input!$E:$E,leStart),
reEsc,AND(anom,OR(ABS((S169+AM169)-reStart)&gt;maxStart,ABS((S169+AM169)-reAR)&gt;maxAR)),
leEsc,AND(anom,OR(ABS((V169+AP169)-leStart)&gt;maxStart,ABS((V169+AP169)-leAR)&gt;maxAR)),
phaseMax,IFS(
 AK169="Fast",
   IFS(
     OR(C169="B",C169="D"),XLOOKUP("timeout_coarse_fast",Calibration!$B:$B,Calibration!$C:$C,24),
     OR(C169="E",C169="F",C169="H",C169="I"),XLOOKUP("timeout_jcc_fast",Calibration!$B:$B,Calibration!$C:$C,10),
     OR(C169="G",C169="J"),XLOOKUP("timeout_duochrome_fast",Calibration!$B:$B,Calibration!$C:$C,8),
     C169="K",XLOOKUP("timeout_bino_fast",Calibration!$B:$B,Calibration!$C:$C,10),
     OR(C169="P",C169="Q",C169="R"),XLOOKUP("timeout_near_fast",Calibration!$B:$B,Calibration!$C:$C,16),
     TRUE,XLOOKUP("timeout_coarse_fast",Calibration!$B:$B,Calibration!$C:$C,24)
   ),
 AK169="Normal",
   IFS(
     OR(C169="B",C169="D"),XLOOKUP("timeout_coarse_normal",Calibration!$B:$B,Calibration!$C:$C,36),
     OR(C169="E",C169="F",C169="H",C169="I"),XLOOKUP("timeout_jcc_normal",Calibration!$B:$B,Calibration!$C:$C,14),
     OR(C169="G",C169="J"),XLOOKUP("timeout_duochrome_normal",Calibration!$B:$B,Calibration!$C:$C,10),
     C169="K",XLOOKUP("timeout_bino_normal",Calibration!$B:$B,Calibration!$C:$C,14),
     OR(C169="P",C169="Q",C169="R"),XLOOKUP("timeout_near_normal",Calibration!$B:$B,Calibration!$C:$C,22),
     TRUE,XLOOKUP("timeout_coarse_normal",Calibration!$B:$B,Calibration!$C:$C,36)
   ),
 TRUE,
   IFS(
     OR(C169="B",C169="D"),XLOOKUP("timeout_coarse_slow",Calibration!$B:$B,Calibration!$C:$C,48),
     OR(C169="E",C169="F",C169="H",C169="I"),XLOOKUP("timeout_jcc_slow",Calibration!$B:$B,Calibration!$C:$C,18),
     OR(C169="G",C169="J"),XLOOKUP("timeout_duochrome_slow",Calibration!$B:$B,Calibration!$C:$C,12),
     C169="K",XLOOKUP("timeout_bino_slow",Calibration!$B:$B,Calibration!$C:$C,18),
     OR(C169="P",C169="Q",C169="R"),XLOOKUP("timeout_near_slow",Calibration!$B:$B,Calibration!$C:$C,28),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AJ169=TRUE,"ESCALATE",
C169="A",
IF(OR(I169="NOT_READABLE",I169="BLURRY",AND(R169="20_20_20",I169="READABLE")),"B","A"),
C169="B",
IF(reEsc,"ESCALATE",IF(AY169&gt;=phaseMax,"ESCALATE",IF(AND(AV169&gt;=AW169,I169="READABLE"),"E","B"))),
C169="E",
IF(AY169&gt;=phaseMax,"ESCALATE",IF(OR(I169="SAME",I169="CANT_TELL",AD169&lt;axisTol),"F","E")),
C169="F",
IF(AY169&gt;=phaseMax,"ESCALATE",IF(AX169&gt;=powerSameN,"G","F")),
C169="G",
IF(AY169&gt;=phaseMax,"ESCALATE",IF(OR(AX169&gt;=duoEqualN,BB169&gt;=duoMax),"D","G")),
C169="D",
IF(leEsc,"ESCALATE",IF(AY169&gt;=phaseMax,"ESCALATE",IF(AND(AV169&gt;=AW169,I169="READABLE"),"H","D"))),
C169="H",
IF(AY169&gt;=phaseMax,"ESCALATE",IF(OR(I169="SAME",I169="CANT_TELL",AD169&lt;axisTol),"I","H")),
C169="I",
IF(AY169&gt;=phaseMax,"ESCALATE",IF(AX169&gt;=powerSameN,"J","I")),
C169="J",
IF(AY169&gt;=phaseMax,"ESCALATE",IF(OR(AX169&gt;=duoEqualN,BB169&gt;=duoMax),"K","J")),
C169="K",
IF(AY169&gt;=phaseMax,"ESCALATE",IF(AX169&gt;=binoSameN,IF(XLOOKUP($B169,Derived_Variables!$A:$A,Derived_Variables!$AJ:$AJ,FALSE)=TRUE,"P","END"),"K")),
C169="P",
IF(AY169&gt;=phaseMax,"ESCALATE",IF(OR(I169="READABLE",I169="SAME"),"Q","P")),
C169="Q",
IF(AY169&gt;=phaseMax,"ESCALATE",IF(OR(I169="READABLE",I169="SAME"),"R","Q")),
C169="R",
IF(AY169&gt;=phaseMax,"ESCALATE",IF(OR(I169=nearTarget,I169="SAME"),"END","R")),
TRUE,"END"
)))</f>
        <v/>
      </c>
      <c r="BD169" s="28" t="b">
        <f t="shared" si="19"/>
        <v>0</v>
      </c>
    </row>
    <row r="170" ht="15.75" customHeight="1">
      <c r="A170" s="28">
        <f t="shared" si="3"/>
        <v>169</v>
      </c>
      <c r="B170" s="28">
        <f t="shared" si="4"/>
        <v>6</v>
      </c>
      <c r="C170" s="28" t="str">
        <f t="shared" si="5"/>
        <v/>
      </c>
      <c r="D170" s="28" t="str">
        <f t="array" ref="D170">IF($I169="","",XLOOKUP(C170,FSM_State_Map!A:A,FSM_State_Map!B:B,""))</f>
        <v/>
      </c>
      <c r="E170" s="28" t="str">
        <f t="array" ref="E170">IF($I169="","",XLOOKUP(C170,FSM_State_Map!A:A,FSM_State_Map!C:C,""))</f>
        <v/>
      </c>
      <c r="F170" s="28" t="str">
        <f t="array" ref="F170">IF($I169="","",XLOOKUP(E170,Phase_UI_Map!A:A,Phase_UI_Map!B:B,""))</f>
        <v/>
      </c>
      <c r="G170" s="28" t="str">
        <f t="array" ref="G170">IF($I169="","",XLOOKUP(E170,Phase_UI_Map!A:A,Phase_UI_Map!C:C,""))</f>
        <v/>
      </c>
      <c r="H170" s="28" t="str">
        <f t="array" ref="H170">IF($I169="","",XLOOKUP(E170,Phase_UI_Map!A:A,Phase_UI_Map!D:D,""))</f>
        <v/>
      </c>
      <c r="I170" s="29"/>
      <c r="J170" s="28" t="str">
        <f>IFERROR(__xludf.DUMMYFUNCTION("IF($I169="""","""",IFERROR(INDEX(FILTER(Response_Lists!$B:$B,Response_Lists!$A:$A=$H170),1),""""))"),"")</f>
        <v/>
      </c>
      <c r="K170" s="28" t="str">
        <f>IFERROR(__xludf.DUMMYFUNCTION("IF($I169="""","""",IFERROR(INDEX(FILTER(Response_Lists!$B:$B,Response_Lists!$A:$A=$H170),2),""""))"),"")</f>
        <v/>
      </c>
      <c r="L170" s="28" t="str">
        <f>IFERROR(__xludf.DUMMYFUNCTION("IF($I169="""","""",IFERROR(INDEX(FILTER(Response_Lists!$B:$B,Response_Lists!$A:$A=$H170),3),""""))"),"")</f>
        <v/>
      </c>
      <c r="M170" s="28" t="str">
        <f>IFERROR(__xludf.DUMMYFUNCTION("IF($I169="""","""",IFERROR(INDEX(FILTER(Response_Lists!$B:$B,Response_Lists!$A:$A=$H170),4),""""))"),"")</f>
        <v/>
      </c>
      <c r="N170" s="28" t="str">
        <f>IFERROR(__xludf.DUMMYFUNCTION("IF($I169="""","""",IFERROR(INDEX(FILTER(Response_Lists!$B:$B,Response_Lists!$A:$A=$H170),5),""""))"),"")</f>
        <v/>
      </c>
      <c r="O170" s="28" t="str">
        <f>IFERROR(__xludf.DUMMYFUNCTION("IF($I169="""","""",IFERROR(INDEX(FILTER(Response_Lists!$B:$B,Response_Lists!$A:$A=$H170),6),""""))"),"")</f>
        <v/>
      </c>
      <c r="P170" s="28" t="str">
        <f t="shared" si="6"/>
        <v/>
      </c>
      <c r="Q170" s="28" t="str">
        <f t="array" ref="Q170">IF($I169="","",XLOOKUP(C170,FSM_State_Map!A:A,FSM_State_Map!D:D,""))</f>
        <v/>
      </c>
      <c r="R170" s="28" t="str">
        <f t="shared" si="7"/>
        <v/>
      </c>
      <c r="S170" s="28" t="str">
        <f t="array" ref="S170">IF($I169="","",
IF(
  AND(C170="B",C169&lt;&gt;"B"),
  XLOOKUP($B170,Derived_Variables!$A:$A,Derived_Variables!$K:$K,0)
  + XLOOKUP($B170,Derived_Variables!$A:$A,Derived_Variables!$AE:$AE,0),
  S169+AM169
))</f>
        <v/>
      </c>
      <c r="T170" s="28" t="str">
        <f t="shared" ref="T170:U170" si="350">IF($I169="","",T169+AN169)</f>
        <v/>
      </c>
      <c r="U170" s="28" t="str">
        <f t="shared" si="350"/>
        <v/>
      </c>
      <c r="V170" s="28" t="str">
        <f t="array" ref="V170">IF($I169="","",
IF(
  AND(C170="D",C169&lt;&gt;"D"),
  XLOOKUP($B170,Derived_Variables!$A:$A,Derived_Variables!$N:$N,0)
  + XLOOKUP($B170,Derived_Variables!$A:$A,Derived_Variables!$AE:$AE,0),
  V169+AP169
))</f>
        <v/>
      </c>
      <c r="W170" s="28" t="str">
        <f t="shared" ref="W170:X170" si="351">IF($I169="","",W169+AQ169)</f>
        <v/>
      </c>
      <c r="X170" s="28" t="str">
        <f t="shared" si="351"/>
        <v/>
      </c>
      <c r="Y170" s="28" t="str">
        <f t="array" ref="Y170">IF($I169="","",IF(AND(C170="P",C169&lt;&gt;"P"),IFERROR(XLOOKUP($B170,Lenso_Input!$A:$A,Lenso_Input!$E:$E,0),0),Y169+AS169))</f>
        <v/>
      </c>
      <c r="Z170" s="28" t="str">
        <f t="array" ref="Z170">IF($I169="","",IF(AND(C170="Q",C169&lt;&gt;"Q"),IFERROR(XLOOKUP($B170,Lenso_Input!$A:$A,Lenso_Input!$I:$I,0),0),Z169+AT169))</f>
        <v/>
      </c>
      <c r="AA170" s="28" t="str">
        <f t="array" ref="AA170">IF($I169="","",IF(XLOOKUP($B170,Derived_Variables!$A:$A,Derived_Variables!$R:$R,"6/6_target")="6/6_target","20_20_20","40_30_25"))</f>
        <v/>
      </c>
      <c r="AB170" s="28" t="str">
        <f t="array" ref="AB170">IF($I169="","",XLOOKUP(LOWER(XLOOKUP($B170,Derived_Variables!$A:$A,Derived_Variables!$T:$T,"Standard"))&amp;"_sph_step",Calibration!$B:$B,Calibration!$C:$C,0.25))</f>
        <v/>
      </c>
      <c r="AC170" s="28" t="str">
        <f t="array" ref="AC170">IF($I169="","",XLOOKUP(LOWER(XLOOKUP($B170,Derived_Variables!$A:$A,Derived_Variables!$T:$T,"Standard"))&amp;"_cyl_step",Calibration!$B:$B,Calibration!$C:$C,0.25))</f>
        <v/>
      </c>
      <c r="AD170" s="28" t="str">
        <f t="array" ref="AD170">IF($I169="","",IF(OR(C170="E",C170="H"),LET(startStep,XLOOKUP("axis_start_step",Calibration!$B:$B,Calibration!$C:$C,5),step1,XLOOKUP("axis_reversal_step_1",Calibration!$B:$B,Calibration!$C:$C,3),step2,XLOOKUP("axis_reversal_step_2",Calibration!$B:$B,Calibration!$C:$C,1),IF(OR(C169&lt;&gt;C170,AZ170="",AZ170="SAME",AZ170="CANT_TELL",I170="",I170="SAME",I170="CANT_TELL"),startStep,IF(OR(AND(AZ170="BETTER_1",I170="BETTER_2"),AND(AZ170="BETTER_2",I170="BETTER_1")),IF(AD169&gt;step1,step1,step2),AD169))),0))</f>
        <v/>
      </c>
      <c r="AE170" s="28" t="str">
        <f t="array" ref="AE170">IF($I169="","",XLOOKUP($B170,Derived_Variables!$A:$A,Derived_Variables!$AD:$AD,"No_Fog"))</f>
        <v/>
      </c>
      <c r="AF170" s="28" t="str">
        <f t="array" ref="AF170">IF($I169="","",XLOOKUP($B170,Derived_Variables!$A:$A,Derived_Variables!$AE:$AE,0))</f>
        <v/>
      </c>
      <c r="AG170" s="28" t="str">
        <f t="array" ref="AG170">IF($I169="","",XLOOKUP($B170,Derived_Variables!$A:$A,Derived_Variables!$AF:$AF,""))</f>
        <v/>
      </c>
      <c r="AH170" s="28" t="str">
        <f t="array" ref="AH170">IF($I169="","",XLOOKUP($B170,Derived_Variables!$A:$A,Derived_Variables!$AG:$AG,""))</f>
        <v/>
      </c>
      <c r="AI170" s="28" t="str">
        <f t="array" ref="AI170">IF($I169="","",XLOOKUP($B170,Derived_Variables!$A:$A,Derived_Variables!$AC:$AC,"Medium"))</f>
        <v/>
      </c>
      <c r="AJ170" s="28" t="str">
        <f t="array" ref="AJ170">IF($I169="","",XLOOKUP($B170,Derived_Variables!$A:$A,Derived_Variables!$Y:$Y,FALSE))</f>
        <v/>
      </c>
      <c r="AK170" s="28" t="str">
        <f t="array" ref="AK170">IF($I169="","",XLOOKUP($B170,Derived_Variables!$A:$A,Derived_Variables!$AA:$AA,"Normal"))</f>
        <v/>
      </c>
      <c r="AL170" s="28" t="str">
        <f t="array" ref="AL170">IF($I169="","",XLOOKUP($B170,Derived_Variables!$A:$A,Derived_Variables!$AB:$AB,"Normal"))</f>
        <v/>
      </c>
      <c r="AM170" s="28" t="str">
        <f t="array" ref="AM170">IF($I170="","",IFS(C170="B",IF(OR(I170="NOT_READABLE",I170="BLURRY"),-AB170,0),C170="G",IFS(I170="RED_CLEARER",XLOOKUP("duochrome_red_step",Calibration!$B:$B,Calibration!$C:$C,-0.25),I170="GREEN_CLEARER",XLOOKUP("duochrome_green_step",Calibration!$B:$B,Calibration!$C:$C,0.25),I170="EQUAL",IF(XLOOKUP($B170,Derived_Variables!$A:$A,Derived_Variables!$S:$S,"Neutral")="Undercorrect",XLOOKUP("undercorrect_step",Calibration!$B:$B,Calibration!$C:$C,0.25),IF(XLOOKUP($B170,Derived_Variables!$A:$A,Derived_Variables!$S:$S,"Neutral")="Overcorrect",-XLOOKUP("overcorrect_step",Calibration!$B:$B,Calibration!$C:$C,0.25),0)),TRUE,0),C170="K",IF(I170="TOP_CLEARER",XLOOKUP("bino_balance_step",Calibration!$B:$B,Calibration!$C:$C,0.25),0),TRUE,0))</f>
        <v/>
      </c>
      <c r="AN170" s="28" t="str">
        <f t="shared" si="10"/>
        <v/>
      </c>
      <c r="AO170" s="28" t="str">
        <f t="shared" si="11"/>
        <v/>
      </c>
      <c r="AP170" s="28" t="str">
        <f t="array" ref="AP170">IF($I170="","",IFS(C170="D",IF(OR(I170="NOT_READABLE",I170="BLURRY"),-AB170,0),C170="J",IFS(I170="RED_CLEARER",XLOOKUP("duochrome_red_step",Calibration!$B:$B,Calibration!$C:$C,-0.25),I170="GREEN_CLEARER",XLOOKUP("duochrome_green_step",Calibration!$B:$B,Calibration!$C:$C,0.25),I170="EQUAL",IF(XLOOKUP($B170,Derived_Variables!$A:$A,Derived_Variables!$S:$S,"Neutral")="Undercorrect",XLOOKUP("undercorrect_step",Calibration!$B:$B,Calibration!$C:$C,0.25),IF(XLOOKUP($B170,Derived_Variables!$A:$A,Derived_Variables!$S:$S,"Neutral")="Overcorrect",-XLOOKUP("overcorrect_step",Calibration!$B:$B,Calibration!$C:$C,0.25),0)),TRUE,0),C170="K",IF(I170="BOTTOM_CLEARER",XLOOKUP("bino_balance_step",Calibration!$B:$B,Calibration!$C:$C,0.25),0),TRUE,0))</f>
        <v/>
      </c>
      <c r="AQ170" s="28" t="str">
        <f t="shared" si="12"/>
        <v/>
      </c>
      <c r="AR170" s="28" t="str">
        <f t="shared" si="13"/>
        <v/>
      </c>
      <c r="AS170" s="28" t="str">
        <f t="array" ref="AS170">IF($I170="","",IF(C170="P",IF(OR(I170="NOT_READABLE",I170="BLURRY"),XLOOKUP("near_add_step",Calibration!$B:$B,Calibration!$C:$C,0.25),0),IF(C170="R",IF(I170="NOT_CLEAR",XLOOKUP("near_add_step",Calibration!$B:$B,Calibration!$C:$C,0.25),0),0)))</f>
        <v/>
      </c>
      <c r="AT170" s="28" t="str">
        <f t="array" ref="AT170">IF($I170="","",IF(C170="Q",IF(OR(I170="NOT_READABLE",I170="BLURRY"),XLOOKUP("near_add_step",Calibration!$B:$B,Calibration!$C:$C,0.25),0),IF(C170="R",IF(I170="NOT_CLEAR",XLOOKUP("near_add_step",Calibration!$B:$B,Calibration!$C:$C,0.25),0),0)))</f>
        <v/>
      </c>
      <c r="AU170" s="28" t="str">
        <f t="array" ref="AU170">IF($I170="","",IF(G170="SNELLEN_FEET",IF(I170="READABLE",IFERROR(XLOOKUP(XLOOKUP(R170,Chart_Scale_Distance!B:B,Chart_Scale_Distance!A:A)+1,Chart_Scale_Distance!A:A,Chart_Scale_Distance!B:B),R170),R170),R170))</f>
        <v/>
      </c>
      <c r="AV170" s="28" t="str">
        <f t="array" ref="AV170">IF($I169="","",IFERROR(XLOOKUP(R170,Chart_Scale_Distance!$B:$B,Chart_Scale_Distance!$A:$A,""),""))</f>
        <v/>
      </c>
      <c r="AW170" s="28" t="str">
        <f t="array" ref="AW170">IF($I169="","",IFERROR(XLOOKUP(AA170,Chart_Scale_Distance!$B:$B,Chart_Scale_Distance!$A:$A,""),""))</f>
        <v/>
      </c>
      <c r="AX170" s="28" t="str">
        <f t="shared" si="14"/>
        <v/>
      </c>
      <c r="AY170" s="28" t="str">
        <f t="shared" si="15"/>
        <v/>
      </c>
      <c r="AZ170" s="28" t="str">
        <f t="shared" si="16"/>
        <v/>
      </c>
      <c r="BA170" s="28" t="str">
        <f t="shared" si="17"/>
        <v/>
      </c>
      <c r="BB170" s="28" t="str">
        <f t="shared" si="18"/>
        <v/>
      </c>
      <c r="BC170" s="28" t="str">
        <f t="array" ref="BC170">IF($I170="","",LET(
conf,AI170,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duoMax,XLOOKUP($B170,Derived_Variables!$A:$A,Derived_Variables!$AI:$AI,4),
axisTol,XLOOKUP($B170,Derived_Variables!$A:$A,Derived_Variables!$W:$W,1),
maxStart,XLOOKUP($B170,Derived_Variables!$A:$A,Derived_Variables!$U:$U,1.25),
maxAR,XLOOKUP($B170,Derived_Variables!$A:$A,Derived_Variables!$V:$V,3),
anom,XLOOKUP($B170,Derived_Variables!$A:$A,Derived_Variables!$Z:$Z,FALSE),
reStart,XLOOKUP($B170,Derived_Variables!$A:$A,Derived_Variables!$K:$K,0),
leStart,XLOOKUP($B170,Derived_Variables!$A:$A,Derived_Variables!$N:$N,0),
reAR,XLOOKUP($B170,AR_Input!$A:$A,AR_Input!$B:$B,reStart),
leAR,XLOOKUP($B170,AR_Input!$A:$A,AR_Input!$E:$E,leStart),
reEsc,AND(anom,OR(ABS((S170+AM170)-reStart)&gt;maxStart,ABS((S170+AM170)-reAR)&gt;maxAR)),
leEsc,AND(anom,OR(ABS((V170+AP170)-leStart)&gt;maxStart,ABS((V170+AP170)-leAR)&gt;maxAR)),
phaseMax,IFS(
 AK170="Fast",
   IFS(
     OR(C170="B",C170="D"),XLOOKUP("timeout_coarse_fast",Calibration!$B:$B,Calibration!$C:$C,24),
     OR(C170="E",C170="F",C170="H",C170="I"),XLOOKUP("timeout_jcc_fast",Calibration!$B:$B,Calibration!$C:$C,10),
     OR(C170="G",C170="J"),XLOOKUP("timeout_duochrome_fast",Calibration!$B:$B,Calibration!$C:$C,8),
     C170="K",XLOOKUP("timeout_bino_fast",Calibration!$B:$B,Calibration!$C:$C,10),
     OR(C170="P",C170="Q",C170="R"),XLOOKUP("timeout_near_fast",Calibration!$B:$B,Calibration!$C:$C,16),
     TRUE,XLOOKUP("timeout_coarse_fast",Calibration!$B:$B,Calibration!$C:$C,24)
   ),
 AK170="Normal",
   IFS(
     OR(C170="B",C170="D"),XLOOKUP("timeout_coarse_normal",Calibration!$B:$B,Calibration!$C:$C,36),
     OR(C170="E",C170="F",C170="H",C170="I"),XLOOKUP("timeout_jcc_normal",Calibration!$B:$B,Calibration!$C:$C,14),
     OR(C170="G",C170="J"),XLOOKUP("timeout_duochrome_normal",Calibration!$B:$B,Calibration!$C:$C,10),
     C170="K",XLOOKUP("timeout_bino_normal",Calibration!$B:$B,Calibration!$C:$C,14),
     OR(C170="P",C170="Q",C170="R"),XLOOKUP("timeout_near_normal",Calibration!$B:$B,Calibration!$C:$C,22),
     TRUE,XLOOKUP("timeout_coarse_normal",Calibration!$B:$B,Calibration!$C:$C,36)
   ),
 TRUE,
   IFS(
     OR(C170="B",C170="D"),XLOOKUP("timeout_coarse_slow",Calibration!$B:$B,Calibration!$C:$C,48),
     OR(C170="E",C170="F",C170="H",C170="I"),XLOOKUP("timeout_jcc_slow",Calibration!$B:$B,Calibration!$C:$C,18),
     OR(C170="G",C170="J"),XLOOKUP("timeout_duochrome_slow",Calibration!$B:$B,Calibration!$C:$C,12),
     C170="K",XLOOKUP("timeout_bino_slow",Calibration!$B:$B,Calibration!$C:$C,18),
     OR(C170="P",C170="Q",C170="R"),XLOOKUP("timeout_near_slow",Calibration!$B:$B,Calibration!$C:$C,28),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AJ170=TRUE,"ESCALATE",
C170="A",
IF(OR(I170="NOT_READABLE",I170="BLURRY",AND(R170="20_20_20",I170="READABLE")),"B","A"),
C170="B",
IF(reEsc,"ESCALATE",IF(AY170&gt;=phaseMax,"ESCALATE",IF(AND(AV170&gt;=AW170,I170="READABLE"),"E","B"))),
C170="E",
IF(AY170&gt;=phaseMax,"ESCALATE",IF(OR(I170="SAME",I170="CANT_TELL",AD170&lt;axisTol),"F","E")),
C170="F",
IF(AY170&gt;=phaseMax,"ESCALATE",IF(AX170&gt;=powerSameN,"G","F")),
C170="G",
IF(AY170&gt;=phaseMax,"ESCALATE",IF(OR(AX170&gt;=duoEqualN,BB170&gt;=duoMax),"D","G")),
C170="D",
IF(leEsc,"ESCALATE",IF(AY170&gt;=phaseMax,"ESCALATE",IF(AND(AV170&gt;=AW170,I170="READABLE"),"H","D"))),
C170="H",
IF(AY170&gt;=phaseMax,"ESCALATE",IF(OR(I170="SAME",I170="CANT_TELL",AD170&lt;axisTol),"I","H")),
C170="I",
IF(AY170&gt;=phaseMax,"ESCALATE",IF(AX170&gt;=powerSameN,"J","I")),
C170="J",
IF(AY170&gt;=phaseMax,"ESCALATE",IF(OR(AX170&gt;=duoEqualN,BB170&gt;=duoMax),"K","J")),
C170="K",
IF(AY170&gt;=phaseMax,"ESCALATE",IF(AX170&gt;=binoSameN,IF(XLOOKUP($B170,Derived_Variables!$A:$A,Derived_Variables!$AJ:$AJ,FALSE)=TRUE,"P","END"),"K")),
C170="P",
IF(AY170&gt;=phaseMax,"ESCALATE",IF(OR(I170="READABLE",I170="SAME"),"Q","P")),
C170="Q",
IF(AY170&gt;=phaseMax,"ESCALATE",IF(OR(I170="READABLE",I170="SAME"),"R","Q")),
C170="R",
IF(AY170&gt;=phaseMax,"ESCALATE",IF(OR(I170=nearTarget,I170="SAME"),"END","R")),
TRUE,"END"
)))</f>
        <v/>
      </c>
      <c r="BD170" s="28" t="b">
        <f t="shared" si="19"/>
        <v>0</v>
      </c>
    </row>
    <row r="171" ht="15.75" customHeight="1">
      <c r="A171" s="28">
        <f t="shared" si="3"/>
        <v>170</v>
      </c>
      <c r="B171" s="28">
        <f t="shared" si="4"/>
        <v>6</v>
      </c>
      <c r="C171" s="28" t="str">
        <f t="shared" si="5"/>
        <v/>
      </c>
      <c r="D171" s="28" t="str">
        <f t="array" ref="D171">IF($I170="","",XLOOKUP(C171,FSM_State_Map!A:A,FSM_State_Map!B:B,""))</f>
        <v/>
      </c>
      <c r="E171" s="28" t="str">
        <f t="array" ref="E171">IF($I170="","",XLOOKUP(C171,FSM_State_Map!A:A,FSM_State_Map!C:C,""))</f>
        <v/>
      </c>
      <c r="F171" s="28" t="str">
        <f t="array" ref="F171">IF($I170="","",XLOOKUP(E171,Phase_UI_Map!A:A,Phase_UI_Map!B:B,""))</f>
        <v/>
      </c>
      <c r="G171" s="28" t="str">
        <f t="array" ref="G171">IF($I170="","",XLOOKUP(E171,Phase_UI_Map!A:A,Phase_UI_Map!C:C,""))</f>
        <v/>
      </c>
      <c r="H171" s="28" t="str">
        <f t="array" ref="H171">IF($I170="","",XLOOKUP(E171,Phase_UI_Map!A:A,Phase_UI_Map!D:D,""))</f>
        <v/>
      </c>
      <c r="I171" s="29"/>
      <c r="J171" s="28" t="str">
        <f>IFERROR(__xludf.DUMMYFUNCTION("IF($I170="""","""",IFERROR(INDEX(FILTER(Response_Lists!$B:$B,Response_Lists!$A:$A=$H171),1),""""))"),"")</f>
        <v/>
      </c>
      <c r="K171" s="28" t="str">
        <f>IFERROR(__xludf.DUMMYFUNCTION("IF($I170="""","""",IFERROR(INDEX(FILTER(Response_Lists!$B:$B,Response_Lists!$A:$A=$H171),2),""""))"),"")</f>
        <v/>
      </c>
      <c r="L171" s="28" t="str">
        <f>IFERROR(__xludf.DUMMYFUNCTION("IF($I170="""","""",IFERROR(INDEX(FILTER(Response_Lists!$B:$B,Response_Lists!$A:$A=$H171),3),""""))"),"")</f>
        <v/>
      </c>
      <c r="M171" s="28" t="str">
        <f>IFERROR(__xludf.DUMMYFUNCTION("IF($I170="""","""",IFERROR(INDEX(FILTER(Response_Lists!$B:$B,Response_Lists!$A:$A=$H171),4),""""))"),"")</f>
        <v/>
      </c>
      <c r="N171" s="28" t="str">
        <f>IFERROR(__xludf.DUMMYFUNCTION("IF($I170="""","""",IFERROR(INDEX(FILTER(Response_Lists!$B:$B,Response_Lists!$A:$A=$H171),5),""""))"),"")</f>
        <v/>
      </c>
      <c r="O171" s="28" t="str">
        <f>IFERROR(__xludf.DUMMYFUNCTION("IF($I170="""","""",IFERROR(INDEX(FILTER(Response_Lists!$B:$B,Response_Lists!$A:$A=$H171),6),""""))"),"")</f>
        <v/>
      </c>
      <c r="P171" s="28" t="str">
        <f t="shared" si="6"/>
        <v/>
      </c>
      <c r="Q171" s="28" t="str">
        <f t="array" ref="Q171">IF($I170="","",XLOOKUP(C171,FSM_State_Map!A:A,FSM_State_Map!D:D,""))</f>
        <v/>
      </c>
      <c r="R171" s="28" t="str">
        <f t="shared" si="7"/>
        <v/>
      </c>
      <c r="S171" s="28" t="str">
        <f t="array" ref="S171">IF($I170="","",
IF(
  AND(C171="B",C170&lt;&gt;"B"),
  XLOOKUP($B171,Derived_Variables!$A:$A,Derived_Variables!$K:$K,0)
  + XLOOKUP($B171,Derived_Variables!$A:$A,Derived_Variables!$AE:$AE,0),
  S170+AM170
))</f>
        <v/>
      </c>
      <c r="T171" s="28" t="str">
        <f t="shared" ref="T171:U171" si="352">IF($I170="","",T170+AN170)</f>
        <v/>
      </c>
      <c r="U171" s="28" t="str">
        <f t="shared" si="352"/>
        <v/>
      </c>
      <c r="V171" s="28" t="str">
        <f t="array" ref="V171">IF($I170="","",
IF(
  AND(C171="D",C170&lt;&gt;"D"),
  XLOOKUP($B171,Derived_Variables!$A:$A,Derived_Variables!$N:$N,0)
  + XLOOKUP($B171,Derived_Variables!$A:$A,Derived_Variables!$AE:$AE,0),
  V170+AP170
))</f>
        <v/>
      </c>
      <c r="W171" s="28" t="str">
        <f t="shared" ref="W171:X171" si="353">IF($I170="","",W170+AQ170)</f>
        <v/>
      </c>
      <c r="X171" s="28" t="str">
        <f t="shared" si="353"/>
        <v/>
      </c>
      <c r="Y171" s="28" t="str">
        <f t="array" ref="Y171">IF($I170="","",IF(AND(C171="P",C170&lt;&gt;"P"),IFERROR(XLOOKUP($B171,Lenso_Input!$A:$A,Lenso_Input!$E:$E,0),0),Y170+AS170))</f>
        <v/>
      </c>
      <c r="Z171" s="28" t="str">
        <f t="array" ref="Z171">IF($I170="","",IF(AND(C171="Q",C170&lt;&gt;"Q"),IFERROR(XLOOKUP($B171,Lenso_Input!$A:$A,Lenso_Input!$I:$I,0),0),Z170+AT170))</f>
        <v/>
      </c>
      <c r="AA171" s="28" t="str">
        <f t="array" ref="AA171">IF($I170="","",IF(XLOOKUP($B171,Derived_Variables!$A:$A,Derived_Variables!$R:$R,"6/6_target")="6/6_target","20_20_20","40_30_25"))</f>
        <v/>
      </c>
      <c r="AB171" s="28" t="str">
        <f t="array" ref="AB171">IF($I170="","",XLOOKUP(LOWER(XLOOKUP($B171,Derived_Variables!$A:$A,Derived_Variables!$T:$T,"Standard"))&amp;"_sph_step",Calibration!$B:$B,Calibration!$C:$C,0.25))</f>
        <v/>
      </c>
      <c r="AC171" s="28" t="str">
        <f t="array" ref="AC171">IF($I170="","",XLOOKUP(LOWER(XLOOKUP($B171,Derived_Variables!$A:$A,Derived_Variables!$T:$T,"Standard"))&amp;"_cyl_step",Calibration!$B:$B,Calibration!$C:$C,0.25))</f>
        <v/>
      </c>
      <c r="AD171" s="28" t="str">
        <f t="array" ref="AD171">IF($I170="","",IF(OR(C171="E",C171="H"),LET(startStep,XLOOKUP("axis_start_step",Calibration!$B:$B,Calibration!$C:$C,5),step1,XLOOKUP("axis_reversal_step_1",Calibration!$B:$B,Calibration!$C:$C,3),step2,XLOOKUP("axis_reversal_step_2",Calibration!$B:$B,Calibration!$C:$C,1),IF(OR(C170&lt;&gt;C171,AZ171="",AZ171="SAME",AZ171="CANT_TELL",I171="",I171="SAME",I171="CANT_TELL"),startStep,IF(OR(AND(AZ171="BETTER_1",I171="BETTER_2"),AND(AZ171="BETTER_2",I171="BETTER_1")),IF(AD170&gt;step1,step1,step2),AD170))),0))</f>
        <v/>
      </c>
      <c r="AE171" s="28" t="str">
        <f t="array" ref="AE171">IF($I170="","",XLOOKUP($B171,Derived_Variables!$A:$A,Derived_Variables!$AD:$AD,"No_Fog"))</f>
        <v/>
      </c>
      <c r="AF171" s="28" t="str">
        <f t="array" ref="AF171">IF($I170="","",XLOOKUP($B171,Derived_Variables!$A:$A,Derived_Variables!$AE:$AE,0))</f>
        <v/>
      </c>
      <c r="AG171" s="28" t="str">
        <f t="array" ref="AG171">IF($I170="","",XLOOKUP($B171,Derived_Variables!$A:$A,Derived_Variables!$AF:$AF,""))</f>
        <v/>
      </c>
      <c r="AH171" s="28" t="str">
        <f t="array" ref="AH171">IF($I170="","",XLOOKUP($B171,Derived_Variables!$A:$A,Derived_Variables!$AG:$AG,""))</f>
        <v/>
      </c>
      <c r="AI171" s="28" t="str">
        <f t="array" ref="AI171">IF($I170="","",XLOOKUP($B171,Derived_Variables!$A:$A,Derived_Variables!$AC:$AC,"Medium"))</f>
        <v/>
      </c>
      <c r="AJ171" s="28" t="str">
        <f t="array" ref="AJ171">IF($I170="","",XLOOKUP($B171,Derived_Variables!$A:$A,Derived_Variables!$Y:$Y,FALSE))</f>
        <v/>
      </c>
      <c r="AK171" s="28" t="str">
        <f t="array" ref="AK171">IF($I170="","",XLOOKUP($B171,Derived_Variables!$A:$A,Derived_Variables!$AA:$AA,"Normal"))</f>
        <v/>
      </c>
      <c r="AL171" s="28" t="str">
        <f t="array" ref="AL171">IF($I170="","",XLOOKUP($B171,Derived_Variables!$A:$A,Derived_Variables!$AB:$AB,"Normal"))</f>
        <v/>
      </c>
      <c r="AM171" s="28" t="str">
        <f t="array" ref="AM171">IF($I171="","",IFS(C171="B",IF(OR(I171="NOT_READABLE",I171="BLURRY"),-AB171,0),C171="G",IFS(I171="RED_CLEARER",XLOOKUP("duochrome_red_step",Calibration!$B:$B,Calibration!$C:$C,-0.25),I171="GREEN_CLEARER",XLOOKUP("duochrome_green_step",Calibration!$B:$B,Calibration!$C:$C,0.25),I171="EQUAL",IF(XLOOKUP($B171,Derived_Variables!$A:$A,Derived_Variables!$S:$S,"Neutral")="Undercorrect",XLOOKUP("undercorrect_step",Calibration!$B:$B,Calibration!$C:$C,0.25),IF(XLOOKUP($B171,Derived_Variables!$A:$A,Derived_Variables!$S:$S,"Neutral")="Overcorrect",-XLOOKUP("overcorrect_step",Calibration!$B:$B,Calibration!$C:$C,0.25),0)),TRUE,0),C171="K",IF(I171="TOP_CLEARER",XLOOKUP("bino_balance_step",Calibration!$B:$B,Calibration!$C:$C,0.25),0),TRUE,0))</f>
        <v/>
      </c>
      <c r="AN171" s="28" t="str">
        <f t="shared" si="10"/>
        <v/>
      </c>
      <c r="AO171" s="28" t="str">
        <f t="shared" si="11"/>
        <v/>
      </c>
      <c r="AP171" s="28" t="str">
        <f t="array" ref="AP171">IF($I171="","",IFS(C171="D",IF(OR(I171="NOT_READABLE",I171="BLURRY"),-AB171,0),C171="J",IFS(I171="RED_CLEARER",XLOOKUP("duochrome_red_step",Calibration!$B:$B,Calibration!$C:$C,-0.25),I171="GREEN_CLEARER",XLOOKUP("duochrome_green_step",Calibration!$B:$B,Calibration!$C:$C,0.25),I171="EQUAL",IF(XLOOKUP($B171,Derived_Variables!$A:$A,Derived_Variables!$S:$S,"Neutral")="Undercorrect",XLOOKUP("undercorrect_step",Calibration!$B:$B,Calibration!$C:$C,0.25),IF(XLOOKUP($B171,Derived_Variables!$A:$A,Derived_Variables!$S:$S,"Neutral")="Overcorrect",-XLOOKUP("overcorrect_step",Calibration!$B:$B,Calibration!$C:$C,0.25),0)),TRUE,0),C171="K",IF(I171="BOTTOM_CLEARER",XLOOKUP("bino_balance_step",Calibration!$B:$B,Calibration!$C:$C,0.25),0),TRUE,0))</f>
        <v/>
      </c>
      <c r="AQ171" s="28" t="str">
        <f t="shared" si="12"/>
        <v/>
      </c>
      <c r="AR171" s="28" t="str">
        <f t="shared" si="13"/>
        <v/>
      </c>
      <c r="AS171" s="28" t="str">
        <f t="array" ref="AS171">IF($I171="","",IF(C171="P",IF(OR(I171="NOT_READABLE",I171="BLURRY"),XLOOKUP("near_add_step",Calibration!$B:$B,Calibration!$C:$C,0.25),0),IF(C171="R",IF(I171="NOT_CLEAR",XLOOKUP("near_add_step",Calibration!$B:$B,Calibration!$C:$C,0.25),0),0)))</f>
        <v/>
      </c>
      <c r="AT171" s="28" t="str">
        <f t="array" ref="AT171">IF($I171="","",IF(C171="Q",IF(OR(I171="NOT_READABLE",I171="BLURRY"),XLOOKUP("near_add_step",Calibration!$B:$B,Calibration!$C:$C,0.25),0),IF(C171="R",IF(I171="NOT_CLEAR",XLOOKUP("near_add_step",Calibration!$B:$B,Calibration!$C:$C,0.25),0),0)))</f>
        <v/>
      </c>
      <c r="AU171" s="28" t="str">
        <f t="array" ref="AU171">IF($I171="","",IF(G171="SNELLEN_FEET",IF(I171="READABLE",IFERROR(XLOOKUP(XLOOKUP(R171,Chart_Scale_Distance!B:B,Chart_Scale_Distance!A:A)+1,Chart_Scale_Distance!A:A,Chart_Scale_Distance!B:B),R171),R171),R171))</f>
        <v/>
      </c>
      <c r="AV171" s="28" t="str">
        <f t="array" ref="AV171">IF($I170="","",IFERROR(XLOOKUP(R171,Chart_Scale_Distance!$B:$B,Chart_Scale_Distance!$A:$A,""),""))</f>
        <v/>
      </c>
      <c r="AW171" s="28" t="str">
        <f t="array" ref="AW171">IF($I170="","",IFERROR(XLOOKUP(AA171,Chart_Scale_Distance!$B:$B,Chart_Scale_Distance!$A:$A,""),""))</f>
        <v/>
      </c>
      <c r="AX171" s="28" t="str">
        <f t="shared" si="14"/>
        <v/>
      </c>
      <c r="AY171" s="28" t="str">
        <f t="shared" si="15"/>
        <v/>
      </c>
      <c r="AZ171" s="28" t="str">
        <f t="shared" si="16"/>
        <v/>
      </c>
      <c r="BA171" s="28" t="str">
        <f t="shared" si="17"/>
        <v/>
      </c>
      <c r="BB171" s="28" t="str">
        <f t="shared" si="18"/>
        <v/>
      </c>
      <c r="BC171" s="28" t="str">
        <f t="array" ref="BC171">IF($I171="","",LET(
conf,AI171,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duoMax,XLOOKUP($B171,Derived_Variables!$A:$A,Derived_Variables!$AI:$AI,4),
axisTol,XLOOKUP($B171,Derived_Variables!$A:$A,Derived_Variables!$W:$W,1),
maxStart,XLOOKUP($B171,Derived_Variables!$A:$A,Derived_Variables!$U:$U,1.25),
maxAR,XLOOKUP($B171,Derived_Variables!$A:$A,Derived_Variables!$V:$V,3),
anom,XLOOKUP($B171,Derived_Variables!$A:$A,Derived_Variables!$Z:$Z,FALSE),
reStart,XLOOKUP($B171,Derived_Variables!$A:$A,Derived_Variables!$K:$K,0),
leStart,XLOOKUP($B171,Derived_Variables!$A:$A,Derived_Variables!$N:$N,0),
reAR,XLOOKUP($B171,AR_Input!$A:$A,AR_Input!$B:$B,reStart),
leAR,XLOOKUP($B171,AR_Input!$A:$A,AR_Input!$E:$E,leStart),
reEsc,AND(anom,OR(ABS((S171+AM171)-reStart)&gt;maxStart,ABS((S171+AM171)-reAR)&gt;maxAR)),
leEsc,AND(anom,OR(ABS((V171+AP171)-leStart)&gt;maxStart,ABS((V171+AP171)-leAR)&gt;maxAR)),
phaseMax,IFS(
 AK171="Fast",
   IFS(
     OR(C171="B",C171="D"),XLOOKUP("timeout_coarse_fast",Calibration!$B:$B,Calibration!$C:$C,24),
     OR(C171="E",C171="F",C171="H",C171="I"),XLOOKUP("timeout_jcc_fast",Calibration!$B:$B,Calibration!$C:$C,10),
     OR(C171="G",C171="J"),XLOOKUP("timeout_duochrome_fast",Calibration!$B:$B,Calibration!$C:$C,8),
     C171="K",XLOOKUP("timeout_bino_fast",Calibration!$B:$B,Calibration!$C:$C,10),
     OR(C171="P",C171="Q",C171="R"),XLOOKUP("timeout_near_fast",Calibration!$B:$B,Calibration!$C:$C,16),
     TRUE,XLOOKUP("timeout_coarse_fast",Calibration!$B:$B,Calibration!$C:$C,24)
   ),
 AK171="Normal",
   IFS(
     OR(C171="B",C171="D"),XLOOKUP("timeout_coarse_normal",Calibration!$B:$B,Calibration!$C:$C,36),
     OR(C171="E",C171="F",C171="H",C171="I"),XLOOKUP("timeout_jcc_normal",Calibration!$B:$B,Calibration!$C:$C,14),
     OR(C171="G",C171="J"),XLOOKUP("timeout_duochrome_normal",Calibration!$B:$B,Calibration!$C:$C,10),
     C171="K",XLOOKUP("timeout_bino_normal",Calibration!$B:$B,Calibration!$C:$C,14),
     OR(C171="P",C171="Q",C171="R"),XLOOKUP("timeout_near_normal",Calibration!$B:$B,Calibration!$C:$C,22),
     TRUE,XLOOKUP("timeout_coarse_normal",Calibration!$B:$B,Calibration!$C:$C,36)
   ),
 TRUE,
   IFS(
     OR(C171="B",C171="D"),XLOOKUP("timeout_coarse_slow",Calibration!$B:$B,Calibration!$C:$C,48),
     OR(C171="E",C171="F",C171="H",C171="I"),XLOOKUP("timeout_jcc_slow",Calibration!$B:$B,Calibration!$C:$C,18),
     OR(C171="G",C171="J"),XLOOKUP("timeout_duochrome_slow",Calibration!$B:$B,Calibration!$C:$C,12),
     C171="K",XLOOKUP("timeout_bino_slow",Calibration!$B:$B,Calibration!$C:$C,18),
     OR(C171="P",C171="Q",C171="R"),XLOOKUP("timeout_near_slow",Calibration!$B:$B,Calibration!$C:$C,28),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AJ171=TRUE,"ESCALATE",
C171="A",
IF(OR(I171="NOT_READABLE",I171="BLURRY",AND(R171="20_20_20",I171="READABLE")),"B","A"),
C171="B",
IF(reEsc,"ESCALATE",IF(AY171&gt;=phaseMax,"ESCALATE",IF(AND(AV171&gt;=AW171,I171="READABLE"),"E","B"))),
C171="E",
IF(AY171&gt;=phaseMax,"ESCALATE",IF(OR(I171="SAME",I171="CANT_TELL",AD171&lt;axisTol),"F","E")),
C171="F",
IF(AY171&gt;=phaseMax,"ESCALATE",IF(AX171&gt;=powerSameN,"G","F")),
C171="G",
IF(AY171&gt;=phaseMax,"ESCALATE",IF(OR(AX171&gt;=duoEqualN,BB171&gt;=duoMax),"D","G")),
C171="D",
IF(leEsc,"ESCALATE",IF(AY171&gt;=phaseMax,"ESCALATE",IF(AND(AV171&gt;=AW171,I171="READABLE"),"H","D"))),
C171="H",
IF(AY171&gt;=phaseMax,"ESCALATE",IF(OR(I171="SAME",I171="CANT_TELL",AD171&lt;axisTol),"I","H")),
C171="I",
IF(AY171&gt;=phaseMax,"ESCALATE",IF(AX171&gt;=powerSameN,"J","I")),
C171="J",
IF(AY171&gt;=phaseMax,"ESCALATE",IF(OR(AX171&gt;=duoEqualN,BB171&gt;=duoMax),"K","J")),
C171="K",
IF(AY171&gt;=phaseMax,"ESCALATE",IF(AX171&gt;=binoSameN,IF(XLOOKUP($B171,Derived_Variables!$A:$A,Derived_Variables!$AJ:$AJ,FALSE)=TRUE,"P","END"),"K")),
C171="P",
IF(AY171&gt;=phaseMax,"ESCALATE",IF(OR(I171="READABLE",I171="SAME"),"Q","P")),
C171="Q",
IF(AY171&gt;=phaseMax,"ESCALATE",IF(OR(I171="READABLE",I171="SAME"),"R","Q")),
C171="R",
IF(AY171&gt;=phaseMax,"ESCALATE",IF(OR(I171=nearTarget,I171="SAME"),"END","R")),
TRUE,"END"
)))</f>
        <v/>
      </c>
      <c r="BD171" s="28" t="b">
        <f t="shared" si="19"/>
        <v>0</v>
      </c>
    </row>
    <row r="172" ht="15.75" customHeight="1">
      <c r="A172" s="28">
        <f t="shared" si="3"/>
        <v>171</v>
      </c>
      <c r="B172" s="28">
        <f t="shared" si="4"/>
        <v>6</v>
      </c>
      <c r="C172" s="28" t="str">
        <f t="shared" si="5"/>
        <v/>
      </c>
      <c r="D172" s="28" t="str">
        <f t="array" ref="D172">IF($I171="","",XLOOKUP(C172,FSM_State_Map!A:A,FSM_State_Map!B:B,""))</f>
        <v/>
      </c>
      <c r="E172" s="28" t="str">
        <f t="array" ref="E172">IF($I171="","",XLOOKUP(C172,FSM_State_Map!A:A,FSM_State_Map!C:C,""))</f>
        <v/>
      </c>
      <c r="F172" s="28" t="str">
        <f t="array" ref="F172">IF($I171="","",XLOOKUP(E172,Phase_UI_Map!A:A,Phase_UI_Map!B:B,""))</f>
        <v/>
      </c>
      <c r="G172" s="28" t="str">
        <f t="array" ref="G172">IF($I171="","",XLOOKUP(E172,Phase_UI_Map!A:A,Phase_UI_Map!C:C,""))</f>
        <v/>
      </c>
      <c r="H172" s="28" t="str">
        <f t="array" ref="H172">IF($I171="","",XLOOKUP(E172,Phase_UI_Map!A:A,Phase_UI_Map!D:D,""))</f>
        <v/>
      </c>
      <c r="I172" s="29"/>
      <c r="J172" s="28" t="str">
        <f>IFERROR(__xludf.DUMMYFUNCTION("IF($I171="""","""",IFERROR(INDEX(FILTER(Response_Lists!$B:$B,Response_Lists!$A:$A=$H172),1),""""))"),"")</f>
        <v/>
      </c>
      <c r="K172" s="28" t="str">
        <f>IFERROR(__xludf.DUMMYFUNCTION("IF($I171="""","""",IFERROR(INDEX(FILTER(Response_Lists!$B:$B,Response_Lists!$A:$A=$H172),2),""""))"),"")</f>
        <v/>
      </c>
      <c r="L172" s="28" t="str">
        <f>IFERROR(__xludf.DUMMYFUNCTION("IF($I171="""","""",IFERROR(INDEX(FILTER(Response_Lists!$B:$B,Response_Lists!$A:$A=$H172),3),""""))"),"")</f>
        <v/>
      </c>
      <c r="M172" s="28" t="str">
        <f>IFERROR(__xludf.DUMMYFUNCTION("IF($I171="""","""",IFERROR(INDEX(FILTER(Response_Lists!$B:$B,Response_Lists!$A:$A=$H172),4),""""))"),"")</f>
        <v/>
      </c>
      <c r="N172" s="28" t="str">
        <f>IFERROR(__xludf.DUMMYFUNCTION("IF($I171="""","""",IFERROR(INDEX(FILTER(Response_Lists!$B:$B,Response_Lists!$A:$A=$H172),5),""""))"),"")</f>
        <v/>
      </c>
      <c r="O172" s="28" t="str">
        <f>IFERROR(__xludf.DUMMYFUNCTION("IF($I171="""","""",IFERROR(INDEX(FILTER(Response_Lists!$B:$B,Response_Lists!$A:$A=$H172),6),""""))"),"")</f>
        <v/>
      </c>
      <c r="P172" s="28" t="str">
        <f t="shared" si="6"/>
        <v/>
      </c>
      <c r="Q172" s="28" t="str">
        <f t="array" ref="Q172">IF($I171="","",XLOOKUP(C172,FSM_State_Map!A:A,FSM_State_Map!D:D,""))</f>
        <v/>
      </c>
      <c r="R172" s="28" t="str">
        <f t="shared" si="7"/>
        <v/>
      </c>
      <c r="S172" s="28" t="str">
        <f t="array" ref="S172">IF($I171="","",
IF(
  AND(C172="B",C171&lt;&gt;"B"),
  XLOOKUP($B172,Derived_Variables!$A:$A,Derived_Variables!$K:$K,0)
  + XLOOKUP($B172,Derived_Variables!$A:$A,Derived_Variables!$AE:$AE,0),
  S171+AM171
))</f>
        <v/>
      </c>
      <c r="T172" s="28" t="str">
        <f t="shared" ref="T172:U172" si="354">IF($I171="","",T171+AN171)</f>
        <v/>
      </c>
      <c r="U172" s="28" t="str">
        <f t="shared" si="354"/>
        <v/>
      </c>
      <c r="V172" s="28" t="str">
        <f t="array" ref="V172">IF($I171="","",
IF(
  AND(C172="D",C171&lt;&gt;"D"),
  XLOOKUP($B172,Derived_Variables!$A:$A,Derived_Variables!$N:$N,0)
  + XLOOKUP($B172,Derived_Variables!$A:$A,Derived_Variables!$AE:$AE,0),
  V171+AP171
))</f>
        <v/>
      </c>
      <c r="W172" s="28" t="str">
        <f t="shared" ref="W172:X172" si="355">IF($I171="","",W171+AQ171)</f>
        <v/>
      </c>
      <c r="X172" s="28" t="str">
        <f t="shared" si="355"/>
        <v/>
      </c>
      <c r="Y172" s="28" t="str">
        <f t="array" ref="Y172">IF($I171="","",IF(AND(C172="P",C171&lt;&gt;"P"),IFERROR(XLOOKUP($B172,Lenso_Input!$A:$A,Lenso_Input!$E:$E,0),0),Y171+AS171))</f>
        <v/>
      </c>
      <c r="Z172" s="28" t="str">
        <f t="array" ref="Z172">IF($I171="","",IF(AND(C172="Q",C171&lt;&gt;"Q"),IFERROR(XLOOKUP($B172,Lenso_Input!$A:$A,Lenso_Input!$I:$I,0),0),Z171+AT171))</f>
        <v/>
      </c>
      <c r="AA172" s="28" t="str">
        <f t="array" ref="AA172">IF($I171="","",IF(XLOOKUP($B172,Derived_Variables!$A:$A,Derived_Variables!$R:$R,"6/6_target")="6/6_target","20_20_20","40_30_25"))</f>
        <v/>
      </c>
      <c r="AB172" s="28" t="str">
        <f t="array" ref="AB172">IF($I171="","",XLOOKUP(LOWER(XLOOKUP($B172,Derived_Variables!$A:$A,Derived_Variables!$T:$T,"Standard"))&amp;"_sph_step",Calibration!$B:$B,Calibration!$C:$C,0.25))</f>
        <v/>
      </c>
      <c r="AC172" s="28" t="str">
        <f t="array" ref="AC172">IF($I171="","",XLOOKUP(LOWER(XLOOKUP($B172,Derived_Variables!$A:$A,Derived_Variables!$T:$T,"Standard"))&amp;"_cyl_step",Calibration!$B:$B,Calibration!$C:$C,0.25))</f>
        <v/>
      </c>
      <c r="AD172" s="28" t="str">
        <f t="array" ref="AD172">IF($I171="","",IF(OR(C172="E",C172="H"),LET(startStep,XLOOKUP("axis_start_step",Calibration!$B:$B,Calibration!$C:$C,5),step1,XLOOKUP("axis_reversal_step_1",Calibration!$B:$B,Calibration!$C:$C,3),step2,XLOOKUP("axis_reversal_step_2",Calibration!$B:$B,Calibration!$C:$C,1),IF(OR(C171&lt;&gt;C172,AZ172="",AZ172="SAME",AZ172="CANT_TELL",I172="",I172="SAME",I172="CANT_TELL"),startStep,IF(OR(AND(AZ172="BETTER_1",I172="BETTER_2"),AND(AZ172="BETTER_2",I172="BETTER_1")),IF(AD171&gt;step1,step1,step2),AD171))),0))</f>
        <v/>
      </c>
      <c r="AE172" s="28" t="str">
        <f t="array" ref="AE172">IF($I171="","",XLOOKUP($B172,Derived_Variables!$A:$A,Derived_Variables!$AD:$AD,"No_Fog"))</f>
        <v/>
      </c>
      <c r="AF172" s="28" t="str">
        <f t="array" ref="AF172">IF($I171="","",XLOOKUP($B172,Derived_Variables!$A:$A,Derived_Variables!$AE:$AE,0))</f>
        <v/>
      </c>
      <c r="AG172" s="28" t="str">
        <f t="array" ref="AG172">IF($I171="","",XLOOKUP($B172,Derived_Variables!$A:$A,Derived_Variables!$AF:$AF,""))</f>
        <v/>
      </c>
      <c r="AH172" s="28" t="str">
        <f t="array" ref="AH172">IF($I171="","",XLOOKUP($B172,Derived_Variables!$A:$A,Derived_Variables!$AG:$AG,""))</f>
        <v/>
      </c>
      <c r="AI172" s="28" t="str">
        <f t="array" ref="AI172">IF($I171="","",XLOOKUP($B172,Derived_Variables!$A:$A,Derived_Variables!$AC:$AC,"Medium"))</f>
        <v/>
      </c>
      <c r="AJ172" s="28" t="str">
        <f t="array" ref="AJ172">IF($I171="","",XLOOKUP($B172,Derived_Variables!$A:$A,Derived_Variables!$Y:$Y,FALSE))</f>
        <v/>
      </c>
      <c r="AK172" s="28" t="str">
        <f t="array" ref="AK172">IF($I171="","",XLOOKUP($B172,Derived_Variables!$A:$A,Derived_Variables!$AA:$AA,"Normal"))</f>
        <v/>
      </c>
      <c r="AL172" s="28" t="str">
        <f t="array" ref="AL172">IF($I171="","",XLOOKUP($B172,Derived_Variables!$A:$A,Derived_Variables!$AB:$AB,"Normal"))</f>
        <v/>
      </c>
      <c r="AM172" s="28" t="str">
        <f t="array" ref="AM172">IF($I172="","",IFS(C172="B",IF(OR(I172="NOT_READABLE",I172="BLURRY"),-AB172,0),C172="G",IFS(I172="RED_CLEARER",XLOOKUP("duochrome_red_step",Calibration!$B:$B,Calibration!$C:$C,-0.25),I172="GREEN_CLEARER",XLOOKUP("duochrome_green_step",Calibration!$B:$B,Calibration!$C:$C,0.25),I172="EQUAL",IF(XLOOKUP($B172,Derived_Variables!$A:$A,Derived_Variables!$S:$S,"Neutral")="Undercorrect",XLOOKUP("undercorrect_step",Calibration!$B:$B,Calibration!$C:$C,0.25),IF(XLOOKUP($B172,Derived_Variables!$A:$A,Derived_Variables!$S:$S,"Neutral")="Overcorrect",-XLOOKUP("overcorrect_step",Calibration!$B:$B,Calibration!$C:$C,0.25),0)),TRUE,0),C172="K",IF(I172="TOP_CLEARER",XLOOKUP("bino_balance_step",Calibration!$B:$B,Calibration!$C:$C,0.25),0),TRUE,0))</f>
        <v/>
      </c>
      <c r="AN172" s="28" t="str">
        <f t="shared" si="10"/>
        <v/>
      </c>
      <c r="AO172" s="28" t="str">
        <f t="shared" si="11"/>
        <v/>
      </c>
      <c r="AP172" s="28" t="str">
        <f t="array" ref="AP172">IF($I172="","",IFS(C172="D",IF(OR(I172="NOT_READABLE",I172="BLURRY"),-AB172,0),C172="J",IFS(I172="RED_CLEARER",XLOOKUP("duochrome_red_step",Calibration!$B:$B,Calibration!$C:$C,-0.25),I172="GREEN_CLEARER",XLOOKUP("duochrome_green_step",Calibration!$B:$B,Calibration!$C:$C,0.25),I172="EQUAL",IF(XLOOKUP($B172,Derived_Variables!$A:$A,Derived_Variables!$S:$S,"Neutral")="Undercorrect",XLOOKUP("undercorrect_step",Calibration!$B:$B,Calibration!$C:$C,0.25),IF(XLOOKUP($B172,Derived_Variables!$A:$A,Derived_Variables!$S:$S,"Neutral")="Overcorrect",-XLOOKUP("overcorrect_step",Calibration!$B:$B,Calibration!$C:$C,0.25),0)),TRUE,0),C172="K",IF(I172="BOTTOM_CLEARER",XLOOKUP("bino_balance_step",Calibration!$B:$B,Calibration!$C:$C,0.25),0),TRUE,0))</f>
        <v/>
      </c>
      <c r="AQ172" s="28" t="str">
        <f t="shared" si="12"/>
        <v/>
      </c>
      <c r="AR172" s="28" t="str">
        <f t="shared" si="13"/>
        <v/>
      </c>
      <c r="AS172" s="28" t="str">
        <f t="array" ref="AS172">IF($I172="","",IF(C172="P",IF(OR(I172="NOT_READABLE",I172="BLURRY"),XLOOKUP("near_add_step",Calibration!$B:$B,Calibration!$C:$C,0.25),0),IF(C172="R",IF(I172="NOT_CLEAR",XLOOKUP("near_add_step",Calibration!$B:$B,Calibration!$C:$C,0.25),0),0)))</f>
        <v/>
      </c>
      <c r="AT172" s="28" t="str">
        <f t="array" ref="AT172">IF($I172="","",IF(C172="Q",IF(OR(I172="NOT_READABLE",I172="BLURRY"),XLOOKUP("near_add_step",Calibration!$B:$B,Calibration!$C:$C,0.25),0),IF(C172="R",IF(I172="NOT_CLEAR",XLOOKUP("near_add_step",Calibration!$B:$B,Calibration!$C:$C,0.25),0),0)))</f>
        <v/>
      </c>
      <c r="AU172" s="28" t="str">
        <f t="array" ref="AU172">IF($I172="","",IF(G172="SNELLEN_FEET",IF(I172="READABLE",IFERROR(XLOOKUP(XLOOKUP(R172,Chart_Scale_Distance!B:B,Chart_Scale_Distance!A:A)+1,Chart_Scale_Distance!A:A,Chart_Scale_Distance!B:B),R172),R172),R172))</f>
        <v/>
      </c>
      <c r="AV172" s="28" t="str">
        <f t="array" ref="AV172">IF($I171="","",IFERROR(XLOOKUP(R172,Chart_Scale_Distance!$B:$B,Chart_Scale_Distance!$A:$A,""),""))</f>
        <v/>
      </c>
      <c r="AW172" s="28" t="str">
        <f t="array" ref="AW172">IF($I171="","",IFERROR(XLOOKUP(AA172,Chart_Scale_Distance!$B:$B,Chart_Scale_Distance!$A:$A,""),""))</f>
        <v/>
      </c>
      <c r="AX172" s="28" t="str">
        <f t="shared" si="14"/>
        <v/>
      </c>
      <c r="AY172" s="28" t="str">
        <f t="shared" si="15"/>
        <v/>
      </c>
      <c r="AZ172" s="28" t="str">
        <f t="shared" si="16"/>
        <v/>
      </c>
      <c r="BA172" s="28" t="str">
        <f t="shared" si="17"/>
        <v/>
      </c>
      <c r="BB172" s="28" t="str">
        <f t="shared" si="18"/>
        <v/>
      </c>
      <c r="BC172" s="28" t="str">
        <f t="array" ref="BC172">IF($I172="","",LET(
conf,AI172,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duoMax,XLOOKUP($B172,Derived_Variables!$A:$A,Derived_Variables!$AI:$AI,4),
axisTol,XLOOKUP($B172,Derived_Variables!$A:$A,Derived_Variables!$W:$W,1),
maxStart,XLOOKUP($B172,Derived_Variables!$A:$A,Derived_Variables!$U:$U,1.25),
maxAR,XLOOKUP($B172,Derived_Variables!$A:$A,Derived_Variables!$V:$V,3),
anom,XLOOKUP($B172,Derived_Variables!$A:$A,Derived_Variables!$Z:$Z,FALSE),
reStart,XLOOKUP($B172,Derived_Variables!$A:$A,Derived_Variables!$K:$K,0),
leStart,XLOOKUP($B172,Derived_Variables!$A:$A,Derived_Variables!$N:$N,0),
reAR,XLOOKUP($B172,AR_Input!$A:$A,AR_Input!$B:$B,reStart),
leAR,XLOOKUP($B172,AR_Input!$A:$A,AR_Input!$E:$E,leStart),
reEsc,AND(anom,OR(ABS((S172+AM172)-reStart)&gt;maxStart,ABS((S172+AM172)-reAR)&gt;maxAR)),
leEsc,AND(anom,OR(ABS((V172+AP172)-leStart)&gt;maxStart,ABS((V172+AP172)-leAR)&gt;maxAR)),
phaseMax,IFS(
 AK172="Fast",
   IFS(
     OR(C172="B",C172="D"),XLOOKUP("timeout_coarse_fast",Calibration!$B:$B,Calibration!$C:$C,24),
     OR(C172="E",C172="F",C172="H",C172="I"),XLOOKUP("timeout_jcc_fast",Calibration!$B:$B,Calibration!$C:$C,10),
     OR(C172="G",C172="J"),XLOOKUP("timeout_duochrome_fast",Calibration!$B:$B,Calibration!$C:$C,8),
     C172="K",XLOOKUP("timeout_bino_fast",Calibration!$B:$B,Calibration!$C:$C,10),
     OR(C172="P",C172="Q",C172="R"),XLOOKUP("timeout_near_fast",Calibration!$B:$B,Calibration!$C:$C,16),
     TRUE,XLOOKUP("timeout_coarse_fast",Calibration!$B:$B,Calibration!$C:$C,24)
   ),
 AK172="Normal",
   IFS(
     OR(C172="B",C172="D"),XLOOKUP("timeout_coarse_normal",Calibration!$B:$B,Calibration!$C:$C,36),
     OR(C172="E",C172="F",C172="H",C172="I"),XLOOKUP("timeout_jcc_normal",Calibration!$B:$B,Calibration!$C:$C,14),
     OR(C172="G",C172="J"),XLOOKUP("timeout_duochrome_normal",Calibration!$B:$B,Calibration!$C:$C,10),
     C172="K",XLOOKUP("timeout_bino_normal",Calibration!$B:$B,Calibration!$C:$C,14),
     OR(C172="P",C172="Q",C172="R"),XLOOKUP("timeout_near_normal",Calibration!$B:$B,Calibration!$C:$C,22),
     TRUE,XLOOKUP("timeout_coarse_normal",Calibration!$B:$B,Calibration!$C:$C,36)
   ),
 TRUE,
   IFS(
     OR(C172="B",C172="D"),XLOOKUP("timeout_coarse_slow",Calibration!$B:$B,Calibration!$C:$C,48),
     OR(C172="E",C172="F",C172="H",C172="I"),XLOOKUP("timeout_jcc_slow",Calibration!$B:$B,Calibration!$C:$C,18),
     OR(C172="G",C172="J"),XLOOKUP("timeout_duochrome_slow",Calibration!$B:$B,Calibration!$C:$C,12),
     C172="K",XLOOKUP("timeout_bino_slow",Calibration!$B:$B,Calibration!$C:$C,18),
     OR(C172="P",C172="Q",C172="R"),XLOOKUP("timeout_near_slow",Calibration!$B:$B,Calibration!$C:$C,28),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AJ172=TRUE,"ESCALATE",
C172="A",
IF(OR(I172="NOT_READABLE",I172="BLURRY",AND(R172="20_20_20",I172="READABLE")),"B","A"),
C172="B",
IF(reEsc,"ESCALATE",IF(AY172&gt;=phaseMax,"ESCALATE",IF(AND(AV172&gt;=AW172,I172="READABLE"),"E","B"))),
C172="E",
IF(AY172&gt;=phaseMax,"ESCALATE",IF(OR(I172="SAME",I172="CANT_TELL",AD172&lt;axisTol),"F","E")),
C172="F",
IF(AY172&gt;=phaseMax,"ESCALATE",IF(AX172&gt;=powerSameN,"G","F")),
C172="G",
IF(AY172&gt;=phaseMax,"ESCALATE",IF(OR(AX172&gt;=duoEqualN,BB172&gt;=duoMax),"D","G")),
C172="D",
IF(leEsc,"ESCALATE",IF(AY172&gt;=phaseMax,"ESCALATE",IF(AND(AV172&gt;=AW172,I172="READABLE"),"H","D"))),
C172="H",
IF(AY172&gt;=phaseMax,"ESCALATE",IF(OR(I172="SAME",I172="CANT_TELL",AD172&lt;axisTol),"I","H")),
C172="I",
IF(AY172&gt;=phaseMax,"ESCALATE",IF(AX172&gt;=powerSameN,"J","I")),
C172="J",
IF(AY172&gt;=phaseMax,"ESCALATE",IF(OR(AX172&gt;=duoEqualN,BB172&gt;=duoMax),"K","J")),
C172="K",
IF(AY172&gt;=phaseMax,"ESCALATE",IF(AX172&gt;=binoSameN,IF(XLOOKUP($B172,Derived_Variables!$A:$A,Derived_Variables!$AJ:$AJ,FALSE)=TRUE,"P","END"),"K")),
C172="P",
IF(AY172&gt;=phaseMax,"ESCALATE",IF(OR(I172="READABLE",I172="SAME"),"Q","P")),
C172="Q",
IF(AY172&gt;=phaseMax,"ESCALATE",IF(OR(I172="READABLE",I172="SAME"),"R","Q")),
C172="R",
IF(AY172&gt;=phaseMax,"ESCALATE",IF(OR(I172=nearTarget,I172="SAME"),"END","R")),
TRUE,"END"
)))</f>
        <v/>
      </c>
      <c r="BD172" s="28" t="b">
        <f t="shared" si="19"/>
        <v>0</v>
      </c>
    </row>
    <row r="173" ht="15.75" customHeight="1">
      <c r="A173" s="28">
        <f t="shared" si="3"/>
        <v>172</v>
      </c>
      <c r="B173" s="28">
        <f t="shared" si="4"/>
        <v>6</v>
      </c>
      <c r="C173" s="28" t="str">
        <f t="shared" si="5"/>
        <v/>
      </c>
      <c r="D173" s="28" t="str">
        <f t="array" ref="D173">IF($I172="","",XLOOKUP(C173,FSM_State_Map!A:A,FSM_State_Map!B:B,""))</f>
        <v/>
      </c>
      <c r="E173" s="28" t="str">
        <f t="array" ref="E173">IF($I172="","",XLOOKUP(C173,FSM_State_Map!A:A,FSM_State_Map!C:C,""))</f>
        <v/>
      </c>
      <c r="F173" s="28" t="str">
        <f t="array" ref="F173">IF($I172="","",XLOOKUP(E173,Phase_UI_Map!A:A,Phase_UI_Map!B:B,""))</f>
        <v/>
      </c>
      <c r="G173" s="28" t="str">
        <f t="array" ref="G173">IF($I172="","",XLOOKUP(E173,Phase_UI_Map!A:A,Phase_UI_Map!C:C,""))</f>
        <v/>
      </c>
      <c r="H173" s="28" t="str">
        <f t="array" ref="H173">IF($I172="","",XLOOKUP(E173,Phase_UI_Map!A:A,Phase_UI_Map!D:D,""))</f>
        <v/>
      </c>
      <c r="I173" s="29"/>
      <c r="J173" s="28" t="str">
        <f>IFERROR(__xludf.DUMMYFUNCTION("IF($I172="""","""",IFERROR(INDEX(FILTER(Response_Lists!$B:$B,Response_Lists!$A:$A=$H173),1),""""))"),"")</f>
        <v/>
      </c>
      <c r="K173" s="28" t="str">
        <f>IFERROR(__xludf.DUMMYFUNCTION("IF($I172="""","""",IFERROR(INDEX(FILTER(Response_Lists!$B:$B,Response_Lists!$A:$A=$H173),2),""""))"),"")</f>
        <v/>
      </c>
      <c r="L173" s="28" t="str">
        <f>IFERROR(__xludf.DUMMYFUNCTION("IF($I172="""","""",IFERROR(INDEX(FILTER(Response_Lists!$B:$B,Response_Lists!$A:$A=$H173),3),""""))"),"")</f>
        <v/>
      </c>
      <c r="M173" s="28" t="str">
        <f>IFERROR(__xludf.DUMMYFUNCTION("IF($I172="""","""",IFERROR(INDEX(FILTER(Response_Lists!$B:$B,Response_Lists!$A:$A=$H173),4),""""))"),"")</f>
        <v/>
      </c>
      <c r="N173" s="28" t="str">
        <f>IFERROR(__xludf.DUMMYFUNCTION("IF($I172="""","""",IFERROR(INDEX(FILTER(Response_Lists!$B:$B,Response_Lists!$A:$A=$H173),5),""""))"),"")</f>
        <v/>
      </c>
      <c r="O173" s="28" t="str">
        <f>IFERROR(__xludf.DUMMYFUNCTION("IF($I172="""","""",IFERROR(INDEX(FILTER(Response_Lists!$B:$B,Response_Lists!$A:$A=$H173),6),""""))"),"")</f>
        <v/>
      </c>
      <c r="P173" s="28" t="str">
        <f t="shared" si="6"/>
        <v/>
      </c>
      <c r="Q173" s="28" t="str">
        <f t="array" ref="Q173">IF($I172="","",XLOOKUP(C173,FSM_State_Map!A:A,FSM_State_Map!D:D,""))</f>
        <v/>
      </c>
      <c r="R173" s="28" t="str">
        <f t="shared" si="7"/>
        <v/>
      </c>
      <c r="S173" s="28" t="str">
        <f t="array" ref="S173">IF($I172="","",
IF(
  AND(C173="B",C172&lt;&gt;"B"),
  XLOOKUP($B173,Derived_Variables!$A:$A,Derived_Variables!$K:$K,0)
  + XLOOKUP($B173,Derived_Variables!$A:$A,Derived_Variables!$AE:$AE,0),
  S172+AM172
))</f>
        <v/>
      </c>
      <c r="T173" s="28" t="str">
        <f t="shared" ref="T173:U173" si="356">IF($I172="","",T172+AN172)</f>
        <v/>
      </c>
      <c r="U173" s="28" t="str">
        <f t="shared" si="356"/>
        <v/>
      </c>
      <c r="V173" s="28" t="str">
        <f t="array" ref="V173">IF($I172="","",
IF(
  AND(C173="D",C172&lt;&gt;"D"),
  XLOOKUP($B173,Derived_Variables!$A:$A,Derived_Variables!$N:$N,0)
  + XLOOKUP($B173,Derived_Variables!$A:$A,Derived_Variables!$AE:$AE,0),
  V172+AP172
))</f>
        <v/>
      </c>
      <c r="W173" s="28" t="str">
        <f t="shared" ref="W173:X173" si="357">IF($I172="","",W172+AQ172)</f>
        <v/>
      </c>
      <c r="X173" s="28" t="str">
        <f t="shared" si="357"/>
        <v/>
      </c>
      <c r="Y173" s="28" t="str">
        <f t="array" ref="Y173">IF($I172="","",IF(AND(C173="P",C172&lt;&gt;"P"),IFERROR(XLOOKUP($B173,Lenso_Input!$A:$A,Lenso_Input!$E:$E,0),0),Y172+AS172))</f>
        <v/>
      </c>
      <c r="Z173" s="28" t="str">
        <f t="array" ref="Z173">IF($I172="","",IF(AND(C173="Q",C172&lt;&gt;"Q"),IFERROR(XLOOKUP($B173,Lenso_Input!$A:$A,Lenso_Input!$I:$I,0),0),Z172+AT172))</f>
        <v/>
      </c>
      <c r="AA173" s="28" t="str">
        <f t="array" ref="AA173">IF($I172="","",IF(XLOOKUP($B173,Derived_Variables!$A:$A,Derived_Variables!$R:$R,"6/6_target")="6/6_target","20_20_20","40_30_25"))</f>
        <v/>
      </c>
      <c r="AB173" s="28" t="str">
        <f t="array" ref="AB173">IF($I172="","",XLOOKUP(LOWER(XLOOKUP($B173,Derived_Variables!$A:$A,Derived_Variables!$T:$T,"Standard"))&amp;"_sph_step",Calibration!$B:$B,Calibration!$C:$C,0.25))</f>
        <v/>
      </c>
      <c r="AC173" s="28" t="str">
        <f t="array" ref="AC173">IF($I172="","",XLOOKUP(LOWER(XLOOKUP($B173,Derived_Variables!$A:$A,Derived_Variables!$T:$T,"Standard"))&amp;"_cyl_step",Calibration!$B:$B,Calibration!$C:$C,0.25))</f>
        <v/>
      </c>
      <c r="AD173" s="28" t="str">
        <f t="array" ref="AD173">IF($I172="","",IF(OR(C173="E",C173="H"),LET(startStep,XLOOKUP("axis_start_step",Calibration!$B:$B,Calibration!$C:$C,5),step1,XLOOKUP("axis_reversal_step_1",Calibration!$B:$B,Calibration!$C:$C,3),step2,XLOOKUP("axis_reversal_step_2",Calibration!$B:$B,Calibration!$C:$C,1),IF(OR(C172&lt;&gt;C173,AZ173="",AZ173="SAME",AZ173="CANT_TELL",I173="",I173="SAME",I173="CANT_TELL"),startStep,IF(OR(AND(AZ173="BETTER_1",I173="BETTER_2"),AND(AZ173="BETTER_2",I173="BETTER_1")),IF(AD172&gt;step1,step1,step2),AD172))),0))</f>
        <v/>
      </c>
      <c r="AE173" s="28" t="str">
        <f t="array" ref="AE173">IF($I172="","",XLOOKUP($B173,Derived_Variables!$A:$A,Derived_Variables!$AD:$AD,"No_Fog"))</f>
        <v/>
      </c>
      <c r="AF173" s="28" t="str">
        <f t="array" ref="AF173">IF($I172="","",XLOOKUP($B173,Derived_Variables!$A:$A,Derived_Variables!$AE:$AE,0))</f>
        <v/>
      </c>
      <c r="AG173" s="28" t="str">
        <f t="array" ref="AG173">IF($I172="","",XLOOKUP($B173,Derived_Variables!$A:$A,Derived_Variables!$AF:$AF,""))</f>
        <v/>
      </c>
      <c r="AH173" s="28" t="str">
        <f t="array" ref="AH173">IF($I172="","",XLOOKUP($B173,Derived_Variables!$A:$A,Derived_Variables!$AG:$AG,""))</f>
        <v/>
      </c>
      <c r="AI173" s="28" t="str">
        <f t="array" ref="AI173">IF($I172="","",XLOOKUP($B173,Derived_Variables!$A:$A,Derived_Variables!$AC:$AC,"Medium"))</f>
        <v/>
      </c>
      <c r="AJ173" s="28" t="str">
        <f t="array" ref="AJ173">IF($I172="","",XLOOKUP($B173,Derived_Variables!$A:$A,Derived_Variables!$Y:$Y,FALSE))</f>
        <v/>
      </c>
      <c r="AK173" s="28" t="str">
        <f t="array" ref="AK173">IF($I172="","",XLOOKUP($B173,Derived_Variables!$A:$A,Derived_Variables!$AA:$AA,"Normal"))</f>
        <v/>
      </c>
      <c r="AL173" s="28" t="str">
        <f t="array" ref="AL173">IF($I172="","",XLOOKUP($B173,Derived_Variables!$A:$A,Derived_Variables!$AB:$AB,"Normal"))</f>
        <v/>
      </c>
      <c r="AM173" s="28" t="str">
        <f t="array" ref="AM173">IF($I173="","",IFS(C173="B",IF(OR(I173="NOT_READABLE",I173="BLURRY"),-AB173,0),C173="G",IFS(I173="RED_CLEARER",XLOOKUP("duochrome_red_step",Calibration!$B:$B,Calibration!$C:$C,-0.25),I173="GREEN_CLEARER",XLOOKUP("duochrome_green_step",Calibration!$B:$B,Calibration!$C:$C,0.25),I173="EQUAL",IF(XLOOKUP($B173,Derived_Variables!$A:$A,Derived_Variables!$S:$S,"Neutral")="Undercorrect",XLOOKUP("undercorrect_step",Calibration!$B:$B,Calibration!$C:$C,0.25),IF(XLOOKUP($B173,Derived_Variables!$A:$A,Derived_Variables!$S:$S,"Neutral")="Overcorrect",-XLOOKUP("overcorrect_step",Calibration!$B:$B,Calibration!$C:$C,0.25),0)),TRUE,0),C173="K",IF(I173="TOP_CLEARER",XLOOKUP("bino_balance_step",Calibration!$B:$B,Calibration!$C:$C,0.25),0),TRUE,0))</f>
        <v/>
      </c>
      <c r="AN173" s="28" t="str">
        <f t="shared" si="10"/>
        <v/>
      </c>
      <c r="AO173" s="28" t="str">
        <f t="shared" si="11"/>
        <v/>
      </c>
      <c r="AP173" s="28" t="str">
        <f t="array" ref="AP173">IF($I173="","",IFS(C173="D",IF(OR(I173="NOT_READABLE",I173="BLURRY"),-AB173,0),C173="J",IFS(I173="RED_CLEARER",XLOOKUP("duochrome_red_step",Calibration!$B:$B,Calibration!$C:$C,-0.25),I173="GREEN_CLEARER",XLOOKUP("duochrome_green_step",Calibration!$B:$B,Calibration!$C:$C,0.25),I173="EQUAL",IF(XLOOKUP($B173,Derived_Variables!$A:$A,Derived_Variables!$S:$S,"Neutral")="Undercorrect",XLOOKUP("undercorrect_step",Calibration!$B:$B,Calibration!$C:$C,0.25),IF(XLOOKUP($B173,Derived_Variables!$A:$A,Derived_Variables!$S:$S,"Neutral")="Overcorrect",-XLOOKUP("overcorrect_step",Calibration!$B:$B,Calibration!$C:$C,0.25),0)),TRUE,0),C173="K",IF(I173="BOTTOM_CLEARER",XLOOKUP("bino_balance_step",Calibration!$B:$B,Calibration!$C:$C,0.25),0),TRUE,0))</f>
        <v/>
      </c>
      <c r="AQ173" s="28" t="str">
        <f t="shared" si="12"/>
        <v/>
      </c>
      <c r="AR173" s="28" t="str">
        <f t="shared" si="13"/>
        <v/>
      </c>
      <c r="AS173" s="28" t="str">
        <f t="array" ref="AS173">IF($I173="","",IF(C173="P",IF(OR(I173="NOT_READABLE",I173="BLURRY"),XLOOKUP("near_add_step",Calibration!$B:$B,Calibration!$C:$C,0.25),0),IF(C173="R",IF(I173="NOT_CLEAR",XLOOKUP("near_add_step",Calibration!$B:$B,Calibration!$C:$C,0.25),0),0)))</f>
        <v/>
      </c>
      <c r="AT173" s="28" t="str">
        <f t="array" ref="AT173">IF($I173="","",IF(C173="Q",IF(OR(I173="NOT_READABLE",I173="BLURRY"),XLOOKUP("near_add_step",Calibration!$B:$B,Calibration!$C:$C,0.25),0),IF(C173="R",IF(I173="NOT_CLEAR",XLOOKUP("near_add_step",Calibration!$B:$B,Calibration!$C:$C,0.25),0),0)))</f>
        <v/>
      </c>
      <c r="AU173" s="28" t="str">
        <f t="array" ref="AU173">IF($I173="","",IF(G173="SNELLEN_FEET",IF(I173="READABLE",IFERROR(XLOOKUP(XLOOKUP(R173,Chart_Scale_Distance!B:B,Chart_Scale_Distance!A:A)+1,Chart_Scale_Distance!A:A,Chart_Scale_Distance!B:B),R173),R173),R173))</f>
        <v/>
      </c>
      <c r="AV173" s="28" t="str">
        <f t="array" ref="AV173">IF($I172="","",IFERROR(XLOOKUP(R173,Chart_Scale_Distance!$B:$B,Chart_Scale_Distance!$A:$A,""),""))</f>
        <v/>
      </c>
      <c r="AW173" s="28" t="str">
        <f t="array" ref="AW173">IF($I172="","",IFERROR(XLOOKUP(AA173,Chart_Scale_Distance!$B:$B,Chart_Scale_Distance!$A:$A,""),""))</f>
        <v/>
      </c>
      <c r="AX173" s="28" t="str">
        <f t="shared" si="14"/>
        <v/>
      </c>
      <c r="AY173" s="28" t="str">
        <f t="shared" si="15"/>
        <v/>
      </c>
      <c r="AZ173" s="28" t="str">
        <f t="shared" si="16"/>
        <v/>
      </c>
      <c r="BA173" s="28" t="str">
        <f t="shared" si="17"/>
        <v/>
      </c>
      <c r="BB173" s="28" t="str">
        <f t="shared" si="18"/>
        <v/>
      </c>
      <c r="BC173" s="28" t="str">
        <f t="array" ref="BC173">IF($I173="","",LET(
conf,AI173,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duoMax,XLOOKUP($B173,Derived_Variables!$A:$A,Derived_Variables!$AI:$AI,4),
axisTol,XLOOKUP($B173,Derived_Variables!$A:$A,Derived_Variables!$W:$W,1),
maxStart,XLOOKUP($B173,Derived_Variables!$A:$A,Derived_Variables!$U:$U,1.25),
maxAR,XLOOKUP($B173,Derived_Variables!$A:$A,Derived_Variables!$V:$V,3),
anom,XLOOKUP($B173,Derived_Variables!$A:$A,Derived_Variables!$Z:$Z,FALSE),
reStart,XLOOKUP($B173,Derived_Variables!$A:$A,Derived_Variables!$K:$K,0),
leStart,XLOOKUP($B173,Derived_Variables!$A:$A,Derived_Variables!$N:$N,0),
reAR,XLOOKUP($B173,AR_Input!$A:$A,AR_Input!$B:$B,reStart),
leAR,XLOOKUP($B173,AR_Input!$A:$A,AR_Input!$E:$E,leStart),
reEsc,AND(anom,OR(ABS((S173+AM173)-reStart)&gt;maxStart,ABS((S173+AM173)-reAR)&gt;maxAR)),
leEsc,AND(anom,OR(ABS((V173+AP173)-leStart)&gt;maxStart,ABS((V173+AP173)-leAR)&gt;maxAR)),
phaseMax,IFS(
 AK173="Fast",
   IFS(
     OR(C173="B",C173="D"),XLOOKUP("timeout_coarse_fast",Calibration!$B:$B,Calibration!$C:$C,24),
     OR(C173="E",C173="F",C173="H",C173="I"),XLOOKUP("timeout_jcc_fast",Calibration!$B:$B,Calibration!$C:$C,10),
     OR(C173="G",C173="J"),XLOOKUP("timeout_duochrome_fast",Calibration!$B:$B,Calibration!$C:$C,8),
     C173="K",XLOOKUP("timeout_bino_fast",Calibration!$B:$B,Calibration!$C:$C,10),
     OR(C173="P",C173="Q",C173="R"),XLOOKUP("timeout_near_fast",Calibration!$B:$B,Calibration!$C:$C,16),
     TRUE,XLOOKUP("timeout_coarse_fast",Calibration!$B:$B,Calibration!$C:$C,24)
   ),
 AK173="Normal",
   IFS(
     OR(C173="B",C173="D"),XLOOKUP("timeout_coarse_normal",Calibration!$B:$B,Calibration!$C:$C,36),
     OR(C173="E",C173="F",C173="H",C173="I"),XLOOKUP("timeout_jcc_normal",Calibration!$B:$B,Calibration!$C:$C,14),
     OR(C173="G",C173="J"),XLOOKUP("timeout_duochrome_normal",Calibration!$B:$B,Calibration!$C:$C,10),
     C173="K",XLOOKUP("timeout_bino_normal",Calibration!$B:$B,Calibration!$C:$C,14),
     OR(C173="P",C173="Q",C173="R"),XLOOKUP("timeout_near_normal",Calibration!$B:$B,Calibration!$C:$C,22),
     TRUE,XLOOKUP("timeout_coarse_normal",Calibration!$B:$B,Calibration!$C:$C,36)
   ),
 TRUE,
   IFS(
     OR(C173="B",C173="D"),XLOOKUP("timeout_coarse_slow",Calibration!$B:$B,Calibration!$C:$C,48),
     OR(C173="E",C173="F",C173="H",C173="I"),XLOOKUP("timeout_jcc_slow",Calibration!$B:$B,Calibration!$C:$C,18),
     OR(C173="G",C173="J"),XLOOKUP("timeout_duochrome_slow",Calibration!$B:$B,Calibration!$C:$C,12),
     C173="K",XLOOKUP("timeout_bino_slow",Calibration!$B:$B,Calibration!$C:$C,18),
     OR(C173="P",C173="Q",C173="R"),XLOOKUP("timeout_near_slow",Calibration!$B:$B,Calibration!$C:$C,28),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AJ173=TRUE,"ESCALATE",
C173="A",
IF(OR(I173="NOT_READABLE",I173="BLURRY",AND(R173="20_20_20",I173="READABLE")),"B","A"),
C173="B",
IF(reEsc,"ESCALATE",IF(AY173&gt;=phaseMax,"ESCALATE",IF(AND(AV173&gt;=AW173,I173="READABLE"),"E","B"))),
C173="E",
IF(AY173&gt;=phaseMax,"ESCALATE",IF(OR(I173="SAME",I173="CANT_TELL",AD173&lt;axisTol),"F","E")),
C173="F",
IF(AY173&gt;=phaseMax,"ESCALATE",IF(AX173&gt;=powerSameN,"G","F")),
C173="G",
IF(AY173&gt;=phaseMax,"ESCALATE",IF(OR(AX173&gt;=duoEqualN,BB173&gt;=duoMax),"D","G")),
C173="D",
IF(leEsc,"ESCALATE",IF(AY173&gt;=phaseMax,"ESCALATE",IF(AND(AV173&gt;=AW173,I173="READABLE"),"H","D"))),
C173="H",
IF(AY173&gt;=phaseMax,"ESCALATE",IF(OR(I173="SAME",I173="CANT_TELL",AD173&lt;axisTol),"I","H")),
C173="I",
IF(AY173&gt;=phaseMax,"ESCALATE",IF(AX173&gt;=powerSameN,"J","I")),
C173="J",
IF(AY173&gt;=phaseMax,"ESCALATE",IF(OR(AX173&gt;=duoEqualN,BB173&gt;=duoMax),"K","J")),
C173="K",
IF(AY173&gt;=phaseMax,"ESCALATE",IF(AX173&gt;=binoSameN,IF(XLOOKUP($B173,Derived_Variables!$A:$A,Derived_Variables!$AJ:$AJ,FALSE)=TRUE,"P","END"),"K")),
C173="P",
IF(AY173&gt;=phaseMax,"ESCALATE",IF(OR(I173="READABLE",I173="SAME"),"Q","P")),
C173="Q",
IF(AY173&gt;=phaseMax,"ESCALATE",IF(OR(I173="READABLE",I173="SAME"),"R","Q")),
C173="R",
IF(AY173&gt;=phaseMax,"ESCALATE",IF(OR(I173=nearTarget,I173="SAME"),"END","R")),
TRUE,"END"
)))</f>
        <v/>
      </c>
      <c r="BD173" s="28" t="b">
        <f t="shared" si="19"/>
        <v>0</v>
      </c>
    </row>
    <row r="174" ht="15.75" customHeight="1">
      <c r="A174" s="28">
        <f t="shared" si="3"/>
        <v>173</v>
      </c>
      <c r="B174" s="28">
        <f t="shared" si="4"/>
        <v>6</v>
      </c>
      <c r="C174" s="28" t="str">
        <f t="shared" si="5"/>
        <v/>
      </c>
      <c r="D174" s="28" t="str">
        <f t="array" ref="D174">IF($I173="","",XLOOKUP(C174,FSM_State_Map!A:A,FSM_State_Map!B:B,""))</f>
        <v/>
      </c>
      <c r="E174" s="28" t="str">
        <f t="array" ref="E174">IF($I173="","",XLOOKUP(C174,FSM_State_Map!A:A,FSM_State_Map!C:C,""))</f>
        <v/>
      </c>
      <c r="F174" s="28" t="str">
        <f t="array" ref="F174">IF($I173="","",XLOOKUP(E174,Phase_UI_Map!A:A,Phase_UI_Map!B:B,""))</f>
        <v/>
      </c>
      <c r="G174" s="28" t="str">
        <f t="array" ref="G174">IF($I173="","",XLOOKUP(E174,Phase_UI_Map!A:A,Phase_UI_Map!C:C,""))</f>
        <v/>
      </c>
      <c r="H174" s="28" t="str">
        <f t="array" ref="H174">IF($I173="","",XLOOKUP(E174,Phase_UI_Map!A:A,Phase_UI_Map!D:D,""))</f>
        <v/>
      </c>
      <c r="I174" s="29"/>
      <c r="J174" s="28" t="str">
        <f>IFERROR(__xludf.DUMMYFUNCTION("IF($I173="""","""",IFERROR(INDEX(FILTER(Response_Lists!$B:$B,Response_Lists!$A:$A=$H174),1),""""))"),"")</f>
        <v/>
      </c>
      <c r="K174" s="28" t="str">
        <f>IFERROR(__xludf.DUMMYFUNCTION("IF($I173="""","""",IFERROR(INDEX(FILTER(Response_Lists!$B:$B,Response_Lists!$A:$A=$H174),2),""""))"),"")</f>
        <v/>
      </c>
      <c r="L174" s="28" t="str">
        <f>IFERROR(__xludf.DUMMYFUNCTION("IF($I173="""","""",IFERROR(INDEX(FILTER(Response_Lists!$B:$B,Response_Lists!$A:$A=$H174),3),""""))"),"")</f>
        <v/>
      </c>
      <c r="M174" s="28" t="str">
        <f>IFERROR(__xludf.DUMMYFUNCTION("IF($I173="""","""",IFERROR(INDEX(FILTER(Response_Lists!$B:$B,Response_Lists!$A:$A=$H174),4),""""))"),"")</f>
        <v/>
      </c>
      <c r="N174" s="28" t="str">
        <f>IFERROR(__xludf.DUMMYFUNCTION("IF($I173="""","""",IFERROR(INDEX(FILTER(Response_Lists!$B:$B,Response_Lists!$A:$A=$H174),5),""""))"),"")</f>
        <v/>
      </c>
      <c r="O174" s="28" t="str">
        <f>IFERROR(__xludf.DUMMYFUNCTION("IF($I173="""","""",IFERROR(INDEX(FILTER(Response_Lists!$B:$B,Response_Lists!$A:$A=$H174),6),""""))"),"")</f>
        <v/>
      </c>
      <c r="P174" s="28" t="str">
        <f t="shared" si="6"/>
        <v/>
      </c>
      <c r="Q174" s="28" t="str">
        <f t="array" ref="Q174">IF($I173="","",XLOOKUP(C174,FSM_State_Map!A:A,FSM_State_Map!D:D,""))</f>
        <v/>
      </c>
      <c r="R174" s="28" t="str">
        <f t="shared" si="7"/>
        <v/>
      </c>
      <c r="S174" s="28" t="str">
        <f t="array" ref="S174">IF($I173="","",
IF(
  AND(C174="B",C173&lt;&gt;"B"),
  XLOOKUP($B174,Derived_Variables!$A:$A,Derived_Variables!$K:$K,0)
  + XLOOKUP($B174,Derived_Variables!$A:$A,Derived_Variables!$AE:$AE,0),
  S173+AM173
))</f>
        <v/>
      </c>
      <c r="T174" s="28" t="str">
        <f t="shared" ref="T174:U174" si="358">IF($I173="","",T173+AN173)</f>
        <v/>
      </c>
      <c r="U174" s="28" t="str">
        <f t="shared" si="358"/>
        <v/>
      </c>
      <c r="V174" s="28" t="str">
        <f t="array" ref="V174">IF($I173="","",
IF(
  AND(C174="D",C173&lt;&gt;"D"),
  XLOOKUP($B174,Derived_Variables!$A:$A,Derived_Variables!$N:$N,0)
  + XLOOKUP($B174,Derived_Variables!$A:$A,Derived_Variables!$AE:$AE,0),
  V173+AP173
))</f>
        <v/>
      </c>
      <c r="W174" s="28" t="str">
        <f t="shared" ref="W174:X174" si="359">IF($I173="","",W173+AQ173)</f>
        <v/>
      </c>
      <c r="X174" s="28" t="str">
        <f t="shared" si="359"/>
        <v/>
      </c>
      <c r="Y174" s="28" t="str">
        <f t="array" ref="Y174">IF($I173="","",IF(AND(C174="P",C173&lt;&gt;"P"),IFERROR(XLOOKUP($B174,Lenso_Input!$A:$A,Lenso_Input!$E:$E,0),0),Y173+AS173))</f>
        <v/>
      </c>
      <c r="Z174" s="28" t="str">
        <f t="array" ref="Z174">IF($I173="","",IF(AND(C174="Q",C173&lt;&gt;"Q"),IFERROR(XLOOKUP($B174,Lenso_Input!$A:$A,Lenso_Input!$I:$I,0),0),Z173+AT173))</f>
        <v/>
      </c>
      <c r="AA174" s="28" t="str">
        <f t="array" ref="AA174">IF($I173="","",IF(XLOOKUP($B174,Derived_Variables!$A:$A,Derived_Variables!$R:$R,"6/6_target")="6/6_target","20_20_20","40_30_25"))</f>
        <v/>
      </c>
      <c r="AB174" s="28" t="str">
        <f t="array" ref="AB174">IF($I173="","",XLOOKUP(LOWER(XLOOKUP($B174,Derived_Variables!$A:$A,Derived_Variables!$T:$T,"Standard"))&amp;"_sph_step",Calibration!$B:$B,Calibration!$C:$C,0.25))</f>
        <v/>
      </c>
      <c r="AC174" s="28" t="str">
        <f t="array" ref="AC174">IF($I173="","",XLOOKUP(LOWER(XLOOKUP($B174,Derived_Variables!$A:$A,Derived_Variables!$T:$T,"Standard"))&amp;"_cyl_step",Calibration!$B:$B,Calibration!$C:$C,0.25))</f>
        <v/>
      </c>
      <c r="AD174" s="28" t="str">
        <f t="array" ref="AD174">IF($I173="","",IF(OR(C174="E",C174="H"),LET(startStep,XLOOKUP("axis_start_step",Calibration!$B:$B,Calibration!$C:$C,5),step1,XLOOKUP("axis_reversal_step_1",Calibration!$B:$B,Calibration!$C:$C,3),step2,XLOOKUP("axis_reversal_step_2",Calibration!$B:$B,Calibration!$C:$C,1),IF(OR(C173&lt;&gt;C174,AZ174="",AZ174="SAME",AZ174="CANT_TELL",I174="",I174="SAME",I174="CANT_TELL"),startStep,IF(OR(AND(AZ174="BETTER_1",I174="BETTER_2"),AND(AZ174="BETTER_2",I174="BETTER_1")),IF(AD173&gt;step1,step1,step2),AD173))),0))</f>
        <v/>
      </c>
      <c r="AE174" s="28" t="str">
        <f t="array" ref="AE174">IF($I173="","",XLOOKUP($B174,Derived_Variables!$A:$A,Derived_Variables!$AD:$AD,"No_Fog"))</f>
        <v/>
      </c>
      <c r="AF174" s="28" t="str">
        <f t="array" ref="AF174">IF($I173="","",XLOOKUP($B174,Derived_Variables!$A:$A,Derived_Variables!$AE:$AE,0))</f>
        <v/>
      </c>
      <c r="AG174" s="28" t="str">
        <f t="array" ref="AG174">IF($I173="","",XLOOKUP($B174,Derived_Variables!$A:$A,Derived_Variables!$AF:$AF,""))</f>
        <v/>
      </c>
      <c r="AH174" s="28" t="str">
        <f t="array" ref="AH174">IF($I173="","",XLOOKUP($B174,Derived_Variables!$A:$A,Derived_Variables!$AG:$AG,""))</f>
        <v/>
      </c>
      <c r="AI174" s="28" t="str">
        <f t="array" ref="AI174">IF($I173="","",XLOOKUP($B174,Derived_Variables!$A:$A,Derived_Variables!$AC:$AC,"Medium"))</f>
        <v/>
      </c>
      <c r="AJ174" s="28" t="str">
        <f t="array" ref="AJ174">IF($I173="","",XLOOKUP($B174,Derived_Variables!$A:$A,Derived_Variables!$Y:$Y,FALSE))</f>
        <v/>
      </c>
      <c r="AK174" s="28" t="str">
        <f t="array" ref="AK174">IF($I173="","",XLOOKUP($B174,Derived_Variables!$A:$A,Derived_Variables!$AA:$AA,"Normal"))</f>
        <v/>
      </c>
      <c r="AL174" s="28" t="str">
        <f t="array" ref="AL174">IF($I173="","",XLOOKUP($B174,Derived_Variables!$A:$A,Derived_Variables!$AB:$AB,"Normal"))</f>
        <v/>
      </c>
      <c r="AM174" s="28" t="str">
        <f t="array" ref="AM174">IF($I174="","",IFS(C174="B",IF(OR(I174="NOT_READABLE",I174="BLURRY"),-AB174,0),C174="G",IFS(I174="RED_CLEARER",XLOOKUP("duochrome_red_step",Calibration!$B:$B,Calibration!$C:$C,-0.25),I174="GREEN_CLEARER",XLOOKUP("duochrome_green_step",Calibration!$B:$B,Calibration!$C:$C,0.25),I174="EQUAL",IF(XLOOKUP($B174,Derived_Variables!$A:$A,Derived_Variables!$S:$S,"Neutral")="Undercorrect",XLOOKUP("undercorrect_step",Calibration!$B:$B,Calibration!$C:$C,0.25),IF(XLOOKUP($B174,Derived_Variables!$A:$A,Derived_Variables!$S:$S,"Neutral")="Overcorrect",-XLOOKUP("overcorrect_step",Calibration!$B:$B,Calibration!$C:$C,0.25),0)),TRUE,0),C174="K",IF(I174="TOP_CLEARER",XLOOKUP("bino_balance_step",Calibration!$B:$B,Calibration!$C:$C,0.25),0),TRUE,0))</f>
        <v/>
      </c>
      <c r="AN174" s="28" t="str">
        <f t="shared" si="10"/>
        <v/>
      </c>
      <c r="AO174" s="28" t="str">
        <f t="shared" si="11"/>
        <v/>
      </c>
      <c r="AP174" s="28" t="str">
        <f t="array" ref="AP174">IF($I174="","",IFS(C174="D",IF(OR(I174="NOT_READABLE",I174="BLURRY"),-AB174,0),C174="J",IFS(I174="RED_CLEARER",XLOOKUP("duochrome_red_step",Calibration!$B:$B,Calibration!$C:$C,-0.25),I174="GREEN_CLEARER",XLOOKUP("duochrome_green_step",Calibration!$B:$B,Calibration!$C:$C,0.25),I174="EQUAL",IF(XLOOKUP($B174,Derived_Variables!$A:$A,Derived_Variables!$S:$S,"Neutral")="Undercorrect",XLOOKUP("undercorrect_step",Calibration!$B:$B,Calibration!$C:$C,0.25),IF(XLOOKUP($B174,Derived_Variables!$A:$A,Derived_Variables!$S:$S,"Neutral")="Overcorrect",-XLOOKUP("overcorrect_step",Calibration!$B:$B,Calibration!$C:$C,0.25),0)),TRUE,0),C174="K",IF(I174="BOTTOM_CLEARER",XLOOKUP("bino_balance_step",Calibration!$B:$B,Calibration!$C:$C,0.25),0),TRUE,0))</f>
        <v/>
      </c>
      <c r="AQ174" s="28" t="str">
        <f t="shared" si="12"/>
        <v/>
      </c>
      <c r="AR174" s="28" t="str">
        <f t="shared" si="13"/>
        <v/>
      </c>
      <c r="AS174" s="28" t="str">
        <f t="array" ref="AS174">IF($I174="","",IF(C174="P",IF(OR(I174="NOT_READABLE",I174="BLURRY"),XLOOKUP("near_add_step",Calibration!$B:$B,Calibration!$C:$C,0.25),0),IF(C174="R",IF(I174="NOT_CLEAR",XLOOKUP("near_add_step",Calibration!$B:$B,Calibration!$C:$C,0.25),0),0)))</f>
        <v/>
      </c>
      <c r="AT174" s="28" t="str">
        <f t="array" ref="AT174">IF($I174="","",IF(C174="Q",IF(OR(I174="NOT_READABLE",I174="BLURRY"),XLOOKUP("near_add_step",Calibration!$B:$B,Calibration!$C:$C,0.25),0),IF(C174="R",IF(I174="NOT_CLEAR",XLOOKUP("near_add_step",Calibration!$B:$B,Calibration!$C:$C,0.25),0),0)))</f>
        <v/>
      </c>
      <c r="AU174" s="28" t="str">
        <f t="array" ref="AU174">IF($I174="","",IF(G174="SNELLEN_FEET",IF(I174="READABLE",IFERROR(XLOOKUP(XLOOKUP(R174,Chart_Scale_Distance!B:B,Chart_Scale_Distance!A:A)+1,Chart_Scale_Distance!A:A,Chart_Scale_Distance!B:B),R174),R174),R174))</f>
        <v/>
      </c>
      <c r="AV174" s="28" t="str">
        <f t="array" ref="AV174">IF($I173="","",IFERROR(XLOOKUP(R174,Chart_Scale_Distance!$B:$B,Chart_Scale_Distance!$A:$A,""),""))</f>
        <v/>
      </c>
      <c r="AW174" s="28" t="str">
        <f t="array" ref="AW174">IF($I173="","",IFERROR(XLOOKUP(AA174,Chart_Scale_Distance!$B:$B,Chart_Scale_Distance!$A:$A,""),""))</f>
        <v/>
      </c>
      <c r="AX174" s="28" t="str">
        <f t="shared" si="14"/>
        <v/>
      </c>
      <c r="AY174" s="28" t="str">
        <f t="shared" si="15"/>
        <v/>
      </c>
      <c r="AZ174" s="28" t="str">
        <f t="shared" si="16"/>
        <v/>
      </c>
      <c r="BA174" s="28" t="str">
        <f t="shared" si="17"/>
        <v/>
      </c>
      <c r="BB174" s="28" t="str">
        <f t="shared" si="18"/>
        <v/>
      </c>
      <c r="BC174" s="28" t="str">
        <f t="array" ref="BC174">IF($I174="","",LET(
conf,AI174,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duoMax,XLOOKUP($B174,Derived_Variables!$A:$A,Derived_Variables!$AI:$AI,4),
axisTol,XLOOKUP($B174,Derived_Variables!$A:$A,Derived_Variables!$W:$W,1),
maxStart,XLOOKUP($B174,Derived_Variables!$A:$A,Derived_Variables!$U:$U,1.25),
maxAR,XLOOKUP($B174,Derived_Variables!$A:$A,Derived_Variables!$V:$V,3),
anom,XLOOKUP($B174,Derived_Variables!$A:$A,Derived_Variables!$Z:$Z,FALSE),
reStart,XLOOKUP($B174,Derived_Variables!$A:$A,Derived_Variables!$K:$K,0),
leStart,XLOOKUP($B174,Derived_Variables!$A:$A,Derived_Variables!$N:$N,0),
reAR,XLOOKUP($B174,AR_Input!$A:$A,AR_Input!$B:$B,reStart),
leAR,XLOOKUP($B174,AR_Input!$A:$A,AR_Input!$E:$E,leStart),
reEsc,AND(anom,OR(ABS((S174+AM174)-reStart)&gt;maxStart,ABS((S174+AM174)-reAR)&gt;maxAR)),
leEsc,AND(anom,OR(ABS((V174+AP174)-leStart)&gt;maxStart,ABS((V174+AP174)-leAR)&gt;maxAR)),
phaseMax,IFS(
 AK174="Fast",
   IFS(
     OR(C174="B",C174="D"),XLOOKUP("timeout_coarse_fast",Calibration!$B:$B,Calibration!$C:$C,24),
     OR(C174="E",C174="F",C174="H",C174="I"),XLOOKUP("timeout_jcc_fast",Calibration!$B:$B,Calibration!$C:$C,10),
     OR(C174="G",C174="J"),XLOOKUP("timeout_duochrome_fast",Calibration!$B:$B,Calibration!$C:$C,8),
     C174="K",XLOOKUP("timeout_bino_fast",Calibration!$B:$B,Calibration!$C:$C,10),
     OR(C174="P",C174="Q",C174="R"),XLOOKUP("timeout_near_fast",Calibration!$B:$B,Calibration!$C:$C,16),
     TRUE,XLOOKUP("timeout_coarse_fast",Calibration!$B:$B,Calibration!$C:$C,24)
   ),
 AK174="Normal",
   IFS(
     OR(C174="B",C174="D"),XLOOKUP("timeout_coarse_normal",Calibration!$B:$B,Calibration!$C:$C,36),
     OR(C174="E",C174="F",C174="H",C174="I"),XLOOKUP("timeout_jcc_normal",Calibration!$B:$B,Calibration!$C:$C,14),
     OR(C174="G",C174="J"),XLOOKUP("timeout_duochrome_normal",Calibration!$B:$B,Calibration!$C:$C,10),
     C174="K",XLOOKUP("timeout_bino_normal",Calibration!$B:$B,Calibration!$C:$C,14),
     OR(C174="P",C174="Q",C174="R"),XLOOKUP("timeout_near_normal",Calibration!$B:$B,Calibration!$C:$C,22),
     TRUE,XLOOKUP("timeout_coarse_normal",Calibration!$B:$B,Calibration!$C:$C,36)
   ),
 TRUE,
   IFS(
     OR(C174="B",C174="D"),XLOOKUP("timeout_coarse_slow",Calibration!$B:$B,Calibration!$C:$C,48),
     OR(C174="E",C174="F",C174="H",C174="I"),XLOOKUP("timeout_jcc_slow",Calibration!$B:$B,Calibration!$C:$C,18),
     OR(C174="G",C174="J"),XLOOKUP("timeout_duochrome_slow",Calibration!$B:$B,Calibration!$C:$C,12),
     C174="K",XLOOKUP("timeout_bino_slow",Calibration!$B:$B,Calibration!$C:$C,18),
     OR(C174="P",C174="Q",C174="R"),XLOOKUP("timeout_near_slow",Calibration!$B:$B,Calibration!$C:$C,28),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AJ174=TRUE,"ESCALATE",
C174="A",
IF(OR(I174="NOT_READABLE",I174="BLURRY",AND(R174="20_20_20",I174="READABLE")),"B","A"),
C174="B",
IF(reEsc,"ESCALATE",IF(AY174&gt;=phaseMax,"ESCALATE",IF(AND(AV174&gt;=AW174,I174="READABLE"),"E","B"))),
C174="E",
IF(AY174&gt;=phaseMax,"ESCALATE",IF(OR(I174="SAME",I174="CANT_TELL",AD174&lt;axisTol),"F","E")),
C174="F",
IF(AY174&gt;=phaseMax,"ESCALATE",IF(AX174&gt;=powerSameN,"G","F")),
C174="G",
IF(AY174&gt;=phaseMax,"ESCALATE",IF(OR(AX174&gt;=duoEqualN,BB174&gt;=duoMax),"D","G")),
C174="D",
IF(leEsc,"ESCALATE",IF(AY174&gt;=phaseMax,"ESCALATE",IF(AND(AV174&gt;=AW174,I174="READABLE"),"H","D"))),
C174="H",
IF(AY174&gt;=phaseMax,"ESCALATE",IF(OR(I174="SAME",I174="CANT_TELL",AD174&lt;axisTol),"I","H")),
C174="I",
IF(AY174&gt;=phaseMax,"ESCALATE",IF(AX174&gt;=powerSameN,"J","I")),
C174="J",
IF(AY174&gt;=phaseMax,"ESCALATE",IF(OR(AX174&gt;=duoEqualN,BB174&gt;=duoMax),"K","J")),
C174="K",
IF(AY174&gt;=phaseMax,"ESCALATE",IF(AX174&gt;=binoSameN,IF(XLOOKUP($B174,Derived_Variables!$A:$A,Derived_Variables!$AJ:$AJ,FALSE)=TRUE,"P","END"),"K")),
C174="P",
IF(AY174&gt;=phaseMax,"ESCALATE",IF(OR(I174="READABLE",I174="SAME"),"Q","P")),
C174="Q",
IF(AY174&gt;=phaseMax,"ESCALATE",IF(OR(I174="READABLE",I174="SAME"),"R","Q")),
C174="R",
IF(AY174&gt;=phaseMax,"ESCALATE",IF(OR(I174=nearTarget,I174="SAME"),"END","R")),
TRUE,"END"
)))</f>
        <v/>
      </c>
      <c r="BD174" s="28" t="b">
        <f t="shared" si="19"/>
        <v>0</v>
      </c>
    </row>
    <row r="175" ht="15.75" customHeight="1">
      <c r="A175" s="28">
        <f t="shared" si="3"/>
        <v>174</v>
      </c>
      <c r="B175" s="28">
        <f t="shared" si="4"/>
        <v>6</v>
      </c>
      <c r="C175" s="28" t="str">
        <f t="shared" si="5"/>
        <v/>
      </c>
      <c r="D175" s="28" t="str">
        <f t="array" ref="D175">IF($I174="","",XLOOKUP(C175,FSM_State_Map!A:A,FSM_State_Map!B:B,""))</f>
        <v/>
      </c>
      <c r="E175" s="28" t="str">
        <f t="array" ref="E175">IF($I174="","",XLOOKUP(C175,FSM_State_Map!A:A,FSM_State_Map!C:C,""))</f>
        <v/>
      </c>
      <c r="F175" s="28" t="str">
        <f t="array" ref="F175">IF($I174="","",XLOOKUP(E175,Phase_UI_Map!A:A,Phase_UI_Map!B:B,""))</f>
        <v/>
      </c>
      <c r="G175" s="28" t="str">
        <f t="array" ref="G175">IF($I174="","",XLOOKUP(E175,Phase_UI_Map!A:A,Phase_UI_Map!C:C,""))</f>
        <v/>
      </c>
      <c r="H175" s="28" t="str">
        <f t="array" ref="H175">IF($I174="","",XLOOKUP(E175,Phase_UI_Map!A:A,Phase_UI_Map!D:D,""))</f>
        <v/>
      </c>
      <c r="I175" s="29"/>
      <c r="J175" s="28" t="str">
        <f>IFERROR(__xludf.DUMMYFUNCTION("IF($I174="""","""",IFERROR(INDEX(FILTER(Response_Lists!$B:$B,Response_Lists!$A:$A=$H175),1),""""))"),"")</f>
        <v/>
      </c>
      <c r="K175" s="28" t="str">
        <f>IFERROR(__xludf.DUMMYFUNCTION("IF($I174="""","""",IFERROR(INDEX(FILTER(Response_Lists!$B:$B,Response_Lists!$A:$A=$H175),2),""""))"),"")</f>
        <v/>
      </c>
      <c r="L175" s="28" t="str">
        <f>IFERROR(__xludf.DUMMYFUNCTION("IF($I174="""","""",IFERROR(INDEX(FILTER(Response_Lists!$B:$B,Response_Lists!$A:$A=$H175),3),""""))"),"")</f>
        <v/>
      </c>
      <c r="M175" s="28" t="str">
        <f>IFERROR(__xludf.DUMMYFUNCTION("IF($I174="""","""",IFERROR(INDEX(FILTER(Response_Lists!$B:$B,Response_Lists!$A:$A=$H175),4),""""))"),"")</f>
        <v/>
      </c>
      <c r="N175" s="28" t="str">
        <f>IFERROR(__xludf.DUMMYFUNCTION("IF($I174="""","""",IFERROR(INDEX(FILTER(Response_Lists!$B:$B,Response_Lists!$A:$A=$H175),5),""""))"),"")</f>
        <v/>
      </c>
      <c r="O175" s="28" t="str">
        <f>IFERROR(__xludf.DUMMYFUNCTION("IF($I174="""","""",IFERROR(INDEX(FILTER(Response_Lists!$B:$B,Response_Lists!$A:$A=$H175),6),""""))"),"")</f>
        <v/>
      </c>
      <c r="P175" s="28" t="str">
        <f t="shared" si="6"/>
        <v/>
      </c>
      <c r="Q175" s="28" t="str">
        <f t="array" ref="Q175">IF($I174="","",XLOOKUP(C175,FSM_State_Map!A:A,FSM_State_Map!D:D,""))</f>
        <v/>
      </c>
      <c r="R175" s="28" t="str">
        <f t="shared" si="7"/>
        <v/>
      </c>
      <c r="S175" s="28" t="str">
        <f t="array" ref="S175">IF($I174="","",
IF(
  AND(C175="B",C174&lt;&gt;"B"),
  XLOOKUP($B175,Derived_Variables!$A:$A,Derived_Variables!$K:$K,0)
  + XLOOKUP($B175,Derived_Variables!$A:$A,Derived_Variables!$AE:$AE,0),
  S174+AM174
))</f>
        <v/>
      </c>
      <c r="T175" s="28" t="str">
        <f t="shared" ref="T175:U175" si="360">IF($I174="","",T174+AN174)</f>
        <v/>
      </c>
      <c r="U175" s="28" t="str">
        <f t="shared" si="360"/>
        <v/>
      </c>
      <c r="V175" s="28" t="str">
        <f t="array" ref="V175">IF($I174="","",
IF(
  AND(C175="D",C174&lt;&gt;"D"),
  XLOOKUP($B175,Derived_Variables!$A:$A,Derived_Variables!$N:$N,0)
  + XLOOKUP($B175,Derived_Variables!$A:$A,Derived_Variables!$AE:$AE,0),
  V174+AP174
))</f>
        <v/>
      </c>
      <c r="W175" s="28" t="str">
        <f t="shared" ref="W175:X175" si="361">IF($I174="","",W174+AQ174)</f>
        <v/>
      </c>
      <c r="X175" s="28" t="str">
        <f t="shared" si="361"/>
        <v/>
      </c>
      <c r="Y175" s="28" t="str">
        <f t="array" ref="Y175">IF($I174="","",IF(AND(C175="P",C174&lt;&gt;"P"),IFERROR(XLOOKUP($B175,Lenso_Input!$A:$A,Lenso_Input!$E:$E,0),0),Y174+AS174))</f>
        <v/>
      </c>
      <c r="Z175" s="28" t="str">
        <f t="array" ref="Z175">IF($I174="","",IF(AND(C175="Q",C174&lt;&gt;"Q"),IFERROR(XLOOKUP($B175,Lenso_Input!$A:$A,Lenso_Input!$I:$I,0),0),Z174+AT174))</f>
        <v/>
      </c>
      <c r="AA175" s="28" t="str">
        <f t="array" ref="AA175">IF($I174="","",IF(XLOOKUP($B175,Derived_Variables!$A:$A,Derived_Variables!$R:$R,"6/6_target")="6/6_target","20_20_20","40_30_25"))</f>
        <v/>
      </c>
      <c r="AB175" s="28" t="str">
        <f t="array" ref="AB175">IF($I174="","",XLOOKUP(LOWER(XLOOKUP($B175,Derived_Variables!$A:$A,Derived_Variables!$T:$T,"Standard"))&amp;"_sph_step",Calibration!$B:$B,Calibration!$C:$C,0.25))</f>
        <v/>
      </c>
      <c r="AC175" s="28" t="str">
        <f t="array" ref="AC175">IF($I174="","",XLOOKUP(LOWER(XLOOKUP($B175,Derived_Variables!$A:$A,Derived_Variables!$T:$T,"Standard"))&amp;"_cyl_step",Calibration!$B:$B,Calibration!$C:$C,0.25))</f>
        <v/>
      </c>
      <c r="AD175" s="28" t="str">
        <f t="array" ref="AD175">IF($I174="","",IF(OR(C175="E",C175="H"),LET(startStep,XLOOKUP("axis_start_step",Calibration!$B:$B,Calibration!$C:$C,5),step1,XLOOKUP("axis_reversal_step_1",Calibration!$B:$B,Calibration!$C:$C,3),step2,XLOOKUP("axis_reversal_step_2",Calibration!$B:$B,Calibration!$C:$C,1),IF(OR(C174&lt;&gt;C175,AZ175="",AZ175="SAME",AZ175="CANT_TELL",I175="",I175="SAME",I175="CANT_TELL"),startStep,IF(OR(AND(AZ175="BETTER_1",I175="BETTER_2"),AND(AZ175="BETTER_2",I175="BETTER_1")),IF(AD174&gt;step1,step1,step2),AD174))),0))</f>
        <v/>
      </c>
      <c r="AE175" s="28" t="str">
        <f t="array" ref="AE175">IF($I174="","",XLOOKUP($B175,Derived_Variables!$A:$A,Derived_Variables!$AD:$AD,"No_Fog"))</f>
        <v/>
      </c>
      <c r="AF175" s="28" t="str">
        <f t="array" ref="AF175">IF($I174="","",XLOOKUP($B175,Derived_Variables!$A:$A,Derived_Variables!$AE:$AE,0))</f>
        <v/>
      </c>
      <c r="AG175" s="28" t="str">
        <f t="array" ref="AG175">IF($I174="","",XLOOKUP($B175,Derived_Variables!$A:$A,Derived_Variables!$AF:$AF,""))</f>
        <v/>
      </c>
      <c r="AH175" s="28" t="str">
        <f t="array" ref="AH175">IF($I174="","",XLOOKUP($B175,Derived_Variables!$A:$A,Derived_Variables!$AG:$AG,""))</f>
        <v/>
      </c>
      <c r="AI175" s="28" t="str">
        <f t="array" ref="AI175">IF($I174="","",XLOOKUP($B175,Derived_Variables!$A:$A,Derived_Variables!$AC:$AC,"Medium"))</f>
        <v/>
      </c>
      <c r="AJ175" s="28" t="str">
        <f t="array" ref="AJ175">IF($I174="","",XLOOKUP($B175,Derived_Variables!$A:$A,Derived_Variables!$Y:$Y,FALSE))</f>
        <v/>
      </c>
      <c r="AK175" s="28" t="str">
        <f t="array" ref="AK175">IF($I174="","",XLOOKUP($B175,Derived_Variables!$A:$A,Derived_Variables!$AA:$AA,"Normal"))</f>
        <v/>
      </c>
      <c r="AL175" s="28" t="str">
        <f t="array" ref="AL175">IF($I174="","",XLOOKUP($B175,Derived_Variables!$A:$A,Derived_Variables!$AB:$AB,"Normal"))</f>
        <v/>
      </c>
      <c r="AM175" s="28" t="str">
        <f t="array" ref="AM175">IF($I175="","",IFS(C175="B",IF(OR(I175="NOT_READABLE",I175="BLURRY"),-AB175,0),C175="G",IFS(I175="RED_CLEARER",XLOOKUP("duochrome_red_step",Calibration!$B:$B,Calibration!$C:$C,-0.25),I175="GREEN_CLEARER",XLOOKUP("duochrome_green_step",Calibration!$B:$B,Calibration!$C:$C,0.25),I175="EQUAL",IF(XLOOKUP($B175,Derived_Variables!$A:$A,Derived_Variables!$S:$S,"Neutral")="Undercorrect",XLOOKUP("undercorrect_step",Calibration!$B:$B,Calibration!$C:$C,0.25),IF(XLOOKUP($B175,Derived_Variables!$A:$A,Derived_Variables!$S:$S,"Neutral")="Overcorrect",-XLOOKUP("overcorrect_step",Calibration!$B:$B,Calibration!$C:$C,0.25),0)),TRUE,0),C175="K",IF(I175="TOP_CLEARER",XLOOKUP("bino_balance_step",Calibration!$B:$B,Calibration!$C:$C,0.25),0),TRUE,0))</f>
        <v/>
      </c>
      <c r="AN175" s="28" t="str">
        <f t="shared" si="10"/>
        <v/>
      </c>
      <c r="AO175" s="28" t="str">
        <f t="shared" si="11"/>
        <v/>
      </c>
      <c r="AP175" s="28" t="str">
        <f t="array" ref="AP175">IF($I175="","",IFS(C175="D",IF(OR(I175="NOT_READABLE",I175="BLURRY"),-AB175,0),C175="J",IFS(I175="RED_CLEARER",XLOOKUP("duochrome_red_step",Calibration!$B:$B,Calibration!$C:$C,-0.25),I175="GREEN_CLEARER",XLOOKUP("duochrome_green_step",Calibration!$B:$B,Calibration!$C:$C,0.25),I175="EQUAL",IF(XLOOKUP($B175,Derived_Variables!$A:$A,Derived_Variables!$S:$S,"Neutral")="Undercorrect",XLOOKUP("undercorrect_step",Calibration!$B:$B,Calibration!$C:$C,0.25),IF(XLOOKUP($B175,Derived_Variables!$A:$A,Derived_Variables!$S:$S,"Neutral")="Overcorrect",-XLOOKUP("overcorrect_step",Calibration!$B:$B,Calibration!$C:$C,0.25),0)),TRUE,0),C175="K",IF(I175="BOTTOM_CLEARER",XLOOKUP("bino_balance_step",Calibration!$B:$B,Calibration!$C:$C,0.25),0),TRUE,0))</f>
        <v/>
      </c>
      <c r="AQ175" s="28" t="str">
        <f t="shared" si="12"/>
        <v/>
      </c>
      <c r="AR175" s="28" t="str">
        <f t="shared" si="13"/>
        <v/>
      </c>
      <c r="AS175" s="28" t="str">
        <f t="array" ref="AS175">IF($I175="","",IF(C175="P",IF(OR(I175="NOT_READABLE",I175="BLURRY"),XLOOKUP("near_add_step",Calibration!$B:$B,Calibration!$C:$C,0.25),0),IF(C175="R",IF(I175="NOT_CLEAR",XLOOKUP("near_add_step",Calibration!$B:$B,Calibration!$C:$C,0.25),0),0)))</f>
        <v/>
      </c>
      <c r="AT175" s="28" t="str">
        <f t="array" ref="AT175">IF($I175="","",IF(C175="Q",IF(OR(I175="NOT_READABLE",I175="BLURRY"),XLOOKUP("near_add_step",Calibration!$B:$B,Calibration!$C:$C,0.25),0),IF(C175="R",IF(I175="NOT_CLEAR",XLOOKUP("near_add_step",Calibration!$B:$B,Calibration!$C:$C,0.25),0),0)))</f>
        <v/>
      </c>
      <c r="AU175" s="28" t="str">
        <f t="array" ref="AU175">IF($I175="","",IF(G175="SNELLEN_FEET",IF(I175="READABLE",IFERROR(XLOOKUP(XLOOKUP(R175,Chart_Scale_Distance!B:B,Chart_Scale_Distance!A:A)+1,Chart_Scale_Distance!A:A,Chart_Scale_Distance!B:B),R175),R175),R175))</f>
        <v/>
      </c>
      <c r="AV175" s="28" t="str">
        <f t="array" ref="AV175">IF($I174="","",IFERROR(XLOOKUP(R175,Chart_Scale_Distance!$B:$B,Chart_Scale_Distance!$A:$A,""),""))</f>
        <v/>
      </c>
      <c r="AW175" s="28" t="str">
        <f t="array" ref="AW175">IF($I174="","",IFERROR(XLOOKUP(AA175,Chart_Scale_Distance!$B:$B,Chart_Scale_Distance!$A:$A,""),""))</f>
        <v/>
      </c>
      <c r="AX175" s="28" t="str">
        <f t="shared" si="14"/>
        <v/>
      </c>
      <c r="AY175" s="28" t="str">
        <f t="shared" si="15"/>
        <v/>
      </c>
      <c r="AZ175" s="28" t="str">
        <f t="shared" si="16"/>
        <v/>
      </c>
      <c r="BA175" s="28" t="str">
        <f t="shared" si="17"/>
        <v/>
      </c>
      <c r="BB175" s="28" t="str">
        <f t="shared" si="18"/>
        <v/>
      </c>
      <c r="BC175" s="28" t="str">
        <f t="array" ref="BC175">IF($I175="","",LET(
conf,AI175,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duoMax,XLOOKUP($B175,Derived_Variables!$A:$A,Derived_Variables!$AI:$AI,4),
axisTol,XLOOKUP($B175,Derived_Variables!$A:$A,Derived_Variables!$W:$W,1),
maxStart,XLOOKUP($B175,Derived_Variables!$A:$A,Derived_Variables!$U:$U,1.25),
maxAR,XLOOKUP($B175,Derived_Variables!$A:$A,Derived_Variables!$V:$V,3),
anom,XLOOKUP($B175,Derived_Variables!$A:$A,Derived_Variables!$Z:$Z,FALSE),
reStart,XLOOKUP($B175,Derived_Variables!$A:$A,Derived_Variables!$K:$K,0),
leStart,XLOOKUP($B175,Derived_Variables!$A:$A,Derived_Variables!$N:$N,0),
reAR,XLOOKUP($B175,AR_Input!$A:$A,AR_Input!$B:$B,reStart),
leAR,XLOOKUP($B175,AR_Input!$A:$A,AR_Input!$E:$E,leStart),
reEsc,AND(anom,OR(ABS((S175+AM175)-reStart)&gt;maxStart,ABS((S175+AM175)-reAR)&gt;maxAR)),
leEsc,AND(anom,OR(ABS((V175+AP175)-leStart)&gt;maxStart,ABS((V175+AP175)-leAR)&gt;maxAR)),
phaseMax,IFS(
 AK175="Fast",
   IFS(
     OR(C175="B",C175="D"),XLOOKUP("timeout_coarse_fast",Calibration!$B:$B,Calibration!$C:$C,24),
     OR(C175="E",C175="F",C175="H",C175="I"),XLOOKUP("timeout_jcc_fast",Calibration!$B:$B,Calibration!$C:$C,10),
     OR(C175="G",C175="J"),XLOOKUP("timeout_duochrome_fast",Calibration!$B:$B,Calibration!$C:$C,8),
     C175="K",XLOOKUP("timeout_bino_fast",Calibration!$B:$B,Calibration!$C:$C,10),
     OR(C175="P",C175="Q",C175="R"),XLOOKUP("timeout_near_fast",Calibration!$B:$B,Calibration!$C:$C,16),
     TRUE,XLOOKUP("timeout_coarse_fast",Calibration!$B:$B,Calibration!$C:$C,24)
   ),
 AK175="Normal",
   IFS(
     OR(C175="B",C175="D"),XLOOKUP("timeout_coarse_normal",Calibration!$B:$B,Calibration!$C:$C,36),
     OR(C175="E",C175="F",C175="H",C175="I"),XLOOKUP("timeout_jcc_normal",Calibration!$B:$B,Calibration!$C:$C,14),
     OR(C175="G",C175="J"),XLOOKUP("timeout_duochrome_normal",Calibration!$B:$B,Calibration!$C:$C,10),
     C175="K",XLOOKUP("timeout_bino_normal",Calibration!$B:$B,Calibration!$C:$C,14),
     OR(C175="P",C175="Q",C175="R"),XLOOKUP("timeout_near_normal",Calibration!$B:$B,Calibration!$C:$C,22),
     TRUE,XLOOKUP("timeout_coarse_normal",Calibration!$B:$B,Calibration!$C:$C,36)
   ),
 TRUE,
   IFS(
     OR(C175="B",C175="D"),XLOOKUP("timeout_coarse_slow",Calibration!$B:$B,Calibration!$C:$C,48),
     OR(C175="E",C175="F",C175="H",C175="I"),XLOOKUP("timeout_jcc_slow",Calibration!$B:$B,Calibration!$C:$C,18),
     OR(C175="G",C175="J"),XLOOKUP("timeout_duochrome_slow",Calibration!$B:$B,Calibration!$C:$C,12),
     C175="K",XLOOKUP("timeout_bino_slow",Calibration!$B:$B,Calibration!$C:$C,18),
     OR(C175="P",C175="Q",C175="R"),XLOOKUP("timeout_near_slow",Calibration!$B:$B,Calibration!$C:$C,28),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AJ175=TRUE,"ESCALATE",
C175="A",
IF(OR(I175="NOT_READABLE",I175="BLURRY",AND(R175="20_20_20",I175="READABLE")),"B","A"),
C175="B",
IF(reEsc,"ESCALATE",IF(AY175&gt;=phaseMax,"ESCALATE",IF(AND(AV175&gt;=AW175,I175="READABLE"),"E","B"))),
C175="E",
IF(AY175&gt;=phaseMax,"ESCALATE",IF(OR(I175="SAME",I175="CANT_TELL",AD175&lt;axisTol),"F","E")),
C175="F",
IF(AY175&gt;=phaseMax,"ESCALATE",IF(AX175&gt;=powerSameN,"G","F")),
C175="G",
IF(AY175&gt;=phaseMax,"ESCALATE",IF(OR(AX175&gt;=duoEqualN,BB175&gt;=duoMax),"D","G")),
C175="D",
IF(leEsc,"ESCALATE",IF(AY175&gt;=phaseMax,"ESCALATE",IF(AND(AV175&gt;=AW175,I175="READABLE"),"H","D"))),
C175="H",
IF(AY175&gt;=phaseMax,"ESCALATE",IF(OR(I175="SAME",I175="CANT_TELL",AD175&lt;axisTol),"I","H")),
C175="I",
IF(AY175&gt;=phaseMax,"ESCALATE",IF(AX175&gt;=powerSameN,"J","I")),
C175="J",
IF(AY175&gt;=phaseMax,"ESCALATE",IF(OR(AX175&gt;=duoEqualN,BB175&gt;=duoMax),"K","J")),
C175="K",
IF(AY175&gt;=phaseMax,"ESCALATE",IF(AX175&gt;=binoSameN,IF(XLOOKUP($B175,Derived_Variables!$A:$A,Derived_Variables!$AJ:$AJ,FALSE)=TRUE,"P","END"),"K")),
C175="P",
IF(AY175&gt;=phaseMax,"ESCALATE",IF(OR(I175="READABLE",I175="SAME"),"Q","P")),
C175="Q",
IF(AY175&gt;=phaseMax,"ESCALATE",IF(OR(I175="READABLE",I175="SAME"),"R","Q")),
C175="R",
IF(AY175&gt;=phaseMax,"ESCALATE",IF(OR(I175=nearTarget,I175="SAME"),"END","R")),
TRUE,"END"
)))</f>
        <v/>
      </c>
      <c r="BD175" s="28" t="b">
        <f t="shared" si="19"/>
        <v>0</v>
      </c>
    </row>
    <row r="176" ht="15.75" customHeight="1">
      <c r="A176" s="28">
        <f t="shared" si="3"/>
        <v>175</v>
      </c>
      <c r="B176" s="28">
        <f t="shared" si="4"/>
        <v>6</v>
      </c>
      <c r="C176" s="28" t="str">
        <f t="shared" si="5"/>
        <v/>
      </c>
      <c r="D176" s="28" t="str">
        <f t="array" ref="D176">IF($I175="","",XLOOKUP(C176,FSM_State_Map!A:A,FSM_State_Map!B:B,""))</f>
        <v/>
      </c>
      <c r="E176" s="28" t="str">
        <f t="array" ref="E176">IF($I175="","",XLOOKUP(C176,FSM_State_Map!A:A,FSM_State_Map!C:C,""))</f>
        <v/>
      </c>
      <c r="F176" s="28" t="str">
        <f t="array" ref="F176">IF($I175="","",XLOOKUP(E176,Phase_UI_Map!A:A,Phase_UI_Map!B:B,""))</f>
        <v/>
      </c>
      <c r="G176" s="28" t="str">
        <f t="array" ref="G176">IF($I175="","",XLOOKUP(E176,Phase_UI_Map!A:A,Phase_UI_Map!C:C,""))</f>
        <v/>
      </c>
      <c r="H176" s="28" t="str">
        <f t="array" ref="H176">IF($I175="","",XLOOKUP(E176,Phase_UI_Map!A:A,Phase_UI_Map!D:D,""))</f>
        <v/>
      </c>
      <c r="I176" s="29"/>
      <c r="J176" s="28" t="str">
        <f>IFERROR(__xludf.DUMMYFUNCTION("IF($I175="""","""",IFERROR(INDEX(FILTER(Response_Lists!$B:$B,Response_Lists!$A:$A=$H176),1),""""))"),"")</f>
        <v/>
      </c>
      <c r="K176" s="28" t="str">
        <f>IFERROR(__xludf.DUMMYFUNCTION("IF($I175="""","""",IFERROR(INDEX(FILTER(Response_Lists!$B:$B,Response_Lists!$A:$A=$H176),2),""""))"),"")</f>
        <v/>
      </c>
      <c r="L176" s="28" t="str">
        <f>IFERROR(__xludf.DUMMYFUNCTION("IF($I175="""","""",IFERROR(INDEX(FILTER(Response_Lists!$B:$B,Response_Lists!$A:$A=$H176),3),""""))"),"")</f>
        <v/>
      </c>
      <c r="M176" s="28" t="str">
        <f>IFERROR(__xludf.DUMMYFUNCTION("IF($I175="""","""",IFERROR(INDEX(FILTER(Response_Lists!$B:$B,Response_Lists!$A:$A=$H176),4),""""))"),"")</f>
        <v/>
      </c>
      <c r="N176" s="28" t="str">
        <f>IFERROR(__xludf.DUMMYFUNCTION("IF($I175="""","""",IFERROR(INDEX(FILTER(Response_Lists!$B:$B,Response_Lists!$A:$A=$H176),5),""""))"),"")</f>
        <v/>
      </c>
      <c r="O176" s="28" t="str">
        <f>IFERROR(__xludf.DUMMYFUNCTION("IF($I175="""","""",IFERROR(INDEX(FILTER(Response_Lists!$B:$B,Response_Lists!$A:$A=$H176),6),""""))"),"")</f>
        <v/>
      </c>
      <c r="P176" s="28" t="str">
        <f t="shared" si="6"/>
        <v/>
      </c>
      <c r="Q176" s="28" t="str">
        <f t="array" ref="Q176">IF($I175="","",XLOOKUP(C176,FSM_State_Map!A:A,FSM_State_Map!D:D,""))</f>
        <v/>
      </c>
      <c r="R176" s="28" t="str">
        <f t="shared" si="7"/>
        <v/>
      </c>
      <c r="S176" s="28" t="str">
        <f t="array" ref="S176">IF($I175="","",
IF(
  AND(C176="B",C175&lt;&gt;"B"),
  XLOOKUP($B176,Derived_Variables!$A:$A,Derived_Variables!$K:$K,0)
  + XLOOKUP($B176,Derived_Variables!$A:$A,Derived_Variables!$AE:$AE,0),
  S175+AM175
))</f>
        <v/>
      </c>
      <c r="T176" s="28" t="str">
        <f t="shared" ref="T176:U176" si="362">IF($I175="","",T175+AN175)</f>
        <v/>
      </c>
      <c r="U176" s="28" t="str">
        <f t="shared" si="362"/>
        <v/>
      </c>
      <c r="V176" s="28" t="str">
        <f t="array" ref="V176">IF($I175="","",
IF(
  AND(C176="D",C175&lt;&gt;"D"),
  XLOOKUP($B176,Derived_Variables!$A:$A,Derived_Variables!$N:$N,0)
  + XLOOKUP($B176,Derived_Variables!$A:$A,Derived_Variables!$AE:$AE,0),
  V175+AP175
))</f>
        <v/>
      </c>
      <c r="W176" s="28" t="str">
        <f t="shared" ref="W176:X176" si="363">IF($I175="","",W175+AQ175)</f>
        <v/>
      </c>
      <c r="X176" s="28" t="str">
        <f t="shared" si="363"/>
        <v/>
      </c>
      <c r="Y176" s="28" t="str">
        <f t="array" ref="Y176">IF($I175="","",IF(AND(C176="P",C175&lt;&gt;"P"),IFERROR(XLOOKUP($B176,Lenso_Input!$A:$A,Lenso_Input!$E:$E,0),0),Y175+AS175))</f>
        <v/>
      </c>
      <c r="Z176" s="28" t="str">
        <f t="array" ref="Z176">IF($I175="","",IF(AND(C176="Q",C175&lt;&gt;"Q"),IFERROR(XLOOKUP($B176,Lenso_Input!$A:$A,Lenso_Input!$I:$I,0),0),Z175+AT175))</f>
        <v/>
      </c>
      <c r="AA176" s="28" t="str">
        <f t="array" ref="AA176">IF($I175="","",IF(XLOOKUP($B176,Derived_Variables!$A:$A,Derived_Variables!$R:$R,"6/6_target")="6/6_target","20_20_20","40_30_25"))</f>
        <v/>
      </c>
      <c r="AB176" s="28" t="str">
        <f t="array" ref="AB176">IF($I175="","",XLOOKUP(LOWER(XLOOKUP($B176,Derived_Variables!$A:$A,Derived_Variables!$T:$T,"Standard"))&amp;"_sph_step",Calibration!$B:$B,Calibration!$C:$C,0.25))</f>
        <v/>
      </c>
      <c r="AC176" s="28" t="str">
        <f t="array" ref="AC176">IF($I175="","",XLOOKUP(LOWER(XLOOKUP($B176,Derived_Variables!$A:$A,Derived_Variables!$T:$T,"Standard"))&amp;"_cyl_step",Calibration!$B:$B,Calibration!$C:$C,0.25))</f>
        <v/>
      </c>
      <c r="AD176" s="28" t="str">
        <f t="array" ref="AD176">IF($I175="","",IF(OR(C176="E",C176="H"),LET(startStep,XLOOKUP("axis_start_step",Calibration!$B:$B,Calibration!$C:$C,5),step1,XLOOKUP("axis_reversal_step_1",Calibration!$B:$B,Calibration!$C:$C,3),step2,XLOOKUP("axis_reversal_step_2",Calibration!$B:$B,Calibration!$C:$C,1),IF(OR(C175&lt;&gt;C176,AZ176="",AZ176="SAME",AZ176="CANT_TELL",I176="",I176="SAME",I176="CANT_TELL"),startStep,IF(OR(AND(AZ176="BETTER_1",I176="BETTER_2"),AND(AZ176="BETTER_2",I176="BETTER_1")),IF(AD175&gt;step1,step1,step2),AD175))),0))</f>
        <v/>
      </c>
      <c r="AE176" s="28" t="str">
        <f t="array" ref="AE176">IF($I175="","",XLOOKUP($B176,Derived_Variables!$A:$A,Derived_Variables!$AD:$AD,"No_Fog"))</f>
        <v/>
      </c>
      <c r="AF176" s="28" t="str">
        <f t="array" ref="AF176">IF($I175="","",XLOOKUP($B176,Derived_Variables!$A:$A,Derived_Variables!$AE:$AE,0))</f>
        <v/>
      </c>
      <c r="AG176" s="28" t="str">
        <f t="array" ref="AG176">IF($I175="","",XLOOKUP($B176,Derived_Variables!$A:$A,Derived_Variables!$AF:$AF,""))</f>
        <v/>
      </c>
      <c r="AH176" s="28" t="str">
        <f t="array" ref="AH176">IF($I175="","",XLOOKUP($B176,Derived_Variables!$A:$A,Derived_Variables!$AG:$AG,""))</f>
        <v/>
      </c>
      <c r="AI176" s="28" t="str">
        <f t="array" ref="AI176">IF($I175="","",XLOOKUP($B176,Derived_Variables!$A:$A,Derived_Variables!$AC:$AC,"Medium"))</f>
        <v/>
      </c>
      <c r="AJ176" s="28" t="str">
        <f t="array" ref="AJ176">IF($I175="","",XLOOKUP($B176,Derived_Variables!$A:$A,Derived_Variables!$Y:$Y,FALSE))</f>
        <v/>
      </c>
      <c r="AK176" s="28" t="str">
        <f t="array" ref="AK176">IF($I175="","",XLOOKUP($B176,Derived_Variables!$A:$A,Derived_Variables!$AA:$AA,"Normal"))</f>
        <v/>
      </c>
      <c r="AL176" s="28" t="str">
        <f t="array" ref="AL176">IF($I175="","",XLOOKUP($B176,Derived_Variables!$A:$A,Derived_Variables!$AB:$AB,"Normal"))</f>
        <v/>
      </c>
      <c r="AM176" s="28" t="str">
        <f t="array" ref="AM176">IF($I176="","",IFS(C176="B",IF(OR(I176="NOT_READABLE",I176="BLURRY"),-AB176,0),C176="G",IFS(I176="RED_CLEARER",XLOOKUP("duochrome_red_step",Calibration!$B:$B,Calibration!$C:$C,-0.25),I176="GREEN_CLEARER",XLOOKUP("duochrome_green_step",Calibration!$B:$B,Calibration!$C:$C,0.25),I176="EQUAL",IF(XLOOKUP($B176,Derived_Variables!$A:$A,Derived_Variables!$S:$S,"Neutral")="Undercorrect",XLOOKUP("undercorrect_step",Calibration!$B:$B,Calibration!$C:$C,0.25),IF(XLOOKUP($B176,Derived_Variables!$A:$A,Derived_Variables!$S:$S,"Neutral")="Overcorrect",-XLOOKUP("overcorrect_step",Calibration!$B:$B,Calibration!$C:$C,0.25),0)),TRUE,0),C176="K",IF(I176="TOP_CLEARER",XLOOKUP("bino_balance_step",Calibration!$B:$B,Calibration!$C:$C,0.25),0),TRUE,0))</f>
        <v/>
      </c>
      <c r="AN176" s="28" t="str">
        <f t="shared" si="10"/>
        <v/>
      </c>
      <c r="AO176" s="28" t="str">
        <f t="shared" si="11"/>
        <v/>
      </c>
      <c r="AP176" s="28" t="str">
        <f t="array" ref="AP176">IF($I176="","",IFS(C176="D",IF(OR(I176="NOT_READABLE",I176="BLURRY"),-AB176,0),C176="J",IFS(I176="RED_CLEARER",XLOOKUP("duochrome_red_step",Calibration!$B:$B,Calibration!$C:$C,-0.25),I176="GREEN_CLEARER",XLOOKUP("duochrome_green_step",Calibration!$B:$B,Calibration!$C:$C,0.25),I176="EQUAL",IF(XLOOKUP($B176,Derived_Variables!$A:$A,Derived_Variables!$S:$S,"Neutral")="Undercorrect",XLOOKUP("undercorrect_step",Calibration!$B:$B,Calibration!$C:$C,0.25),IF(XLOOKUP($B176,Derived_Variables!$A:$A,Derived_Variables!$S:$S,"Neutral")="Overcorrect",-XLOOKUP("overcorrect_step",Calibration!$B:$B,Calibration!$C:$C,0.25),0)),TRUE,0),C176="K",IF(I176="BOTTOM_CLEARER",XLOOKUP("bino_balance_step",Calibration!$B:$B,Calibration!$C:$C,0.25),0),TRUE,0))</f>
        <v/>
      </c>
      <c r="AQ176" s="28" t="str">
        <f t="shared" si="12"/>
        <v/>
      </c>
      <c r="AR176" s="28" t="str">
        <f t="shared" si="13"/>
        <v/>
      </c>
      <c r="AS176" s="28" t="str">
        <f t="array" ref="AS176">IF($I176="","",IF(C176="P",IF(OR(I176="NOT_READABLE",I176="BLURRY"),XLOOKUP("near_add_step",Calibration!$B:$B,Calibration!$C:$C,0.25),0),IF(C176="R",IF(I176="NOT_CLEAR",XLOOKUP("near_add_step",Calibration!$B:$B,Calibration!$C:$C,0.25),0),0)))</f>
        <v/>
      </c>
      <c r="AT176" s="28" t="str">
        <f t="array" ref="AT176">IF($I176="","",IF(C176="Q",IF(OR(I176="NOT_READABLE",I176="BLURRY"),XLOOKUP("near_add_step",Calibration!$B:$B,Calibration!$C:$C,0.25),0),IF(C176="R",IF(I176="NOT_CLEAR",XLOOKUP("near_add_step",Calibration!$B:$B,Calibration!$C:$C,0.25),0),0)))</f>
        <v/>
      </c>
      <c r="AU176" s="28" t="str">
        <f t="array" ref="AU176">IF($I176="","",IF(G176="SNELLEN_FEET",IF(I176="READABLE",IFERROR(XLOOKUP(XLOOKUP(R176,Chart_Scale_Distance!B:B,Chart_Scale_Distance!A:A)+1,Chart_Scale_Distance!A:A,Chart_Scale_Distance!B:B),R176),R176),R176))</f>
        <v/>
      </c>
      <c r="AV176" s="28" t="str">
        <f t="array" ref="AV176">IF($I175="","",IFERROR(XLOOKUP(R176,Chart_Scale_Distance!$B:$B,Chart_Scale_Distance!$A:$A,""),""))</f>
        <v/>
      </c>
      <c r="AW176" s="28" t="str">
        <f t="array" ref="AW176">IF($I175="","",IFERROR(XLOOKUP(AA176,Chart_Scale_Distance!$B:$B,Chart_Scale_Distance!$A:$A,""),""))</f>
        <v/>
      </c>
      <c r="AX176" s="28" t="str">
        <f t="shared" si="14"/>
        <v/>
      </c>
      <c r="AY176" s="28" t="str">
        <f t="shared" si="15"/>
        <v/>
      </c>
      <c r="AZ176" s="28" t="str">
        <f t="shared" si="16"/>
        <v/>
      </c>
      <c r="BA176" s="28" t="str">
        <f t="shared" si="17"/>
        <v/>
      </c>
      <c r="BB176" s="28" t="str">
        <f t="shared" si="18"/>
        <v/>
      </c>
      <c r="BC176" s="28" t="str">
        <f t="array" ref="BC176">IF($I176="","",LET(
conf,AI176,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duoMax,XLOOKUP($B176,Derived_Variables!$A:$A,Derived_Variables!$AI:$AI,4),
axisTol,XLOOKUP($B176,Derived_Variables!$A:$A,Derived_Variables!$W:$W,1),
maxStart,XLOOKUP($B176,Derived_Variables!$A:$A,Derived_Variables!$U:$U,1.25),
maxAR,XLOOKUP($B176,Derived_Variables!$A:$A,Derived_Variables!$V:$V,3),
anom,XLOOKUP($B176,Derived_Variables!$A:$A,Derived_Variables!$Z:$Z,FALSE),
reStart,XLOOKUP($B176,Derived_Variables!$A:$A,Derived_Variables!$K:$K,0),
leStart,XLOOKUP($B176,Derived_Variables!$A:$A,Derived_Variables!$N:$N,0),
reAR,XLOOKUP($B176,AR_Input!$A:$A,AR_Input!$B:$B,reStart),
leAR,XLOOKUP($B176,AR_Input!$A:$A,AR_Input!$E:$E,leStart),
reEsc,AND(anom,OR(ABS((S176+AM176)-reStart)&gt;maxStart,ABS((S176+AM176)-reAR)&gt;maxAR)),
leEsc,AND(anom,OR(ABS((V176+AP176)-leStart)&gt;maxStart,ABS((V176+AP176)-leAR)&gt;maxAR)),
phaseMax,IFS(
 AK176="Fast",
   IFS(
     OR(C176="B",C176="D"),XLOOKUP("timeout_coarse_fast",Calibration!$B:$B,Calibration!$C:$C,24),
     OR(C176="E",C176="F",C176="H",C176="I"),XLOOKUP("timeout_jcc_fast",Calibration!$B:$B,Calibration!$C:$C,10),
     OR(C176="G",C176="J"),XLOOKUP("timeout_duochrome_fast",Calibration!$B:$B,Calibration!$C:$C,8),
     C176="K",XLOOKUP("timeout_bino_fast",Calibration!$B:$B,Calibration!$C:$C,10),
     OR(C176="P",C176="Q",C176="R"),XLOOKUP("timeout_near_fast",Calibration!$B:$B,Calibration!$C:$C,16),
     TRUE,XLOOKUP("timeout_coarse_fast",Calibration!$B:$B,Calibration!$C:$C,24)
   ),
 AK176="Normal",
   IFS(
     OR(C176="B",C176="D"),XLOOKUP("timeout_coarse_normal",Calibration!$B:$B,Calibration!$C:$C,36),
     OR(C176="E",C176="F",C176="H",C176="I"),XLOOKUP("timeout_jcc_normal",Calibration!$B:$B,Calibration!$C:$C,14),
     OR(C176="G",C176="J"),XLOOKUP("timeout_duochrome_normal",Calibration!$B:$B,Calibration!$C:$C,10),
     C176="K",XLOOKUP("timeout_bino_normal",Calibration!$B:$B,Calibration!$C:$C,14),
     OR(C176="P",C176="Q",C176="R"),XLOOKUP("timeout_near_normal",Calibration!$B:$B,Calibration!$C:$C,22),
     TRUE,XLOOKUP("timeout_coarse_normal",Calibration!$B:$B,Calibration!$C:$C,36)
   ),
 TRUE,
   IFS(
     OR(C176="B",C176="D"),XLOOKUP("timeout_coarse_slow",Calibration!$B:$B,Calibration!$C:$C,48),
     OR(C176="E",C176="F",C176="H",C176="I"),XLOOKUP("timeout_jcc_slow",Calibration!$B:$B,Calibration!$C:$C,18),
     OR(C176="G",C176="J"),XLOOKUP("timeout_duochrome_slow",Calibration!$B:$B,Calibration!$C:$C,12),
     C176="K",XLOOKUP("timeout_bino_slow",Calibration!$B:$B,Calibration!$C:$C,18),
     OR(C176="P",C176="Q",C176="R"),XLOOKUP("timeout_near_slow",Calibration!$B:$B,Calibration!$C:$C,28),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AJ176=TRUE,"ESCALATE",
C176="A",
IF(OR(I176="NOT_READABLE",I176="BLURRY",AND(R176="20_20_20",I176="READABLE")),"B","A"),
C176="B",
IF(reEsc,"ESCALATE",IF(AY176&gt;=phaseMax,"ESCALATE",IF(AND(AV176&gt;=AW176,I176="READABLE"),"E","B"))),
C176="E",
IF(AY176&gt;=phaseMax,"ESCALATE",IF(OR(I176="SAME",I176="CANT_TELL",AD176&lt;axisTol),"F","E")),
C176="F",
IF(AY176&gt;=phaseMax,"ESCALATE",IF(AX176&gt;=powerSameN,"G","F")),
C176="G",
IF(AY176&gt;=phaseMax,"ESCALATE",IF(OR(AX176&gt;=duoEqualN,BB176&gt;=duoMax),"D","G")),
C176="D",
IF(leEsc,"ESCALATE",IF(AY176&gt;=phaseMax,"ESCALATE",IF(AND(AV176&gt;=AW176,I176="READABLE"),"H","D"))),
C176="H",
IF(AY176&gt;=phaseMax,"ESCALATE",IF(OR(I176="SAME",I176="CANT_TELL",AD176&lt;axisTol),"I","H")),
C176="I",
IF(AY176&gt;=phaseMax,"ESCALATE",IF(AX176&gt;=powerSameN,"J","I")),
C176="J",
IF(AY176&gt;=phaseMax,"ESCALATE",IF(OR(AX176&gt;=duoEqualN,BB176&gt;=duoMax),"K","J")),
C176="K",
IF(AY176&gt;=phaseMax,"ESCALATE",IF(AX176&gt;=binoSameN,IF(XLOOKUP($B176,Derived_Variables!$A:$A,Derived_Variables!$AJ:$AJ,FALSE)=TRUE,"P","END"),"K")),
C176="P",
IF(AY176&gt;=phaseMax,"ESCALATE",IF(OR(I176="READABLE",I176="SAME"),"Q","P")),
C176="Q",
IF(AY176&gt;=phaseMax,"ESCALATE",IF(OR(I176="READABLE",I176="SAME"),"R","Q")),
C176="R",
IF(AY176&gt;=phaseMax,"ESCALATE",IF(OR(I176=nearTarget,I176="SAME"),"END","R")),
TRUE,"END"
)))</f>
        <v/>
      </c>
      <c r="BD176" s="28" t="b">
        <f t="shared" si="19"/>
        <v>0</v>
      </c>
    </row>
    <row r="177" ht="15.75" customHeight="1">
      <c r="A177" s="28">
        <f t="shared" si="3"/>
        <v>176</v>
      </c>
      <c r="B177" s="28">
        <f t="shared" si="4"/>
        <v>6</v>
      </c>
      <c r="C177" s="28" t="str">
        <f t="shared" si="5"/>
        <v/>
      </c>
      <c r="D177" s="28" t="str">
        <f t="array" ref="D177">IF($I176="","",XLOOKUP(C177,FSM_State_Map!A:A,FSM_State_Map!B:B,""))</f>
        <v/>
      </c>
      <c r="E177" s="28" t="str">
        <f t="array" ref="E177">IF($I176="","",XLOOKUP(C177,FSM_State_Map!A:A,FSM_State_Map!C:C,""))</f>
        <v/>
      </c>
      <c r="F177" s="28" t="str">
        <f t="array" ref="F177">IF($I176="","",XLOOKUP(E177,Phase_UI_Map!A:A,Phase_UI_Map!B:B,""))</f>
        <v/>
      </c>
      <c r="G177" s="28" t="str">
        <f t="array" ref="G177">IF($I176="","",XLOOKUP(E177,Phase_UI_Map!A:A,Phase_UI_Map!C:C,""))</f>
        <v/>
      </c>
      <c r="H177" s="28" t="str">
        <f t="array" ref="H177">IF($I176="","",XLOOKUP(E177,Phase_UI_Map!A:A,Phase_UI_Map!D:D,""))</f>
        <v/>
      </c>
      <c r="I177" s="29"/>
      <c r="J177" s="28" t="str">
        <f>IFERROR(__xludf.DUMMYFUNCTION("IF($I176="""","""",IFERROR(INDEX(FILTER(Response_Lists!$B:$B,Response_Lists!$A:$A=$H177),1),""""))"),"")</f>
        <v/>
      </c>
      <c r="K177" s="28" t="str">
        <f>IFERROR(__xludf.DUMMYFUNCTION("IF($I176="""","""",IFERROR(INDEX(FILTER(Response_Lists!$B:$B,Response_Lists!$A:$A=$H177),2),""""))"),"")</f>
        <v/>
      </c>
      <c r="L177" s="28" t="str">
        <f>IFERROR(__xludf.DUMMYFUNCTION("IF($I176="""","""",IFERROR(INDEX(FILTER(Response_Lists!$B:$B,Response_Lists!$A:$A=$H177),3),""""))"),"")</f>
        <v/>
      </c>
      <c r="M177" s="28" t="str">
        <f>IFERROR(__xludf.DUMMYFUNCTION("IF($I176="""","""",IFERROR(INDEX(FILTER(Response_Lists!$B:$B,Response_Lists!$A:$A=$H177),4),""""))"),"")</f>
        <v/>
      </c>
      <c r="N177" s="28" t="str">
        <f>IFERROR(__xludf.DUMMYFUNCTION("IF($I176="""","""",IFERROR(INDEX(FILTER(Response_Lists!$B:$B,Response_Lists!$A:$A=$H177),5),""""))"),"")</f>
        <v/>
      </c>
      <c r="O177" s="28" t="str">
        <f>IFERROR(__xludf.DUMMYFUNCTION("IF($I176="""","""",IFERROR(INDEX(FILTER(Response_Lists!$B:$B,Response_Lists!$A:$A=$H177),6),""""))"),"")</f>
        <v/>
      </c>
      <c r="P177" s="28" t="str">
        <f t="shared" si="6"/>
        <v/>
      </c>
      <c r="Q177" s="28" t="str">
        <f t="array" ref="Q177">IF($I176="","",XLOOKUP(C177,FSM_State_Map!A:A,FSM_State_Map!D:D,""))</f>
        <v/>
      </c>
      <c r="R177" s="28" t="str">
        <f t="shared" si="7"/>
        <v/>
      </c>
      <c r="S177" s="28" t="str">
        <f t="array" ref="S177">IF($I176="","",
IF(
  AND(C177="B",C176&lt;&gt;"B"),
  XLOOKUP($B177,Derived_Variables!$A:$A,Derived_Variables!$K:$K,0)
  + XLOOKUP($B177,Derived_Variables!$A:$A,Derived_Variables!$AE:$AE,0),
  S176+AM176
))</f>
        <v/>
      </c>
      <c r="T177" s="28" t="str">
        <f t="shared" ref="T177:U177" si="364">IF($I176="","",T176+AN176)</f>
        <v/>
      </c>
      <c r="U177" s="28" t="str">
        <f t="shared" si="364"/>
        <v/>
      </c>
      <c r="V177" s="28" t="str">
        <f t="array" ref="V177">IF($I176="","",
IF(
  AND(C177="D",C176&lt;&gt;"D"),
  XLOOKUP($B177,Derived_Variables!$A:$A,Derived_Variables!$N:$N,0)
  + XLOOKUP($B177,Derived_Variables!$A:$A,Derived_Variables!$AE:$AE,0),
  V176+AP176
))</f>
        <v/>
      </c>
      <c r="W177" s="28" t="str">
        <f t="shared" ref="W177:X177" si="365">IF($I176="","",W176+AQ176)</f>
        <v/>
      </c>
      <c r="X177" s="28" t="str">
        <f t="shared" si="365"/>
        <v/>
      </c>
      <c r="Y177" s="28" t="str">
        <f t="array" ref="Y177">IF($I176="","",IF(AND(C177="P",C176&lt;&gt;"P"),IFERROR(XLOOKUP($B177,Lenso_Input!$A:$A,Lenso_Input!$E:$E,0),0),Y176+AS176))</f>
        <v/>
      </c>
      <c r="Z177" s="28" t="str">
        <f t="array" ref="Z177">IF($I176="","",IF(AND(C177="Q",C176&lt;&gt;"Q"),IFERROR(XLOOKUP($B177,Lenso_Input!$A:$A,Lenso_Input!$I:$I,0),0),Z176+AT176))</f>
        <v/>
      </c>
      <c r="AA177" s="28" t="str">
        <f t="array" ref="AA177">IF($I176="","",IF(XLOOKUP($B177,Derived_Variables!$A:$A,Derived_Variables!$R:$R,"6/6_target")="6/6_target","20_20_20","40_30_25"))</f>
        <v/>
      </c>
      <c r="AB177" s="28" t="str">
        <f t="array" ref="AB177">IF($I176="","",XLOOKUP(LOWER(XLOOKUP($B177,Derived_Variables!$A:$A,Derived_Variables!$T:$T,"Standard"))&amp;"_sph_step",Calibration!$B:$B,Calibration!$C:$C,0.25))</f>
        <v/>
      </c>
      <c r="AC177" s="28" t="str">
        <f t="array" ref="AC177">IF($I176="","",XLOOKUP(LOWER(XLOOKUP($B177,Derived_Variables!$A:$A,Derived_Variables!$T:$T,"Standard"))&amp;"_cyl_step",Calibration!$B:$B,Calibration!$C:$C,0.25))</f>
        <v/>
      </c>
      <c r="AD177" s="28" t="str">
        <f t="array" ref="AD177">IF($I176="","",IF(OR(C177="E",C177="H"),LET(startStep,XLOOKUP("axis_start_step",Calibration!$B:$B,Calibration!$C:$C,5),step1,XLOOKUP("axis_reversal_step_1",Calibration!$B:$B,Calibration!$C:$C,3),step2,XLOOKUP("axis_reversal_step_2",Calibration!$B:$B,Calibration!$C:$C,1),IF(OR(C176&lt;&gt;C177,AZ177="",AZ177="SAME",AZ177="CANT_TELL",I177="",I177="SAME",I177="CANT_TELL"),startStep,IF(OR(AND(AZ177="BETTER_1",I177="BETTER_2"),AND(AZ177="BETTER_2",I177="BETTER_1")),IF(AD176&gt;step1,step1,step2),AD176))),0))</f>
        <v/>
      </c>
      <c r="AE177" s="28" t="str">
        <f t="array" ref="AE177">IF($I176="","",XLOOKUP($B177,Derived_Variables!$A:$A,Derived_Variables!$AD:$AD,"No_Fog"))</f>
        <v/>
      </c>
      <c r="AF177" s="28" t="str">
        <f t="array" ref="AF177">IF($I176="","",XLOOKUP($B177,Derived_Variables!$A:$A,Derived_Variables!$AE:$AE,0))</f>
        <v/>
      </c>
      <c r="AG177" s="28" t="str">
        <f t="array" ref="AG177">IF($I176="","",XLOOKUP($B177,Derived_Variables!$A:$A,Derived_Variables!$AF:$AF,""))</f>
        <v/>
      </c>
      <c r="AH177" s="28" t="str">
        <f t="array" ref="AH177">IF($I176="","",XLOOKUP($B177,Derived_Variables!$A:$A,Derived_Variables!$AG:$AG,""))</f>
        <v/>
      </c>
      <c r="AI177" s="28" t="str">
        <f t="array" ref="AI177">IF($I176="","",XLOOKUP($B177,Derived_Variables!$A:$A,Derived_Variables!$AC:$AC,"Medium"))</f>
        <v/>
      </c>
      <c r="AJ177" s="28" t="str">
        <f t="array" ref="AJ177">IF($I176="","",XLOOKUP($B177,Derived_Variables!$A:$A,Derived_Variables!$Y:$Y,FALSE))</f>
        <v/>
      </c>
      <c r="AK177" s="28" t="str">
        <f t="array" ref="AK177">IF($I176="","",XLOOKUP($B177,Derived_Variables!$A:$A,Derived_Variables!$AA:$AA,"Normal"))</f>
        <v/>
      </c>
      <c r="AL177" s="28" t="str">
        <f t="array" ref="AL177">IF($I176="","",XLOOKUP($B177,Derived_Variables!$A:$A,Derived_Variables!$AB:$AB,"Normal"))</f>
        <v/>
      </c>
      <c r="AM177" s="28" t="str">
        <f t="array" ref="AM177">IF($I177="","",IFS(C177="B",IF(OR(I177="NOT_READABLE",I177="BLURRY"),-AB177,0),C177="G",IFS(I177="RED_CLEARER",XLOOKUP("duochrome_red_step",Calibration!$B:$B,Calibration!$C:$C,-0.25),I177="GREEN_CLEARER",XLOOKUP("duochrome_green_step",Calibration!$B:$B,Calibration!$C:$C,0.25),I177="EQUAL",IF(XLOOKUP($B177,Derived_Variables!$A:$A,Derived_Variables!$S:$S,"Neutral")="Undercorrect",XLOOKUP("undercorrect_step",Calibration!$B:$B,Calibration!$C:$C,0.25),IF(XLOOKUP($B177,Derived_Variables!$A:$A,Derived_Variables!$S:$S,"Neutral")="Overcorrect",-XLOOKUP("overcorrect_step",Calibration!$B:$B,Calibration!$C:$C,0.25),0)),TRUE,0),C177="K",IF(I177="TOP_CLEARER",XLOOKUP("bino_balance_step",Calibration!$B:$B,Calibration!$C:$C,0.25),0),TRUE,0))</f>
        <v/>
      </c>
      <c r="AN177" s="28" t="str">
        <f t="shared" si="10"/>
        <v/>
      </c>
      <c r="AO177" s="28" t="str">
        <f t="shared" si="11"/>
        <v/>
      </c>
      <c r="AP177" s="28" t="str">
        <f t="array" ref="AP177">IF($I177="","",IFS(C177="D",IF(OR(I177="NOT_READABLE",I177="BLURRY"),-AB177,0),C177="J",IFS(I177="RED_CLEARER",XLOOKUP("duochrome_red_step",Calibration!$B:$B,Calibration!$C:$C,-0.25),I177="GREEN_CLEARER",XLOOKUP("duochrome_green_step",Calibration!$B:$B,Calibration!$C:$C,0.25),I177="EQUAL",IF(XLOOKUP($B177,Derived_Variables!$A:$A,Derived_Variables!$S:$S,"Neutral")="Undercorrect",XLOOKUP("undercorrect_step",Calibration!$B:$B,Calibration!$C:$C,0.25),IF(XLOOKUP($B177,Derived_Variables!$A:$A,Derived_Variables!$S:$S,"Neutral")="Overcorrect",-XLOOKUP("overcorrect_step",Calibration!$B:$B,Calibration!$C:$C,0.25),0)),TRUE,0),C177="K",IF(I177="BOTTOM_CLEARER",XLOOKUP("bino_balance_step",Calibration!$B:$B,Calibration!$C:$C,0.25),0),TRUE,0))</f>
        <v/>
      </c>
      <c r="AQ177" s="28" t="str">
        <f t="shared" si="12"/>
        <v/>
      </c>
      <c r="AR177" s="28" t="str">
        <f t="shared" si="13"/>
        <v/>
      </c>
      <c r="AS177" s="28" t="str">
        <f t="array" ref="AS177">IF($I177="","",IF(C177="P",IF(OR(I177="NOT_READABLE",I177="BLURRY"),XLOOKUP("near_add_step",Calibration!$B:$B,Calibration!$C:$C,0.25),0),IF(C177="R",IF(I177="NOT_CLEAR",XLOOKUP("near_add_step",Calibration!$B:$B,Calibration!$C:$C,0.25),0),0)))</f>
        <v/>
      </c>
      <c r="AT177" s="28" t="str">
        <f t="array" ref="AT177">IF($I177="","",IF(C177="Q",IF(OR(I177="NOT_READABLE",I177="BLURRY"),XLOOKUP("near_add_step",Calibration!$B:$B,Calibration!$C:$C,0.25),0),IF(C177="R",IF(I177="NOT_CLEAR",XLOOKUP("near_add_step",Calibration!$B:$B,Calibration!$C:$C,0.25),0),0)))</f>
        <v/>
      </c>
      <c r="AU177" s="28" t="str">
        <f t="array" ref="AU177">IF($I177="","",IF(G177="SNELLEN_FEET",IF(I177="READABLE",IFERROR(XLOOKUP(XLOOKUP(R177,Chart_Scale_Distance!B:B,Chart_Scale_Distance!A:A)+1,Chart_Scale_Distance!A:A,Chart_Scale_Distance!B:B),R177),R177),R177))</f>
        <v/>
      </c>
      <c r="AV177" s="28" t="str">
        <f t="array" ref="AV177">IF($I176="","",IFERROR(XLOOKUP(R177,Chart_Scale_Distance!$B:$B,Chart_Scale_Distance!$A:$A,""),""))</f>
        <v/>
      </c>
      <c r="AW177" s="28" t="str">
        <f t="array" ref="AW177">IF($I176="","",IFERROR(XLOOKUP(AA177,Chart_Scale_Distance!$B:$B,Chart_Scale_Distance!$A:$A,""),""))</f>
        <v/>
      </c>
      <c r="AX177" s="28" t="str">
        <f t="shared" si="14"/>
        <v/>
      </c>
      <c r="AY177" s="28" t="str">
        <f t="shared" si="15"/>
        <v/>
      </c>
      <c r="AZ177" s="28" t="str">
        <f t="shared" si="16"/>
        <v/>
      </c>
      <c r="BA177" s="28" t="str">
        <f t="shared" si="17"/>
        <v/>
      </c>
      <c r="BB177" s="28" t="str">
        <f t="shared" si="18"/>
        <v/>
      </c>
      <c r="BC177" s="28" t="str">
        <f t="array" ref="BC177">IF($I177="","",LET(
conf,AI177,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duoMax,XLOOKUP($B177,Derived_Variables!$A:$A,Derived_Variables!$AI:$AI,4),
axisTol,XLOOKUP($B177,Derived_Variables!$A:$A,Derived_Variables!$W:$W,1),
maxStart,XLOOKUP($B177,Derived_Variables!$A:$A,Derived_Variables!$U:$U,1.25),
maxAR,XLOOKUP($B177,Derived_Variables!$A:$A,Derived_Variables!$V:$V,3),
anom,XLOOKUP($B177,Derived_Variables!$A:$A,Derived_Variables!$Z:$Z,FALSE),
reStart,XLOOKUP($B177,Derived_Variables!$A:$A,Derived_Variables!$K:$K,0),
leStart,XLOOKUP($B177,Derived_Variables!$A:$A,Derived_Variables!$N:$N,0),
reAR,XLOOKUP($B177,AR_Input!$A:$A,AR_Input!$B:$B,reStart),
leAR,XLOOKUP($B177,AR_Input!$A:$A,AR_Input!$E:$E,leStart),
reEsc,AND(anom,OR(ABS((S177+AM177)-reStart)&gt;maxStart,ABS((S177+AM177)-reAR)&gt;maxAR)),
leEsc,AND(anom,OR(ABS((V177+AP177)-leStart)&gt;maxStart,ABS((V177+AP177)-leAR)&gt;maxAR)),
phaseMax,IFS(
 AK177="Fast",
   IFS(
     OR(C177="B",C177="D"),XLOOKUP("timeout_coarse_fast",Calibration!$B:$B,Calibration!$C:$C,24),
     OR(C177="E",C177="F",C177="H",C177="I"),XLOOKUP("timeout_jcc_fast",Calibration!$B:$B,Calibration!$C:$C,10),
     OR(C177="G",C177="J"),XLOOKUP("timeout_duochrome_fast",Calibration!$B:$B,Calibration!$C:$C,8),
     C177="K",XLOOKUP("timeout_bino_fast",Calibration!$B:$B,Calibration!$C:$C,10),
     OR(C177="P",C177="Q",C177="R"),XLOOKUP("timeout_near_fast",Calibration!$B:$B,Calibration!$C:$C,16),
     TRUE,XLOOKUP("timeout_coarse_fast",Calibration!$B:$B,Calibration!$C:$C,24)
   ),
 AK177="Normal",
   IFS(
     OR(C177="B",C177="D"),XLOOKUP("timeout_coarse_normal",Calibration!$B:$B,Calibration!$C:$C,36),
     OR(C177="E",C177="F",C177="H",C177="I"),XLOOKUP("timeout_jcc_normal",Calibration!$B:$B,Calibration!$C:$C,14),
     OR(C177="G",C177="J"),XLOOKUP("timeout_duochrome_normal",Calibration!$B:$B,Calibration!$C:$C,10),
     C177="K",XLOOKUP("timeout_bino_normal",Calibration!$B:$B,Calibration!$C:$C,14),
     OR(C177="P",C177="Q",C177="R"),XLOOKUP("timeout_near_normal",Calibration!$B:$B,Calibration!$C:$C,22),
     TRUE,XLOOKUP("timeout_coarse_normal",Calibration!$B:$B,Calibration!$C:$C,36)
   ),
 TRUE,
   IFS(
     OR(C177="B",C177="D"),XLOOKUP("timeout_coarse_slow",Calibration!$B:$B,Calibration!$C:$C,48),
     OR(C177="E",C177="F",C177="H",C177="I"),XLOOKUP("timeout_jcc_slow",Calibration!$B:$B,Calibration!$C:$C,18),
     OR(C177="G",C177="J"),XLOOKUP("timeout_duochrome_slow",Calibration!$B:$B,Calibration!$C:$C,12),
     C177="K",XLOOKUP("timeout_bino_slow",Calibration!$B:$B,Calibration!$C:$C,18),
     OR(C177="P",C177="Q",C177="R"),XLOOKUP("timeout_near_slow",Calibration!$B:$B,Calibration!$C:$C,28),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AJ177=TRUE,"ESCALATE",
C177="A",
IF(OR(I177="NOT_READABLE",I177="BLURRY",AND(R177="20_20_20",I177="READABLE")),"B","A"),
C177="B",
IF(reEsc,"ESCALATE",IF(AY177&gt;=phaseMax,"ESCALATE",IF(AND(AV177&gt;=AW177,I177="READABLE"),"E","B"))),
C177="E",
IF(AY177&gt;=phaseMax,"ESCALATE",IF(OR(I177="SAME",I177="CANT_TELL",AD177&lt;axisTol),"F","E")),
C177="F",
IF(AY177&gt;=phaseMax,"ESCALATE",IF(AX177&gt;=powerSameN,"G","F")),
C177="G",
IF(AY177&gt;=phaseMax,"ESCALATE",IF(OR(AX177&gt;=duoEqualN,BB177&gt;=duoMax),"D","G")),
C177="D",
IF(leEsc,"ESCALATE",IF(AY177&gt;=phaseMax,"ESCALATE",IF(AND(AV177&gt;=AW177,I177="READABLE"),"H","D"))),
C177="H",
IF(AY177&gt;=phaseMax,"ESCALATE",IF(OR(I177="SAME",I177="CANT_TELL",AD177&lt;axisTol),"I","H")),
C177="I",
IF(AY177&gt;=phaseMax,"ESCALATE",IF(AX177&gt;=powerSameN,"J","I")),
C177="J",
IF(AY177&gt;=phaseMax,"ESCALATE",IF(OR(AX177&gt;=duoEqualN,BB177&gt;=duoMax),"K","J")),
C177="K",
IF(AY177&gt;=phaseMax,"ESCALATE",IF(AX177&gt;=binoSameN,IF(XLOOKUP($B177,Derived_Variables!$A:$A,Derived_Variables!$AJ:$AJ,FALSE)=TRUE,"P","END"),"K")),
C177="P",
IF(AY177&gt;=phaseMax,"ESCALATE",IF(OR(I177="READABLE",I177="SAME"),"Q","P")),
C177="Q",
IF(AY177&gt;=phaseMax,"ESCALATE",IF(OR(I177="READABLE",I177="SAME"),"R","Q")),
C177="R",
IF(AY177&gt;=phaseMax,"ESCALATE",IF(OR(I177=nearTarget,I177="SAME"),"END","R")),
TRUE,"END"
)))</f>
        <v/>
      </c>
      <c r="BD177" s="28" t="b">
        <f t="shared" si="19"/>
        <v>0</v>
      </c>
    </row>
    <row r="178" ht="15.75" customHeight="1">
      <c r="A178" s="28">
        <f t="shared" si="3"/>
        <v>177</v>
      </c>
      <c r="B178" s="28">
        <f t="shared" si="4"/>
        <v>6</v>
      </c>
      <c r="C178" s="28" t="str">
        <f t="shared" si="5"/>
        <v/>
      </c>
      <c r="D178" s="28" t="str">
        <f t="array" ref="D178">IF($I177="","",XLOOKUP(C178,FSM_State_Map!A:A,FSM_State_Map!B:B,""))</f>
        <v/>
      </c>
      <c r="E178" s="28" t="str">
        <f t="array" ref="E178">IF($I177="","",XLOOKUP(C178,FSM_State_Map!A:A,FSM_State_Map!C:C,""))</f>
        <v/>
      </c>
      <c r="F178" s="28" t="str">
        <f t="array" ref="F178">IF($I177="","",XLOOKUP(E178,Phase_UI_Map!A:A,Phase_UI_Map!B:B,""))</f>
        <v/>
      </c>
      <c r="G178" s="28" t="str">
        <f t="array" ref="G178">IF($I177="","",XLOOKUP(E178,Phase_UI_Map!A:A,Phase_UI_Map!C:C,""))</f>
        <v/>
      </c>
      <c r="H178" s="28" t="str">
        <f t="array" ref="H178">IF($I177="","",XLOOKUP(E178,Phase_UI_Map!A:A,Phase_UI_Map!D:D,""))</f>
        <v/>
      </c>
      <c r="I178" s="29"/>
      <c r="J178" s="28" t="str">
        <f>IFERROR(__xludf.DUMMYFUNCTION("IF($I177="""","""",IFERROR(INDEX(FILTER(Response_Lists!$B:$B,Response_Lists!$A:$A=$H178),1),""""))"),"")</f>
        <v/>
      </c>
      <c r="K178" s="28" t="str">
        <f>IFERROR(__xludf.DUMMYFUNCTION("IF($I177="""","""",IFERROR(INDEX(FILTER(Response_Lists!$B:$B,Response_Lists!$A:$A=$H178),2),""""))"),"")</f>
        <v/>
      </c>
      <c r="L178" s="28" t="str">
        <f>IFERROR(__xludf.DUMMYFUNCTION("IF($I177="""","""",IFERROR(INDEX(FILTER(Response_Lists!$B:$B,Response_Lists!$A:$A=$H178),3),""""))"),"")</f>
        <v/>
      </c>
      <c r="M178" s="28" t="str">
        <f>IFERROR(__xludf.DUMMYFUNCTION("IF($I177="""","""",IFERROR(INDEX(FILTER(Response_Lists!$B:$B,Response_Lists!$A:$A=$H178),4),""""))"),"")</f>
        <v/>
      </c>
      <c r="N178" s="28" t="str">
        <f>IFERROR(__xludf.DUMMYFUNCTION("IF($I177="""","""",IFERROR(INDEX(FILTER(Response_Lists!$B:$B,Response_Lists!$A:$A=$H178),5),""""))"),"")</f>
        <v/>
      </c>
      <c r="O178" s="28" t="str">
        <f>IFERROR(__xludf.DUMMYFUNCTION("IF($I177="""","""",IFERROR(INDEX(FILTER(Response_Lists!$B:$B,Response_Lists!$A:$A=$H178),6),""""))"),"")</f>
        <v/>
      </c>
      <c r="P178" s="28" t="str">
        <f t="shared" si="6"/>
        <v/>
      </c>
      <c r="Q178" s="28" t="str">
        <f t="array" ref="Q178">IF($I177="","",XLOOKUP(C178,FSM_State_Map!A:A,FSM_State_Map!D:D,""))</f>
        <v/>
      </c>
      <c r="R178" s="28" t="str">
        <f t="shared" si="7"/>
        <v/>
      </c>
      <c r="S178" s="28" t="str">
        <f t="array" ref="S178">IF($I177="","",
IF(
  AND(C178="B",C177&lt;&gt;"B"),
  XLOOKUP($B178,Derived_Variables!$A:$A,Derived_Variables!$K:$K,0)
  + XLOOKUP($B178,Derived_Variables!$A:$A,Derived_Variables!$AE:$AE,0),
  S177+AM177
))</f>
        <v/>
      </c>
      <c r="T178" s="28" t="str">
        <f t="shared" ref="T178:U178" si="366">IF($I177="","",T177+AN177)</f>
        <v/>
      </c>
      <c r="U178" s="28" t="str">
        <f t="shared" si="366"/>
        <v/>
      </c>
      <c r="V178" s="28" t="str">
        <f t="array" ref="V178">IF($I177="","",
IF(
  AND(C178="D",C177&lt;&gt;"D"),
  XLOOKUP($B178,Derived_Variables!$A:$A,Derived_Variables!$N:$N,0)
  + XLOOKUP($B178,Derived_Variables!$A:$A,Derived_Variables!$AE:$AE,0),
  V177+AP177
))</f>
        <v/>
      </c>
      <c r="W178" s="28" t="str">
        <f t="shared" ref="W178:X178" si="367">IF($I177="","",W177+AQ177)</f>
        <v/>
      </c>
      <c r="X178" s="28" t="str">
        <f t="shared" si="367"/>
        <v/>
      </c>
      <c r="Y178" s="28" t="str">
        <f t="array" ref="Y178">IF($I177="","",IF(AND(C178="P",C177&lt;&gt;"P"),IFERROR(XLOOKUP($B178,Lenso_Input!$A:$A,Lenso_Input!$E:$E,0),0),Y177+AS177))</f>
        <v/>
      </c>
      <c r="Z178" s="28" t="str">
        <f t="array" ref="Z178">IF($I177="","",IF(AND(C178="Q",C177&lt;&gt;"Q"),IFERROR(XLOOKUP($B178,Lenso_Input!$A:$A,Lenso_Input!$I:$I,0),0),Z177+AT177))</f>
        <v/>
      </c>
      <c r="AA178" s="28" t="str">
        <f t="array" ref="AA178">IF($I177="","",IF(XLOOKUP($B178,Derived_Variables!$A:$A,Derived_Variables!$R:$R,"6/6_target")="6/6_target","20_20_20","40_30_25"))</f>
        <v/>
      </c>
      <c r="AB178" s="28" t="str">
        <f t="array" ref="AB178">IF($I177="","",XLOOKUP(LOWER(XLOOKUP($B178,Derived_Variables!$A:$A,Derived_Variables!$T:$T,"Standard"))&amp;"_sph_step",Calibration!$B:$B,Calibration!$C:$C,0.25))</f>
        <v/>
      </c>
      <c r="AC178" s="28" t="str">
        <f t="array" ref="AC178">IF($I177="","",XLOOKUP(LOWER(XLOOKUP($B178,Derived_Variables!$A:$A,Derived_Variables!$T:$T,"Standard"))&amp;"_cyl_step",Calibration!$B:$B,Calibration!$C:$C,0.25))</f>
        <v/>
      </c>
      <c r="AD178" s="28" t="str">
        <f t="array" ref="AD178">IF($I177="","",IF(OR(C178="E",C178="H"),LET(startStep,XLOOKUP("axis_start_step",Calibration!$B:$B,Calibration!$C:$C,5),step1,XLOOKUP("axis_reversal_step_1",Calibration!$B:$B,Calibration!$C:$C,3),step2,XLOOKUP("axis_reversal_step_2",Calibration!$B:$B,Calibration!$C:$C,1),IF(OR(C177&lt;&gt;C178,AZ178="",AZ178="SAME",AZ178="CANT_TELL",I178="",I178="SAME",I178="CANT_TELL"),startStep,IF(OR(AND(AZ178="BETTER_1",I178="BETTER_2"),AND(AZ178="BETTER_2",I178="BETTER_1")),IF(AD177&gt;step1,step1,step2),AD177))),0))</f>
        <v/>
      </c>
      <c r="AE178" s="28" t="str">
        <f t="array" ref="AE178">IF($I177="","",XLOOKUP($B178,Derived_Variables!$A:$A,Derived_Variables!$AD:$AD,"No_Fog"))</f>
        <v/>
      </c>
      <c r="AF178" s="28" t="str">
        <f t="array" ref="AF178">IF($I177="","",XLOOKUP($B178,Derived_Variables!$A:$A,Derived_Variables!$AE:$AE,0))</f>
        <v/>
      </c>
      <c r="AG178" s="28" t="str">
        <f t="array" ref="AG178">IF($I177="","",XLOOKUP($B178,Derived_Variables!$A:$A,Derived_Variables!$AF:$AF,""))</f>
        <v/>
      </c>
      <c r="AH178" s="28" t="str">
        <f t="array" ref="AH178">IF($I177="","",XLOOKUP($B178,Derived_Variables!$A:$A,Derived_Variables!$AG:$AG,""))</f>
        <v/>
      </c>
      <c r="AI178" s="28" t="str">
        <f t="array" ref="AI178">IF($I177="","",XLOOKUP($B178,Derived_Variables!$A:$A,Derived_Variables!$AC:$AC,"Medium"))</f>
        <v/>
      </c>
      <c r="AJ178" s="28" t="str">
        <f t="array" ref="AJ178">IF($I177="","",XLOOKUP($B178,Derived_Variables!$A:$A,Derived_Variables!$Y:$Y,FALSE))</f>
        <v/>
      </c>
      <c r="AK178" s="28" t="str">
        <f t="array" ref="AK178">IF($I177="","",XLOOKUP($B178,Derived_Variables!$A:$A,Derived_Variables!$AA:$AA,"Normal"))</f>
        <v/>
      </c>
      <c r="AL178" s="28" t="str">
        <f t="array" ref="AL178">IF($I177="","",XLOOKUP($B178,Derived_Variables!$A:$A,Derived_Variables!$AB:$AB,"Normal"))</f>
        <v/>
      </c>
      <c r="AM178" s="28" t="str">
        <f t="array" ref="AM178">IF($I178="","",IFS(C178="B",IF(OR(I178="NOT_READABLE",I178="BLURRY"),-AB178,0),C178="G",IFS(I178="RED_CLEARER",XLOOKUP("duochrome_red_step",Calibration!$B:$B,Calibration!$C:$C,-0.25),I178="GREEN_CLEARER",XLOOKUP("duochrome_green_step",Calibration!$B:$B,Calibration!$C:$C,0.25),I178="EQUAL",IF(XLOOKUP($B178,Derived_Variables!$A:$A,Derived_Variables!$S:$S,"Neutral")="Undercorrect",XLOOKUP("undercorrect_step",Calibration!$B:$B,Calibration!$C:$C,0.25),IF(XLOOKUP($B178,Derived_Variables!$A:$A,Derived_Variables!$S:$S,"Neutral")="Overcorrect",-XLOOKUP("overcorrect_step",Calibration!$B:$B,Calibration!$C:$C,0.25),0)),TRUE,0),C178="K",IF(I178="TOP_CLEARER",XLOOKUP("bino_balance_step",Calibration!$B:$B,Calibration!$C:$C,0.25),0),TRUE,0))</f>
        <v/>
      </c>
      <c r="AN178" s="28" t="str">
        <f t="shared" si="10"/>
        <v/>
      </c>
      <c r="AO178" s="28" t="str">
        <f t="shared" si="11"/>
        <v/>
      </c>
      <c r="AP178" s="28" t="str">
        <f t="array" ref="AP178">IF($I178="","",IFS(C178="D",IF(OR(I178="NOT_READABLE",I178="BLURRY"),-AB178,0),C178="J",IFS(I178="RED_CLEARER",XLOOKUP("duochrome_red_step",Calibration!$B:$B,Calibration!$C:$C,-0.25),I178="GREEN_CLEARER",XLOOKUP("duochrome_green_step",Calibration!$B:$B,Calibration!$C:$C,0.25),I178="EQUAL",IF(XLOOKUP($B178,Derived_Variables!$A:$A,Derived_Variables!$S:$S,"Neutral")="Undercorrect",XLOOKUP("undercorrect_step",Calibration!$B:$B,Calibration!$C:$C,0.25),IF(XLOOKUP($B178,Derived_Variables!$A:$A,Derived_Variables!$S:$S,"Neutral")="Overcorrect",-XLOOKUP("overcorrect_step",Calibration!$B:$B,Calibration!$C:$C,0.25),0)),TRUE,0),C178="K",IF(I178="BOTTOM_CLEARER",XLOOKUP("bino_balance_step",Calibration!$B:$B,Calibration!$C:$C,0.25),0),TRUE,0))</f>
        <v/>
      </c>
      <c r="AQ178" s="28" t="str">
        <f t="shared" si="12"/>
        <v/>
      </c>
      <c r="AR178" s="28" t="str">
        <f t="shared" si="13"/>
        <v/>
      </c>
      <c r="AS178" s="28" t="str">
        <f t="array" ref="AS178">IF($I178="","",IF(C178="P",IF(OR(I178="NOT_READABLE",I178="BLURRY"),XLOOKUP("near_add_step",Calibration!$B:$B,Calibration!$C:$C,0.25),0),IF(C178="R",IF(I178="NOT_CLEAR",XLOOKUP("near_add_step",Calibration!$B:$B,Calibration!$C:$C,0.25),0),0)))</f>
        <v/>
      </c>
      <c r="AT178" s="28" t="str">
        <f t="array" ref="AT178">IF($I178="","",IF(C178="Q",IF(OR(I178="NOT_READABLE",I178="BLURRY"),XLOOKUP("near_add_step",Calibration!$B:$B,Calibration!$C:$C,0.25),0),IF(C178="R",IF(I178="NOT_CLEAR",XLOOKUP("near_add_step",Calibration!$B:$B,Calibration!$C:$C,0.25),0),0)))</f>
        <v/>
      </c>
      <c r="AU178" s="28" t="str">
        <f t="array" ref="AU178">IF($I178="","",IF(G178="SNELLEN_FEET",IF(I178="READABLE",IFERROR(XLOOKUP(XLOOKUP(R178,Chart_Scale_Distance!B:B,Chart_Scale_Distance!A:A)+1,Chart_Scale_Distance!A:A,Chart_Scale_Distance!B:B),R178),R178),R178))</f>
        <v/>
      </c>
      <c r="AV178" s="28" t="str">
        <f t="array" ref="AV178">IF($I177="","",IFERROR(XLOOKUP(R178,Chart_Scale_Distance!$B:$B,Chart_Scale_Distance!$A:$A,""),""))</f>
        <v/>
      </c>
      <c r="AW178" s="28" t="str">
        <f t="array" ref="AW178">IF($I177="","",IFERROR(XLOOKUP(AA178,Chart_Scale_Distance!$B:$B,Chart_Scale_Distance!$A:$A,""),""))</f>
        <v/>
      </c>
      <c r="AX178" s="28" t="str">
        <f t="shared" si="14"/>
        <v/>
      </c>
      <c r="AY178" s="28" t="str">
        <f t="shared" si="15"/>
        <v/>
      </c>
      <c r="AZ178" s="28" t="str">
        <f t="shared" si="16"/>
        <v/>
      </c>
      <c r="BA178" s="28" t="str">
        <f t="shared" si="17"/>
        <v/>
      </c>
      <c r="BB178" s="28" t="str">
        <f t="shared" si="18"/>
        <v/>
      </c>
      <c r="BC178" s="28" t="str">
        <f t="array" ref="BC178">IF($I178="","",LET(
conf,AI178,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duoMax,XLOOKUP($B178,Derived_Variables!$A:$A,Derived_Variables!$AI:$AI,4),
axisTol,XLOOKUP($B178,Derived_Variables!$A:$A,Derived_Variables!$W:$W,1),
maxStart,XLOOKUP($B178,Derived_Variables!$A:$A,Derived_Variables!$U:$U,1.25),
maxAR,XLOOKUP($B178,Derived_Variables!$A:$A,Derived_Variables!$V:$V,3),
anom,XLOOKUP($B178,Derived_Variables!$A:$A,Derived_Variables!$Z:$Z,FALSE),
reStart,XLOOKUP($B178,Derived_Variables!$A:$A,Derived_Variables!$K:$K,0),
leStart,XLOOKUP($B178,Derived_Variables!$A:$A,Derived_Variables!$N:$N,0),
reAR,XLOOKUP($B178,AR_Input!$A:$A,AR_Input!$B:$B,reStart),
leAR,XLOOKUP($B178,AR_Input!$A:$A,AR_Input!$E:$E,leStart),
reEsc,AND(anom,OR(ABS((S178+AM178)-reStart)&gt;maxStart,ABS((S178+AM178)-reAR)&gt;maxAR)),
leEsc,AND(anom,OR(ABS((V178+AP178)-leStart)&gt;maxStart,ABS((V178+AP178)-leAR)&gt;maxAR)),
phaseMax,IFS(
 AK178="Fast",
   IFS(
     OR(C178="B",C178="D"),XLOOKUP("timeout_coarse_fast",Calibration!$B:$B,Calibration!$C:$C,24),
     OR(C178="E",C178="F",C178="H",C178="I"),XLOOKUP("timeout_jcc_fast",Calibration!$B:$B,Calibration!$C:$C,10),
     OR(C178="G",C178="J"),XLOOKUP("timeout_duochrome_fast",Calibration!$B:$B,Calibration!$C:$C,8),
     C178="K",XLOOKUP("timeout_bino_fast",Calibration!$B:$B,Calibration!$C:$C,10),
     OR(C178="P",C178="Q",C178="R"),XLOOKUP("timeout_near_fast",Calibration!$B:$B,Calibration!$C:$C,16),
     TRUE,XLOOKUP("timeout_coarse_fast",Calibration!$B:$B,Calibration!$C:$C,24)
   ),
 AK178="Normal",
   IFS(
     OR(C178="B",C178="D"),XLOOKUP("timeout_coarse_normal",Calibration!$B:$B,Calibration!$C:$C,36),
     OR(C178="E",C178="F",C178="H",C178="I"),XLOOKUP("timeout_jcc_normal",Calibration!$B:$B,Calibration!$C:$C,14),
     OR(C178="G",C178="J"),XLOOKUP("timeout_duochrome_normal",Calibration!$B:$B,Calibration!$C:$C,10),
     C178="K",XLOOKUP("timeout_bino_normal",Calibration!$B:$B,Calibration!$C:$C,14),
     OR(C178="P",C178="Q",C178="R"),XLOOKUP("timeout_near_normal",Calibration!$B:$B,Calibration!$C:$C,22),
     TRUE,XLOOKUP("timeout_coarse_normal",Calibration!$B:$B,Calibration!$C:$C,36)
   ),
 TRUE,
   IFS(
     OR(C178="B",C178="D"),XLOOKUP("timeout_coarse_slow",Calibration!$B:$B,Calibration!$C:$C,48),
     OR(C178="E",C178="F",C178="H",C178="I"),XLOOKUP("timeout_jcc_slow",Calibration!$B:$B,Calibration!$C:$C,18),
     OR(C178="G",C178="J"),XLOOKUP("timeout_duochrome_slow",Calibration!$B:$B,Calibration!$C:$C,12),
     C178="K",XLOOKUP("timeout_bino_slow",Calibration!$B:$B,Calibration!$C:$C,18),
     OR(C178="P",C178="Q",C178="R"),XLOOKUP("timeout_near_slow",Calibration!$B:$B,Calibration!$C:$C,28),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AJ178=TRUE,"ESCALATE",
C178="A",
IF(OR(I178="NOT_READABLE",I178="BLURRY",AND(R178="20_20_20",I178="READABLE")),"B","A"),
C178="B",
IF(reEsc,"ESCALATE",IF(AY178&gt;=phaseMax,"ESCALATE",IF(AND(AV178&gt;=AW178,I178="READABLE"),"E","B"))),
C178="E",
IF(AY178&gt;=phaseMax,"ESCALATE",IF(OR(I178="SAME",I178="CANT_TELL",AD178&lt;axisTol),"F","E")),
C178="F",
IF(AY178&gt;=phaseMax,"ESCALATE",IF(AX178&gt;=powerSameN,"G","F")),
C178="G",
IF(AY178&gt;=phaseMax,"ESCALATE",IF(OR(AX178&gt;=duoEqualN,BB178&gt;=duoMax),"D","G")),
C178="D",
IF(leEsc,"ESCALATE",IF(AY178&gt;=phaseMax,"ESCALATE",IF(AND(AV178&gt;=AW178,I178="READABLE"),"H","D"))),
C178="H",
IF(AY178&gt;=phaseMax,"ESCALATE",IF(OR(I178="SAME",I178="CANT_TELL",AD178&lt;axisTol),"I","H")),
C178="I",
IF(AY178&gt;=phaseMax,"ESCALATE",IF(AX178&gt;=powerSameN,"J","I")),
C178="J",
IF(AY178&gt;=phaseMax,"ESCALATE",IF(OR(AX178&gt;=duoEqualN,BB178&gt;=duoMax),"K","J")),
C178="K",
IF(AY178&gt;=phaseMax,"ESCALATE",IF(AX178&gt;=binoSameN,IF(XLOOKUP($B178,Derived_Variables!$A:$A,Derived_Variables!$AJ:$AJ,FALSE)=TRUE,"P","END"),"K")),
C178="P",
IF(AY178&gt;=phaseMax,"ESCALATE",IF(OR(I178="READABLE",I178="SAME"),"Q","P")),
C178="Q",
IF(AY178&gt;=phaseMax,"ESCALATE",IF(OR(I178="READABLE",I178="SAME"),"R","Q")),
C178="R",
IF(AY178&gt;=phaseMax,"ESCALATE",IF(OR(I178=nearTarget,I178="SAME"),"END","R")),
TRUE,"END"
)))</f>
        <v/>
      </c>
      <c r="BD178" s="28" t="b">
        <f t="shared" si="19"/>
        <v>0</v>
      </c>
    </row>
    <row r="179" ht="15.75" customHeight="1">
      <c r="A179" s="28">
        <f t="shared" si="3"/>
        <v>178</v>
      </c>
      <c r="B179" s="28">
        <f t="shared" si="4"/>
        <v>6</v>
      </c>
      <c r="C179" s="28" t="str">
        <f t="shared" si="5"/>
        <v/>
      </c>
      <c r="D179" s="28" t="str">
        <f t="array" ref="D179">IF($I178="","",XLOOKUP(C179,FSM_State_Map!A:A,FSM_State_Map!B:B,""))</f>
        <v/>
      </c>
      <c r="E179" s="28" t="str">
        <f t="array" ref="E179">IF($I178="","",XLOOKUP(C179,FSM_State_Map!A:A,FSM_State_Map!C:C,""))</f>
        <v/>
      </c>
      <c r="F179" s="28" t="str">
        <f t="array" ref="F179">IF($I178="","",XLOOKUP(E179,Phase_UI_Map!A:A,Phase_UI_Map!B:B,""))</f>
        <v/>
      </c>
      <c r="G179" s="28" t="str">
        <f t="array" ref="G179">IF($I178="","",XLOOKUP(E179,Phase_UI_Map!A:A,Phase_UI_Map!C:C,""))</f>
        <v/>
      </c>
      <c r="H179" s="28" t="str">
        <f t="array" ref="H179">IF($I178="","",XLOOKUP(E179,Phase_UI_Map!A:A,Phase_UI_Map!D:D,""))</f>
        <v/>
      </c>
      <c r="I179" s="29"/>
      <c r="J179" s="28" t="str">
        <f>IFERROR(__xludf.DUMMYFUNCTION("IF($I178="""","""",IFERROR(INDEX(FILTER(Response_Lists!$B:$B,Response_Lists!$A:$A=$H179),1),""""))"),"")</f>
        <v/>
      </c>
      <c r="K179" s="28" t="str">
        <f>IFERROR(__xludf.DUMMYFUNCTION("IF($I178="""","""",IFERROR(INDEX(FILTER(Response_Lists!$B:$B,Response_Lists!$A:$A=$H179),2),""""))"),"")</f>
        <v/>
      </c>
      <c r="L179" s="28" t="str">
        <f>IFERROR(__xludf.DUMMYFUNCTION("IF($I178="""","""",IFERROR(INDEX(FILTER(Response_Lists!$B:$B,Response_Lists!$A:$A=$H179),3),""""))"),"")</f>
        <v/>
      </c>
      <c r="M179" s="28" t="str">
        <f>IFERROR(__xludf.DUMMYFUNCTION("IF($I178="""","""",IFERROR(INDEX(FILTER(Response_Lists!$B:$B,Response_Lists!$A:$A=$H179),4),""""))"),"")</f>
        <v/>
      </c>
      <c r="N179" s="28" t="str">
        <f>IFERROR(__xludf.DUMMYFUNCTION("IF($I178="""","""",IFERROR(INDEX(FILTER(Response_Lists!$B:$B,Response_Lists!$A:$A=$H179),5),""""))"),"")</f>
        <v/>
      </c>
      <c r="O179" s="28" t="str">
        <f>IFERROR(__xludf.DUMMYFUNCTION("IF($I178="""","""",IFERROR(INDEX(FILTER(Response_Lists!$B:$B,Response_Lists!$A:$A=$H179),6),""""))"),"")</f>
        <v/>
      </c>
      <c r="P179" s="28" t="str">
        <f t="shared" si="6"/>
        <v/>
      </c>
      <c r="Q179" s="28" t="str">
        <f t="array" ref="Q179">IF($I178="","",XLOOKUP(C179,FSM_State_Map!A:A,FSM_State_Map!D:D,""))</f>
        <v/>
      </c>
      <c r="R179" s="28" t="str">
        <f t="shared" si="7"/>
        <v/>
      </c>
      <c r="S179" s="28" t="str">
        <f t="array" ref="S179">IF($I178="","",
IF(
  AND(C179="B",C178&lt;&gt;"B"),
  XLOOKUP($B179,Derived_Variables!$A:$A,Derived_Variables!$K:$K,0)
  + XLOOKUP($B179,Derived_Variables!$A:$A,Derived_Variables!$AE:$AE,0),
  S178+AM178
))</f>
        <v/>
      </c>
      <c r="T179" s="28" t="str">
        <f t="shared" ref="T179:U179" si="368">IF($I178="","",T178+AN178)</f>
        <v/>
      </c>
      <c r="U179" s="28" t="str">
        <f t="shared" si="368"/>
        <v/>
      </c>
      <c r="V179" s="28" t="str">
        <f t="array" ref="V179">IF($I178="","",
IF(
  AND(C179="D",C178&lt;&gt;"D"),
  XLOOKUP($B179,Derived_Variables!$A:$A,Derived_Variables!$N:$N,0)
  + XLOOKUP($B179,Derived_Variables!$A:$A,Derived_Variables!$AE:$AE,0),
  V178+AP178
))</f>
        <v/>
      </c>
      <c r="W179" s="28" t="str">
        <f t="shared" ref="W179:X179" si="369">IF($I178="","",W178+AQ178)</f>
        <v/>
      </c>
      <c r="X179" s="28" t="str">
        <f t="shared" si="369"/>
        <v/>
      </c>
      <c r="Y179" s="28" t="str">
        <f t="array" ref="Y179">IF($I178="","",IF(AND(C179="P",C178&lt;&gt;"P"),IFERROR(XLOOKUP($B179,Lenso_Input!$A:$A,Lenso_Input!$E:$E,0),0),Y178+AS178))</f>
        <v/>
      </c>
      <c r="Z179" s="28" t="str">
        <f t="array" ref="Z179">IF($I178="","",IF(AND(C179="Q",C178&lt;&gt;"Q"),IFERROR(XLOOKUP($B179,Lenso_Input!$A:$A,Lenso_Input!$I:$I,0),0),Z178+AT178))</f>
        <v/>
      </c>
      <c r="AA179" s="28" t="str">
        <f t="array" ref="AA179">IF($I178="","",IF(XLOOKUP($B179,Derived_Variables!$A:$A,Derived_Variables!$R:$R,"6/6_target")="6/6_target","20_20_20","40_30_25"))</f>
        <v/>
      </c>
      <c r="AB179" s="28" t="str">
        <f t="array" ref="AB179">IF($I178="","",XLOOKUP(LOWER(XLOOKUP($B179,Derived_Variables!$A:$A,Derived_Variables!$T:$T,"Standard"))&amp;"_sph_step",Calibration!$B:$B,Calibration!$C:$C,0.25))</f>
        <v/>
      </c>
      <c r="AC179" s="28" t="str">
        <f t="array" ref="AC179">IF($I178="","",XLOOKUP(LOWER(XLOOKUP($B179,Derived_Variables!$A:$A,Derived_Variables!$T:$T,"Standard"))&amp;"_cyl_step",Calibration!$B:$B,Calibration!$C:$C,0.25))</f>
        <v/>
      </c>
      <c r="AD179" s="28" t="str">
        <f t="array" ref="AD179">IF($I178="","",IF(OR(C179="E",C179="H"),LET(startStep,XLOOKUP("axis_start_step",Calibration!$B:$B,Calibration!$C:$C,5),step1,XLOOKUP("axis_reversal_step_1",Calibration!$B:$B,Calibration!$C:$C,3),step2,XLOOKUP("axis_reversal_step_2",Calibration!$B:$B,Calibration!$C:$C,1),IF(OR(C178&lt;&gt;C179,AZ179="",AZ179="SAME",AZ179="CANT_TELL",I179="",I179="SAME",I179="CANT_TELL"),startStep,IF(OR(AND(AZ179="BETTER_1",I179="BETTER_2"),AND(AZ179="BETTER_2",I179="BETTER_1")),IF(AD178&gt;step1,step1,step2),AD178))),0))</f>
        <v/>
      </c>
      <c r="AE179" s="28" t="str">
        <f t="array" ref="AE179">IF($I178="","",XLOOKUP($B179,Derived_Variables!$A:$A,Derived_Variables!$AD:$AD,"No_Fog"))</f>
        <v/>
      </c>
      <c r="AF179" s="28" t="str">
        <f t="array" ref="AF179">IF($I178="","",XLOOKUP($B179,Derived_Variables!$A:$A,Derived_Variables!$AE:$AE,0))</f>
        <v/>
      </c>
      <c r="AG179" s="28" t="str">
        <f t="array" ref="AG179">IF($I178="","",XLOOKUP($B179,Derived_Variables!$A:$A,Derived_Variables!$AF:$AF,""))</f>
        <v/>
      </c>
      <c r="AH179" s="28" t="str">
        <f t="array" ref="AH179">IF($I178="","",XLOOKUP($B179,Derived_Variables!$A:$A,Derived_Variables!$AG:$AG,""))</f>
        <v/>
      </c>
      <c r="AI179" s="28" t="str">
        <f t="array" ref="AI179">IF($I178="","",XLOOKUP($B179,Derived_Variables!$A:$A,Derived_Variables!$AC:$AC,"Medium"))</f>
        <v/>
      </c>
      <c r="AJ179" s="28" t="str">
        <f t="array" ref="AJ179">IF($I178="","",XLOOKUP($B179,Derived_Variables!$A:$A,Derived_Variables!$Y:$Y,FALSE))</f>
        <v/>
      </c>
      <c r="AK179" s="28" t="str">
        <f t="array" ref="AK179">IF($I178="","",XLOOKUP($B179,Derived_Variables!$A:$A,Derived_Variables!$AA:$AA,"Normal"))</f>
        <v/>
      </c>
      <c r="AL179" s="28" t="str">
        <f t="array" ref="AL179">IF($I178="","",XLOOKUP($B179,Derived_Variables!$A:$A,Derived_Variables!$AB:$AB,"Normal"))</f>
        <v/>
      </c>
      <c r="AM179" s="28" t="str">
        <f t="array" ref="AM179">IF($I179="","",IFS(C179="B",IF(OR(I179="NOT_READABLE",I179="BLURRY"),-AB179,0),C179="G",IFS(I179="RED_CLEARER",XLOOKUP("duochrome_red_step",Calibration!$B:$B,Calibration!$C:$C,-0.25),I179="GREEN_CLEARER",XLOOKUP("duochrome_green_step",Calibration!$B:$B,Calibration!$C:$C,0.25),I179="EQUAL",IF(XLOOKUP($B179,Derived_Variables!$A:$A,Derived_Variables!$S:$S,"Neutral")="Undercorrect",XLOOKUP("undercorrect_step",Calibration!$B:$B,Calibration!$C:$C,0.25),IF(XLOOKUP($B179,Derived_Variables!$A:$A,Derived_Variables!$S:$S,"Neutral")="Overcorrect",-XLOOKUP("overcorrect_step",Calibration!$B:$B,Calibration!$C:$C,0.25),0)),TRUE,0),C179="K",IF(I179="TOP_CLEARER",XLOOKUP("bino_balance_step",Calibration!$B:$B,Calibration!$C:$C,0.25),0),TRUE,0))</f>
        <v/>
      </c>
      <c r="AN179" s="28" t="str">
        <f t="shared" si="10"/>
        <v/>
      </c>
      <c r="AO179" s="28" t="str">
        <f t="shared" si="11"/>
        <v/>
      </c>
      <c r="AP179" s="28" t="str">
        <f t="array" ref="AP179">IF($I179="","",IFS(C179="D",IF(OR(I179="NOT_READABLE",I179="BLURRY"),-AB179,0),C179="J",IFS(I179="RED_CLEARER",XLOOKUP("duochrome_red_step",Calibration!$B:$B,Calibration!$C:$C,-0.25),I179="GREEN_CLEARER",XLOOKUP("duochrome_green_step",Calibration!$B:$B,Calibration!$C:$C,0.25),I179="EQUAL",IF(XLOOKUP($B179,Derived_Variables!$A:$A,Derived_Variables!$S:$S,"Neutral")="Undercorrect",XLOOKUP("undercorrect_step",Calibration!$B:$B,Calibration!$C:$C,0.25),IF(XLOOKUP($B179,Derived_Variables!$A:$A,Derived_Variables!$S:$S,"Neutral")="Overcorrect",-XLOOKUP("overcorrect_step",Calibration!$B:$B,Calibration!$C:$C,0.25),0)),TRUE,0),C179="K",IF(I179="BOTTOM_CLEARER",XLOOKUP("bino_balance_step",Calibration!$B:$B,Calibration!$C:$C,0.25),0),TRUE,0))</f>
        <v/>
      </c>
      <c r="AQ179" s="28" t="str">
        <f t="shared" si="12"/>
        <v/>
      </c>
      <c r="AR179" s="28" t="str">
        <f t="shared" si="13"/>
        <v/>
      </c>
      <c r="AS179" s="28" t="str">
        <f t="array" ref="AS179">IF($I179="","",IF(C179="P",IF(OR(I179="NOT_READABLE",I179="BLURRY"),XLOOKUP("near_add_step",Calibration!$B:$B,Calibration!$C:$C,0.25),0),IF(C179="R",IF(I179="NOT_CLEAR",XLOOKUP("near_add_step",Calibration!$B:$B,Calibration!$C:$C,0.25),0),0)))</f>
        <v/>
      </c>
      <c r="AT179" s="28" t="str">
        <f t="array" ref="AT179">IF($I179="","",IF(C179="Q",IF(OR(I179="NOT_READABLE",I179="BLURRY"),XLOOKUP("near_add_step",Calibration!$B:$B,Calibration!$C:$C,0.25),0),IF(C179="R",IF(I179="NOT_CLEAR",XLOOKUP("near_add_step",Calibration!$B:$B,Calibration!$C:$C,0.25),0),0)))</f>
        <v/>
      </c>
      <c r="AU179" s="28" t="str">
        <f t="array" ref="AU179">IF($I179="","",IF(G179="SNELLEN_FEET",IF(I179="READABLE",IFERROR(XLOOKUP(XLOOKUP(R179,Chart_Scale_Distance!B:B,Chart_Scale_Distance!A:A)+1,Chart_Scale_Distance!A:A,Chart_Scale_Distance!B:B),R179),R179),R179))</f>
        <v/>
      </c>
      <c r="AV179" s="28" t="str">
        <f t="array" ref="AV179">IF($I178="","",IFERROR(XLOOKUP(R179,Chart_Scale_Distance!$B:$B,Chart_Scale_Distance!$A:$A,""),""))</f>
        <v/>
      </c>
      <c r="AW179" s="28" t="str">
        <f t="array" ref="AW179">IF($I178="","",IFERROR(XLOOKUP(AA179,Chart_Scale_Distance!$B:$B,Chart_Scale_Distance!$A:$A,""),""))</f>
        <v/>
      </c>
      <c r="AX179" s="28" t="str">
        <f t="shared" si="14"/>
        <v/>
      </c>
      <c r="AY179" s="28" t="str">
        <f t="shared" si="15"/>
        <v/>
      </c>
      <c r="AZ179" s="28" t="str">
        <f t="shared" si="16"/>
        <v/>
      </c>
      <c r="BA179" s="28" t="str">
        <f t="shared" si="17"/>
        <v/>
      </c>
      <c r="BB179" s="28" t="str">
        <f t="shared" si="18"/>
        <v/>
      </c>
      <c r="BC179" s="28" t="str">
        <f t="array" ref="BC179">IF($I179="","",LET(
conf,AI179,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duoMax,XLOOKUP($B179,Derived_Variables!$A:$A,Derived_Variables!$AI:$AI,4),
axisTol,XLOOKUP($B179,Derived_Variables!$A:$A,Derived_Variables!$W:$W,1),
maxStart,XLOOKUP($B179,Derived_Variables!$A:$A,Derived_Variables!$U:$U,1.25),
maxAR,XLOOKUP($B179,Derived_Variables!$A:$A,Derived_Variables!$V:$V,3),
anom,XLOOKUP($B179,Derived_Variables!$A:$A,Derived_Variables!$Z:$Z,FALSE),
reStart,XLOOKUP($B179,Derived_Variables!$A:$A,Derived_Variables!$K:$K,0),
leStart,XLOOKUP($B179,Derived_Variables!$A:$A,Derived_Variables!$N:$N,0),
reAR,XLOOKUP($B179,AR_Input!$A:$A,AR_Input!$B:$B,reStart),
leAR,XLOOKUP($B179,AR_Input!$A:$A,AR_Input!$E:$E,leStart),
reEsc,AND(anom,OR(ABS((S179+AM179)-reStart)&gt;maxStart,ABS((S179+AM179)-reAR)&gt;maxAR)),
leEsc,AND(anom,OR(ABS((V179+AP179)-leStart)&gt;maxStart,ABS((V179+AP179)-leAR)&gt;maxAR)),
phaseMax,IFS(
 AK179="Fast",
   IFS(
     OR(C179="B",C179="D"),XLOOKUP("timeout_coarse_fast",Calibration!$B:$B,Calibration!$C:$C,24),
     OR(C179="E",C179="F",C179="H",C179="I"),XLOOKUP("timeout_jcc_fast",Calibration!$B:$B,Calibration!$C:$C,10),
     OR(C179="G",C179="J"),XLOOKUP("timeout_duochrome_fast",Calibration!$B:$B,Calibration!$C:$C,8),
     C179="K",XLOOKUP("timeout_bino_fast",Calibration!$B:$B,Calibration!$C:$C,10),
     OR(C179="P",C179="Q",C179="R"),XLOOKUP("timeout_near_fast",Calibration!$B:$B,Calibration!$C:$C,16),
     TRUE,XLOOKUP("timeout_coarse_fast",Calibration!$B:$B,Calibration!$C:$C,24)
   ),
 AK179="Normal",
   IFS(
     OR(C179="B",C179="D"),XLOOKUP("timeout_coarse_normal",Calibration!$B:$B,Calibration!$C:$C,36),
     OR(C179="E",C179="F",C179="H",C179="I"),XLOOKUP("timeout_jcc_normal",Calibration!$B:$B,Calibration!$C:$C,14),
     OR(C179="G",C179="J"),XLOOKUP("timeout_duochrome_normal",Calibration!$B:$B,Calibration!$C:$C,10),
     C179="K",XLOOKUP("timeout_bino_normal",Calibration!$B:$B,Calibration!$C:$C,14),
     OR(C179="P",C179="Q",C179="R"),XLOOKUP("timeout_near_normal",Calibration!$B:$B,Calibration!$C:$C,22),
     TRUE,XLOOKUP("timeout_coarse_normal",Calibration!$B:$B,Calibration!$C:$C,36)
   ),
 TRUE,
   IFS(
     OR(C179="B",C179="D"),XLOOKUP("timeout_coarse_slow",Calibration!$B:$B,Calibration!$C:$C,48),
     OR(C179="E",C179="F",C179="H",C179="I"),XLOOKUP("timeout_jcc_slow",Calibration!$B:$B,Calibration!$C:$C,18),
     OR(C179="G",C179="J"),XLOOKUP("timeout_duochrome_slow",Calibration!$B:$B,Calibration!$C:$C,12),
     C179="K",XLOOKUP("timeout_bino_slow",Calibration!$B:$B,Calibration!$C:$C,18),
     OR(C179="P",C179="Q",C179="R"),XLOOKUP("timeout_near_slow",Calibration!$B:$B,Calibration!$C:$C,28),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AJ179=TRUE,"ESCALATE",
C179="A",
IF(OR(I179="NOT_READABLE",I179="BLURRY",AND(R179="20_20_20",I179="READABLE")),"B","A"),
C179="B",
IF(reEsc,"ESCALATE",IF(AY179&gt;=phaseMax,"ESCALATE",IF(AND(AV179&gt;=AW179,I179="READABLE"),"E","B"))),
C179="E",
IF(AY179&gt;=phaseMax,"ESCALATE",IF(OR(I179="SAME",I179="CANT_TELL",AD179&lt;axisTol),"F","E")),
C179="F",
IF(AY179&gt;=phaseMax,"ESCALATE",IF(AX179&gt;=powerSameN,"G","F")),
C179="G",
IF(AY179&gt;=phaseMax,"ESCALATE",IF(OR(AX179&gt;=duoEqualN,BB179&gt;=duoMax),"D","G")),
C179="D",
IF(leEsc,"ESCALATE",IF(AY179&gt;=phaseMax,"ESCALATE",IF(AND(AV179&gt;=AW179,I179="READABLE"),"H","D"))),
C179="H",
IF(AY179&gt;=phaseMax,"ESCALATE",IF(OR(I179="SAME",I179="CANT_TELL",AD179&lt;axisTol),"I","H")),
C179="I",
IF(AY179&gt;=phaseMax,"ESCALATE",IF(AX179&gt;=powerSameN,"J","I")),
C179="J",
IF(AY179&gt;=phaseMax,"ESCALATE",IF(OR(AX179&gt;=duoEqualN,BB179&gt;=duoMax),"K","J")),
C179="K",
IF(AY179&gt;=phaseMax,"ESCALATE",IF(AX179&gt;=binoSameN,IF(XLOOKUP($B179,Derived_Variables!$A:$A,Derived_Variables!$AJ:$AJ,FALSE)=TRUE,"P","END"),"K")),
C179="P",
IF(AY179&gt;=phaseMax,"ESCALATE",IF(OR(I179="READABLE",I179="SAME"),"Q","P")),
C179="Q",
IF(AY179&gt;=phaseMax,"ESCALATE",IF(OR(I179="READABLE",I179="SAME"),"R","Q")),
C179="R",
IF(AY179&gt;=phaseMax,"ESCALATE",IF(OR(I179=nearTarget,I179="SAME"),"END","R")),
TRUE,"END"
)))</f>
        <v/>
      </c>
      <c r="BD179" s="28" t="b">
        <f t="shared" si="19"/>
        <v>0</v>
      </c>
    </row>
    <row r="180" ht="15.75" customHeight="1">
      <c r="A180" s="28">
        <f t="shared" si="3"/>
        <v>179</v>
      </c>
      <c r="B180" s="28">
        <f t="shared" si="4"/>
        <v>6</v>
      </c>
      <c r="C180" s="28" t="str">
        <f t="shared" si="5"/>
        <v/>
      </c>
      <c r="D180" s="28" t="str">
        <f t="array" ref="D180">IF($I179="","",XLOOKUP(C180,FSM_State_Map!A:A,FSM_State_Map!B:B,""))</f>
        <v/>
      </c>
      <c r="E180" s="28" t="str">
        <f t="array" ref="E180">IF($I179="","",XLOOKUP(C180,FSM_State_Map!A:A,FSM_State_Map!C:C,""))</f>
        <v/>
      </c>
      <c r="F180" s="28" t="str">
        <f t="array" ref="F180">IF($I179="","",XLOOKUP(E180,Phase_UI_Map!A:A,Phase_UI_Map!B:B,""))</f>
        <v/>
      </c>
      <c r="G180" s="28" t="str">
        <f t="array" ref="G180">IF($I179="","",XLOOKUP(E180,Phase_UI_Map!A:A,Phase_UI_Map!C:C,""))</f>
        <v/>
      </c>
      <c r="H180" s="28" t="str">
        <f t="array" ref="H180">IF($I179="","",XLOOKUP(E180,Phase_UI_Map!A:A,Phase_UI_Map!D:D,""))</f>
        <v/>
      </c>
      <c r="I180" s="29"/>
      <c r="J180" s="28" t="str">
        <f>IFERROR(__xludf.DUMMYFUNCTION("IF($I179="""","""",IFERROR(INDEX(FILTER(Response_Lists!$B:$B,Response_Lists!$A:$A=$H180),1),""""))"),"")</f>
        <v/>
      </c>
      <c r="K180" s="28" t="str">
        <f>IFERROR(__xludf.DUMMYFUNCTION("IF($I179="""","""",IFERROR(INDEX(FILTER(Response_Lists!$B:$B,Response_Lists!$A:$A=$H180),2),""""))"),"")</f>
        <v/>
      </c>
      <c r="L180" s="28" t="str">
        <f>IFERROR(__xludf.DUMMYFUNCTION("IF($I179="""","""",IFERROR(INDEX(FILTER(Response_Lists!$B:$B,Response_Lists!$A:$A=$H180),3),""""))"),"")</f>
        <v/>
      </c>
      <c r="M180" s="28" t="str">
        <f>IFERROR(__xludf.DUMMYFUNCTION("IF($I179="""","""",IFERROR(INDEX(FILTER(Response_Lists!$B:$B,Response_Lists!$A:$A=$H180),4),""""))"),"")</f>
        <v/>
      </c>
      <c r="N180" s="28" t="str">
        <f>IFERROR(__xludf.DUMMYFUNCTION("IF($I179="""","""",IFERROR(INDEX(FILTER(Response_Lists!$B:$B,Response_Lists!$A:$A=$H180),5),""""))"),"")</f>
        <v/>
      </c>
      <c r="O180" s="28" t="str">
        <f>IFERROR(__xludf.DUMMYFUNCTION("IF($I179="""","""",IFERROR(INDEX(FILTER(Response_Lists!$B:$B,Response_Lists!$A:$A=$H180),6),""""))"),"")</f>
        <v/>
      </c>
      <c r="P180" s="28" t="str">
        <f t="shared" si="6"/>
        <v/>
      </c>
      <c r="Q180" s="28" t="str">
        <f t="array" ref="Q180">IF($I179="","",XLOOKUP(C180,FSM_State_Map!A:A,FSM_State_Map!D:D,""))</f>
        <v/>
      </c>
      <c r="R180" s="28" t="str">
        <f t="shared" si="7"/>
        <v/>
      </c>
      <c r="S180" s="28" t="str">
        <f t="array" ref="S180">IF($I179="","",
IF(
  AND(C180="B",C179&lt;&gt;"B"),
  XLOOKUP($B180,Derived_Variables!$A:$A,Derived_Variables!$K:$K,0)
  + XLOOKUP($B180,Derived_Variables!$A:$A,Derived_Variables!$AE:$AE,0),
  S179+AM179
))</f>
        <v/>
      </c>
      <c r="T180" s="28" t="str">
        <f t="shared" ref="T180:U180" si="370">IF($I179="","",T179+AN179)</f>
        <v/>
      </c>
      <c r="U180" s="28" t="str">
        <f t="shared" si="370"/>
        <v/>
      </c>
      <c r="V180" s="28" t="str">
        <f t="array" ref="V180">IF($I179="","",
IF(
  AND(C180="D",C179&lt;&gt;"D"),
  XLOOKUP($B180,Derived_Variables!$A:$A,Derived_Variables!$N:$N,0)
  + XLOOKUP($B180,Derived_Variables!$A:$A,Derived_Variables!$AE:$AE,0),
  V179+AP179
))</f>
        <v/>
      </c>
      <c r="W180" s="28" t="str">
        <f t="shared" ref="W180:X180" si="371">IF($I179="","",W179+AQ179)</f>
        <v/>
      </c>
      <c r="X180" s="28" t="str">
        <f t="shared" si="371"/>
        <v/>
      </c>
      <c r="Y180" s="28" t="str">
        <f t="array" ref="Y180">IF($I179="","",IF(AND(C180="P",C179&lt;&gt;"P"),IFERROR(XLOOKUP($B180,Lenso_Input!$A:$A,Lenso_Input!$E:$E,0),0),Y179+AS179))</f>
        <v/>
      </c>
      <c r="Z180" s="28" t="str">
        <f t="array" ref="Z180">IF($I179="","",IF(AND(C180="Q",C179&lt;&gt;"Q"),IFERROR(XLOOKUP($B180,Lenso_Input!$A:$A,Lenso_Input!$I:$I,0),0),Z179+AT179))</f>
        <v/>
      </c>
      <c r="AA180" s="28" t="str">
        <f t="array" ref="AA180">IF($I179="","",IF(XLOOKUP($B180,Derived_Variables!$A:$A,Derived_Variables!$R:$R,"6/6_target")="6/6_target","20_20_20","40_30_25"))</f>
        <v/>
      </c>
      <c r="AB180" s="28" t="str">
        <f t="array" ref="AB180">IF($I179="","",XLOOKUP(LOWER(XLOOKUP($B180,Derived_Variables!$A:$A,Derived_Variables!$T:$T,"Standard"))&amp;"_sph_step",Calibration!$B:$B,Calibration!$C:$C,0.25))</f>
        <v/>
      </c>
      <c r="AC180" s="28" t="str">
        <f t="array" ref="AC180">IF($I179="","",XLOOKUP(LOWER(XLOOKUP($B180,Derived_Variables!$A:$A,Derived_Variables!$T:$T,"Standard"))&amp;"_cyl_step",Calibration!$B:$B,Calibration!$C:$C,0.25))</f>
        <v/>
      </c>
      <c r="AD180" s="28" t="str">
        <f t="array" ref="AD180">IF($I179="","",IF(OR(C180="E",C180="H"),LET(startStep,XLOOKUP("axis_start_step",Calibration!$B:$B,Calibration!$C:$C,5),step1,XLOOKUP("axis_reversal_step_1",Calibration!$B:$B,Calibration!$C:$C,3),step2,XLOOKUP("axis_reversal_step_2",Calibration!$B:$B,Calibration!$C:$C,1),IF(OR(C179&lt;&gt;C180,AZ180="",AZ180="SAME",AZ180="CANT_TELL",I180="",I180="SAME",I180="CANT_TELL"),startStep,IF(OR(AND(AZ180="BETTER_1",I180="BETTER_2"),AND(AZ180="BETTER_2",I180="BETTER_1")),IF(AD179&gt;step1,step1,step2),AD179))),0))</f>
        <v/>
      </c>
      <c r="AE180" s="28" t="str">
        <f t="array" ref="AE180">IF($I179="","",XLOOKUP($B180,Derived_Variables!$A:$A,Derived_Variables!$AD:$AD,"No_Fog"))</f>
        <v/>
      </c>
      <c r="AF180" s="28" t="str">
        <f t="array" ref="AF180">IF($I179="","",XLOOKUP($B180,Derived_Variables!$A:$A,Derived_Variables!$AE:$AE,0))</f>
        <v/>
      </c>
      <c r="AG180" s="28" t="str">
        <f t="array" ref="AG180">IF($I179="","",XLOOKUP($B180,Derived_Variables!$A:$A,Derived_Variables!$AF:$AF,""))</f>
        <v/>
      </c>
      <c r="AH180" s="28" t="str">
        <f t="array" ref="AH180">IF($I179="","",XLOOKUP($B180,Derived_Variables!$A:$A,Derived_Variables!$AG:$AG,""))</f>
        <v/>
      </c>
      <c r="AI180" s="28" t="str">
        <f t="array" ref="AI180">IF($I179="","",XLOOKUP($B180,Derived_Variables!$A:$A,Derived_Variables!$AC:$AC,"Medium"))</f>
        <v/>
      </c>
      <c r="AJ180" s="28" t="str">
        <f t="array" ref="AJ180">IF($I179="","",XLOOKUP($B180,Derived_Variables!$A:$A,Derived_Variables!$Y:$Y,FALSE))</f>
        <v/>
      </c>
      <c r="AK180" s="28" t="str">
        <f t="array" ref="AK180">IF($I179="","",XLOOKUP($B180,Derived_Variables!$A:$A,Derived_Variables!$AA:$AA,"Normal"))</f>
        <v/>
      </c>
      <c r="AL180" s="28" t="str">
        <f t="array" ref="AL180">IF($I179="","",XLOOKUP($B180,Derived_Variables!$A:$A,Derived_Variables!$AB:$AB,"Normal"))</f>
        <v/>
      </c>
      <c r="AM180" s="28" t="str">
        <f t="array" ref="AM180">IF($I180="","",IFS(C180="B",IF(OR(I180="NOT_READABLE",I180="BLURRY"),-AB180,0),C180="G",IFS(I180="RED_CLEARER",XLOOKUP("duochrome_red_step",Calibration!$B:$B,Calibration!$C:$C,-0.25),I180="GREEN_CLEARER",XLOOKUP("duochrome_green_step",Calibration!$B:$B,Calibration!$C:$C,0.25),I180="EQUAL",IF(XLOOKUP($B180,Derived_Variables!$A:$A,Derived_Variables!$S:$S,"Neutral")="Undercorrect",XLOOKUP("undercorrect_step",Calibration!$B:$B,Calibration!$C:$C,0.25),IF(XLOOKUP($B180,Derived_Variables!$A:$A,Derived_Variables!$S:$S,"Neutral")="Overcorrect",-XLOOKUP("overcorrect_step",Calibration!$B:$B,Calibration!$C:$C,0.25),0)),TRUE,0),C180="K",IF(I180="TOP_CLEARER",XLOOKUP("bino_balance_step",Calibration!$B:$B,Calibration!$C:$C,0.25),0),TRUE,0))</f>
        <v/>
      </c>
      <c r="AN180" s="28" t="str">
        <f t="shared" si="10"/>
        <v/>
      </c>
      <c r="AO180" s="28" t="str">
        <f t="shared" si="11"/>
        <v/>
      </c>
      <c r="AP180" s="28" t="str">
        <f t="array" ref="AP180">IF($I180="","",IFS(C180="D",IF(OR(I180="NOT_READABLE",I180="BLURRY"),-AB180,0),C180="J",IFS(I180="RED_CLEARER",XLOOKUP("duochrome_red_step",Calibration!$B:$B,Calibration!$C:$C,-0.25),I180="GREEN_CLEARER",XLOOKUP("duochrome_green_step",Calibration!$B:$B,Calibration!$C:$C,0.25),I180="EQUAL",IF(XLOOKUP($B180,Derived_Variables!$A:$A,Derived_Variables!$S:$S,"Neutral")="Undercorrect",XLOOKUP("undercorrect_step",Calibration!$B:$B,Calibration!$C:$C,0.25),IF(XLOOKUP($B180,Derived_Variables!$A:$A,Derived_Variables!$S:$S,"Neutral")="Overcorrect",-XLOOKUP("overcorrect_step",Calibration!$B:$B,Calibration!$C:$C,0.25),0)),TRUE,0),C180="K",IF(I180="BOTTOM_CLEARER",XLOOKUP("bino_balance_step",Calibration!$B:$B,Calibration!$C:$C,0.25),0),TRUE,0))</f>
        <v/>
      </c>
      <c r="AQ180" s="28" t="str">
        <f t="shared" si="12"/>
        <v/>
      </c>
      <c r="AR180" s="28" t="str">
        <f t="shared" si="13"/>
        <v/>
      </c>
      <c r="AS180" s="28" t="str">
        <f t="array" ref="AS180">IF($I180="","",IF(C180="P",IF(OR(I180="NOT_READABLE",I180="BLURRY"),XLOOKUP("near_add_step",Calibration!$B:$B,Calibration!$C:$C,0.25),0),IF(C180="R",IF(I180="NOT_CLEAR",XLOOKUP("near_add_step",Calibration!$B:$B,Calibration!$C:$C,0.25),0),0)))</f>
        <v/>
      </c>
      <c r="AT180" s="28" t="str">
        <f t="array" ref="AT180">IF($I180="","",IF(C180="Q",IF(OR(I180="NOT_READABLE",I180="BLURRY"),XLOOKUP("near_add_step",Calibration!$B:$B,Calibration!$C:$C,0.25),0),IF(C180="R",IF(I180="NOT_CLEAR",XLOOKUP("near_add_step",Calibration!$B:$B,Calibration!$C:$C,0.25),0),0)))</f>
        <v/>
      </c>
      <c r="AU180" s="28" t="str">
        <f t="array" ref="AU180">IF($I180="","",IF(G180="SNELLEN_FEET",IF(I180="READABLE",IFERROR(XLOOKUP(XLOOKUP(R180,Chart_Scale_Distance!B:B,Chart_Scale_Distance!A:A)+1,Chart_Scale_Distance!A:A,Chart_Scale_Distance!B:B),R180),R180),R180))</f>
        <v/>
      </c>
      <c r="AV180" s="28" t="str">
        <f t="array" ref="AV180">IF($I179="","",IFERROR(XLOOKUP(R180,Chart_Scale_Distance!$B:$B,Chart_Scale_Distance!$A:$A,""),""))</f>
        <v/>
      </c>
      <c r="AW180" s="28" t="str">
        <f t="array" ref="AW180">IF($I179="","",IFERROR(XLOOKUP(AA180,Chart_Scale_Distance!$B:$B,Chart_Scale_Distance!$A:$A,""),""))</f>
        <v/>
      </c>
      <c r="AX180" s="28" t="str">
        <f t="shared" si="14"/>
        <v/>
      </c>
      <c r="AY180" s="28" t="str">
        <f t="shared" si="15"/>
        <v/>
      </c>
      <c r="AZ180" s="28" t="str">
        <f t="shared" si="16"/>
        <v/>
      </c>
      <c r="BA180" s="28" t="str">
        <f t="shared" si="17"/>
        <v/>
      </c>
      <c r="BB180" s="28" t="str">
        <f t="shared" si="18"/>
        <v/>
      </c>
      <c r="BC180" s="28" t="str">
        <f t="array" ref="BC180">IF($I180="","",LET(
conf,AI180,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duoMax,XLOOKUP($B180,Derived_Variables!$A:$A,Derived_Variables!$AI:$AI,4),
axisTol,XLOOKUP($B180,Derived_Variables!$A:$A,Derived_Variables!$W:$W,1),
maxStart,XLOOKUP($B180,Derived_Variables!$A:$A,Derived_Variables!$U:$U,1.25),
maxAR,XLOOKUP($B180,Derived_Variables!$A:$A,Derived_Variables!$V:$V,3),
anom,XLOOKUP($B180,Derived_Variables!$A:$A,Derived_Variables!$Z:$Z,FALSE),
reStart,XLOOKUP($B180,Derived_Variables!$A:$A,Derived_Variables!$K:$K,0),
leStart,XLOOKUP($B180,Derived_Variables!$A:$A,Derived_Variables!$N:$N,0),
reAR,XLOOKUP($B180,AR_Input!$A:$A,AR_Input!$B:$B,reStart),
leAR,XLOOKUP($B180,AR_Input!$A:$A,AR_Input!$E:$E,leStart),
reEsc,AND(anom,OR(ABS((S180+AM180)-reStart)&gt;maxStart,ABS((S180+AM180)-reAR)&gt;maxAR)),
leEsc,AND(anom,OR(ABS((V180+AP180)-leStart)&gt;maxStart,ABS((V180+AP180)-leAR)&gt;maxAR)),
phaseMax,IFS(
 AK180="Fast",
   IFS(
     OR(C180="B",C180="D"),XLOOKUP("timeout_coarse_fast",Calibration!$B:$B,Calibration!$C:$C,24),
     OR(C180="E",C180="F",C180="H",C180="I"),XLOOKUP("timeout_jcc_fast",Calibration!$B:$B,Calibration!$C:$C,10),
     OR(C180="G",C180="J"),XLOOKUP("timeout_duochrome_fast",Calibration!$B:$B,Calibration!$C:$C,8),
     C180="K",XLOOKUP("timeout_bino_fast",Calibration!$B:$B,Calibration!$C:$C,10),
     OR(C180="P",C180="Q",C180="R"),XLOOKUP("timeout_near_fast",Calibration!$B:$B,Calibration!$C:$C,16),
     TRUE,XLOOKUP("timeout_coarse_fast",Calibration!$B:$B,Calibration!$C:$C,24)
   ),
 AK180="Normal",
   IFS(
     OR(C180="B",C180="D"),XLOOKUP("timeout_coarse_normal",Calibration!$B:$B,Calibration!$C:$C,36),
     OR(C180="E",C180="F",C180="H",C180="I"),XLOOKUP("timeout_jcc_normal",Calibration!$B:$B,Calibration!$C:$C,14),
     OR(C180="G",C180="J"),XLOOKUP("timeout_duochrome_normal",Calibration!$B:$B,Calibration!$C:$C,10),
     C180="K",XLOOKUP("timeout_bino_normal",Calibration!$B:$B,Calibration!$C:$C,14),
     OR(C180="P",C180="Q",C180="R"),XLOOKUP("timeout_near_normal",Calibration!$B:$B,Calibration!$C:$C,22),
     TRUE,XLOOKUP("timeout_coarse_normal",Calibration!$B:$B,Calibration!$C:$C,36)
   ),
 TRUE,
   IFS(
     OR(C180="B",C180="D"),XLOOKUP("timeout_coarse_slow",Calibration!$B:$B,Calibration!$C:$C,48),
     OR(C180="E",C180="F",C180="H",C180="I"),XLOOKUP("timeout_jcc_slow",Calibration!$B:$B,Calibration!$C:$C,18),
     OR(C180="G",C180="J"),XLOOKUP("timeout_duochrome_slow",Calibration!$B:$B,Calibration!$C:$C,12),
     C180="K",XLOOKUP("timeout_bino_slow",Calibration!$B:$B,Calibration!$C:$C,18),
     OR(C180="P",C180="Q",C180="R"),XLOOKUP("timeout_near_slow",Calibration!$B:$B,Calibration!$C:$C,28),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AJ180=TRUE,"ESCALATE",
C180="A",
IF(OR(I180="NOT_READABLE",I180="BLURRY",AND(R180="20_20_20",I180="READABLE")),"B","A"),
C180="B",
IF(reEsc,"ESCALATE",IF(AY180&gt;=phaseMax,"ESCALATE",IF(AND(AV180&gt;=AW180,I180="READABLE"),"E","B"))),
C180="E",
IF(AY180&gt;=phaseMax,"ESCALATE",IF(OR(I180="SAME",I180="CANT_TELL",AD180&lt;axisTol),"F","E")),
C180="F",
IF(AY180&gt;=phaseMax,"ESCALATE",IF(AX180&gt;=powerSameN,"G","F")),
C180="G",
IF(AY180&gt;=phaseMax,"ESCALATE",IF(OR(AX180&gt;=duoEqualN,BB180&gt;=duoMax),"D","G")),
C180="D",
IF(leEsc,"ESCALATE",IF(AY180&gt;=phaseMax,"ESCALATE",IF(AND(AV180&gt;=AW180,I180="READABLE"),"H","D"))),
C180="H",
IF(AY180&gt;=phaseMax,"ESCALATE",IF(OR(I180="SAME",I180="CANT_TELL",AD180&lt;axisTol),"I","H")),
C180="I",
IF(AY180&gt;=phaseMax,"ESCALATE",IF(AX180&gt;=powerSameN,"J","I")),
C180="J",
IF(AY180&gt;=phaseMax,"ESCALATE",IF(OR(AX180&gt;=duoEqualN,BB180&gt;=duoMax),"K","J")),
C180="K",
IF(AY180&gt;=phaseMax,"ESCALATE",IF(AX180&gt;=binoSameN,IF(XLOOKUP($B180,Derived_Variables!$A:$A,Derived_Variables!$AJ:$AJ,FALSE)=TRUE,"P","END"),"K")),
C180="P",
IF(AY180&gt;=phaseMax,"ESCALATE",IF(OR(I180="READABLE",I180="SAME"),"Q","P")),
C180="Q",
IF(AY180&gt;=phaseMax,"ESCALATE",IF(OR(I180="READABLE",I180="SAME"),"R","Q")),
C180="R",
IF(AY180&gt;=phaseMax,"ESCALATE",IF(OR(I180=nearTarget,I180="SAME"),"END","R")),
TRUE,"END"
)))</f>
        <v/>
      </c>
      <c r="BD180" s="28" t="b">
        <f t="shared" si="19"/>
        <v>0</v>
      </c>
    </row>
    <row r="181" ht="15.75" customHeight="1">
      <c r="A181" s="28">
        <f t="shared" si="3"/>
        <v>180</v>
      </c>
      <c r="B181" s="28">
        <f t="shared" si="4"/>
        <v>6</v>
      </c>
      <c r="C181" s="28" t="str">
        <f t="shared" si="5"/>
        <v/>
      </c>
      <c r="D181" s="28" t="str">
        <f t="array" ref="D181">IF($I180="","",XLOOKUP(C181,FSM_State_Map!A:A,FSM_State_Map!B:B,""))</f>
        <v/>
      </c>
      <c r="E181" s="28" t="str">
        <f t="array" ref="E181">IF($I180="","",XLOOKUP(C181,FSM_State_Map!A:A,FSM_State_Map!C:C,""))</f>
        <v/>
      </c>
      <c r="F181" s="28" t="str">
        <f t="array" ref="F181">IF($I180="","",XLOOKUP(E181,Phase_UI_Map!A:A,Phase_UI_Map!B:B,""))</f>
        <v/>
      </c>
      <c r="G181" s="28" t="str">
        <f t="array" ref="G181">IF($I180="","",XLOOKUP(E181,Phase_UI_Map!A:A,Phase_UI_Map!C:C,""))</f>
        <v/>
      </c>
      <c r="H181" s="28" t="str">
        <f t="array" ref="H181">IF($I180="","",XLOOKUP(E181,Phase_UI_Map!A:A,Phase_UI_Map!D:D,""))</f>
        <v/>
      </c>
      <c r="I181" s="29"/>
      <c r="J181" s="28" t="str">
        <f>IFERROR(__xludf.DUMMYFUNCTION("IF($I180="""","""",IFERROR(INDEX(FILTER(Response_Lists!$B:$B,Response_Lists!$A:$A=$H181),1),""""))"),"")</f>
        <v/>
      </c>
      <c r="K181" s="28" t="str">
        <f>IFERROR(__xludf.DUMMYFUNCTION("IF($I180="""","""",IFERROR(INDEX(FILTER(Response_Lists!$B:$B,Response_Lists!$A:$A=$H181),2),""""))"),"")</f>
        <v/>
      </c>
      <c r="L181" s="28" t="str">
        <f>IFERROR(__xludf.DUMMYFUNCTION("IF($I180="""","""",IFERROR(INDEX(FILTER(Response_Lists!$B:$B,Response_Lists!$A:$A=$H181),3),""""))"),"")</f>
        <v/>
      </c>
      <c r="M181" s="28" t="str">
        <f>IFERROR(__xludf.DUMMYFUNCTION("IF($I180="""","""",IFERROR(INDEX(FILTER(Response_Lists!$B:$B,Response_Lists!$A:$A=$H181),4),""""))"),"")</f>
        <v/>
      </c>
      <c r="N181" s="28" t="str">
        <f>IFERROR(__xludf.DUMMYFUNCTION("IF($I180="""","""",IFERROR(INDEX(FILTER(Response_Lists!$B:$B,Response_Lists!$A:$A=$H181),5),""""))"),"")</f>
        <v/>
      </c>
      <c r="O181" s="28" t="str">
        <f>IFERROR(__xludf.DUMMYFUNCTION("IF($I180="""","""",IFERROR(INDEX(FILTER(Response_Lists!$B:$B,Response_Lists!$A:$A=$H181),6),""""))"),"")</f>
        <v/>
      </c>
      <c r="P181" s="28" t="str">
        <f t="shared" si="6"/>
        <v/>
      </c>
      <c r="Q181" s="28" t="str">
        <f t="array" ref="Q181">IF($I180="","",XLOOKUP(C181,FSM_State_Map!A:A,FSM_State_Map!D:D,""))</f>
        <v/>
      </c>
      <c r="R181" s="28" t="str">
        <f t="shared" si="7"/>
        <v/>
      </c>
      <c r="S181" s="28" t="str">
        <f t="array" ref="S181">IF($I180="","",
IF(
  AND(C181="B",C180&lt;&gt;"B"),
  XLOOKUP($B181,Derived_Variables!$A:$A,Derived_Variables!$K:$K,0)
  + XLOOKUP($B181,Derived_Variables!$A:$A,Derived_Variables!$AE:$AE,0),
  S180+AM180
))</f>
        <v/>
      </c>
      <c r="T181" s="28" t="str">
        <f t="shared" ref="T181:U181" si="372">IF($I180="","",T180+AN180)</f>
        <v/>
      </c>
      <c r="U181" s="28" t="str">
        <f t="shared" si="372"/>
        <v/>
      </c>
      <c r="V181" s="28" t="str">
        <f t="array" ref="V181">IF($I180="","",
IF(
  AND(C181="D",C180&lt;&gt;"D"),
  XLOOKUP($B181,Derived_Variables!$A:$A,Derived_Variables!$N:$N,0)
  + XLOOKUP($B181,Derived_Variables!$A:$A,Derived_Variables!$AE:$AE,0),
  V180+AP180
))</f>
        <v/>
      </c>
      <c r="W181" s="28" t="str">
        <f t="shared" ref="W181:X181" si="373">IF($I180="","",W180+AQ180)</f>
        <v/>
      </c>
      <c r="X181" s="28" t="str">
        <f t="shared" si="373"/>
        <v/>
      </c>
      <c r="Y181" s="28" t="str">
        <f t="array" ref="Y181">IF($I180="","",IF(AND(C181="P",C180&lt;&gt;"P"),IFERROR(XLOOKUP($B181,Lenso_Input!$A:$A,Lenso_Input!$E:$E,0),0),Y180+AS180))</f>
        <v/>
      </c>
      <c r="Z181" s="28" t="str">
        <f t="array" ref="Z181">IF($I180="","",IF(AND(C181="Q",C180&lt;&gt;"Q"),IFERROR(XLOOKUP($B181,Lenso_Input!$A:$A,Lenso_Input!$I:$I,0),0),Z180+AT180))</f>
        <v/>
      </c>
      <c r="AA181" s="28" t="str">
        <f t="array" ref="AA181">IF($I180="","",IF(XLOOKUP($B181,Derived_Variables!$A:$A,Derived_Variables!$R:$R,"6/6_target")="6/6_target","20_20_20","40_30_25"))</f>
        <v/>
      </c>
      <c r="AB181" s="28" t="str">
        <f t="array" ref="AB181">IF($I180="","",XLOOKUP(LOWER(XLOOKUP($B181,Derived_Variables!$A:$A,Derived_Variables!$T:$T,"Standard"))&amp;"_sph_step",Calibration!$B:$B,Calibration!$C:$C,0.25))</f>
        <v/>
      </c>
      <c r="AC181" s="28" t="str">
        <f t="array" ref="AC181">IF($I180="","",XLOOKUP(LOWER(XLOOKUP($B181,Derived_Variables!$A:$A,Derived_Variables!$T:$T,"Standard"))&amp;"_cyl_step",Calibration!$B:$B,Calibration!$C:$C,0.25))</f>
        <v/>
      </c>
      <c r="AD181" s="28" t="str">
        <f t="array" ref="AD181">IF($I180="","",IF(OR(C181="E",C181="H"),LET(startStep,XLOOKUP("axis_start_step",Calibration!$B:$B,Calibration!$C:$C,5),step1,XLOOKUP("axis_reversal_step_1",Calibration!$B:$B,Calibration!$C:$C,3),step2,XLOOKUP("axis_reversal_step_2",Calibration!$B:$B,Calibration!$C:$C,1),IF(OR(C180&lt;&gt;C181,AZ181="",AZ181="SAME",AZ181="CANT_TELL",I181="",I181="SAME",I181="CANT_TELL"),startStep,IF(OR(AND(AZ181="BETTER_1",I181="BETTER_2"),AND(AZ181="BETTER_2",I181="BETTER_1")),IF(AD180&gt;step1,step1,step2),AD180))),0))</f>
        <v/>
      </c>
      <c r="AE181" s="28" t="str">
        <f t="array" ref="AE181">IF($I180="","",XLOOKUP($B181,Derived_Variables!$A:$A,Derived_Variables!$AD:$AD,"No_Fog"))</f>
        <v/>
      </c>
      <c r="AF181" s="28" t="str">
        <f t="array" ref="AF181">IF($I180="","",XLOOKUP($B181,Derived_Variables!$A:$A,Derived_Variables!$AE:$AE,0))</f>
        <v/>
      </c>
      <c r="AG181" s="28" t="str">
        <f t="array" ref="AG181">IF($I180="","",XLOOKUP($B181,Derived_Variables!$A:$A,Derived_Variables!$AF:$AF,""))</f>
        <v/>
      </c>
      <c r="AH181" s="28" t="str">
        <f t="array" ref="AH181">IF($I180="","",XLOOKUP($B181,Derived_Variables!$A:$A,Derived_Variables!$AG:$AG,""))</f>
        <v/>
      </c>
      <c r="AI181" s="28" t="str">
        <f t="array" ref="AI181">IF($I180="","",XLOOKUP($B181,Derived_Variables!$A:$A,Derived_Variables!$AC:$AC,"Medium"))</f>
        <v/>
      </c>
      <c r="AJ181" s="28" t="str">
        <f t="array" ref="AJ181">IF($I180="","",XLOOKUP($B181,Derived_Variables!$A:$A,Derived_Variables!$Y:$Y,FALSE))</f>
        <v/>
      </c>
      <c r="AK181" s="28" t="str">
        <f t="array" ref="AK181">IF($I180="","",XLOOKUP($B181,Derived_Variables!$A:$A,Derived_Variables!$AA:$AA,"Normal"))</f>
        <v/>
      </c>
      <c r="AL181" s="28" t="str">
        <f t="array" ref="AL181">IF($I180="","",XLOOKUP($B181,Derived_Variables!$A:$A,Derived_Variables!$AB:$AB,"Normal"))</f>
        <v/>
      </c>
      <c r="AM181" s="28" t="str">
        <f t="array" ref="AM181">IF($I181="","",IFS(C181="B",IF(OR(I181="NOT_READABLE",I181="BLURRY"),-AB181,0),C181="G",IFS(I181="RED_CLEARER",XLOOKUP("duochrome_red_step",Calibration!$B:$B,Calibration!$C:$C,-0.25),I181="GREEN_CLEARER",XLOOKUP("duochrome_green_step",Calibration!$B:$B,Calibration!$C:$C,0.25),I181="EQUAL",IF(XLOOKUP($B181,Derived_Variables!$A:$A,Derived_Variables!$S:$S,"Neutral")="Undercorrect",XLOOKUP("undercorrect_step",Calibration!$B:$B,Calibration!$C:$C,0.25),IF(XLOOKUP($B181,Derived_Variables!$A:$A,Derived_Variables!$S:$S,"Neutral")="Overcorrect",-XLOOKUP("overcorrect_step",Calibration!$B:$B,Calibration!$C:$C,0.25),0)),TRUE,0),C181="K",IF(I181="TOP_CLEARER",XLOOKUP("bino_balance_step",Calibration!$B:$B,Calibration!$C:$C,0.25),0),TRUE,0))</f>
        <v/>
      </c>
      <c r="AN181" s="28" t="str">
        <f t="shared" si="10"/>
        <v/>
      </c>
      <c r="AO181" s="28" t="str">
        <f t="shared" si="11"/>
        <v/>
      </c>
      <c r="AP181" s="28" t="str">
        <f t="array" ref="AP181">IF($I181="","",IFS(C181="D",IF(OR(I181="NOT_READABLE",I181="BLURRY"),-AB181,0),C181="J",IFS(I181="RED_CLEARER",XLOOKUP("duochrome_red_step",Calibration!$B:$B,Calibration!$C:$C,-0.25),I181="GREEN_CLEARER",XLOOKUP("duochrome_green_step",Calibration!$B:$B,Calibration!$C:$C,0.25),I181="EQUAL",IF(XLOOKUP($B181,Derived_Variables!$A:$A,Derived_Variables!$S:$S,"Neutral")="Undercorrect",XLOOKUP("undercorrect_step",Calibration!$B:$B,Calibration!$C:$C,0.25),IF(XLOOKUP($B181,Derived_Variables!$A:$A,Derived_Variables!$S:$S,"Neutral")="Overcorrect",-XLOOKUP("overcorrect_step",Calibration!$B:$B,Calibration!$C:$C,0.25),0)),TRUE,0),C181="K",IF(I181="BOTTOM_CLEARER",XLOOKUP("bino_balance_step",Calibration!$B:$B,Calibration!$C:$C,0.25),0),TRUE,0))</f>
        <v/>
      </c>
      <c r="AQ181" s="28" t="str">
        <f t="shared" si="12"/>
        <v/>
      </c>
      <c r="AR181" s="28" t="str">
        <f t="shared" si="13"/>
        <v/>
      </c>
      <c r="AS181" s="28" t="str">
        <f t="array" ref="AS181">IF($I181="","",IF(C181="P",IF(OR(I181="NOT_READABLE",I181="BLURRY"),XLOOKUP("near_add_step",Calibration!$B:$B,Calibration!$C:$C,0.25),0),IF(C181="R",IF(I181="NOT_CLEAR",XLOOKUP("near_add_step",Calibration!$B:$B,Calibration!$C:$C,0.25),0),0)))</f>
        <v/>
      </c>
      <c r="AT181" s="28" t="str">
        <f t="array" ref="AT181">IF($I181="","",IF(C181="Q",IF(OR(I181="NOT_READABLE",I181="BLURRY"),XLOOKUP("near_add_step",Calibration!$B:$B,Calibration!$C:$C,0.25),0),IF(C181="R",IF(I181="NOT_CLEAR",XLOOKUP("near_add_step",Calibration!$B:$B,Calibration!$C:$C,0.25),0),0)))</f>
        <v/>
      </c>
      <c r="AU181" s="28" t="str">
        <f t="array" ref="AU181">IF($I181="","",IF(G181="SNELLEN_FEET",IF(I181="READABLE",IFERROR(XLOOKUP(XLOOKUP(R181,Chart_Scale_Distance!B:B,Chart_Scale_Distance!A:A)+1,Chart_Scale_Distance!A:A,Chart_Scale_Distance!B:B),R181),R181),R181))</f>
        <v/>
      </c>
      <c r="AV181" s="28" t="str">
        <f t="array" ref="AV181">IF($I180="","",IFERROR(XLOOKUP(R181,Chart_Scale_Distance!$B:$B,Chart_Scale_Distance!$A:$A,""),""))</f>
        <v/>
      </c>
      <c r="AW181" s="28" t="str">
        <f t="array" ref="AW181">IF($I180="","",IFERROR(XLOOKUP(AA181,Chart_Scale_Distance!$B:$B,Chart_Scale_Distance!$A:$A,""),""))</f>
        <v/>
      </c>
      <c r="AX181" s="28" t="str">
        <f t="shared" si="14"/>
        <v/>
      </c>
      <c r="AY181" s="28" t="str">
        <f t="shared" si="15"/>
        <v/>
      </c>
      <c r="AZ181" s="28" t="str">
        <f t="shared" si="16"/>
        <v/>
      </c>
      <c r="BA181" s="28" t="str">
        <f t="shared" si="17"/>
        <v/>
      </c>
      <c r="BB181" s="28" t="str">
        <f t="shared" si="18"/>
        <v/>
      </c>
      <c r="BC181" s="28" t="str">
        <f t="array" ref="BC181">IF($I181="","",LET(
conf,AI181,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duoMax,XLOOKUP($B181,Derived_Variables!$A:$A,Derived_Variables!$AI:$AI,4),
axisTol,XLOOKUP($B181,Derived_Variables!$A:$A,Derived_Variables!$W:$W,1),
maxStart,XLOOKUP($B181,Derived_Variables!$A:$A,Derived_Variables!$U:$U,1.25),
maxAR,XLOOKUP($B181,Derived_Variables!$A:$A,Derived_Variables!$V:$V,3),
anom,XLOOKUP($B181,Derived_Variables!$A:$A,Derived_Variables!$Z:$Z,FALSE),
reStart,XLOOKUP($B181,Derived_Variables!$A:$A,Derived_Variables!$K:$K,0),
leStart,XLOOKUP($B181,Derived_Variables!$A:$A,Derived_Variables!$N:$N,0),
reAR,XLOOKUP($B181,AR_Input!$A:$A,AR_Input!$B:$B,reStart),
leAR,XLOOKUP($B181,AR_Input!$A:$A,AR_Input!$E:$E,leStart),
reEsc,AND(anom,OR(ABS((S181+AM181)-reStart)&gt;maxStart,ABS((S181+AM181)-reAR)&gt;maxAR)),
leEsc,AND(anom,OR(ABS((V181+AP181)-leStart)&gt;maxStart,ABS((V181+AP181)-leAR)&gt;maxAR)),
phaseMax,IFS(
 AK181="Fast",
   IFS(
     OR(C181="B",C181="D"),XLOOKUP("timeout_coarse_fast",Calibration!$B:$B,Calibration!$C:$C,24),
     OR(C181="E",C181="F",C181="H",C181="I"),XLOOKUP("timeout_jcc_fast",Calibration!$B:$B,Calibration!$C:$C,10),
     OR(C181="G",C181="J"),XLOOKUP("timeout_duochrome_fast",Calibration!$B:$B,Calibration!$C:$C,8),
     C181="K",XLOOKUP("timeout_bino_fast",Calibration!$B:$B,Calibration!$C:$C,10),
     OR(C181="P",C181="Q",C181="R"),XLOOKUP("timeout_near_fast",Calibration!$B:$B,Calibration!$C:$C,16),
     TRUE,XLOOKUP("timeout_coarse_fast",Calibration!$B:$B,Calibration!$C:$C,24)
   ),
 AK181="Normal",
   IFS(
     OR(C181="B",C181="D"),XLOOKUP("timeout_coarse_normal",Calibration!$B:$B,Calibration!$C:$C,36),
     OR(C181="E",C181="F",C181="H",C181="I"),XLOOKUP("timeout_jcc_normal",Calibration!$B:$B,Calibration!$C:$C,14),
     OR(C181="G",C181="J"),XLOOKUP("timeout_duochrome_normal",Calibration!$B:$B,Calibration!$C:$C,10),
     C181="K",XLOOKUP("timeout_bino_normal",Calibration!$B:$B,Calibration!$C:$C,14),
     OR(C181="P",C181="Q",C181="R"),XLOOKUP("timeout_near_normal",Calibration!$B:$B,Calibration!$C:$C,22),
     TRUE,XLOOKUP("timeout_coarse_normal",Calibration!$B:$B,Calibration!$C:$C,36)
   ),
 TRUE,
   IFS(
     OR(C181="B",C181="D"),XLOOKUP("timeout_coarse_slow",Calibration!$B:$B,Calibration!$C:$C,48),
     OR(C181="E",C181="F",C181="H",C181="I"),XLOOKUP("timeout_jcc_slow",Calibration!$B:$B,Calibration!$C:$C,18),
     OR(C181="G",C181="J"),XLOOKUP("timeout_duochrome_slow",Calibration!$B:$B,Calibration!$C:$C,12),
     C181="K",XLOOKUP("timeout_bino_slow",Calibration!$B:$B,Calibration!$C:$C,18),
     OR(C181="P",C181="Q",C181="R"),XLOOKUP("timeout_near_slow",Calibration!$B:$B,Calibration!$C:$C,28),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AJ181=TRUE,"ESCALATE",
C181="A",
IF(OR(I181="NOT_READABLE",I181="BLURRY",AND(R181="20_20_20",I181="READABLE")),"B","A"),
C181="B",
IF(reEsc,"ESCALATE",IF(AY181&gt;=phaseMax,"ESCALATE",IF(AND(AV181&gt;=AW181,I181="READABLE"),"E","B"))),
C181="E",
IF(AY181&gt;=phaseMax,"ESCALATE",IF(OR(I181="SAME",I181="CANT_TELL",AD181&lt;axisTol),"F","E")),
C181="F",
IF(AY181&gt;=phaseMax,"ESCALATE",IF(AX181&gt;=powerSameN,"G","F")),
C181="G",
IF(AY181&gt;=phaseMax,"ESCALATE",IF(OR(AX181&gt;=duoEqualN,BB181&gt;=duoMax),"D","G")),
C181="D",
IF(leEsc,"ESCALATE",IF(AY181&gt;=phaseMax,"ESCALATE",IF(AND(AV181&gt;=AW181,I181="READABLE"),"H","D"))),
C181="H",
IF(AY181&gt;=phaseMax,"ESCALATE",IF(OR(I181="SAME",I181="CANT_TELL",AD181&lt;axisTol),"I","H")),
C181="I",
IF(AY181&gt;=phaseMax,"ESCALATE",IF(AX181&gt;=powerSameN,"J","I")),
C181="J",
IF(AY181&gt;=phaseMax,"ESCALATE",IF(OR(AX181&gt;=duoEqualN,BB181&gt;=duoMax),"K","J")),
C181="K",
IF(AY181&gt;=phaseMax,"ESCALATE",IF(AX181&gt;=binoSameN,IF(XLOOKUP($B181,Derived_Variables!$A:$A,Derived_Variables!$AJ:$AJ,FALSE)=TRUE,"P","END"),"K")),
C181="P",
IF(AY181&gt;=phaseMax,"ESCALATE",IF(OR(I181="READABLE",I181="SAME"),"Q","P")),
C181="Q",
IF(AY181&gt;=phaseMax,"ESCALATE",IF(OR(I181="READABLE",I181="SAME"),"R","Q")),
C181="R",
IF(AY181&gt;=phaseMax,"ESCALATE",IF(OR(I181=nearTarget,I181="SAME"),"END","R")),
TRUE,"END"
)))</f>
        <v/>
      </c>
      <c r="BD181" s="28" t="b">
        <f t="shared" si="19"/>
        <v>0</v>
      </c>
    </row>
    <row r="182" ht="15.75" customHeight="1">
      <c r="A182" s="28">
        <f t="shared" si="3"/>
        <v>181</v>
      </c>
      <c r="B182" s="28">
        <f t="shared" si="4"/>
        <v>6</v>
      </c>
      <c r="C182" s="28" t="str">
        <f t="shared" si="5"/>
        <v/>
      </c>
      <c r="D182" s="28" t="str">
        <f t="array" ref="D182">IF($I181="","",XLOOKUP(C182,FSM_State_Map!A:A,FSM_State_Map!B:B,""))</f>
        <v/>
      </c>
      <c r="E182" s="28" t="str">
        <f t="array" ref="E182">IF($I181="","",XLOOKUP(C182,FSM_State_Map!A:A,FSM_State_Map!C:C,""))</f>
        <v/>
      </c>
      <c r="F182" s="28" t="str">
        <f t="array" ref="F182">IF($I181="","",XLOOKUP(E182,Phase_UI_Map!A:A,Phase_UI_Map!B:B,""))</f>
        <v/>
      </c>
      <c r="G182" s="28" t="str">
        <f t="array" ref="G182">IF($I181="","",XLOOKUP(E182,Phase_UI_Map!A:A,Phase_UI_Map!C:C,""))</f>
        <v/>
      </c>
      <c r="H182" s="28" t="str">
        <f t="array" ref="H182">IF($I181="","",XLOOKUP(E182,Phase_UI_Map!A:A,Phase_UI_Map!D:D,""))</f>
        <v/>
      </c>
      <c r="I182" s="29"/>
      <c r="J182" s="28" t="str">
        <f>IFERROR(__xludf.DUMMYFUNCTION("IF($I181="""","""",IFERROR(INDEX(FILTER(Response_Lists!$B:$B,Response_Lists!$A:$A=$H182),1),""""))"),"")</f>
        <v/>
      </c>
      <c r="K182" s="28" t="str">
        <f>IFERROR(__xludf.DUMMYFUNCTION("IF($I181="""","""",IFERROR(INDEX(FILTER(Response_Lists!$B:$B,Response_Lists!$A:$A=$H182),2),""""))"),"")</f>
        <v/>
      </c>
      <c r="L182" s="28" t="str">
        <f>IFERROR(__xludf.DUMMYFUNCTION("IF($I181="""","""",IFERROR(INDEX(FILTER(Response_Lists!$B:$B,Response_Lists!$A:$A=$H182),3),""""))"),"")</f>
        <v/>
      </c>
      <c r="M182" s="28" t="str">
        <f>IFERROR(__xludf.DUMMYFUNCTION("IF($I181="""","""",IFERROR(INDEX(FILTER(Response_Lists!$B:$B,Response_Lists!$A:$A=$H182),4),""""))"),"")</f>
        <v/>
      </c>
      <c r="N182" s="28" t="str">
        <f>IFERROR(__xludf.DUMMYFUNCTION("IF($I181="""","""",IFERROR(INDEX(FILTER(Response_Lists!$B:$B,Response_Lists!$A:$A=$H182),5),""""))"),"")</f>
        <v/>
      </c>
      <c r="O182" s="28" t="str">
        <f>IFERROR(__xludf.DUMMYFUNCTION("IF($I181="""","""",IFERROR(INDEX(FILTER(Response_Lists!$B:$B,Response_Lists!$A:$A=$H182),6),""""))"),"")</f>
        <v/>
      </c>
      <c r="P182" s="28" t="str">
        <f t="shared" si="6"/>
        <v/>
      </c>
      <c r="Q182" s="28" t="str">
        <f t="array" ref="Q182">IF($I181="","",XLOOKUP(C182,FSM_State_Map!A:A,FSM_State_Map!D:D,""))</f>
        <v/>
      </c>
      <c r="R182" s="28" t="str">
        <f t="shared" si="7"/>
        <v/>
      </c>
      <c r="S182" s="28" t="str">
        <f t="array" ref="S182">IF($I181="","",
IF(
  AND(C182="B",C181&lt;&gt;"B"),
  XLOOKUP($B182,Derived_Variables!$A:$A,Derived_Variables!$K:$K,0)
  + XLOOKUP($B182,Derived_Variables!$A:$A,Derived_Variables!$AE:$AE,0),
  S181+AM181
))</f>
        <v/>
      </c>
      <c r="T182" s="28" t="str">
        <f t="shared" ref="T182:U182" si="374">IF($I181="","",T181+AN181)</f>
        <v/>
      </c>
      <c r="U182" s="28" t="str">
        <f t="shared" si="374"/>
        <v/>
      </c>
      <c r="V182" s="28" t="str">
        <f t="array" ref="V182">IF($I181="","",
IF(
  AND(C182="D",C181&lt;&gt;"D"),
  XLOOKUP($B182,Derived_Variables!$A:$A,Derived_Variables!$N:$N,0)
  + XLOOKUP($B182,Derived_Variables!$A:$A,Derived_Variables!$AE:$AE,0),
  V181+AP181
))</f>
        <v/>
      </c>
      <c r="W182" s="28" t="str">
        <f t="shared" ref="W182:X182" si="375">IF($I181="","",W181+AQ181)</f>
        <v/>
      </c>
      <c r="X182" s="28" t="str">
        <f t="shared" si="375"/>
        <v/>
      </c>
      <c r="Y182" s="28" t="str">
        <f t="array" ref="Y182">IF($I181="","",IF(AND(C182="P",C181&lt;&gt;"P"),IFERROR(XLOOKUP($B182,Lenso_Input!$A:$A,Lenso_Input!$E:$E,0),0),Y181+AS181))</f>
        <v/>
      </c>
      <c r="Z182" s="28" t="str">
        <f t="array" ref="Z182">IF($I181="","",IF(AND(C182="Q",C181&lt;&gt;"Q"),IFERROR(XLOOKUP($B182,Lenso_Input!$A:$A,Lenso_Input!$I:$I,0),0),Z181+AT181))</f>
        <v/>
      </c>
      <c r="AA182" s="28" t="str">
        <f t="array" ref="AA182">IF($I181="","",IF(XLOOKUP($B182,Derived_Variables!$A:$A,Derived_Variables!$R:$R,"6/6_target")="6/6_target","20_20_20","40_30_25"))</f>
        <v/>
      </c>
      <c r="AB182" s="28" t="str">
        <f t="array" ref="AB182">IF($I181="","",XLOOKUP(LOWER(XLOOKUP($B182,Derived_Variables!$A:$A,Derived_Variables!$T:$T,"Standard"))&amp;"_sph_step",Calibration!$B:$B,Calibration!$C:$C,0.25))</f>
        <v/>
      </c>
      <c r="AC182" s="28" t="str">
        <f t="array" ref="AC182">IF($I181="","",XLOOKUP(LOWER(XLOOKUP($B182,Derived_Variables!$A:$A,Derived_Variables!$T:$T,"Standard"))&amp;"_cyl_step",Calibration!$B:$B,Calibration!$C:$C,0.25))</f>
        <v/>
      </c>
      <c r="AD182" s="28" t="str">
        <f t="array" ref="AD182">IF($I181="","",IF(OR(C182="E",C182="H"),LET(startStep,XLOOKUP("axis_start_step",Calibration!$B:$B,Calibration!$C:$C,5),step1,XLOOKUP("axis_reversal_step_1",Calibration!$B:$B,Calibration!$C:$C,3),step2,XLOOKUP("axis_reversal_step_2",Calibration!$B:$B,Calibration!$C:$C,1),IF(OR(C181&lt;&gt;C182,AZ182="",AZ182="SAME",AZ182="CANT_TELL",I182="",I182="SAME",I182="CANT_TELL"),startStep,IF(OR(AND(AZ182="BETTER_1",I182="BETTER_2"),AND(AZ182="BETTER_2",I182="BETTER_1")),IF(AD181&gt;step1,step1,step2),AD181))),0))</f>
        <v/>
      </c>
      <c r="AE182" s="28" t="str">
        <f t="array" ref="AE182">IF($I181="","",XLOOKUP($B182,Derived_Variables!$A:$A,Derived_Variables!$AD:$AD,"No_Fog"))</f>
        <v/>
      </c>
      <c r="AF182" s="28" t="str">
        <f t="array" ref="AF182">IF($I181="","",XLOOKUP($B182,Derived_Variables!$A:$A,Derived_Variables!$AE:$AE,0))</f>
        <v/>
      </c>
      <c r="AG182" s="28" t="str">
        <f t="array" ref="AG182">IF($I181="","",XLOOKUP($B182,Derived_Variables!$A:$A,Derived_Variables!$AF:$AF,""))</f>
        <v/>
      </c>
      <c r="AH182" s="28" t="str">
        <f t="array" ref="AH182">IF($I181="","",XLOOKUP($B182,Derived_Variables!$A:$A,Derived_Variables!$AG:$AG,""))</f>
        <v/>
      </c>
      <c r="AI182" s="28" t="str">
        <f t="array" ref="AI182">IF($I181="","",XLOOKUP($B182,Derived_Variables!$A:$A,Derived_Variables!$AC:$AC,"Medium"))</f>
        <v/>
      </c>
      <c r="AJ182" s="28" t="str">
        <f t="array" ref="AJ182">IF($I181="","",XLOOKUP($B182,Derived_Variables!$A:$A,Derived_Variables!$Y:$Y,FALSE))</f>
        <v/>
      </c>
      <c r="AK182" s="28" t="str">
        <f t="array" ref="AK182">IF($I181="","",XLOOKUP($B182,Derived_Variables!$A:$A,Derived_Variables!$AA:$AA,"Normal"))</f>
        <v/>
      </c>
      <c r="AL182" s="28" t="str">
        <f t="array" ref="AL182">IF($I181="","",XLOOKUP($B182,Derived_Variables!$A:$A,Derived_Variables!$AB:$AB,"Normal"))</f>
        <v/>
      </c>
      <c r="AM182" s="28" t="str">
        <f t="array" ref="AM182">IF($I182="","",IFS(C182="B",IF(OR(I182="NOT_READABLE",I182="BLURRY"),-AB182,0),C182="G",IFS(I182="RED_CLEARER",XLOOKUP("duochrome_red_step",Calibration!$B:$B,Calibration!$C:$C,-0.25),I182="GREEN_CLEARER",XLOOKUP("duochrome_green_step",Calibration!$B:$B,Calibration!$C:$C,0.25),I182="EQUAL",IF(XLOOKUP($B182,Derived_Variables!$A:$A,Derived_Variables!$S:$S,"Neutral")="Undercorrect",XLOOKUP("undercorrect_step",Calibration!$B:$B,Calibration!$C:$C,0.25),IF(XLOOKUP($B182,Derived_Variables!$A:$A,Derived_Variables!$S:$S,"Neutral")="Overcorrect",-XLOOKUP("overcorrect_step",Calibration!$B:$B,Calibration!$C:$C,0.25),0)),TRUE,0),C182="K",IF(I182="TOP_CLEARER",XLOOKUP("bino_balance_step",Calibration!$B:$B,Calibration!$C:$C,0.25),0),TRUE,0))</f>
        <v/>
      </c>
      <c r="AN182" s="28" t="str">
        <f t="shared" si="10"/>
        <v/>
      </c>
      <c r="AO182" s="28" t="str">
        <f t="shared" si="11"/>
        <v/>
      </c>
      <c r="AP182" s="28" t="str">
        <f t="array" ref="AP182">IF($I182="","",IFS(C182="D",IF(OR(I182="NOT_READABLE",I182="BLURRY"),-AB182,0),C182="J",IFS(I182="RED_CLEARER",XLOOKUP("duochrome_red_step",Calibration!$B:$B,Calibration!$C:$C,-0.25),I182="GREEN_CLEARER",XLOOKUP("duochrome_green_step",Calibration!$B:$B,Calibration!$C:$C,0.25),I182="EQUAL",IF(XLOOKUP($B182,Derived_Variables!$A:$A,Derived_Variables!$S:$S,"Neutral")="Undercorrect",XLOOKUP("undercorrect_step",Calibration!$B:$B,Calibration!$C:$C,0.25),IF(XLOOKUP($B182,Derived_Variables!$A:$A,Derived_Variables!$S:$S,"Neutral")="Overcorrect",-XLOOKUP("overcorrect_step",Calibration!$B:$B,Calibration!$C:$C,0.25),0)),TRUE,0),C182="K",IF(I182="BOTTOM_CLEARER",XLOOKUP("bino_balance_step",Calibration!$B:$B,Calibration!$C:$C,0.25),0),TRUE,0))</f>
        <v/>
      </c>
      <c r="AQ182" s="28" t="str">
        <f t="shared" si="12"/>
        <v/>
      </c>
      <c r="AR182" s="28" t="str">
        <f t="shared" si="13"/>
        <v/>
      </c>
      <c r="AS182" s="28" t="str">
        <f t="array" ref="AS182">IF($I182="","",IF(C182="P",IF(OR(I182="NOT_READABLE",I182="BLURRY"),XLOOKUP("near_add_step",Calibration!$B:$B,Calibration!$C:$C,0.25),0),IF(C182="R",IF(I182="NOT_CLEAR",XLOOKUP("near_add_step",Calibration!$B:$B,Calibration!$C:$C,0.25),0),0)))</f>
        <v/>
      </c>
      <c r="AT182" s="28" t="str">
        <f t="array" ref="AT182">IF($I182="","",IF(C182="Q",IF(OR(I182="NOT_READABLE",I182="BLURRY"),XLOOKUP("near_add_step",Calibration!$B:$B,Calibration!$C:$C,0.25),0),IF(C182="R",IF(I182="NOT_CLEAR",XLOOKUP("near_add_step",Calibration!$B:$B,Calibration!$C:$C,0.25),0),0)))</f>
        <v/>
      </c>
      <c r="AU182" s="28" t="str">
        <f t="array" ref="AU182">IF($I182="","",IF(G182="SNELLEN_FEET",IF(I182="READABLE",IFERROR(XLOOKUP(XLOOKUP(R182,Chart_Scale_Distance!B:B,Chart_Scale_Distance!A:A)+1,Chart_Scale_Distance!A:A,Chart_Scale_Distance!B:B),R182),R182),R182))</f>
        <v/>
      </c>
      <c r="AV182" s="28" t="str">
        <f t="array" ref="AV182">IF($I181="","",IFERROR(XLOOKUP(R182,Chart_Scale_Distance!$B:$B,Chart_Scale_Distance!$A:$A,""),""))</f>
        <v/>
      </c>
      <c r="AW182" s="28" t="str">
        <f t="array" ref="AW182">IF($I181="","",IFERROR(XLOOKUP(AA182,Chart_Scale_Distance!$B:$B,Chart_Scale_Distance!$A:$A,""),""))</f>
        <v/>
      </c>
      <c r="AX182" s="28" t="str">
        <f t="shared" si="14"/>
        <v/>
      </c>
      <c r="AY182" s="28" t="str">
        <f t="shared" si="15"/>
        <v/>
      </c>
      <c r="AZ182" s="28" t="str">
        <f t="shared" si="16"/>
        <v/>
      </c>
      <c r="BA182" s="28" t="str">
        <f t="shared" si="17"/>
        <v/>
      </c>
      <c r="BB182" s="28" t="str">
        <f t="shared" si="18"/>
        <v/>
      </c>
      <c r="BC182" s="28" t="str">
        <f t="array" ref="BC182">IF($I182="","",LET(
conf,AI182,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duoMax,XLOOKUP($B182,Derived_Variables!$A:$A,Derived_Variables!$AI:$AI,4),
axisTol,XLOOKUP($B182,Derived_Variables!$A:$A,Derived_Variables!$W:$W,1),
maxStart,XLOOKUP($B182,Derived_Variables!$A:$A,Derived_Variables!$U:$U,1.25),
maxAR,XLOOKUP($B182,Derived_Variables!$A:$A,Derived_Variables!$V:$V,3),
anom,XLOOKUP($B182,Derived_Variables!$A:$A,Derived_Variables!$Z:$Z,FALSE),
reStart,XLOOKUP($B182,Derived_Variables!$A:$A,Derived_Variables!$K:$K,0),
leStart,XLOOKUP($B182,Derived_Variables!$A:$A,Derived_Variables!$N:$N,0),
reAR,XLOOKUP($B182,AR_Input!$A:$A,AR_Input!$B:$B,reStart),
leAR,XLOOKUP($B182,AR_Input!$A:$A,AR_Input!$E:$E,leStart),
reEsc,AND(anom,OR(ABS((S182+AM182)-reStart)&gt;maxStart,ABS((S182+AM182)-reAR)&gt;maxAR)),
leEsc,AND(anom,OR(ABS((V182+AP182)-leStart)&gt;maxStart,ABS((V182+AP182)-leAR)&gt;maxAR)),
phaseMax,IFS(
 AK182="Fast",
   IFS(
     OR(C182="B",C182="D"),XLOOKUP("timeout_coarse_fast",Calibration!$B:$B,Calibration!$C:$C,24),
     OR(C182="E",C182="F",C182="H",C182="I"),XLOOKUP("timeout_jcc_fast",Calibration!$B:$B,Calibration!$C:$C,10),
     OR(C182="G",C182="J"),XLOOKUP("timeout_duochrome_fast",Calibration!$B:$B,Calibration!$C:$C,8),
     C182="K",XLOOKUP("timeout_bino_fast",Calibration!$B:$B,Calibration!$C:$C,10),
     OR(C182="P",C182="Q",C182="R"),XLOOKUP("timeout_near_fast",Calibration!$B:$B,Calibration!$C:$C,16),
     TRUE,XLOOKUP("timeout_coarse_fast",Calibration!$B:$B,Calibration!$C:$C,24)
   ),
 AK182="Normal",
   IFS(
     OR(C182="B",C182="D"),XLOOKUP("timeout_coarse_normal",Calibration!$B:$B,Calibration!$C:$C,36),
     OR(C182="E",C182="F",C182="H",C182="I"),XLOOKUP("timeout_jcc_normal",Calibration!$B:$B,Calibration!$C:$C,14),
     OR(C182="G",C182="J"),XLOOKUP("timeout_duochrome_normal",Calibration!$B:$B,Calibration!$C:$C,10),
     C182="K",XLOOKUP("timeout_bino_normal",Calibration!$B:$B,Calibration!$C:$C,14),
     OR(C182="P",C182="Q",C182="R"),XLOOKUP("timeout_near_normal",Calibration!$B:$B,Calibration!$C:$C,22),
     TRUE,XLOOKUP("timeout_coarse_normal",Calibration!$B:$B,Calibration!$C:$C,36)
   ),
 TRUE,
   IFS(
     OR(C182="B",C182="D"),XLOOKUP("timeout_coarse_slow",Calibration!$B:$B,Calibration!$C:$C,48),
     OR(C182="E",C182="F",C182="H",C182="I"),XLOOKUP("timeout_jcc_slow",Calibration!$B:$B,Calibration!$C:$C,18),
     OR(C182="G",C182="J"),XLOOKUP("timeout_duochrome_slow",Calibration!$B:$B,Calibration!$C:$C,12),
     C182="K",XLOOKUP("timeout_bino_slow",Calibration!$B:$B,Calibration!$C:$C,18),
     OR(C182="P",C182="Q",C182="R"),XLOOKUP("timeout_near_slow",Calibration!$B:$B,Calibration!$C:$C,28),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AJ182=TRUE,"ESCALATE",
C182="A",
IF(OR(I182="NOT_READABLE",I182="BLURRY",AND(R182="20_20_20",I182="READABLE")),"B","A"),
C182="B",
IF(reEsc,"ESCALATE",IF(AY182&gt;=phaseMax,"ESCALATE",IF(AND(AV182&gt;=AW182,I182="READABLE"),"E","B"))),
C182="E",
IF(AY182&gt;=phaseMax,"ESCALATE",IF(OR(I182="SAME",I182="CANT_TELL",AD182&lt;axisTol),"F","E")),
C182="F",
IF(AY182&gt;=phaseMax,"ESCALATE",IF(AX182&gt;=powerSameN,"G","F")),
C182="G",
IF(AY182&gt;=phaseMax,"ESCALATE",IF(OR(AX182&gt;=duoEqualN,BB182&gt;=duoMax),"D","G")),
C182="D",
IF(leEsc,"ESCALATE",IF(AY182&gt;=phaseMax,"ESCALATE",IF(AND(AV182&gt;=AW182,I182="READABLE"),"H","D"))),
C182="H",
IF(AY182&gt;=phaseMax,"ESCALATE",IF(OR(I182="SAME",I182="CANT_TELL",AD182&lt;axisTol),"I","H")),
C182="I",
IF(AY182&gt;=phaseMax,"ESCALATE",IF(AX182&gt;=powerSameN,"J","I")),
C182="J",
IF(AY182&gt;=phaseMax,"ESCALATE",IF(OR(AX182&gt;=duoEqualN,BB182&gt;=duoMax),"K","J")),
C182="K",
IF(AY182&gt;=phaseMax,"ESCALATE",IF(AX182&gt;=binoSameN,IF(XLOOKUP($B182,Derived_Variables!$A:$A,Derived_Variables!$AJ:$AJ,FALSE)=TRUE,"P","END"),"K")),
C182="P",
IF(AY182&gt;=phaseMax,"ESCALATE",IF(OR(I182="READABLE",I182="SAME"),"Q","P")),
C182="Q",
IF(AY182&gt;=phaseMax,"ESCALATE",IF(OR(I182="READABLE",I182="SAME"),"R","Q")),
C182="R",
IF(AY182&gt;=phaseMax,"ESCALATE",IF(OR(I182=nearTarget,I182="SAME"),"END","R")),
TRUE,"END"
)))</f>
        <v/>
      </c>
      <c r="BD182" s="28" t="b">
        <f t="shared" si="19"/>
        <v>0</v>
      </c>
    </row>
    <row r="183" ht="15.75" customHeight="1">
      <c r="A183" s="28">
        <f t="shared" si="3"/>
        <v>182</v>
      </c>
      <c r="B183" s="28">
        <f t="shared" si="4"/>
        <v>6</v>
      </c>
      <c r="C183" s="28" t="str">
        <f t="shared" si="5"/>
        <v/>
      </c>
      <c r="D183" s="28" t="str">
        <f t="array" ref="D183">IF($I182="","",XLOOKUP(C183,FSM_State_Map!A:A,FSM_State_Map!B:B,""))</f>
        <v/>
      </c>
      <c r="E183" s="28" t="str">
        <f t="array" ref="E183">IF($I182="","",XLOOKUP(C183,FSM_State_Map!A:A,FSM_State_Map!C:C,""))</f>
        <v/>
      </c>
      <c r="F183" s="28" t="str">
        <f t="array" ref="F183">IF($I182="","",XLOOKUP(E183,Phase_UI_Map!A:A,Phase_UI_Map!B:B,""))</f>
        <v/>
      </c>
      <c r="G183" s="28" t="str">
        <f t="array" ref="G183">IF($I182="","",XLOOKUP(E183,Phase_UI_Map!A:A,Phase_UI_Map!C:C,""))</f>
        <v/>
      </c>
      <c r="H183" s="28" t="str">
        <f t="array" ref="H183">IF($I182="","",XLOOKUP(E183,Phase_UI_Map!A:A,Phase_UI_Map!D:D,""))</f>
        <v/>
      </c>
      <c r="I183" s="29"/>
      <c r="J183" s="28" t="str">
        <f>IFERROR(__xludf.DUMMYFUNCTION("IF($I182="""","""",IFERROR(INDEX(FILTER(Response_Lists!$B:$B,Response_Lists!$A:$A=$H183),1),""""))"),"")</f>
        <v/>
      </c>
      <c r="K183" s="28" t="str">
        <f>IFERROR(__xludf.DUMMYFUNCTION("IF($I182="""","""",IFERROR(INDEX(FILTER(Response_Lists!$B:$B,Response_Lists!$A:$A=$H183),2),""""))"),"")</f>
        <v/>
      </c>
      <c r="L183" s="28" t="str">
        <f>IFERROR(__xludf.DUMMYFUNCTION("IF($I182="""","""",IFERROR(INDEX(FILTER(Response_Lists!$B:$B,Response_Lists!$A:$A=$H183),3),""""))"),"")</f>
        <v/>
      </c>
      <c r="M183" s="28" t="str">
        <f>IFERROR(__xludf.DUMMYFUNCTION("IF($I182="""","""",IFERROR(INDEX(FILTER(Response_Lists!$B:$B,Response_Lists!$A:$A=$H183),4),""""))"),"")</f>
        <v/>
      </c>
      <c r="N183" s="28" t="str">
        <f>IFERROR(__xludf.DUMMYFUNCTION("IF($I182="""","""",IFERROR(INDEX(FILTER(Response_Lists!$B:$B,Response_Lists!$A:$A=$H183),5),""""))"),"")</f>
        <v/>
      </c>
      <c r="O183" s="28" t="str">
        <f>IFERROR(__xludf.DUMMYFUNCTION("IF($I182="""","""",IFERROR(INDEX(FILTER(Response_Lists!$B:$B,Response_Lists!$A:$A=$H183),6),""""))"),"")</f>
        <v/>
      </c>
      <c r="P183" s="28" t="str">
        <f t="shared" si="6"/>
        <v/>
      </c>
      <c r="Q183" s="28" t="str">
        <f t="array" ref="Q183">IF($I182="","",XLOOKUP(C183,FSM_State_Map!A:A,FSM_State_Map!D:D,""))</f>
        <v/>
      </c>
      <c r="R183" s="28" t="str">
        <f t="shared" si="7"/>
        <v/>
      </c>
      <c r="S183" s="28" t="str">
        <f t="array" ref="S183">IF($I182="","",
IF(
  AND(C183="B",C182&lt;&gt;"B"),
  XLOOKUP($B183,Derived_Variables!$A:$A,Derived_Variables!$K:$K,0)
  + XLOOKUP($B183,Derived_Variables!$A:$A,Derived_Variables!$AE:$AE,0),
  S182+AM182
))</f>
        <v/>
      </c>
      <c r="T183" s="28" t="str">
        <f t="shared" ref="T183:U183" si="376">IF($I182="","",T182+AN182)</f>
        <v/>
      </c>
      <c r="U183" s="28" t="str">
        <f t="shared" si="376"/>
        <v/>
      </c>
      <c r="V183" s="28" t="str">
        <f t="array" ref="V183">IF($I182="","",
IF(
  AND(C183="D",C182&lt;&gt;"D"),
  XLOOKUP($B183,Derived_Variables!$A:$A,Derived_Variables!$N:$N,0)
  + XLOOKUP($B183,Derived_Variables!$A:$A,Derived_Variables!$AE:$AE,0),
  V182+AP182
))</f>
        <v/>
      </c>
      <c r="W183" s="28" t="str">
        <f t="shared" ref="W183:X183" si="377">IF($I182="","",W182+AQ182)</f>
        <v/>
      </c>
      <c r="X183" s="28" t="str">
        <f t="shared" si="377"/>
        <v/>
      </c>
      <c r="Y183" s="28" t="str">
        <f t="array" ref="Y183">IF($I182="","",IF(AND(C183="P",C182&lt;&gt;"P"),IFERROR(XLOOKUP($B183,Lenso_Input!$A:$A,Lenso_Input!$E:$E,0),0),Y182+AS182))</f>
        <v/>
      </c>
      <c r="Z183" s="28" t="str">
        <f t="array" ref="Z183">IF($I182="","",IF(AND(C183="Q",C182&lt;&gt;"Q"),IFERROR(XLOOKUP($B183,Lenso_Input!$A:$A,Lenso_Input!$I:$I,0),0),Z182+AT182))</f>
        <v/>
      </c>
      <c r="AA183" s="28" t="str">
        <f t="array" ref="AA183">IF($I182="","",IF(XLOOKUP($B183,Derived_Variables!$A:$A,Derived_Variables!$R:$R,"6/6_target")="6/6_target","20_20_20","40_30_25"))</f>
        <v/>
      </c>
      <c r="AB183" s="28" t="str">
        <f t="array" ref="AB183">IF($I182="","",XLOOKUP(LOWER(XLOOKUP($B183,Derived_Variables!$A:$A,Derived_Variables!$T:$T,"Standard"))&amp;"_sph_step",Calibration!$B:$B,Calibration!$C:$C,0.25))</f>
        <v/>
      </c>
      <c r="AC183" s="28" t="str">
        <f t="array" ref="AC183">IF($I182="","",XLOOKUP(LOWER(XLOOKUP($B183,Derived_Variables!$A:$A,Derived_Variables!$T:$T,"Standard"))&amp;"_cyl_step",Calibration!$B:$B,Calibration!$C:$C,0.25))</f>
        <v/>
      </c>
      <c r="AD183" s="28" t="str">
        <f t="array" ref="AD183">IF($I182="","",IF(OR(C183="E",C183="H"),LET(startStep,XLOOKUP("axis_start_step",Calibration!$B:$B,Calibration!$C:$C,5),step1,XLOOKUP("axis_reversal_step_1",Calibration!$B:$B,Calibration!$C:$C,3),step2,XLOOKUP("axis_reversal_step_2",Calibration!$B:$B,Calibration!$C:$C,1),IF(OR(C182&lt;&gt;C183,AZ183="",AZ183="SAME",AZ183="CANT_TELL",I183="",I183="SAME",I183="CANT_TELL"),startStep,IF(OR(AND(AZ183="BETTER_1",I183="BETTER_2"),AND(AZ183="BETTER_2",I183="BETTER_1")),IF(AD182&gt;step1,step1,step2),AD182))),0))</f>
        <v/>
      </c>
      <c r="AE183" s="28" t="str">
        <f t="array" ref="AE183">IF($I182="","",XLOOKUP($B183,Derived_Variables!$A:$A,Derived_Variables!$AD:$AD,"No_Fog"))</f>
        <v/>
      </c>
      <c r="AF183" s="28" t="str">
        <f t="array" ref="AF183">IF($I182="","",XLOOKUP($B183,Derived_Variables!$A:$A,Derived_Variables!$AE:$AE,0))</f>
        <v/>
      </c>
      <c r="AG183" s="28" t="str">
        <f t="array" ref="AG183">IF($I182="","",XLOOKUP($B183,Derived_Variables!$A:$A,Derived_Variables!$AF:$AF,""))</f>
        <v/>
      </c>
      <c r="AH183" s="28" t="str">
        <f t="array" ref="AH183">IF($I182="","",XLOOKUP($B183,Derived_Variables!$A:$A,Derived_Variables!$AG:$AG,""))</f>
        <v/>
      </c>
      <c r="AI183" s="28" t="str">
        <f t="array" ref="AI183">IF($I182="","",XLOOKUP($B183,Derived_Variables!$A:$A,Derived_Variables!$AC:$AC,"Medium"))</f>
        <v/>
      </c>
      <c r="AJ183" s="28" t="str">
        <f t="array" ref="AJ183">IF($I182="","",XLOOKUP($B183,Derived_Variables!$A:$A,Derived_Variables!$Y:$Y,FALSE))</f>
        <v/>
      </c>
      <c r="AK183" s="28" t="str">
        <f t="array" ref="AK183">IF($I182="","",XLOOKUP($B183,Derived_Variables!$A:$A,Derived_Variables!$AA:$AA,"Normal"))</f>
        <v/>
      </c>
      <c r="AL183" s="28" t="str">
        <f t="array" ref="AL183">IF($I182="","",XLOOKUP($B183,Derived_Variables!$A:$A,Derived_Variables!$AB:$AB,"Normal"))</f>
        <v/>
      </c>
      <c r="AM183" s="28" t="str">
        <f t="array" ref="AM183">IF($I183="","",IFS(C183="B",IF(OR(I183="NOT_READABLE",I183="BLURRY"),-AB183,0),C183="G",IFS(I183="RED_CLEARER",XLOOKUP("duochrome_red_step",Calibration!$B:$B,Calibration!$C:$C,-0.25),I183="GREEN_CLEARER",XLOOKUP("duochrome_green_step",Calibration!$B:$B,Calibration!$C:$C,0.25),I183="EQUAL",IF(XLOOKUP($B183,Derived_Variables!$A:$A,Derived_Variables!$S:$S,"Neutral")="Undercorrect",XLOOKUP("undercorrect_step",Calibration!$B:$B,Calibration!$C:$C,0.25),IF(XLOOKUP($B183,Derived_Variables!$A:$A,Derived_Variables!$S:$S,"Neutral")="Overcorrect",-XLOOKUP("overcorrect_step",Calibration!$B:$B,Calibration!$C:$C,0.25),0)),TRUE,0),C183="K",IF(I183="TOP_CLEARER",XLOOKUP("bino_balance_step",Calibration!$B:$B,Calibration!$C:$C,0.25),0),TRUE,0))</f>
        <v/>
      </c>
      <c r="AN183" s="28" t="str">
        <f t="shared" si="10"/>
        <v/>
      </c>
      <c r="AO183" s="28" t="str">
        <f t="shared" si="11"/>
        <v/>
      </c>
      <c r="AP183" s="28" t="str">
        <f t="array" ref="AP183">IF($I183="","",IFS(C183="D",IF(OR(I183="NOT_READABLE",I183="BLURRY"),-AB183,0),C183="J",IFS(I183="RED_CLEARER",XLOOKUP("duochrome_red_step",Calibration!$B:$B,Calibration!$C:$C,-0.25),I183="GREEN_CLEARER",XLOOKUP("duochrome_green_step",Calibration!$B:$B,Calibration!$C:$C,0.25),I183="EQUAL",IF(XLOOKUP($B183,Derived_Variables!$A:$A,Derived_Variables!$S:$S,"Neutral")="Undercorrect",XLOOKUP("undercorrect_step",Calibration!$B:$B,Calibration!$C:$C,0.25),IF(XLOOKUP($B183,Derived_Variables!$A:$A,Derived_Variables!$S:$S,"Neutral")="Overcorrect",-XLOOKUP("overcorrect_step",Calibration!$B:$B,Calibration!$C:$C,0.25),0)),TRUE,0),C183="K",IF(I183="BOTTOM_CLEARER",XLOOKUP("bino_balance_step",Calibration!$B:$B,Calibration!$C:$C,0.25),0),TRUE,0))</f>
        <v/>
      </c>
      <c r="AQ183" s="28" t="str">
        <f t="shared" si="12"/>
        <v/>
      </c>
      <c r="AR183" s="28" t="str">
        <f t="shared" si="13"/>
        <v/>
      </c>
      <c r="AS183" s="28" t="str">
        <f t="array" ref="AS183">IF($I183="","",IF(C183="P",IF(OR(I183="NOT_READABLE",I183="BLURRY"),XLOOKUP("near_add_step",Calibration!$B:$B,Calibration!$C:$C,0.25),0),IF(C183="R",IF(I183="NOT_CLEAR",XLOOKUP("near_add_step",Calibration!$B:$B,Calibration!$C:$C,0.25),0),0)))</f>
        <v/>
      </c>
      <c r="AT183" s="28" t="str">
        <f t="array" ref="AT183">IF($I183="","",IF(C183="Q",IF(OR(I183="NOT_READABLE",I183="BLURRY"),XLOOKUP("near_add_step",Calibration!$B:$B,Calibration!$C:$C,0.25),0),IF(C183="R",IF(I183="NOT_CLEAR",XLOOKUP("near_add_step",Calibration!$B:$B,Calibration!$C:$C,0.25),0),0)))</f>
        <v/>
      </c>
      <c r="AU183" s="28" t="str">
        <f t="array" ref="AU183">IF($I183="","",IF(G183="SNELLEN_FEET",IF(I183="READABLE",IFERROR(XLOOKUP(XLOOKUP(R183,Chart_Scale_Distance!B:B,Chart_Scale_Distance!A:A)+1,Chart_Scale_Distance!A:A,Chart_Scale_Distance!B:B),R183),R183),R183))</f>
        <v/>
      </c>
      <c r="AV183" s="28" t="str">
        <f t="array" ref="AV183">IF($I182="","",IFERROR(XLOOKUP(R183,Chart_Scale_Distance!$B:$B,Chart_Scale_Distance!$A:$A,""),""))</f>
        <v/>
      </c>
      <c r="AW183" s="28" t="str">
        <f t="array" ref="AW183">IF($I182="","",IFERROR(XLOOKUP(AA183,Chart_Scale_Distance!$B:$B,Chart_Scale_Distance!$A:$A,""),""))</f>
        <v/>
      </c>
      <c r="AX183" s="28" t="str">
        <f t="shared" si="14"/>
        <v/>
      </c>
      <c r="AY183" s="28" t="str">
        <f t="shared" si="15"/>
        <v/>
      </c>
      <c r="AZ183" s="28" t="str">
        <f t="shared" si="16"/>
        <v/>
      </c>
      <c r="BA183" s="28" t="str">
        <f t="shared" si="17"/>
        <v/>
      </c>
      <c r="BB183" s="28" t="str">
        <f t="shared" si="18"/>
        <v/>
      </c>
      <c r="BC183" s="28" t="str">
        <f t="array" ref="BC183">IF($I183="","",LET(
conf,AI183,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duoMax,XLOOKUP($B183,Derived_Variables!$A:$A,Derived_Variables!$AI:$AI,4),
axisTol,XLOOKUP($B183,Derived_Variables!$A:$A,Derived_Variables!$W:$W,1),
maxStart,XLOOKUP($B183,Derived_Variables!$A:$A,Derived_Variables!$U:$U,1.25),
maxAR,XLOOKUP($B183,Derived_Variables!$A:$A,Derived_Variables!$V:$V,3),
anom,XLOOKUP($B183,Derived_Variables!$A:$A,Derived_Variables!$Z:$Z,FALSE),
reStart,XLOOKUP($B183,Derived_Variables!$A:$A,Derived_Variables!$K:$K,0),
leStart,XLOOKUP($B183,Derived_Variables!$A:$A,Derived_Variables!$N:$N,0),
reAR,XLOOKUP($B183,AR_Input!$A:$A,AR_Input!$B:$B,reStart),
leAR,XLOOKUP($B183,AR_Input!$A:$A,AR_Input!$E:$E,leStart),
reEsc,AND(anom,OR(ABS((S183+AM183)-reStart)&gt;maxStart,ABS((S183+AM183)-reAR)&gt;maxAR)),
leEsc,AND(anom,OR(ABS((V183+AP183)-leStart)&gt;maxStart,ABS((V183+AP183)-leAR)&gt;maxAR)),
phaseMax,IFS(
 AK183="Fast",
   IFS(
     OR(C183="B",C183="D"),XLOOKUP("timeout_coarse_fast",Calibration!$B:$B,Calibration!$C:$C,24),
     OR(C183="E",C183="F",C183="H",C183="I"),XLOOKUP("timeout_jcc_fast",Calibration!$B:$B,Calibration!$C:$C,10),
     OR(C183="G",C183="J"),XLOOKUP("timeout_duochrome_fast",Calibration!$B:$B,Calibration!$C:$C,8),
     C183="K",XLOOKUP("timeout_bino_fast",Calibration!$B:$B,Calibration!$C:$C,10),
     OR(C183="P",C183="Q",C183="R"),XLOOKUP("timeout_near_fast",Calibration!$B:$B,Calibration!$C:$C,16),
     TRUE,XLOOKUP("timeout_coarse_fast",Calibration!$B:$B,Calibration!$C:$C,24)
   ),
 AK183="Normal",
   IFS(
     OR(C183="B",C183="D"),XLOOKUP("timeout_coarse_normal",Calibration!$B:$B,Calibration!$C:$C,36),
     OR(C183="E",C183="F",C183="H",C183="I"),XLOOKUP("timeout_jcc_normal",Calibration!$B:$B,Calibration!$C:$C,14),
     OR(C183="G",C183="J"),XLOOKUP("timeout_duochrome_normal",Calibration!$B:$B,Calibration!$C:$C,10),
     C183="K",XLOOKUP("timeout_bino_normal",Calibration!$B:$B,Calibration!$C:$C,14),
     OR(C183="P",C183="Q",C183="R"),XLOOKUP("timeout_near_normal",Calibration!$B:$B,Calibration!$C:$C,22),
     TRUE,XLOOKUP("timeout_coarse_normal",Calibration!$B:$B,Calibration!$C:$C,36)
   ),
 TRUE,
   IFS(
     OR(C183="B",C183="D"),XLOOKUP("timeout_coarse_slow",Calibration!$B:$B,Calibration!$C:$C,48),
     OR(C183="E",C183="F",C183="H",C183="I"),XLOOKUP("timeout_jcc_slow",Calibration!$B:$B,Calibration!$C:$C,18),
     OR(C183="G",C183="J"),XLOOKUP("timeout_duochrome_slow",Calibration!$B:$B,Calibration!$C:$C,12),
     C183="K",XLOOKUP("timeout_bino_slow",Calibration!$B:$B,Calibration!$C:$C,18),
     OR(C183="P",C183="Q",C183="R"),XLOOKUP("timeout_near_slow",Calibration!$B:$B,Calibration!$C:$C,28),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AJ183=TRUE,"ESCALATE",
C183="A",
IF(OR(I183="NOT_READABLE",I183="BLURRY",AND(R183="20_20_20",I183="READABLE")),"B","A"),
C183="B",
IF(reEsc,"ESCALATE",IF(AY183&gt;=phaseMax,"ESCALATE",IF(AND(AV183&gt;=AW183,I183="READABLE"),"E","B"))),
C183="E",
IF(AY183&gt;=phaseMax,"ESCALATE",IF(OR(I183="SAME",I183="CANT_TELL",AD183&lt;axisTol),"F","E")),
C183="F",
IF(AY183&gt;=phaseMax,"ESCALATE",IF(AX183&gt;=powerSameN,"G","F")),
C183="G",
IF(AY183&gt;=phaseMax,"ESCALATE",IF(OR(AX183&gt;=duoEqualN,BB183&gt;=duoMax),"D","G")),
C183="D",
IF(leEsc,"ESCALATE",IF(AY183&gt;=phaseMax,"ESCALATE",IF(AND(AV183&gt;=AW183,I183="READABLE"),"H","D"))),
C183="H",
IF(AY183&gt;=phaseMax,"ESCALATE",IF(OR(I183="SAME",I183="CANT_TELL",AD183&lt;axisTol),"I","H")),
C183="I",
IF(AY183&gt;=phaseMax,"ESCALATE",IF(AX183&gt;=powerSameN,"J","I")),
C183="J",
IF(AY183&gt;=phaseMax,"ESCALATE",IF(OR(AX183&gt;=duoEqualN,BB183&gt;=duoMax),"K","J")),
C183="K",
IF(AY183&gt;=phaseMax,"ESCALATE",IF(AX183&gt;=binoSameN,IF(XLOOKUP($B183,Derived_Variables!$A:$A,Derived_Variables!$AJ:$AJ,FALSE)=TRUE,"P","END"),"K")),
C183="P",
IF(AY183&gt;=phaseMax,"ESCALATE",IF(OR(I183="READABLE",I183="SAME"),"Q","P")),
C183="Q",
IF(AY183&gt;=phaseMax,"ESCALATE",IF(OR(I183="READABLE",I183="SAME"),"R","Q")),
C183="R",
IF(AY183&gt;=phaseMax,"ESCALATE",IF(OR(I183=nearTarget,I183="SAME"),"END","R")),
TRUE,"END"
)))</f>
        <v/>
      </c>
      <c r="BD183" s="28" t="b">
        <f t="shared" si="19"/>
        <v>0</v>
      </c>
    </row>
    <row r="184" ht="15.75" customHeight="1">
      <c r="A184" s="28">
        <f t="shared" si="3"/>
        <v>183</v>
      </c>
      <c r="B184" s="28">
        <f t="shared" si="4"/>
        <v>6</v>
      </c>
      <c r="C184" s="28" t="str">
        <f t="shared" si="5"/>
        <v/>
      </c>
      <c r="D184" s="28" t="str">
        <f t="array" ref="D184">IF($I183="","",XLOOKUP(C184,FSM_State_Map!A:A,FSM_State_Map!B:B,""))</f>
        <v/>
      </c>
      <c r="E184" s="28" t="str">
        <f t="array" ref="E184">IF($I183="","",XLOOKUP(C184,FSM_State_Map!A:A,FSM_State_Map!C:C,""))</f>
        <v/>
      </c>
      <c r="F184" s="28" t="str">
        <f t="array" ref="F184">IF($I183="","",XLOOKUP(E184,Phase_UI_Map!A:A,Phase_UI_Map!B:B,""))</f>
        <v/>
      </c>
      <c r="G184" s="28" t="str">
        <f t="array" ref="G184">IF($I183="","",XLOOKUP(E184,Phase_UI_Map!A:A,Phase_UI_Map!C:C,""))</f>
        <v/>
      </c>
      <c r="H184" s="28" t="str">
        <f t="array" ref="H184">IF($I183="","",XLOOKUP(E184,Phase_UI_Map!A:A,Phase_UI_Map!D:D,""))</f>
        <v/>
      </c>
      <c r="I184" s="29"/>
      <c r="J184" s="28" t="str">
        <f>IFERROR(__xludf.DUMMYFUNCTION("IF($I183="""","""",IFERROR(INDEX(FILTER(Response_Lists!$B:$B,Response_Lists!$A:$A=$H184),1),""""))"),"")</f>
        <v/>
      </c>
      <c r="K184" s="28" t="str">
        <f>IFERROR(__xludf.DUMMYFUNCTION("IF($I183="""","""",IFERROR(INDEX(FILTER(Response_Lists!$B:$B,Response_Lists!$A:$A=$H184),2),""""))"),"")</f>
        <v/>
      </c>
      <c r="L184" s="28" t="str">
        <f>IFERROR(__xludf.DUMMYFUNCTION("IF($I183="""","""",IFERROR(INDEX(FILTER(Response_Lists!$B:$B,Response_Lists!$A:$A=$H184),3),""""))"),"")</f>
        <v/>
      </c>
      <c r="M184" s="28" t="str">
        <f>IFERROR(__xludf.DUMMYFUNCTION("IF($I183="""","""",IFERROR(INDEX(FILTER(Response_Lists!$B:$B,Response_Lists!$A:$A=$H184),4),""""))"),"")</f>
        <v/>
      </c>
      <c r="N184" s="28" t="str">
        <f>IFERROR(__xludf.DUMMYFUNCTION("IF($I183="""","""",IFERROR(INDEX(FILTER(Response_Lists!$B:$B,Response_Lists!$A:$A=$H184),5),""""))"),"")</f>
        <v/>
      </c>
      <c r="O184" s="28" t="str">
        <f>IFERROR(__xludf.DUMMYFUNCTION("IF($I183="""","""",IFERROR(INDEX(FILTER(Response_Lists!$B:$B,Response_Lists!$A:$A=$H184),6),""""))"),"")</f>
        <v/>
      </c>
      <c r="P184" s="28" t="str">
        <f t="shared" si="6"/>
        <v/>
      </c>
      <c r="Q184" s="28" t="str">
        <f t="array" ref="Q184">IF($I183="","",XLOOKUP(C184,FSM_State_Map!A:A,FSM_State_Map!D:D,""))</f>
        <v/>
      </c>
      <c r="R184" s="28" t="str">
        <f t="shared" si="7"/>
        <v/>
      </c>
      <c r="S184" s="28" t="str">
        <f t="array" ref="S184">IF($I183="","",
IF(
  AND(C184="B",C183&lt;&gt;"B"),
  XLOOKUP($B184,Derived_Variables!$A:$A,Derived_Variables!$K:$K,0)
  + XLOOKUP($B184,Derived_Variables!$A:$A,Derived_Variables!$AE:$AE,0),
  S183+AM183
))</f>
        <v/>
      </c>
      <c r="T184" s="28" t="str">
        <f t="shared" ref="T184:U184" si="378">IF($I183="","",T183+AN183)</f>
        <v/>
      </c>
      <c r="U184" s="28" t="str">
        <f t="shared" si="378"/>
        <v/>
      </c>
      <c r="V184" s="28" t="str">
        <f t="array" ref="V184">IF($I183="","",
IF(
  AND(C184="D",C183&lt;&gt;"D"),
  XLOOKUP($B184,Derived_Variables!$A:$A,Derived_Variables!$N:$N,0)
  + XLOOKUP($B184,Derived_Variables!$A:$A,Derived_Variables!$AE:$AE,0),
  V183+AP183
))</f>
        <v/>
      </c>
      <c r="W184" s="28" t="str">
        <f t="shared" ref="W184:X184" si="379">IF($I183="","",W183+AQ183)</f>
        <v/>
      </c>
      <c r="X184" s="28" t="str">
        <f t="shared" si="379"/>
        <v/>
      </c>
      <c r="Y184" s="28" t="str">
        <f t="array" ref="Y184">IF($I183="","",IF(AND(C184="P",C183&lt;&gt;"P"),IFERROR(XLOOKUP($B184,Lenso_Input!$A:$A,Lenso_Input!$E:$E,0),0),Y183+AS183))</f>
        <v/>
      </c>
      <c r="Z184" s="28" t="str">
        <f t="array" ref="Z184">IF($I183="","",IF(AND(C184="Q",C183&lt;&gt;"Q"),IFERROR(XLOOKUP($B184,Lenso_Input!$A:$A,Lenso_Input!$I:$I,0),0),Z183+AT183))</f>
        <v/>
      </c>
      <c r="AA184" s="28" t="str">
        <f t="array" ref="AA184">IF($I183="","",IF(XLOOKUP($B184,Derived_Variables!$A:$A,Derived_Variables!$R:$R,"6/6_target")="6/6_target","20_20_20","40_30_25"))</f>
        <v/>
      </c>
      <c r="AB184" s="28" t="str">
        <f t="array" ref="AB184">IF($I183="","",XLOOKUP(LOWER(XLOOKUP($B184,Derived_Variables!$A:$A,Derived_Variables!$T:$T,"Standard"))&amp;"_sph_step",Calibration!$B:$B,Calibration!$C:$C,0.25))</f>
        <v/>
      </c>
      <c r="AC184" s="28" t="str">
        <f t="array" ref="AC184">IF($I183="","",XLOOKUP(LOWER(XLOOKUP($B184,Derived_Variables!$A:$A,Derived_Variables!$T:$T,"Standard"))&amp;"_cyl_step",Calibration!$B:$B,Calibration!$C:$C,0.25))</f>
        <v/>
      </c>
      <c r="AD184" s="28" t="str">
        <f t="array" ref="AD184">IF($I183="","",IF(OR(C184="E",C184="H"),LET(startStep,XLOOKUP("axis_start_step",Calibration!$B:$B,Calibration!$C:$C,5),step1,XLOOKUP("axis_reversal_step_1",Calibration!$B:$B,Calibration!$C:$C,3),step2,XLOOKUP("axis_reversal_step_2",Calibration!$B:$B,Calibration!$C:$C,1),IF(OR(C183&lt;&gt;C184,AZ184="",AZ184="SAME",AZ184="CANT_TELL",I184="",I184="SAME",I184="CANT_TELL"),startStep,IF(OR(AND(AZ184="BETTER_1",I184="BETTER_2"),AND(AZ184="BETTER_2",I184="BETTER_1")),IF(AD183&gt;step1,step1,step2),AD183))),0))</f>
        <v/>
      </c>
      <c r="AE184" s="28" t="str">
        <f t="array" ref="AE184">IF($I183="","",XLOOKUP($B184,Derived_Variables!$A:$A,Derived_Variables!$AD:$AD,"No_Fog"))</f>
        <v/>
      </c>
      <c r="AF184" s="28" t="str">
        <f t="array" ref="AF184">IF($I183="","",XLOOKUP($B184,Derived_Variables!$A:$A,Derived_Variables!$AE:$AE,0))</f>
        <v/>
      </c>
      <c r="AG184" s="28" t="str">
        <f t="array" ref="AG184">IF($I183="","",XLOOKUP($B184,Derived_Variables!$A:$A,Derived_Variables!$AF:$AF,""))</f>
        <v/>
      </c>
      <c r="AH184" s="28" t="str">
        <f t="array" ref="AH184">IF($I183="","",XLOOKUP($B184,Derived_Variables!$A:$A,Derived_Variables!$AG:$AG,""))</f>
        <v/>
      </c>
      <c r="AI184" s="28" t="str">
        <f t="array" ref="AI184">IF($I183="","",XLOOKUP($B184,Derived_Variables!$A:$A,Derived_Variables!$AC:$AC,"Medium"))</f>
        <v/>
      </c>
      <c r="AJ184" s="28" t="str">
        <f t="array" ref="AJ184">IF($I183="","",XLOOKUP($B184,Derived_Variables!$A:$A,Derived_Variables!$Y:$Y,FALSE))</f>
        <v/>
      </c>
      <c r="AK184" s="28" t="str">
        <f t="array" ref="AK184">IF($I183="","",XLOOKUP($B184,Derived_Variables!$A:$A,Derived_Variables!$AA:$AA,"Normal"))</f>
        <v/>
      </c>
      <c r="AL184" s="28" t="str">
        <f t="array" ref="AL184">IF($I183="","",XLOOKUP($B184,Derived_Variables!$A:$A,Derived_Variables!$AB:$AB,"Normal"))</f>
        <v/>
      </c>
      <c r="AM184" s="28" t="str">
        <f t="array" ref="AM184">IF($I184="","",IFS(C184="B",IF(OR(I184="NOT_READABLE",I184="BLURRY"),-AB184,0),C184="G",IFS(I184="RED_CLEARER",XLOOKUP("duochrome_red_step",Calibration!$B:$B,Calibration!$C:$C,-0.25),I184="GREEN_CLEARER",XLOOKUP("duochrome_green_step",Calibration!$B:$B,Calibration!$C:$C,0.25),I184="EQUAL",IF(XLOOKUP($B184,Derived_Variables!$A:$A,Derived_Variables!$S:$S,"Neutral")="Undercorrect",XLOOKUP("undercorrect_step",Calibration!$B:$B,Calibration!$C:$C,0.25),IF(XLOOKUP($B184,Derived_Variables!$A:$A,Derived_Variables!$S:$S,"Neutral")="Overcorrect",-XLOOKUP("overcorrect_step",Calibration!$B:$B,Calibration!$C:$C,0.25),0)),TRUE,0),C184="K",IF(I184="TOP_CLEARER",XLOOKUP("bino_balance_step",Calibration!$B:$B,Calibration!$C:$C,0.25),0),TRUE,0))</f>
        <v/>
      </c>
      <c r="AN184" s="28" t="str">
        <f t="shared" si="10"/>
        <v/>
      </c>
      <c r="AO184" s="28" t="str">
        <f t="shared" si="11"/>
        <v/>
      </c>
      <c r="AP184" s="28" t="str">
        <f t="array" ref="AP184">IF($I184="","",IFS(C184="D",IF(OR(I184="NOT_READABLE",I184="BLURRY"),-AB184,0),C184="J",IFS(I184="RED_CLEARER",XLOOKUP("duochrome_red_step",Calibration!$B:$B,Calibration!$C:$C,-0.25),I184="GREEN_CLEARER",XLOOKUP("duochrome_green_step",Calibration!$B:$B,Calibration!$C:$C,0.25),I184="EQUAL",IF(XLOOKUP($B184,Derived_Variables!$A:$A,Derived_Variables!$S:$S,"Neutral")="Undercorrect",XLOOKUP("undercorrect_step",Calibration!$B:$B,Calibration!$C:$C,0.25),IF(XLOOKUP($B184,Derived_Variables!$A:$A,Derived_Variables!$S:$S,"Neutral")="Overcorrect",-XLOOKUP("overcorrect_step",Calibration!$B:$B,Calibration!$C:$C,0.25),0)),TRUE,0),C184="K",IF(I184="BOTTOM_CLEARER",XLOOKUP("bino_balance_step",Calibration!$B:$B,Calibration!$C:$C,0.25),0),TRUE,0))</f>
        <v/>
      </c>
      <c r="AQ184" s="28" t="str">
        <f t="shared" si="12"/>
        <v/>
      </c>
      <c r="AR184" s="28" t="str">
        <f t="shared" si="13"/>
        <v/>
      </c>
      <c r="AS184" s="28" t="str">
        <f t="array" ref="AS184">IF($I184="","",IF(C184="P",IF(OR(I184="NOT_READABLE",I184="BLURRY"),XLOOKUP("near_add_step",Calibration!$B:$B,Calibration!$C:$C,0.25),0),IF(C184="R",IF(I184="NOT_CLEAR",XLOOKUP("near_add_step",Calibration!$B:$B,Calibration!$C:$C,0.25),0),0)))</f>
        <v/>
      </c>
      <c r="AT184" s="28" t="str">
        <f t="array" ref="AT184">IF($I184="","",IF(C184="Q",IF(OR(I184="NOT_READABLE",I184="BLURRY"),XLOOKUP("near_add_step",Calibration!$B:$B,Calibration!$C:$C,0.25),0),IF(C184="R",IF(I184="NOT_CLEAR",XLOOKUP("near_add_step",Calibration!$B:$B,Calibration!$C:$C,0.25),0),0)))</f>
        <v/>
      </c>
      <c r="AU184" s="28" t="str">
        <f t="array" ref="AU184">IF($I184="","",IF(G184="SNELLEN_FEET",IF(I184="READABLE",IFERROR(XLOOKUP(XLOOKUP(R184,Chart_Scale_Distance!B:B,Chart_Scale_Distance!A:A)+1,Chart_Scale_Distance!A:A,Chart_Scale_Distance!B:B),R184),R184),R184))</f>
        <v/>
      </c>
      <c r="AV184" s="28" t="str">
        <f t="array" ref="AV184">IF($I183="","",IFERROR(XLOOKUP(R184,Chart_Scale_Distance!$B:$B,Chart_Scale_Distance!$A:$A,""),""))</f>
        <v/>
      </c>
      <c r="AW184" s="28" t="str">
        <f t="array" ref="AW184">IF($I183="","",IFERROR(XLOOKUP(AA184,Chart_Scale_Distance!$B:$B,Chart_Scale_Distance!$A:$A,""),""))</f>
        <v/>
      </c>
      <c r="AX184" s="28" t="str">
        <f t="shared" si="14"/>
        <v/>
      </c>
      <c r="AY184" s="28" t="str">
        <f t="shared" si="15"/>
        <v/>
      </c>
      <c r="AZ184" s="28" t="str">
        <f t="shared" si="16"/>
        <v/>
      </c>
      <c r="BA184" s="28" t="str">
        <f t="shared" si="17"/>
        <v/>
      </c>
      <c r="BB184" s="28" t="str">
        <f t="shared" si="18"/>
        <v/>
      </c>
      <c r="BC184" s="28" t="str">
        <f t="array" ref="BC184">IF($I184="","",LET(
conf,AI184,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duoMax,XLOOKUP($B184,Derived_Variables!$A:$A,Derived_Variables!$AI:$AI,4),
axisTol,XLOOKUP($B184,Derived_Variables!$A:$A,Derived_Variables!$W:$W,1),
maxStart,XLOOKUP($B184,Derived_Variables!$A:$A,Derived_Variables!$U:$U,1.25),
maxAR,XLOOKUP($B184,Derived_Variables!$A:$A,Derived_Variables!$V:$V,3),
anom,XLOOKUP($B184,Derived_Variables!$A:$A,Derived_Variables!$Z:$Z,FALSE),
reStart,XLOOKUP($B184,Derived_Variables!$A:$A,Derived_Variables!$K:$K,0),
leStart,XLOOKUP($B184,Derived_Variables!$A:$A,Derived_Variables!$N:$N,0),
reAR,XLOOKUP($B184,AR_Input!$A:$A,AR_Input!$B:$B,reStart),
leAR,XLOOKUP($B184,AR_Input!$A:$A,AR_Input!$E:$E,leStart),
reEsc,AND(anom,OR(ABS((S184+AM184)-reStart)&gt;maxStart,ABS((S184+AM184)-reAR)&gt;maxAR)),
leEsc,AND(anom,OR(ABS((V184+AP184)-leStart)&gt;maxStart,ABS((V184+AP184)-leAR)&gt;maxAR)),
phaseMax,IFS(
 AK184="Fast",
   IFS(
     OR(C184="B",C184="D"),XLOOKUP("timeout_coarse_fast",Calibration!$B:$B,Calibration!$C:$C,24),
     OR(C184="E",C184="F",C184="H",C184="I"),XLOOKUP("timeout_jcc_fast",Calibration!$B:$B,Calibration!$C:$C,10),
     OR(C184="G",C184="J"),XLOOKUP("timeout_duochrome_fast",Calibration!$B:$B,Calibration!$C:$C,8),
     C184="K",XLOOKUP("timeout_bino_fast",Calibration!$B:$B,Calibration!$C:$C,10),
     OR(C184="P",C184="Q",C184="R"),XLOOKUP("timeout_near_fast",Calibration!$B:$B,Calibration!$C:$C,16),
     TRUE,XLOOKUP("timeout_coarse_fast",Calibration!$B:$B,Calibration!$C:$C,24)
   ),
 AK184="Normal",
   IFS(
     OR(C184="B",C184="D"),XLOOKUP("timeout_coarse_normal",Calibration!$B:$B,Calibration!$C:$C,36),
     OR(C184="E",C184="F",C184="H",C184="I"),XLOOKUP("timeout_jcc_normal",Calibration!$B:$B,Calibration!$C:$C,14),
     OR(C184="G",C184="J"),XLOOKUP("timeout_duochrome_normal",Calibration!$B:$B,Calibration!$C:$C,10),
     C184="K",XLOOKUP("timeout_bino_normal",Calibration!$B:$B,Calibration!$C:$C,14),
     OR(C184="P",C184="Q",C184="R"),XLOOKUP("timeout_near_normal",Calibration!$B:$B,Calibration!$C:$C,22),
     TRUE,XLOOKUP("timeout_coarse_normal",Calibration!$B:$B,Calibration!$C:$C,36)
   ),
 TRUE,
   IFS(
     OR(C184="B",C184="D"),XLOOKUP("timeout_coarse_slow",Calibration!$B:$B,Calibration!$C:$C,48),
     OR(C184="E",C184="F",C184="H",C184="I"),XLOOKUP("timeout_jcc_slow",Calibration!$B:$B,Calibration!$C:$C,18),
     OR(C184="G",C184="J"),XLOOKUP("timeout_duochrome_slow",Calibration!$B:$B,Calibration!$C:$C,12),
     C184="K",XLOOKUP("timeout_bino_slow",Calibration!$B:$B,Calibration!$C:$C,18),
     OR(C184="P",C184="Q",C184="R"),XLOOKUP("timeout_near_slow",Calibration!$B:$B,Calibration!$C:$C,28),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AJ184=TRUE,"ESCALATE",
C184="A",
IF(OR(I184="NOT_READABLE",I184="BLURRY",AND(R184="20_20_20",I184="READABLE")),"B","A"),
C184="B",
IF(reEsc,"ESCALATE",IF(AY184&gt;=phaseMax,"ESCALATE",IF(AND(AV184&gt;=AW184,I184="READABLE"),"E","B"))),
C184="E",
IF(AY184&gt;=phaseMax,"ESCALATE",IF(OR(I184="SAME",I184="CANT_TELL",AD184&lt;axisTol),"F","E")),
C184="F",
IF(AY184&gt;=phaseMax,"ESCALATE",IF(AX184&gt;=powerSameN,"G","F")),
C184="G",
IF(AY184&gt;=phaseMax,"ESCALATE",IF(OR(AX184&gt;=duoEqualN,BB184&gt;=duoMax),"D","G")),
C184="D",
IF(leEsc,"ESCALATE",IF(AY184&gt;=phaseMax,"ESCALATE",IF(AND(AV184&gt;=AW184,I184="READABLE"),"H","D"))),
C184="H",
IF(AY184&gt;=phaseMax,"ESCALATE",IF(OR(I184="SAME",I184="CANT_TELL",AD184&lt;axisTol),"I","H")),
C184="I",
IF(AY184&gt;=phaseMax,"ESCALATE",IF(AX184&gt;=powerSameN,"J","I")),
C184="J",
IF(AY184&gt;=phaseMax,"ESCALATE",IF(OR(AX184&gt;=duoEqualN,BB184&gt;=duoMax),"K","J")),
C184="K",
IF(AY184&gt;=phaseMax,"ESCALATE",IF(AX184&gt;=binoSameN,IF(XLOOKUP($B184,Derived_Variables!$A:$A,Derived_Variables!$AJ:$AJ,FALSE)=TRUE,"P","END"),"K")),
C184="P",
IF(AY184&gt;=phaseMax,"ESCALATE",IF(OR(I184="READABLE",I184="SAME"),"Q","P")),
C184="Q",
IF(AY184&gt;=phaseMax,"ESCALATE",IF(OR(I184="READABLE",I184="SAME"),"R","Q")),
C184="R",
IF(AY184&gt;=phaseMax,"ESCALATE",IF(OR(I184=nearTarget,I184="SAME"),"END","R")),
TRUE,"END"
)))</f>
        <v/>
      </c>
      <c r="BD184" s="28" t="b">
        <f t="shared" si="19"/>
        <v>0</v>
      </c>
    </row>
    <row r="185" ht="15.75" customHeight="1">
      <c r="A185" s="28">
        <f t="shared" si="3"/>
        <v>184</v>
      </c>
      <c r="B185" s="28">
        <f t="shared" si="4"/>
        <v>6</v>
      </c>
      <c r="C185" s="28" t="str">
        <f t="shared" si="5"/>
        <v/>
      </c>
      <c r="D185" s="28" t="str">
        <f t="array" ref="D185">IF($I184="","",XLOOKUP(C185,FSM_State_Map!A:A,FSM_State_Map!B:B,""))</f>
        <v/>
      </c>
      <c r="E185" s="28" t="str">
        <f t="array" ref="E185">IF($I184="","",XLOOKUP(C185,FSM_State_Map!A:A,FSM_State_Map!C:C,""))</f>
        <v/>
      </c>
      <c r="F185" s="28" t="str">
        <f t="array" ref="F185">IF($I184="","",XLOOKUP(E185,Phase_UI_Map!A:A,Phase_UI_Map!B:B,""))</f>
        <v/>
      </c>
      <c r="G185" s="28" t="str">
        <f t="array" ref="G185">IF($I184="","",XLOOKUP(E185,Phase_UI_Map!A:A,Phase_UI_Map!C:C,""))</f>
        <v/>
      </c>
      <c r="H185" s="28" t="str">
        <f t="array" ref="H185">IF($I184="","",XLOOKUP(E185,Phase_UI_Map!A:A,Phase_UI_Map!D:D,""))</f>
        <v/>
      </c>
      <c r="I185" s="29"/>
      <c r="J185" s="28" t="str">
        <f>IFERROR(__xludf.DUMMYFUNCTION("IF($I184="""","""",IFERROR(INDEX(FILTER(Response_Lists!$B:$B,Response_Lists!$A:$A=$H185),1),""""))"),"")</f>
        <v/>
      </c>
      <c r="K185" s="28" t="str">
        <f>IFERROR(__xludf.DUMMYFUNCTION("IF($I184="""","""",IFERROR(INDEX(FILTER(Response_Lists!$B:$B,Response_Lists!$A:$A=$H185),2),""""))"),"")</f>
        <v/>
      </c>
      <c r="L185" s="28" t="str">
        <f>IFERROR(__xludf.DUMMYFUNCTION("IF($I184="""","""",IFERROR(INDEX(FILTER(Response_Lists!$B:$B,Response_Lists!$A:$A=$H185),3),""""))"),"")</f>
        <v/>
      </c>
      <c r="M185" s="28" t="str">
        <f>IFERROR(__xludf.DUMMYFUNCTION("IF($I184="""","""",IFERROR(INDEX(FILTER(Response_Lists!$B:$B,Response_Lists!$A:$A=$H185),4),""""))"),"")</f>
        <v/>
      </c>
      <c r="N185" s="28" t="str">
        <f>IFERROR(__xludf.DUMMYFUNCTION("IF($I184="""","""",IFERROR(INDEX(FILTER(Response_Lists!$B:$B,Response_Lists!$A:$A=$H185),5),""""))"),"")</f>
        <v/>
      </c>
      <c r="O185" s="28" t="str">
        <f>IFERROR(__xludf.DUMMYFUNCTION("IF($I184="""","""",IFERROR(INDEX(FILTER(Response_Lists!$B:$B,Response_Lists!$A:$A=$H185),6),""""))"),"")</f>
        <v/>
      </c>
      <c r="P185" s="28" t="str">
        <f t="shared" si="6"/>
        <v/>
      </c>
      <c r="Q185" s="28" t="str">
        <f t="array" ref="Q185">IF($I184="","",XLOOKUP(C185,FSM_State_Map!A:A,FSM_State_Map!D:D,""))</f>
        <v/>
      </c>
      <c r="R185" s="28" t="str">
        <f t="shared" si="7"/>
        <v/>
      </c>
      <c r="S185" s="28" t="str">
        <f t="array" ref="S185">IF($I184="","",
IF(
  AND(C185="B",C184&lt;&gt;"B"),
  XLOOKUP($B185,Derived_Variables!$A:$A,Derived_Variables!$K:$K,0)
  + XLOOKUP($B185,Derived_Variables!$A:$A,Derived_Variables!$AE:$AE,0),
  S184+AM184
))</f>
        <v/>
      </c>
      <c r="T185" s="28" t="str">
        <f t="shared" ref="T185:U185" si="380">IF($I184="","",T184+AN184)</f>
        <v/>
      </c>
      <c r="U185" s="28" t="str">
        <f t="shared" si="380"/>
        <v/>
      </c>
      <c r="V185" s="28" t="str">
        <f t="array" ref="V185">IF($I184="","",
IF(
  AND(C185="D",C184&lt;&gt;"D"),
  XLOOKUP($B185,Derived_Variables!$A:$A,Derived_Variables!$N:$N,0)
  + XLOOKUP($B185,Derived_Variables!$A:$A,Derived_Variables!$AE:$AE,0),
  V184+AP184
))</f>
        <v/>
      </c>
      <c r="W185" s="28" t="str">
        <f t="shared" ref="W185:X185" si="381">IF($I184="","",W184+AQ184)</f>
        <v/>
      </c>
      <c r="X185" s="28" t="str">
        <f t="shared" si="381"/>
        <v/>
      </c>
      <c r="Y185" s="28" t="str">
        <f t="array" ref="Y185">IF($I184="","",IF(AND(C185="P",C184&lt;&gt;"P"),IFERROR(XLOOKUP($B185,Lenso_Input!$A:$A,Lenso_Input!$E:$E,0),0),Y184+AS184))</f>
        <v/>
      </c>
      <c r="Z185" s="28" t="str">
        <f t="array" ref="Z185">IF($I184="","",IF(AND(C185="Q",C184&lt;&gt;"Q"),IFERROR(XLOOKUP($B185,Lenso_Input!$A:$A,Lenso_Input!$I:$I,0),0),Z184+AT184))</f>
        <v/>
      </c>
      <c r="AA185" s="28" t="str">
        <f t="array" ref="AA185">IF($I184="","",IF(XLOOKUP($B185,Derived_Variables!$A:$A,Derived_Variables!$R:$R,"6/6_target")="6/6_target","20_20_20","40_30_25"))</f>
        <v/>
      </c>
      <c r="AB185" s="28" t="str">
        <f t="array" ref="AB185">IF($I184="","",XLOOKUP(LOWER(XLOOKUP($B185,Derived_Variables!$A:$A,Derived_Variables!$T:$T,"Standard"))&amp;"_sph_step",Calibration!$B:$B,Calibration!$C:$C,0.25))</f>
        <v/>
      </c>
      <c r="AC185" s="28" t="str">
        <f t="array" ref="AC185">IF($I184="","",XLOOKUP(LOWER(XLOOKUP($B185,Derived_Variables!$A:$A,Derived_Variables!$T:$T,"Standard"))&amp;"_cyl_step",Calibration!$B:$B,Calibration!$C:$C,0.25))</f>
        <v/>
      </c>
      <c r="AD185" s="28" t="str">
        <f t="array" ref="AD185">IF($I184="","",IF(OR(C185="E",C185="H"),LET(startStep,XLOOKUP("axis_start_step",Calibration!$B:$B,Calibration!$C:$C,5),step1,XLOOKUP("axis_reversal_step_1",Calibration!$B:$B,Calibration!$C:$C,3),step2,XLOOKUP("axis_reversal_step_2",Calibration!$B:$B,Calibration!$C:$C,1),IF(OR(C184&lt;&gt;C185,AZ185="",AZ185="SAME",AZ185="CANT_TELL",I185="",I185="SAME",I185="CANT_TELL"),startStep,IF(OR(AND(AZ185="BETTER_1",I185="BETTER_2"),AND(AZ185="BETTER_2",I185="BETTER_1")),IF(AD184&gt;step1,step1,step2),AD184))),0))</f>
        <v/>
      </c>
      <c r="AE185" s="28" t="str">
        <f t="array" ref="AE185">IF($I184="","",XLOOKUP($B185,Derived_Variables!$A:$A,Derived_Variables!$AD:$AD,"No_Fog"))</f>
        <v/>
      </c>
      <c r="AF185" s="28" t="str">
        <f t="array" ref="AF185">IF($I184="","",XLOOKUP($B185,Derived_Variables!$A:$A,Derived_Variables!$AE:$AE,0))</f>
        <v/>
      </c>
      <c r="AG185" s="28" t="str">
        <f t="array" ref="AG185">IF($I184="","",XLOOKUP($B185,Derived_Variables!$A:$A,Derived_Variables!$AF:$AF,""))</f>
        <v/>
      </c>
      <c r="AH185" s="28" t="str">
        <f t="array" ref="AH185">IF($I184="","",XLOOKUP($B185,Derived_Variables!$A:$A,Derived_Variables!$AG:$AG,""))</f>
        <v/>
      </c>
      <c r="AI185" s="28" t="str">
        <f t="array" ref="AI185">IF($I184="","",XLOOKUP($B185,Derived_Variables!$A:$A,Derived_Variables!$AC:$AC,"Medium"))</f>
        <v/>
      </c>
      <c r="AJ185" s="28" t="str">
        <f t="array" ref="AJ185">IF($I184="","",XLOOKUP($B185,Derived_Variables!$A:$A,Derived_Variables!$Y:$Y,FALSE))</f>
        <v/>
      </c>
      <c r="AK185" s="28" t="str">
        <f t="array" ref="AK185">IF($I184="","",XLOOKUP($B185,Derived_Variables!$A:$A,Derived_Variables!$AA:$AA,"Normal"))</f>
        <v/>
      </c>
      <c r="AL185" s="28" t="str">
        <f t="array" ref="AL185">IF($I184="","",XLOOKUP($B185,Derived_Variables!$A:$A,Derived_Variables!$AB:$AB,"Normal"))</f>
        <v/>
      </c>
      <c r="AM185" s="28" t="str">
        <f t="array" ref="AM185">IF($I185="","",IFS(C185="B",IF(OR(I185="NOT_READABLE",I185="BLURRY"),-AB185,0),C185="G",IFS(I185="RED_CLEARER",XLOOKUP("duochrome_red_step",Calibration!$B:$B,Calibration!$C:$C,-0.25),I185="GREEN_CLEARER",XLOOKUP("duochrome_green_step",Calibration!$B:$B,Calibration!$C:$C,0.25),I185="EQUAL",IF(XLOOKUP($B185,Derived_Variables!$A:$A,Derived_Variables!$S:$S,"Neutral")="Undercorrect",XLOOKUP("undercorrect_step",Calibration!$B:$B,Calibration!$C:$C,0.25),IF(XLOOKUP($B185,Derived_Variables!$A:$A,Derived_Variables!$S:$S,"Neutral")="Overcorrect",-XLOOKUP("overcorrect_step",Calibration!$B:$B,Calibration!$C:$C,0.25),0)),TRUE,0),C185="K",IF(I185="TOP_CLEARER",XLOOKUP("bino_balance_step",Calibration!$B:$B,Calibration!$C:$C,0.25),0),TRUE,0))</f>
        <v/>
      </c>
      <c r="AN185" s="28" t="str">
        <f t="shared" si="10"/>
        <v/>
      </c>
      <c r="AO185" s="28" t="str">
        <f t="shared" si="11"/>
        <v/>
      </c>
      <c r="AP185" s="28" t="str">
        <f t="array" ref="AP185">IF($I185="","",IFS(C185="D",IF(OR(I185="NOT_READABLE",I185="BLURRY"),-AB185,0),C185="J",IFS(I185="RED_CLEARER",XLOOKUP("duochrome_red_step",Calibration!$B:$B,Calibration!$C:$C,-0.25),I185="GREEN_CLEARER",XLOOKUP("duochrome_green_step",Calibration!$B:$B,Calibration!$C:$C,0.25),I185="EQUAL",IF(XLOOKUP($B185,Derived_Variables!$A:$A,Derived_Variables!$S:$S,"Neutral")="Undercorrect",XLOOKUP("undercorrect_step",Calibration!$B:$B,Calibration!$C:$C,0.25),IF(XLOOKUP($B185,Derived_Variables!$A:$A,Derived_Variables!$S:$S,"Neutral")="Overcorrect",-XLOOKUP("overcorrect_step",Calibration!$B:$B,Calibration!$C:$C,0.25),0)),TRUE,0),C185="K",IF(I185="BOTTOM_CLEARER",XLOOKUP("bino_balance_step",Calibration!$B:$B,Calibration!$C:$C,0.25),0),TRUE,0))</f>
        <v/>
      </c>
      <c r="AQ185" s="28" t="str">
        <f t="shared" si="12"/>
        <v/>
      </c>
      <c r="AR185" s="28" t="str">
        <f t="shared" si="13"/>
        <v/>
      </c>
      <c r="AS185" s="28" t="str">
        <f t="array" ref="AS185">IF($I185="","",IF(C185="P",IF(OR(I185="NOT_READABLE",I185="BLURRY"),XLOOKUP("near_add_step",Calibration!$B:$B,Calibration!$C:$C,0.25),0),IF(C185="R",IF(I185="NOT_CLEAR",XLOOKUP("near_add_step",Calibration!$B:$B,Calibration!$C:$C,0.25),0),0)))</f>
        <v/>
      </c>
      <c r="AT185" s="28" t="str">
        <f t="array" ref="AT185">IF($I185="","",IF(C185="Q",IF(OR(I185="NOT_READABLE",I185="BLURRY"),XLOOKUP("near_add_step",Calibration!$B:$B,Calibration!$C:$C,0.25),0),IF(C185="R",IF(I185="NOT_CLEAR",XLOOKUP("near_add_step",Calibration!$B:$B,Calibration!$C:$C,0.25),0),0)))</f>
        <v/>
      </c>
      <c r="AU185" s="28" t="str">
        <f t="array" ref="AU185">IF($I185="","",IF(G185="SNELLEN_FEET",IF(I185="READABLE",IFERROR(XLOOKUP(XLOOKUP(R185,Chart_Scale_Distance!B:B,Chart_Scale_Distance!A:A)+1,Chart_Scale_Distance!A:A,Chart_Scale_Distance!B:B),R185),R185),R185))</f>
        <v/>
      </c>
      <c r="AV185" s="28" t="str">
        <f t="array" ref="AV185">IF($I184="","",IFERROR(XLOOKUP(R185,Chart_Scale_Distance!$B:$B,Chart_Scale_Distance!$A:$A,""),""))</f>
        <v/>
      </c>
      <c r="AW185" s="28" t="str">
        <f t="array" ref="AW185">IF($I184="","",IFERROR(XLOOKUP(AA185,Chart_Scale_Distance!$B:$B,Chart_Scale_Distance!$A:$A,""),""))</f>
        <v/>
      </c>
      <c r="AX185" s="28" t="str">
        <f t="shared" si="14"/>
        <v/>
      </c>
      <c r="AY185" s="28" t="str">
        <f t="shared" si="15"/>
        <v/>
      </c>
      <c r="AZ185" s="28" t="str">
        <f t="shared" si="16"/>
        <v/>
      </c>
      <c r="BA185" s="28" t="str">
        <f t="shared" si="17"/>
        <v/>
      </c>
      <c r="BB185" s="28" t="str">
        <f t="shared" si="18"/>
        <v/>
      </c>
      <c r="BC185" s="28" t="str">
        <f t="array" ref="BC185">IF($I185="","",LET(
conf,AI185,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duoMax,XLOOKUP($B185,Derived_Variables!$A:$A,Derived_Variables!$AI:$AI,4),
axisTol,XLOOKUP($B185,Derived_Variables!$A:$A,Derived_Variables!$W:$W,1),
maxStart,XLOOKUP($B185,Derived_Variables!$A:$A,Derived_Variables!$U:$U,1.25),
maxAR,XLOOKUP($B185,Derived_Variables!$A:$A,Derived_Variables!$V:$V,3),
anom,XLOOKUP($B185,Derived_Variables!$A:$A,Derived_Variables!$Z:$Z,FALSE),
reStart,XLOOKUP($B185,Derived_Variables!$A:$A,Derived_Variables!$K:$K,0),
leStart,XLOOKUP($B185,Derived_Variables!$A:$A,Derived_Variables!$N:$N,0),
reAR,XLOOKUP($B185,AR_Input!$A:$A,AR_Input!$B:$B,reStart),
leAR,XLOOKUP($B185,AR_Input!$A:$A,AR_Input!$E:$E,leStart),
reEsc,AND(anom,OR(ABS((S185+AM185)-reStart)&gt;maxStart,ABS((S185+AM185)-reAR)&gt;maxAR)),
leEsc,AND(anom,OR(ABS((V185+AP185)-leStart)&gt;maxStart,ABS((V185+AP185)-leAR)&gt;maxAR)),
phaseMax,IFS(
 AK185="Fast",
   IFS(
     OR(C185="B",C185="D"),XLOOKUP("timeout_coarse_fast",Calibration!$B:$B,Calibration!$C:$C,24),
     OR(C185="E",C185="F",C185="H",C185="I"),XLOOKUP("timeout_jcc_fast",Calibration!$B:$B,Calibration!$C:$C,10),
     OR(C185="G",C185="J"),XLOOKUP("timeout_duochrome_fast",Calibration!$B:$B,Calibration!$C:$C,8),
     C185="K",XLOOKUP("timeout_bino_fast",Calibration!$B:$B,Calibration!$C:$C,10),
     OR(C185="P",C185="Q",C185="R"),XLOOKUP("timeout_near_fast",Calibration!$B:$B,Calibration!$C:$C,16),
     TRUE,XLOOKUP("timeout_coarse_fast",Calibration!$B:$B,Calibration!$C:$C,24)
   ),
 AK185="Normal",
   IFS(
     OR(C185="B",C185="D"),XLOOKUP("timeout_coarse_normal",Calibration!$B:$B,Calibration!$C:$C,36),
     OR(C185="E",C185="F",C185="H",C185="I"),XLOOKUP("timeout_jcc_normal",Calibration!$B:$B,Calibration!$C:$C,14),
     OR(C185="G",C185="J"),XLOOKUP("timeout_duochrome_normal",Calibration!$B:$B,Calibration!$C:$C,10),
     C185="K",XLOOKUP("timeout_bino_normal",Calibration!$B:$B,Calibration!$C:$C,14),
     OR(C185="P",C185="Q",C185="R"),XLOOKUP("timeout_near_normal",Calibration!$B:$B,Calibration!$C:$C,22),
     TRUE,XLOOKUP("timeout_coarse_normal",Calibration!$B:$B,Calibration!$C:$C,36)
   ),
 TRUE,
   IFS(
     OR(C185="B",C185="D"),XLOOKUP("timeout_coarse_slow",Calibration!$B:$B,Calibration!$C:$C,48),
     OR(C185="E",C185="F",C185="H",C185="I"),XLOOKUP("timeout_jcc_slow",Calibration!$B:$B,Calibration!$C:$C,18),
     OR(C185="G",C185="J"),XLOOKUP("timeout_duochrome_slow",Calibration!$B:$B,Calibration!$C:$C,12),
     C185="K",XLOOKUP("timeout_bino_slow",Calibration!$B:$B,Calibration!$C:$C,18),
     OR(C185="P",C185="Q",C185="R"),XLOOKUP("timeout_near_slow",Calibration!$B:$B,Calibration!$C:$C,28),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AJ185=TRUE,"ESCALATE",
C185="A",
IF(OR(I185="NOT_READABLE",I185="BLURRY",AND(R185="20_20_20",I185="READABLE")),"B","A"),
C185="B",
IF(reEsc,"ESCALATE",IF(AY185&gt;=phaseMax,"ESCALATE",IF(AND(AV185&gt;=AW185,I185="READABLE"),"E","B"))),
C185="E",
IF(AY185&gt;=phaseMax,"ESCALATE",IF(OR(I185="SAME",I185="CANT_TELL",AD185&lt;axisTol),"F","E")),
C185="F",
IF(AY185&gt;=phaseMax,"ESCALATE",IF(AX185&gt;=powerSameN,"G","F")),
C185="G",
IF(AY185&gt;=phaseMax,"ESCALATE",IF(OR(AX185&gt;=duoEqualN,BB185&gt;=duoMax),"D","G")),
C185="D",
IF(leEsc,"ESCALATE",IF(AY185&gt;=phaseMax,"ESCALATE",IF(AND(AV185&gt;=AW185,I185="READABLE"),"H","D"))),
C185="H",
IF(AY185&gt;=phaseMax,"ESCALATE",IF(OR(I185="SAME",I185="CANT_TELL",AD185&lt;axisTol),"I","H")),
C185="I",
IF(AY185&gt;=phaseMax,"ESCALATE",IF(AX185&gt;=powerSameN,"J","I")),
C185="J",
IF(AY185&gt;=phaseMax,"ESCALATE",IF(OR(AX185&gt;=duoEqualN,BB185&gt;=duoMax),"K","J")),
C185="K",
IF(AY185&gt;=phaseMax,"ESCALATE",IF(AX185&gt;=binoSameN,IF(XLOOKUP($B185,Derived_Variables!$A:$A,Derived_Variables!$AJ:$AJ,FALSE)=TRUE,"P","END"),"K")),
C185="P",
IF(AY185&gt;=phaseMax,"ESCALATE",IF(OR(I185="READABLE",I185="SAME"),"Q","P")),
C185="Q",
IF(AY185&gt;=phaseMax,"ESCALATE",IF(OR(I185="READABLE",I185="SAME"),"R","Q")),
C185="R",
IF(AY185&gt;=phaseMax,"ESCALATE",IF(OR(I185=nearTarget,I185="SAME"),"END","R")),
TRUE,"END"
)))</f>
        <v/>
      </c>
      <c r="BD185" s="28" t="b">
        <f t="shared" si="19"/>
        <v>0</v>
      </c>
    </row>
    <row r="186" ht="15.75" customHeight="1">
      <c r="A186" s="28">
        <f t="shared" si="3"/>
        <v>185</v>
      </c>
      <c r="B186" s="28">
        <f t="shared" si="4"/>
        <v>6</v>
      </c>
      <c r="C186" s="28" t="str">
        <f t="shared" si="5"/>
        <v/>
      </c>
      <c r="D186" s="28" t="str">
        <f t="array" ref="D186">IF($I185="","",XLOOKUP(C186,FSM_State_Map!A:A,FSM_State_Map!B:B,""))</f>
        <v/>
      </c>
      <c r="E186" s="28" t="str">
        <f t="array" ref="E186">IF($I185="","",XLOOKUP(C186,FSM_State_Map!A:A,FSM_State_Map!C:C,""))</f>
        <v/>
      </c>
      <c r="F186" s="28" t="str">
        <f t="array" ref="F186">IF($I185="","",XLOOKUP(E186,Phase_UI_Map!A:A,Phase_UI_Map!B:B,""))</f>
        <v/>
      </c>
      <c r="G186" s="28" t="str">
        <f t="array" ref="G186">IF($I185="","",XLOOKUP(E186,Phase_UI_Map!A:A,Phase_UI_Map!C:C,""))</f>
        <v/>
      </c>
      <c r="H186" s="28" t="str">
        <f t="array" ref="H186">IF($I185="","",XLOOKUP(E186,Phase_UI_Map!A:A,Phase_UI_Map!D:D,""))</f>
        <v/>
      </c>
      <c r="I186" s="29"/>
      <c r="J186" s="28" t="str">
        <f>IFERROR(__xludf.DUMMYFUNCTION("IF($I185="""","""",IFERROR(INDEX(FILTER(Response_Lists!$B:$B,Response_Lists!$A:$A=$H186),1),""""))"),"")</f>
        <v/>
      </c>
      <c r="K186" s="28" t="str">
        <f>IFERROR(__xludf.DUMMYFUNCTION("IF($I185="""","""",IFERROR(INDEX(FILTER(Response_Lists!$B:$B,Response_Lists!$A:$A=$H186),2),""""))"),"")</f>
        <v/>
      </c>
      <c r="L186" s="28" t="str">
        <f>IFERROR(__xludf.DUMMYFUNCTION("IF($I185="""","""",IFERROR(INDEX(FILTER(Response_Lists!$B:$B,Response_Lists!$A:$A=$H186),3),""""))"),"")</f>
        <v/>
      </c>
      <c r="M186" s="28" t="str">
        <f>IFERROR(__xludf.DUMMYFUNCTION("IF($I185="""","""",IFERROR(INDEX(FILTER(Response_Lists!$B:$B,Response_Lists!$A:$A=$H186),4),""""))"),"")</f>
        <v/>
      </c>
      <c r="N186" s="28" t="str">
        <f>IFERROR(__xludf.DUMMYFUNCTION("IF($I185="""","""",IFERROR(INDEX(FILTER(Response_Lists!$B:$B,Response_Lists!$A:$A=$H186),5),""""))"),"")</f>
        <v/>
      </c>
      <c r="O186" s="28" t="str">
        <f>IFERROR(__xludf.DUMMYFUNCTION("IF($I185="""","""",IFERROR(INDEX(FILTER(Response_Lists!$B:$B,Response_Lists!$A:$A=$H186),6),""""))"),"")</f>
        <v/>
      </c>
      <c r="P186" s="28" t="str">
        <f t="shared" si="6"/>
        <v/>
      </c>
      <c r="Q186" s="28" t="str">
        <f t="array" ref="Q186">IF($I185="","",XLOOKUP(C186,FSM_State_Map!A:A,FSM_State_Map!D:D,""))</f>
        <v/>
      </c>
      <c r="R186" s="28" t="str">
        <f t="shared" si="7"/>
        <v/>
      </c>
      <c r="S186" s="28" t="str">
        <f t="array" ref="S186">IF($I185="","",
IF(
  AND(C186="B",C185&lt;&gt;"B"),
  XLOOKUP($B186,Derived_Variables!$A:$A,Derived_Variables!$K:$K,0)
  + XLOOKUP($B186,Derived_Variables!$A:$A,Derived_Variables!$AE:$AE,0),
  S185+AM185
))</f>
        <v/>
      </c>
      <c r="T186" s="28" t="str">
        <f t="shared" ref="T186:U186" si="382">IF($I185="","",T185+AN185)</f>
        <v/>
      </c>
      <c r="U186" s="28" t="str">
        <f t="shared" si="382"/>
        <v/>
      </c>
      <c r="V186" s="28" t="str">
        <f t="array" ref="V186">IF($I185="","",
IF(
  AND(C186="D",C185&lt;&gt;"D"),
  XLOOKUP($B186,Derived_Variables!$A:$A,Derived_Variables!$N:$N,0)
  + XLOOKUP($B186,Derived_Variables!$A:$A,Derived_Variables!$AE:$AE,0),
  V185+AP185
))</f>
        <v/>
      </c>
      <c r="W186" s="28" t="str">
        <f t="shared" ref="W186:X186" si="383">IF($I185="","",W185+AQ185)</f>
        <v/>
      </c>
      <c r="X186" s="28" t="str">
        <f t="shared" si="383"/>
        <v/>
      </c>
      <c r="Y186" s="28" t="str">
        <f t="array" ref="Y186">IF($I185="","",IF(AND(C186="P",C185&lt;&gt;"P"),IFERROR(XLOOKUP($B186,Lenso_Input!$A:$A,Lenso_Input!$E:$E,0),0),Y185+AS185))</f>
        <v/>
      </c>
      <c r="Z186" s="28" t="str">
        <f t="array" ref="Z186">IF($I185="","",IF(AND(C186="Q",C185&lt;&gt;"Q"),IFERROR(XLOOKUP($B186,Lenso_Input!$A:$A,Lenso_Input!$I:$I,0),0),Z185+AT185))</f>
        <v/>
      </c>
      <c r="AA186" s="28" t="str">
        <f t="array" ref="AA186">IF($I185="","",IF(XLOOKUP($B186,Derived_Variables!$A:$A,Derived_Variables!$R:$R,"6/6_target")="6/6_target","20_20_20","40_30_25"))</f>
        <v/>
      </c>
      <c r="AB186" s="28" t="str">
        <f t="array" ref="AB186">IF($I185="","",XLOOKUP(LOWER(XLOOKUP($B186,Derived_Variables!$A:$A,Derived_Variables!$T:$T,"Standard"))&amp;"_sph_step",Calibration!$B:$B,Calibration!$C:$C,0.25))</f>
        <v/>
      </c>
      <c r="AC186" s="28" t="str">
        <f t="array" ref="AC186">IF($I185="","",XLOOKUP(LOWER(XLOOKUP($B186,Derived_Variables!$A:$A,Derived_Variables!$T:$T,"Standard"))&amp;"_cyl_step",Calibration!$B:$B,Calibration!$C:$C,0.25))</f>
        <v/>
      </c>
      <c r="AD186" s="28" t="str">
        <f t="array" ref="AD186">IF($I185="","",IF(OR(C186="E",C186="H"),LET(startStep,XLOOKUP("axis_start_step",Calibration!$B:$B,Calibration!$C:$C,5),step1,XLOOKUP("axis_reversal_step_1",Calibration!$B:$B,Calibration!$C:$C,3),step2,XLOOKUP("axis_reversal_step_2",Calibration!$B:$B,Calibration!$C:$C,1),IF(OR(C185&lt;&gt;C186,AZ186="",AZ186="SAME",AZ186="CANT_TELL",I186="",I186="SAME",I186="CANT_TELL"),startStep,IF(OR(AND(AZ186="BETTER_1",I186="BETTER_2"),AND(AZ186="BETTER_2",I186="BETTER_1")),IF(AD185&gt;step1,step1,step2),AD185))),0))</f>
        <v/>
      </c>
      <c r="AE186" s="28" t="str">
        <f t="array" ref="AE186">IF($I185="","",XLOOKUP($B186,Derived_Variables!$A:$A,Derived_Variables!$AD:$AD,"No_Fog"))</f>
        <v/>
      </c>
      <c r="AF186" s="28" t="str">
        <f t="array" ref="AF186">IF($I185="","",XLOOKUP($B186,Derived_Variables!$A:$A,Derived_Variables!$AE:$AE,0))</f>
        <v/>
      </c>
      <c r="AG186" s="28" t="str">
        <f t="array" ref="AG186">IF($I185="","",XLOOKUP($B186,Derived_Variables!$A:$A,Derived_Variables!$AF:$AF,""))</f>
        <v/>
      </c>
      <c r="AH186" s="28" t="str">
        <f t="array" ref="AH186">IF($I185="","",XLOOKUP($B186,Derived_Variables!$A:$A,Derived_Variables!$AG:$AG,""))</f>
        <v/>
      </c>
      <c r="AI186" s="28" t="str">
        <f t="array" ref="AI186">IF($I185="","",XLOOKUP($B186,Derived_Variables!$A:$A,Derived_Variables!$AC:$AC,"Medium"))</f>
        <v/>
      </c>
      <c r="AJ186" s="28" t="str">
        <f t="array" ref="AJ186">IF($I185="","",XLOOKUP($B186,Derived_Variables!$A:$A,Derived_Variables!$Y:$Y,FALSE))</f>
        <v/>
      </c>
      <c r="AK186" s="28" t="str">
        <f t="array" ref="AK186">IF($I185="","",XLOOKUP($B186,Derived_Variables!$A:$A,Derived_Variables!$AA:$AA,"Normal"))</f>
        <v/>
      </c>
      <c r="AL186" s="28" t="str">
        <f t="array" ref="AL186">IF($I185="","",XLOOKUP($B186,Derived_Variables!$A:$A,Derived_Variables!$AB:$AB,"Normal"))</f>
        <v/>
      </c>
      <c r="AM186" s="28" t="str">
        <f t="array" ref="AM186">IF($I186="","",IFS(C186="B",IF(OR(I186="NOT_READABLE",I186="BLURRY"),-AB186,0),C186="G",IFS(I186="RED_CLEARER",XLOOKUP("duochrome_red_step",Calibration!$B:$B,Calibration!$C:$C,-0.25),I186="GREEN_CLEARER",XLOOKUP("duochrome_green_step",Calibration!$B:$B,Calibration!$C:$C,0.25),I186="EQUAL",IF(XLOOKUP($B186,Derived_Variables!$A:$A,Derived_Variables!$S:$S,"Neutral")="Undercorrect",XLOOKUP("undercorrect_step",Calibration!$B:$B,Calibration!$C:$C,0.25),IF(XLOOKUP($B186,Derived_Variables!$A:$A,Derived_Variables!$S:$S,"Neutral")="Overcorrect",-XLOOKUP("overcorrect_step",Calibration!$B:$B,Calibration!$C:$C,0.25),0)),TRUE,0),C186="K",IF(I186="TOP_CLEARER",XLOOKUP("bino_balance_step",Calibration!$B:$B,Calibration!$C:$C,0.25),0),TRUE,0))</f>
        <v/>
      </c>
      <c r="AN186" s="28" t="str">
        <f t="shared" si="10"/>
        <v/>
      </c>
      <c r="AO186" s="28" t="str">
        <f t="shared" si="11"/>
        <v/>
      </c>
      <c r="AP186" s="28" t="str">
        <f t="array" ref="AP186">IF($I186="","",IFS(C186="D",IF(OR(I186="NOT_READABLE",I186="BLURRY"),-AB186,0),C186="J",IFS(I186="RED_CLEARER",XLOOKUP("duochrome_red_step",Calibration!$B:$B,Calibration!$C:$C,-0.25),I186="GREEN_CLEARER",XLOOKUP("duochrome_green_step",Calibration!$B:$B,Calibration!$C:$C,0.25),I186="EQUAL",IF(XLOOKUP($B186,Derived_Variables!$A:$A,Derived_Variables!$S:$S,"Neutral")="Undercorrect",XLOOKUP("undercorrect_step",Calibration!$B:$B,Calibration!$C:$C,0.25),IF(XLOOKUP($B186,Derived_Variables!$A:$A,Derived_Variables!$S:$S,"Neutral")="Overcorrect",-XLOOKUP("overcorrect_step",Calibration!$B:$B,Calibration!$C:$C,0.25),0)),TRUE,0),C186="K",IF(I186="BOTTOM_CLEARER",XLOOKUP("bino_balance_step",Calibration!$B:$B,Calibration!$C:$C,0.25),0),TRUE,0))</f>
        <v/>
      </c>
      <c r="AQ186" s="28" t="str">
        <f t="shared" si="12"/>
        <v/>
      </c>
      <c r="AR186" s="28" t="str">
        <f t="shared" si="13"/>
        <v/>
      </c>
      <c r="AS186" s="28" t="str">
        <f t="array" ref="AS186">IF($I186="","",IF(C186="P",IF(OR(I186="NOT_READABLE",I186="BLURRY"),XLOOKUP("near_add_step",Calibration!$B:$B,Calibration!$C:$C,0.25),0),IF(C186="R",IF(I186="NOT_CLEAR",XLOOKUP("near_add_step",Calibration!$B:$B,Calibration!$C:$C,0.25),0),0)))</f>
        <v/>
      </c>
      <c r="AT186" s="28" t="str">
        <f t="array" ref="AT186">IF($I186="","",IF(C186="Q",IF(OR(I186="NOT_READABLE",I186="BLURRY"),XLOOKUP("near_add_step",Calibration!$B:$B,Calibration!$C:$C,0.25),0),IF(C186="R",IF(I186="NOT_CLEAR",XLOOKUP("near_add_step",Calibration!$B:$B,Calibration!$C:$C,0.25),0),0)))</f>
        <v/>
      </c>
      <c r="AU186" s="28" t="str">
        <f t="array" ref="AU186">IF($I186="","",IF(G186="SNELLEN_FEET",IF(I186="READABLE",IFERROR(XLOOKUP(XLOOKUP(R186,Chart_Scale_Distance!B:B,Chart_Scale_Distance!A:A)+1,Chart_Scale_Distance!A:A,Chart_Scale_Distance!B:B),R186),R186),R186))</f>
        <v/>
      </c>
      <c r="AV186" s="28" t="str">
        <f t="array" ref="AV186">IF($I185="","",IFERROR(XLOOKUP(R186,Chart_Scale_Distance!$B:$B,Chart_Scale_Distance!$A:$A,""),""))</f>
        <v/>
      </c>
      <c r="AW186" s="28" t="str">
        <f t="array" ref="AW186">IF($I185="","",IFERROR(XLOOKUP(AA186,Chart_Scale_Distance!$B:$B,Chart_Scale_Distance!$A:$A,""),""))</f>
        <v/>
      </c>
      <c r="AX186" s="28" t="str">
        <f t="shared" si="14"/>
        <v/>
      </c>
      <c r="AY186" s="28" t="str">
        <f t="shared" si="15"/>
        <v/>
      </c>
      <c r="AZ186" s="28" t="str">
        <f t="shared" si="16"/>
        <v/>
      </c>
      <c r="BA186" s="28" t="str">
        <f t="shared" si="17"/>
        <v/>
      </c>
      <c r="BB186" s="28" t="str">
        <f t="shared" si="18"/>
        <v/>
      </c>
      <c r="BC186" s="28" t="str">
        <f t="array" ref="BC186">IF($I186="","",LET(
conf,AI186,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duoMax,XLOOKUP($B186,Derived_Variables!$A:$A,Derived_Variables!$AI:$AI,4),
axisTol,XLOOKUP($B186,Derived_Variables!$A:$A,Derived_Variables!$W:$W,1),
maxStart,XLOOKUP($B186,Derived_Variables!$A:$A,Derived_Variables!$U:$U,1.25),
maxAR,XLOOKUP($B186,Derived_Variables!$A:$A,Derived_Variables!$V:$V,3),
anom,XLOOKUP($B186,Derived_Variables!$A:$A,Derived_Variables!$Z:$Z,FALSE),
reStart,XLOOKUP($B186,Derived_Variables!$A:$A,Derived_Variables!$K:$K,0),
leStart,XLOOKUP($B186,Derived_Variables!$A:$A,Derived_Variables!$N:$N,0),
reAR,XLOOKUP($B186,AR_Input!$A:$A,AR_Input!$B:$B,reStart),
leAR,XLOOKUP($B186,AR_Input!$A:$A,AR_Input!$E:$E,leStart),
reEsc,AND(anom,OR(ABS((S186+AM186)-reStart)&gt;maxStart,ABS((S186+AM186)-reAR)&gt;maxAR)),
leEsc,AND(anom,OR(ABS((V186+AP186)-leStart)&gt;maxStart,ABS((V186+AP186)-leAR)&gt;maxAR)),
phaseMax,IFS(
 AK186="Fast",
   IFS(
     OR(C186="B",C186="D"),XLOOKUP("timeout_coarse_fast",Calibration!$B:$B,Calibration!$C:$C,24),
     OR(C186="E",C186="F",C186="H",C186="I"),XLOOKUP("timeout_jcc_fast",Calibration!$B:$B,Calibration!$C:$C,10),
     OR(C186="G",C186="J"),XLOOKUP("timeout_duochrome_fast",Calibration!$B:$B,Calibration!$C:$C,8),
     C186="K",XLOOKUP("timeout_bino_fast",Calibration!$B:$B,Calibration!$C:$C,10),
     OR(C186="P",C186="Q",C186="R"),XLOOKUP("timeout_near_fast",Calibration!$B:$B,Calibration!$C:$C,16),
     TRUE,XLOOKUP("timeout_coarse_fast",Calibration!$B:$B,Calibration!$C:$C,24)
   ),
 AK186="Normal",
   IFS(
     OR(C186="B",C186="D"),XLOOKUP("timeout_coarse_normal",Calibration!$B:$B,Calibration!$C:$C,36),
     OR(C186="E",C186="F",C186="H",C186="I"),XLOOKUP("timeout_jcc_normal",Calibration!$B:$B,Calibration!$C:$C,14),
     OR(C186="G",C186="J"),XLOOKUP("timeout_duochrome_normal",Calibration!$B:$B,Calibration!$C:$C,10),
     C186="K",XLOOKUP("timeout_bino_normal",Calibration!$B:$B,Calibration!$C:$C,14),
     OR(C186="P",C186="Q",C186="R"),XLOOKUP("timeout_near_normal",Calibration!$B:$B,Calibration!$C:$C,22),
     TRUE,XLOOKUP("timeout_coarse_normal",Calibration!$B:$B,Calibration!$C:$C,36)
   ),
 TRUE,
   IFS(
     OR(C186="B",C186="D"),XLOOKUP("timeout_coarse_slow",Calibration!$B:$B,Calibration!$C:$C,48),
     OR(C186="E",C186="F",C186="H",C186="I"),XLOOKUP("timeout_jcc_slow",Calibration!$B:$B,Calibration!$C:$C,18),
     OR(C186="G",C186="J"),XLOOKUP("timeout_duochrome_slow",Calibration!$B:$B,Calibration!$C:$C,12),
     C186="K",XLOOKUP("timeout_bino_slow",Calibration!$B:$B,Calibration!$C:$C,18),
     OR(C186="P",C186="Q",C186="R"),XLOOKUP("timeout_near_slow",Calibration!$B:$B,Calibration!$C:$C,28),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AJ186=TRUE,"ESCALATE",
C186="A",
IF(OR(I186="NOT_READABLE",I186="BLURRY",AND(R186="20_20_20",I186="READABLE")),"B","A"),
C186="B",
IF(reEsc,"ESCALATE",IF(AY186&gt;=phaseMax,"ESCALATE",IF(AND(AV186&gt;=AW186,I186="READABLE"),"E","B"))),
C186="E",
IF(AY186&gt;=phaseMax,"ESCALATE",IF(OR(I186="SAME",I186="CANT_TELL",AD186&lt;axisTol),"F","E")),
C186="F",
IF(AY186&gt;=phaseMax,"ESCALATE",IF(AX186&gt;=powerSameN,"G","F")),
C186="G",
IF(AY186&gt;=phaseMax,"ESCALATE",IF(OR(AX186&gt;=duoEqualN,BB186&gt;=duoMax),"D","G")),
C186="D",
IF(leEsc,"ESCALATE",IF(AY186&gt;=phaseMax,"ESCALATE",IF(AND(AV186&gt;=AW186,I186="READABLE"),"H","D"))),
C186="H",
IF(AY186&gt;=phaseMax,"ESCALATE",IF(OR(I186="SAME",I186="CANT_TELL",AD186&lt;axisTol),"I","H")),
C186="I",
IF(AY186&gt;=phaseMax,"ESCALATE",IF(AX186&gt;=powerSameN,"J","I")),
C186="J",
IF(AY186&gt;=phaseMax,"ESCALATE",IF(OR(AX186&gt;=duoEqualN,BB186&gt;=duoMax),"K","J")),
C186="K",
IF(AY186&gt;=phaseMax,"ESCALATE",IF(AX186&gt;=binoSameN,IF(XLOOKUP($B186,Derived_Variables!$A:$A,Derived_Variables!$AJ:$AJ,FALSE)=TRUE,"P","END"),"K")),
C186="P",
IF(AY186&gt;=phaseMax,"ESCALATE",IF(OR(I186="READABLE",I186="SAME"),"Q","P")),
C186="Q",
IF(AY186&gt;=phaseMax,"ESCALATE",IF(OR(I186="READABLE",I186="SAME"),"R","Q")),
C186="R",
IF(AY186&gt;=phaseMax,"ESCALATE",IF(OR(I186=nearTarget,I186="SAME"),"END","R")),
TRUE,"END"
)))</f>
        <v/>
      </c>
      <c r="BD186" s="28" t="b">
        <f t="shared" si="19"/>
        <v>0</v>
      </c>
    </row>
    <row r="187" ht="15.75" customHeight="1">
      <c r="A187" s="28">
        <f t="shared" si="3"/>
        <v>186</v>
      </c>
      <c r="B187" s="28">
        <f t="shared" si="4"/>
        <v>6</v>
      </c>
      <c r="C187" s="28" t="str">
        <f t="shared" si="5"/>
        <v/>
      </c>
      <c r="D187" s="28" t="str">
        <f t="array" ref="D187">IF($I186="","",XLOOKUP(C187,FSM_State_Map!A:A,FSM_State_Map!B:B,""))</f>
        <v/>
      </c>
      <c r="E187" s="28" t="str">
        <f t="array" ref="E187">IF($I186="","",XLOOKUP(C187,FSM_State_Map!A:A,FSM_State_Map!C:C,""))</f>
        <v/>
      </c>
      <c r="F187" s="28" t="str">
        <f t="array" ref="F187">IF($I186="","",XLOOKUP(E187,Phase_UI_Map!A:A,Phase_UI_Map!B:B,""))</f>
        <v/>
      </c>
      <c r="G187" s="28" t="str">
        <f t="array" ref="G187">IF($I186="","",XLOOKUP(E187,Phase_UI_Map!A:A,Phase_UI_Map!C:C,""))</f>
        <v/>
      </c>
      <c r="H187" s="28" t="str">
        <f t="array" ref="H187">IF($I186="","",XLOOKUP(E187,Phase_UI_Map!A:A,Phase_UI_Map!D:D,""))</f>
        <v/>
      </c>
      <c r="I187" s="29"/>
      <c r="J187" s="28" t="str">
        <f>IFERROR(__xludf.DUMMYFUNCTION("IF($I186="""","""",IFERROR(INDEX(FILTER(Response_Lists!$B:$B,Response_Lists!$A:$A=$H187),1),""""))"),"")</f>
        <v/>
      </c>
      <c r="K187" s="28" t="str">
        <f>IFERROR(__xludf.DUMMYFUNCTION("IF($I186="""","""",IFERROR(INDEX(FILTER(Response_Lists!$B:$B,Response_Lists!$A:$A=$H187),2),""""))"),"")</f>
        <v/>
      </c>
      <c r="L187" s="28" t="str">
        <f>IFERROR(__xludf.DUMMYFUNCTION("IF($I186="""","""",IFERROR(INDEX(FILTER(Response_Lists!$B:$B,Response_Lists!$A:$A=$H187),3),""""))"),"")</f>
        <v/>
      </c>
      <c r="M187" s="28" t="str">
        <f>IFERROR(__xludf.DUMMYFUNCTION("IF($I186="""","""",IFERROR(INDEX(FILTER(Response_Lists!$B:$B,Response_Lists!$A:$A=$H187),4),""""))"),"")</f>
        <v/>
      </c>
      <c r="N187" s="28" t="str">
        <f>IFERROR(__xludf.DUMMYFUNCTION("IF($I186="""","""",IFERROR(INDEX(FILTER(Response_Lists!$B:$B,Response_Lists!$A:$A=$H187),5),""""))"),"")</f>
        <v/>
      </c>
      <c r="O187" s="28" t="str">
        <f>IFERROR(__xludf.DUMMYFUNCTION("IF($I186="""","""",IFERROR(INDEX(FILTER(Response_Lists!$B:$B,Response_Lists!$A:$A=$H187),6),""""))"),"")</f>
        <v/>
      </c>
      <c r="P187" s="28" t="str">
        <f t="shared" si="6"/>
        <v/>
      </c>
      <c r="Q187" s="28" t="str">
        <f t="array" ref="Q187">IF($I186="","",XLOOKUP(C187,FSM_State_Map!A:A,FSM_State_Map!D:D,""))</f>
        <v/>
      </c>
      <c r="R187" s="28" t="str">
        <f t="shared" si="7"/>
        <v/>
      </c>
      <c r="S187" s="28" t="str">
        <f t="array" ref="S187">IF($I186="","",
IF(
  AND(C187="B",C186&lt;&gt;"B"),
  XLOOKUP($B187,Derived_Variables!$A:$A,Derived_Variables!$K:$K,0)
  + XLOOKUP($B187,Derived_Variables!$A:$A,Derived_Variables!$AE:$AE,0),
  S186+AM186
))</f>
        <v/>
      </c>
      <c r="T187" s="28" t="str">
        <f t="shared" ref="T187:U187" si="384">IF($I186="","",T186+AN186)</f>
        <v/>
      </c>
      <c r="U187" s="28" t="str">
        <f t="shared" si="384"/>
        <v/>
      </c>
      <c r="V187" s="28" t="str">
        <f t="array" ref="V187">IF($I186="","",
IF(
  AND(C187="D",C186&lt;&gt;"D"),
  XLOOKUP($B187,Derived_Variables!$A:$A,Derived_Variables!$N:$N,0)
  + XLOOKUP($B187,Derived_Variables!$A:$A,Derived_Variables!$AE:$AE,0),
  V186+AP186
))</f>
        <v/>
      </c>
      <c r="W187" s="28" t="str">
        <f t="shared" ref="W187:X187" si="385">IF($I186="","",W186+AQ186)</f>
        <v/>
      </c>
      <c r="X187" s="28" t="str">
        <f t="shared" si="385"/>
        <v/>
      </c>
      <c r="Y187" s="28" t="str">
        <f t="array" ref="Y187">IF($I186="","",IF(AND(C187="P",C186&lt;&gt;"P"),IFERROR(XLOOKUP($B187,Lenso_Input!$A:$A,Lenso_Input!$E:$E,0),0),Y186+AS186))</f>
        <v/>
      </c>
      <c r="Z187" s="28" t="str">
        <f t="array" ref="Z187">IF($I186="","",IF(AND(C187="Q",C186&lt;&gt;"Q"),IFERROR(XLOOKUP($B187,Lenso_Input!$A:$A,Lenso_Input!$I:$I,0),0),Z186+AT186))</f>
        <v/>
      </c>
      <c r="AA187" s="28" t="str">
        <f t="array" ref="AA187">IF($I186="","",IF(XLOOKUP($B187,Derived_Variables!$A:$A,Derived_Variables!$R:$R,"6/6_target")="6/6_target","20_20_20","40_30_25"))</f>
        <v/>
      </c>
      <c r="AB187" s="28" t="str">
        <f t="array" ref="AB187">IF($I186="","",XLOOKUP(LOWER(XLOOKUP($B187,Derived_Variables!$A:$A,Derived_Variables!$T:$T,"Standard"))&amp;"_sph_step",Calibration!$B:$B,Calibration!$C:$C,0.25))</f>
        <v/>
      </c>
      <c r="AC187" s="28" t="str">
        <f t="array" ref="AC187">IF($I186="","",XLOOKUP(LOWER(XLOOKUP($B187,Derived_Variables!$A:$A,Derived_Variables!$T:$T,"Standard"))&amp;"_cyl_step",Calibration!$B:$B,Calibration!$C:$C,0.25))</f>
        <v/>
      </c>
      <c r="AD187" s="28" t="str">
        <f t="array" ref="AD187">IF($I186="","",IF(OR(C187="E",C187="H"),LET(startStep,XLOOKUP("axis_start_step",Calibration!$B:$B,Calibration!$C:$C,5),step1,XLOOKUP("axis_reversal_step_1",Calibration!$B:$B,Calibration!$C:$C,3),step2,XLOOKUP("axis_reversal_step_2",Calibration!$B:$B,Calibration!$C:$C,1),IF(OR(C186&lt;&gt;C187,AZ187="",AZ187="SAME",AZ187="CANT_TELL",I187="",I187="SAME",I187="CANT_TELL"),startStep,IF(OR(AND(AZ187="BETTER_1",I187="BETTER_2"),AND(AZ187="BETTER_2",I187="BETTER_1")),IF(AD186&gt;step1,step1,step2),AD186))),0))</f>
        <v/>
      </c>
      <c r="AE187" s="28" t="str">
        <f t="array" ref="AE187">IF($I186="","",XLOOKUP($B187,Derived_Variables!$A:$A,Derived_Variables!$AD:$AD,"No_Fog"))</f>
        <v/>
      </c>
      <c r="AF187" s="28" t="str">
        <f t="array" ref="AF187">IF($I186="","",XLOOKUP($B187,Derived_Variables!$A:$A,Derived_Variables!$AE:$AE,0))</f>
        <v/>
      </c>
      <c r="AG187" s="28" t="str">
        <f t="array" ref="AG187">IF($I186="","",XLOOKUP($B187,Derived_Variables!$A:$A,Derived_Variables!$AF:$AF,""))</f>
        <v/>
      </c>
      <c r="AH187" s="28" t="str">
        <f t="array" ref="AH187">IF($I186="","",XLOOKUP($B187,Derived_Variables!$A:$A,Derived_Variables!$AG:$AG,""))</f>
        <v/>
      </c>
      <c r="AI187" s="28" t="str">
        <f t="array" ref="AI187">IF($I186="","",XLOOKUP($B187,Derived_Variables!$A:$A,Derived_Variables!$AC:$AC,"Medium"))</f>
        <v/>
      </c>
      <c r="AJ187" s="28" t="str">
        <f t="array" ref="AJ187">IF($I186="","",XLOOKUP($B187,Derived_Variables!$A:$A,Derived_Variables!$Y:$Y,FALSE))</f>
        <v/>
      </c>
      <c r="AK187" s="28" t="str">
        <f t="array" ref="AK187">IF($I186="","",XLOOKUP($B187,Derived_Variables!$A:$A,Derived_Variables!$AA:$AA,"Normal"))</f>
        <v/>
      </c>
      <c r="AL187" s="28" t="str">
        <f t="array" ref="AL187">IF($I186="","",XLOOKUP($B187,Derived_Variables!$A:$A,Derived_Variables!$AB:$AB,"Normal"))</f>
        <v/>
      </c>
      <c r="AM187" s="28" t="str">
        <f t="array" ref="AM187">IF($I187="","",IFS(C187="B",IF(OR(I187="NOT_READABLE",I187="BLURRY"),-AB187,0),C187="G",IFS(I187="RED_CLEARER",XLOOKUP("duochrome_red_step",Calibration!$B:$B,Calibration!$C:$C,-0.25),I187="GREEN_CLEARER",XLOOKUP("duochrome_green_step",Calibration!$B:$B,Calibration!$C:$C,0.25),I187="EQUAL",IF(XLOOKUP($B187,Derived_Variables!$A:$A,Derived_Variables!$S:$S,"Neutral")="Undercorrect",XLOOKUP("undercorrect_step",Calibration!$B:$B,Calibration!$C:$C,0.25),IF(XLOOKUP($B187,Derived_Variables!$A:$A,Derived_Variables!$S:$S,"Neutral")="Overcorrect",-XLOOKUP("overcorrect_step",Calibration!$B:$B,Calibration!$C:$C,0.25),0)),TRUE,0),C187="K",IF(I187="TOP_CLEARER",XLOOKUP("bino_balance_step",Calibration!$B:$B,Calibration!$C:$C,0.25),0),TRUE,0))</f>
        <v/>
      </c>
      <c r="AN187" s="28" t="str">
        <f t="shared" si="10"/>
        <v/>
      </c>
      <c r="AO187" s="28" t="str">
        <f t="shared" si="11"/>
        <v/>
      </c>
      <c r="AP187" s="28" t="str">
        <f t="array" ref="AP187">IF($I187="","",IFS(C187="D",IF(OR(I187="NOT_READABLE",I187="BLURRY"),-AB187,0),C187="J",IFS(I187="RED_CLEARER",XLOOKUP("duochrome_red_step",Calibration!$B:$B,Calibration!$C:$C,-0.25),I187="GREEN_CLEARER",XLOOKUP("duochrome_green_step",Calibration!$B:$B,Calibration!$C:$C,0.25),I187="EQUAL",IF(XLOOKUP($B187,Derived_Variables!$A:$A,Derived_Variables!$S:$S,"Neutral")="Undercorrect",XLOOKUP("undercorrect_step",Calibration!$B:$B,Calibration!$C:$C,0.25),IF(XLOOKUP($B187,Derived_Variables!$A:$A,Derived_Variables!$S:$S,"Neutral")="Overcorrect",-XLOOKUP("overcorrect_step",Calibration!$B:$B,Calibration!$C:$C,0.25),0)),TRUE,0),C187="K",IF(I187="BOTTOM_CLEARER",XLOOKUP("bino_balance_step",Calibration!$B:$B,Calibration!$C:$C,0.25),0),TRUE,0))</f>
        <v/>
      </c>
      <c r="AQ187" s="28" t="str">
        <f t="shared" si="12"/>
        <v/>
      </c>
      <c r="AR187" s="28" t="str">
        <f t="shared" si="13"/>
        <v/>
      </c>
      <c r="AS187" s="28" t="str">
        <f t="array" ref="AS187">IF($I187="","",IF(C187="P",IF(OR(I187="NOT_READABLE",I187="BLURRY"),XLOOKUP("near_add_step",Calibration!$B:$B,Calibration!$C:$C,0.25),0),IF(C187="R",IF(I187="NOT_CLEAR",XLOOKUP("near_add_step",Calibration!$B:$B,Calibration!$C:$C,0.25),0),0)))</f>
        <v/>
      </c>
      <c r="AT187" s="28" t="str">
        <f t="array" ref="AT187">IF($I187="","",IF(C187="Q",IF(OR(I187="NOT_READABLE",I187="BLURRY"),XLOOKUP("near_add_step",Calibration!$B:$B,Calibration!$C:$C,0.25),0),IF(C187="R",IF(I187="NOT_CLEAR",XLOOKUP("near_add_step",Calibration!$B:$B,Calibration!$C:$C,0.25),0),0)))</f>
        <v/>
      </c>
      <c r="AU187" s="28" t="str">
        <f t="array" ref="AU187">IF($I187="","",IF(G187="SNELLEN_FEET",IF(I187="READABLE",IFERROR(XLOOKUP(XLOOKUP(R187,Chart_Scale_Distance!B:B,Chart_Scale_Distance!A:A)+1,Chart_Scale_Distance!A:A,Chart_Scale_Distance!B:B),R187),R187),R187))</f>
        <v/>
      </c>
      <c r="AV187" s="28" t="str">
        <f t="array" ref="AV187">IF($I186="","",IFERROR(XLOOKUP(R187,Chart_Scale_Distance!$B:$B,Chart_Scale_Distance!$A:$A,""),""))</f>
        <v/>
      </c>
      <c r="AW187" s="28" t="str">
        <f t="array" ref="AW187">IF($I186="","",IFERROR(XLOOKUP(AA187,Chart_Scale_Distance!$B:$B,Chart_Scale_Distance!$A:$A,""),""))</f>
        <v/>
      </c>
      <c r="AX187" s="28" t="str">
        <f t="shared" si="14"/>
        <v/>
      </c>
      <c r="AY187" s="28" t="str">
        <f t="shared" si="15"/>
        <v/>
      </c>
      <c r="AZ187" s="28" t="str">
        <f t="shared" si="16"/>
        <v/>
      </c>
      <c r="BA187" s="28" t="str">
        <f t="shared" si="17"/>
        <v/>
      </c>
      <c r="BB187" s="28" t="str">
        <f t="shared" si="18"/>
        <v/>
      </c>
      <c r="BC187" s="28" t="str">
        <f t="array" ref="BC187">IF($I187="","",LET(
conf,AI187,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duoMax,XLOOKUP($B187,Derived_Variables!$A:$A,Derived_Variables!$AI:$AI,4),
axisTol,XLOOKUP($B187,Derived_Variables!$A:$A,Derived_Variables!$W:$W,1),
maxStart,XLOOKUP($B187,Derived_Variables!$A:$A,Derived_Variables!$U:$U,1.25),
maxAR,XLOOKUP($B187,Derived_Variables!$A:$A,Derived_Variables!$V:$V,3),
anom,XLOOKUP($B187,Derived_Variables!$A:$A,Derived_Variables!$Z:$Z,FALSE),
reStart,XLOOKUP($B187,Derived_Variables!$A:$A,Derived_Variables!$K:$K,0),
leStart,XLOOKUP($B187,Derived_Variables!$A:$A,Derived_Variables!$N:$N,0),
reAR,XLOOKUP($B187,AR_Input!$A:$A,AR_Input!$B:$B,reStart),
leAR,XLOOKUP($B187,AR_Input!$A:$A,AR_Input!$E:$E,leStart),
reEsc,AND(anom,OR(ABS((S187+AM187)-reStart)&gt;maxStart,ABS((S187+AM187)-reAR)&gt;maxAR)),
leEsc,AND(anom,OR(ABS((V187+AP187)-leStart)&gt;maxStart,ABS((V187+AP187)-leAR)&gt;maxAR)),
phaseMax,IFS(
 AK187="Fast",
   IFS(
     OR(C187="B",C187="D"),XLOOKUP("timeout_coarse_fast",Calibration!$B:$B,Calibration!$C:$C,24),
     OR(C187="E",C187="F",C187="H",C187="I"),XLOOKUP("timeout_jcc_fast",Calibration!$B:$B,Calibration!$C:$C,10),
     OR(C187="G",C187="J"),XLOOKUP("timeout_duochrome_fast",Calibration!$B:$B,Calibration!$C:$C,8),
     C187="K",XLOOKUP("timeout_bino_fast",Calibration!$B:$B,Calibration!$C:$C,10),
     OR(C187="P",C187="Q",C187="R"),XLOOKUP("timeout_near_fast",Calibration!$B:$B,Calibration!$C:$C,16),
     TRUE,XLOOKUP("timeout_coarse_fast",Calibration!$B:$B,Calibration!$C:$C,24)
   ),
 AK187="Normal",
   IFS(
     OR(C187="B",C187="D"),XLOOKUP("timeout_coarse_normal",Calibration!$B:$B,Calibration!$C:$C,36),
     OR(C187="E",C187="F",C187="H",C187="I"),XLOOKUP("timeout_jcc_normal",Calibration!$B:$B,Calibration!$C:$C,14),
     OR(C187="G",C187="J"),XLOOKUP("timeout_duochrome_normal",Calibration!$B:$B,Calibration!$C:$C,10),
     C187="K",XLOOKUP("timeout_bino_normal",Calibration!$B:$B,Calibration!$C:$C,14),
     OR(C187="P",C187="Q",C187="R"),XLOOKUP("timeout_near_normal",Calibration!$B:$B,Calibration!$C:$C,22),
     TRUE,XLOOKUP("timeout_coarse_normal",Calibration!$B:$B,Calibration!$C:$C,36)
   ),
 TRUE,
   IFS(
     OR(C187="B",C187="D"),XLOOKUP("timeout_coarse_slow",Calibration!$B:$B,Calibration!$C:$C,48),
     OR(C187="E",C187="F",C187="H",C187="I"),XLOOKUP("timeout_jcc_slow",Calibration!$B:$B,Calibration!$C:$C,18),
     OR(C187="G",C187="J"),XLOOKUP("timeout_duochrome_slow",Calibration!$B:$B,Calibration!$C:$C,12),
     C187="K",XLOOKUP("timeout_bino_slow",Calibration!$B:$B,Calibration!$C:$C,18),
     OR(C187="P",C187="Q",C187="R"),XLOOKUP("timeout_near_slow",Calibration!$B:$B,Calibration!$C:$C,28),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AJ187=TRUE,"ESCALATE",
C187="A",
IF(OR(I187="NOT_READABLE",I187="BLURRY",AND(R187="20_20_20",I187="READABLE")),"B","A"),
C187="B",
IF(reEsc,"ESCALATE",IF(AY187&gt;=phaseMax,"ESCALATE",IF(AND(AV187&gt;=AW187,I187="READABLE"),"E","B"))),
C187="E",
IF(AY187&gt;=phaseMax,"ESCALATE",IF(OR(I187="SAME",I187="CANT_TELL",AD187&lt;axisTol),"F","E")),
C187="F",
IF(AY187&gt;=phaseMax,"ESCALATE",IF(AX187&gt;=powerSameN,"G","F")),
C187="G",
IF(AY187&gt;=phaseMax,"ESCALATE",IF(OR(AX187&gt;=duoEqualN,BB187&gt;=duoMax),"D","G")),
C187="D",
IF(leEsc,"ESCALATE",IF(AY187&gt;=phaseMax,"ESCALATE",IF(AND(AV187&gt;=AW187,I187="READABLE"),"H","D"))),
C187="H",
IF(AY187&gt;=phaseMax,"ESCALATE",IF(OR(I187="SAME",I187="CANT_TELL",AD187&lt;axisTol),"I","H")),
C187="I",
IF(AY187&gt;=phaseMax,"ESCALATE",IF(AX187&gt;=powerSameN,"J","I")),
C187="J",
IF(AY187&gt;=phaseMax,"ESCALATE",IF(OR(AX187&gt;=duoEqualN,BB187&gt;=duoMax),"K","J")),
C187="K",
IF(AY187&gt;=phaseMax,"ESCALATE",IF(AX187&gt;=binoSameN,IF(XLOOKUP($B187,Derived_Variables!$A:$A,Derived_Variables!$AJ:$AJ,FALSE)=TRUE,"P","END"),"K")),
C187="P",
IF(AY187&gt;=phaseMax,"ESCALATE",IF(OR(I187="READABLE",I187="SAME"),"Q","P")),
C187="Q",
IF(AY187&gt;=phaseMax,"ESCALATE",IF(OR(I187="READABLE",I187="SAME"),"R","Q")),
C187="R",
IF(AY187&gt;=phaseMax,"ESCALATE",IF(OR(I187=nearTarget,I187="SAME"),"END","R")),
TRUE,"END"
)))</f>
        <v/>
      </c>
      <c r="BD187" s="28" t="b">
        <f t="shared" si="19"/>
        <v>0</v>
      </c>
    </row>
    <row r="188" ht="15.75" customHeight="1">
      <c r="A188" s="28">
        <f t="shared" si="3"/>
        <v>187</v>
      </c>
      <c r="B188" s="28">
        <f t="shared" si="4"/>
        <v>6</v>
      </c>
      <c r="C188" s="28" t="str">
        <f t="shared" si="5"/>
        <v/>
      </c>
      <c r="D188" s="28" t="str">
        <f t="array" ref="D188">IF($I187="","",XLOOKUP(C188,FSM_State_Map!A:A,FSM_State_Map!B:B,""))</f>
        <v/>
      </c>
      <c r="E188" s="28" t="str">
        <f t="array" ref="E188">IF($I187="","",XLOOKUP(C188,FSM_State_Map!A:A,FSM_State_Map!C:C,""))</f>
        <v/>
      </c>
      <c r="F188" s="28" t="str">
        <f t="array" ref="F188">IF($I187="","",XLOOKUP(E188,Phase_UI_Map!A:A,Phase_UI_Map!B:B,""))</f>
        <v/>
      </c>
      <c r="G188" s="28" t="str">
        <f t="array" ref="G188">IF($I187="","",XLOOKUP(E188,Phase_UI_Map!A:A,Phase_UI_Map!C:C,""))</f>
        <v/>
      </c>
      <c r="H188" s="28" t="str">
        <f t="array" ref="H188">IF($I187="","",XLOOKUP(E188,Phase_UI_Map!A:A,Phase_UI_Map!D:D,""))</f>
        <v/>
      </c>
      <c r="I188" s="29"/>
      <c r="J188" s="28" t="str">
        <f>IFERROR(__xludf.DUMMYFUNCTION("IF($I187="""","""",IFERROR(INDEX(FILTER(Response_Lists!$B:$B,Response_Lists!$A:$A=$H188),1),""""))"),"")</f>
        <v/>
      </c>
      <c r="K188" s="28" t="str">
        <f>IFERROR(__xludf.DUMMYFUNCTION("IF($I187="""","""",IFERROR(INDEX(FILTER(Response_Lists!$B:$B,Response_Lists!$A:$A=$H188),2),""""))"),"")</f>
        <v/>
      </c>
      <c r="L188" s="28" t="str">
        <f>IFERROR(__xludf.DUMMYFUNCTION("IF($I187="""","""",IFERROR(INDEX(FILTER(Response_Lists!$B:$B,Response_Lists!$A:$A=$H188),3),""""))"),"")</f>
        <v/>
      </c>
      <c r="M188" s="28" t="str">
        <f>IFERROR(__xludf.DUMMYFUNCTION("IF($I187="""","""",IFERROR(INDEX(FILTER(Response_Lists!$B:$B,Response_Lists!$A:$A=$H188),4),""""))"),"")</f>
        <v/>
      </c>
      <c r="N188" s="28" t="str">
        <f>IFERROR(__xludf.DUMMYFUNCTION("IF($I187="""","""",IFERROR(INDEX(FILTER(Response_Lists!$B:$B,Response_Lists!$A:$A=$H188),5),""""))"),"")</f>
        <v/>
      </c>
      <c r="O188" s="28" t="str">
        <f>IFERROR(__xludf.DUMMYFUNCTION("IF($I187="""","""",IFERROR(INDEX(FILTER(Response_Lists!$B:$B,Response_Lists!$A:$A=$H188),6),""""))"),"")</f>
        <v/>
      </c>
      <c r="P188" s="28" t="str">
        <f t="shared" si="6"/>
        <v/>
      </c>
      <c r="Q188" s="28" t="str">
        <f t="array" ref="Q188">IF($I187="","",XLOOKUP(C188,FSM_State_Map!A:A,FSM_State_Map!D:D,""))</f>
        <v/>
      </c>
      <c r="R188" s="28" t="str">
        <f t="shared" si="7"/>
        <v/>
      </c>
      <c r="S188" s="28" t="str">
        <f t="array" ref="S188">IF($I187="","",
IF(
  AND(C188="B",C187&lt;&gt;"B"),
  XLOOKUP($B188,Derived_Variables!$A:$A,Derived_Variables!$K:$K,0)
  + XLOOKUP($B188,Derived_Variables!$A:$A,Derived_Variables!$AE:$AE,0),
  S187+AM187
))</f>
        <v/>
      </c>
      <c r="T188" s="28" t="str">
        <f t="shared" ref="T188:U188" si="386">IF($I187="","",T187+AN187)</f>
        <v/>
      </c>
      <c r="U188" s="28" t="str">
        <f t="shared" si="386"/>
        <v/>
      </c>
      <c r="V188" s="28" t="str">
        <f t="array" ref="V188">IF($I187="","",
IF(
  AND(C188="D",C187&lt;&gt;"D"),
  XLOOKUP($B188,Derived_Variables!$A:$A,Derived_Variables!$N:$N,0)
  + XLOOKUP($B188,Derived_Variables!$A:$A,Derived_Variables!$AE:$AE,0),
  V187+AP187
))</f>
        <v/>
      </c>
      <c r="W188" s="28" t="str">
        <f t="shared" ref="W188:X188" si="387">IF($I187="","",W187+AQ187)</f>
        <v/>
      </c>
      <c r="X188" s="28" t="str">
        <f t="shared" si="387"/>
        <v/>
      </c>
      <c r="Y188" s="28" t="str">
        <f t="array" ref="Y188">IF($I187="","",IF(AND(C188="P",C187&lt;&gt;"P"),IFERROR(XLOOKUP($B188,Lenso_Input!$A:$A,Lenso_Input!$E:$E,0),0),Y187+AS187))</f>
        <v/>
      </c>
      <c r="Z188" s="28" t="str">
        <f t="array" ref="Z188">IF($I187="","",IF(AND(C188="Q",C187&lt;&gt;"Q"),IFERROR(XLOOKUP($B188,Lenso_Input!$A:$A,Lenso_Input!$I:$I,0),0),Z187+AT187))</f>
        <v/>
      </c>
      <c r="AA188" s="28" t="str">
        <f t="array" ref="AA188">IF($I187="","",IF(XLOOKUP($B188,Derived_Variables!$A:$A,Derived_Variables!$R:$R,"6/6_target")="6/6_target","20_20_20","40_30_25"))</f>
        <v/>
      </c>
      <c r="AB188" s="28" t="str">
        <f t="array" ref="AB188">IF($I187="","",XLOOKUP(LOWER(XLOOKUP($B188,Derived_Variables!$A:$A,Derived_Variables!$T:$T,"Standard"))&amp;"_sph_step",Calibration!$B:$B,Calibration!$C:$C,0.25))</f>
        <v/>
      </c>
      <c r="AC188" s="28" t="str">
        <f t="array" ref="AC188">IF($I187="","",XLOOKUP(LOWER(XLOOKUP($B188,Derived_Variables!$A:$A,Derived_Variables!$T:$T,"Standard"))&amp;"_cyl_step",Calibration!$B:$B,Calibration!$C:$C,0.25))</f>
        <v/>
      </c>
      <c r="AD188" s="28" t="str">
        <f t="array" ref="AD188">IF($I187="","",IF(OR(C188="E",C188="H"),LET(startStep,XLOOKUP("axis_start_step",Calibration!$B:$B,Calibration!$C:$C,5),step1,XLOOKUP("axis_reversal_step_1",Calibration!$B:$B,Calibration!$C:$C,3),step2,XLOOKUP("axis_reversal_step_2",Calibration!$B:$B,Calibration!$C:$C,1),IF(OR(C187&lt;&gt;C188,AZ188="",AZ188="SAME",AZ188="CANT_TELL",I188="",I188="SAME",I188="CANT_TELL"),startStep,IF(OR(AND(AZ188="BETTER_1",I188="BETTER_2"),AND(AZ188="BETTER_2",I188="BETTER_1")),IF(AD187&gt;step1,step1,step2),AD187))),0))</f>
        <v/>
      </c>
      <c r="AE188" s="28" t="str">
        <f t="array" ref="AE188">IF($I187="","",XLOOKUP($B188,Derived_Variables!$A:$A,Derived_Variables!$AD:$AD,"No_Fog"))</f>
        <v/>
      </c>
      <c r="AF188" s="28" t="str">
        <f t="array" ref="AF188">IF($I187="","",XLOOKUP($B188,Derived_Variables!$A:$A,Derived_Variables!$AE:$AE,0))</f>
        <v/>
      </c>
      <c r="AG188" s="28" t="str">
        <f t="array" ref="AG188">IF($I187="","",XLOOKUP($B188,Derived_Variables!$A:$A,Derived_Variables!$AF:$AF,""))</f>
        <v/>
      </c>
      <c r="AH188" s="28" t="str">
        <f t="array" ref="AH188">IF($I187="","",XLOOKUP($B188,Derived_Variables!$A:$A,Derived_Variables!$AG:$AG,""))</f>
        <v/>
      </c>
      <c r="AI188" s="28" t="str">
        <f t="array" ref="AI188">IF($I187="","",XLOOKUP($B188,Derived_Variables!$A:$A,Derived_Variables!$AC:$AC,"Medium"))</f>
        <v/>
      </c>
      <c r="AJ188" s="28" t="str">
        <f t="array" ref="AJ188">IF($I187="","",XLOOKUP($B188,Derived_Variables!$A:$A,Derived_Variables!$Y:$Y,FALSE))</f>
        <v/>
      </c>
      <c r="AK188" s="28" t="str">
        <f t="array" ref="AK188">IF($I187="","",XLOOKUP($B188,Derived_Variables!$A:$A,Derived_Variables!$AA:$AA,"Normal"))</f>
        <v/>
      </c>
      <c r="AL188" s="28" t="str">
        <f t="array" ref="AL188">IF($I187="","",XLOOKUP($B188,Derived_Variables!$A:$A,Derived_Variables!$AB:$AB,"Normal"))</f>
        <v/>
      </c>
      <c r="AM188" s="28" t="str">
        <f t="array" ref="AM188">IF($I188="","",IFS(C188="B",IF(OR(I188="NOT_READABLE",I188="BLURRY"),-AB188,0),C188="G",IFS(I188="RED_CLEARER",XLOOKUP("duochrome_red_step",Calibration!$B:$B,Calibration!$C:$C,-0.25),I188="GREEN_CLEARER",XLOOKUP("duochrome_green_step",Calibration!$B:$B,Calibration!$C:$C,0.25),I188="EQUAL",IF(XLOOKUP($B188,Derived_Variables!$A:$A,Derived_Variables!$S:$S,"Neutral")="Undercorrect",XLOOKUP("undercorrect_step",Calibration!$B:$B,Calibration!$C:$C,0.25),IF(XLOOKUP($B188,Derived_Variables!$A:$A,Derived_Variables!$S:$S,"Neutral")="Overcorrect",-XLOOKUP("overcorrect_step",Calibration!$B:$B,Calibration!$C:$C,0.25),0)),TRUE,0),C188="K",IF(I188="TOP_CLEARER",XLOOKUP("bino_balance_step",Calibration!$B:$B,Calibration!$C:$C,0.25),0),TRUE,0))</f>
        <v/>
      </c>
      <c r="AN188" s="28" t="str">
        <f t="shared" si="10"/>
        <v/>
      </c>
      <c r="AO188" s="28" t="str">
        <f t="shared" si="11"/>
        <v/>
      </c>
      <c r="AP188" s="28" t="str">
        <f t="array" ref="AP188">IF($I188="","",IFS(C188="D",IF(OR(I188="NOT_READABLE",I188="BLURRY"),-AB188,0),C188="J",IFS(I188="RED_CLEARER",XLOOKUP("duochrome_red_step",Calibration!$B:$B,Calibration!$C:$C,-0.25),I188="GREEN_CLEARER",XLOOKUP("duochrome_green_step",Calibration!$B:$B,Calibration!$C:$C,0.25),I188="EQUAL",IF(XLOOKUP($B188,Derived_Variables!$A:$A,Derived_Variables!$S:$S,"Neutral")="Undercorrect",XLOOKUP("undercorrect_step",Calibration!$B:$B,Calibration!$C:$C,0.25),IF(XLOOKUP($B188,Derived_Variables!$A:$A,Derived_Variables!$S:$S,"Neutral")="Overcorrect",-XLOOKUP("overcorrect_step",Calibration!$B:$B,Calibration!$C:$C,0.25),0)),TRUE,0),C188="K",IF(I188="BOTTOM_CLEARER",XLOOKUP("bino_balance_step",Calibration!$B:$B,Calibration!$C:$C,0.25),0),TRUE,0))</f>
        <v/>
      </c>
      <c r="AQ188" s="28" t="str">
        <f t="shared" si="12"/>
        <v/>
      </c>
      <c r="AR188" s="28" t="str">
        <f t="shared" si="13"/>
        <v/>
      </c>
      <c r="AS188" s="28" t="str">
        <f t="array" ref="AS188">IF($I188="","",IF(C188="P",IF(OR(I188="NOT_READABLE",I188="BLURRY"),XLOOKUP("near_add_step",Calibration!$B:$B,Calibration!$C:$C,0.25),0),IF(C188="R",IF(I188="NOT_CLEAR",XLOOKUP("near_add_step",Calibration!$B:$B,Calibration!$C:$C,0.25),0),0)))</f>
        <v/>
      </c>
      <c r="AT188" s="28" t="str">
        <f t="array" ref="AT188">IF($I188="","",IF(C188="Q",IF(OR(I188="NOT_READABLE",I188="BLURRY"),XLOOKUP("near_add_step",Calibration!$B:$B,Calibration!$C:$C,0.25),0),IF(C188="R",IF(I188="NOT_CLEAR",XLOOKUP("near_add_step",Calibration!$B:$B,Calibration!$C:$C,0.25),0),0)))</f>
        <v/>
      </c>
      <c r="AU188" s="28" t="str">
        <f t="array" ref="AU188">IF($I188="","",IF(G188="SNELLEN_FEET",IF(I188="READABLE",IFERROR(XLOOKUP(XLOOKUP(R188,Chart_Scale_Distance!B:B,Chart_Scale_Distance!A:A)+1,Chart_Scale_Distance!A:A,Chart_Scale_Distance!B:B),R188),R188),R188))</f>
        <v/>
      </c>
      <c r="AV188" s="28" t="str">
        <f t="array" ref="AV188">IF($I187="","",IFERROR(XLOOKUP(R188,Chart_Scale_Distance!$B:$B,Chart_Scale_Distance!$A:$A,""),""))</f>
        <v/>
      </c>
      <c r="AW188" s="28" t="str">
        <f t="array" ref="AW188">IF($I187="","",IFERROR(XLOOKUP(AA188,Chart_Scale_Distance!$B:$B,Chart_Scale_Distance!$A:$A,""),""))</f>
        <v/>
      </c>
      <c r="AX188" s="28" t="str">
        <f t="shared" si="14"/>
        <v/>
      </c>
      <c r="AY188" s="28" t="str">
        <f t="shared" si="15"/>
        <v/>
      </c>
      <c r="AZ188" s="28" t="str">
        <f t="shared" si="16"/>
        <v/>
      </c>
      <c r="BA188" s="28" t="str">
        <f t="shared" si="17"/>
        <v/>
      </c>
      <c r="BB188" s="28" t="str">
        <f t="shared" si="18"/>
        <v/>
      </c>
      <c r="BC188" s="28" t="str">
        <f t="array" ref="BC188">IF($I188="","",LET(
conf,AI188,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duoMax,XLOOKUP($B188,Derived_Variables!$A:$A,Derived_Variables!$AI:$AI,4),
axisTol,XLOOKUP($B188,Derived_Variables!$A:$A,Derived_Variables!$W:$W,1),
maxStart,XLOOKUP($B188,Derived_Variables!$A:$A,Derived_Variables!$U:$U,1.25),
maxAR,XLOOKUP($B188,Derived_Variables!$A:$A,Derived_Variables!$V:$V,3),
anom,XLOOKUP($B188,Derived_Variables!$A:$A,Derived_Variables!$Z:$Z,FALSE),
reStart,XLOOKUP($B188,Derived_Variables!$A:$A,Derived_Variables!$K:$K,0),
leStart,XLOOKUP($B188,Derived_Variables!$A:$A,Derived_Variables!$N:$N,0),
reAR,XLOOKUP($B188,AR_Input!$A:$A,AR_Input!$B:$B,reStart),
leAR,XLOOKUP($B188,AR_Input!$A:$A,AR_Input!$E:$E,leStart),
reEsc,AND(anom,OR(ABS((S188+AM188)-reStart)&gt;maxStart,ABS((S188+AM188)-reAR)&gt;maxAR)),
leEsc,AND(anom,OR(ABS((V188+AP188)-leStart)&gt;maxStart,ABS((V188+AP188)-leAR)&gt;maxAR)),
phaseMax,IFS(
 AK188="Fast",
   IFS(
     OR(C188="B",C188="D"),XLOOKUP("timeout_coarse_fast",Calibration!$B:$B,Calibration!$C:$C,24),
     OR(C188="E",C188="F",C188="H",C188="I"),XLOOKUP("timeout_jcc_fast",Calibration!$B:$B,Calibration!$C:$C,10),
     OR(C188="G",C188="J"),XLOOKUP("timeout_duochrome_fast",Calibration!$B:$B,Calibration!$C:$C,8),
     C188="K",XLOOKUP("timeout_bino_fast",Calibration!$B:$B,Calibration!$C:$C,10),
     OR(C188="P",C188="Q",C188="R"),XLOOKUP("timeout_near_fast",Calibration!$B:$B,Calibration!$C:$C,16),
     TRUE,XLOOKUP("timeout_coarse_fast",Calibration!$B:$B,Calibration!$C:$C,24)
   ),
 AK188="Normal",
   IFS(
     OR(C188="B",C188="D"),XLOOKUP("timeout_coarse_normal",Calibration!$B:$B,Calibration!$C:$C,36),
     OR(C188="E",C188="F",C188="H",C188="I"),XLOOKUP("timeout_jcc_normal",Calibration!$B:$B,Calibration!$C:$C,14),
     OR(C188="G",C188="J"),XLOOKUP("timeout_duochrome_normal",Calibration!$B:$B,Calibration!$C:$C,10),
     C188="K",XLOOKUP("timeout_bino_normal",Calibration!$B:$B,Calibration!$C:$C,14),
     OR(C188="P",C188="Q",C188="R"),XLOOKUP("timeout_near_normal",Calibration!$B:$B,Calibration!$C:$C,22),
     TRUE,XLOOKUP("timeout_coarse_normal",Calibration!$B:$B,Calibration!$C:$C,36)
   ),
 TRUE,
   IFS(
     OR(C188="B",C188="D"),XLOOKUP("timeout_coarse_slow",Calibration!$B:$B,Calibration!$C:$C,48),
     OR(C188="E",C188="F",C188="H",C188="I"),XLOOKUP("timeout_jcc_slow",Calibration!$B:$B,Calibration!$C:$C,18),
     OR(C188="G",C188="J"),XLOOKUP("timeout_duochrome_slow",Calibration!$B:$B,Calibration!$C:$C,12),
     C188="K",XLOOKUP("timeout_bino_slow",Calibration!$B:$B,Calibration!$C:$C,18),
     OR(C188="P",C188="Q",C188="R"),XLOOKUP("timeout_near_slow",Calibration!$B:$B,Calibration!$C:$C,28),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AJ188=TRUE,"ESCALATE",
C188="A",
IF(OR(I188="NOT_READABLE",I188="BLURRY",AND(R188="20_20_20",I188="READABLE")),"B","A"),
C188="B",
IF(reEsc,"ESCALATE",IF(AY188&gt;=phaseMax,"ESCALATE",IF(AND(AV188&gt;=AW188,I188="READABLE"),"E","B"))),
C188="E",
IF(AY188&gt;=phaseMax,"ESCALATE",IF(OR(I188="SAME",I188="CANT_TELL",AD188&lt;axisTol),"F","E")),
C188="F",
IF(AY188&gt;=phaseMax,"ESCALATE",IF(AX188&gt;=powerSameN,"G","F")),
C188="G",
IF(AY188&gt;=phaseMax,"ESCALATE",IF(OR(AX188&gt;=duoEqualN,BB188&gt;=duoMax),"D","G")),
C188="D",
IF(leEsc,"ESCALATE",IF(AY188&gt;=phaseMax,"ESCALATE",IF(AND(AV188&gt;=AW188,I188="READABLE"),"H","D"))),
C188="H",
IF(AY188&gt;=phaseMax,"ESCALATE",IF(OR(I188="SAME",I188="CANT_TELL",AD188&lt;axisTol),"I","H")),
C188="I",
IF(AY188&gt;=phaseMax,"ESCALATE",IF(AX188&gt;=powerSameN,"J","I")),
C188="J",
IF(AY188&gt;=phaseMax,"ESCALATE",IF(OR(AX188&gt;=duoEqualN,BB188&gt;=duoMax),"K","J")),
C188="K",
IF(AY188&gt;=phaseMax,"ESCALATE",IF(AX188&gt;=binoSameN,IF(XLOOKUP($B188,Derived_Variables!$A:$A,Derived_Variables!$AJ:$AJ,FALSE)=TRUE,"P","END"),"K")),
C188="P",
IF(AY188&gt;=phaseMax,"ESCALATE",IF(OR(I188="READABLE",I188="SAME"),"Q","P")),
C188="Q",
IF(AY188&gt;=phaseMax,"ESCALATE",IF(OR(I188="READABLE",I188="SAME"),"R","Q")),
C188="R",
IF(AY188&gt;=phaseMax,"ESCALATE",IF(OR(I188=nearTarget,I188="SAME"),"END","R")),
TRUE,"END"
)))</f>
        <v/>
      </c>
      <c r="BD188" s="28" t="b">
        <f t="shared" si="19"/>
        <v>0</v>
      </c>
    </row>
    <row r="189" ht="15.75" customHeight="1">
      <c r="A189" s="28">
        <f t="shared" si="3"/>
        <v>188</v>
      </c>
      <c r="B189" s="28">
        <f t="shared" si="4"/>
        <v>6</v>
      </c>
      <c r="C189" s="28" t="str">
        <f t="shared" si="5"/>
        <v/>
      </c>
      <c r="D189" s="28" t="str">
        <f t="array" ref="D189">IF($I188="","",XLOOKUP(C189,FSM_State_Map!A:A,FSM_State_Map!B:B,""))</f>
        <v/>
      </c>
      <c r="E189" s="28" t="str">
        <f t="array" ref="E189">IF($I188="","",XLOOKUP(C189,FSM_State_Map!A:A,FSM_State_Map!C:C,""))</f>
        <v/>
      </c>
      <c r="F189" s="28" t="str">
        <f t="array" ref="F189">IF($I188="","",XLOOKUP(E189,Phase_UI_Map!A:A,Phase_UI_Map!B:B,""))</f>
        <v/>
      </c>
      <c r="G189" s="28" t="str">
        <f t="array" ref="G189">IF($I188="","",XLOOKUP(E189,Phase_UI_Map!A:A,Phase_UI_Map!C:C,""))</f>
        <v/>
      </c>
      <c r="H189" s="28" t="str">
        <f t="array" ref="H189">IF($I188="","",XLOOKUP(E189,Phase_UI_Map!A:A,Phase_UI_Map!D:D,""))</f>
        <v/>
      </c>
      <c r="I189" s="29"/>
      <c r="J189" s="28" t="str">
        <f>IFERROR(__xludf.DUMMYFUNCTION("IF($I188="""","""",IFERROR(INDEX(FILTER(Response_Lists!$B:$B,Response_Lists!$A:$A=$H189),1),""""))"),"")</f>
        <v/>
      </c>
      <c r="K189" s="28" t="str">
        <f>IFERROR(__xludf.DUMMYFUNCTION("IF($I188="""","""",IFERROR(INDEX(FILTER(Response_Lists!$B:$B,Response_Lists!$A:$A=$H189),2),""""))"),"")</f>
        <v/>
      </c>
      <c r="L189" s="28" t="str">
        <f>IFERROR(__xludf.DUMMYFUNCTION("IF($I188="""","""",IFERROR(INDEX(FILTER(Response_Lists!$B:$B,Response_Lists!$A:$A=$H189),3),""""))"),"")</f>
        <v/>
      </c>
      <c r="M189" s="28" t="str">
        <f>IFERROR(__xludf.DUMMYFUNCTION("IF($I188="""","""",IFERROR(INDEX(FILTER(Response_Lists!$B:$B,Response_Lists!$A:$A=$H189),4),""""))"),"")</f>
        <v/>
      </c>
      <c r="N189" s="28" t="str">
        <f>IFERROR(__xludf.DUMMYFUNCTION("IF($I188="""","""",IFERROR(INDEX(FILTER(Response_Lists!$B:$B,Response_Lists!$A:$A=$H189),5),""""))"),"")</f>
        <v/>
      </c>
      <c r="O189" s="28" t="str">
        <f>IFERROR(__xludf.DUMMYFUNCTION("IF($I188="""","""",IFERROR(INDEX(FILTER(Response_Lists!$B:$B,Response_Lists!$A:$A=$H189),6),""""))"),"")</f>
        <v/>
      </c>
      <c r="P189" s="28" t="str">
        <f t="shared" si="6"/>
        <v/>
      </c>
      <c r="Q189" s="28" t="str">
        <f t="array" ref="Q189">IF($I188="","",XLOOKUP(C189,FSM_State_Map!A:A,FSM_State_Map!D:D,""))</f>
        <v/>
      </c>
      <c r="R189" s="28" t="str">
        <f t="shared" si="7"/>
        <v/>
      </c>
      <c r="S189" s="28" t="str">
        <f t="array" ref="S189">IF($I188="","",
IF(
  AND(C189="B",C188&lt;&gt;"B"),
  XLOOKUP($B189,Derived_Variables!$A:$A,Derived_Variables!$K:$K,0)
  + XLOOKUP($B189,Derived_Variables!$A:$A,Derived_Variables!$AE:$AE,0),
  S188+AM188
))</f>
        <v/>
      </c>
      <c r="T189" s="28" t="str">
        <f t="shared" ref="T189:U189" si="388">IF($I188="","",T188+AN188)</f>
        <v/>
      </c>
      <c r="U189" s="28" t="str">
        <f t="shared" si="388"/>
        <v/>
      </c>
      <c r="V189" s="28" t="str">
        <f t="array" ref="V189">IF($I188="","",
IF(
  AND(C189="D",C188&lt;&gt;"D"),
  XLOOKUP($B189,Derived_Variables!$A:$A,Derived_Variables!$N:$N,0)
  + XLOOKUP($B189,Derived_Variables!$A:$A,Derived_Variables!$AE:$AE,0),
  V188+AP188
))</f>
        <v/>
      </c>
      <c r="W189" s="28" t="str">
        <f t="shared" ref="W189:X189" si="389">IF($I188="","",W188+AQ188)</f>
        <v/>
      </c>
      <c r="X189" s="28" t="str">
        <f t="shared" si="389"/>
        <v/>
      </c>
      <c r="Y189" s="28" t="str">
        <f t="array" ref="Y189">IF($I188="","",IF(AND(C189="P",C188&lt;&gt;"P"),IFERROR(XLOOKUP($B189,Lenso_Input!$A:$A,Lenso_Input!$E:$E,0),0),Y188+AS188))</f>
        <v/>
      </c>
      <c r="Z189" s="28" t="str">
        <f t="array" ref="Z189">IF($I188="","",IF(AND(C189="Q",C188&lt;&gt;"Q"),IFERROR(XLOOKUP($B189,Lenso_Input!$A:$A,Lenso_Input!$I:$I,0),0),Z188+AT188))</f>
        <v/>
      </c>
      <c r="AA189" s="28" t="str">
        <f t="array" ref="AA189">IF($I188="","",IF(XLOOKUP($B189,Derived_Variables!$A:$A,Derived_Variables!$R:$R,"6/6_target")="6/6_target","20_20_20","40_30_25"))</f>
        <v/>
      </c>
      <c r="AB189" s="28" t="str">
        <f t="array" ref="AB189">IF($I188="","",XLOOKUP(LOWER(XLOOKUP($B189,Derived_Variables!$A:$A,Derived_Variables!$T:$T,"Standard"))&amp;"_sph_step",Calibration!$B:$B,Calibration!$C:$C,0.25))</f>
        <v/>
      </c>
      <c r="AC189" s="28" t="str">
        <f t="array" ref="AC189">IF($I188="","",XLOOKUP(LOWER(XLOOKUP($B189,Derived_Variables!$A:$A,Derived_Variables!$T:$T,"Standard"))&amp;"_cyl_step",Calibration!$B:$B,Calibration!$C:$C,0.25))</f>
        <v/>
      </c>
      <c r="AD189" s="28" t="str">
        <f t="array" ref="AD189">IF($I188="","",IF(OR(C189="E",C189="H"),LET(startStep,XLOOKUP("axis_start_step",Calibration!$B:$B,Calibration!$C:$C,5),step1,XLOOKUP("axis_reversal_step_1",Calibration!$B:$B,Calibration!$C:$C,3),step2,XLOOKUP("axis_reversal_step_2",Calibration!$B:$B,Calibration!$C:$C,1),IF(OR(C188&lt;&gt;C189,AZ189="",AZ189="SAME",AZ189="CANT_TELL",I189="",I189="SAME",I189="CANT_TELL"),startStep,IF(OR(AND(AZ189="BETTER_1",I189="BETTER_2"),AND(AZ189="BETTER_2",I189="BETTER_1")),IF(AD188&gt;step1,step1,step2),AD188))),0))</f>
        <v/>
      </c>
      <c r="AE189" s="28" t="str">
        <f t="array" ref="AE189">IF($I188="","",XLOOKUP($B189,Derived_Variables!$A:$A,Derived_Variables!$AD:$AD,"No_Fog"))</f>
        <v/>
      </c>
      <c r="AF189" s="28" t="str">
        <f t="array" ref="AF189">IF($I188="","",XLOOKUP($B189,Derived_Variables!$A:$A,Derived_Variables!$AE:$AE,0))</f>
        <v/>
      </c>
      <c r="AG189" s="28" t="str">
        <f t="array" ref="AG189">IF($I188="","",XLOOKUP($B189,Derived_Variables!$A:$A,Derived_Variables!$AF:$AF,""))</f>
        <v/>
      </c>
      <c r="AH189" s="28" t="str">
        <f t="array" ref="AH189">IF($I188="","",XLOOKUP($B189,Derived_Variables!$A:$A,Derived_Variables!$AG:$AG,""))</f>
        <v/>
      </c>
      <c r="AI189" s="28" t="str">
        <f t="array" ref="AI189">IF($I188="","",XLOOKUP($B189,Derived_Variables!$A:$A,Derived_Variables!$AC:$AC,"Medium"))</f>
        <v/>
      </c>
      <c r="AJ189" s="28" t="str">
        <f t="array" ref="AJ189">IF($I188="","",XLOOKUP($B189,Derived_Variables!$A:$A,Derived_Variables!$Y:$Y,FALSE))</f>
        <v/>
      </c>
      <c r="AK189" s="28" t="str">
        <f t="array" ref="AK189">IF($I188="","",XLOOKUP($B189,Derived_Variables!$A:$A,Derived_Variables!$AA:$AA,"Normal"))</f>
        <v/>
      </c>
      <c r="AL189" s="28" t="str">
        <f t="array" ref="AL189">IF($I188="","",XLOOKUP($B189,Derived_Variables!$A:$A,Derived_Variables!$AB:$AB,"Normal"))</f>
        <v/>
      </c>
      <c r="AM189" s="28" t="str">
        <f t="array" ref="AM189">IF($I189="","",IFS(C189="B",IF(OR(I189="NOT_READABLE",I189="BLURRY"),-AB189,0),C189="G",IFS(I189="RED_CLEARER",XLOOKUP("duochrome_red_step",Calibration!$B:$B,Calibration!$C:$C,-0.25),I189="GREEN_CLEARER",XLOOKUP("duochrome_green_step",Calibration!$B:$B,Calibration!$C:$C,0.25),I189="EQUAL",IF(XLOOKUP($B189,Derived_Variables!$A:$A,Derived_Variables!$S:$S,"Neutral")="Undercorrect",XLOOKUP("undercorrect_step",Calibration!$B:$B,Calibration!$C:$C,0.25),IF(XLOOKUP($B189,Derived_Variables!$A:$A,Derived_Variables!$S:$S,"Neutral")="Overcorrect",-XLOOKUP("overcorrect_step",Calibration!$B:$B,Calibration!$C:$C,0.25),0)),TRUE,0),C189="K",IF(I189="TOP_CLEARER",XLOOKUP("bino_balance_step",Calibration!$B:$B,Calibration!$C:$C,0.25),0),TRUE,0))</f>
        <v/>
      </c>
      <c r="AN189" s="28" t="str">
        <f t="shared" si="10"/>
        <v/>
      </c>
      <c r="AO189" s="28" t="str">
        <f t="shared" si="11"/>
        <v/>
      </c>
      <c r="AP189" s="28" t="str">
        <f t="array" ref="AP189">IF($I189="","",IFS(C189="D",IF(OR(I189="NOT_READABLE",I189="BLURRY"),-AB189,0),C189="J",IFS(I189="RED_CLEARER",XLOOKUP("duochrome_red_step",Calibration!$B:$B,Calibration!$C:$C,-0.25),I189="GREEN_CLEARER",XLOOKUP("duochrome_green_step",Calibration!$B:$B,Calibration!$C:$C,0.25),I189="EQUAL",IF(XLOOKUP($B189,Derived_Variables!$A:$A,Derived_Variables!$S:$S,"Neutral")="Undercorrect",XLOOKUP("undercorrect_step",Calibration!$B:$B,Calibration!$C:$C,0.25),IF(XLOOKUP($B189,Derived_Variables!$A:$A,Derived_Variables!$S:$S,"Neutral")="Overcorrect",-XLOOKUP("overcorrect_step",Calibration!$B:$B,Calibration!$C:$C,0.25),0)),TRUE,0),C189="K",IF(I189="BOTTOM_CLEARER",XLOOKUP("bino_balance_step",Calibration!$B:$B,Calibration!$C:$C,0.25),0),TRUE,0))</f>
        <v/>
      </c>
      <c r="AQ189" s="28" t="str">
        <f t="shared" si="12"/>
        <v/>
      </c>
      <c r="AR189" s="28" t="str">
        <f t="shared" si="13"/>
        <v/>
      </c>
      <c r="AS189" s="28" t="str">
        <f t="array" ref="AS189">IF($I189="","",IF(C189="P",IF(OR(I189="NOT_READABLE",I189="BLURRY"),XLOOKUP("near_add_step",Calibration!$B:$B,Calibration!$C:$C,0.25),0),IF(C189="R",IF(I189="NOT_CLEAR",XLOOKUP("near_add_step",Calibration!$B:$B,Calibration!$C:$C,0.25),0),0)))</f>
        <v/>
      </c>
      <c r="AT189" s="28" t="str">
        <f t="array" ref="AT189">IF($I189="","",IF(C189="Q",IF(OR(I189="NOT_READABLE",I189="BLURRY"),XLOOKUP("near_add_step",Calibration!$B:$B,Calibration!$C:$C,0.25),0),IF(C189="R",IF(I189="NOT_CLEAR",XLOOKUP("near_add_step",Calibration!$B:$B,Calibration!$C:$C,0.25),0),0)))</f>
        <v/>
      </c>
      <c r="AU189" s="28" t="str">
        <f t="array" ref="AU189">IF($I189="","",IF(G189="SNELLEN_FEET",IF(I189="READABLE",IFERROR(XLOOKUP(XLOOKUP(R189,Chart_Scale_Distance!B:B,Chart_Scale_Distance!A:A)+1,Chart_Scale_Distance!A:A,Chart_Scale_Distance!B:B),R189),R189),R189))</f>
        <v/>
      </c>
      <c r="AV189" s="28" t="str">
        <f t="array" ref="AV189">IF($I188="","",IFERROR(XLOOKUP(R189,Chart_Scale_Distance!$B:$B,Chart_Scale_Distance!$A:$A,""),""))</f>
        <v/>
      </c>
      <c r="AW189" s="28" t="str">
        <f t="array" ref="AW189">IF($I188="","",IFERROR(XLOOKUP(AA189,Chart_Scale_Distance!$B:$B,Chart_Scale_Distance!$A:$A,""),""))</f>
        <v/>
      </c>
      <c r="AX189" s="28" t="str">
        <f t="shared" si="14"/>
        <v/>
      </c>
      <c r="AY189" s="28" t="str">
        <f t="shared" si="15"/>
        <v/>
      </c>
      <c r="AZ189" s="28" t="str">
        <f t="shared" si="16"/>
        <v/>
      </c>
      <c r="BA189" s="28" t="str">
        <f t="shared" si="17"/>
        <v/>
      </c>
      <c r="BB189" s="28" t="str">
        <f t="shared" si="18"/>
        <v/>
      </c>
      <c r="BC189" s="28" t="str">
        <f t="array" ref="BC189">IF($I189="","",LET(
conf,AI189,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duoMax,XLOOKUP($B189,Derived_Variables!$A:$A,Derived_Variables!$AI:$AI,4),
axisTol,XLOOKUP($B189,Derived_Variables!$A:$A,Derived_Variables!$W:$W,1),
maxStart,XLOOKUP($B189,Derived_Variables!$A:$A,Derived_Variables!$U:$U,1.25),
maxAR,XLOOKUP($B189,Derived_Variables!$A:$A,Derived_Variables!$V:$V,3),
anom,XLOOKUP($B189,Derived_Variables!$A:$A,Derived_Variables!$Z:$Z,FALSE),
reStart,XLOOKUP($B189,Derived_Variables!$A:$A,Derived_Variables!$K:$K,0),
leStart,XLOOKUP($B189,Derived_Variables!$A:$A,Derived_Variables!$N:$N,0),
reAR,XLOOKUP($B189,AR_Input!$A:$A,AR_Input!$B:$B,reStart),
leAR,XLOOKUP($B189,AR_Input!$A:$A,AR_Input!$E:$E,leStart),
reEsc,AND(anom,OR(ABS((S189+AM189)-reStart)&gt;maxStart,ABS((S189+AM189)-reAR)&gt;maxAR)),
leEsc,AND(anom,OR(ABS((V189+AP189)-leStart)&gt;maxStart,ABS((V189+AP189)-leAR)&gt;maxAR)),
phaseMax,IFS(
 AK189="Fast",
   IFS(
     OR(C189="B",C189="D"),XLOOKUP("timeout_coarse_fast",Calibration!$B:$B,Calibration!$C:$C,24),
     OR(C189="E",C189="F",C189="H",C189="I"),XLOOKUP("timeout_jcc_fast",Calibration!$B:$B,Calibration!$C:$C,10),
     OR(C189="G",C189="J"),XLOOKUP("timeout_duochrome_fast",Calibration!$B:$B,Calibration!$C:$C,8),
     C189="K",XLOOKUP("timeout_bino_fast",Calibration!$B:$B,Calibration!$C:$C,10),
     OR(C189="P",C189="Q",C189="R"),XLOOKUP("timeout_near_fast",Calibration!$B:$B,Calibration!$C:$C,16),
     TRUE,XLOOKUP("timeout_coarse_fast",Calibration!$B:$B,Calibration!$C:$C,24)
   ),
 AK189="Normal",
   IFS(
     OR(C189="B",C189="D"),XLOOKUP("timeout_coarse_normal",Calibration!$B:$B,Calibration!$C:$C,36),
     OR(C189="E",C189="F",C189="H",C189="I"),XLOOKUP("timeout_jcc_normal",Calibration!$B:$B,Calibration!$C:$C,14),
     OR(C189="G",C189="J"),XLOOKUP("timeout_duochrome_normal",Calibration!$B:$B,Calibration!$C:$C,10),
     C189="K",XLOOKUP("timeout_bino_normal",Calibration!$B:$B,Calibration!$C:$C,14),
     OR(C189="P",C189="Q",C189="R"),XLOOKUP("timeout_near_normal",Calibration!$B:$B,Calibration!$C:$C,22),
     TRUE,XLOOKUP("timeout_coarse_normal",Calibration!$B:$B,Calibration!$C:$C,36)
   ),
 TRUE,
   IFS(
     OR(C189="B",C189="D"),XLOOKUP("timeout_coarse_slow",Calibration!$B:$B,Calibration!$C:$C,48),
     OR(C189="E",C189="F",C189="H",C189="I"),XLOOKUP("timeout_jcc_slow",Calibration!$B:$B,Calibration!$C:$C,18),
     OR(C189="G",C189="J"),XLOOKUP("timeout_duochrome_slow",Calibration!$B:$B,Calibration!$C:$C,12),
     C189="K",XLOOKUP("timeout_bino_slow",Calibration!$B:$B,Calibration!$C:$C,18),
     OR(C189="P",C189="Q",C189="R"),XLOOKUP("timeout_near_slow",Calibration!$B:$B,Calibration!$C:$C,28),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AJ189=TRUE,"ESCALATE",
C189="A",
IF(OR(I189="NOT_READABLE",I189="BLURRY",AND(R189="20_20_20",I189="READABLE")),"B","A"),
C189="B",
IF(reEsc,"ESCALATE",IF(AY189&gt;=phaseMax,"ESCALATE",IF(AND(AV189&gt;=AW189,I189="READABLE"),"E","B"))),
C189="E",
IF(AY189&gt;=phaseMax,"ESCALATE",IF(OR(I189="SAME",I189="CANT_TELL",AD189&lt;axisTol),"F","E")),
C189="F",
IF(AY189&gt;=phaseMax,"ESCALATE",IF(AX189&gt;=powerSameN,"G","F")),
C189="G",
IF(AY189&gt;=phaseMax,"ESCALATE",IF(OR(AX189&gt;=duoEqualN,BB189&gt;=duoMax),"D","G")),
C189="D",
IF(leEsc,"ESCALATE",IF(AY189&gt;=phaseMax,"ESCALATE",IF(AND(AV189&gt;=AW189,I189="READABLE"),"H","D"))),
C189="H",
IF(AY189&gt;=phaseMax,"ESCALATE",IF(OR(I189="SAME",I189="CANT_TELL",AD189&lt;axisTol),"I","H")),
C189="I",
IF(AY189&gt;=phaseMax,"ESCALATE",IF(AX189&gt;=powerSameN,"J","I")),
C189="J",
IF(AY189&gt;=phaseMax,"ESCALATE",IF(OR(AX189&gt;=duoEqualN,BB189&gt;=duoMax),"K","J")),
C189="K",
IF(AY189&gt;=phaseMax,"ESCALATE",IF(AX189&gt;=binoSameN,IF(XLOOKUP($B189,Derived_Variables!$A:$A,Derived_Variables!$AJ:$AJ,FALSE)=TRUE,"P","END"),"K")),
C189="P",
IF(AY189&gt;=phaseMax,"ESCALATE",IF(OR(I189="READABLE",I189="SAME"),"Q","P")),
C189="Q",
IF(AY189&gt;=phaseMax,"ESCALATE",IF(OR(I189="READABLE",I189="SAME"),"R","Q")),
C189="R",
IF(AY189&gt;=phaseMax,"ESCALATE",IF(OR(I189=nearTarget,I189="SAME"),"END","R")),
TRUE,"END"
)))</f>
        <v/>
      </c>
      <c r="BD189" s="28" t="b">
        <f t="shared" si="19"/>
        <v>0</v>
      </c>
    </row>
    <row r="190" ht="15.75" customHeight="1">
      <c r="A190" s="28">
        <f t="shared" si="3"/>
        <v>189</v>
      </c>
      <c r="B190" s="28">
        <f t="shared" si="4"/>
        <v>6</v>
      </c>
      <c r="C190" s="28" t="str">
        <f t="shared" si="5"/>
        <v/>
      </c>
      <c r="D190" s="28" t="str">
        <f t="array" ref="D190">IF($I189="","",XLOOKUP(C190,FSM_State_Map!A:A,FSM_State_Map!B:B,""))</f>
        <v/>
      </c>
      <c r="E190" s="28" t="str">
        <f t="array" ref="E190">IF($I189="","",XLOOKUP(C190,FSM_State_Map!A:A,FSM_State_Map!C:C,""))</f>
        <v/>
      </c>
      <c r="F190" s="28" t="str">
        <f t="array" ref="F190">IF($I189="","",XLOOKUP(E190,Phase_UI_Map!A:A,Phase_UI_Map!B:B,""))</f>
        <v/>
      </c>
      <c r="G190" s="28" t="str">
        <f t="array" ref="G190">IF($I189="","",XLOOKUP(E190,Phase_UI_Map!A:A,Phase_UI_Map!C:C,""))</f>
        <v/>
      </c>
      <c r="H190" s="28" t="str">
        <f t="array" ref="H190">IF($I189="","",XLOOKUP(E190,Phase_UI_Map!A:A,Phase_UI_Map!D:D,""))</f>
        <v/>
      </c>
      <c r="I190" s="29"/>
      <c r="J190" s="28" t="str">
        <f>IFERROR(__xludf.DUMMYFUNCTION("IF($I189="""","""",IFERROR(INDEX(FILTER(Response_Lists!$B:$B,Response_Lists!$A:$A=$H190),1),""""))"),"")</f>
        <v/>
      </c>
      <c r="K190" s="28" t="str">
        <f>IFERROR(__xludf.DUMMYFUNCTION("IF($I189="""","""",IFERROR(INDEX(FILTER(Response_Lists!$B:$B,Response_Lists!$A:$A=$H190),2),""""))"),"")</f>
        <v/>
      </c>
      <c r="L190" s="28" t="str">
        <f>IFERROR(__xludf.DUMMYFUNCTION("IF($I189="""","""",IFERROR(INDEX(FILTER(Response_Lists!$B:$B,Response_Lists!$A:$A=$H190),3),""""))"),"")</f>
        <v/>
      </c>
      <c r="M190" s="28" t="str">
        <f>IFERROR(__xludf.DUMMYFUNCTION("IF($I189="""","""",IFERROR(INDEX(FILTER(Response_Lists!$B:$B,Response_Lists!$A:$A=$H190),4),""""))"),"")</f>
        <v/>
      </c>
      <c r="N190" s="28" t="str">
        <f>IFERROR(__xludf.DUMMYFUNCTION("IF($I189="""","""",IFERROR(INDEX(FILTER(Response_Lists!$B:$B,Response_Lists!$A:$A=$H190),5),""""))"),"")</f>
        <v/>
      </c>
      <c r="O190" s="28" t="str">
        <f>IFERROR(__xludf.DUMMYFUNCTION("IF($I189="""","""",IFERROR(INDEX(FILTER(Response_Lists!$B:$B,Response_Lists!$A:$A=$H190),6),""""))"),"")</f>
        <v/>
      </c>
      <c r="P190" s="28" t="str">
        <f t="shared" si="6"/>
        <v/>
      </c>
      <c r="Q190" s="28" t="str">
        <f t="array" ref="Q190">IF($I189="","",XLOOKUP(C190,FSM_State_Map!A:A,FSM_State_Map!D:D,""))</f>
        <v/>
      </c>
      <c r="R190" s="28" t="str">
        <f t="shared" si="7"/>
        <v/>
      </c>
      <c r="S190" s="28" t="str">
        <f t="array" ref="S190">IF($I189="","",
IF(
  AND(C190="B",C189&lt;&gt;"B"),
  XLOOKUP($B190,Derived_Variables!$A:$A,Derived_Variables!$K:$K,0)
  + XLOOKUP($B190,Derived_Variables!$A:$A,Derived_Variables!$AE:$AE,0),
  S189+AM189
))</f>
        <v/>
      </c>
      <c r="T190" s="28" t="str">
        <f t="shared" ref="T190:U190" si="390">IF($I189="","",T189+AN189)</f>
        <v/>
      </c>
      <c r="U190" s="28" t="str">
        <f t="shared" si="390"/>
        <v/>
      </c>
      <c r="V190" s="28" t="str">
        <f t="array" ref="V190">IF($I189="","",
IF(
  AND(C190="D",C189&lt;&gt;"D"),
  XLOOKUP($B190,Derived_Variables!$A:$A,Derived_Variables!$N:$N,0)
  + XLOOKUP($B190,Derived_Variables!$A:$A,Derived_Variables!$AE:$AE,0),
  V189+AP189
))</f>
        <v/>
      </c>
      <c r="W190" s="28" t="str">
        <f t="shared" ref="W190:X190" si="391">IF($I189="","",W189+AQ189)</f>
        <v/>
      </c>
      <c r="X190" s="28" t="str">
        <f t="shared" si="391"/>
        <v/>
      </c>
      <c r="Y190" s="28" t="str">
        <f t="array" ref="Y190">IF($I189="","",IF(AND(C190="P",C189&lt;&gt;"P"),IFERROR(XLOOKUP($B190,Lenso_Input!$A:$A,Lenso_Input!$E:$E,0),0),Y189+AS189))</f>
        <v/>
      </c>
      <c r="Z190" s="28" t="str">
        <f t="array" ref="Z190">IF($I189="","",IF(AND(C190="Q",C189&lt;&gt;"Q"),IFERROR(XLOOKUP($B190,Lenso_Input!$A:$A,Lenso_Input!$I:$I,0),0),Z189+AT189))</f>
        <v/>
      </c>
      <c r="AA190" s="28" t="str">
        <f t="array" ref="AA190">IF($I189="","",IF(XLOOKUP($B190,Derived_Variables!$A:$A,Derived_Variables!$R:$R,"6/6_target")="6/6_target","20_20_20","40_30_25"))</f>
        <v/>
      </c>
      <c r="AB190" s="28" t="str">
        <f t="array" ref="AB190">IF($I189="","",XLOOKUP(LOWER(XLOOKUP($B190,Derived_Variables!$A:$A,Derived_Variables!$T:$T,"Standard"))&amp;"_sph_step",Calibration!$B:$B,Calibration!$C:$C,0.25))</f>
        <v/>
      </c>
      <c r="AC190" s="28" t="str">
        <f t="array" ref="AC190">IF($I189="","",XLOOKUP(LOWER(XLOOKUP($B190,Derived_Variables!$A:$A,Derived_Variables!$T:$T,"Standard"))&amp;"_cyl_step",Calibration!$B:$B,Calibration!$C:$C,0.25))</f>
        <v/>
      </c>
      <c r="AD190" s="28" t="str">
        <f t="array" ref="AD190">IF($I189="","",IF(OR(C190="E",C190="H"),LET(startStep,XLOOKUP("axis_start_step",Calibration!$B:$B,Calibration!$C:$C,5),step1,XLOOKUP("axis_reversal_step_1",Calibration!$B:$B,Calibration!$C:$C,3),step2,XLOOKUP("axis_reversal_step_2",Calibration!$B:$B,Calibration!$C:$C,1),IF(OR(C189&lt;&gt;C190,AZ190="",AZ190="SAME",AZ190="CANT_TELL",I190="",I190="SAME",I190="CANT_TELL"),startStep,IF(OR(AND(AZ190="BETTER_1",I190="BETTER_2"),AND(AZ190="BETTER_2",I190="BETTER_1")),IF(AD189&gt;step1,step1,step2),AD189))),0))</f>
        <v/>
      </c>
      <c r="AE190" s="28" t="str">
        <f t="array" ref="AE190">IF($I189="","",XLOOKUP($B190,Derived_Variables!$A:$A,Derived_Variables!$AD:$AD,"No_Fog"))</f>
        <v/>
      </c>
      <c r="AF190" s="28" t="str">
        <f t="array" ref="AF190">IF($I189="","",XLOOKUP($B190,Derived_Variables!$A:$A,Derived_Variables!$AE:$AE,0))</f>
        <v/>
      </c>
      <c r="AG190" s="28" t="str">
        <f t="array" ref="AG190">IF($I189="","",XLOOKUP($B190,Derived_Variables!$A:$A,Derived_Variables!$AF:$AF,""))</f>
        <v/>
      </c>
      <c r="AH190" s="28" t="str">
        <f t="array" ref="AH190">IF($I189="","",XLOOKUP($B190,Derived_Variables!$A:$A,Derived_Variables!$AG:$AG,""))</f>
        <v/>
      </c>
      <c r="AI190" s="28" t="str">
        <f t="array" ref="AI190">IF($I189="","",XLOOKUP($B190,Derived_Variables!$A:$A,Derived_Variables!$AC:$AC,"Medium"))</f>
        <v/>
      </c>
      <c r="AJ190" s="28" t="str">
        <f t="array" ref="AJ190">IF($I189="","",XLOOKUP($B190,Derived_Variables!$A:$A,Derived_Variables!$Y:$Y,FALSE))</f>
        <v/>
      </c>
      <c r="AK190" s="28" t="str">
        <f t="array" ref="AK190">IF($I189="","",XLOOKUP($B190,Derived_Variables!$A:$A,Derived_Variables!$AA:$AA,"Normal"))</f>
        <v/>
      </c>
      <c r="AL190" s="28" t="str">
        <f t="array" ref="AL190">IF($I189="","",XLOOKUP($B190,Derived_Variables!$A:$A,Derived_Variables!$AB:$AB,"Normal"))</f>
        <v/>
      </c>
      <c r="AM190" s="28" t="str">
        <f t="array" ref="AM190">IF($I190="","",IFS(C190="B",IF(OR(I190="NOT_READABLE",I190="BLURRY"),-AB190,0),C190="G",IFS(I190="RED_CLEARER",XLOOKUP("duochrome_red_step",Calibration!$B:$B,Calibration!$C:$C,-0.25),I190="GREEN_CLEARER",XLOOKUP("duochrome_green_step",Calibration!$B:$B,Calibration!$C:$C,0.25),I190="EQUAL",IF(XLOOKUP($B190,Derived_Variables!$A:$A,Derived_Variables!$S:$S,"Neutral")="Undercorrect",XLOOKUP("undercorrect_step",Calibration!$B:$B,Calibration!$C:$C,0.25),IF(XLOOKUP($B190,Derived_Variables!$A:$A,Derived_Variables!$S:$S,"Neutral")="Overcorrect",-XLOOKUP("overcorrect_step",Calibration!$B:$B,Calibration!$C:$C,0.25),0)),TRUE,0),C190="K",IF(I190="TOP_CLEARER",XLOOKUP("bino_balance_step",Calibration!$B:$B,Calibration!$C:$C,0.25),0),TRUE,0))</f>
        <v/>
      </c>
      <c r="AN190" s="28" t="str">
        <f t="shared" si="10"/>
        <v/>
      </c>
      <c r="AO190" s="28" t="str">
        <f t="shared" si="11"/>
        <v/>
      </c>
      <c r="AP190" s="28" t="str">
        <f t="array" ref="AP190">IF($I190="","",IFS(C190="D",IF(OR(I190="NOT_READABLE",I190="BLURRY"),-AB190,0),C190="J",IFS(I190="RED_CLEARER",XLOOKUP("duochrome_red_step",Calibration!$B:$B,Calibration!$C:$C,-0.25),I190="GREEN_CLEARER",XLOOKUP("duochrome_green_step",Calibration!$B:$B,Calibration!$C:$C,0.25),I190="EQUAL",IF(XLOOKUP($B190,Derived_Variables!$A:$A,Derived_Variables!$S:$S,"Neutral")="Undercorrect",XLOOKUP("undercorrect_step",Calibration!$B:$B,Calibration!$C:$C,0.25),IF(XLOOKUP($B190,Derived_Variables!$A:$A,Derived_Variables!$S:$S,"Neutral")="Overcorrect",-XLOOKUP("overcorrect_step",Calibration!$B:$B,Calibration!$C:$C,0.25),0)),TRUE,0),C190="K",IF(I190="BOTTOM_CLEARER",XLOOKUP("bino_balance_step",Calibration!$B:$B,Calibration!$C:$C,0.25),0),TRUE,0))</f>
        <v/>
      </c>
      <c r="AQ190" s="28" t="str">
        <f t="shared" si="12"/>
        <v/>
      </c>
      <c r="AR190" s="28" t="str">
        <f t="shared" si="13"/>
        <v/>
      </c>
      <c r="AS190" s="28" t="str">
        <f t="array" ref="AS190">IF($I190="","",IF(C190="P",IF(OR(I190="NOT_READABLE",I190="BLURRY"),XLOOKUP("near_add_step",Calibration!$B:$B,Calibration!$C:$C,0.25),0),IF(C190="R",IF(I190="NOT_CLEAR",XLOOKUP("near_add_step",Calibration!$B:$B,Calibration!$C:$C,0.25),0),0)))</f>
        <v/>
      </c>
      <c r="AT190" s="28" t="str">
        <f t="array" ref="AT190">IF($I190="","",IF(C190="Q",IF(OR(I190="NOT_READABLE",I190="BLURRY"),XLOOKUP("near_add_step",Calibration!$B:$B,Calibration!$C:$C,0.25),0),IF(C190="R",IF(I190="NOT_CLEAR",XLOOKUP("near_add_step",Calibration!$B:$B,Calibration!$C:$C,0.25),0),0)))</f>
        <v/>
      </c>
      <c r="AU190" s="28" t="str">
        <f t="array" ref="AU190">IF($I190="","",IF(G190="SNELLEN_FEET",IF(I190="READABLE",IFERROR(XLOOKUP(XLOOKUP(R190,Chart_Scale_Distance!B:B,Chart_Scale_Distance!A:A)+1,Chart_Scale_Distance!A:A,Chart_Scale_Distance!B:B),R190),R190),R190))</f>
        <v/>
      </c>
      <c r="AV190" s="28" t="str">
        <f t="array" ref="AV190">IF($I189="","",IFERROR(XLOOKUP(R190,Chart_Scale_Distance!$B:$B,Chart_Scale_Distance!$A:$A,""),""))</f>
        <v/>
      </c>
      <c r="AW190" s="28" t="str">
        <f t="array" ref="AW190">IF($I189="","",IFERROR(XLOOKUP(AA190,Chart_Scale_Distance!$B:$B,Chart_Scale_Distance!$A:$A,""),""))</f>
        <v/>
      </c>
      <c r="AX190" s="28" t="str">
        <f t="shared" si="14"/>
        <v/>
      </c>
      <c r="AY190" s="28" t="str">
        <f t="shared" si="15"/>
        <v/>
      </c>
      <c r="AZ190" s="28" t="str">
        <f t="shared" si="16"/>
        <v/>
      </c>
      <c r="BA190" s="28" t="str">
        <f t="shared" si="17"/>
        <v/>
      </c>
      <c r="BB190" s="28" t="str">
        <f t="shared" si="18"/>
        <v/>
      </c>
      <c r="BC190" s="28" t="str">
        <f t="array" ref="BC190">IF($I190="","",LET(
conf,AI190,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duoMax,XLOOKUP($B190,Derived_Variables!$A:$A,Derived_Variables!$AI:$AI,4),
axisTol,XLOOKUP($B190,Derived_Variables!$A:$A,Derived_Variables!$W:$W,1),
maxStart,XLOOKUP($B190,Derived_Variables!$A:$A,Derived_Variables!$U:$U,1.25),
maxAR,XLOOKUP($B190,Derived_Variables!$A:$A,Derived_Variables!$V:$V,3),
anom,XLOOKUP($B190,Derived_Variables!$A:$A,Derived_Variables!$Z:$Z,FALSE),
reStart,XLOOKUP($B190,Derived_Variables!$A:$A,Derived_Variables!$K:$K,0),
leStart,XLOOKUP($B190,Derived_Variables!$A:$A,Derived_Variables!$N:$N,0),
reAR,XLOOKUP($B190,AR_Input!$A:$A,AR_Input!$B:$B,reStart),
leAR,XLOOKUP($B190,AR_Input!$A:$A,AR_Input!$E:$E,leStart),
reEsc,AND(anom,OR(ABS((S190+AM190)-reStart)&gt;maxStart,ABS((S190+AM190)-reAR)&gt;maxAR)),
leEsc,AND(anom,OR(ABS((V190+AP190)-leStart)&gt;maxStart,ABS((V190+AP190)-leAR)&gt;maxAR)),
phaseMax,IFS(
 AK190="Fast",
   IFS(
     OR(C190="B",C190="D"),XLOOKUP("timeout_coarse_fast",Calibration!$B:$B,Calibration!$C:$C,24),
     OR(C190="E",C190="F",C190="H",C190="I"),XLOOKUP("timeout_jcc_fast",Calibration!$B:$B,Calibration!$C:$C,10),
     OR(C190="G",C190="J"),XLOOKUP("timeout_duochrome_fast",Calibration!$B:$B,Calibration!$C:$C,8),
     C190="K",XLOOKUP("timeout_bino_fast",Calibration!$B:$B,Calibration!$C:$C,10),
     OR(C190="P",C190="Q",C190="R"),XLOOKUP("timeout_near_fast",Calibration!$B:$B,Calibration!$C:$C,16),
     TRUE,XLOOKUP("timeout_coarse_fast",Calibration!$B:$B,Calibration!$C:$C,24)
   ),
 AK190="Normal",
   IFS(
     OR(C190="B",C190="D"),XLOOKUP("timeout_coarse_normal",Calibration!$B:$B,Calibration!$C:$C,36),
     OR(C190="E",C190="F",C190="H",C190="I"),XLOOKUP("timeout_jcc_normal",Calibration!$B:$B,Calibration!$C:$C,14),
     OR(C190="G",C190="J"),XLOOKUP("timeout_duochrome_normal",Calibration!$B:$B,Calibration!$C:$C,10),
     C190="K",XLOOKUP("timeout_bino_normal",Calibration!$B:$B,Calibration!$C:$C,14),
     OR(C190="P",C190="Q",C190="R"),XLOOKUP("timeout_near_normal",Calibration!$B:$B,Calibration!$C:$C,22),
     TRUE,XLOOKUP("timeout_coarse_normal",Calibration!$B:$B,Calibration!$C:$C,36)
   ),
 TRUE,
   IFS(
     OR(C190="B",C190="D"),XLOOKUP("timeout_coarse_slow",Calibration!$B:$B,Calibration!$C:$C,48),
     OR(C190="E",C190="F",C190="H",C190="I"),XLOOKUP("timeout_jcc_slow",Calibration!$B:$B,Calibration!$C:$C,18),
     OR(C190="G",C190="J"),XLOOKUP("timeout_duochrome_slow",Calibration!$B:$B,Calibration!$C:$C,12),
     C190="K",XLOOKUP("timeout_bino_slow",Calibration!$B:$B,Calibration!$C:$C,18),
     OR(C190="P",C190="Q",C190="R"),XLOOKUP("timeout_near_slow",Calibration!$B:$B,Calibration!$C:$C,28),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AJ190=TRUE,"ESCALATE",
C190="A",
IF(OR(I190="NOT_READABLE",I190="BLURRY",AND(R190="20_20_20",I190="READABLE")),"B","A"),
C190="B",
IF(reEsc,"ESCALATE",IF(AY190&gt;=phaseMax,"ESCALATE",IF(AND(AV190&gt;=AW190,I190="READABLE"),"E","B"))),
C190="E",
IF(AY190&gt;=phaseMax,"ESCALATE",IF(OR(I190="SAME",I190="CANT_TELL",AD190&lt;axisTol),"F","E")),
C190="F",
IF(AY190&gt;=phaseMax,"ESCALATE",IF(AX190&gt;=powerSameN,"G","F")),
C190="G",
IF(AY190&gt;=phaseMax,"ESCALATE",IF(OR(AX190&gt;=duoEqualN,BB190&gt;=duoMax),"D","G")),
C190="D",
IF(leEsc,"ESCALATE",IF(AY190&gt;=phaseMax,"ESCALATE",IF(AND(AV190&gt;=AW190,I190="READABLE"),"H","D"))),
C190="H",
IF(AY190&gt;=phaseMax,"ESCALATE",IF(OR(I190="SAME",I190="CANT_TELL",AD190&lt;axisTol),"I","H")),
C190="I",
IF(AY190&gt;=phaseMax,"ESCALATE",IF(AX190&gt;=powerSameN,"J","I")),
C190="J",
IF(AY190&gt;=phaseMax,"ESCALATE",IF(OR(AX190&gt;=duoEqualN,BB190&gt;=duoMax),"K","J")),
C190="K",
IF(AY190&gt;=phaseMax,"ESCALATE",IF(AX190&gt;=binoSameN,IF(XLOOKUP($B190,Derived_Variables!$A:$A,Derived_Variables!$AJ:$AJ,FALSE)=TRUE,"P","END"),"K")),
C190="P",
IF(AY190&gt;=phaseMax,"ESCALATE",IF(OR(I190="READABLE",I190="SAME"),"Q","P")),
C190="Q",
IF(AY190&gt;=phaseMax,"ESCALATE",IF(OR(I190="READABLE",I190="SAME"),"R","Q")),
C190="R",
IF(AY190&gt;=phaseMax,"ESCALATE",IF(OR(I190=nearTarget,I190="SAME"),"END","R")),
TRUE,"END"
)))</f>
        <v/>
      </c>
      <c r="BD190" s="28" t="b">
        <f t="shared" si="19"/>
        <v>0</v>
      </c>
    </row>
    <row r="191" ht="15.75" customHeight="1">
      <c r="A191" s="28">
        <f t="shared" si="3"/>
        <v>190</v>
      </c>
      <c r="B191" s="28">
        <f t="shared" si="4"/>
        <v>6</v>
      </c>
      <c r="C191" s="28" t="str">
        <f t="shared" si="5"/>
        <v/>
      </c>
      <c r="D191" s="28" t="str">
        <f t="array" ref="D191">IF($I190="","",XLOOKUP(C191,FSM_State_Map!A:A,FSM_State_Map!B:B,""))</f>
        <v/>
      </c>
      <c r="E191" s="28" t="str">
        <f t="array" ref="E191">IF($I190="","",XLOOKUP(C191,FSM_State_Map!A:A,FSM_State_Map!C:C,""))</f>
        <v/>
      </c>
      <c r="F191" s="28" t="str">
        <f t="array" ref="F191">IF($I190="","",XLOOKUP(E191,Phase_UI_Map!A:A,Phase_UI_Map!B:B,""))</f>
        <v/>
      </c>
      <c r="G191" s="28" t="str">
        <f t="array" ref="G191">IF($I190="","",XLOOKUP(E191,Phase_UI_Map!A:A,Phase_UI_Map!C:C,""))</f>
        <v/>
      </c>
      <c r="H191" s="28" t="str">
        <f t="array" ref="H191">IF($I190="","",XLOOKUP(E191,Phase_UI_Map!A:A,Phase_UI_Map!D:D,""))</f>
        <v/>
      </c>
      <c r="I191" s="29"/>
      <c r="J191" s="28" t="str">
        <f>IFERROR(__xludf.DUMMYFUNCTION("IF($I190="""","""",IFERROR(INDEX(FILTER(Response_Lists!$B:$B,Response_Lists!$A:$A=$H191),1),""""))"),"")</f>
        <v/>
      </c>
      <c r="K191" s="28" t="str">
        <f>IFERROR(__xludf.DUMMYFUNCTION("IF($I190="""","""",IFERROR(INDEX(FILTER(Response_Lists!$B:$B,Response_Lists!$A:$A=$H191),2),""""))"),"")</f>
        <v/>
      </c>
      <c r="L191" s="28" t="str">
        <f>IFERROR(__xludf.DUMMYFUNCTION("IF($I190="""","""",IFERROR(INDEX(FILTER(Response_Lists!$B:$B,Response_Lists!$A:$A=$H191),3),""""))"),"")</f>
        <v/>
      </c>
      <c r="M191" s="28" t="str">
        <f>IFERROR(__xludf.DUMMYFUNCTION("IF($I190="""","""",IFERROR(INDEX(FILTER(Response_Lists!$B:$B,Response_Lists!$A:$A=$H191),4),""""))"),"")</f>
        <v/>
      </c>
      <c r="N191" s="28" t="str">
        <f>IFERROR(__xludf.DUMMYFUNCTION("IF($I190="""","""",IFERROR(INDEX(FILTER(Response_Lists!$B:$B,Response_Lists!$A:$A=$H191),5),""""))"),"")</f>
        <v/>
      </c>
      <c r="O191" s="28" t="str">
        <f>IFERROR(__xludf.DUMMYFUNCTION("IF($I190="""","""",IFERROR(INDEX(FILTER(Response_Lists!$B:$B,Response_Lists!$A:$A=$H191),6),""""))"),"")</f>
        <v/>
      </c>
      <c r="P191" s="28" t="str">
        <f t="shared" si="6"/>
        <v/>
      </c>
      <c r="Q191" s="28" t="str">
        <f t="array" ref="Q191">IF($I190="","",XLOOKUP(C191,FSM_State_Map!A:A,FSM_State_Map!D:D,""))</f>
        <v/>
      </c>
      <c r="R191" s="28" t="str">
        <f t="shared" si="7"/>
        <v/>
      </c>
      <c r="S191" s="28" t="str">
        <f t="array" ref="S191">IF($I190="","",
IF(
  AND(C191="B",C190&lt;&gt;"B"),
  XLOOKUP($B191,Derived_Variables!$A:$A,Derived_Variables!$K:$K,0)
  + XLOOKUP($B191,Derived_Variables!$A:$A,Derived_Variables!$AE:$AE,0),
  S190+AM190
))</f>
        <v/>
      </c>
      <c r="T191" s="28" t="str">
        <f t="shared" ref="T191:U191" si="392">IF($I190="","",T190+AN190)</f>
        <v/>
      </c>
      <c r="U191" s="28" t="str">
        <f t="shared" si="392"/>
        <v/>
      </c>
      <c r="V191" s="28" t="str">
        <f t="array" ref="V191">IF($I190="","",
IF(
  AND(C191="D",C190&lt;&gt;"D"),
  XLOOKUP($B191,Derived_Variables!$A:$A,Derived_Variables!$N:$N,0)
  + XLOOKUP($B191,Derived_Variables!$A:$A,Derived_Variables!$AE:$AE,0),
  V190+AP190
))</f>
        <v/>
      </c>
      <c r="W191" s="28" t="str">
        <f t="shared" ref="W191:X191" si="393">IF($I190="","",W190+AQ190)</f>
        <v/>
      </c>
      <c r="X191" s="28" t="str">
        <f t="shared" si="393"/>
        <v/>
      </c>
      <c r="Y191" s="28" t="str">
        <f t="array" ref="Y191">IF($I190="","",IF(AND(C191="P",C190&lt;&gt;"P"),IFERROR(XLOOKUP($B191,Lenso_Input!$A:$A,Lenso_Input!$E:$E,0),0),Y190+AS190))</f>
        <v/>
      </c>
      <c r="Z191" s="28" t="str">
        <f t="array" ref="Z191">IF($I190="","",IF(AND(C191="Q",C190&lt;&gt;"Q"),IFERROR(XLOOKUP($B191,Lenso_Input!$A:$A,Lenso_Input!$I:$I,0),0),Z190+AT190))</f>
        <v/>
      </c>
      <c r="AA191" s="28" t="str">
        <f t="array" ref="AA191">IF($I190="","",IF(XLOOKUP($B191,Derived_Variables!$A:$A,Derived_Variables!$R:$R,"6/6_target")="6/6_target","20_20_20","40_30_25"))</f>
        <v/>
      </c>
      <c r="AB191" s="28" t="str">
        <f t="array" ref="AB191">IF($I190="","",XLOOKUP(LOWER(XLOOKUP($B191,Derived_Variables!$A:$A,Derived_Variables!$T:$T,"Standard"))&amp;"_sph_step",Calibration!$B:$B,Calibration!$C:$C,0.25))</f>
        <v/>
      </c>
      <c r="AC191" s="28" t="str">
        <f t="array" ref="AC191">IF($I190="","",XLOOKUP(LOWER(XLOOKUP($B191,Derived_Variables!$A:$A,Derived_Variables!$T:$T,"Standard"))&amp;"_cyl_step",Calibration!$B:$B,Calibration!$C:$C,0.25))</f>
        <v/>
      </c>
      <c r="AD191" s="28" t="str">
        <f t="array" ref="AD191">IF($I190="","",IF(OR(C191="E",C191="H"),LET(startStep,XLOOKUP("axis_start_step",Calibration!$B:$B,Calibration!$C:$C,5),step1,XLOOKUP("axis_reversal_step_1",Calibration!$B:$B,Calibration!$C:$C,3),step2,XLOOKUP("axis_reversal_step_2",Calibration!$B:$B,Calibration!$C:$C,1),IF(OR(C190&lt;&gt;C191,AZ191="",AZ191="SAME",AZ191="CANT_TELL",I191="",I191="SAME",I191="CANT_TELL"),startStep,IF(OR(AND(AZ191="BETTER_1",I191="BETTER_2"),AND(AZ191="BETTER_2",I191="BETTER_1")),IF(AD190&gt;step1,step1,step2),AD190))),0))</f>
        <v/>
      </c>
      <c r="AE191" s="28" t="str">
        <f t="array" ref="AE191">IF($I190="","",XLOOKUP($B191,Derived_Variables!$A:$A,Derived_Variables!$AD:$AD,"No_Fog"))</f>
        <v/>
      </c>
      <c r="AF191" s="28" t="str">
        <f t="array" ref="AF191">IF($I190="","",XLOOKUP($B191,Derived_Variables!$A:$A,Derived_Variables!$AE:$AE,0))</f>
        <v/>
      </c>
      <c r="AG191" s="28" t="str">
        <f t="array" ref="AG191">IF($I190="","",XLOOKUP($B191,Derived_Variables!$A:$A,Derived_Variables!$AF:$AF,""))</f>
        <v/>
      </c>
      <c r="AH191" s="28" t="str">
        <f t="array" ref="AH191">IF($I190="","",XLOOKUP($B191,Derived_Variables!$A:$A,Derived_Variables!$AG:$AG,""))</f>
        <v/>
      </c>
      <c r="AI191" s="28" t="str">
        <f t="array" ref="AI191">IF($I190="","",XLOOKUP($B191,Derived_Variables!$A:$A,Derived_Variables!$AC:$AC,"Medium"))</f>
        <v/>
      </c>
      <c r="AJ191" s="28" t="str">
        <f t="array" ref="AJ191">IF($I190="","",XLOOKUP($B191,Derived_Variables!$A:$A,Derived_Variables!$Y:$Y,FALSE))</f>
        <v/>
      </c>
      <c r="AK191" s="28" t="str">
        <f t="array" ref="AK191">IF($I190="","",XLOOKUP($B191,Derived_Variables!$A:$A,Derived_Variables!$AA:$AA,"Normal"))</f>
        <v/>
      </c>
      <c r="AL191" s="28" t="str">
        <f t="array" ref="AL191">IF($I190="","",XLOOKUP($B191,Derived_Variables!$A:$A,Derived_Variables!$AB:$AB,"Normal"))</f>
        <v/>
      </c>
      <c r="AM191" s="28" t="str">
        <f t="array" ref="AM191">IF($I191="","",IFS(C191="B",IF(OR(I191="NOT_READABLE",I191="BLURRY"),-AB191,0),C191="G",IFS(I191="RED_CLEARER",XLOOKUP("duochrome_red_step",Calibration!$B:$B,Calibration!$C:$C,-0.25),I191="GREEN_CLEARER",XLOOKUP("duochrome_green_step",Calibration!$B:$B,Calibration!$C:$C,0.25),I191="EQUAL",IF(XLOOKUP($B191,Derived_Variables!$A:$A,Derived_Variables!$S:$S,"Neutral")="Undercorrect",XLOOKUP("undercorrect_step",Calibration!$B:$B,Calibration!$C:$C,0.25),IF(XLOOKUP($B191,Derived_Variables!$A:$A,Derived_Variables!$S:$S,"Neutral")="Overcorrect",-XLOOKUP("overcorrect_step",Calibration!$B:$B,Calibration!$C:$C,0.25),0)),TRUE,0),C191="K",IF(I191="TOP_CLEARER",XLOOKUP("bino_balance_step",Calibration!$B:$B,Calibration!$C:$C,0.25),0),TRUE,0))</f>
        <v/>
      </c>
      <c r="AN191" s="28" t="str">
        <f t="shared" si="10"/>
        <v/>
      </c>
      <c r="AO191" s="28" t="str">
        <f t="shared" si="11"/>
        <v/>
      </c>
      <c r="AP191" s="28" t="str">
        <f t="array" ref="AP191">IF($I191="","",IFS(C191="D",IF(OR(I191="NOT_READABLE",I191="BLURRY"),-AB191,0),C191="J",IFS(I191="RED_CLEARER",XLOOKUP("duochrome_red_step",Calibration!$B:$B,Calibration!$C:$C,-0.25),I191="GREEN_CLEARER",XLOOKUP("duochrome_green_step",Calibration!$B:$B,Calibration!$C:$C,0.25),I191="EQUAL",IF(XLOOKUP($B191,Derived_Variables!$A:$A,Derived_Variables!$S:$S,"Neutral")="Undercorrect",XLOOKUP("undercorrect_step",Calibration!$B:$B,Calibration!$C:$C,0.25),IF(XLOOKUP($B191,Derived_Variables!$A:$A,Derived_Variables!$S:$S,"Neutral")="Overcorrect",-XLOOKUP("overcorrect_step",Calibration!$B:$B,Calibration!$C:$C,0.25),0)),TRUE,0),C191="K",IF(I191="BOTTOM_CLEARER",XLOOKUP("bino_balance_step",Calibration!$B:$B,Calibration!$C:$C,0.25),0),TRUE,0))</f>
        <v/>
      </c>
      <c r="AQ191" s="28" t="str">
        <f t="shared" si="12"/>
        <v/>
      </c>
      <c r="AR191" s="28" t="str">
        <f t="shared" si="13"/>
        <v/>
      </c>
      <c r="AS191" s="28" t="str">
        <f t="array" ref="AS191">IF($I191="","",IF(C191="P",IF(OR(I191="NOT_READABLE",I191="BLURRY"),XLOOKUP("near_add_step",Calibration!$B:$B,Calibration!$C:$C,0.25),0),IF(C191="R",IF(I191="NOT_CLEAR",XLOOKUP("near_add_step",Calibration!$B:$B,Calibration!$C:$C,0.25),0),0)))</f>
        <v/>
      </c>
      <c r="AT191" s="28" t="str">
        <f t="array" ref="AT191">IF($I191="","",IF(C191="Q",IF(OR(I191="NOT_READABLE",I191="BLURRY"),XLOOKUP("near_add_step",Calibration!$B:$B,Calibration!$C:$C,0.25),0),IF(C191="R",IF(I191="NOT_CLEAR",XLOOKUP("near_add_step",Calibration!$B:$B,Calibration!$C:$C,0.25),0),0)))</f>
        <v/>
      </c>
      <c r="AU191" s="28" t="str">
        <f t="array" ref="AU191">IF($I191="","",IF(G191="SNELLEN_FEET",IF(I191="READABLE",IFERROR(XLOOKUP(XLOOKUP(R191,Chart_Scale_Distance!B:B,Chart_Scale_Distance!A:A)+1,Chart_Scale_Distance!A:A,Chart_Scale_Distance!B:B),R191),R191),R191))</f>
        <v/>
      </c>
      <c r="AV191" s="28" t="str">
        <f t="array" ref="AV191">IF($I190="","",IFERROR(XLOOKUP(R191,Chart_Scale_Distance!$B:$B,Chart_Scale_Distance!$A:$A,""),""))</f>
        <v/>
      </c>
      <c r="AW191" s="28" t="str">
        <f t="array" ref="AW191">IF($I190="","",IFERROR(XLOOKUP(AA191,Chart_Scale_Distance!$B:$B,Chart_Scale_Distance!$A:$A,""),""))</f>
        <v/>
      </c>
      <c r="AX191" s="28" t="str">
        <f t="shared" si="14"/>
        <v/>
      </c>
      <c r="AY191" s="28" t="str">
        <f t="shared" si="15"/>
        <v/>
      </c>
      <c r="AZ191" s="28" t="str">
        <f t="shared" si="16"/>
        <v/>
      </c>
      <c r="BA191" s="28" t="str">
        <f t="shared" si="17"/>
        <v/>
      </c>
      <c r="BB191" s="28" t="str">
        <f t="shared" si="18"/>
        <v/>
      </c>
      <c r="BC191" s="28" t="str">
        <f t="array" ref="BC191">IF($I191="","",LET(
conf,AI191,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duoMax,XLOOKUP($B191,Derived_Variables!$A:$A,Derived_Variables!$AI:$AI,4),
axisTol,XLOOKUP($B191,Derived_Variables!$A:$A,Derived_Variables!$W:$W,1),
maxStart,XLOOKUP($B191,Derived_Variables!$A:$A,Derived_Variables!$U:$U,1.25),
maxAR,XLOOKUP($B191,Derived_Variables!$A:$A,Derived_Variables!$V:$V,3),
anom,XLOOKUP($B191,Derived_Variables!$A:$A,Derived_Variables!$Z:$Z,FALSE),
reStart,XLOOKUP($B191,Derived_Variables!$A:$A,Derived_Variables!$K:$K,0),
leStart,XLOOKUP($B191,Derived_Variables!$A:$A,Derived_Variables!$N:$N,0),
reAR,XLOOKUP($B191,AR_Input!$A:$A,AR_Input!$B:$B,reStart),
leAR,XLOOKUP($B191,AR_Input!$A:$A,AR_Input!$E:$E,leStart),
reEsc,AND(anom,OR(ABS((S191+AM191)-reStart)&gt;maxStart,ABS((S191+AM191)-reAR)&gt;maxAR)),
leEsc,AND(anom,OR(ABS((V191+AP191)-leStart)&gt;maxStart,ABS((V191+AP191)-leAR)&gt;maxAR)),
phaseMax,IFS(
 AK191="Fast",
   IFS(
     OR(C191="B",C191="D"),XLOOKUP("timeout_coarse_fast",Calibration!$B:$B,Calibration!$C:$C,24),
     OR(C191="E",C191="F",C191="H",C191="I"),XLOOKUP("timeout_jcc_fast",Calibration!$B:$B,Calibration!$C:$C,10),
     OR(C191="G",C191="J"),XLOOKUP("timeout_duochrome_fast",Calibration!$B:$B,Calibration!$C:$C,8),
     C191="K",XLOOKUP("timeout_bino_fast",Calibration!$B:$B,Calibration!$C:$C,10),
     OR(C191="P",C191="Q",C191="R"),XLOOKUP("timeout_near_fast",Calibration!$B:$B,Calibration!$C:$C,16),
     TRUE,XLOOKUP("timeout_coarse_fast",Calibration!$B:$B,Calibration!$C:$C,24)
   ),
 AK191="Normal",
   IFS(
     OR(C191="B",C191="D"),XLOOKUP("timeout_coarse_normal",Calibration!$B:$B,Calibration!$C:$C,36),
     OR(C191="E",C191="F",C191="H",C191="I"),XLOOKUP("timeout_jcc_normal",Calibration!$B:$B,Calibration!$C:$C,14),
     OR(C191="G",C191="J"),XLOOKUP("timeout_duochrome_normal",Calibration!$B:$B,Calibration!$C:$C,10),
     C191="K",XLOOKUP("timeout_bino_normal",Calibration!$B:$B,Calibration!$C:$C,14),
     OR(C191="P",C191="Q",C191="R"),XLOOKUP("timeout_near_normal",Calibration!$B:$B,Calibration!$C:$C,22),
     TRUE,XLOOKUP("timeout_coarse_normal",Calibration!$B:$B,Calibration!$C:$C,36)
   ),
 TRUE,
   IFS(
     OR(C191="B",C191="D"),XLOOKUP("timeout_coarse_slow",Calibration!$B:$B,Calibration!$C:$C,48),
     OR(C191="E",C191="F",C191="H",C191="I"),XLOOKUP("timeout_jcc_slow",Calibration!$B:$B,Calibration!$C:$C,18),
     OR(C191="G",C191="J"),XLOOKUP("timeout_duochrome_slow",Calibration!$B:$B,Calibration!$C:$C,12),
     C191="K",XLOOKUP("timeout_bino_slow",Calibration!$B:$B,Calibration!$C:$C,18),
     OR(C191="P",C191="Q",C191="R"),XLOOKUP("timeout_near_slow",Calibration!$B:$B,Calibration!$C:$C,28),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AJ191=TRUE,"ESCALATE",
C191="A",
IF(OR(I191="NOT_READABLE",I191="BLURRY",AND(R191="20_20_20",I191="READABLE")),"B","A"),
C191="B",
IF(reEsc,"ESCALATE",IF(AY191&gt;=phaseMax,"ESCALATE",IF(AND(AV191&gt;=AW191,I191="READABLE"),"E","B"))),
C191="E",
IF(AY191&gt;=phaseMax,"ESCALATE",IF(OR(I191="SAME",I191="CANT_TELL",AD191&lt;axisTol),"F","E")),
C191="F",
IF(AY191&gt;=phaseMax,"ESCALATE",IF(AX191&gt;=powerSameN,"G","F")),
C191="G",
IF(AY191&gt;=phaseMax,"ESCALATE",IF(OR(AX191&gt;=duoEqualN,BB191&gt;=duoMax),"D","G")),
C191="D",
IF(leEsc,"ESCALATE",IF(AY191&gt;=phaseMax,"ESCALATE",IF(AND(AV191&gt;=AW191,I191="READABLE"),"H","D"))),
C191="H",
IF(AY191&gt;=phaseMax,"ESCALATE",IF(OR(I191="SAME",I191="CANT_TELL",AD191&lt;axisTol),"I","H")),
C191="I",
IF(AY191&gt;=phaseMax,"ESCALATE",IF(AX191&gt;=powerSameN,"J","I")),
C191="J",
IF(AY191&gt;=phaseMax,"ESCALATE",IF(OR(AX191&gt;=duoEqualN,BB191&gt;=duoMax),"K","J")),
C191="K",
IF(AY191&gt;=phaseMax,"ESCALATE",IF(AX191&gt;=binoSameN,IF(XLOOKUP($B191,Derived_Variables!$A:$A,Derived_Variables!$AJ:$AJ,FALSE)=TRUE,"P","END"),"K")),
C191="P",
IF(AY191&gt;=phaseMax,"ESCALATE",IF(OR(I191="READABLE",I191="SAME"),"Q","P")),
C191="Q",
IF(AY191&gt;=phaseMax,"ESCALATE",IF(OR(I191="READABLE",I191="SAME"),"R","Q")),
C191="R",
IF(AY191&gt;=phaseMax,"ESCALATE",IF(OR(I191=nearTarget,I191="SAME"),"END","R")),
TRUE,"END"
)))</f>
        <v/>
      </c>
      <c r="BD191" s="28" t="b">
        <f t="shared" si="19"/>
        <v>0</v>
      </c>
    </row>
    <row r="192" ht="15.75" customHeight="1">
      <c r="A192" s="28">
        <f t="shared" si="3"/>
        <v>191</v>
      </c>
      <c r="B192" s="28">
        <f t="shared" si="4"/>
        <v>6</v>
      </c>
      <c r="C192" s="28" t="str">
        <f t="shared" si="5"/>
        <v/>
      </c>
      <c r="D192" s="28" t="str">
        <f t="array" ref="D192">IF($I191="","",XLOOKUP(C192,FSM_State_Map!A:A,FSM_State_Map!B:B,""))</f>
        <v/>
      </c>
      <c r="E192" s="28" t="str">
        <f t="array" ref="E192">IF($I191="","",XLOOKUP(C192,FSM_State_Map!A:A,FSM_State_Map!C:C,""))</f>
        <v/>
      </c>
      <c r="F192" s="28" t="str">
        <f t="array" ref="F192">IF($I191="","",XLOOKUP(E192,Phase_UI_Map!A:A,Phase_UI_Map!B:B,""))</f>
        <v/>
      </c>
      <c r="G192" s="28" t="str">
        <f t="array" ref="G192">IF($I191="","",XLOOKUP(E192,Phase_UI_Map!A:A,Phase_UI_Map!C:C,""))</f>
        <v/>
      </c>
      <c r="H192" s="28" t="str">
        <f t="array" ref="H192">IF($I191="","",XLOOKUP(E192,Phase_UI_Map!A:A,Phase_UI_Map!D:D,""))</f>
        <v/>
      </c>
      <c r="I192" s="29"/>
      <c r="J192" s="28" t="str">
        <f>IFERROR(__xludf.DUMMYFUNCTION("IF($I191="""","""",IFERROR(INDEX(FILTER(Response_Lists!$B:$B,Response_Lists!$A:$A=$H192),1),""""))"),"")</f>
        <v/>
      </c>
      <c r="K192" s="28" t="str">
        <f>IFERROR(__xludf.DUMMYFUNCTION("IF($I191="""","""",IFERROR(INDEX(FILTER(Response_Lists!$B:$B,Response_Lists!$A:$A=$H192),2),""""))"),"")</f>
        <v/>
      </c>
      <c r="L192" s="28" t="str">
        <f>IFERROR(__xludf.DUMMYFUNCTION("IF($I191="""","""",IFERROR(INDEX(FILTER(Response_Lists!$B:$B,Response_Lists!$A:$A=$H192),3),""""))"),"")</f>
        <v/>
      </c>
      <c r="M192" s="28" t="str">
        <f>IFERROR(__xludf.DUMMYFUNCTION("IF($I191="""","""",IFERROR(INDEX(FILTER(Response_Lists!$B:$B,Response_Lists!$A:$A=$H192),4),""""))"),"")</f>
        <v/>
      </c>
      <c r="N192" s="28" t="str">
        <f>IFERROR(__xludf.DUMMYFUNCTION("IF($I191="""","""",IFERROR(INDEX(FILTER(Response_Lists!$B:$B,Response_Lists!$A:$A=$H192),5),""""))"),"")</f>
        <v/>
      </c>
      <c r="O192" s="28" t="str">
        <f>IFERROR(__xludf.DUMMYFUNCTION("IF($I191="""","""",IFERROR(INDEX(FILTER(Response_Lists!$B:$B,Response_Lists!$A:$A=$H192),6),""""))"),"")</f>
        <v/>
      </c>
      <c r="P192" s="28" t="str">
        <f t="shared" si="6"/>
        <v/>
      </c>
      <c r="Q192" s="28" t="str">
        <f t="array" ref="Q192">IF($I191="","",XLOOKUP(C192,FSM_State_Map!A:A,FSM_State_Map!D:D,""))</f>
        <v/>
      </c>
      <c r="R192" s="28" t="str">
        <f t="shared" si="7"/>
        <v/>
      </c>
      <c r="S192" s="28" t="str">
        <f t="array" ref="S192">IF($I191="","",
IF(
  AND(C192="B",C191&lt;&gt;"B"),
  XLOOKUP($B192,Derived_Variables!$A:$A,Derived_Variables!$K:$K,0)
  + XLOOKUP($B192,Derived_Variables!$A:$A,Derived_Variables!$AE:$AE,0),
  S191+AM191
))</f>
        <v/>
      </c>
      <c r="T192" s="28" t="str">
        <f t="shared" ref="T192:U192" si="394">IF($I191="","",T191+AN191)</f>
        <v/>
      </c>
      <c r="U192" s="28" t="str">
        <f t="shared" si="394"/>
        <v/>
      </c>
      <c r="V192" s="28" t="str">
        <f t="array" ref="V192">IF($I191="","",
IF(
  AND(C192="D",C191&lt;&gt;"D"),
  XLOOKUP($B192,Derived_Variables!$A:$A,Derived_Variables!$N:$N,0)
  + XLOOKUP($B192,Derived_Variables!$A:$A,Derived_Variables!$AE:$AE,0),
  V191+AP191
))</f>
        <v/>
      </c>
      <c r="W192" s="28" t="str">
        <f t="shared" ref="W192:X192" si="395">IF($I191="","",W191+AQ191)</f>
        <v/>
      </c>
      <c r="X192" s="28" t="str">
        <f t="shared" si="395"/>
        <v/>
      </c>
      <c r="Y192" s="28" t="str">
        <f t="array" ref="Y192">IF($I191="","",IF(AND(C192="P",C191&lt;&gt;"P"),IFERROR(XLOOKUP($B192,Lenso_Input!$A:$A,Lenso_Input!$E:$E,0),0),Y191+AS191))</f>
        <v/>
      </c>
      <c r="Z192" s="28" t="str">
        <f t="array" ref="Z192">IF($I191="","",IF(AND(C192="Q",C191&lt;&gt;"Q"),IFERROR(XLOOKUP($B192,Lenso_Input!$A:$A,Lenso_Input!$I:$I,0),0),Z191+AT191))</f>
        <v/>
      </c>
      <c r="AA192" s="28" t="str">
        <f t="array" ref="AA192">IF($I191="","",IF(XLOOKUP($B192,Derived_Variables!$A:$A,Derived_Variables!$R:$R,"6/6_target")="6/6_target","20_20_20","40_30_25"))</f>
        <v/>
      </c>
      <c r="AB192" s="28" t="str">
        <f t="array" ref="AB192">IF($I191="","",XLOOKUP(LOWER(XLOOKUP($B192,Derived_Variables!$A:$A,Derived_Variables!$T:$T,"Standard"))&amp;"_sph_step",Calibration!$B:$B,Calibration!$C:$C,0.25))</f>
        <v/>
      </c>
      <c r="AC192" s="28" t="str">
        <f t="array" ref="AC192">IF($I191="","",XLOOKUP(LOWER(XLOOKUP($B192,Derived_Variables!$A:$A,Derived_Variables!$T:$T,"Standard"))&amp;"_cyl_step",Calibration!$B:$B,Calibration!$C:$C,0.25))</f>
        <v/>
      </c>
      <c r="AD192" s="28" t="str">
        <f t="array" ref="AD192">IF($I191="","",IF(OR(C192="E",C192="H"),LET(startStep,XLOOKUP("axis_start_step",Calibration!$B:$B,Calibration!$C:$C,5),step1,XLOOKUP("axis_reversal_step_1",Calibration!$B:$B,Calibration!$C:$C,3),step2,XLOOKUP("axis_reversal_step_2",Calibration!$B:$B,Calibration!$C:$C,1),IF(OR(C191&lt;&gt;C192,AZ192="",AZ192="SAME",AZ192="CANT_TELL",I192="",I192="SAME",I192="CANT_TELL"),startStep,IF(OR(AND(AZ192="BETTER_1",I192="BETTER_2"),AND(AZ192="BETTER_2",I192="BETTER_1")),IF(AD191&gt;step1,step1,step2),AD191))),0))</f>
        <v/>
      </c>
      <c r="AE192" s="28" t="str">
        <f t="array" ref="AE192">IF($I191="","",XLOOKUP($B192,Derived_Variables!$A:$A,Derived_Variables!$AD:$AD,"No_Fog"))</f>
        <v/>
      </c>
      <c r="AF192" s="28" t="str">
        <f t="array" ref="AF192">IF($I191="","",XLOOKUP($B192,Derived_Variables!$A:$A,Derived_Variables!$AE:$AE,0))</f>
        <v/>
      </c>
      <c r="AG192" s="28" t="str">
        <f t="array" ref="AG192">IF($I191="","",XLOOKUP($B192,Derived_Variables!$A:$A,Derived_Variables!$AF:$AF,""))</f>
        <v/>
      </c>
      <c r="AH192" s="28" t="str">
        <f t="array" ref="AH192">IF($I191="","",XLOOKUP($B192,Derived_Variables!$A:$A,Derived_Variables!$AG:$AG,""))</f>
        <v/>
      </c>
      <c r="AI192" s="28" t="str">
        <f t="array" ref="AI192">IF($I191="","",XLOOKUP($B192,Derived_Variables!$A:$A,Derived_Variables!$AC:$AC,"Medium"))</f>
        <v/>
      </c>
      <c r="AJ192" s="28" t="str">
        <f t="array" ref="AJ192">IF($I191="","",XLOOKUP($B192,Derived_Variables!$A:$A,Derived_Variables!$Y:$Y,FALSE))</f>
        <v/>
      </c>
      <c r="AK192" s="28" t="str">
        <f t="array" ref="AK192">IF($I191="","",XLOOKUP($B192,Derived_Variables!$A:$A,Derived_Variables!$AA:$AA,"Normal"))</f>
        <v/>
      </c>
      <c r="AL192" s="28" t="str">
        <f t="array" ref="AL192">IF($I191="","",XLOOKUP($B192,Derived_Variables!$A:$A,Derived_Variables!$AB:$AB,"Normal"))</f>
        <v/>
      </c>
      <c r="AM192" s="28" t="str">
        <f t="array" ref="AM192">IF($I192="","",IFS(C192="B",IF(OR(I192="NOT_READABLE",I192="BLURRY"),-AB192,0),C192="G",IFS(I192="RED_CLEARER",XLOOKUP("duochrome_red_step",Calibration!$B:$B,Calibration!$C:$C,-0.25),I192="GREEN_CLEARER",XLOOKUP("duochrome_green_step",Calibration!$B:$B,Calibration!$C:$C,0.25),I192="EQUAL",IF(XLOOKUP($B192,Derived_Variables!$A:$A,Derived_Variables!$S:$S,"Neutral")="Undercorrect",XLOOKUP("undercorrect_step",Calibration!$B:$B,Calibration!$C:$C,0.25),IF(XLOOKUP($B192,Derived_Variables!$A:$A,Derived_Variables!$S:$S,"Neutral")="Overcorrect",-XLOOKUP("overcorrect_step",Calibration!$B:$B,Calibration!$C:$C,0.25),0)),TRUE,0),C192="K",IF(I192="TOP_CLEARER",XLOOKUP("bino_balance_step",Calibration!$B:$B,Calibration!$C:$C,0.25),0),TRUE,0))</f>
        <v/>
      </c>
      <c r="AN192" s="28" t="str">
        <f t="shared" si="10"/>
        <v/>
      </c>
      <c r="AO192" s="28" t="str">
        <f t="shared" si="11"/>
        <v/>
      </c>
      <c r="AP192" s="28" t="str">
        <f t="array" ref="AP192">IF($I192="","",IFS(C192="D",IF(OR(I192="NOT_READABLE",I192="BLURRY"),-AB192,0),C192="J",IFS(I192="RED_CLEARER",XLOOKUP("duochrome_red_step",Calibration!$B:$B,Calibration!$C:$C,-0.25),I192="GREEN_CLEARER",XLOOKUP("duochrome_green_step",Calibration!$B:$B,Calibration!$C:$C,0.25),I192="EQUAL",IF(XLOOKUP($B192,Derived_Variables!$A:$A,Derived_Variables!$S:$S,"Neutral")="Undercorrect",XLOOKUP("undercorrect_step",Calibration!$B:$B,Calibration!$C:$C,0.25),IF(XLOOKUP($B192,Derived_Variables!$A:$A,Derived_Variables!$S:$S,"Neutral")="Overcorrect",-XLOOKUP("overcorrect_step",Calibration!$B:$B,Calibration!$C:$C,0.25),0)),TRUE,0),C192="K",IF(I192="BOTTOM_CLEARER",XLOOKUP("bino_balance_step",Calibration!$B:$B,Calibration!$C:$C,0.25),0),TRUE,0))</f>
        <v/>
      </c>
      <c r="AQ192" s="28" t="str">
        <f t="shared" si="12"/>
        <v/>
      </c>
      <c r="AR192" s="28" t="str">
        <f t="shared" si="13"/>
        <v/>
      </c>
      <c r="AS192" s="28" t="str">
        <f t="array" ref="AS192">IF($I192="","",IF(C192="P",IF(OR(I192="NOT_READABLE",I192="BLURRY"),XLOOKUP("near_add_step",Calibration!$B:$B,Calibration!$C:$C,0.25),0),IF(C192="R",IF(I192="NOT_CLEAR",XLOOKUP("near_add_step",Calibration!$B:$B,Calibration!$C:$C,0.25),0),0)))</f>
        <v/>
      </c>
      <c r="AT192" s="28" t="str">
        <f t="array" ref="AT192">IF($I192="","",IF(C192="Q",IF(OR(I192="NOT_READABLE",I192="BLURRY"),XLOOKUP("near_add_step",Calibration!$B:$B,Calibration!$C:$C,0.25),0),IF(C192="R",IF(I192="NOT_CLEAR",XLOOKUP("near_add_step",Calibration!$B:$B,Calibration!$C:$C,0.25),0),0)))</f>
        <v/>
      </c>
      <c r="AU192" s="28" t="str">
        <f t="array" ref="AU192">IF($I192="","",IF(G192="SNELLEN_FEET",IF(I192="READABLE",IFERROR(XLOOKUP(XLOOKUP(R192,Chart_Scale_Distance!B:B,Chart_Scale_Distance!A:A)+1,Chart_Scale_Distance!A:A,Chart_Scale_Distance!B:B),R192),R192),R192))</f>
        <v/>
      </c>
      <c r="AV192" s="28" t="str">
        <f t="array" ref="AV192">IF($I191="","",IFERROR(XLOOKUP(R192,Chart_Scale_Distance!$B:$B,Chart_Scale_Distance!$A:$A,""),""))</f>
        <v/>
      </c>
      <c r="AW192" s="28" t="str">
        <f t="array" ref="AW192">IF($I191="","",IFERROR(XLOOKUP(AA192,Chart_Scale_Distance!$B:$B,Chart_Scale_Distance!$A:$A,""),""))</f>
        <v/>
      </c>
      <c r="AX192" s="28" t="str">
        <f t="shared" si="14"/>
        <v/>
      </c>
      <c r="AY192" s="28" t="str">
        <f t="shared" si="15"/>
        <v/>
      </c>
      <c r="AZ192" s="28" t="str">
        <f t="shared" si="16"/>
        <v/>
      </c>
      <c r="BA192" s="28" t="str">
        <f t="shared" si="17"/>
        <v/>
      </c>
      <c r="BB192" s="28" t="str">
        <f t="shared" si="18"/>
        <v/>
      </c>
      <c r="BC192" s="28" t="str">
        <f t="array" ref="BC192">IF($I192="","",LET(
conf,AI192,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duoMax,XLOOKUP($B192,Derived_Variables!$A:$A,Derived_Variables!$AI:$AI,4),
axisTol,XLOOKUP($B192,Derived_Variables!$A:$A,Derived_Variables!$W:$W,1),
maxStart,XLOOKUP($B192,Derived_Variables!$A:$A,Derived_Variables!$U:$U,1.25),
maxAR,XLOOKUP($B192,Derived_Variables!$A:$A,Derived_Variables!$V:$V,3),
anom,XLOOKUP($B192,Derived_Variables!$A:$A,Derived_Variables!$Z:$Z,FALSE),
reStart,XLOOKUP($B192,Derived_Variables!$A:$A,Derived_Variables!$K:$K,0),
leStart,XLOOKUP($B192,Derived_Variables!$A:$A,Derived_Variables!$N:$N,0),
reAR,XLOOKUP($B192,AR_Input!$A:$A,AR_Input!$B:$B,reStart),
leAR,XLOOKUP($B192,AR_Input!$A:$A,AR_Input!$E:$E,leStart),
reEsc,AND(anom,OR(ABS((S192+AM192)-reStart)&gt;maxStart,ABS((S192+AM192)-reAR)&gt;maxAR)),
leEsc,AND(anom,OR(ABS((V192+AP192)-leStart)&gt;maxStart,ABS((V192+AP192)-leAR)&gt;maxAR)),
phaseMax,IFS(
 AK192="Fast",
   IFS(
     OR(C192="B",C192="D"),XLOOKUP("timeout_coarse_fast",Calibration!$B:$B,Calibration!$C:$C,24),
     OR(C192="E",C192="F",C192="H",C192="I"),XLOOKUP("timeout_jcc_fast",Calibration!$B:$B,Calibration!$C:$C,10),
     OR(C192="G",C192="J"),XLOOKUP("timeout_duochrome_fast",Calibration!$B:$B,Calibration!$C:$C,8),
     C192="K",XLOOKUP("timeout_bino_fast",Calibration!$B:$B,Calibration!$C:$C,10),
     OR(C192="P",C192="Q",C192="R"),XLOOKUP("timeout_near_fast",Calibration!$B:$B,Calibration!$C:$C,16),
     TRUE,XLOOKUP("timeout_coarse_fast",Calibration!$B:$B,Calibration!$C:$C,24)
   ),
 AK192="Normal",
   IFS(
     OR(C192="B",C192="D"),XLOOKUP("timeout_coarse_normal",Calibration!$B:$B,Calibration!$C:$C,36),
     OR(C192="E",C192="F",C192="H",C192="I"),XLOOKUP("timeout_jcc_normal",Calibration!$B:$B,Calibration!$C:$C,14),
     OR(C192="G",C192="J"),XLOOKUP("timeout_duochrome_normal",Calibration!$B:$B,Calibration!$C:$C,10),
     C192="K",XLOOKUP("timeout_bino_normal",Calibration!$B:$B,Calibration!$C:$C,14),
     OR(C192="P",C192="Q",C192="R"),XLOOKUP("timeout_near_normal",Calibration!$B:$B,Calibration!$C:$C,22),
     TRUE,XLOOKUP("timeout_coarse_normal",Calibration!$B:$B,Calibration!$C:$C,36)
   ),
 TRUE,
   IFS(
     OR(C192="B",C192="D"),XLOOKUP("timeout_coarse_slow",Calibration!$B:$B,Calibration!$C:$C,48),
     OR(C192="E",C192="F",C192="H",C192="I"),XLOOKUP("timeout_jcc_slow",Calibration!$B:$B,Calibration!$C:$C,18),
     OR(C192="G",C192="J"),XLOOKUP("timeout_duochrome_slow",Calibration!$B:$B,Calibration!$C:$C,12),
     C192="K",XLOOKUP("timeout_bino_slow",Calibration!$B:$B,Calibration!$C:$C,18),
     OR(C192="P",C192="Q",C192="R"),XLOOKUP("timeout_near_slow",Calibration!$B:$B,Calibration!$C:$C,28),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AJ192=TRUE,"ESCALATE",
C192="A",
IF(OR(I192="NOT_READABLE",I192="BLURRY",AND(R192="20_20_20",I192="READABLE")),"B","A"),
C192="B",
IF(reEsc,"ESCALATE",IF(AY192&gt;=phaseMax,"ESCALATE",IF(AND(AV192&gt;=AW192,I192="READABLE"),"E","B"))),
C192="E",
IF(AY192&gt;=phaseMax,"ESCALATE",IF(OR(I192="SAME",I192="CANT_TELL",AD192&lt;axisTol),"F","E")),
C192="F",
IF(AY192&gt;=phaseMax,"ESCALATE",IF(AX192&gt;=powerSameN,"G","F")),
C192="G",
IF(AY192&gt;=phaseMax,"ESCALATE",IF(OR(AX192&gt;=duoEqualN,BB192&gt;=duoMax),"D","G")),
C192="D",
IF(leEsc,"ESCALATE",IF(AY192&gt;=phaseMax,"ESCALATE",IF(AND(AV192&gt;=AW192,I192="READABLE"),"H","D"))),
C192="H",
IF(AY192&gt;=phaseMax,"ESCALATE",IF(OR(I192="SAME",I192="CANT_TELL",AD192&lt;axisTol),"I","H")),
C192="I",
IF(AY192&gt;=phaseMax,"ESCALATE",IF(AX192&gt;=powerSameN,"J","I")),
C192="J",
IF(AY192&gt;=phaseMax,"ESCALATE",IF(OR(AX192&gt;=duoEqualN,BB192&gt;=duoMax),"K","J")),
C192="K",
IF(AY192&gt;=phaseMax,"ESCALATE",IF(AX192&gt;=binoSameN,IF(XLOOKUP($B192,Derived_Variables!$A:$A,Derived_Variables!$AJ:$AJ,FALSE)=TRUE,"P","END"),"K")),
C192="P",
IF(AY192&gt;=phaseMax,"ESCALATE",IF(OR(I192="READABLE",I192="SAME"),"Q","P")),
C192="Q",
IF(AY192&gt;=phaseMax,"ESCALATE",IF(OR(I192="READABLE",I192="SAME"),"R","Q")),
C192="R",
IF(AY192&gt;=phaseMax,"ESCALATE",IF(OR(I192=nearTarget,I192="SAME"),"END","R")),
TRUE,"END"
)))</f>
        <v/>
      </c>
      <c r="BD192" s="28" t="b">
        <f t="shared" si="19"/>
        <v>0</v>
      </c>
    </row>
    <row r="193" ht="15.75" customHeight="1">
      <c r="A193" s="28">
        <f t="shared" si="3"/>
        <v>192</v>
      </c>
      <c r="B193" s="28">
        <f t="shared" si="4"/>
        <v>6</v>
      </c>
      <c r="C193" s="28" t="str">
        <f t="shared" si="5"/>
        <v/>
      </c>
      <c r="D193" s="28" t="str">
        <f t="array" ref="D193">IF($I192="","",XLOOKUP(C193,FSM_State_Map!A:A,FSM_State_Map!B:B,""))</f>
        <v/>
      </c>
      <c r="E193" s="28" t="str">
        <f t="array" ref="E193">IF($I192="","",XLOOKUP(C193,FSM_State_Map!A:A,FSM_State_Map!C:C,""))</f>
        <v/>
      </c>
      <c r="F193" s="28" t="str">
        <f t="array" ref="F193">IF($I192="","",XLOOKUP(E193,Phase_UI_Map!A:A,Phase_UI_Map!B:B,""))</f>
        <v/>
      </c>
      <c r="G193" s="28" t="str">
        <f t="array" ref="G193">IF($I192="","",XLOOKUP(E193,Phase_UI_Map!A:A,Phase_UI_Map!C:C,""))</f>
        <v/>
      </c>
      <c r="H193" s="28" t="str">
        <f t="array" ref="H193">IF($I192="","",XLOOKUP(E193,Phase_UI_Map!A:A,Phase_UI_Map!D:D,""))</f>
        <v/>
      </c>
      <c r="I193" s="29"/>
      <c r="J193" s="28" t="str">
        <f>IFERROR(__xludf.DUMMYFUNCTION("IF($I192="""","""",IFERROR(INDEX(FILTER(Response_Lists!$B:$B,Response_Lists!$A:$A=$H193),1),""""))"),"")</f>
        <v/>
      </c>
      <c r="K193" s="28" t="str">
        <f>IFERROR(__xludf.DUMMYFUNCTION("IF($I192="""","""",IFERROR(INDEX(FILTER(Response_Lists!$B:$B,Response_Lists!$A:$A=$H193),2),""""))"),"")</f>
        <v/>
      </c>
      <c r="L193" s="28" t="str">
        <f>IFERROR(__xludf.DUMMYFUNCTION("IF($I192="""","""",IFERROR(INDEX(FILTER(Response_Lists!$B:$B,Response_Lists!$A:$A=$H193),3),""""))"),"")</f>
        <v/>
      </c>
      <c r="M193" s="28" t="str">
        <f>IFERROR(__xludf.DUMMYFUNCTION("IF($I192="""","""",IFERROR(INDEX(FILTER(Response_Lists!$B:$B,Response_Lists!$A:$A=$H193),4),""""))"),"")</f>
        <v/>
      </c>
      <c r="N193" s="28" t="str">
        <f>IFERROR(__xludf.DUMMYFUNCTION("IF($I192="""","""",IFERROR(INDEX(FILTER(Response_Lists!$B:$B,Response_Lists!$A:$A=$H193),5),""""))"),"")</f>
        <v/>
      </c>
      <c r="O193" s="28" t="str">
        <f>IFERROR(__xludf.DUMMYFUNCTION("IF($I192="""","""",IFERROR(INDEX(FILTER(Response_Lists!$B:$B,Response_Lists!$A:$A=$H193),6),""""))"),"")</f>
        <v/>
      </c>
      <c r="P193" s="28" t="str">
        <f t="shared" si="6"/>
        <v/>
      </c>
      <c r="Q193" s="28" t="str">
        <f t="array" ref="Q193">IF($I192="","",XLOOKUP(C193,FSM_State_Map!A:A,FSM_State_Map!D:D,""))</f>
        <v/>
      </c>
      <c r="R193" s="28" t="str">
        <f t="shared" si="7"/>
        <v/>
      </c>
      <c r="S193" s="28" t="str">
        <f t="array" ref="S193">IF($I192="","",
IF(
  AND(C193="B",C192&lt;&gt;"B"),
  XLOOKUP($B193,Derived_Variables!$A:$A,Derived_Variables!$K:$K,0)
  + XLOOKUP($B193,Derived_Variables!$A:$A,Derived_Variables!$AE:$AE,0),
  S192+AM192
))</f>
        <v/>
      </c>
      <c r="T193" s="28" t="str">
        <f t="shared" ref="T193:U193" si="396">IF($I192="","",T192+AN192)</f>
        <v/>
      </c>
      <c r="U193" s="28" t="str">
        <f t="shared" si="396"/>
        <v/>
      </c>
      <c r="V193" s="28" t="str">
        <f t="array" ref="V193">IF($I192="","",
IF(
  AND(C193="D",C192&lt;&gt;"D"),
  XLOOKUP($B193,Derived_Variables!$A:$A,Derived_Variables!$N:$N,0)
  + XLOOKUP($B193,Derived_Variables!$A:$A,Derived_Variables!$AE:$AE,0),
  V192+AP192
))</f>
        <v/>
      </c>
      <c r="W193" s="28" t="str">
        <f t="shared" ref="W193:X193" si="397">IF($I192="","",W192+AQ192)</f>
        <v/>
      </c>
      <c r="X193" s="28" t="str">
        <f t="shared" si="397"/>
        <v/>
      </c>
      <c r="Y193" s="28" t="str">
        <f t="array" ref="Y193">IF($I192="","",IF(AND(C193="P",C192&lt;&gt;"P"),IFERROR(XLOOKUP($B193,Lenso_Input!$A:$A,Lenso_Input!$E:$E,0),0),Y192+AS192))</f>
        <v/>
      </c>
      <c r="Z193" s="28" t="str">
        <f t="array" ref="Z193">IF($I192="","",IF(AND(C193="Q",C192&lt;&gt;"Q"),IFERROR(XLOOKUP($B193,Lenso_Input!$A:$A,Lenso_Input!$I:$I,0),0),Z192+AT192))</f>
        <v/>
      </c>
      <c r="AA193" s="28" t="str">
        <f t="array" ref="AA193">IF($I192="","",IF(XLOOKUP($B193,Derived_Variables!$A:$A,Derived_Variables!$R:$R,"6/6_target")="6/6_target","20_20_20","40_30_25"))</f>
        <v/>
      </c>
      <c r="AB193" s="28" t="str">
        <f t="array" ref="AB193">IF($I192="","",XLOOKUP(LOWER(XLOOKUP($B193,Derived_Variables!$A:$A,Derived_Variables!$T:$T,"Standard"))&amp;"_sph_step",Calibration!$B:$B,Calibration!$C:$C,0.25))</f>
        <v/>
      </c>
      <c r="AC193" s="28" t="str">
        <f t="array" ref="AC193">IF($I192="","",XLOOKUP(LOWER(XLOOKUP($B193,Derived_Variables!$A:$A,Derived_Variables!$T:$T,"Standard"))&amp;"_cyl_step",Calibration!$B:$B,Calibration!$C:$C,0.25))</f>
        <v/>
      </c>
      <c r="AD193" s="28" t="str">
        <f t="array" ref="AD193">IF($I192="","",IF(OR(C193="E",C193="H"),LET(startStep,XLOOKUP("axis_start_step",Calibration!$B:$B,Calibration!$C:$C,5),step1,XLOOKUP("axis_reversal_step_1",Calibration!$B:$B,Calibration!$C:$C,3),step2,XLOOKUP("axis_reversal_step_2",Calibration!$B:$B,Calibration!$C:$C,1),IF(OR(C192&lt;&gt;C193,AZ193="",AZ193="SAME",AZ193="CANT_TELL",I193="",I193="SAME",I193="CANT_TELL"),startStep,IF(OR(AND(AZ193="BETTER_1",I193="BETTER_2"),AND(AZ193="BETTER_2",I193="BETTER_1")),IF(AD192&gt;step1,step1,step2),AD192))),0))</f>
        <v/>
      </c>
      <c r="AE193" s="28" t="str">
        <f t="array" ref="AE193">IF($I192="","",XLOOKUP($B193,Derived_Variables!$A:$A,Derived_Variables!$AD:$AD,"No_Fog"))</f>
        <v/>
      </c>
      <c r="AF193" s="28" t="str">
        <f t="array" ref="AF193">IF($I192="","",XLOOKUP($B193,Derived_Variables!$A:$A,Derived_Variables!$AE:$AE,0))</f>
        <v/>
      </c>
      <c r="AG193" s="28" t="str">
        <f t="array" ref="AG193">IF($I192="","",XLOOKUP($B193,Derived_Variables!$A:$A,Derived_Variables!$AF:$AF,""))</f>
        <v/>
      </c>
      <c r="AH193" s="28" t="str">
        <f t="array" ref="AH193">IF($I192="","",XLOOKUP($B193,Derived_Variables!$A:$A,Derived_Variables!$AG:$AG,""))</f>
        <v/>
      </c>
      <c r="AI193" s="28" t="str">
        <f t="array" ref="AI193">IF($I192="","",XLOOKUP($B193,Derived_Variables!$A:$A,Derived_Variables!$AC:$AC,"Medium"))</f>
        <v/>
      </c>
      <c r="AJ193" s="28" t="str">
        <f t="array" ref="AJ193">IF($I192="","",XLOOKUP($B193,Derived_Variables!$A:$A,Derived_Variables!$Y:$Y,FALSE))</f>
        <v/>
      </c>
      <c r="AK193" s="28" t="str">
        <f t="array" ref="AK193">IF($I192="","",XLOOKUP($B193,Derived_Variables!$A:$A,Derived_Variables!$AA:$AA,"Normal"))</f>
        <v/>
      </c>
      <c r="AL193" s="28" t="str">
        <f t="array" ref="AL193">IF($I192="","",XLOOKUP($B193,Derived_Variables!$A:$A,Derived_Variables!$AB:$AB,"Normal"))</f>
        <v/>
      </c>
      <c r="AM193" s="28" t="str">
        <f t="array" ref="AM193">IF($I193="","",IFS(C193="B",IF(OR(I193="NOT_READABLE",I193="BLURRY"),-AB193,0),C193="G",IFS(I193="RED_CLEARER",XLOOKUP("duochrome_red_step",Calibration!$B:$B,Calibration!$C:$C,-0.25),I193="GREEN_CLEARER",XLOOKUP("duochrome_green_step",Calibration!$B:$B,Calibration!$C:$C,0.25),I193="EQUAL",IF(XLOOKUP($B193,Derived_Variables!$A:$A,Derived_Variables!$S:$S,"Neutral")="Undercorrect",XLOOKUP("undercorrect_step",Calibration!$B:$B,Calibration!$C:$C,0.25),IF(XLOOKUP($B193,Derived_Variables!$A:$A,Derived_Variables!$S:$S,"Neutral")="Overcorrect",-XLOOKUP("overcorrect_step",Calibration!$B:$B,Calibration!$C:$C,0.25),0)),TRUE,0),C193="K",IF(I193="TOP_CLEARER",XLOOKUP("bino_balance_step",Calibration!$B:$B,Calibration!$C:$C,0.25),0),TRUE,0))</f>
        <v/>
      </c>
      <c r="AN193" s="28" t="str">
        <f t="shared" si="10"/>
        <v/>
      </c>
      <c r="AO193" s="28" t="str">
        <f t="shared" si="11"/>
        <v/>
      </c>
      <c r="AP193" s="28" t="str">
        <f t="array" ref="AP193">IF($I193="","",IFS(C193="D",IF(OR(I193="NOT_READABLE",I193="BLURRY"),-AB193,0),C193="J",IFS(I193="RED_CLEARER",XLOOKUP("duochrome_red_step",Calibration!$B:$B,Calibration!$C:$C,-0.25),I193="GREEN_CLEARER",XLOOKUP("duochrome_green_step",Calibration!$B:$B,Calibration!$C:$C,0.25),I193="EQUAL",IF(XLOOKUP($B193,Derived_Variables!$A:$A,Derived_Variables!$S:$S,"Neutral")="Undercorrect",XLOOKUP("undercorrect_step",Calibration!$B:$B,Calibration!$C:$C,0.25),IF(XLOOKUP($B193,Derived_Variables!$A:$A,Derived_Variables!$S:$S,"Neutral")="Overcorrect",-XLOOKUP("overcorrect_step",Calibration!$B:$B,Calibration!$C:$C,0.25),0)),TRUE,0),C193="K",IF(I193="BOTTOM_CLEARER",XLOOKUP("bino_balance_step",Calibration!$B:$B,Calibration!$C:$C,0.25),0),TRUE,0))</f>
        <v/>
      </c>
      <c r="AQ193" s="28" t="str">
        <f t="shared" si="12"/>
        <v/>
      </c>
      <c r="AR193" s="28" t="str">
        <f t="shared" si="13"/>
        <v/>
      </c>
      <c r="AS193" s="28" t="str">
        <f t="array" ref="AS193">IF($I193="","",IF(C193="P",IF(OR(I193="NOT_READABLE",I193="BLURRY"),XLOOKUP("near_add_step",Calibration!$B:$B,Calibration!$C:$C,0.25),0),IF(C193="R",IF(I193="NOT_CLEAR",XLOOKUP("near_add_step",Calibration!$B:$B,Calibration!$C:$C,0.25),0),0)))</f>
        <v/>
      </c>
      <c r="AT193" s="28" t="str">
        <f t="array" ref="AT193">IF($I193="","",IF(C193="Q",IF(OR(I193="NOT_READABLE",I193="BLURRY"),XLOOKUP("near_add_step",Calibration!$B:$B,Calibration!$C:$C,0.25),0),IF(C193="R",IF(I193="NOT_CLEAR",XLOOKUP("near_add_step",Calibration!$B:$B,Calibration!$C:$C,0.25),0),0)))</f>
        <v/>
      </c>
      <c r="AU193" s="28" t="str">
        <f t="array" ref="AU193">IF($I193="","",IF(G193="SNELLEN_FEET",IF(I193="READABLE",IFERROR(XLOOKUP(XLOOKUP(R193,Chart_Scale_Distance!B:B,Chart_Scale_Distance!A:A)+1,Chart_Scale_Distance!A:A,Chart_Scale_Distance!B:B),R193),R193),R193))</f>
        <v/>
      </c>
      <c r="AV193" s="28" t="str">
        <f t="array" ref="AV193">IF($I192="","",IFERROR(XLOOKUP(R193,Chart_Scale_Distance!$B:$B,Chart_Scale_Distance!$A:$A,""),""))</f>
        <v/>
      </c>
      <c r="AW193" s="28" t="str">
        <f t="array" ref="AW193">IF($I192="","",IFERROR(XLOOKUP(AA193,Chart_Scale_Distance!$B:$B,Chart_Scale_Distance!$A:$A,""),""))</f>
        <v/>
      </c>
      <c r="AX193" s="28" t="str">
        <f t="shared" si="14"/>
        <v/>
      </c>
      <c r="AY193" s="28" t="str">
        <f t="shared" si="15"/>
        <v/>
      </c>
      <c r="AZ193" s="28" t="str">
        <f t="shared" si="16"/>
        <v/>
      </c>
      <c r="BA193" s="28" t="str">
        <f t="shared" si="17"/>
        <v/>
      </c>
      <c r="BB193" s="28" t="str">
        <f t="shared" si="18"/>
        <v/>
      </c>
      <c r="BC193" s="28" t="str">
        <f t="array" ref="BC193">IF($I193="","",LET(
conf,AI193,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duoMax,XLOOKUP($B193,Derived_Variables!$A:$A,Derived_Variables!$AI:$AI,4),
axisTol,XLOOKUP($B193,Derived_Variables!$A:$A,Derived_Variables!$W:$W,1),
maxStart,XLOOKUP($B193,Derived_Variables!$A:$A,Derived_Variables!$U:$U,1.25),
maxAR,XLOOKUP($B193,Derived_Variables!$A:$A,Derived_Variables!$V:$V,3),
anom,XLOOKUP($B193,Derived_Variables!$A:$A,Derived_Variables!$Z:$Z,FALSE),
reStart,XLOOKUP($B193,Derived_Variables!$A:$A,Derived_Variables!$K:$K,0),
leStart,XLOOKUP($B193,Derived_Variables!$A:$A,Derived_Variables!$N:$N,0),
reAR,XLOOKUP($B193,AR_Input!$A:$A,AR_Input!$B:$B,reStart),
leAR,XLOOKUP($B193,AR_Input!$A:$A,AR_Input!$E:$E,leStart),
reEsc,AND(anom,OR(ABS((S193+AM193)-reStart)&gt;maxStart,ABS((S193+AM193)-reAR)&gt;maxAR)),
leEsc,AND(anom,OR(ABS((V193+AP193)-leStart)&gt;maxStart,ABS((V193+AP193)-leAR)&gt;maxAR)),
phaseMax,IFS(
 AK193="Fast",
   IFS(
     OR(C193="B",C193="D"),XLOOKUP("timeout_coarse_fast",Calibration!$B:$B,Calibration!$C:$C,24),
     OR(C193="E",C193="F",C193="H",C193="I"),XLOOKUP("timeout_jcc_fast",Calibration!$B:$B,Calibration!$C:$C,10),
     OR(C193="G",C193="J"),XLOOKUP("timeout_duochrome_fast",Calibration!$B:$B,Calibration!$C:$C,8),
     C193="K",XLOOKUP("timeout_bino_fast",Calibration!$B:$B,Calibration!$C:$C,10),
     OR(C193="P",C193="Q",C193="R"),XLOOKUP("timeout_near_fast",Calibration!$B:$B,Calibration!$C:$C,16),
     TRUE,XLOOKUP("timeout_coarse_fast",Calibration!$B:$B,Calibration!$C:$C,24)
   ),
 AK193="Normal",
   IFS(
     OR(C193="B",C193="D"),XLOOKUP("timeout_coarse_normal",Calibration!$B:$B,Calibration!$C:$C,36),
     OR(C193="E",C193="F",C193="H",C193="I"),XLOOKUP("timeout_jcc_normal",Calibration!$B:$B,Calibration!$C:$C,14),
     OR(C193="G",C193="J"),XLOOKUP("timeout_duochrome_normal",Calibration!$B:$B,Calibration!$C:$C,10),
     C193="K",XLOOKUP("timeout_bino_normal",Calibration!$B:$B,Calibration!$C:$C,14),
     OR(C193="P",C193="Q",C193="R"),XLOOKUP("timeout_near_normal",Calibration!$B:$B,Calibration!$C:$C,22),
     TRUE,XLOOKUP("timeout_coarse_normal",Calibration!$B:$B,Calibration!$C:$C,36)
   ),
 TRUE,
   IFS(
     OR(C193="B",C193="D"),XLOOKUP("timeout_coarse_slow",Calibration!$B:$B,Calibration!$C:$C,48),
     OR(C193="E",C193="F",C193="H",C193="I"),XLOOKUP("timeout_jcc_slow",Calibration!$B:$B,Calibration!$C:$C,18),
     OR(C193="G",C193="J"),XLOOKUP("timeout_duochrome_slow",Calibration!$B:$B,Calibration!$C:$C,12),
     C193="K",XLOOKUP("timeout_bino_slow",Calibration!$B:$B,Calibration!$C:$C,18),
     OR(C193="P",C193="Q",C193="R"),XLOOKUP("timeout_near_slow",Calibration!$B:$B,Calibration!$C:$C,28),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AJ193=TRUE,"ESCALATE",
C193="A",
IF(OR(I193="NOT_READABLE",I193="BLURRY",AND(R193="20_20_20",I193="READABLE")),"B","A"),
C193="B",
IF(reEsc,"ESCALATE",IF(AY193&gt;=phaseMax,"ESCALATE",IF(AND(AV193&gt;=AW193,I193="READABLE"),"E","B"))),
C193="E",
IF(AY193&gt;=phaseMax,"ESCALATE",IF(OR(I193="SAME",I193="CANT_TELL",AD193&lt;axisTol),"F","E")),
C193="F",
IF(AY193&gt;=phaseMax,"ESCALATE",IF(AX193&gt;=powerSameN,"G","F")),
C193="G",
IF(AY193&gt;=phaseMax,"ESCALATE",IF(OR(AX193&gt;=duoEqualN,BB193&gt;=duoMax),"D","G")),
C193="D",
IF(leEsc,"ESCALATE",IF(AY193&gt;=phaseMax,"ESCALATE",IF(AND(AV193&gt;=AW193,I193="READABLE"),"H","D"))),
C193="H",
IF(AY193&gt;=phaseMax,"ESCALATE",IF(OR(I193="SAME",I193="CANT_TELL",AD193&lt;axisTol),"I","H")),
C193="I",
IF(AY193&gt;=phaseMax,"ESCALATE",IF(AX193&gt;=powerSameN,"J","I")),
C193="J",
IF(AY193&gt;=phaseMax,"ESCALATE",IF(OR(AX193&gt;=duoEqualN,BB193&gt;=duoMax),"K","J")),
C193="K",
IF(AY193&gt;=phaseMax,"ESCALATE",IF(AX193&gt;=binoSameN,IF(XLOOKUP($B193,Derived_Variables!$A:$A,Derived_Variables!$AJ:$AJ,FALSE)=TRUE,"P","END"),"K")),
C193="P",
IF(AY193&gt;=phaseMax,"ESCALATE",IF(OR(I193="READABLE",I193="SAME"),"Q","P")),
C193="Q",
IF(AY193&gt;=phaseMax,"ESCALATE",IF(OR(I193="READABLE",I193="SAME"),"R","Q")),
C193="R",
IF(AY193&gt;=phaseMax,"ESCALATE",IF(OR(I193=nearTarget,I193="SAME"),"END","R")),
TRUE,"END"
)))</f>
        <v/>
      </c>
      <c r="BD193" s="28" t="b">
        <f t="shared" si="19"/>
        <v>0</v>
      </c>
    </row>
    <row r="194" ht="15.75" customHeight="1">
      <c r="A194" s="28">
        <f t="shared" si="3"/>
        <v>193</v>
      </c>
      <c r="B194" s="28">
        <f t="shared" si="4"/>
        <v>6</v>
      </c>
      <c r="C194" s="28" t="str">
        <f t="shared" si="5"/>
        <v/>
      </c>
      <c r="D194" s="28" t="str">
        <f t="array" ref="D194">IF($I193="","",XLOOKUP(C194,FSM_State_Map!A:A,FSM_State_Map!B:B,""))</f>
        <v/>
      </c>
      <c r="E194" s="28" t="str">
        <f t="array" ref="E194">IF($I193="","",XLOOKUP(C194,FSM_State_Map!A:A,FSM_State_Map!C:C,""))</f>
        <v/>
      </c>
      <c r="F194" s="28" t="str">
        <f t="array" ref="F194">IF($I193="","",XLOOKUP(E194,Phase_UI_Map!A:A,Phase_UI_Map!B:B,""))</f>
        <v/>
      </c>
      <c r="G194" s="28" t="str">
        <f t="array" ref="G194">IF($I193="","",XLOOKUP(E194,Phase_UI_Map!A:A,Phase_UI_Map!C:C,""))</f>
        <v/>
      </c>
      <c r="H194" s="28" t="str">
        <f t="array" ref="H194">IF($I193="","",XLOOKUP(E194,Phase_UI_Map!A:A,Phase_UI_Map!D:D,""))</f>
        <v/>
      </c>
      <c r="I194" s="29"/>
      <c r="J194" s="28" t="str">
        <f>IFERROR(__xludf.DUMMYFUNCTION("IF($I193="""","""",IFERROR(INDEX(FILTER(Response_Lists!$B:$B,Response_Lists!$A:$A=$H194),1),""""))"),"")</f>
        <v/>
      </c>
      <c r="K194" s="28" t="str">
        <f>IFERROR(__xludf.DUMMYFUNCTION("IF($I193="""","""",IFERROR(INDEX(FILTER(Response_Lists!$B:$B,Response_Lists!$A:$A=$H194),2),""""))"),"")</f>
        <v/>
      </c>
      <c r="L194" s="28" t="str">
        <f>IFERROR(__xludf.DUMMYFUNCTION("IF($I193="""","""",IFERROR(INDEX(FILTER(Response_Lists!$B:$B,Response_Lists!$A:$A=$H194),3),""""))"),"")</f>
        <v/>
      </c>
      <c r="M194" s="28" t="str">
        <f>IFERROR(__xludf.DUMMYFUNCTION("IF($I193="""","""",IFERROR(INDEX(FILTER(Response_Lists!$B:$B,Response_Lists!$A:$A=$H194),4),""""))"),"")</f>
        <v/>
      </c>
      <c r="N194" s="28" t="str">
        <f>IFERROR(__xludf.DUMMYFUNCTION("IF($I193="""","""",IFERROR(INDEX(FILTER(Response_Lists!$B:$B,Response_Lists!$A:$A=$H194),5),""""))"),"")</f>
        <v/>
      </c>
      <c r="O194" s="28" t="str">
        <f>IFERROR(__xludf.DUMMYFUNCTION("IF($I193="""","""",IFERROR(INDEX(FILTER(Response_Lists!$B:$B,Response_Lists!$A:$A=$H194),6),""""))"),"")</f>
        <v/>
      </c>
      <c r="P194" s="28" t="str">
        <f t="shared" si="6"/>
        <v/>
      </c>
      <c r="Q194" s="28" t="str">
        <f t="array" ref="Q194">IF($I193="","",XLOOKUP(C194,FSM_State_Map!A:A,FSM_State_Map!D:D,""))</f>
        <v/>
      </c>
      <c r="R194" s="28" t="str">
        <f t="shared" si="7"/>
        <v/>
      </c>
      <c r="S194" s="28" t="str">
        <f t="array" ref="S194">IF($I193="","",
IF(
  AND(C194="B",C193&lt;&gt;"B"),
  XLOOKUP($B194,Derived_Variables!$A:$A,Derived_Variables!$K:$K,0)
  + XLOOKUP($B194,Derived_Variables!$A:$A,Derived_Variables!$AE:$AE,0),
  S193+AM193
))</f>
        <v/>
      </c>
      <c r="T194" s="28" t="str">
        <f t="shared" ref="T194:U194" si="398">IF($I193="","",T193+AN193)</f>
        <v/>
      </c>
      <c r="U194" s="28" t="str">
        <f t="shared" si="398"/>
        <v/>
      </c>
      <c r="V194" s="28" t="str">
        <f t="array" ref="V194">IF($I193="","",
IF(
  AND(C194="D",C193&lt;&gt;"D"),
  XLOOKUP($B194,Derived_Variables!$A:$A,Derived_Variables!$N:$N,0)
  + XLOOKUP($B194,Derived_Variables!$A:$A,Derived_Variables!$AE:$AE,0),
  V193+AP193
))</f>
        <v/>
      </c>
      <c r="W194" s="28" t="str">
        <f t="shared" ref="W194:X194" si="399">IF($I193="","",W193+AQ193)</f>
        <v/>
      </c>
      <c r="X194" s="28" t="str">
        <f t="shared" si="399"/>
        <v/>
      </c>
      <c r="Y194" s="28" t="str">
        <f t="array" ref="Y194">IF($I193="","",IF(AND(C194="P",C193&lt;&gt;"P"),IFERROR(XLOOKUP($B194,Lenso_Input!$A:$A,Lenso_Input!$E:$E,0),0),Y193+AS193))</f>
        <v/>
      </c>
      <c r="Z194" s="28" t="str">
        <f t="array" ref="Z194">IF($I193="","",IF(AND(C194="Q",C193&lt;&gt;"Q"),IFERROR(XLOOKUP($B194,Lenso_Input!$A:$A,Lenso_Input!$I:$I,0),0),Z193+AT193))</f>
        <v/>
      </c>
      <c r="AA194" s="28" t="str">
        <f t="array" ref="AA194">IF($I193="","",IF(XLOOKUP($B194,Derived_Variables!$A:$A,Derived_Variables!$R:$R,"6/6_target")="6/6_target","20_20_20","40_30_25"))</f>
        <v/>
      </c>
      <c r="AB194" s="28" t="str">
        <f t="array" ref="AB194">IF($I193="","",XLOOKUP(LOWER(XLOOKUP($B194,Derived_Variables!$A:$A,Derived_Variables!$T:$T,"Standard"))&amp;"_sph_step",Calibration!$B:$B,Calibration!$C:$C,0.25))</f>
        <v/>
      </c>
      <c r="AC194" s="28" t="str">
        <f t="array" ref="AC194">IF($I193="","",XLOOKUP(LOWER(XLOOKUP($B194,Derived_Variables!$A:$A,Derived_Variables!$T:$T,"Standard"))&amp;"_cyl_step",Calibration!$B:$B,Calibration!$C:$C,0.25))</f>
        <v/>
      </c>
      <c r="AD194" s="28" t="str">
        <f t="array" ref="AD194">IF($I193="","",IF(OR(C194="E",C194="H"),LET(startStep,XLOOKUP("axis_start_step",Calibration!$B:$B,Calibration!$C:$C,5),step1,XLOOKUP("axis_reversal_step_1",Calibration!$B:$B,Calibration!$C:$C,3),step2,XLOOKUP("axis_reversal_step_2",Calibration!$B:$B,Calibration!$C:$C,1),IF(OR(C193&lt;&gt;C194,AZ194="",AZ194="SAME",AZ194="CANT_TELL",I194="",I194="SAME",I194="CANT_TELL"),startStep,IF(OR(AND(AZ194="BETTER_1",I194="BETTER_2"),AND(AZ194="BETTER_2",I194="BETTER_1")),IF(AD193&gt;step1,step1,step2),AD193))),0))</f>
        <v/>
      </c>
      <c r="AE194" s="28" t="str">
        <f t="array" ref="AE194">IF($I193="","",XLOOKUP($B194,Derived_Variables!$A:$A,Derived_Variables!$AD:$AD,"No_Fog"))</f>
        <v/>
      </c>
      <c r="AF194" s="28" t="str">
        <f t="array" ref="AF194">IF($I193="","",XLOOKUP($B194,Derived_Variables!$A:$A,Derived_Variables!$AE:$AE,0))</f>
        <v/>
      </c>
      <c r="AG194" s="28" t="str">
        <f t="array" ref="AG194">IF($I193="","",XLOOKUP($B194,Derived_Variables!$A:$A,Derived_Variables!$AF:$AF,""))</f>
        <v/>
      </c>
      <c r="AH194" s="28" t="str">
        <f t="array" ref="AH194">IF($I193="","",XLOOKUP($B194,Derived_Variables!$A:$A,Derived_Variables!$AG:$AG,""))</f>
        <v/>
      </c>
      <c r="AI194" s="28" t="str">
        <f t="array" ref="AI194">IF($I193="","",XLOOKUP($B194,Derived_Variables!$A:$A,Derived_Variables!$AC:$AC,"Medium"))</f>
        <v/>
      </c>
      <c r="AJ194" s="28" t="str">
        <f t="array" ref="AJ194">IF($I193="","",XLOOKUP($B194,Derived_Variables!$A:$A,Derived_Variables!$Y:$Y,FALSE))</f>
        <v/>
      </c>
      <c r="AK194" s="28" t="str">
        <f t="array" ref="AK194">IF($I193="","",XLOOKUP($B194,Derived_Variables!$A:$A,Derived_Variables!$AA:$AA,"Normal"))</f>
        <v/>
      </c>
      <c r="AL194" s="28" t="str">
        <f t="array" ref="AL194">IF($I193="","",XLOOKUP($B194,Derived_Variables!$A:$A,Derived_Variables!$AB:$AB,"Normal"))</f>
        <v/>
      </c>
      <c r="AM194" s="28" t="str">
        <f t="array" ref="AM194">IF($I194="","",IFS(C194="B",IF(OR(I194="NOT_READABLE",I194="BLURRY"),-AB194,0),C194="G",IFS(I194="RED_CLEARER",XLOOKUP("duochrome_red_step",Calibration!$B:$B,Calibration!$C:$C,-0.25),I194="GREEN_CLEARER",XLOOKUP("duochrome_green_step",Calibration!$B:$B,Calibration!$C:$C,0.25),I194="EQUAL",IF(XLOOKUP($B194,Derived_Variables!$A:$A,Derived_Variables!$S:$S,"Neutral")="Undercorrect",XLOOKUP("undercorrect_step",Calibration!$B:$B,Calibration!$C:$C,0.25),IF(XLOOKUP($B194,Derived_Variables!$A:$A,Derived_Variables!$S:$S,"Neutral")="Overcorrect",-XLOOKUP("overcorrect_step",Calibration!$B:$B,Calibration!$C:$C,0.25),0)),TRUE,0),C194="K",IF(I194="TOP_CLEARER",XLOOKUP("bino_balance_step",Calibration!$B:$B,Calibration!$C:$C,0.25),0),TRUE,0))</f>
        <v/>
      </c>
      <c r="AN194" s="28" t="str">
        <f t="shared" si="10"/>
        <v/>
      </c>
      <c r="AO194" s="28" t="str">
        <f t="shared" si="11"/>
        <v/>
      </c>
      <c r="AP194" s="28" t="str">
        <f t="array" ref="AP194">IF($I194="","",IFS(C194="D",IF(OR(I194="NOT_READABLE",I194="BLURRY"),-AB194,0),C194="J",IFS(I194="RED_CLEARER",XLOOKUP("duochrome_red_step",Calibration!$B:$B,Calibration!$C:$C,-0.25),I194="GREEN_CLEARER",XLOOKUP("duochrome_green_step",Calibration!$B:$B,Calibration!$C:$C,0.25),I194="EQUAL",IF(XLOOKUP($B194,Derived_Variables!$A:$A,Derived_Variables!$S:$S,"Neutral")="Undercorrect",XLOOKUP("undercorrect_step",Calibration!$B:$B,Calibration!$C:$C,0.25),IF(XLOOKUP($B194,Derived_Variables!$A:$A,Derived_Variables!$S:$S,"Neutral")="Overcorrect",-XLOOKUP("overcorrect_step",Calibration!$B:$B,Calibration!$C:$C,0.25),0)),TRUE,0),C194="K",IF(I194="BOTTOM_CLEARER",XLOOKUP("bino_balance_step",Calibration!$B:$B,Calibration!$C:$C,0.25),0),TRUE,0))</f>
        <v/>
      </c>
      <c r="AQ194" s="28" t="str">
        <f t="shared" si="12"/>
        <v/>
      </c>
      <c r="AR194" s="28" t="str">
        <f t="shared" si="13"/>
        <v/>
      </c>
      <c r="AS194" s="28" t="str">
        <f t="array" ref="AS194">IF($I194="","",IF(C194="P",IF(OR(I194="NOT_READABLE",I194="BLURRY"),XLOOKUP("near_add_step",Calibration!$B:$B,Calibration!$C:$C,0.25),0),IF(C194="R",IF(I194="NOT_CLEAR",XLOOKUP("near_add_step",Calibration!$B:$B,Calibration!$C:$C,0.25),0),0)))</f>
        <v/>
      </c>
      <c r="AT194" s="28" t="str">
        <f t="array" ref="AT194">IF($I194="","",IF(C194="Q",IF(OR(I194="NOT_READABLE",I194="BLURRY"),XLOOKUP("near_add_step",Calibration!$B:$B,Calibration!$C:$C,0.25),0),IF(C194="R",IF(I194="NOT_CLEAR",XLOOKUP("near_add_step",Calibration!$B:$B,Calibration!$C:$C,0.25),0),0)))</f>
        <v/>
      </c>
      <c r="AU194" s="28" t="str">
        <f t="array" ref="AU194">IF($I194="","",IF(G194="SNELLEN_FEET",IF(I194="READABLE",IFERROR(XLOOKUP(XLOOKUP(R194,Chart_Scale_Distance!B:B,Chart_Scale_Distance!A:A)+1,Chart_Scale_Distance!A:A,Chart_Scale_Distance!B:B),R194),R194),R194))</f>
        <v/>
      </c>
      <c r="AV194" s="28" t="str">
        <f t="array" ref="AV194">IF($I193="","",IFERROR(XLOOKUP(R194,Chart_Scale_Distance!$B:$B,Chart_Scale_Distance!$A:$A,""),""))</f>
        <v/>
      </c>
      <c r="AW194" s="28" t="str">
        <f t="array" ref="AW194">IF($I193="","",IFERROR(XLOOKUP(AA194,Chart_Scale_Distance!$B:$B,Chart_Scale_Distance!$A:$A,""),""))</f>
        <v/>
      </c>
      <c r="AX194" s="28" t="str">
        <f t="shared" si="14"/>
        <v/>
      </c>
      <c r="AY194" s="28" t="str">
        <f t="shared" si="15"/>
        <v/>
      </c>
      <c r="AZ194" s="28" t="str">
        <f t="shared" si="16"/>
        <v/>
      </c>
      <c r="BA194" s="28" t="str">
        <f t="shared" si="17"/>
        <v/>
      </c>
      <c r="BB194" s="28" t="str">
        <f t="shared" si="18"/>
        <v/>
      </c>
      <c r="BC194" s="28" t="str">
        <f t="array" ref="BC194">IF($I194="","",LET(
conf,AI194,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duoMax,XLOOKUP($B194,Derived_Variables!$A:$A,Derived_Variables!$AI:$AI,4),
axisTol,XLOOKUP($B194,Derived_Variables!$A:$A,Derived_Variables!$W:$W,1),
maxStart,XLOOKUP($B194,Derived_Variables!$A:$A,Derived_Variables!$U:$U,1.25),
maxAR,XLOOKUP($B194,Derived_Variables!$A:$A,Derived_Variables!$V:$V,3),
anom,XLOOKUP($B194,Derived_Variables!$A:$A,Derived_Variables!$Z:$Z,FALSE),
reStart,XLOOKUP($B194,Derived_Variables!$A:$A,Derived_Variables!$K:$K,0),
leStart,XLOOKUP($B194,Derived_Variables!$A:$A,Derived_Variables!$N:$N,0),
reAR,XLOOKUP($B194,AR_Input!$A:$A,AR_Input!$B:$B,reStart),
leAR,XLOOKUP($B194,AR_Input!$A:$A,AR_Input!$E:$E,leStart),
reEsc,AND(anom,OR(ABS((S194+AM194)-reStart)&gt;maxStart,ABS((S194+AM194)-reAR)&gt;maxAR)),
leEsc,AND(anom,OR(ABS((V194+AP194)-leStart)&gt;maxStart,ABS((V194+AP194)-leAR)&gt;maxAR)),
phaseMax,IFS(
 AK194="Fast",
   IFS(
     OR(C194="B",C194="D"),XLOOKUP("timeout_coarse_fast",Calibration!$B:$B,Calibration!$C:$C,24),
     OR(C194="E",C194="F",C194="H",C194="I"),XLOOKUP("timeout_jcc_fast",Calibration!$B:$B,Calibration!$C:$C,10),
     OR(C194="G",C194="J"),XLOOKUP("timeout_duochrome_fast",Calibration!$B:$B,Calibration!$C:$C,8),
     C194="K",XLOOKUP("timeout_bino_fast",Calibration!$B:$B,Calibration!$C:$C,10),
     OR(C194="P",C194="Q",C194="R"),XLOOKUP("timeout_near_fast",Calibration!$B:$B,Calibration!$C:$C,16),
     TRUE,XLOOKUP("timeout_coarse_fast",Calibration!$B:$B,Calibration!$C:$C,24)
   ),
 AK194="Normal",
   IFS(
     OR(C194="B",C194="D"),XLOOKUP("timeout_coarse_normal",Calibration!$B:$B,Calibration!$C:$C,36),
     OR(C194="E",C194="F",C194="H",C194="I"),XLOOKUP("timeout_jcc_normal",Calibration!$B:$B,Calibration!$C:$C,14),
     OR(C194="G",C194="J"),XLOOKUP("timeout_duochrome_normal",Calibration!$B:$B,Calibration!$C:$C,10),
     C194="K",XLOOKUP("timeout_bino_normal",Calibration!$B:$B,Calibration!$C:$C,14),
     OR(C194="P",C194="Q",C194="R"),XLOOKUP("timeout_near_normal",Calibration!$B:$B,Calibration!$C:$C,22),
     TRUE,XLOOKUP("timeout_coarse_normal",Calibration!$B:$B,Calibration!$C:$C,36)
   ),
 TRUE,
   IFS(
     OR(C194="B",C194="D"),XLOOKUP("timeout_coarse_slow",Calibration!$B:$B,Calibration!$C:$C,48),
     OR(C194="E",C194="F",C194="H",C194="I"),XLOOKUP("timeout_jcc_slow",Calibration!$B:$B,Calibration!$C:$C,18),
     OR(C194="G",C194="J"),XLOOKUP("timeout_duochrome_slow",Calibration!$B:$B,Calibration!$C:$C,12),
     C194="K",XLOOKUP("timeout_bino_slow",Calibration!$B:$B,Calibration!$C:$C,18),
     OR(C194="P",C194="Q",C194="R"),XLOOKUP("timeout_near_slow",Calibration!$B:$B,Calibration!$C:$C,28),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AJ194=TRUE,"ESCALATE",
C194="A",
IF(OR(I194="NOT_READABLE",I194="BLURRY",AND(R194="20_20_20",I194="READABLE")),"B","A"),
C194="B",
IF(reEsc,"ESCALATE",IF(AY194&gt;=phaseMax,"ESCALATE",IF(AND(AV194&gt;=AW194,I194="READABLE"),"E","B"))),
C194="E",
IF(AY194&gt;=phaseMax,"ESCALATE",IF(OR(I194="SAME",I194="CANT_TELL",AD194&lt;axisTol),"F","E")),
C194="F",
IF(AY194&gt;=phaseMax,"ESCALATE",IF(AX194&gt;=powerSameN,"G","F")),
C194="G",
IF(AY194&gt;=phaseMax,"ESCALATE",IF(OR(AX194&gt;=duoEqualN,BB194&gt;=duoMax),"D","G")),
C194="D",
IF(leEsc,"ESCALATE",IF(AY194&gt;=phaseMax,"ESCALATE",IF(AND(AV194&gt;=AW194,I194="READABLE"),"H","D"))),
C194="H",
IF(AY194&gt;=phaseMax,"ESCALATE",IF(OR(I194="SAME",I194="CANT_TELL",AD194&lt;axisTol),"I","H")),
C194="I",
IF(AY194&gt;=phaseMax,"ESCALATE",IF(AX194&gt;=powerSameN,"J","I")),
C194="J",
IF(AY194&gt;=phaseMax,"ESCALATE",IF(OR(AX194&gt;=duoEqualN,BB194&gt;=duoMax),"K","J")),
C194="K",
IF(AY194&gt;=phaseMax,"ESCALATE",IF(AX194&gt;=binoSameN,IF(XLOOKUP($B194,Derived_Variables!$A:$A,Derived_Variables!$AJ:$AJ,FALSE)=TRUE,"P","END"),"K")),
C194="P",
IF(AY194&gt;=phaseMax,"ESCALATE",IF(OR(I194="READABLE",I194="SAME"),"Q","P")),
C194="Q",
IF(AY194&gt;=phaseMax,"ESCALATE",IF(OR(I194="READABLE",I194="SAME"),"R","Q")),
C194="R",
IF(AY194&gt;=phaseMax,"ESCALATE",IF(OR(I194=nearTarget,I194="SAME"),"END","R")),
TRUE,"END"
)))</f>
        <v/>
      </c>
      <c r="BD194" s="28" t="b">
        <f t="shared" si="19"/>
        <v>0</v>
      </c>
    </row>
    <row r="195" ht="15.75" customHeight="1">
      <c r="A195" s="28">
        <f t="shared" si="3"/>
        <v>194</v>
      </c>
      <c r="B195" s="28">
        <f t="shared" si="4"/>
        <v>6</v>
      </c>
      <c r="C195" s="28" t="str">
        <f t="shared" si="5"/>
        <v/>
      </c>
      <c r="D195" s="28" t="str">
        <f t="array" ref="D195">IF($I194="","",XLOOKUP(C195,FSM_State_Map!A:A,FSM_State_Map!B:B,""))</f>
        <v/>
      </c>
      <c r="E195" s="28" t="str">
        <f t="array" ref="E195">IF($I194="","",XLOOKUP(C195,FSM_State_Map!A:A,FSM_State_Map!C:C,""))</f>
        <v/>
      </c>
      <c r="F195" s="28" t="str">
        <f t="array" ref="F195">IF($I194="","",XLOOKUP(E195,Phase_UI_Map!A:A,Phase_UI_Map!B:B,""))</f>
        <v/>
      </c>
      <c r="G195" s="28" t="str">
        <f t="array" ref="G195">IF($I194="","",XLOOKUP(E195,Phase_UI_Map!A:A,Phase_UI_Map!C:C,""))</f>
        <v/>
      </c>
      <c r="H195" s="28" t="str">
        <f t="array" ref="H195">IF($I194="","",XLOOKUP(E195,Phase_UI_Map!A:A,Phase_UI_Map!D:D,""))</f>
        <v/>
      </c>
      <c r="I195" s="29"/>
      <c r="J195" s="28" t="str">
        <f>IFERROR(__xludf.DUMMYFUNCTION("IF($I194="""","""",IFERROR(INDEX(FILTER(Response_Lists!$B:$B,Response_Lists!$A:$A=$H195),1),""""))"),"")</f>
        <v/>
      </c>
      <c r="K195" s="28" t="str">
        <f>IFERROR(__xludf.DUMMYFUNCTION("IF($I194="""","""",IFERROR(INDEX(FILTER(Response_Lists!$B:$B,Response_Lists!$A:$A=$H195),2),""""))"),"")</f>
        <v/>
      </c>
      <c r="L195" s="28" t="str">
        <f>IFERROR(__xludf.DUMMYFUNCTION("IF($I194="""","""",IFERROR(INDEX(FILTER(Response_Lists!$B:$B,Response_Lists!$A:$A=$H195),3),""""))"),"")</f>
        <v/>
      </c>
      <c r="M195" s="28" t="str">
        <f>IFERROR(__xludf.DUMMYFUNCTION("IF($I194="""","""",IFERROR(INDEX(FILTER(Response_Lists!$B:$B,Response_Lists!$A:$A=$H195),4),""""))"),"")</f>
        <v/>
      </c>
      <c r="N195" s="28" t="str">
        <f>IFERROR(__xludf.DUMMYFUNCTION("IF($I194="""","""",IFERROR(INDEX(FILTER(Response_Lists!$B:$B,Response_Lists!$A:$A=$H195),5),""""))"),"")</f>
        <v/>
      </c>
      <c r="O195" s="28" t="str">
        <f>IFERROR(__xludf.DUMMYFUNCTION("IF($I194="""","""",IFERROR(INDEX(FILTER(Response_Lists!$B:$B,Response_Lists!$A:$A=$H195),6),""""))"),"")</f>
        <v/>
      </c>
      <c r="P195" s="28" t="str">
        <f t="shared" si="6"/>
        <v/>
      </c>
      <c r="Q195" s="28" t="str">
        <f t="array" ref="Q195">IF($I194="","",XLOOKUP(C195,FSM_State_Map!A:A,FSM_State_Map!D:D,""))</f>
        <v/>
      </c>
      <c r="R195" s="28" t="str">
        <f t="shared" si="7"/>
        <v/>
      </c>
      <c r="S195" s="28" t="str">
        <f t="array" ref="S195">IF($I194="","",
IF(
  AND(C195="B",C194&lt;&gt;"B"),
  XLOOKUP($B195,Derived_Variables!$A:$A,Derived_Variables!$K:$K,0)
  + XLOOKUP($B195,Derived_Variables!$A:$A,Derived_Variables!$AE:$AE,0),
  S194+AM194
))</f>
        <v/>
      </c>
      <c r="T195" s="28" t="str">
        <f t="shared" ref="T195:U195" si="400">IF($I194="","",T194+AN194)</f>
        <v/>
      </c>
      <c r="U195" s="28" t="str">
        <f t="shared" si="400"/>
        <v/>
      </c>
      <c r="V195" s="28" t="str">
        <f t="array" ref="V195">IF($I194="","",
IF(
  AND(C195="D",C194&lt;&gt;"D"),
  XLOOKUP($B195,Derived_Variables!$A:$A,Derived_Variables!$N:$N,0)
  + XLOOKUP($B195,Derived_Variables!$A:$A,Derived_Variables!$AE:$AE,0),
  V194+AP194
))</f>
        <v/>
      </c>
      <c r="W195" s="28" t="str">
        <f t="shared" ref="W195:X195" si="401">IF($I194="","",W194+AQ194)</f>
        <v/>
      </c>
      <c r="X195" s="28" t="str">
        <f t="shared" si="401"/>
        <v/>
      </c>
      <c r="Y195" s="28" t="str">
        <f t="array" ref="Y195">IF($I194="","",IF(AND(C195="P",C194&lt;&gt;"P"),IFERROR(XLOOKUP($B195,Lenso_Input!$A:$A,Lenso_Input!$E:$E,0),0),Y194+AS194))</f>
        <v/>
      </c>
      <c r="Z195" s="28" t="str">
        <f t="array" ref="Z195">IF($I194="","",IF(AND(C195="Q",C194&lt;&gt;"Q"),IFERROR(XLOOKUP($B195,Lenso_Input!$A:$A,Lenso_Input!$I:$I,0),0),Z194+AT194))</f>
        <v/>
      </c>
      <c r="AA195" s="28" t="str">
        <f t="array" ref="AA195">IF($I194="","",IF(XLOOKUP($B195,Derived_Variables!$A:$A,Derived_Variables!$R:$R,"6/6_target")="6/6_target","20_20_20","40_30_25"))</f>
        <v/>
      </c>
      <c r="AB195" s="28" t="str">
        <f t="array" ref="AB195">IF($I194="","",XLOOKUP(LOWER(XLOOKUP($B195,Derived_Variables!$A:$A,Derived_Variables!$T:$T,"Standard"))&amp;"_sph_step",Calibration!$B:$B,Calibration!$C:$C,0.25))</f>
        <v/>
      </c>
      <c r="AC195" s="28" t="str">
        <f t="array" ref="AC195">IF($I194="","",XLOOKUP(LOWER(XLOOKUP($B195,Derived_Variables!$A:$A,Derived_Variables!$T:$T,"Standard"))&amp;"_cyl_step",Calibration!$B:$B,Calibration!$C:$C,0.25))</f>
        <v/>
      </c>
      <c r="AD195" s="28" t="str">
        <f t="array" ref="AD195">IF($I194="","",IF(OR(C195="E",C195="H"),LET(startStep,XLOOKUP("axis_start_step",Calibration!$B:$B,Calibration!$C:$C,5),step1,XLOOKUP("axis_reversal_step_1",Calibration!$B:$B,Calibration!$C:$C,3),step2,XLOOKUP("axis_reversal_step_2",Calibration!$B:$B,Calibration!$C:$C,1),IF(OR(C194&lt;&gt;C195,AZ195="",AZ195="SAME",AZ195="CANT_TELL",I195="",I195="SAME",I195="CANT_TELL"),startStep,IF(OR(AND(AZ195="BETTER_1",I195="BETTER_2"),AND(AZ195="BETTER_2",I195="BETTER_1")),IF(AD194&gt;step1,step1,step2),AD194))),0))</f>
        <v/>
      </c>
      <c r="AE195" s="28" t="str">
        <f t="array" ref="AE195">IF($I194="","",XLOOKUP($B195,Derived_Variables!$A:$A,Derived_Variables!$AD:$AD,"No_Fog"))</f>
        <v/>
      </c>
      <c r="AF195" s="28" t="str">
        <f t="array" ref="AF195">IF($I194="","",XLOOKUP($B195,Derived_Variables!$A:$A,Derived_Variables!$AE:$AE,0))</f>
        <v/>
      </c>
      <c r="AG195" s="28" t="str">
        <f t="array" ref="AG195">IF($I194="","",XLOOKUP($B195,Derived_Variables!$A:$A,Derived_Variables!$AF:$AF,""))</f>
        <v/>
      </c>
      <c r="AH195" s="28" t="str">
        <f t="array" ref="AH195">IF($I194="","",XLOOKUP($B195,Derived_Variables!$A:$A,Derived_Variables!$AG:$AG,""))</f>
        <v/>
      </c>
      <c r="AI195" s="28" t="str">
        <f t="array" ref="AI195">IF($I194="","",XLOOKUP($B195,Derived_Variables!$A:$A,Derived_Variables!$AC:$AC,"Medium"))</f>
        <v/>
      </c>
      <c r="AJ195" s="28" t="str">
        <f t="array" ref="AJ195">IF($I194="","",XLOOKUP($B195,Derived_Variables!$A:$A,Derived_Variables!$Y:$Y,FALSE))</f>
        <v/>
      </c>
      <c r="AK195" s="28" t="str">
        <f t="array" ref="AK195">IF($I194="","",XLOOKUP($B195,Derived_Variables!$A:$A,Derived_Variables!$AA:$AA,"Normal"))</f>
        <v/>
      </c>
      <c r="AL195" s="28" t="str">
        <f t="array" ref="AL195">IF($I194="","",XLOOKUP($B195,Derived_Variables!$A:$A,Derived_Variables!$AB:$AB,"Normal"))</f>
        <v/>
      </c>
      <c r="AM195" s="28" t="str">
        <f t="array" ref="AM195">IF($I195="","",IFS(C195="B",IF(OR(I195="NOT_READABLE",I195="BLURRY"),-AB195,0),C195="G",IFS(I195="RED_CLEARER",XLOOKUP("duochrome_red_step",Calibration!$B:$B,Calibration!$C:$C,-0.25),I195="GREEN_CLEARER",XLOOKUP("duochrome_green_step",Calibration!$B:$B,Calibration!$C:$C,0.25),I195="EQUAL",IF(XLOOKUP($B195,Derived_Variables!$A:$A,Derived_Variables!$S:$S,"Neutral")="Undercorrect",XLOOKUP("undercorrect_step",Calibration!$B:$B,Calibration!$C:$C,0.25),IF(XLOOKUP($B195,Derived_Variables!$A:$A,Derived_Variables!$S:$S,"Neutral")="Overcorrect",-XLOOKUP("overcorrect_step",Calibration!$B:$B,Calibration!$C:$C,0.25),0)),TRUE,0),C195="K",IF(I195="TOP_CLEARER",XLOOKUP("bino_balance_step",Calibration!$B:$B,Calibration!$C:$C,0.25),0),TRUE,0))</f>
        <v/>
      </c>
      <c r="AN195" s="28" t="str">
        <f t="shared" si="10"/>
        <v/>
      </c>
      <c r="AO195" s="28" t="str">
        <f t="shared" si="11"/>
        <v/>
      </c>
      <c r="AP195" s="28" t="str">
        <f t="array" ref="AP195">IF($I195="","",IFS(C195="D",IF(OR(I195="NOT_READABLE",I195="BLURRY"),-AB195,0),C195="J",IFS(I195="RED_CLEARER",XLOOKUP("duochrome_red_step",Calibration!$B:$B,Calibration!$C:$C,-0.25),I195="GREEN_CLEARER",XLOOKUP("duochrome_green_step",Calibration!$B:$B,Calibration!$C:$C,0.25),I195="EQUAL",IF(XLOOKUP($B195,Derived_Variables!$A:$A,Derived_Variables!$S:$S,"Neutral")="Undercorrect",XLOOKUP("undercorrect_step",Calibration!$B:$B,Calibration!$C:$C,0.25),IF(XLOOKUP($B195,Derived_Variables!$A:$A,Derived_Variables!$S:$S,"Neutral")="Overcorrect",-XLOOKUP("overcorrect_step",Calibration!$B:$B,Calibration!$C:$C,0.25),0)),TRUE,0),C195="K",IF(I195="BOTTOM_CLEARER",XLOOKUP("bino_balance_step",Calibration!$B:$B,Calibration!$C:$C,0.25),0),TRUE,0))</f>
        <v/>
      </c>
      <c r="AQ195" s="28" t="str">
        <f t="shared" si="12"/>
        <v/>
      </c>
      <c r="AR195" s="28" t="str">
        <f t="shared" si="13"/>
        <v/>
      </c>
      <c r="AS195" s="28" t="str">
        <f t="array" ref="AS195">IF($I195="","",IF(C195="P",IF(OR(I195="NOT_READABLE",I195="BLURRY"),XLOOKUP("near_add_step",Calibration!$B:$B,Calibration!$C:$C,0.25),0),IF(C195="R",IF(I195="NOT_CLEAR",XLOOKUP("near_add_step",Calibration!$B:$B,Calibration!$C:$C,0.25),0),0)))</f>
        <v/>
      </c>
      <c r="AT195" s="28" t="str">
        <f t="array" ref="AT195">IF($I195="","",IF(C195="Q",IF(OR(I195="NOT_READABLE",I195="BLURRY"),XLOOKUP("near_add_step",Calibration!$B:$B,Calibration!$C:$C,0.25),0),IF(C195="R",IF(I195="NOT_CLEAR",XLOOKUP("near_add_step",Calibration!$B:$B,Calibration!$C:$C,0.25),0),0)))</f>
        <v/>
      </c>
      <c r="AU195" s="28" t="str">
        <f t="array" ref="AU195">IF($I195="","",IF(G195="SNELLEN_FEET",IF(I195="READABLE",IFERROR(XLOOKUP(XLOOKUP(R195,Chart_Scale_Distance!B:B,Chart_Scale_Distance!A:A)+1,Chart_Scale_Distance!A:A,Chart_Scale_Distance!B:B),R195),R195),R195))</f>
        <v/>
      </c>
      <c r="AV195" s="28" t="str">
        <f t="array" ref="AV195">IF($I194="","",IFERROR(XLOOKUP(R195,Chart_Scale_Distance!$B:$B,Chart_Scale_Distance!$A:$A,""),""))</f>
        <v/>
      </c>
      <c r="AW195" s="28" t="str">
        <f t="array" ref="AW195">IF($I194="","",IFERROR(XLOOKUP(AA195,Chart_Scale_Distance!$B:$B,Chart_Scale_Distance!$A:$A,""),""))</f>
        <v/>
      </c>
      <c r="AX195" s="28" t="str">
        <f t="shared" si="14"/>
        <v/>
      </c>
      <c r="AY195" s="28" t="str">
        <f t="shared" si="15"/>
        <v/>
      </c>
      <c r="AZ195" s="28" t="str">
        <f t="shared" si="16"/>
        <v/>
      </c>
      <c r="BA195" s="28" t="str">
        <f t="shared" si="17"/>
        <v/>
      </c>
      <c r="BB195" s="28" t="str">
        <f t="shared" si="18"/>
        <v/>
      </c>
      <c r="BC195" s="28" t="str">
        <f t="array" ref="BC195">IF($I195="","",LET(
conf,AI195,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duoMax,XLOOKUP($B195,Derived_Variables!$A:$A,Derived_Variables!$AI:$AI,4),
axisTol,XLOOKUP($B195,Derived_Variables!$A:$A,Derived_Variables!$W:$W,1),
maxStart,XLOOKUP($B195,Derived_Variables!$A:$A,Derived_Variables!$U:$U,1.25),
maxAR,XLOOKUP($B195,Derived_Variables!$A:$A,Derived_Variables!$V:$V,3),
anom,XLOOKUP($B195,Derived_Variables!$A:$A,Derived_Variables!$Z:$Z,FALSE),
reStart,XLOOKUP($B195,Derived_Variables!$A:$A,Derived_Variables!$K:$K,0),
leStart,XLOOKUP($B195,Derived_Variables!$A:$A,Derived_Variables!$N:$N,0),
reAR,XLOOKUP($B195,AR_Input!$A:$A,AR_Input!$B:$B,reStart),
leAR,XLOOKUP($B195,AR_Input!$A:$A,AR_Input!$E:$E,leStart),
reEsc,AND(anom,OR(ABS((S195+AM195)-reStart)&gt;maxStart,ABS((S195+AM195)-reAR)&gt;maxAR)),
leEsc,AND(anom,OR(ABS((V195+AP195)-leStart)&gt;maxStart,ABS((V195+AP195)-leAR)&gt;maxAR)),
phaseMax,IFS(
 AK195="Fast",
   IFS(
     OR(C195="B",C195="D"),XLOOKUP("timeout_coarse_fast",Calibration!$B:$B,Calibration!$C:$C,24),
     OR(C195="E",C195="F",C195="H",C195="I"),XLOOKUP("timeout_jcc_fast",Calibration!$B:$B,Calibration!$C:$C,10),
     OR(C195="G",C195="J"),XLOOKUP("timeout_duochrome_fast",Calibration!$B:$B,Calibration!$C:$C,8),
     C195="K",XLOOKUP("timeout_bino_fast",Calibration!$B:$B,Calibration!$C:$C,10),
     OR(C195="P",C195="Q",C195="R"),XLOOKUP("timeout_near_fast",Calibration!$B:$B,Calibration!$C:$C,16),
     TRUE,XLOOKUP("timeout_coarse_fast",Calibration!$B:$B,Calibration!$C:$C,24)
   ),
 AK195="Normal",
   IFS(
     OR(C195="B",C195="D"),XLOOKUP("timeout_coarse_normal",Calibration!$B:$B,Calibration!$C:$C,36),
     OR(C195="E",C195="F",C195="H",C195="I"),XLOOKUP("timeout_jcc_normal",Calibration!$B:$B,Calibration!$C:$C,14),
     OR(C195="G",C195="J"),XLOOKUP("timeout_duochrome_normal",Calibration!$B:$B,Calibration!$C:$C,10),
     C195="K",XLOOKUP("timeout_bino_normal",Calibration!$B:$B,Calibration!$C:$C,14),
     OR(C195="P",C195="Q",C195="R"),XLOOKUP("timeout_near_normal",Calibration!$B:$B,Calibration!$C:$C,22),
     TRUE,XLOOKUP("timeout_coarse_normal",Calibration!$B:$B,Calibration!$C:$C,36)
   ),
 TRUE,
   IFS(
     OR(C195="B",C195="D"),XLOOKUP("timeout_coarse_slow",Calibration!$B:$B,Calibration!$C:$C,48),
     OR(C195="E",C195="F",C195="H",C195="I"),XLOOKUP("timeout_jcc_slow",Calibration!$B:$B,Calibration!$C:$C,18),
     OR(C195="G",C195="J"),XLOOKUP("timeout_duochrome_slow",Calibration!$B:$B,Calibration!$C:$C,12),
     C195="K",XLOOKUP("timeout_bino_slow",Calibration!$B:$B,Calibration!$C:$C,18),
     OR(C195="P",C195="Q",C195="R"),XLOOKUP("timeout_near_slow",Calibration!$B:$B,Calibration!$C:$C,28),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AJ195=TRUE,"ESCALATE",
C195="A",
IF(OR(I195="NOT_READABLE",I195="BLURRY",AND(R195="20_20_20",I195="READABLE")),"B","A"),
C195="B",
IF(reEsc,"ESCALATE",IF(AY195&gt;=phaseMax,"ESCALATE",IF(AND(AV195&gt;=AW195,I195="READABLE"),"E","B"))),
C195="E",
IF(AY195&gt;=phaseMax,"ESCALATE",IF(OR(I195="SAME",I195="CANT_TELL",AD195&lt;axisTol),"F","E")),
C195="F",
IF(AY195&gt;=phaseMax,"ESCALATE",IF(AX195&gt;=powerSameN,"G","F")),
C195="G",
IF(AY195&gt;=phaseMax,"ESCALATE",IF(OR(AX195&gt;=duoEqualN,BB195&gt;=duoMax),"D","G")),
C195="D",
IF(leEsc,"ESCALATE",IF(AY195&gt;=phaseMax,"ESCALATE",IF(AND(AV195&gt;=AW195,I195="READABLE"),"H","D"))),
C195="H",
IF(AY195&gt;=phaseMax,"ESCALATE",IF(OR(I195="SAME",I195="CANT_TELL",AD195&lt;axisTol),"I","H")),
C195="I",
IF(AY195&gt;=phaseMax,"ESCALATE",IF(AX195&gt;=powerSameN,"J","I")),
C195="J",
IF(AY195&gt;=phaseMax,"ESCALATE",IF(OR(AX195&gt;=duoEqualN,BB195&gt;=duoMax),"K","J")),
C195="K",
IF(AY195&gt;=phaseMax,"ESCALATE",IF(AX195&gt;=binoSameN,IF(XLOOKUP($B195,Derived_Variables!$A:$A,Derived_Variables!$AJ:$AJ,FALSE)=TRUE,"P","END"),"K")),
C195="P",
IF(AY195&gt;=phaseMax,"ESCALATE",IF(OR(I195="READABLE",I195="SAME"),"Q","P")),
C195="Q",
IF(AY195&gt;=phaseMax,"ESCALATE",IF(OR(I195="READABLE",I195="SAME"),"R","Q")),
C195="R",
IF(AY195&gt;=phaseMax,"ESCALATE",IF(OR(I195=nearTarget,I195="SAME"),"END","R")),
TRUE,"END"
)))</f>
        <v/>
      </c>
      <c r="BD195" s="28" t="b">
        <f t="shared" si="19"/>
        <v>0</v>
      </c>
    </row>
    <row r="196" ht="15.75" customHeight="1">
      <c r="A196" s="28">
        <f t="shared" si="3"/>
        <v>195</v>
      </c>
      <c r="B196" s="28">
        <f t="shared" si="4"/>
        <v>6</v>
      </c>
      <c r="C196" s="28" t="str">
        <f t="shared" si="5"/>
        <v/>
      </c>
      <c r="D196" s="28" t="str">
        <f t="array" ref="D196">IF($I195="","",XLOOKUP(C196,FSM_State_Map!A:A,FSM_State_Map!B:B,""))</f>
        <v/>
      </c>
      <c r="E196" s="28" t="str">
        <f t="array" ref="E196">IF($I195="","",XLOOKUP(C196,FSM_State_Map!A:A,FSM_State_Map!C:C,""))</f>
        <v/>
      </c>
      <c r="F196" s="28" t="str">
        <f t="array" ref="F196">IF($I195="","",XLOOKUP(E196,Phase_UI_Map!A:A,Phase_UI_Map!B:B,""))</f>
        <v/>
      </c>
      <c r="G196" s="28" t="str">
        <f t="array" ref="G196">IF($I195="","",XLOOKUP(E196,Phase_UI_Map!A:A,Phase_UI_Map!C:C,""))</f>
        <v/>
      </c>
      <c r="H196" s="28" t="str">
        <f t="array" ref="H196">IF($I195="","",XLOOKUP(E196,Phase_UI_Map!A:A,Phase_UI_Map!D:D,""))</f>
        <v/>
      </c>
      <c r="I196" s="29"/>
      <c r="J196" s="28" t="str">
        <f>IFERROR(__xludf.DUMMYFUNCTION("IF($I195="""","""",IFERROR(INDEX(FILTER(Response_Lists!$B:$B,Response_Lists!$A:$A=$H196),1),""""))"),"")</f>
        <v/>
      </c>
      <c r="K196" s="28" t="str">
        <f>IFERROR(__xludf.DUMMYFUNCTION("IF($I195="""","""",IFERROR(INDEX(FILTER(Response_Lists!$B:$B,Response_Lists!$A:$A=$H196),2),""""))"),"")</f>
        <v/>
      </c>
      <c r="L196" s="28" t="str">
        <f>IFERROR(__xludf.DUMMYFUNCTION("IF($I195="""","""",IFERROR(INDEX(FILTER(Response_Lists!$B:$B,Response_Lists!$A:$A=$H196),3),""""))"),"")</f>
        <v/>
      </c>
      <c r="M196" s="28" t="str">
        <f>IFERROR(__xludf.DUMMYFUNCTION("IF($I195="""","""",IFERROR(INDEX(FILTER(Response_Lists!$B:$B,Response_Lists!$A:$A=$H196),4),""""))"),"")</f>
        <v/>
      </c>
      <c r="N196" s="28" t="str">
        <f>IFERROR(__xludf.DUMMYFUNCTION("IF($I195="""","""",IFERROR(INDEX(FILTER(Response_Lists!$B:$B,Response_Lists!$A:$A=$H196),5),""""))"),"")</f>
        <v/>
      </c>
      <c r="O196" s="28" t="str">
        <f>IFERROR(__xludf.DUMMYFUNCTION("IF($I195="""","""",IFERROR(INDEX(FILTER(Response_Lists!$B:$B,Response_Lists!$A:$A=$H196),6),""""))"),"")</f>
        <v/>
      </c>
      <c r="P196" s="28" t="str">
        <f t="shared" si="6"/>
        <v/>
      </c>
      <c r="Q196" s="28" t="str">
        <f t="array" ref="Q196">IF($I195="","",XLOOKUP(C196,FSM_State_Map!A:A,FSM_State_Map!D:D,""))</f>
        <v/>
      </c>
      <c r="R196" s="28" t="str">
        <f t="shared" si="7"/>
        <v/>
      </c>
      <c r="S196" s="28" t="str">
        <f t="array" ref="S196">IF($I195="","",
IF(
  AND(C196="B",C195&lt;&gt;"B"),
  XLOOKUP($B196,Derived_Variables!$A:$A,Derived_Variables!$K:$K,0)
  + XLOOKUP($B196,Derived_Variables!$A:$A,Derived_Variables!$AE:$AE,0),
  S195+AM195
))</f>
        <v/>
      </c>
      <c r="T196" s="28" t="str">
        <f t="shared" ref="T196:U196" si="402">IF($I195="","",T195+AN195)</f>
        <v/>
      </c>
      <c r="U196" s="28" t="str">
        <f t="shared" si="402"/>
        <v/>
      </c>
      <c r="V196" s="28" t="str">
        <f t="array" ref="V196">IF($I195="","",
IF(
  AND(C196="D",C195&lt;&gt;"D"),
  XLOOKUP($B196,Derived_Variables!$A:$A,Derived_Variables!$N:$N,0)
  + XLOOKUP($B196,Derived_Variables!$A:$A,Derived_Variables!$AE:$AE,0),
  V195+AP195
))</f>
        <v/>
      </c>
      <c r="W196" s="28" t="str">
        <f t="shared" ref="W196:X196" si="403">IF($I195="","",W195+AQ195)</f>
        <v/>
      </c>
      <c r="X196" s="28" t="str">
        <f t="shared" si="403"/>
        <v/>
      </c>
      <c r="Y196" s="28" t="str">
        <f t="array" ref="Y196">IF($I195="","",IF(AND(C196="P",C195&lt;&gt;"P"),IFERROR(XLOOKUP($B196,Lenso_Input!$A:$A,Lenso_Input!$E:$E,0),0),Y195+AS195))</f>
        <v/>
      </c>
      <c r="Z196" s="28" t="str">
        <f t="array" ref="Z196">IF($I195="","",IF(AND(C196="Q",C195&lt;&gt;"Q"),IFERROR(XLOOKUP($B196,Lenso_Input!$A:$A,Lenso_Input!$I:$I,0),0),Z195+AT195))</f>
        <v/>
      </c>
      <c r="AA196" s="28" t="str">
        <f t="array" ref="AA196">IF($I195="","",IF(XLOOKUP($B196,Derived_Variables!$A:$A,Derived_Variables!$R:$R,"6/6_target")="6/6_target","20_20_20","40_30_25"))</f>
        <v/>
      </c>
      <c r="AB196" s="28" t="str">
        <f t="array" ref="AB196">IF($I195="","",XLOOKUP(LOWER(XLOOKUP($B196,Derived_Variables!$A:$A,Derived_Variables!$T:$T,"Standard"))&amp;"_sph_step",Calibration!$B:$B,Calibration!$C:$C,0.25))</f>
        <v/>
      </c>
      <c r="AC196" s="28" t="str">
        <f t="array" ref="AC196">IF($I195="","",XLOOKUP(LOWER(XLOOKUP($B196,Derived_Variables!$A:$A,Derived_Variables!$T:$T,"Standard"))&amp;"_cyl_step",Calibration!$B:$B,Calibration!$C:$C,0.25))</f>
        <v/>
      </c>
      <c r="AD196" s="28" t="str">
        <f t="array" ref="AD196">IF($I195="","",IF(OR(C196="E",C196="H"),LET(startStep,XLOOKUP("axis_start_step",Calibration!$B:$B,Calibration!$C:$C,5),step1,XLOOKUP("axis_reversal_step_1",Calibration!$B:$B,Calibration!$C:$C,3),step2,XLOOKUP("axis_reversal_step_2",Calibration!$B:$B,Calibration!$C:$C,1),IF(OR(C195&lt;&gt;C196,AZ196="",AZ196="SAME",AZ196="CANT_TELL",I196="",I196="SAME",I196="CANT_TELL"),startStep,IF(OR(AND(AZ196="BETTER_1",I196="BETTER_2"),AND(AZ196="BETTER_2",I196="BETTER_1")),IF(AD195&gt;step1,step1,step2),AD195))),0))</f>
        <v/>
      </c>
      <c r="AE196" s="28" t="str">
        <f t="array" ref="AE196">IF($I195="","",XLOOKUP($B196,Derived_Variables!$A:$A,Derived_Variables!$AD:$AD,"No_Fog"))</f>
        <v/>
      </c>
      <c r="AF196" s="28" t="str">
        <f t="array" ref="AF196">IF($I195="","",XLOOKUP($B196,Derived_Variables!$A:$A,Derived_Variables!$AE:$AE,0))</f>
        <v/>
      </c>
      <c r="AG196" s="28" t="str">
        <f t="array" ref="AG196">IF($I195="","",XLOOKUP($B196,Derived_Variables!$A:$A,Derived_Variables!$AF:$AF,""))</f>
        <v/>
      </c>
      <c r="AH196" s="28" t="str">
        <f t="array" ref="AH196">IF($I195="","",XLOOKUP($B196,Derived_Variables!$A:$A,Derived_Variables!$AG:$AG,""))</f>
        <v/>
      </c>
      <c r="AI196" s="28" t="str">
        <f t="array" ref="AI196">IF($I195="","",XLOOKUP($B196,Derived_Variables!$A:$A,Derived_Variables!$AC:$AC,"Medium"))</f>
        <v/>
      </c>
      <c r="AJ196" s="28" t="str">
        <f t="array" ref="AJ196">IF($I195="","",XLOOKUP($B196,Derived_Variables!$A:$A,Derived_Variables!$Y:$Y,FALSE))</f>
        <v/>
      </c>
      <c r="AK196" s="28" t="str">
        <f t="array" ref="AK196">IF($I195="","",XLOOKUP($B196,Derived_Variables!$A:$A,Derived_Variables!$AA:$AA,"Normal"))</f>
        <v/>
      </c>
      <c r="AL196" s="28" t="str">
        <f t="array" ref="AL196">IF($I195="","",XLOOKUP($B196,Derived_Variables!$A:$A,Derived_Variables!$AB:$AB,"Normal"))</f>
        <v/>
      </c>
      <c r="AM196" s="28" t="str">
        <f t="array" ref="AM196">IF($I196="","",IFS(C196="B",IF(OR(I196="NOT_READABLE",I196="BLURRY"),-AB196,0),C196="G",IFS(I196="RED_CLEARER",XLOOKUP("duochrome_red_step",Calibration!$B:$B,Calibration!$C:$C,-0.25),I196="GREEN_CLEARER",XLOOKUP("duochrome_green_step",Calibration!$B:$B,Calibration!$C:$C,0.25),I196="EQUAL",IF(XLOOKUP($B196,Derived_Variables!$A:$A,Derived_Variables!$S:$S,"Neutral")="Undercorrect",XLOOKUP("undercorrect_step",Calibration!$B:$B,Calibration!$C:$C,0.25),IF(XLOOKUP($B196,Derived_Variables!$A:$A,Derived_Variables!$S:$S,"Neutral")="Overcorrect",-XLOOKUP("overcorrect_step",Calibration!$B:$B,Calibration!$C:$C,0.25),0)),TRUE,0),C196="K",IF(I196="TOP_CLEARER",XLOOKUP("bino_balance_step",Calibration!$B:$B,Calibration!$C:$C,0.25),0),TRUE,0))</f>
        <v/>
      </c>
      <c r="AN196" s="28" t="str">
        <f t="shared" si="10"/>
        <v/>
      </c>
      <c r="AO196" s="28" t="str">
        <f t="shared" si="11"/>
        <v/>
      </c>
      <c r="AP196" s="28" t="str">
        <f t="array" ref="AP196">IF($I196="","",IFS(C196="D",IF(OR(I196="NOT_READABLE",I196="BLURRY"),-AB196,0),C196="J",IFS(I196="RED_CLEARER",XLOOKUP("duochrome_red_step",Calibration!$B:$B,Calibration!$C:$C,-0.25),I196="GREEN_CLEARER",XLOOKUP("duochrome_green_step",Calibration!$B:$B,Calibration!$C:$C,0.25),I196="EQUAL",IF(XLOOKUP($B196,Derived_Variables!$A:$A,Derived_Variables!$S:$S,"Neutral")="Undercorrect",XLOOKUP("undercorrect_step",Calibration!$B:$B,Calibration!$C:$C,0.25),IF(XLOOKUP($B196,Derived_Variables!$A:$A,Derived_Variables!$S:$S,"Neutral")="Overcorrect",-XLOOKUP("overcorrect_step",Calibration!$B:$B,Calibration!$C:$C,0.25),0)),TRUE,0),C196="K",IF(I196="BOTTOM_CLEARER",XLOOKUP("bino_balance_step",Calibration!$B:$B,Calibration!$C:$C,0.25),0),TRUE,0))</f>
        <v/>
      </c>
      <c r="AQ196" s="28" t="str">
        <f t="shared" si="12"/>
        <v/>
      </c>
      <c r="AR196" s="28" t="str">
        <f t="shared" si="13"/>
        <v/>
      </c>
      <c r="AS196" s="28" t="str">
        <f t="array" ref="AS196">IF($I196="","",IF(C196="P",IF(OR(I196="NOT_READABLE",I196="BLURRY"),XLOOKUP("near_add_step",Calibration!$B:$B,Calibration!$C:$C,0.25),0),IF(C196="R",IF(I196="NOT_CLEAR",XLOOKUP("near_add_step",Calibration!$B:$B,Calibration!$C:$C,0.25),0),0)))</f>
        <v/>
      </c>
      <c r="AT196" s="28" t="str">
        <f t="array" ref="AT196">IF($I196="","",IF(C196="Q",IF(OR(I196="NOT_READABLE",I196="BLURRY"),XLOOKUP("near_add_step",Calibration!$B:$B,Calibration!$C:$C,0.25),0),IF(C196="R",IF(I196="NOT_CLEAR",XLOOKUP("near_add_step",Calibration!$B:$B,Calibration!$C:$C,0.25),0),0)))</f>
        <v/>
      </c>
      <c r="AU196" s="28" t="str">
        <f t="array" ref="AU196">IF($I196="","",IF(G196="SNELLEN_FEET",IF(I196="READABLE",IFERROR(XLOOKUP(XLOOKUP(R196,Chart_Scale_Distance!B:B,Chart_Scale_Distance!A:A)+1,Chart_Scale_Distance!A:A,Chart_Scale_Distance!B:B),R196),R196),R196))</f>
        <v/>
      </c>
      <c r="AV196" s="28" t="str">
        <f t="array" ref="AV196">IF($I195="","",IFERROR(XLOOKUP(R196,Chart_Scale_Distance!$B:$B,Chart_Scale_Distance!$A:$A,""),""))</f>
        <v/>
      </c>
      <c r="AW196" s="28" t="str">
        <f t="array" ref="AW196">IF($I195="","",IFERROR(XLOOKUP(AA196,Chart_Scale_Distance!$B:$B,Chart_Scale_Distance!$A:$A,""),""))</f>
        <v/>
      </c>
      <c r="AX196" s="28" t="str">
        <f t="shared" si="14"/>
        <v/>
      </c>
      <c r="AY196" s="28" t="str">
        <f t="shared" si="15"/>
        <v/>
      </c>
      <c r="AZ196" s="28" t="str">
        <f t="shared" si="16"/>
        <v/>
      </c>
      <c r="BA196" s="28" t="str">
        <f t="shared" si="17"/>
        <v/>
      </c>
      <c r="BB196" s="28" t="str">
        <f t="shared" si="18"/>
        <v/>
      </c>
      <c r="BC196" s="28" t="str">
        <f t="array" ref="BC196">IF($I196="","",LET(
conf,AI196,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duoMax,XLOOKUP($B196,Derived_Variables!$A:$A,Derived_Variables!$AI:$AI,4),
axisTol,XLOOKUP($B196,Derived_Variables!$A:$A,Derived_Variables!$W:$W,1),
maxStart,XLOOKUP($B196,Derived_Variables!$A:$A,Derived_Variables!$U:$U,1.25),
maxAR,XLOOKUP($B196,Derived_Variables!$A:$A,Derived_Variables!$V:$V,3),
anom,XLOOKUP($B196,Derived_Variables!$A:$A,Derived_Variables!$Z:$Z,FALSE),
reStart,XLOOKUP($B196,Derived_Variables!$A:$A,Derived_Variables!$K:$K,0),
leStart,XLOOKUP($B196,Derived_Variables!$A:$A,Derived_Variables!$N:$N,0),
reAR,XLOOKUP($B196,AR_Input!$A:$A,AR_Input!$B:$B,reStart),
leAR,XLOOKUP($B196,AR_Input!$A:$A,AR_Input!$E:$E,leStart),
reEsc,AND(anom,OR(ABS((S196+AM196)-reStart)&gt;maxStart,ABS((S196+AM196)-reAR)&gt;maxAR)),
leEsc,AND(anom,OR(ABS((V196+AP196)-leStart)&gt;maxStart,ABS((V196+AP196)-leAR)&gt;maxAR)),
phaseMax,IFS(
 AK196="Fast",
   IFS(
     OR(C196="B",C196="D"),XLOOKUP("timeout_coarse_fast",Calibration!$B:$B,Calibration!$C:$C,24),
     OR(C196="E",C196="F",C196="H",C196="I"),XLOOKUP("timeout_jcc_fast",Calibration!$B:$B,Calibration!$C:$C,10),
     OR(C196="G",C196="J"),XLOOKUP("timeout_duochrome_fast",Calibration!$B:$B,Calibration!$C:$C,8),
     C196="K",XLOOKUP("timeout_bino_fast",Calibration!$B:$B,Calibration!$C:$C,10),
     OR(C196="P",C196="Q",C196="R"),XLOOKUP("timeout_near_fast",Calibration!$B:$B,Calibration!$C:$C,16),
     TRUE,XLOOKUP("timeout_coarse_fast",Calibration!$B:$B,Calibration!$C:$C,24)
   ),
 AK196="Normal",
   IFS(
     OR(C196="B",C196="D"),XLOOKUP("timeout_coarse_normal",Calibration!$B:$B,Calibration!$C:$C,36),
     OR(C196="E",C196="F",C196="H",C196="I"),XLOOKUP("timeout_jcc_normal",Calibration!$B:$B,Calibration!$C:$C,14),
     OR(C196="G",C196="J"),XLOOKUP("timeout_duochrome_normal",Calibration!$B:$B,Calibration!$C:$C,10),
     C196="K",XLOOKUP("timeout_bino_normal",Calibration!$B:$B,Calibration!$C:$C,14),
     OR(C196="P",C196="Q",C196="R"),XLOOKUP("timeout_near_normal",Calibration!$B:$B,Calibration!$C:$C,22),
     TRUE,XLOOKUP("timeout_coarse_normal",Calibration!$B:$B,Calibration!$C:$C,36)
   ),
 TRUE,
   IFS(
     OR(C196="B",C196="D"),XLOOKUP("timeout_coarse_slow",Calibration!$B:$B,Calibration!$C:$C,48),
     OR(C196="E",C196="F",C196="H",C196="I"),XLOOKUP("timeout_jcc_slow",Calibration!$B:$B,Calibration!$C:$C,18),
     OR(C196="G",C196="J"),XLOOKUP("timeout_duochrome_slow",Calibration!$B:$B,Calibration!$C:$C,12),
     C196="K",XLOOKUP("timeout_bino_slow",Calibration!$B:$B,Calibration!$C:$C,18),
     OR(C196="P",C196="Q",C196="R"),XLOOKUP("timeout_near_slow",Calibration!$B:$B,Calibration!$C:$C,28),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AJ196=TRUE,"ESCALATE",
C196="A",
IF(OR(I196="NOT_READABLE",I196="BLURRY",AND(R196="20_20_20",I196="READABLE")),"B","A"),
C196="B",
IF(reEsc,"ESCALATE",IF(AY196&gt;=phaseMax,"ESCALATE",IF(AND(AV196&gt;=AW196,I196="READABLE"),"E","B"))),
C196="E",
IF(AY196&gt;=phaseMax,"ESCALATE",IF(OR(I196="SAME",I196="CANT_TELL",AD196&lt;axisTol),"F","E")),
C196="F",
IF(AY196&gt;=phaseMax,"ESCALATE",IF(AX196&gt;=powerSameN,"G","F")),
C196="G",
IF(AY196&gt;=phaseMax,"ESCALATE",IF(OR(AX196&gt;=duoEqualN,BB196&gt;=duoMax),"D","G")),
C196="D",
IF(leEsc,"ESCALATE",IF(AY196&gt;=phaseMax,"ESCALATE",IF(AND(AV196&gt;=AW196,I196="READABLE"),"H","D"))),
C196="H",
IF(AY196&gt;=phaseMax,"ESCALATE",IF(OR(I196="SAME",I196="CANT_TELL",AD196&lt;axisTol),"I","H")),
C196="I",
IF(AY196&gt;=phaseMax,"ESCALATE",IF(AX196&gt;=powerSameN,"J","I")),
C196="J",
IF(AY196&gt;=phaseMax,"ESCALATE",IF(OR(AX196&gt;=duoEqualN,BB196&gt;=duoMax),"K","J")),
C196="K",
IF(AY196&gt;=phaseMax,"ESCALATE",IF(AX196&gt;=binoSameN,IF(XLOOKUP($B196,Derived_Variables!$A:$A,Derived_Variables!$AJ:$AJ,FALSE)=TRUE,"P","END"),"K")),
C196="P",
IF(AY196&gt;=phaseMax,"ESCALATE",IF(OR(I196="READABLE",I196="SAME"),"Q","P")),
C196="Q",
IF(AY196&gt;=phaseMax,"ESCALATE",IF(OR(I196="READABLE",I196="SAME"),"R","Q")),
C196="R",
IF(AY196&gt;=phaseMax,"ESCALATE",IF(OR(I196=nearTarget,I196="SAME"),"END","R")),
TRUE,"END"
)))</f>
        <v/>
      </c>
      <c r="BD196" s="28" t="b">
        <f t="shared" si="19"/>
        <v>0</v>
      </c>
    </row>
    <row r="197" ht="15.75" customHeight="1">
      <c r="A197" s="28">
        <f t="shared" si="3"/>
        <v>196</v>
      </c>
      <c r="B197" s="28">
        <f t="shared" si="4"/>
        <v>6</v>
      </c>
      <c r="C197" s="28" t="str">
        <f t="shared" si="5"/>
        <v/>
      </c>
      <c r="D197" s="28" t="str">
        <f t="array" ref="D197">IF($I196="","",XLOOKUP(C197,FSM_State_Map!A:A,FSM_State_Map!B:B,""))</f>
        <v/>
      </c>
      <c r="E197" s="28" t="str">
        <f t="array" ref="E197">IF($I196="","",XLOOKUP(C197,FSM_State_Map!A:A,FSM_State_Map!C:C,""))</f>
        <v/>
      </c>
      <c r="F197" s="28" t="str">
        <f t="array" ref="F197">IF($I196="","",XLOOKUP(E197,Phase_UI_Map!A:A,Phase_UI_Map!B:B,""))</f>
        <v/>
      </c>
      <c r="G197" s="28" t="str">
        <f t="array" ref="G197">IF($I196="","",XLOOKUP(E197,Phase_UI_Map!A:A,Phase_UI_Map!C:C,""))</f>
        <v/>
      </c>
      <c r="H197" s="28" t="str">
        <f t="array" ref="H197">IF($I196="","",XLOOKUP(E197,Phase_UI_Map!A:A,Phase_UI_Map!D:D,""))</f>
        <v/>
      </c>
      <c r="I197" s="29"/>
      <c r="J197" s="28" t="str">
        <f>IFERROR(__xludf.DUMMYFUNCTION("IF($I196="""","""",IFERROR(INDEX(FILTER(Response_Lists!$B:$B,Response_Lists!$A:$A=$H197),1),""""))"),"")</f>
        <v/>
      </c>
      <c r="K197" s="28" t="str">
        <f>IFERROR(__xludf.DUMMYFUNCTION("IF($I196="""","""",IFERROR(INDEX(FILTER(Response_Lists!$B:$B,Response_Lists!$A:$A=$H197),2),""""))"),"")</f>
        <v/>
      </c>
      <c r="L197" s="28" t="str">
        <f>IFERROR(__xludf.DUMMYFUNCTION("IF($I196="""","""",IFERROR(INDEX(FILTER(Response_Lists!$B:$B,Response_Lists!$A:$A=$H197),3),""""))"),"")</f>
        <v/>
      </c>
      <c r="M197" s="28" t="str">
        <f>IFERROR(__xludf.DUMMYFUNCTION("IF($I196="""","""",IFERROR(INDEX(FILTER(Response_Lists!$B:$B,Response_Lists!$A:$A=$H197),4),""""))"),"")</f>
        <v/>
      </c>
      <c r="N197" s="28" t="str">
        <f>IFERROR(__xludf.DUMMYFUNCTION("IF($I196="""","""",IFERROR(INDEX(FILTER(Response_Lists!$B:$B,Response_Lists!$A:$A=$H197),5),""""))"),"")</f>
        <v/>
      </c>
      <c r="O197" s="28" t="str">
        <f>IFERROR(__xludf.DUMMYFUNCTION("IF($I196="""","""",IFERROR(INDEX(FILTER(Response_Lists!$B:$B,Response_Lists!$A:$A=$H197),6),""""))"),"")</f>
        <v/>
      </c>
      <c r="P197" s="28" t="str">
        <f t="shared" si="6"/>
        <v/>
      </c>
      <c r="Q197" s="28" t="str">
        <f t="array" ref="Q197">IF($I196="","",XLOOKUP(C197,FSM_State_Map!A:A,FSM_State_Map!D:D,""))</f>
        <v/>
      </c>
      <c r="R197" s="28" t="str">
        <f t="shared" si="7"/>
        <v/>
      </c>
      <c r="S197" s="28" t="str">
        <f t="array" ref="S197">IF($I196="","",
IF(
  AND(C197="B",C196&lt;&gt;"B"),
  XLOOKUP($B197,Derived_Variables!$A:$A,Derived_Variables!$K:$K,0)
  + XLOOKUP($B197,Derived_Variables!$A:$A,Derived_Variables!$AE:$AE,0),
  S196+AM196
))</f>
        <v/>
      </c>
      <c r="T197" s="28" t="str">
        <f t="shared" ref="T197:U197" si="404">IF($I196="","",T196+AN196)</f>
        <v/>
      </c>
      <c r="U197" s="28" t="str">
        <f t="shared" si="404"/>
        <v/>
      </c>
      <c r="V197" s="28" t="str">
        <f t="array" ref="V197">IF($I196="","",
IF(
  AND(C197="D",C196&lt;&gt;"D"),
  XLOOKUP($B197,Derived_Variables!$A:$A,Derived_Variables!$N:$N,0)
  + XLOOKUP($B197,Derived_Variables!$A:$A,Derived_Variables!$AE:$AE,0),
  V196+AP196
))</f>
        <v/>
      </c>
      <c r="W197" s="28" t="str">
        <f t="shared" ref="W197:X197" si="405">IF($I196="","",W196+AQ196)</f>
        <v/>
      </c>
      <c r="X197" s="28" t="str">
        <f t="shared" si="405"/>
        <v/>
      </c>
      <c r="Y197" s="28" t="str">
        <f t="array" ref="Y197">IF($I196="","",IF(AND(C197="P",C196&lt;&gt;"P"),IFERROR(XLOOKUP($B197,Lenso_Input!$A:$A,Lenso_Input!$E:$E,0),0),Y196+AS196))</f>
        <v/>
      </c>
      <c r="Z197" s="28" t="str">
        <f t="array" ref="Z197">IF($I196="","",IF(AND(C197="Q",C196&lt;&gt;"Q"),IFERROR(XLOOKUP($B197,Lenso_Input!$A:$A,Lenso_Input!$I:$I,0),0),Z196+AT196))</f>
        <v/>
      </c>
      <c r="AA197" s="28" t="str">
        <f t="array" ref="AA197">IF($I196="","",IF(XLOOKUP($B197,Derived_Variables!$A:$A,Derived_Variables!$R:$R,"6/6_target")="6/6_target","20_20_20","40_30_25"))</f>
        <v/>
      </c>
      <c r="AB197" s="28" t="str">
        <f t="array" ref="AB197">IF($I196="","",XLOOKUP(LOWER(XLOOKUP($B197,Derived_Variables!$A:$A,Derived_Variables!$T:$T,"Standard"))&amp;"_sph_step",Calibration!$B:$B,Calibration!$C:$C,0.25))</f>
        <v/>
      </c>
      <c r="AC197" s="28" t="str">
        <f t="array" ref="AC197">IF($I196="","",XLOOKUP(LOWER(XLOOKUP($B197,Derived_Variables!$A:$A,Derived_Variables!$T:$T,"Standard"))&amp;"_cyl_step",Calibration!$B:$B,Calibration!$C:$C,0.25))</f>
        <v/>
      </c>
      <c r="AD197" s="28" t="str">
        <f t="array" ref="AD197">IF($I196="","",IF(OR(C197="E",C197="H"),LET(startStep,XLOOKUP("axis_start_step",Calibration!$B:$B,Calibration!$C:$C,5),step1,XLOOKUP("axis_reversal_step_1",Calibration!$B:$B,Calibration!$C:$C,3),step2,XLOOKUP("axis_reversal_step_2",Calibration!$B:$B,Calibration!$C:$C,1),IF(OR(C196&lt;&gt;C197,AZ197="",AZ197="SAME",AZ197="CANT_TELL",I197="",I197="SAME",I197="CANT_TELL"),startStep,IF(OR(AND(AZ197="BETTER_1",I197="BETTER_2"),AND(AZ197="BETTER_2",I197="BETTER_1")),IF(AD196&gt;step1,step1,step2),AD196))),0))</f>
        <v/>
      </c>
      <c r="AE197" s="28" t="str">
        <f t="array" ref="AE197">IF($I196="","",XLOOKUP($B197,Derived_Variables!$A:$A,Derived_Variables!$AD:$AD,"No_Fog"))</f>
        <v/>
      </c>
      <c r="AF197" s="28" t="str">
        <f t="array" ref="AF197">IF($I196="","",XLOOKUP($B197,Derived_Variables!$A:$A,Derived_Variables!$AE:$AE,0))</f>
        <v/>
      </c>
      <c r="AG197" s="28" t="str">
        <f t="array" ref="AG197">IF($I196="","",XLOOKUP($B197,Derived_Variables!$A:$A,Derived_Variables!$AF:$AF,""))</f>
        <v/>
      </c>
      <c r="AH197" s="28" t="str">
        <f t="array" ref="AH197">IF($I196="","",XLOOKUP($B197,Derived_Variables!$A:$A,Derived_Variables!$AG:$AG,""))</f>
        <v/>
      </c>
      <c r="AI197" s="28" t="str">
        <f t="array" ref="AI197">IF($I196="","",XLOOKUP($B197,Derived_Variables!$A:$A,Derived_Variables!$AC:$AC,"Medium"))</f>
        <v/>
      </c>
      <c r="AJ197" s="28" t="str">
        <f t="array" ref="AJ197">IF($I196="","",XLOOKUP($B197,Derived_Variables!$A:$A,Derived_Variables!$Y:$Y,FALSE))</f>
        <v/>
      </c>
      <c r="AK197" s="28" t="str">
        <f t="array" ref="AK197">IF($I196="","",XLOOKUP($B197,Derived_Variables!$A:$A,Derived_Variables!$AA:$AA,"Normal"))</f>
        <v/>
      </c>
      <c r="AL197" s="28" t="str">
        <f t="array" ref="AL197">IF($I196="","",XLOOKUP($B197,Derived_Variables!$A:$A,Derived_Variables!$AB:$AB,"Normal"))</f>
        <v/>
      </c>
      <c r="AM197" s="28" t="str">
        <f t="array" ref="AM197">IF($I197="","",IFS(C197="B",IF(OR(I197="NOT_READABLE",I197="BLURRY"),-AB197,0),C197="G",IFS(I197="RED_CLEARER",XLOOKUP("duochrome_red_step",Calibration!$B:$B,Calibration!$C:$C,-0.25),I197="GREEN_CLEARER",XLOOKUP("duochrome_green_step",Calibration!$B:$B,Calibration!$C:$C,0.25),I197="EQUAL",IF(XLOOKUP($B197,Derived_Variables!$A:$A,Derived_Variables!$S:$S,"Neutral")="Undercorrect",XLOOKUP("undercorrect_step",Calibration!$B:$B,Calibration!$C:$C,0.25),IF(XLOOKUP($B197,Derived_Variables!$A:$A,Derived_Variables!$S:$S,"Neutral")="Overcorrect",-XLOOKUP("overcorrect_step",Calibration!$B:$B,Calibration!$C:$C,0.25),0)),TRUE,0),C197="K",IF(I197="TOP_CLEARER",XLOOKUP("bino_balance_step",Calibration!$B:$B,Calibration!$C:$C,0.25),0),TRUE,0))</f>
        <v/>
      </c>
      <c r="AN197" s="28" t="str">
        <f t="shared" si="10"/>
        <v/>
      </c>
      <c r="AO197" s="28" t="str">
        <f t="shared" si="11"/>
        <v/>
      </c>
      <c r="AP197" s="28" t="str">
        <f t="array" ref="AP197">IF($I197="","",IFS(C197="D",IF(OR(I197="NOT_READABLE",I197="BLURRY"),-AB197,0),C197="J",IFS(I197="RED_CLEARER",XLOOKUP("duochrome_red_step",Calibration!$B:$B,Calibration!$C:$C,-0.25),I197="GREEN_CLEARER",XLOOKUP("duochrome_green_step",Calibration!$B:$B,Calibration!$C:$C,0.25),I197="EQUAL",IF(XLOOKUP($B197,Derived_Variables!$A:$A,Derived_Variables!$S:$S,"Neutral")="Undercorrect",XLOOKUP("undercorrect_step",Calibration!$B:$B,Calibration!$C:$C,0.25),IF(XLOOKUP($B197,Derived_Variables!$A:$A,Derived_Variables!$S:$S,"Neutral")="Overcorrect",-XLOOKUP("overcorrect_step",Calibration!$B:$B,Calibration!$C:$C,0.25),0)),TRUE,0),C197="K",IF(I197="BOTTOM_CLEARER",XLOOKUP("bino_balance_step",Calibration!$B:$B,Calibration!$C:$C,0.25),0),TRUE,0))</f>
        <v/>
      </c>
      <c r="AQ197" s="28" t="str">
        <f t="shared" si="12"/>
        <v/>
      </c>
      <c r="AR197" s="28" t="str">
        <f t="shared" si="13"/>
        <v/>
      </c>
      <c r="AS197" s="28" t="str">
        <f t="array" ref="AS197">IF($I197="","",IF(C197="P",IF(OR(I197="NOT_READABLE",I197="BLURRY"),XLOOKUP("near_add_step",Calibration!$B:$B,Calibration!$C:$C,0.25),0),IF(C197="R",IF(I197="NOT_CLEAR",XLOOKUP("near_add_step",Calibration!$B:$B,Calibration!$C:$C,0.25),0),0)))</f>
        <v/>
      </c>
      <c r="AT197" s="28" t="str">
        <f t="array" ref="AT197">IF($I197="","",IF(C197="Q",IF(OR(I197="NOT_READABLE",I197="BLURRY"),XLOOKUP("near_add_step",Calibration!$B:$B,Calibration!$C:$C,0.25),0),IF(C197="R",IF(I197="NOT_CLEAR",XLOOKUP("near_add_step",Calibration!$B:$B,Calibration!$C:$C,0.25),0),0)))</f>
        <v/>
      </c>
      <c r="AU197" s="28" t="str">
        <f t="array" ref="AU197">IF($I197="","",IF(G197="SNELLEN_FEET",IF(I197="READABLE",IFERROR(XLOOKUP(XLOOKUP(R197,Chart_Scale_Distance!B:B,Chart_Scale_Distance!A:A)+1,Chart_Scale_Distance!A:A,Chart_Scale_Distance!B:B),R197),R197),R197))</f>
        <v/>
      </c>
      <c r="AV197" s="28" t="str">
        <f t="array" ref="AV197">IF($I196="","",IFERROR(XLOOKUP(R197,Chart_Scale_Distance!$B:$B,Chart_Scale_Distance!$A:$A,""),""))</f>
        <v/>
      </c>
      <c r="AW197" s="28" t="str">
        <f t="array" ref="AW197">IF($I196="","",IFERROR(XLOOKUP(AA197,Chart_Scale_Distance!$B:$B,Chart_Scale_Distance!$A:$A,""),""))</f>
        <v/>
      </c>
      <c r="AX197" s="28" t="str">
        <f t="shared" si="14"/>
        <v/>
      </c>
      <c r="AY197" s="28" t="str">
        <f t="shared" si="15"/>
        <v/>
      </c>
      <c r="AZ197" s="28" t="str">
        <f t="shared" si="16"/>
        <v/>
      </c>
      <c r="BA197" s="28" t="str">
        <f t="shared" si="17"/>
        <v/>
      </c>
      <c r="BB197" s="28" t="str">
        <f t="shared" si="18"/>
        <v/>
      </c>
      <c r="BC197" s="28" t="str">
        <f t="array" ref="BC197">IF($I197="","",LET(
conf,AI197,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duoMax,XLOOKUP($B197,Derived_Variables!$A:$A,Derived_Variables!$AI:$AI,4),
axisTol,XLOOKUP($B197,Derived_Variables!$A:$A,Derived_Variables!$W:$W,1),
maxStart,XLOOKUP($B197,Derived_Variables!$A:$A,Derived_Variables!$U:$U,1.25),
maxAR,XLOOKUP($B197,Derived_Variables!$A:$A,Derived_Variables!$V:$V,3),
anom,XLOOKUP($B197,Derived_Variables!$A:$A,Derived_Variables!$Z:$Z,FALSE),
reStart,XLOOKUP($B197,Derived_Variables!$A:$A,Derived_Variables!$K:$K,0),
leStart,XLOOKUP($B197,Derived_Variables!$A:$A,Derived_Variables!$N:$N,0),
reAR,XLOOKUP($B197,AR_Input!$A:$A,AR_Input!$B:$B,reStart),
leAR,XLOOKUP($B197,AR_Input!$A:$A,AR_Input!$E:$E,leStart),
reEsc,AND(anom,OR(ABS((S197+AM197)-reStart)&gt;maxStart,ABS((S197+AM197)-reAR)&gt;maxAR)),
leEsc,AND(anom,OR(ABS((V197+AP197)-leStart)&gt;maxStart,ABS((V197+AP197)-leAR)&gt;maxAR)),
phaseMax,IFS(
 AK197="Fast",
   IFS(
     OR(C197="B",C197="D"),XLOOKUP("timeout_coarse_fast",Calibration!$B:$B,Calibration!$C:$C,24),
     OR(C197="E",C197="F",C197="H",C197="I"),XLOOKUP("timeout_jcc_fast",Calibration!$B:$B,Calibration!$C:$C,10),
     OR(C197="G",C197="J"),XLOOKUP("timeout_duochrome_fast",Calibration!$B:$B,Calibration!$C:$C,8),
     C197="K",XLOOKUP("timeout_bino_fast",Calibration!$B:$B,Calibration!$C:$C,10),
     OR(C197="P",C197="Q",C197="R"),XLOOKUP("timeout_near_fast",Calibration!$B:$B,Calibration!$C:$C,16),
     TRUE,XLOOKUP("timeout_coarse_fast",Calibration!$B:$B,Calibration!$C:$C,24)
   ),
 AK197="Normal",
   IFS(
     OR(C197="B",C197="D"),XLOOKUP("timeout_coarse_normal",Calibration!$B:$B,Calibration!$C:$C,36),
     OR(C197="E",C197="F",C197="H",C197="I"),XLOOKUP("timeout_jcc_normal",Calibration!$B:$B,Calibration!$C:$C,14),
     OR(C197="G",C197="J"),XLOOKUP("timeout_duochrome_normal",Calibration!$B:$B,Calibration!$C:$C,10),
     C197="K",XLOOKUP("timeout_bino_normal",Calibration!$B:$B,Calibration!$C:$C,14),
     OR(C197="P",C197="Q",C197="R"),XLOOKUP("timeout_near_normal",Calibration!$B:$B,Calibration!$C:$C,22),
     TRUE,XLOOKUP("timeout_coarse_normal",Calibration!$B:$B,Calibration!$C:$C,36)
   ),
 TRUE,
   IFS(
     OR(C197="B",C197="D"),XLOOKUP("timeout_coarse_slow",Calibration!$B:$B,Calibration!$C:$C,48),
     OR(C197="E",C197="F",C197="H",C197="I"),XLOOKUP("timeout_jcc_slow",Calibration!$B:$B,Calibration!$C:$C,18),
     OR(C197="G",C197="J"),XLOOKUP("timeout_duochrome_slow",Calibration!$B:$B,Calibration!$C:$C,12),
     C197="K",XLOOKUP("timeout_bino_slow",Calibration!$B:$B,Calibration!$C:$C,18),
     OR(C197="P",C197="Q",C197="R"),XLOOKUP("timeout_near_slow",Calibration!$B:$B,Calibration!$C:$C,28),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AJ197=TRUE,"ESCALATE",
C197="A",
IF(OR(I197="NOT_READABLE",I197="BLURRY",AND(R197="20_20_20",I197="READABLE")),"B","A"),
C197="B",
IF(reEsc,"ESCALATE",IF(AY197&gt;=phaseMax,"ESCALATE",IF(AND(AV197&gt;=AW197,I197="READABLE"),"E","B"))),
C197="E",
IF(AY197&gt;=phaseMax,"ESCALATE",IF(OR(I197="SAME",I197="CANT_TELL",AD197&lt;axisTol),"F","E")),
C197="F",
IF(AY197&gt;=phaseMax,"ESCALATE",IF(AX197&gt;=powerSameN,"G","F")),
C197="G",
IF(AY197&gt;=phaseMax,"ESCALATE",IF(OR(AX197&gt;=duoEqualN,BB197&gt;=duoMax),"D","G")),
C197="D",
IF(leEsc,"ESCALATE",IF(AY197&gt;=phaseMax,"ESCALATE",IF(AND(AV197&gt;=AW197,I197="READABLE"),"H","D"))),
C197="H",
IF(AY197&gt;=phaseMax,"ESCALATE",IF(OR(I197="SAME",I197="CANT_TELL",AD197&lt;axisTol),"I","H")),
C197="I",
IF(AY197&gt;=phaseMax,"ESCALATE",IF(AX197&gt;=powerSameN,"J","I")),
C197="J",
IF(AY197&gt;=phaseMax,"ESCALATE",IF(OR(AX197&gt;=duoEqualN,BB197&gt;=duoMax),"K","J")),
C197="K",
IF(AY197&gt;=phaseMax,"ESCALATE",IF(AX197&gt;=binoSameN,IF(XLOOKUP($B197,Derived_Variables!$A:$A,Derived_Variables!$AJ:$AJ,FALSE)=TRUE,"P","END"),"K")),
C197="P",
IF(AY197&gt;=phaseMax,"ESCALATE",IF(OR(I197="READABLE",I197="SAME"),"Q","P")),
C197="Q",
IF(AY197&gt;=phaseMax,"ESCALATE",IF(OR(I197="READABLE",I197="SAME"),"R","Q")),
C197="R",
IF(AY197&gt;=phaseMax,"ESCALATE",IF(OR(I197=nearTarget,I197="SAME"),"END","R")),
TRUE,"END"
)))</f>
        <v/>
      </c>
      <c r="BD197" s="28" t="b">
        <f t="shared" si="19"/>
        <v>0</v>
      </c>
    </row>
    <row r="198" ht="15.75" customHeight="1">
      <c r="A198" s="28">
        <f t="shared" si="3"/>
        <v>197</v>
      </c>
      <c r="B198" s="28">
        <f t="shared" si="4"/>
        <v>6</v>
      </c>
      <c r="C198" s="28" t="str">
        <f t="shared" si="5"/>
        <v/>
      </c>
      <c r="D198" s="28" t="str">
        <f t="array" ref="D198">IF($I197="","",XLOOKUP(C198,FSM_State_Map!A:A,FSM_State_Map!B:B,""))</f>
        <v/>
      </c>
      <c r="E198" s="28" t="str">
        <f t="array" ref="E198">IF($I197="","",XLOOKUP(C198,FSM_State_Map!A:A,FSM_State_Map!C:C,""))</f>
        <v/>
      </c>
      <c r="F198" s="28" t="str">
        <f t="array" ref="F198">IF($I197="","",XLOOKUP(E198,Phase_UI_Map!A:A,Phase_UI_Map!B:B,""))</f>
        <v/>
      </c>
      <c r="G198" s="28" t="str">
        <f t="array" ref="G198">IF($I197="","",XLOOKUP(E198,Phase_UI_Map!A:A,Phase_UI_Map!C:C,""))</f>
        <v/>
      </c>
      <c r="H198" s="28" t="str">
        <f t="array" ref="H198">IF($I197="","",XLOOKUP(E198,Phase_UI_Map!A:A,Phase_UI_Map!D:D,""))</f>
        <v/>
      </c>
      <c r="I198" s="29"/>
      <c r="J198" s="28" t="str">
        <f>IFERROR(__xludf.DUMMYFUNCTION("IF($I197="""","""",IFERROR(INDEX(FILTER(Response_Lists!$B:$B,Response_Lists!$A:$A=$H198),1),""""))"),"")</f>
        <v/>
      </c>
      <c r="K198" s="28" t="str">
        <f>IFERROR(__xludf.DUMMYFUNCTION("IF($I197="""","""",IFERROR(INDEX(FILTER(Response_Lists!$B:$B,Response_Lists!$A:$A=$H198),2),""""))"),"")</f>
        <v/>
      </c>
      <c r="L198" s="28" t="str">
        <f>IFERROR(__xludf.DUMMYFUNCTION("IF($I197="""","""",IFERROR(INDEX(FILTER(Response_Lists!$B:$B,Response_Lists!$A:$A=$H198),3),""""))"),"")</f>
        <v/>
      </c>
      <c r="M198" s="28" t="str">
        <f>IFERROR(__xludf.DUMMYFUNCTION("IF($I197="""","""",IFERROR(INDEX(FILTER(Response_Lists!$B:$B,Response_Lists!$A:$A=$H198),4),""""))"),"")</f>
        <v/>
      </c>
      <c r="N198" s="28" t="str">
        <f>IFERROR(__xludf.DUMMYFUNCTION("IF($I197="""","""",IFERROR(INDEX(FILTER(Response_Lists!$B:$B,Response_Lists!$A:$A=$H198),5),""""))"),"")</f>
        <v/>
      </c>
      <c r="O198" s="28" t="str">
        <f>IFERROR(__xludf.DUMMYFUNCTION("IF($I197="""","""",IFERROR(INDEX(FILTER(Response_Lists!$B:$B,Response_Lists!$A:$A=$H198),6),""""))"),"")</f>
        <v/>
      </c>
      <c r="P198" s="28" t="str">
        <f t="shared" si="6"/>
        <v/>
      </c>
      <c r="Q198" s="28" t="str">
        <f t="array" ref="Q198">IF($I197="","",XLOOKUP(C198,FSM_State_Map!A:A,FSM_State_Map!D:D,""))</f>
        <v/>
      </c>
      <c r="R198" s="28" t="str">
        <f t="shared" si="7"/>
        <v/>
      </c>
      <c r="S198" s="28" t="str">
        <f t="array" ref="S198">IF($I197="","",
IF(
  AND(C198="B",C197&lt;&gt;"B"),
  XLOOKUP($B198,Derived_Variables!$A:$A,Derived_Variables!$K:$K,0)
  + XLOOKUP($B198,Derived_Variables!$A:$A,Derived_Variables!$AE:$AE,0),
  S197+AM197
))</f>
        <v/>
      </c>
      <c r="T198" s="28" t="str">
        <f t="shared" ref="T198:U198" si="406">IF($I197="","",T197+AN197)</f>
        <v/>
      </c>
      <c r="U198" s="28" t="str">
        <f t="shared" si="406"/>
        <v/>
      </c>
      <c r="V198" s="28" t="str">
        <f t="array" ref="V198">IF($I197="","",
IF(
  AND(C198="D",C197&lt;&gt;"D"),
  XLOOKUP($B198,Derived_Variables!$A:$A,Derived_Variables!$N:$N,0)
  + XLOOKUP($B198,Derived_Variables!$A:$A,Derived_Variables!$AE:$AE,0),
  V197+AP197
))</f>
        <v/>
      </c>
      <c r="W198" s="28" t="str">
        <f t="shared" ref="W198:X198" si="407">IF($I197="","",W197+AQ197)</f>
        <v/>
      </c>
      <c r="X198" s="28" t="str">
        <f t="shared" si="407"/>
        <v/>
      </c>
      <c r="Y198" s="28" t="str">
        <f t="array" ref="Y198">IF($I197="","",IF(AND(C198="P",C197&lt;&gt;"P"),IFERROR(XLOOKUP($B198,Lenso_Input!$A:$A,Lenso_Input!$E:$E,0),0),Y197+AS197))</f>
        <v/>
      </c>
      <c r="Z198" s="28" t="str">
        <f t="array" ref="Z198">IF($I197="","",IF(AND(C198="Q",C197&lt;&gt;"Q"),IFERROR(XLOOKUP($B198,Lenso_Input!$A:$A,Lenso_Input!$I:$I,0),0),Z197+AT197))</f>
        <v/>
      </c>
      <c r="AA198" s="28" t="str">
        <f t="array" ref="AA198">IF($I197="","",IF(XLOOKUP($B198,Derived_Variables!$A:$A,Derived_Variables!$R:$R,"6/6_target")="6/6_target","20_20_20","40_30_25"))</f>
        <v/>
      </c>
      <c r="AB198" s="28" t="str">
        <f t="array" ref="AB198">IF($I197="","",XLOOKUP(LOWER(XLOOKUP($B198,Derived_Variables!$A:$A,Derived_Variables!$T:$T,"Standard"))&amp;"_sph_step",Calibration!$B:$B,Calibration!$C:$C,0.25))</f>
        <v/>
      </c>
      <c r="AC198" s="28" t="str">
        <f t="array" ref="AC198">IF($I197="","",XLOOKUP(LOWER(XLOOKUP($B198,Derived_Variables!$A:$A,Derived_Variables!$T:$T,"Standard"))&amp;"_cyl_step",Calibration!$B:$B,Calibration!$C:$C,0.25))</f>
        <v/>
      </c>
      <c r="AD198" s="28" t="str">
        <f t="array" ref="AD198">IF($I197="","",IF(OR(C198="E",C198="H"),LET(startStep,XLOOKUP("axis_start_step",Calibration!$B:$B,Calibration!$C:$C,5),step1,XLOOKUP("axis_reversal_step_1",Calibration!$B:$B,Calibration!$C:$C,3),step2,XLOOKUP("axis_reversal_step_2",Calibration!$B:$B,Calibration!$C:$C,1),IF(OR(C197&lt;&gt;C198,AZ198="",AZ198="SAME",AZ198="CANT_TELL",I198="",I198="SAME",I198="CANT_TELL"),startStep,IF(OR(AND(AZ198="BETTER_1",I198="BETTER_2"),AND(AZ198="BETTER_2",I198="BETTER_1")),IF(AD197&gt;step1,step1,step2),AD197))),0))</f>
        <v/>
      </c>
      <c r="AE198" s="28" t="str">
        <f t="array" ref="AE198">IF($I197="","",XLOOKUP($B198,Derived_Variables!$A:$A,Derived_Variables!$AD:$AD,"No_Fog"))</f>
        <v/>
      </c>
      <c r="AF198" s="28" t="str">
        <f t="array" ref="AF198">IF($I197="","",XLOOKUP($B198,Derived_Variables!$A:$A,Derived_Variables!$AE:$AE,0))</f>
        <v/>
      </c>
      <c r="AG198" s="28" t="str">
        <f t="array" ref="AG198">IF($I197="","",XLOOKUP($B198,Derived_Variables!$A:$A,Derived_Variables!$AF:$AF,""))</f>
        <v/>
      </c>
      <c r="AH198" s="28" t="str">
        <f t="array" ref="AH198">IF($I197="","",XLOOKUP($B198,Derived_Variables!$A:$A,Derived_Variables!$AG:$AG,""))</f>
        <v/>
      </c>
      <c r="AI198" s="28" t="str">
        <f t="array" ref="AI198">IF($I197="","",XLOOKUP($B198,Derived_Variables!$A:$A,Derived_Variables!$AC:$AC,"Medium"))</f>
        <v/>
      </c>
      <c r="AJ198" s="28" t="str">
        <f t="array" ref="AJ198">IF($I197="","",XLOOKUP($B198,Derived_Variables!$A:$A,Derived_Variables!$Y:$Y,FALSE))</f>
        <v/>
      </c>
      <c r="AK198" s="28" t="str">
        <f t="array" ref="AK198">IF($I197="","",XLOOKUP($B198,Derived_Variables!$A:$A,Derived_Variables!$AA:$AA,"Normal"))</f>
        <v/>
      </c>
      <c r="AL198" s="28" t="str">
        <f t="array" ref="AL198">IF($I197="","",XLOOKUP($B198,Derived_Variables!$A:$A,Derived_Variables!$AB:$AB,"Normal"))</f>
        <v/>
      </c>
      <c r="AM198" s="28" t="str">
        <f t="array" ref="AM198">IF($I198="","",IFS(C198="B",IF(OR(I198="NOT_READABLE",I198="BLURRY"),-AB198,0),C198="G",IFS(I198="RED_CLEARER",XLOOKUP("duochrome_red_step",Calibration!$B:$B,Calibration!$C:$C,-0.25),I198="GREEN_CLEARER",XLOOKUP("duochrome_green_step",Calibration!$B:$B,Calibration!$C:$C,0.25),I198="EQUAL",IF(XLOOKUP($B198,Derived_Variables!$A:$A,Derived_Variables!$S:$S,"Neutral")="Undercorrect",XLOOKUP("undercorrect_step",Calibration!$B:$B,Calibration!$C:$C,0.25),IF(XLOOKUP($B198,Derived_Variables!$A:$A,Derived_Variables!$S:$S,"Neutral")="Overcorrect",-XLOOKUP("overcorrect_step",Calibration!$B:$B,Calibration!$C:$C,0.25),0)),TRUE,0),C198="K",IF(I198="TOP_CLEARER",XLOOKUP("bino_balance_step",Calibration!$B:$B,Calibration!$C:$C,0.25),0),TRUE,0))</f>
        <v/>
      </c>
      <c r="AN198" s="28" t="str">
        <f t="shared" si="10"/>
        <v/>
      </c>
      <c r="AO198" s="28" t="str">
        <f t="shared" si="11"/>
        <v/>
      </c>
      <c r="AP198" s="28" t="str">
        <f t="array" ref="AP198">IF($I198="","",IFS(C198="D",IF(OR(I198="NOT_READABLE",I198="BLURRY"),-AB198,0),C198="J",IFS(I198="RED_CLEARER",XLOOKUP("duochrome_red_step",Calibration!$B:$B,Calibration!$C:$C,-0.25),I198="GREEN_CLEARER",XLOOKUP("duochrome_green_step",Calibration!$B:$B,Calibration!$C:$C,0.25),I198="EQUAL",IF(XLOOKUP($B198,Derived_Variables!$A:$A,Derived_Variables!$S:$S,"Neutral")="Undercorrect",XLOOKUP("undercorrect_step",Calibration!$B:$B,Calibration!$C:$C,0.25),IF(XLOOKUP($B198,Derived_Variables!$A:$A,Derived_Variables!$S:$S,"Neutral")="Overcorrect",-XLOOKUP("overcorrect_step",Calibration!$B:$B,Calibration!$C:$C,0.25),0)),TRUE,0),C198="K",IF(I198="BOTTOM_CLEARER",XLOOKUP("bino_balance_step",Calibration!$B:$B,Calibration!$C:$C,0.25),0),TRUE,0))</f>
        <v/>
      </c>
      <c r="AQ198" s="28" t="str">
        <f t="shared" si="12"/>
        <v/>
      </c>
      <c r="AR198" s="28" t="str">
        <f t="shared" si="13"/>
        <v/>
      </c>
      <c r="AS198" s="28" t="str">
        <f t="array" ref="AS198">IF($I198="","",IF(C198="P",IF(OR(I198="NOT_READABLE",I198="BLURRY"),XLOOKUP("near_add_step",Calibration!$B:$B,Calibration!$C:$C,0.25),0),IF(C198="R",IF(I198="NOT_CLEAR",XLOOKUP("near_add_step",Calibration!$B:$B,Calibration!$C:$C,0.25),0),0)))</f>
        <v/>
      </c>
      <c r="AT198" s="28" t="str">
        <f t="array" ref="AT198">IF($I198="","",IF(C198="Q",IF(OR(I198="NOT_READABLE",I198="BLURRY"),XLOOKUP("near_add_step",Calibration!$B:$B,Calibration!$C:$C,0.25),0),IF(C198="R",IF(I198="NOT_CLEAR",XLOOKUP("near_add_step",Calibration!$B:$B,Calibration!$C:$C,0.25),0),0)))</f>
        <v/>
      </c>
      <c r="AU198" s="28" t="str">
        <f t="array" ref="AU198">IF($I198="","",IF(G198="SNELLEN_FEET",IF(I198="READABLE",IFERROR(XLOOKUP(XLOOKUP(R198,Chart_Scale_Distance!B:B,Chart_Scale_Distance!A:A)+1,Chart_Scale_Distance!A:A,Chart_Scale_Distance!B:B),R198),R198),R198))</f>
        <v/>
      </c>
      <c r="AV198" s="28" t="str">
        <f t="array" ref="AV198">IF($I197="","",IFERROR(XLOOKUP(R198,Chart_Scale_Distance!$B:$B,Chart_Scale_Distance!$A:$A,""),""))</f>
        <v/>
      </c>
      <c r="AW198" s="28" t="str">
        <f t="array" ref="AW198">IF($I197="","",IFERROR(XLOOKUP(AA198,Chart_Scale_Distance!$B:$B,Chart_Scale_Distance!$A:$A,""),""))</f>
        <v/>
      </c>
      <c r="AX198" s="28" t="str">
        <f t="shared" si="14"/>
        <v/>
      </c>
      <c r="AY198" s="28" t="str">
        <f t="shared" si="15"/>
        <v/>
      </c>
      <c r="AZ198" s="28" t="str">
        <f t="shared" si="16"/>
        <v/>
      </c>
      <c r="BA198" s="28" t="str">
        <f t="shared" si="17"/>
        <v/>
      </c>
      <c r="BB198" s="28" t="str">
        <f t="shared" si="18"/>
        <v/>
      </c>
      <c r="BC198" s="28" t="str">
        <f t="array" ref="BC198">IF($I198="","",LET(
conf,AI198,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duoMax,XLOOKUP($B198,Derived_Variables!$A:$A,Derived_Variables!$AI:$AI,4),
axisTol,XLOOKUP($B198,Derived_Variables!$A:$A,Derived_Variables!$W:$W,1),
maxStart,XLOOKUP($B198,Derived_Variables!$A:$A,Derived_Variables!$U:$U,1.25),
maxAR,XLOOKUP($B198,Derived_Variables!$A:$A,Derived_Variables!$V:$V,3),
anom,XLOOKUP($B198,Derived_Variables!$A:$A,Derived_Variables!$Z:$Z,FALSE),
reStart,XLOOKUP($B198,Derived_Variables!$A:$A,Derived_Variables!$K:$K,0),
leStart,XLOOKUP($B198,Derived_Variables!$A:$A,Derived_Variables!$N:$N,0),
reAR,XLOOKUP($B198,AR_Input!$A:$A,AR_Input!$B:$B,reStart),
leAR,XLOOKUP($B198,AR_Input!$A:$A,AR_Input!$E:$E,leStart),
reEsc,AND(anom,OR(ABS((S198+AM198)-reStart)&gt;maxStart,ABS((S198+AM198)-reAR)&gt;maxAR)),
leEsc,AND(anom,OR(ABS((V198+AP198)-leStart)&gt;maxStart,ABS((V198+AP198)-leAR)&gt;maxAR)),
phaseMax,IFS(
 AK198="Fast",
   IFS(
     OR(C198="B",C198="D"),XLOOKUP("timeout_coarse_fast",Calibration!$B:$B,Calibration!$C:$C,24),
     OR(C198="E",C198="F",C198="H",C198="I"),XLOOKUP("timeout_jcc_fast",Calibration!$B:$B,Calibration!$C:$C,10),
     OR(C198="G",C198="J"),XLOOKUP("timeout_duochrome_fast",Calibration!$B:$B,Calibration!$C:$C,8),
     C198="K",XLOOKUP("timeout_bino_fast",Calibration!$B:$B,Calibration!$C:$C,10),
     OR(C198="P",C198="Q",C198="R"),XLOOKUP("timeout_near_fast",Calibration!$B:$B,Calibration!$C:$C,16),
     TRUE,XLOOKUP("timeout_coarse_fast",Calibration!$B:$B,Calibration!$C:$C,24)
   ),
 AK198="Normal",
   IFS(
     OR(C198="B",C198="D"),XLOOKUP("timeout_coarse_normal",Calibration!$B:$B,Calibration!$C:$C,36),
     OR(C198="E",C198="F",C198="H",C198="I"),XLOOKUP("timeout_jcc_normal",Calibration!$B:$B,Calibration!$C:$C,14),
     OR(C198="G",C198="J"),XLOOKUP("timeout_duochrome_normal",Calibration!$B:$B,Calibration!$C:$C,10),
     C198="K",XLOOKUP("timeout_bino_normal",Calibration!$B:$B,Calibration!$C:$C,14),
     OR(C198="P",C198="Q",C198="R"),XLOOKUP("timeout_near_normal",Calibration!$B:$B,Calibration!$C:$C,22),
     TRUE,XLOOKUP("timeout_coarse_normal",Calibration!$B:$B,Calibration!$C:$C,36)
   ),
 TRUE,
   IFS(
     OR(C198="B",C198="D"),XLOOKUP("timeout_coarse_slow",Calibration!$B:$B,Calibration!$C:$C,48),
     OR(C198="E",C198="F",C198="H",C198="I"),XLOOKUP("timeout_jcc_slow",Calibration!$B:$B,Calibration!$C:$C,18),
     OR(C198="G",C198="J"),XLOOKUP("timeout_duochrome_slow",Calibration!$B:$B,Calibration!$C:$C,12),
     C198="K",XLOOKUP("timeout_bino_slow",Calibration!$B:$B,Calibration!$C:$C,18),
     OR(C198="P",C198="Q",C198="R"),XLOOKUP("timeout_near_slow",Calibration!$B:$B,Calibration!$C:$C,28),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AJ198=TRUE,"ESCALATE",
C198="A",
IF(OR(I198="NOT_READABLE",I198="BLURRY",AND(R198="20_20_20",I198="READABLE")),"B","A"),
C198="B",
IF(reEsc,"ESCALATE",IF(AY198&gt;=phaseMax,"ESCALATE",IF(AND(AV198&gt;=AW198,I198="READABLE"),"E","B"))),
C198="E",
IF(AY198&gt;=phaseMax,"ESCALATE",IF(OR(I198="SAME",I198="CANT_TELL",AD198&lt;axisTol),"F","E")),
C198="F",
IF(AY198&gt;=phaseMax,"ESCALATE",IF(AX198&gt;=powerSameN,"G","F")),
C198="G",
IF(AY198&gt;=phaseMax,"ESCALATE",IF(OR(AX198&gt;=duoEqualN,BB198&gt;=duoMax),"D","G")),
C198="D",
IF(leEsc,"ESCALATE",IF(AY198&gt;=phaseMax,"ESCALATE",IF(AND(AV198&gt;=AW198,I198="READABLE"),"H","D"))),
C198="H",
IF(AY198&gt;=phaseMax,"ESCALATE",IF(OR(I198="SAME",I198="CANT_TELL",AD198&lt;axisTol),"I","H")),
C198="I",
IF(AY198&gt;=phaseMax,"ESCALATE",IF(AX198&gt;=powerSameN,"J","I")),
C198="J",
IF(AY198&gt;=phaseMax,"ESCALATE",IF(OR(AX198&gt;=duoEqualN,BB198&gt;=duoMax),"K","J")),
C198="K",
IF(AY198&gt;=phaseMax,"ESCALATE",IF(AX198&gt;=binoSameN,IF(XLOOKUP($B198,Derived_Variables!$A:$A,Derived_Variables!$AJ:$AJ,FALSE)=TRUE,"P","END"),"K")),
C198="P",
IF(AY198&gt;=phaseMax,"ESCALATE",IF(OR(I198="READABLE",I198="SAME"),"Q","P")),
C198="Q",
IF(AY198&gt;=phaseMax,"ESCALATE",IF(OR(I198="READABLE",I198="SAME"),"R","Q")),
C198="R",
IF(AY198&gt;=phaseMax,"ESCALATE",IF(OR(I198=nearTarget,I198="SAME"),"END","R")),
TRUE,"END"
)))</f>
        <v/>
      </c>
      <c r="BD198" s="28" t="b">
        <f t="shared" si="19"/>
        <v>0</v>
      </c>
    </row>
    <row r="199" ht="15.75" customHeight="1">
      <c r="A199" s="28">
        <f t="shared" si="3"/>
        <v>198</v>
      </c>
      <c r="B199" s="28">
        <f t="shared" si="4"/>
        <v>6</v>
      </c>
      <c r="C199" s="28" t="str">
        <f t="shared" si="5"/>
        <v/>
      </c>
      <c r="D199" s="28" t="str">
        <f t="array" ref="D199">IF($I198="","",XLOOKUP(C199,FSM_State_Map!A:A,FSM_State_Map!B:B,""))</f>
        <v/>
      </c>
      <c r="E199" s="28" t="str">
        <f t="array" ref="E199">IF($I198="","",XLOOKUP(C199,FSM_State_Map!A:A,FSM_State_Map!C:C,""))</f>
        <v/>
      </c>
      <c r="F199" s="28" t="str">
        <f t="array" ref="F199">IF($I198="","",XLOOKUP(E199,Phase_UI_Map!A:A,Phase_UI_Map!B:B,""))</f>
        <v/>
      </c>
      <c r="G199" s="28" t="str">
        <f t="array" ref="G199">IF($I198="","",XLOOKUP(E199,Phase_UI_Map!A:A,Phase_UI_Map!C:C,""))</f>
        <v/>
      </c>
      <c r="H199" s="28" t="str">
        <f t="array" ref="H199">IF($I198="","",XLOOKUP(E199,Phase_UI_Map!A:A,Phase_UI_Map!D:D,""))</f>
        <v/>
      </c>
      <c r="I199" s="29"/>
      <c r="J199" s="28" t="str">
        <f>IFERROR(__xludf.DUMMYFUNCTION("IF($I198="""","""",IFERROR(INDEX(FILTER(Response_Lists!$B:$B,Response_Lists!$A:$A=$H199),1),""""))"),"")</f>
        <v/>
      </c>
      <c r="K199" s="28" t="str">
        <f>IFERROR(__xludf.DUMMYFUNCTION("IF($I198="""","""",IFERROR(INDEX(FILTER(Response_Lists!$B:$B,Response_Lists!$A:$A=$H199),2),""""))"),"")</f>
        <v/>
      </c>
      <c r="L199" s="28" t="str">
        <f>IFERROR(__xludf.DUMMYFUNCTION("IF($I198="""","""",IFERROR(INDEX(FILTER(Response_Lists!$B:$B,Response_Lists!$A:$A=$H199),3),""""))"),"")</f>
        <v/>
      </c>
      <c r="M199" s="28" t="str">
        <f>IFERROR(__xludf.DUMMYFUNCTION("IF($I198="""","""",IFERROR(INDEX(FILTER(Response_Lists!$B:$B,Response_Lists!$A:$A=$H199),4),""""))"),"")</f>
        <v/>
      </c>
      <c r="N199" s="28" t="str">
        <f>IFERROR(__xludf.DUMMYFUNCTION("IF($I198="""","""",IFERROR(INDEX(FILTER(Response_Lists!$B:$B,Response_Lists!$A:$A=$H199),5),""""))"),"")</f>
        <v/>
      </c>
      <c r="O199" s="28" t="str">
        <f>IFERROR(__xludf.DUMMYFUNCTION("IF($I198="""","""",IFERROR(INDEX(FILTER(Response_Lists!$B:$B,Response_Lists!$A:$A=$H199),6),""""))"),"")</f>
        <v/>
      </c>
      <c r="P199" s="28" t="str">
        <f t="shared" si="6"/>
        <v/>
      </c>
      <c r="Q199" s="28" t="str">
        <f t="array" ref="Q199">IF($I198="","",XLOOKUP(C199,FSM_State_Map!A:A,FSM_State_Map!D:D,""))</f>
        <v/>
      </c>
      <c r="R199" s="28" t="str">
        <f t="shared" si="7"/>
        <v/>
      </c>
      <c r="S199" s="28" t="str">
        <f t="array" ref="S199">IF($I198="","",
IF(
  AND(C199="B",C198&lt;&gt;"B"),
  XLOOKUP($B199,Derived_Variables!$A:$A,Derived_Variables!$K:$K,0)
  + XLOOKUP($B199,Derived_Variables!$A:$A,Derived_Variables!$AE:$AE,0),
  S198+AM198
))</f>
        <v/>
      </c>
      <c r="T199" s="28" t="str">
        <f t="shared" ref="T199:U199" si="408">IF($I198="","",T198+AN198)</f>
        <v/>
      </c>
      <c r="U199" s="28" t="str">
        <f t="shared" si="408"/>
        <v/>
      </c>
      <c r="V199" s="28" t="str">
        <f t="array" ref="V199">IF($I198="","",
IF(
  AND(C199="D",C198&lt;&gt;"D"),
  XLOOKUP($B199,Derived_Variables!$A:$A,Derived_Variables!$N:$N,0)
  + XLOOKUP($B199,Derived_Variables!$A:$A,Derived_Variables!$AE:$AE,0),
  V198+AP198
))</f>
        <v/>
      </c>
      <c r="W199" s="28" t="str">
        <f t="shared" ref="W199:X199" si="409">IF($I198="","",W198+AQ198)</f>
        <v/>
      </c>
      <c r="X199" s="28" t="str">
        <f t="shared" si="409"/>
        <v/>
      </c>
      <c r="Y199" s="28" t="str">
        <f t="array" ref="Y199">IF($I198="","",IF(AND(C199="P",C198&lt;&gt;"P"),IFERROR(XLOOKUP($B199,Lenso_Input!$A:$A,Lenso_Input!$E:$E,0),0),Y198+AS198))</f>
        <v/>
      </c>
      <c r="Z199" s="28" t="str">
        <f t="array" ref="Z199">IF($I198="","",IF(AND(C199="Q",C198&lt;&gt;"Q"),IFERROR(XLOOKUP($B199,Lenso_Input!$A:$A,Lenso_Input!$I:$I,0),0),Z198+AT198))</f>
        <v/>
      </c>
      <c r="AA199" s="28" t="str">
        <f t="array" ref="AA199">IF($I198="","",IF(XLOOKUP($B199,Derived_Variables!$A:$A,Derived_Variables!$R:$R,"6/6_target")="6/6_target","20_20_20","40_30_25"))</f>
        <v/>
      </c>
      <c r="AB199" s="28" t="str">
        <f t="array" ref="AB199">IF($I198="","",XLOOKUP(LOWER(XLOOKUP($B199,Derived_Variables!$A:$A,Derived_Variables!$T:$T,"Standard"))&amp;"_sph_step",Calibration!$B:$B,Calibration!$C:$C,0.25))</f>
        <v/>
      </c>
      <c r="AC199" s="28" t="str">
        <f t="array" ref="AC199">IF($I198="","",XLOOKUP(LOWER(XLOOKUP($B199,Derived_Variables!$A:$A,Derived_Variables!$T:$T,"Standard"))&amp;"_cyl_step",Calibration!$B:$B,Calibration!$C:$C,0.25))</f>
        <v/>
      </c>
      <c r="AD199" s="28" t="str">
        <f t="array" ref="AD199">IF($I198="","",IF(OR(C199="E",C199="H"),LET(startStep,XLOOKUP("axis_start_step",Calibration!$B:$B,Calibration!$C:$C,5),step1,XLOOKUP("axis_reversal_step_1",Calibration!$B:$B,Calibration!$C:$C,3),step2,XLOOKUP("axis_reversal_step_2",Calibration!$B:$B,Calibration!$C:$C,1),IF(OR(C198&lt;&gt;C199,AZ199="",AZ199="SAME",AZ199="CANT_TELL",I199="",I199="SAME",I199="CANT_TELL"),startStep,IF(OR(AND(AZ199="BETTER_1",I199="BETTER_2"),AND(AZ199="BETTER_2",I199="BETTER_1")),IF(AD198&gt;step1,step1,step2),AD198))),0))</f>
        <v/>
      </c>
      <c r="AE199" s="28" t="str">
        <f t="array" ref="AE199">IF($I198="","",XLOOKUP($B199,Derived_Variables!$A:$A,Derived_Variables!$AD:$AD,"No_Fog"))</f>
        <v/>
      </c>
      <c r="AF199" s="28" t="str">
        <f t="array" ref="AF199">IF($I198="","",XLOOKUP($B199,Derived_Variables!$A:$A,Derived_Variables!$AE:$AE,0))</f>
        <v/>
      </c>
      <c r="AG199" s="28" t="str">
        <f t="array" ref="AG199">IF($I198="","",XLOOKUP($B199,Derived_Variables!$A:$A,Derived_Variables!$AF:$AF,""))</f>
        <v/>
      </c>
      <c r="AH199" s="28" t="str">
        <f t="array" ref="AH199">IF($I198="","",XLOOKUP($B199,Derived_Variables!$A:$A,Derived_Variables!$AG:$AG,""))</f>
        <v/>
      </c>
      <c r="AI199" s="28" t="str">
        <f t="array" ref="AI199">IF($I198="","",XLOOKUP($B199,Derived_Variables!$A:$A,Derived_Variables!$AC:$AC,"Medium"))</f>
        <v/>
      </c>
      <c r="AJ199" s="28" t="str">
        <f t="array" ref="AJ199">IF($I198="","",XLOOKUP($B199,Derived_Variables!$A:$A,Derived_Variables!$Y:$Y,FALSE))</f>
        <v/>
      </c>
      <c r="AK199" s="28" t="str">
        <f t="array" ref="AK199">IF($I198="","",XLOOKUP($B199,Derived_Variables!$A:$A,Derived_Variables!$AA:$AA,"Normal"))</f>
        <v/>
      </c>
      <c r="AL199" s="28" t="str">
        <f t="array" ref="AL199">IF($I198="","",XLOOKUP($B199,Derived_Variables!$A:$A,Derived_Variables!$AB:$AB,"Normal"))</f>
        <v/>
      </c>
      <c r="AM199" s="28" t="str">
        <f t="array" ref="AM199">IF($I199="","",IFS(C199="B",IF(OR(I199="NOT_READABLE",I199="BLURRY"),-AB199,0),C199="G",IFS(I199="RED_CLEARER",XLOOKUP("duochrome_red_step",Calibration!$B:$B,Calibration!$C:$C,-0.25),I199="GREEN_CLEARER",XLOOKUP("duochrome_green_step",Calibration!$B:$B,Calibration!$C:$C,0.25),I199="EQUAL",IF(XLOOKUP($B199,Derived_Variables!$A:$A,Derived_Variables!$S:$S,"Neutral")="Undercorrect",XLOOKUP("undercorrect_step",Calibration!$B:$B,Calibration!$C:$C,0.25),IF(XLOOKUP($B199,Derived_Variables!$A:$A,Derived_Variables!$S:$S,"Neutral")="Overcorrect",-XLOOKUP("overcorrect_step",Calibration!$B:$B,Calibration!$C:$C,0.25),0)),TRUE,0),C199="K",IF(I199="TOP_CLEARER",XLOOKUP("bino_balance_step",Calibration!$B:$B,Calibration!$C:$C,0.25),0),TRUE,0))</f>
        <v/>
      </c>
      <c r="AN199" s="28" t="str">
        <f t="shared" si="10"/>
        <v/>
      </c>
      <c r="AO199" s="28" t="str">
        <f t="shared" si="11"/>
        <v/>
      </c>
      <c r="AP199" s="28" t="str">
        <f t="array" ref="AP199">IF($I199="","",IFS(C199="D",IF(OR(I199="NOT_READABLE",I199="BLURRY"),-AB199,0),C199="J",IFS(I199="RED_CLEARER",XLOOKUP("duochrome_red_step",Calibration!$B:$B,Calibration!$C:$C,-0.25),I199="GREEN_CLEARER",XLOOKUP("duochrome_green_step",Calibration!$B:$B,Calibration!$C:$C,0.25),I199="EQUAL",IF(XLOOKUP($B199,Derived_Variables!$A:$A,Derived_Variables!$S:$S,"Neutral")="Undercorrect",XLOOKUP("undercorrect_step",Calibration!$B:$B,Calibration!$C:$C,0.25),IF(XLOOKUP($B199,Derived_Variables!$A:$A,Derived_Variables!$S:$S,"Neutral")="Overcorrect",-XLOOKUP("overcorrect_step",Calibration!$B:$B,Calibration!$C:$C,0.25),0)),TRUE,0),C199="K",IF(I199="BOTTOM_CLEARER",XLOOKUP("bino_balance_step",Calibration!$B:$B,Calibration!$C:$C,0.25),0),TRUE,0))</f>
        <v/>
      </c>
      <c r="AQ199" s="28" t="str">
        <f t="shared" si="12"/>
        <v/>
      </c>
      <c r="AR199" s="28" t="str">
        <f t="shared" si="13"/>
        <v/>
      </c>
      <c r="AS199" s="28" t="str">
        <f t="array" ref="AS199">IF($I199="","",IF(C199="P",IF(OR(I199="NOT_READABLE",I199="BLURRY"),XLOOKUP("near_add_step",Calibration!$B:$B,Calibration!$C:$C,0.25),0),IF(C199="R",IF(I199="NOT_CLEAR",XLOOKUP("near_add_step",Calibration!$B:$B,Calibration!$C:$C,0.25),0),0)))</f>
        <v/>
      </c>
      <c r="AT199" s="28" t="str">
        <f t="array" ref="AT199">IF($I199="","",IF(C199="Q",IF(OR(I199="NOT_READABLE",I199="BLURRY"),XLOOKUP("near_add_step",Calibration!$B:$B,Calibration!$C:$C,0.25),0),IF(C199="R",IF(I199="NOT_CLEAR",XLOOKUP("near_add_step",Calibration!$B:$B,Calibration!$C:$C,0.25),0),0)))</f>
        <v/>
      </c>
      <c r="AU199" s="28" t="str">
        <f t="array" ref="AU199">IF($I199="","",IF(G199="SNELLEN_FEET",IF(I199="READABLE",IFERROR(XLOOKUP(XLOOKUP(R199,Chart_Scale_Distance!B:B,Chart_Scale_Distance!A:A)+1,Chart_Scale_Distance!A:A,Chart_Scale_Distance!B:B),R199),R199),R199))</f>
        <v/>
      </c>
      <c r="AV199" s="28" t="str">
        <f t="array" ref="AV199">IF($I198="","",IFERROR(XLOOKUP(R199,Chart_Scale_Distance!$B:$B,Chart_Scale_Distance!$A:$A,""),""))</f>
        <v/>
      </c>
      <c r="AW199" s="28" t="str">
        <f t="array" ref="AW199">IF($I198="","",IFERROR(XLOOKUP(AA199,Chart_Scale_Distance!$B:$B,Chart_Scale_Distance!$A:$A,""),""))</f>
        <v/>
      </c>
      <c r="AX199" s="28" t="str">
        <f t="shared" si="14"/>
        <v/>
      </c>
      <c r="AY199" s="28" t="str">
        <f t="shared" si="15"/>
        <v/>
      </c>
      <c r="AZ199" s="28" t="str">
        <f t="shared" si="16"/>
        <v/>
      </c>
      <c r="BA199" s="28" t="str">
        <f t="shared" si="17"/>
        <v/>
      </c>
      <c r="BB199" s="28" t="str">
        <f t="shared" si="18"/>
        <v/>
      </c>
      <c r="BC199" s="28" t="str">
        <f t="array" ref="BC199">IF($I199="","",LET(
conf,AI199,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duoMax,XLOOKUP($B199,Derived_Variables!$A:$A,Derived_Variables!$AI:$AI,4),
axisTol,XLOOKUP($B199,Derived_Variables!$A:$A,Derived_Variables!$W:$W,1),
maxStart,XLOOKUP($B199,Derived_Variables!$A:$A,Derived_Variables!$U:$U,1.25),
maxAR,XLOOKUP($B199,Derived_Variables!$A:$A,Derived_Variables!$V:$V,3),
anom,XLOOKUP($B199,Derived_Variables!$A:$A,Derived_Variables!$Z:$Z,FALSE),
reStart,XLOOKUP($B199,Derived_Variables!$A:$A,Derived_Variables!$K:$K,0),
leStart,XLOOKUP($B199,Derived_Variables!$A:$A,Derived_Variables!$N:$N,0),
reAR,XLOOKUP($B199,AR_Input!$A:$A,AR_Input!$B:$B,reStart),
leAR,XLOOKUP($B199,AR_Input!$A:$A,AR_Input!$E:$E,leStart),
reEsc,AND(anom,OR(ABS((S199+AM199)-reStart)&gt;maxStart,ABS((S199+AM199)-reAR)&gt;maxAR)),
leEsc,AND(anom,OR(ABS((V199+AP199)-leStart)&gt;maxStart,ABS((V199+AP199)-leAR)&gt;maxAR)),
phaseMax,IFS(
 AK199="Fast",
   IFS(
     OR(C199="B",C199="D"),XLOOKUP("timeout_coarse_fast",Calibration!$B:$B,Calibration!$C:$C,24),
     OR(C199="E",C199="F",C199="H",C199="I"),XLOOKUP("timeout_jcc_fast",Calibration!$B:$B,Calibration!$C:$C,10),
     OR(C199="G",C199="J"),XLOOKUP("timeout_duochrome_fast",Calibration!$B:$B,Calibration!$C:$C,8),
     C199="K",XLOOKUP("timeout_bino_fast",Calibration!$B:$B,Calibration!$C:$C,10),
     OR(C199="P",C199="Q",C199="R"),XLOOKUP("timeout_near_fast",Calibration!$B:$B,Calibration!$C:$C,16),
     TRUE,XLOOKUP("timeout_coarse_fast",Calibration!$B:$B,Calibration!$C:$C,24)
   ),
 AK199="Normal",
   IFS(
     OR(C199="B",C199="D"),XLOOKUP("timeout_coarse_normal",Calibration!$B:$B,Calibration!$C:$C,36),
     OR(C199="E",C199="F",C199="H",C199="I"),XLOOKUP("timeout_jcc_normal",Calibration!$B:$B,Calibration!$C:$C,14),
     OR(C199="G",C199="J"),XLOOKUP("timeout_duochrome_normal",Calibration!$B:$B,Calibration!$C:$C,10),
     C199="K",XLOOKUP("timeout_bino_normal",Calibration!$B:$B,Calibration!$C:$C,14),
     OR(C199="P",C199="Q",C199="R"),XLOOKUP("timeout_near_normal",Calibration!$B:$B,Calibration!$C:$C,22),
     TRUE,XLOOKUP("timeout_coarse_normal",Calibration!$B:$B,Calibration!$C:$C,36)
   ),
 TRUE,
   IFS(
     OR(C199="B",C199="D"),XLOOKUP("timeout_coarse_slow",Calibration!$B:$B,Calibration!$C:$C,48),
     OR(C199="E",C199="F",C199="H",C199="I"),XLOOKUP("timeout_jcc_slow",Calibration!$B:$B,Calibration!$C:$C,18),
     OR(C199="G",C199="J"),XLOOKUP("timeout_duochrome_slow",Calibration!$B:$B,Calibration!$C:$C,12),
     C199="K",XLOOKUP("timeout_bino_slow",Calibration!$B:$B,Calibration!$C:$C,18),
     OR(C199="P",C199="Q",C199="R"),XLOOKUP("timeout_near_slow",Calibration!$B:$B,Calibration!$C:$C,28),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AJ199=TRUE,"ESCALATE",
C199="A",
IF(OR(I199="NOT_READABLE",I199="BLURRY",AND(R199="20_20_20",I199="READABLE")),"B","A"),
C199="B",
IF(reEsc,"ESCALATE",IF(AY199&gt;=phaseMax,"ESCALATE",IF(AND(AV199&gt;=AW199,I199="READABLE"),"E","B"))),
C199="E",
IF(AY199&gt;=phaseMax,"ESCALATE",IF(OR(I199="SAME",I199="CANT_TELL",AD199&lt;axisTol),"F","E")),
C199="F",
IF(AY199&gt;=phaseMax,"ESCALATE",IF(AX199&gt;=powerSameN,"G","F")),
C199="G",
IF(AY199&gt;=phaseMax,"ESCALATE",IF(OR(AX199&gt;=duoEqualN,BB199&gt;=duoMax),"D","G")),
C199="D",
IF(leEsc,"ESCALATE",IF(AY199&gt;=phaseMax,"ESCALATE",IF(AND(AV199&gt;=AW199,I199="READABLE"),"H","D"))),
C199="H",
IF(AY199&gt;=phaseMax,"ESCALATE",IF(OR(I199="SAME",I199="CANT_TELL",AD199&lt;axisTol),"I","H")),
C199="I",
IF(AY199&gt;=phaseMax,"ESCALATE",IF(AX199&gt;=powerSameN,"J","I")),
C199="J",
IF(AY199&gt;=phaseMax,"ESCALATE",IF(OR(AX199&gt;=duoEqualN,BB199&gt;=duoMax),"K","J")),
C199="K",
IF(AY199&gt;=phaseMax,"ESCALATE",IF(AX199&gt;=binoSameN,IF(XLOOKUP($B199,Derived_Variables!$A:$A,Derived_Variables!$AJ:$AJ,FALSE)=TRUE,"P","END"),"K")),
C199="P",
IF(AY199&gt;=phaseMax,"ESCALATE",IF(OR(I199="READABLE",I199="SAME"),"Q","P")),
C199="Q",
IF(AY199&gt;=phaseMax,"ESCALATE",IF(OR(I199="READABLE",I199="SAME"),"R","Q")),
C199="R",
IF(AY199&gt;=phaseMax,"ESCALATE",IF(OR(I199=nearTarget,I199="SAME"),"END","R")),
TRUE,"END"
)))</f>
        <v/>
      </c>
      <c r="BD199" s="28" t="b">
        <f t="shared" si="19"/>
        <v>0</v>
      </c>
    </row>
    <row r="200" ht="15.75" customHeight="1">
      <c r="A200" s="28">
        <f t="shared" si="3"/>
        <v>199</v>
      </c>
      <c r="B200" s="28">
        <f t="shared" si="4"/>
        <v>6</v>
      </c>
      <c r="C200" s="28" t="str">
        <f t="shared" si="5"/>
        <v/>
      </c>
      <c r="D200" s="28" t="str">
        <f t="array" ref="D200">IF($I199="","",XLOOKUP(C200,FSM_State_Map!A:A,FSM_State_Map!B:B,""))</f>
        <v/>
      </c>
      <c r="E200" s="28" t="str">
        <f t="array" ref="E200">IF($I199="","",XLOOKUP(C200,FSM_State_Map!A:A,FSM_State_Map!C:C,""))</f>
        <v/>
      </c>
      <c r="F200" s="28" t="str">
        <f t="array" ref="F200">IF($I199="","",XLOOKUP(E200,Phase_UI_Map!A:A,Phase_UI_Map!B:B,""))</f>
        <v/>
      </c>
      <c r="G200" s="28" t="str">
        <f t="array" ref="G200">IF($I199="","",XLOOKUP(E200,Phase_UI_Map!A:A,Phase_UI_Map!C:C,""))</f>
        <v/>
      </c>
      <c r="H200" s="28" t="str">
        <f t="array" ref="H200">IF($I199="","",XLOOKUP(E200,Phase_UI_Map!A:A,Phase_UI_Map!D:D,""))</f>
        <v/>
      </c>
      <c r="I200" s="29"/>
      <c r="J200" s="28" t="str">
        <f>IFERROR(__xludf.DUMMYFUNCTION("IF($I199="""","""",IFERROR(INDEX(FILTER(Response_Lists!$B:$B,Response_Lists!$A:$A=$H200),1),""""))"),"")</f>
        <v/>
      </c>
      <c r="K200" s="28" t="str">
        <f>IFERROR(__xludf.DUMMYFUNCTION("IF($I199="""","""",IFERROR(INDEX(FILTER(Response_Lists!$B:$B,Response_Lists!$A:$A=$H200),2),""""))"),"")</f>
        <v/>
      </c>
      <c r="L200" s="28" t="str">
        <f>IFERROR(__xludf.DUMMYFUNCTION("IF($I199="""","""",IFERROR(INDEX(FILTER(Response_Lists!$B:$B,Response_Lists!$A:$A=$H200),3),""""))"),"")</f>
        <v/>
      </c>
      <c r="M200" s="28" t="str">
        <f>IFERROR(__xludf.DUMMYFUNCTION("IF($I199="""","""",IFERROR(INDEX(FILTER(Response_Lists!$B:$B,Response_Lists!$A:$A=$H200),4),""""))"),"")</f>
        <v/>
      </c>
      <c r="N200" s="28" t="str">
        <f>IFERROR(__xludf.DUMMYFUNCTION("IF($I199="""","""",IFERROR(INDEX(FILTER(Response_Lists!$B:$B,Response_Lists!$A:$A=$H200),5),""""))"),"")</f>
        <v/>
      </c>
      <c r="O200" s="28" t="str">
        <f>IFERROR(__xludf.DUMMYFUNCTION("IF($I199="""","""",IFERROR(INDEX(FILTER(Response_Lists!$B:$B,Response_Lists!$A:$A=$H200),6),""""))"),"")</f>
        <v/>
      </c>
      <c r="P200" s="28" t="str">
        <f t="shared" si="6"/>
        <v/>
      </c>
      <c r="Q200" s="28" t="str">
        <f t="array" ref="Q200">IF($I199="","",XLOOKUP(C200,FSM_State_Map!A:A,FSM_State_Map!D:D,""))</f>
        <v/>
      </c>
      <c r="R200" s="28" t="str">
        <f t="shared" si="7"/>
        <v/>
      </c>
      <c r="S200" s="28" t="str">
        <f t="array" ref="S200">IF($I199="","",
IF(
  AND(C200="B",C199&lt;&gt;"B"),
  XLOOKUP($B200,Derived_Variables!$A:$A,Derived_Variables!$K:$K,0)
  + XLOOKUP($B200,Derived_Variables!$A:$A,Derived_Variables!$AE:$AE,0),
  S199+AM199
))</f>
        <v/>
      </c>
      <c r="T200" s="28" t="str">
        <f t="shared" ref="T200:U200" si="410">IF($I199="","",T199+AN199)</f>
        <v/>
      </c>
      <c r="U200" s="28" t="str">
        <f t="shared" si="410"/>
        <v/>
      </c>
      <c r="V200" s="28" t="str">
        <f t="array" ref="V200">IF($I199="","",
IF(
  AND(C200="D",C199&lt;&gt;"D"),
  XLOOKUP($B200,Derived_Variables!$A:$A,Derived_Variables!$N:$N,0)
  + XLOOKUP($B200,Derived_Variables!$A:$A,Derived_Variables!$AE:$AE,0),
  V199+AP199
))</f>
        <v/>
      </c>
      <c r="W200" s="28" t="str">
        <f t="shared" ref="W200:X200" si="411">IF($I199="","",W199+AQ199)</f>
        <v/>
      </c>
      <c r="X200" s="28" t="str">
        <f t="shared" si="411"/>
        <v/>
      </c>
      <c r="Y200" s="28" t="str">
        <f t="array" ref="Y200">IF($I199="","",IF(AND(C200="P",C199&lt;&gt;"P"),IFERROR(XLOOKUP($B200,Lenso_Input!$A:$A,Lenso_Input!$E:$E,0),0),Y199+AS199))</f>
        <v/>
      </c>
      <c r="Z200" s="28" t="str">
        <f t="array" ref="Z200">IF($I199="","",IF(AND(C200="Q",C199&lt;&gt;"Q"),IFERROR(XLOOKUP($B200,Lenso_Input!$A:$A,Lenso_Input!$I:$I,0),0),Z199+AT199))</f>
        <v/>
      </c>
      <c r="AA200" s="28" t="str">
        <f t="array" ref="AA200">IF($I199="","",IF(XLOOKUP($B200,Derived_Variables!$A:$A,Derived_Variables!$R:$R,"6/6_target")="6/6_target","20_20_20","40_30_25"))</f>
        <v/>
      </c>
      <c r="AB200" s="28" t="str">
        <f t="array" ref="AB200">IF($I199="","",XLOOKUP(LOWER(XLOOKUP($B200,Derived_Variables!$A:$A,Derived_Variables!$T:$T,"Standard"))&amp;"_sph_step",Calibration!$B:$B,Calibration!$C:$C,0.25))</f>
        <v/>
      </c>
      <c r="AC200" s="28" t="str">
        <f t="array" ref="AC200">IF($I199="","",XLOOKUP(LOWER(XLOOKUP($B200,Derived_Variables!$A:$A,Derived_Variables!$T:$T,"Standard"))&amp;"_cyl_step",Calibration!$B:$B,Calibration!$C:$C,0.25))</f>
        <v/>
      </c>
      <c r="AD200" s="28" t="str">
        <f t="array" ref="AD200">IF($I199="","",IF(OR(C200="E",C200="H"),LET(startStep,XLOOKUP("axis_start_step",Calibration!$B:$B,Calibration!$C:$C,5),step1,XLOOKUP("axis_reversal_step_1",Calibration!$B:$B,Calibration!$C:$C,3),step2,XLOOKUP("axis_reversal_step_2",Calibration!$B:$B,Calibration!$C:$C,1),IF(OR(C199&lt;&gt;C200,AZ200="",AZ200="SAME",AZ200="CANT_TELL",I200="",I200="SAME",I200="CANT_TELL"),startStep,IF(OR(AND(AZ200="BETTER_1",I200="BETTER_2"),AND(AZ200="BETTER_2",I200="BETTER_1")),IF(AD199&gt;step1,step1,step2),AD199))),0))</f>
        <v/>
      </c>
      <c r="AE200" s="28" t="str">
        <f t="array" ref="AE200">IF($I199="","",XLOOKUP($B200,Derived_Variables!$A:$A,Derived_Variables!$AD:$AD,"No_Fog"))</f>
        <v/>
      </c>
      <c r="AF200" s="28" t="str">
        <f t="array" ref="AF200">IF($I199="","",XLOOKUP($B200,Derived_Variables!$A:$A,Derived_Variables!$AE:$AE,0))</f>
        <v/>
      </c>
      <c r="AG200" s="28" t="str">
        <f t="array" ref="AG200">IF($I199="","",XLOOKUP($B200,Derived_Variables!$A:$A,Derived_Variables!$AF:$AF,""))</f>
        <v/>
      </c>
      <c r="AH200" s="28" t="str">
        <f t="array" ref="AH200">IF($I199="","",XLOOKUP($B200,Derived_Variables!$A:$A,Derived_Variables!$AG:$AG,""))</f>
        <v/>
      </c>
      <c r="AI200" s="28" t="str">
        <f t="array" ref="AI200">IF($I199="","",XLOOKUP($B200,Derived_Variables!$A:$A,Derived_Variables!$AC:$AC,"Medium"))</f>
        <v/>
      </c>
      <c r="AJ200" s="28" t="str">
        <f t="array" ref="AJ200">IF($I199="","",XLOOKUP($B200,Derived_Variables!$A:$A,Derived_Variables!$Y:$Y,FALSE))</f>
        <v/>
      </c>
      <c r="AK200" s="28" t="str">
        <f t="array" ref="AK200">IF($I199="","",XLOOKUP($B200,Derived_Variables!$A:$A,Derived_Variables!$AA:$AA,"Normal"))</f>
        <v/>
      </c>
      <c r="AL200" s="28" t="str">
        <f t="array" ref="AL200">IF($I199="","",XLOOKUP($B200,Derived_Variables!$A:$A,Derived_Variables!$AB:$AB,"Normal"))</f>
        <v/>
      </c>
      <c r="AM200" s="28" t="str">
        <f t="array" ref="AM200">IF($I200="","",IFS(C200="B",IF(OR(I200="NOT_READABLE",I200="BLURRY"),-AB200,0),C200="G",IFS(I200="RED_CLEARER",XLOOKUP("duochrome_red_step",Calibration!$B:$B,Calibration!$C:$C,-0.25),I200="GREEN_CLEARER",XLOOKUP("duochrome_green_step",Calibration!$B:$B,Calibration!$C:$C,0.25),I200="EQUAL",IF(XLOOKUP($B200,Derived_Variables!$A:$A,Derived_Variables!$S:$S,"Neutral")="Undercorrect",XLOOKUP("undercorrect_step",Calibration!$B:$B,Calibration!$C:$C,0.25),IF(XLOOKUP($B200,Derived_Variables!$A:$A,Derived_Variables!$S:$S,"Neutral")="Overcorrect",-XLOOKUP("overcorrect_step",Calibration!$B:$B,Calibration!$C:$C,0.25),0)),TRUE,0),C200="K",IF(I200="TOP_CLEARER",XLOOKUP("bino_balance_step",Calibration!$B:$B,Calibration!$C:$C,0.25),0),TRUE,0))</f>
        <v/>
      </c>
      <c r="AN200" s="28" t="str">
        <f t="shared" si="10"/>
        <v/>
      </c>
      <c r="AO200" s="28" t="str">
        <f t="shared" si="11"/>
        <v/>
      </c>
      <c r="AP200" s="28" t="str">
        <f t="array" ref="AP200">IF($I200="","",IFS(C200="D",IF(OR(I200="NOT_READABLE",I200="BLURRY"),-AB200,0),C200="J",IFS(I200="RED_CLEARER",XLOOKUP("duochrome_red_step",Calibration!$B:$B,Calibration!$C:$C,-0.25),I200="GREEN_CLEARER",XLOOKUP("duochrome_green_step",Calibration!$B:$B,Calibration!$C:$C,0.25),I200="EQUAL",IF(XLOOKUP($B200,Derived_Variables!$A:$A,Derived_Variables!$S:$S,"Neutral")="Undercorrect",XLOOKUP("undercorrect_step",Calibration!$B:$B,Calibration!$C:$C,0.25),IF(XLOOKUP($B200,Derived_Variables!$A:$A,Derived_Variables!$S:$S,"Neutral")="Overcorrect",-XLOOKUP("overcorrect_step",Calibration!$B:$B,Calibration!$C:$C,0.25),0)),TRUE,0),C200="K",IF(I200="BOTTOM_CLEARER",XLOOKUP("bino_balance_step",Calibration!$B:$B,Calibration!$C:$C,0.25),0),TRUE,0))</f>
        <v/>
      </c>
      <c r="AQ200" s="28" t="str">
        <f t="shared" si="12"/>
        <v/>
      </c>
      <c r="AR200" s="28" t="str">
        <f t="shared" si="13"/>
        <v/>
      </c>
      <c r="AS200" s="28" t="str">
        <f t="array" ref="AS200">IF($I200="","",IF(C200="P",IF(OR(I200="NOT_READABLE",I200="BLURRY"),XLOOKUP("near_add_step",Calibration!$B:$B,Calibration!$C:$C,0.25),0),IF(C200="R",IF(I200="NOT_CLEAR",XLOOKUP("near_add_step",Calibration!$B:$B,Calibration!$C:$C,0.25),0),0)))</f>
        <v/>
      </c>
      <c r="AT200" s="28" t="str">
        <f t="array" ref="AT200">IF($I200="","",IF(C200="Q",IF(OR(I200="NOT_READABLE",I200="BLURRY"),XLOOKUP("near_add_step",Calibration!$B:$B,Calibration!$C:$C,0.25),0),IF(C200="R",IF(I200="NOT_CLEAR",XLOOKUP("near_add_step",Calibration!$B:$B,Calibration!$C:$C,0.25),0),0)))</f>
        <v/>
      </c>
      <c r="AU200" s="28" t="str">
        <f t="array" ref="AU200">IF($I200="","",IF(G200="SNELLEN_FEET",IF(I200="READABLE",IFERROR(XLOOKUP(XLOOKUP(R200,Chart_Scale_Distance!B:B,Chart_Scale_Distance!A:A)+1,Chart_Scale_Distance!A:A,Chart_Scale_Distance!B:B),R200),R200),R200))</f>
        <v/>
      </c>
      <c r="AV200" s="28" t="str">
        <f t="array" ref="AV200">IF($I199="","",IFERROR(XLOOKUP(R200,Chart_Scale_Distance!$B:$B,Chart_Scale_Distance!$A:$A,""),""))</f>
        <v/>
      </c>
      <c r="AW200" s="28" t="str">
        <f t="array" ref="AW200">IF($I199="","",IFERROR(XLOOKUP(AA200,Chart_Scale_Distance!$B:$B,Chart_Scale_Distance!$A:$A,""),""))</f>
        <v/>
      </c>
      <c r="AX200" s="28" t="str">
        <f t="shared" si="14"/>
        <v/>
      </c>
      <c r="AY200" s="28" t="str">
        <f t="shared" si="15"/>
        <v/>
      </c>
      <c r="AZ200" s="28" t="str">
        <f t="shared" si="16"/>
        <v/>
      </c>
      <c r="BA200" s="28" t="str">
        <f t="shared" si="17"/>
        <v/>
      </c>
      <c r="BB200" s="28" t="str">
        <f t="shared" si="18"/>
        <v/>
      </c>
      <c r="BC200" s="28" t="str">
        <f t="array" ref="BC200">IF($I200="","",LET(
conf,AI200,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duoMax,XLOOKUP($B200,Derived_Variables!$A:$A,Derived_Variables!$AI:$AI,4),
axisTol,XLOOKUP($B200,Derived_Variables!$A:$A,Derived_Variables!$W:$W,1),
maxStart,XLOOKUP($B200,Derived_Variables!$A:$A,Derived_Variables!$U:$U,1.25),
maxAR,XLOOKUP($B200,Derived_Variables!$A:$A,Derived_Variables!$V:$V,3),
anom,XLOOKUP($B200,Derived_Variables!$A:$A,Derived_Variables!$Z:$Z,FALSE),
reStart,XLOOKUP($B200,Derived_Variables!$A:$A,Derived_Variables!$K:$K,0),
leStart,XLOOKUP($B200,Derived_Variables!$A:$A,Derived_Variables!$N:$N,0),
reAR,XLOOKUP($B200,AR_Input!$A:$A,AR_Input!$B:$B,reStart),
leAR,XLOOKUP($B200,AR_Input!$A:$A,AR_Input!$E:$E,leStart),
reEsc,AND(anom,OR(ABS((S200+AM200)-reStart)&gt;maxStart,ABS((S200+AM200)-reAR)&gt;maxAR)),
leEsc,AND(anom,OR(ABS((V200+AP200)-leStart)&gt;maxStart,ABS((V200+AP200)-leAR)&gt;maxAR)),
phaseMax,IFS(
 AK200="Fast",
   IFS(
     OR(C200="B",C200="D"),XLOOKUP("timeout_coarse_fast",Calibration!$B:$B,Calibration!$C:$C,24),
     OR(C200="E",C200="F",C200="H",C200="I"),XLOOKUP("timeout_jcc_fast",Calibration!$B:$B,Calibration!$C:$C,10),
     OR(C200="G",C200="J"),XLOOKUP("timeout_duochrome_fast",Calibration!$B:$B,Calibration!$C:$C,8),
     C200="K",XLOOKUP("timeout_bino_fast",Calibration!$B:$B,Calibration!$C:$C,10),
     OR(C200="P",C200="Q",C200="R"),XLOOKUP("timeout_near_fast",Calibration!$B:$B,Calibration!$C:$C,16),
     TRUE,XLOOKUP("timeout_coarse_fast",Calibration!$B:$B,Calibration!$C:$C,24)
   ),
 AK200="Normal",
   IFS(
     OR(C200="B",C200="D"),XLOOKUP("timeout_coarse_normal",Calibration!$B:$B,Calibration!$C:$C,36),
     OR(C200="E",C200="F",C200="H",C200="I"),XLOOKUP("timeout_jcc_normal",Calibration!$B:$B,Calibration!$C:$C,14),
     OR(C200="G",C200="J"),XLOOKUP("timeout_duochrome_normal",Calibration!$B:$B,Calibration!$C:$C,10),
     C200="K",XLOOKUP("timeout_bino_normal",Calibration!$B:$B,Calibration!$C:$C,14),
     OR(C200="P",C200="Q",C200="R"),XLOOKUP("timeout_near_normal",Calibration!$B:$B,Calibration!$C:$C,22),
     TRUE,XLOOKUP("timeout_coarse_normal",Calibration!$B:$B,Calibration!$C:$C,36)
   ),
 TRUE,
   IFS(
     OR(C200="B",C200="D"),XLOOKUP("timeout_coarse_slow",Calibration!$B:$B,Calibration!$C:$C,48),
     OR(C200="E",C200="F",C200="H",C200="I"),XLOOKUP("timeout_jcc_slow",Calibration!$B:$B,Calibration!$C:$C,18),
     OR(C200="G",C200="J"),XLOOKUP("timeout_duochrome_slow",Calibration!$B:$B,Calibration!$C:$C,12),
     C200="K",XLOOKUP("timeout_bino_slow",Calibration!$B:$B,Calibration!$C:$C,18),
     OR(C200="P",C200="Q",C200="R"),XLOOKUP("timeout_near_slow",Calibration!$B:$B,Calibration!$C:$C,28),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AJ200=TRUE,"ESCALATE",
C200="A",
IF(OR(I200="NOT_READABLE",I200="BLURRY",AND(R200="20_20_20",I200="READABLE")),"B","A"),
C200="B",
IF(reEsc,"ESCALATE",IF(AY200&gt;=phaseMax,"ESCALATE",IF(AND(AV200&gt;=AW200,I200="READABLE"),"E","B"))),
C200="E",
IF(AY200&gt;=phaseMax,"ESCALATE",IF(OR(I200="SAME",I200="CANT_TELL",AD200&lt;axisTol),"F","E")),
C200="F",
IF(AY200&gt;=phaseMax,"ESCALATE",IF(AX200&gt;=powerSameN,"G","F")),
C200="G",
IF(AY200&gt;=phaseMax,"ESCALATE",IF(OR(AX200&gt;=duoEqualN,BB200&gt;=duoMax),"D","G")),
C200="D",
IF(leEsc,"ESCALATE",IF(AY200&gt;=phaseMax,"ESCALATE",IF(AND(AV200&gt;=AW200,I200="READABLE"),"H","D"))),
C200="H",
IF(AY200&gt;=phaseMax,"ESCALATE",IF(OR(I200="SAME",I200="CANT_TELL",AD200&lt;axisTol),"I","H")),
C200="I",
IF(AY200&gt;=phaseMax,"ESCALATE",IF(AX200&gt;=powerSameN,"J","I")),
C200="J",
IF(AY200&gt;=phaseMax,"ESCALATE",IF(OR(AX200&gt;=duoEqualN,BB200&gt;=duoMax),"K","J")),
C200="K",
IF(AY200&gt;=phaseMax,"ESCALATE",IF(AX200&gt;=binoSameN,IF(XLOOKUP($B200,Derived_Variables!$A:$A,Derived_Variables!$AJ:$AJ,FALSE)=TRUE,"P","END"),"K")),
C200="P",
IF(AY200&gt;=phaseMax,"ESCALATE",IF(OR(I200="READABLE",I200="SAME"),"Q","P")),
C200="Q",
IF(AY200&gt;=phaseMax,"ESCALATE",IF(OR(I200="READABLE",I200="SAME"),"R","Q")),
C200="R",
IF(AY200&gt;=phaseMax,"ESCALATE",IF(OR(I200=nearTarget,I200="SAME"),"END","R")),
TRUE,"END"
)))</f>
        <v/>
      </c>
      <c r="BD200" s="28" t="b">
        <f t="shared" si="19"/>
        <v>0</v>
      </c>
    </row>
    <row r="201" ht="15.75" customHeight="1">
      <c r="A201" s="28">
        <f t="shared" si="3"/>
        <v>200</v>
      </c>
      <c r="B201" s="28">
        <f t="shared" si="4"/>
        <v>6</v>
      </c>
      <c r="C201" s="28" t="str">
        <f t="shared" si="5"/>
        <v/>
      </c>
      <c r="D201" s="28" t="str">
        <f t="array" ref="D201">IF($I200="","",XLOOKUP(C201,FSM_State_Map!A:A,FSM_State_Map!B:B,""))</f>
        <v/>
      </c>
      <c r="E201" s="28" t="str">
        <f t="array" ref="E201">IF($I200="","",XLOOKUP(C201,FSM_State_Map!A:A,FSM_State_Map!C:C,""))</f>
        <v/>
      </c>
      <c r="F201" s="28" t="str">
        <f t="array" ref="F201">IF($I200="","",XLOOKUP(E201,Phase_UI_Map!A:A,Phase_UI_Map!B:B,""))</f>
        <v/>
      </c>
      <c r="G201" s="28" t="str">
        <f t="array" ref="G201">IF($I200="","",XLOOKUP(E201,Phase_UI_Map!A:A,Phase_UI_Map!C:C,""))</f>
        <v/>
      </c>
      <c r="H201" s="28" t="str">
        <f t="array" ref="H201">IF($I200="","",XLOOKUP(E201,Phase_UI_Map!A:A,Phase_UI_Map!D:D,""))</f>
        <v/>
      </c>
      <c r="I201" s="29"/>
      <c r="J201" s="28" t="str">
        <f>IFERROR(__xludf.DUMMYFUNCTION("IF($I200="""","""",IFERROR(INDEX(FILTER(Response_Lists!$B:$B,Response_Lists!$A:$A=$H201),1),""""))"),"")</f>
        <v/>
      </c>
      <c r="K201" s="28" t="str">
        <f>IFERROR(__xludf.DUMMYFUNCTION("IF($I200="""","""",IFERROR(INDEX(FILTER(Response_Lists!$B:$B,Response_Lists!$A:$A=$H201),2),""""))"),"")</f>
        <v/>
      </c>
      <c r="L201" s="28" t="str">
        <f>IFERROR(__xludf.DUMMYFUNCTION("IF($I200="""","""",IFERROR(INDEX(FILTER(Response_Lists!$B:$B,Response_Lists!$A:$A=$H201),3),""""))"),"")</f>
        <v/>
      </c>
      <c r="M201" s="28" t="str">
        <f>IFERROR(__xludf.DUMMYFUNCTION("IF($I200="""","""",IFERROR(INDEX(FILTER(Response_Lists!$B:$B,Response_Lists!$A:$A=$H201),4),""""))"),"")</f>
        <v/>
      </c>
      <c r="N201" s="28" t="str">
        <f>IFERROR(__xludf.DUMMYFUNCTION("IF($I200="""","""",IFERROR(INDEX(FILTER(Response_Lists!$B:$B,Response_Lists!$A:$A=$H201),5),""""))"),"")</f>
        <v/>
      </c>
      <c r="O201" s="28" t="str">
        <f>IFERROR(__xludf.DUMMYFUNCTION("IF($I200="""","""",IFERROR(INDEX(FILTER(Response_Lists!$B:$B,Response_Lists!$A:$A=$H201),6),""""))"),"")</f>
        <v/>
      </c>
      <c r="P201" s="28" t="str">
        <f t="shared" si="6"/>
        <v/>
      </c>
      <c r="Q201" s="28" t="str">
        <f t="array" ref="Q201">IF($I200="","",XLOOKUP(C201,FSM_State_Map!A:A,FSM_State_Map!D:D,""))</f>
        <v/>
      </c>
      <c r="R201" s="28" t="str">
        <f t="shared" si="7"/>
        <v/>
      </c>
      <c r="S201" s="28" t="str">
        <f t="array" ref="S201">IF($I200="","",
IF(
  AND(C201="B",C200&lt;&gt;"B"),
  XLOOKUP($B201,Derived_Variables!$A:$A,Derived_Variables!$K:$K,0)
  + XLOOKUP($B201,Derived_Variables!$A:$A,Derived_Variables!$AE:$AE,0),
  S200+AM200
))</f>
        <v/>
      </c>
      <c r="T201" s="28" t="str">
        <f t="shared" ref="T201:U201" si="412">IF($I200="","",T200+AN200)</f>
        <v/>
      </c>
      <c r="U201" s="28" t="str">
        <f t="shared" si="412"/>
        <v/>
      </c>
      <c r="V201" s="28" t="str">
        <f t="array" ref="V201">IF($I200="","",
IF(
  AND(C201="D",C200&lt;&gt;"D"),
  XLOOKUP($B201,Derived_Variables!$A:$A,Derived_Variables!$N:$N,0)
  + XLOOKUP($B201,Derived_Variables!$A:$A,Derived_Variables!$AE:$AE,0),
  V200+AP200
))</f>
        <v/>
      </c>
      <c r="W201" s="28" t="str">
        <f t="shared" ref="W201:X201" si="413">IF($I200="","",W200+AQ200)</f>
        <v/>
      </c>
      <c r="X201" s="28" t="str">
        <f t="shared" si="413"/>
        <v/>
      </c>
      <c r="Y201" s="28" t="str">
        <f t="array" ref="Y201">IF($I200="","",IF(AND(C201="P",C200&lt;&gt;"P"),IFERROR(XLOOKUP($B201,Lenso_Input!$A:$A,Lenso_Input!$E:$E,0),0),Y200+AS200))</f>
        <v/>
      </c>
      <c r="Z201" s="28" t="str">
        <f t="array" ref="Z201">IF($I200="","",IF(AND(C201="Q",C200&lt;&gt;"Q"),IFERROR(XLOOKUP($B201,Lenso_Input!$A:$A,Lenso_Input!$I:$I,0),0),Z200+AT200))</f>
        <v/>
      </c>
      <c r="AA201" s="28" t="str">
        <f t="array" ref="AA201">IF($I200="","",IF(XLOOKUP($B201,Derived_Variables!$A:$A,Derived_Variables!$R:$R,"6/6_target")="6/6_target","20_20_20","40_30_25"))</f>
        <v/>
      </c>
      <c r="AB201" s="28" t="str">
        <f t="array" ref="AB201">IF($I200="","",XLOOKUP(LOWER(XLOOKUP($B201,Derived_Variables!$A:$A,Derived_Variables!$T:$T,"Standard"))&amp;"_sph_step",Calibration!$B:$B,Calibration!$C:$C,0.25))</f>
        <v/>
      </c>
      <c r="AC201" s="28" t="str">
        <f t="array" ref="AC201">IF($I200="","",XLOOKUP(LOWER(XLOOKUP($B201,Derived_Variables!$A:$A,Derived_Variables!$T:$T,"Standard"))&amp;"_cyl_step",Calibration!$B:$B,Calibration!$C:$C,0.25))</f>
        <v/>
      </c>
      <c r="AD201" s="28" t="str">
        <f t="array" ref="AD201">IF($I200="","",IF(OR(C201="E",C201="H"),LET(startStep,XLOOKUP("axis_start_step",Calibration!$B:$B,Calibration!$C:$C,5),step1,XLOOKUP("axis_reversal_step_1",Calibration!$B:$B,Calibration!$C:$C,3),step2,XLOOKUP("axis_reversal_step_2",Calibration!$B:$B,Calibration!$C:$C,1),IF(OR(C200&lt;&gt;C201,AZ201="",AZ201="SAME",AZ201="CANT_TELL",I201="",I201="SAME",I201="CANT_TELL"),startStep,IF(OR(AND(AZ201="BETTER_1",I201="BETTER_2"),AND(AZ201="BETTER_2",I201="BETTER_1")),IF(AD200&gt;step1,step1,step2),AD200))),0))</f>
        <v/>
      </c>
      <c r="AE201" s="28" t="str">
        <f t="array" ref="AE201">IF($I200="","",XLOOKUP($B201,Derived_Variables!$A:$A,Derived_Variables!$AD:$AD,"No_Fog"))</f>
        <v/>
      </c>
      <c r="AF201" s="28" t="str">
        <f t="array" ref="AF201">IF($I200="","",XLOOKUP($B201,Derived_Variables!$A:$A,Derived_Variables!$AE:$AE,0))</f>
        <v/>
      </c>
      <c r="AG201" s="28" t="str">
        <f t="array" ref="AG201">IF($I200="","",XLOOKUP($B201,Derived_Variables!$A:$A,Derived_Variables!$AF:$AF,""))</f>
        <v/>
      </c>
      <c r="AH201" s="28" t="str">
        <f t="array" ref="AH201">IF($I200="","",XLOOKUP($B201,Derived_Variables!$A:$A,Derived_Variables!$AG:$AG,""))</f>
        <v/>
      </c>
      <c r="AI201" s="28" t="str">
        <f t="array" ref="AI201">IF($I200="","",XLOOKUP($B201,Derived_Variables!$A:$A,Derived_Variables!$AC:$AC,"Medium"))</f>
        <v/>
      </c>
      <c r="AJ201" s="28" t="str">
        <f t="array" ref="AJ201">IF($I200="","",XLOOKUP($B201,Derived_Variables!$A:$A,Derived_Variables!$Y:$Y,FALSE))</f>
        <v/>
      </c>
      <c r="AK201" s="28" t="str">
        <f t="array" ref="AK201">IF($I200="","",XLOOKUP($B201,Derived_Variables!$A:$A,Derived_Variables!$AA:$AA,"Normal"))</f>
        <v/>
      </c>
      <c r="AL201" s="28" t="str">
        <f t="array" ref="AL201">IF($I200="","",XLOOKUP($B201,Derived_Variables!$A:$A,Derived_Variables!$AB:$AB,"Normal"))</f>
        <v/>
      </c>
      <c r="AM201" s="28" t="str">
        <f t="array" ref="AM201">IF($I201="","",IFS(C201="B",IF(OR(I201="NOT_READABLE",I201="BLURRY"),-AB201,0),C201="G",IFS(I201="RED_CLEARER",XLOOKUP("duochrome_red_step",Calibration!$B:$B,Calibration!$C:$C,-0.25),I201="GREEN_CLEARER",XLOOKUP("duochrome_green_step",Calibration!$B:$B,Calibration!$C:$C,0.25),I201="EQUAL",IF(XLOOKUP($B201,Derived_Variables!$A:$A,Derived_Variables!$S:$S,"Neutral")="Undercorrect",XLOOKUP("undercorrect_step",Calibration!$B:$B,Calibration!$C:$C,0.25),IF(XLOOKUP($B201,Derived_Variables!$A:$A,Derived_Variables!$S:$S,"Neutral")="Overcorrect",-XLOOKUP("overcorrect_step",Calibration!$B:$B,Calibration!$C:$C,0.25),0)),TRUE,0),C201="K",IF(I201="TOP_CLEARER",XLOOKUP("bino_balance_step",Calibration!$B:$B,Calibration!$C:$C,0.25),0),TRUE,0))</f>
        <v/>
      </c>
      <c r="AN201" s="28" t="str">
        <f t="shared" si="10"/>
        <v/>
      </c>
      <c r="AO201" s="28" t="str">
        <f t="shared" si="11"/>
        <v/>
      </c>
      <c r="AP201" s="28" t="str">
        <f t="array" ref="AP201">IF($I201="","",IFS(C201="D",IF(OR(I201="NOT_READABLE",I201="BLURRY"),-AB201,0),C201="J",IFS(I201="RED_CLEARER",XLOOKUP("duochrome_red_step",Calibration!$B:$B,Calibration!$C:$C,-0.25),I201="GREEN_CLEARER",XLOOKUP("duochrome_green_step",Calibration!$B:$B,Calibration!$C:$C,0.25),I201="EQUAL",IF(XLOOKUP($B201,Derived_Variables!$A:$A,Derived_Variables!$S:$S,"Neutral")="Undercorrect",XLOOKUP("undercorrect_step",Calibration!$B:$B,Calibration!$C:$C,0.25),IF(XLOOKUP($B201,Derived_Variables!$A:$A,Derived_Variables!$S:$S,"Neutral")="Overcorrect",-XLOOKUP("overcorrect_step",Calibration!$B:$B,Calibration!$C:$C,0.25),0)),TRUE,0),C201="K",IF(I201="BOTTOM_CLEARER",XLOOKUP("bino_balance_step",Calibration!$B:$B,Calibration!$C:$C,0.25),0),TRUE,0))</f>
        <v/>
      </c>
      <c r="AQ201" s="28" t="str">
        <f t="shared" si="12"/>
        <v/>
      </c>
      <c r="AR201" s="28" t="str">
        <f t="shared" si="13"/>
        <v/>
      </c>
      <c r="AS201" s="28" t="str">
        <f t="array" ref="AS201">IF($I201="","",IF(C201="P",IF(OR(I201="NOT_READABLE",I201="BLURRY"),XLOOKUP("near_add_step",Calibration!$B:$B,Calibration!$C:$C,0.25),0),IF(C201="R",IF(I201="NOT_CLEAR",XLOOKUP("near_add_step",Calibration!$B:$B,Calibration!$C:$C,0.25),0),0)))</f>
        <v/>
      </c>
      <c r="AT201" s="28" t="str">
        <f t="array" ref="AT201">IF($I201="","",IF(C201="Q",IF(OR(I201="NOT_READABLE",I201="BLURRY"),XLOOKUP("near_add_step",Calibration!$B:$B,Calibration!$C:$C,0.25),0),IF(C201="R",IF(I201="NOT_CLEAR",XLOOKUP("near_add_step",Calibration!$B:$B,Calibration!$C:$C,0.25),0),0)))</f>
        <v/>
      </c>
      <c r="AU201" s="28" t="str">
        <f t="array" ref="AU201">IF($I201="","",IF(G201="SNELLEN_FEET",IF(I201="READABLE",IFERROR(XLOOKUP(XLOOKUP(R201,Chart_Scale_Distance!B:B,Chart_Scale_Distance!A:A)+1,Chart_Scale_Distance!A:A,Chart_Scale_Distance!B:B),R201),R201),R201))</f>
        <v/>
      </c>
      <c r="AV201" s="28" t="str">
        <f t="array" ref="AV201">IF($I200="","",IFERROR(XLOOKUP(R201,Chart_Scale_Distance!$B:$B,Chart_Scale_Distance!$A:$A,""),""))</f>
        <v/>
      </c>
      <c r="AW201" s="28" t="str">
        <f t="array" ref="AW201">IF($I200="","",IFERROR(XLOOKUP(AA201,Chart_Scale_Distance!$B:$B,Chart_Scale_Distance!$A:$A,""),""))</f>
        <v/>
      </c>
      <c r="AX201" s="28" t="str">
        <f t="shared" si="14"/>
        <v/>
      </c>
      <c r="AY201" s="28" t="str">
        <f t="shared" si="15"/>
        <v/>
      </c>
      <c r="AZ201" s="28" t="str">
        <f t="shared" si="16"/>
        <v/>
      </c>
      <c r="BA201" s="28" t="str">
        <f t="shared" si="17"/>
        <v/>
      </c>
      <c r="BB201" s="28" t="str">
        <f t="shared" si="18"/>
        <v/>
      </c>
      <c r="BC201" s="28" t="str">
        <f t="array" ref="BC201">IF($I201="","",LET(
conf,AI201,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duoMax,XLOOKUP($B201,Derived_Variables!$A:$A,Derived_Variables!$AI:$AI,4),
axisTol,XLOOKUP($B201,Derived_Variables!$A:$A,Derived_Variables!$W:$W,1),
maxStart,XLOOKUP($B201,Derived_Variables!$A:$A,Derived_Variables!$U:$U,1.25),
maxAR,XLOOKUP($B201,Derived_Variables!$A:$A,Derived_Variables!$V:$V,3),
anom,XLOOKUP($B201,Derived_Variables!$A:$A,Derived_Variables!$Z:$Z,FALSE),
reStart,XLOOKUP($B201,Derived_Variables!$A:$A,Derived_Variables!$K:$K,0),
leStart,XLOOKUP($B201,Derived_Variables!$A:$A,Derived_Variables!$N:$N,0),
reAR,XLOOKUP($B201,AR_Input!$A:$A,AR_Input!$B:$B,reStart),
leAR,XLOOKUP($B201,AR_Input!$A:$A,AR_Input!$E:$E,leStart),
reEsc,AND(anom,OR(ABS((S201+AM201)-reStart)&gt;maxStart,ABS((S201+AM201)-reAR)&gt;maxAR)),
leEsc,AND(anom,OR(ABS((V201+AP201)-leStart)&gt;maxStart,ABS((V201+AP201)-leAR)&gt;maxAR)),
phaseMax,IFS(
 AK201="Fast",
   IFS(
     OR(C201="B",C201="D"),XLOOKUP("timeout_coarse_fast",Calibration!$B:$B,Calibration!$C:$C,24),
     OR(C201="E",C201="F",C201="H",C201="I"),XLOOKUP("timeout_jcc_fast",Calibration!$B:$B,Calibration!$C:$C,10),
     OR(C201="G",C201="J"),XLOOKUP("timeout_duochrome_fast",Calibration!$B:$B,Calibration!$C:$C,8),
     C201="K",XLOOKUP("timeout_bino_fast",Calibration!$B:$B,Calibration!$C:$C,10),
     OR(C201="P",C201="Q",C201="R"),XLOOKUP("timeout_near_fast",Calibration!$B:$B,Calibration!$C:$C,16),
     TRUE,XLOOKUP("timeout_coarse_fast",Calibration!$B:$B,Calibration!$C:$C,24)
   ),
 AK201="Normal",
   IFS(
     OR(C201="B",C201="D"),XLOOKUP("timeout_coarse_normal",Calibration!$B:$B,Calibration!$C:$C,36),
     OR(C201="E",C201="F",C201="H",C201="I"),XLOOKUP("timeout_jcc_normal",Calibration!$B:$B,Calibration!$C:$C,14),
     OR(C201="G",C201="J"),XLOOKUP("timeout_duochrome_normal",Calibration!$B:$B,Calibration!$C:$C,10),
     C201="K",XLOOKUP("timeout_bino_normal",Calibration!$B:$B,Calibration!$C:$C,14),
     OR(C201="P",C201="Q",C201="R"),XLOOKUP("timeout_near_normal",Calibration!$B:$B,Calibration!$C:$C,22),
     TRUE,XLOOKUP("timeout_coarse_normal",Calibration!$B:$B,Calibration!$C:$C,36)
   ),
 TRUE,
   IFS(
     OR(C201="B",C201="D"),XLOOKUP("timeout_coarse_slow",Calibration!$B:$B,Calibration!$C:$C,48),
     OR(C201="E",C201="F",C201="H",C201="I"),XLOOKUP("timeout_jcc_slow",Calibration!$B:$B,Calibration!$C:$C,18),
     OR(C201="G",C201="J"),XLOOKUP("timeout_duochrome_slow",Calibration!$B:$B,Calibration!$C:$C,12),
     C201="K",XLOOKUP("timeout_bino_slow",Calibration!$B:$B,Calibration!$C:$C,18),
     OR(C201="P",C201="Q",C201="R"),XLOOKUP("timeout_near_slow",Calibration!$B:$B,Calibration!$C:$C,28),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AJ201=TRUE,"ESCALATE",
C201="A",
IF(OR(I201="NOT_READABLE",I201="BLURRY",AND(R201="20_20_20",I201="READABLE")),"B","A"),
C201="B",
IF(reEsc,"ESCALATE",IF(AY201&gt;=phaseMax,"ESCALATE",IF(AND(AV201&gt;=AW201,I201="READABLE"),"E","B"))),
C201="E",
IF(AY201&gt;=phaseMax,"ESCALATE",IF(OR(I201="SAME",I201="CANT_TELL",AD201&lt;axisTol),"F","E")),
C201="F",
IF(AY201&gt;=phaseMax,"ESCALATE",IF(AX201&gt;=powerSameN,"G","F")),
C201="G",
IF(AY201&gt;=phaseMax,"ESCALATE",IF(OR(AX201&gt;=duoEqualN,BB201&gt;=duoMax),"D","G")),
C201="D",
IF(leEsc,"ESCALATE",IF(AY201&gt;=phaseMax,"ESCALATE",IF(AND(AV201&gt;=AW201,I201="READABLE"),"H","D"))),
C201="H",
IF(AY201&gt;=phaseMax,"ESCALATE",IF(OR(I201="SAME",I201="CANT_TELL",AD201&lt;axisTol),"I","H")),
C201="I",
IF(AY201&gt;=phaseMax,"ESCALATE",IF(AX201&gt;=powerSameN,"J","I")),
C201="J",
IF(AY201&gt;=phaseMax,"ESCALATE",IF(OR(AX201&gt;=duoEqualN,BB201&gt;=duoMax),"K","J")),
C201="K",
IF(AY201&gt;=phaseMax,"ESCALATE",IF(AX201&gt;=binoSameN,IF(XLOOKUP($B201,Derived_Variables!$A:$A,Derived_Variables!$AJ:$AJ,FALSE)=TRUE,"P","END"),"K")),
C201="P",
IF(AY201&gt;=phaseMax,"ESCALATE",IF(OR(I201="READABLE",I201="SAME"),"Q","P")),
C201="Q",
IF(AY201&gt;=phaseMax,"ESCALATE",IF(OR(I201="READABLE",I201="SAME"),"R","Q")),
C201="R",
IF(AY201&gt;=phaseMax,"ESCALATE",IF(OR(I201=nearTarget,I201="SAME"),"END","R")),
TRUE,"END"
)))</f>
        <v/>
      </c>
      <c r="BD201" s="28" t="b">
        <f t="shared" si="19"/>
        <v>0</v>
      </c>
    </row>
    <row r="202" ht="15.75" customHeight="1">
      <c r="A202" s="28">
        <f t="shared" si="3"/>
        <v>201</v>
      </c>
      <c r="B202" s="28">
        <f t="shared" si="4"/>
        <v>6</v>
      </c>
      <c r="C202" s="28" t="str">
        <f t="shared" si="5"/>
        <v/>
      </c>
      <c r="D202" s="28" t="str">
        <f t="array" ref="D202">IF($I201="","",XLOOKUP(C202,FSM_State_Map!A:A,FSM_State_Map!B:B,""))</f>
        <v/>
      </c>
      <c r="E202" s="28" t="str">
        <f t="array" ref="E202">IF($I201="","",XLOOKUP(C202,FSM_State_Map!A:A,FSM_State_Map!C:C,""))</f>
        <v/>
      </c>
      <c r="F202" s="28" t="str">
        <f t="array" ref="F202">IF($I201="","",XLOOKUP(E202,Phase_UI_Map!A:A,Phase_UI_Map!B:B,""))</f>
        <v/>
      </c>
      <c r="G202" s="28" t="str">
        <f t="array" ref="G202">IF($I201="","",XLOOKUP(E202,Phase_UI_Map!A:A,Phase_UI_Map!C:C,""))</f>
        <v/>
      </c>
      <c r="H202" s="28" t="str">
        <f t="array" ref="H202">IF($I201="","",XLOOKUP(E202,Phase_UI_Map!A:A,Phase_UI_Map!D:D,""))</f>
        <v/>
      </c>
      <c r="I202" s="29"/>
      <c r="J202" s="28" t="str">
        <f>IFERROR(__xludf.DUMMYFUNCTION("IF($I201="""","""",IFERROR(INDEX(FILTER(Response_Lists!$B:$B,Response_Lists!$A:$A=$H202),1),""""))"),"")</f>
        <v/>
      </c>
      <c r="K202" s="28" t="str">
        <f>IFERROR(__xludf.DUMMYFUNCTION("IF($I201="""","""",IFERROR(INDEX(FILTER(Response_Lists!$B:$B,Response_Lists!$A:$A=$H202),2),""""))"),"")</f>
        <v/>
      </c>
      <c r="L202" s="28" t="str">
        <f>IFERROR(__xludf.DUMMYFUNCTION("IF($I201="""","""",IFERROR(INDEX(FILTER(Response_Lists!$B:$B,Response_Lists!$A:$A=$H202),3),""""))"),"")</f>
        <v/>
      </c>
      <c r="M202" s="28" t="str">
        <f>IFERROR(__xludf.DUMMYFUNCTION("IF($I201="""","""",IFERROR(INDEX(FILTER(Response_Lists!$B:$B,Response_Lists!$A:$A=$H202),4),""""))"),"")</f>
        <v/>
      </c>
      <c r="N202" s="28" t="str">
        <f>IFERROR(__xludf.DUMMYFUNCTION("IF($I201="""","""",IFERROR(INDEX(FILTER(Response_Lists!$B:$B,Response_Lists!$A:$A=$H202),5),""""))"),"")</f>
        <v/>
      </c>
      <c r="O202" s="28" t="str">
        <f>IFERROR(__xludf.DUMMYFUNCTION("IF($I201="""","""",IFERROR(INDEX(FILTER(Response_Lists!$B:$B,Response_Lists!$A:$A=$H202),6),""""))"),"")</f>
        <v/>
      </c>
      <c r="P202" s="28" t="str">
        <f t="shared" si="6"/>
        <v/>
      </c>
      <c r="Q202" s="28" t="str">
        <f t="array" ref="Q202">IF($I201="","",XLOOKUP(C202,FSM_State_Map!A:A,FSM_State_Map!D:D,""))</f>
        <v/>
      </c>
      <c r="R202" s="28" t="str">
        <f t="shared" si="7"/>
        <v/>
      </c>
      <c r="S202" s="28" t="str">
        <f t="array" ref="S202">IF($I201="","",
IF(
  AND(C202="B",C201&lt;&gt;"B"),
  XLOOKUP($B202,Derived_Variables!$A:$A,Derived_Variables!$K:$K,0)
  + XLOOKUP($B202,Derived_Variables!$A:$A,Derived_Variables!$AE:$AE,0),
  S201+AM201
))</f>
        <v/>
      </c>
      <c r="T202" s="28" t="str">
        <f t="shared" ref="T202:U202" si="414">IF($I201="","",T201+AN201)</f>
        <v/>
      </c>
      <c r="U202" s="28" t="str">
        <f t="shared" si="414"/>
        <v/>
      </c>
      <c r="V202" s="28" t="str">
        <f t="array" ref="V202">IF($I201="","",
IF(
  AND(C202="D",C201&lt;&gt;"D"),
  XLOOKUP($B202,Derived_Variables!$A:$A,Derived_Variables!$N:$N,0)
  + XLOOKUP($B202,Derived_Variables!$A:$A,Derived_Variables!$AE:$AE,0),
  V201+AP201
))</f>
        <v/>
      </c>
      <c r="W202" s="28" t="str">
        <f t="shared" ref="W202:X202" si="415">IF($I201="","",W201+AQ201)</f>
        <v/>
      </c>
      <c r="X202" s="28" t="str">
        <f t="shared" si="415"/>
        <v/>
      </c>
      <c r="Y202" s="28" t="str">
        <f t="array" ref="Y202">IF($I201="","",IF(AND(C202="P",C201&lt;&gt;"P"),IFERROR(XLOOKUP($B202,Lenso_Input!$A:$A,Lenso_Input!$E:$E,0),0),Y201+AS201))</f>
        <v/>
      </c>
      <c r="Z202" s="28" t="str">
        <f t="array" ref="Z202">IF($I201="","",IF(AND(C202="Q",C201&lt;&gt;"Q"),IFERROR(XLOOKUP($B202,Lenso_Input!$A:$A,Lenso_Input!$I:$I,0),0),Z201+AT201))</f>
        <v/>
      </c>
      <c r="AA202" s="28" t="str">
        <f t="array" ref="AA202">IF($I201="","",IF(XLOOKUP($B202,Derived_Variables!$A:$A,Derived_Variables!$R:$R,"6/6_target")="6/6_target","20_20_20","40_30_25"))</f>
        <v/>
      </c>
      <c r="AB202" s="28" t="str">
        <f t="array" ref="AB202">IF($I201="","",XLOOKUP(LOWER(XLOOKUP($B202,Derived_Variables!$A:$A,Derived_Variables!$T:$T,"Standard"))&amp;"_sph_step",Calibration!$B:$B,Calibration!$C:$C,0.25))</f>
        <v/>
      </c>
      <c r="AC202" s="28" t="str">
        <f t="array" ref="AC202">IF($I201="","",XLOOKUP(LOWER(XLOOKUP($B202,Derived_Variables!$A:$A,Derived_Variables!$T:$T,"Standard"))&amp;"_cyl_step",Calibration!$B:$B,Calibration!$C:$C,0.25))</f>
        <v/>
      </c>
      <c r="AD202" s="28" t="str">
        <f t="array" ref="AD202">IF($I201="","",IF(OR(C202="E",C202="H"),LET(startStep,XLOOKUP("axis_start_step",Calibration!$B:$B,Calibration!$C:$C,5),step1,XLOOKUP("axis_reversal_step_1",Calibration!$B:$B,Calibration!$C:$C,3),step2,XLOOKUP("axis_reversal_step_2",Calibration!$B:$B,Calibration!$C:$C,1),IF(OR(C201&lt;&gt;C202,AZ202="",AZ202="SAME",AZ202="CANT_TELL",I202="",I202="SAME",I202="CANT_TELL"),startStep,IF(OR(AND(AZ202="BETTER_1",I202="BETTER_2"),AND(AZ202="BETTER_2",I202="BETTER_1")),IF(AD201&gt;step1,step1,step2),AD201))),0))</f>
        <v/>
      </c>
      <c r="AE202" s="28" t="str">
        <f t="array" ref="AE202">IF($I201="","",XLOOKUP($B202,Derived_Variables!$A:$A,Derived_Variables!$AD:$AD,"No_Fog"))</f>
        <v/>
      </c>
      <c r="AF202" s="28" t="str">
        <f t="array" ref="AF202">IF($I201="","",XLOOKUP($B202,Derived_Variables!$A:$A,Derived_Variables!$AE:$AE,0))</f>
        <v/>
      </c>
      <c r="AG202" s="28" t="str">
        <f t="array" ref="AG202">IF($I201="","",XLOOKUP($B202,Derived_Variables!$A:$A,Derived_Variables!$AF:$AF,""))</f>
        <v/>
      </c>
      <c r="AH202" s="28" t="str">
        <f t="array" ref="AH202">IF($I201="","",XLOOKUP($B202,Derived_Variables!$A:$A,Derived_Variables!$AG:$AG,""))</f>
        <v/>
      </c>
      <c r="AI202" s="28" t="str">
        <f t="array" ref="AI202">IF($I201="","",XLOOKUP($B202,Derived_Variables!$A:$A,Derived_Variables!$AC:$AC,"Medium"))</f>
        <v/>
      </c>
      <c r="AJ202" s="28" t="str">
        <f t="array" ref="AJ202">IF($I201="","",XLOOKUP($B202,Derived_Variables!$A:$A,Derived_Variables!$Y:$Y,FALSE))</f>
        <v/>
      </c>
      <c r="AK202" s="28" t="str">
        <f t="array" ref="AK202">IF($I201="","",XLOOKUP($B202,Derived_Variables!$A:$A,Derived_Variables!$AA:$AA,"Normal"))</f>
        <v/>
      </c>
      <c r="AL202" s="28" t="str">
        <f t="array" ref="AL202">IF($I201="","",XLOOKUP($B202,Derived_Variables!$A:$A,Derived_Variables!$AB:$AB,"Normal"))</f>
        <v/>
      </c>
      <c r="AM202" s="28" t="str">
        <f t="array" ref="AM202">IF($I202="","",IFS(C202="B",IF(OR(I202="NOT_READABLE",I202="BLURRY"),-AB202,0),C202="G",IFS(I202="RED_CLEARER",XLOOKUP("duochrome_red_step",Calibration!$B:$B,Calibration!$C:$C,-0.25),I202="GREEN_CLEARER",XLOOKUP("duochrome_green_step",Calibration!$B:$B,Calibration!$C:$C,0.25),I202="EQUAL",IF(XLOOKUP($B202,Derived_Variables!$A:$A,Derived_Variables!$S:$S,"Neutral")="Undercorrect",XLOOKUP("undercorrect_step",Calibration!$B:$B,Calibration!$C:$C,0.25),IF(XLOOKUP($B202,Derived_Variables!$A:$A,Derived_Variables!$S:$S,"Neutral")="Overcorrect",-XLOOKUP("overcorrect_step",Calibration!$B:$B,Calibration!$C:$C,0.25),0)),TRUE,0),C202="K",IF(I202="TOP_CLEARER",XLOOKUP("bino_balance_step",Calibration!$B:$B,Calibration!$C:$C,0.25),0),TRUE,0))</f>
        <v/>
      </c>
      <c r="AN202" s="28" t="str">
        <f t="shared" si="10"/>
        <v/>
      </c>
      <c r="AO202" s="28" t="str">
        <f t="shared" si="11"/>
        <v/>
      </c>
      <c r="AP202" s="28" t="str">
        <f t="array" ref="AP202">IF($I202="","",IFS(C202="D",IF(OR(I202="NOT_READABLE",I202="BLURRY"),-AB202,0),C202="J",IFS(I202="RED_CLEARER",XLOOKUP("duochrome_red_step",Calibration!$B:$B,Calibration!$C:$C,-0.25),I202="GREEN_CLEARER",XLOOKUP("duochrome_green_step",Calibration!$B:$B,Calibration!$C:$C,0.25),I202="EQUAL",IF(XLOOKUP($B202,Derived_Variables!$A:$A,Derived_Variables!$S:$S,"Neutral")="Undercorrect",XLOOKUP("undercorrect_step",Calibration!$B:$B,Calibration!$C:$C,0.25),IF(XLOOKUP($B202,Derived_Variables!$A:$A,Derived_Variables!$S:$S,"Neutral")="Overcorrect",-XLOOKUP("overcorrect_step",Calibration!$B:$B,Calibration!$C:$C,0.25),0)),TRUE,0),C202="K",IF(I202="BOTTOM_CLEARER",XLOOKUP("bino_balance_step",Calibration!$B:$B,Calibration!$C:$C,0.25),0),TRUE,0))</f>
        <v/>
      </c>
      <c r="AQ202" s="28" t="str">
        <f t="shared" si="12"/>
        <v/>
      </c>
      <c r="AR202" s="28" t="str">
        <f t="shared" si="13"/>
        <v/>
      </c>
      <c r="AS202" s="28" t="str">
        <f t="array" ref="AS202">IF($I202="","",IF(C202="P",IF(OR(I202="NOT_READABLE",I202="BLURRY"),XLOOKUP("near_add_step",Calibration!$B:$B,Calibration!$C:$C,0.25),0),IF(C202="R",IF(I202="NOT_CLEAR",XLOOKUP("near_add_step",Calibration!$B:$B,Calibration!$C:$C,0.25),0),0)))</f>
        <v/>
      </c>
      <c r="AT202" s="28" t="str">
        <f t="array" ref="AT202">IF($I202="","",IF(C202="Q",IF(OR(I202="NOT_READABLE",I202="BLURRY"),XLOOKUP("near_add_step",Calibration!$B:$B,Calibration!$C:$C,0.25),0),IF(C202="R",IF(I202="NOT_CLEAR",XLOOKUP("near_add_step",Calibration!$B:$B,Calibration!$C:$C,0.25),0),0)))</f>
        <v/>
      </c>
      <c r="AU202" s="28" t="str">
        <f t="array" ref="AU202">IF($I202="","",IF(G202="SNELLEN_FEET",IF(I202="READABLE",IFERROR(XLOOKUP(XLOOKUP(R202,Chart_Scale_Distance!B:B,Chart_Scale_Distance!A:A)+1,Chart_Scale_Distance!A:A,Chart_Scale_Distance!B:B),R202),R202),R202))</f>
        <v/>
      </c>
      <c r="AV202" s="28" t="str">
        <f t="array" ref="AV202">IF($I201="","",IFERROR(XLOOKUP(R202,Chart_Scale_Distance!$B:$B,Chart_Scale_Distance!$A:$A,""),""))</f>
        <v/>
      </c>
      <c r="AW202" s="28" t="str">
        <f t="array" ref="AW202">IF($I201="","",IFERROR(XLOOKUP(AA202,Chart_Scale_Distance!$B:$B,Chart_Scale_Distance!$A:$A,""),""))</f>
        <v/>
      </c>
      <c r="AX202" s="28" t="str">
        <f t="shared" si="14"/>
        <v/>
      </c>
      <c r="AY202" s="28" t="str">
        <f t="shared" si="15"/>
        <v/>
      </c>
      <c r="AZ202" s="28" t="str">
        <f t="shared" si="16"/>
        <v/>
      </c>
      <c r="BA202" s="28" t="str">
        <f t="shared" si="17"/>
        <v/>
      </c>
      <c r="BB202" s="28" t="str">
        <f t="shared" si="18"/>
        <v/>
      </c>
      <c r="BC202" s="28" t="str">
        <f t="array" ref="BC202">IF($I202="","",LET(
conf,AI202,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duoMax,XLOOKUP($B202,Derived_Variables!$A:$A,Derived_Variables!$AI:$AI,4),
axisTol,XLOOKUP($B202,Derived_Variables!$A:$A,Derived_Variables!$W:$W,1),
maxStart,XLOOKUP($B202,Derived_Variables!$A:$A,Derived_Variables!$U:$U,1.25),
maxAR,XLOOKUP($B202,Derived_Variables!$A:$A,Derived_Variables!$V:$V,3),
anom,XLOOKUP($B202,Derived_Variables!$A:$A,Derived_Variables!$Z:$Z,FALSE),
reStart,XLOOKUP($B202,Derived_Variables!$A:$A,Derived_Variables!$K:$K,0),
leStart,XLOOKUP($B202,Derived_Variables!$A:$A,Derived_Variables!$N:$N,0),
reAR,XLOOKUP($B202,AR_Input!$A:$A,AR_Input!$B:$B,reStart),
leAR,XLOOKUP($B202,AR_Input!$A:$A,AR_Input!$E:$E,leStart),
reEsc,AND(anom,OR(ABS((S202+AM202)-reStart)&gt;maxStart,ABS((S202+AM202)-reAR)&gt;maxAR)),
leEsc,AND(anom,OR(ABS((V202+AP202)-leStart)&gt;maxStart,ABS((V202+AP202)-leAR)&gt;maxAR)),
phaseMax,IFS(
 AK202="Fast",
   IFS(
     OR(C202="B",C202="D"),XLOOKUP("timeout_coarse_fast",Calibration!$B:$B,Calibration!$C:$C,24),
     OR(C202="E",C202="F",C202="H",C202="I"),XLOOKUP("timeout_jcc_fast",Calibration!$B:$B,Calibration!$C:$C,10),
     OR(C202="G",C202="J"),XLOOKUP("timeout_duochrome_fast",Calibration!$B:$B,Calibration!$C:$C,8),
     C202="K",XLOOKUP("timeout_bino_fast",Calibration!$B:$B,Calibration!$C:$C,10),
     OR(C202="P",C202="Q",C202="R"),XLOOKUP("timeout_near_fast",Calibration!$B:$B,Calibration!$C:$C,16),
     TRUE,XLOOKUP("timeout_coarse_fast",Calibration!$B:$B,Calibration!$C:$C,24)
   ),
 AK202="Normal",
   IFS(
     OR(C202="B",C202="D"),XLOOKUP("timeout_coarse_normal",Calibration!$B:$B,Calibration!$C:$C,36),
     OR(C202="E",C202="F",C202="H",C202="I"),XLOOKUP("timeout_jcc_normal",Calibration!$B:$B,Calibration!$C:$C,14),
     OR(C202="G",C202="J"),XLOOKUP("timeout_duochrome_normal",Calibration!$B:$B,Calibration!$C:$C,10),
     C202="K",XLOOKUP("timeout_bino_normal",Calibration!$B:$B,Calibration!$C:$C,14),
     OR(C202="P",C202="Q",C202="R"),XLOOKUP("timeout_near_normal",Calibration!$B:$B,Calibration!$C:$C,22),
     TRUE,XLOOKUP("timeout_coarse_normal",Calibration!$B:$B,Calibration!$C:$C,36)
   ),
 TRUE,
   IFS(
     OR(C202="B",C202="D"),XLOOKUP("timeout_coarse_slow",Calibration!$B:$B,Calibration!$C:$C,48),
     OR(C202="E",C202="F",C202="H",C202="I"),XLOOKUP("timeout_jcc_slow",Calibration!$B:$B,Calibration!$C:$C,18),
     OR(C202="G",C202="J"),XLOOKUP("timeout_duochrome_slow",Calibration!$B:$B,Calibration!$C:$C,12),
     C202="K",XLOOKUP("timeout_bino_slow",Calibration!$B:$B,Calibration!$C:$C,18),
     OR(C202="P",C202="Q",C202="R"),XLOOKUP("timeout_near_slow",Calibration!$B:$B,Calibration!$C:$C,28),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AJ202=TRUE,"ESCALATE",
C202="A",
IF(OR(I202="NOT_READABLE",I202="BLURRY",AND(R202="20_20_20",I202="READABLE")),"B","A"),
C202="B",
IF(reEsc,"ESCALATE",IF(AY202&gt;=phaseMax,"ESCALATE",IF(AND(AV202&gt;=AW202,I202="READABLE"),"E","B"))),
C202="E",
IF(AY202&gt;=phaseMax,"ESCALATE",IF(OR(I202="SAME",I202="CANT_TELL",AD202&lt;axisTol),"F","E")),
C202="F",
IF(AY202&gt;=phaseMax,"ESCALATE",IF(AX202&gt;=powerSameN,"G","F")),
C202="G",
IF(AY202&gt;=phaseMax,"ESCALATE",IF(OR(AX202&gt;=duoEqualN,BB202&gt;=duoMax),"D","G")),
C202="D",
IF(leEsc,"ESCALATE",IF(AY202&gt;=phaseMax,"ESCALATE",IF(AND(AV202&gt;=AW202,I202="READABLE"),"H","D"))),
C202="H",
IF(AY202&gt;=phaseMax,"ESCALATE",IF(OR(I202="SAME",I202="CANT_TELL",AD202&lt;axisTol),"I","H")),
C202="I",
IF(AY202&gt;=phaseMax,"ESCALATE",IF(AX202&gt;=powerSameN,"J","I")),
C202="J",
IF(AY202&gt;=phaseMax,"ESCALATE",IF(OR(AX202&gt;=duoEqualN,BB202&gt;=duoMax),"K","J")),
C202="K",
IF(AY202&gt;=phaseMax,"ESCALATE",IF(AX202&gt;=binoSameN,IF(XLOOKUP($B202,Derived_Variables!$A:$A,Derived_Variables!$AJ:$AJ,FALSE)=TRUE,"P","END"),"K")),
C202="P",
IF(AY202&gt;=phaseMax,"ESCALATE",IF(OR(I202="READABLE",I202="SAME"),"Q","P")),
C202="Q",
IF(AY202&gt;=phaseMax,"ESCALATE",IF(OR(I202="READABLE",I202="SAME"),"R","Q")),
C202="R",
IF(AY202&gt;=phaseMax,"ESCALATE",IF(OR(I202=nearTarget,I202="SAME"),"END","R")),
TRUE,"END"
)))</f>
        <v/>
      </c>
      <c r="BD202" s="28" t="b">
        <f t="shared" si="19"/>
        <v>0</v>
      </c>
    </row>
    <row r="203" ht="15.75" customHeight="1">
      <c r="A203" s="28">
        <f t="shared" si="3"/>
        <v>202</v>
      </c>
      <c r="B203" s="28">
        <f t="shared" si="4"/>
        <v>6</v>
      </c>
      <c r="C203" s="28" t="str">
        <f t="shared" si="5"/>
        <v/>
      </c>
      <c r="D203" s="28" t="str">
        <f t="array" ref="D203">IF($I202="","",XLOOKUP(C203,FSM_State_Map!A:A,FSM_State_Map!B:B,""))</f>
        <v/>
      </c>
      <c r="E203" s="28" t="str">
        <f t="array" ref="E203">IF($I202="","",XLOOKUP(C203,FSM_State_Map!A:A,FSM_State_Map!C:C,""))</f>
        <v/>
      </c>
      <c r="F203" s="28" t="str">
        <f t="array" ref="F203">IF($I202="","",XLOOKUP(E203,Phase_UI_Map!A:A,Phase_UI_Map!B:B,""))</f>
        <v/>
      </c>
      <c r="G203" s="28" t="str">
        <f t="array" ref="G203">IF($I202="","",XLOOKUP(E203,Phase_UI_Map!A:A,Phase_UI_Map!C:C,""))</f>
        <v/>
      </c>
      <c r="H203" s="28" t="str">
        <f t="array" ref="H203">IF($I202="","",XLOOKUP(E203,Phase_UI_Map!A:A,Phase_UI_Map!D:D,""))</f>
        <v/>
      </c>
      <c r="I203" s="29"/>
      <c r="J203" s="28" t="str">
        <f>IFERROR(__xludf.DUMMYFUNCTION("IF($I202="""","""",IFERROR(INDEX(FILTER(Response_Lists!$B:$B,Response_Lists!$A:$A=$H203),1),""""))"),"")</f>
        <v/>
      </c>
      <c r="K203" s="28" t="str">
        <f>IFERROR(__xludf.DUMMYFUNCTION("IF($I202="""","""",IFERROR(INDEX(FILTER(Response_Lists!$B:$B,Response_Lists!$A:$A=$H203),2),""""))"),"")</f>
        <v/>
      </c>
      <c r="L203" s="28" t="str">
        <f>IFERROR(__xludf.DUMMYFUNCTION("IF($I202="""","""",IFERROR(INDEX(FILTER(Response_Lists!$B:$B,Response_Lists!$A:$A=$H203),3),""""))"),"")</f>
        <v/>
      </c>
      <c r="M203" s="28" t="str">
        <f>IFERROR(__xludf.DUMMYFUNCTION("IF($I202="""","""",IFERROR(INDEX(FILTER(Response_Lists!$B:$B,Response_Lists!$A:$A=$H203),4),""""))"),"")</f>
        <v/>
      </c>
      <c r="N203" s="28" t="str">
        <f>IFERROR(__xludf.DUMMYFUNCTION("IF($I202="""","""",IFERROR(INDEX(FILTER(Response_Lists!$B:$B,Response_Lists!$A:$A=$H203),5),""""))"),"")</f>
        <v/>
      </c>
      <c r="O203" s="28" t="str">
        <f>IFERROR(__xludf.DUMMYFUNCTION("IF($I202="""","""",IFERROR(INDEX(FILTER(Response_Lists!$B:$B,Response_Lists!$A:$A=$H203),6),""""))"),"")</f>
        <v/>
      </c>
      <c r="P203" s="28" t="str">
        <f t="shared" si="6"/>
        <v/>
      </c>
      <c r="Q203" s="28" t="str">
        <f t="array" ref="Q203">IF($I202="","",XLOOKUP(C203,FSM_State_Map!A:A,FSM_State_Map!D:D,""))</f>
        <v/>
      </c>
      <c r="R203" s="28" t="str">
        <f t="shared" si="7"/>
        <v/>
      </c>
      <c r="S203" s="28" t="str">
        <f t="array" ref="S203">IF($I202="","",
IF(
  AND(C203="B",C202&lt;&gt;"B"),
  XLOOKUP($B203,Derived_Variables!$A:$A,Derived_Variables!$K:$K,0)
  + XLOOKUP($B203,Derived_Variables!$A:$A,Derived_Variables!$AE:$AE,0),
  S202+AM202
))</f>
        <v/>
      </c>
      <c r="T203" s="28" t="str">
        <f t="shared" ref="T203:U203" si="416">IF($I202="","",T202+AN202)</f>
        <v/>
      </c>
      <c r="U203" s="28" t="str">
        <f t="shared" si="416"/>
        <v/>
      </c>
      <c r="V203" s="28" t="str">
        <f t="array" ref="V203">IF($I202="","",
IF(
  AND(C203="D",C202&lt;&gt;"D"),
  XLOOKUP($B203,Derived_Variables!$A:$A,Derived_Variables!$N:$N,0)
  + XLOOKUP($B203,Derived_Variables!$A:$A,Derived_Variables!$AE:$AE,0),
  V202+AP202
))</f>
        <v/>
      </c>
      <c r="W203" s="28" t="str">
        <f t="shared" ref="W203:X203" si="417">IF($I202="","",W202+AQ202)</f>
        <v/>
      </c>
      <c r="X203" s="28" t="str">
        <f t="shared" si="417"/>
        <v/>
      </c>
      <c r="Y203" s="28" t="str">
        <f t="array" ref="Y203">IF($I202="","",IF(AND(C203="P",C202&lt;&gt;"P"),IFERROR(XLOOKUP($B203,Lenso_Input!$A:$A,Lenso_Input!$E:$E,0),0),Y202+AS202))</f>
        <v/>
      </c>
      <c r="Z203" s="28" t="str">
        <f t="array" ref="Z203">IF($I202="","",IF(AND(C203="Q",C202&lt;&gt;"Q"),IFERROR(XLOOKUP($B203,Lenso_Input!$A:$A,Lenso_Input!$I:$I,0),0),Z202+AT202))</f>
        <v/>
      </c>
      <c r="AA203" s="28" t="str">
        <f t="array" ref="AA203">IF($I202="","",IF(XLOOKUP($B203,Derived_Variables!$A:$A,Derived_Variables!$R:$R,"6/6_target")="6/6_target","20_20_20","40_30_25"))</f>
        <v/>
      </c>
      <c r="AB203" s="28" t="str">
        <f t="array" ref="AB203">IF($I202="","",XLOOKUP(LOWER(XLOOKUP($B203,Derived_Variables!$A:$A,Derived_Variables!$T:$T,"Standard"))&amp;"_sph_step",Calibration!$B:$B,Calibration!$C:$C,0.25))</f>
        <v/>
      </c>
      <c r="AC203" s="28" t="str">
        <f t="array" ref="AC203">IF($I202="","",XLOOKUP(LOWER(XLOOKUP($B203,Derived_Variables!$A:$A,Derived_Variables!$T:$T,"Standard"))&amp;"_cyl_step",Calibration!$B:$B,Calibration!$C:$C,0.25))</f>
        <v/>
      </c>
      <c r="AD203" s="28" t="str">
        <f t="array" ref="AD203">IF($I202="","",IF(OR(C203="E",C203="H"),LET(startStep,XLOOKUP("axis_start_step",Calibration!$B:$B,Calibration!$C:$C,5),step1,XLOOKUP("axis_reversal_step_1",Calibration!$B:$B,Calibration!$C:$C,3),step2,XLOOKUP("axis_reversal_step_2",Calibration!$B:$B,Calibration!$C:$C,1),IF(OR(C202&lt;&gt;C203,AZ203="",AZ203="SAME",AZ203="CANT_TELL",I203="",I203="SAME",I203="CANT_TELL"),startStep,IF(OR(AND(AZ203="BETTER_1",I203="BETTER_2"),AND(AZ203="BETTER_2",I203="BETTER_1")),IF(AD202&gt;step1,step1,step2),AD202))),0))</f>
        <v/>
      </c>
      <c r="AE203" s="28" t="str">
        <f t="array" ref="AE203">IF($I202="","",XLOOKUP($B203,Derived_Variables!$A:$A,Derived_Variables!$AD:$AD,"No_Fog"))</f>
        <v/>
      </c>
      <c r="AF203" s="28" t="str">
        <f t="array" ref="AF203">IF($I202="","",XLOOKUP($B203,Derived_Variables!$A:$A,Derived_Variables!$AE:$AE,0))</f>
        <v/>
      </c>
      <c r="AG203" s="28" t="str">
        <f t="array" ref="AG203">IF($I202="","",XLOOKUP($B203,Derived_Variables!$A:$A,Derived_Variables!$AF:$AF,""))</f>
        <v/>
      </c>
      <c r="AH203" s="28" t="str">
        <f t="array" ref="AH203">IF($I202="","",XLOOKUP($B203,Derived_Variables!$A:$A,Derived_Variables!$AG:$AG,""))</f>
        <v/>
      </c>
      <c r="AI203" s="28" t="str">
        <f t="array" ref="AI203">IF($I202="","",XLOOKUP($B203,Derived_Variables!$A:$A,Derived_Variables!$AC:$AC,"Medium"))</f>
        <v/>
      </c>
      <c r="AJ203" s="28" t="str">
        <f t="array" ref="AJ203">IF($I202="","",XLOOKUP($B203,Derived_Variables!$A:$A,Derived_Variables!$Y:$Y,FALSE))</f>
        <v/>
      </c>
      <c r="AK203" s="28" t="str">
        <f t="array" ref="AK203">IF($I202="","",XLOOKUP($B203,Derived_Variables!$A:$A,Derived_Variables!$AA:$AA,"Normal"))</f>
        <v/>
      </c>
      <c r="AL203" s="28" t="str">
        <f t="array" ref="AL203">IF($I202="","",XLOOKUP($B203,Derived_Variables!$A:$A,Derived_Variables!$AB:$AB,"Normal"))</f>
        <v/>
      </c>
      <c r="AM203" s="28" t="str">
        <f t="array" ref="AM203">IF($I203="","",IFS(C203="B",IF(OR(I203="NOT_READABLE",I203="BLURRY"),-AB203,0),C203="G",IFS(I203="RED_CLEARER",XLOOKUP("duochrome_red_step",Calibration!$B:$B,Calibration!$C:$C,-0.25),I203="GREEN_CLEARER",XLOOKUP("duochrome_green_step",Calibration!$B:$B,Calibration!$C:$C,0.25),I203="EQUAL",IF(XLOOKUP($B203,Derived_Variables!$A:$A,Derived_Variables!$S:$S,"Neutral")="Undercorrect",XLOOKUP("undercorrect_step",Calibration!$B:$B,Calibration!$C:$C,0.25),IF(XLOOKUP($B203,Derived_Variables!$A:$A,Derived_Variables!$S:$S,"Neutral")="Overcorrect",-XLOOKUP("overcorrect_step",Calibration!$B:$B,Calibration!$C:$C,0.25),0)),TRUE,0),C203="K",IF(I203="TOP_CLEARER",XLOOKUP("bino_balance_step",Calibration!$B:$B,Calibration!$C:$C,0.25),0),TRUE,0))</f>
        <v/>
      </c>
      <c r="AN203" s="28" t="str">
        <f t="shared" si="10"/>
        <v/>
      </c>
      <c r="AO203" s="28" t="str">
        <f t="shared" si="11"/>
        <v/>
      </c>
      <c r="AP203" s="28" t="str">
        <f t="array" ref="AP203">IF($I203="","",IFS(C203="D",IF(OR(I203="NOT_READABLE",I203="BLURRY"),-AB203,0),C203="J",IFS(I203="RED_CLEARER",XLOOKUP("duochrome_red_step",Calibration!$B:$B,Calibration!$C:$C,-0.25),I203="GREEN_CLEARER",XLOOKUP("duochrome_green_step",Calibration!$B:$B,Calibration!$C:$C,0.25),I203="EQUAL",IF(XLOOKUP($B203,Derived_Variables!$A:$A,Derived_Variables!$S:$S,"Neutral")="Undercorrect",XLOOKUP("undercorrect_step",Calibration!$B:$B,Calibration!$C:$C,0.25),IF(XLOOKUP($B203,Derived_Variables!$A:$A,Derived_Variables!$S:$S,"Neutral")="Overcorrect",-XLOOKUP("overcorrect_step",Calibration!$B:$B,Calibration!$C:$C,0.25),0)),TRUE,0),C203="K",IF(I203="BOTTOM_CLEARER",XLOOKUP("bino_balance_step",Calibration!$B:$B,Calibration!$C:$C,0.25),0),TRUE,0))</f>
        <v/>
      </c>
      <c r="AQ203" s="28" t="str">
        <f t="shared" si="12"/>
        <v/>
      </c>
      <c r="AR203" s="28" t="str">
        <f t="shared" si="13"/>
        <v/>
      </c>
      <c r="AS203" s="28" t="str">
        <f t="array" ref="AS203">IF($I203="","",IF(C203="P",IF(OR(I203="NOT_READABLE",I203="BLURRY"),XLOOKUP("near_add_step",Calibration!$B:$B,Calibration!$C:$C,0.25),0),IF(C203="R",IF(I203="NOT_CLEAR",XLOOKUP("near_add_step",Calibration!$B:$B,Calibration!$C:$C,0.25),0),0)))</f>
        <v/>
      </c>
      <c r="AT203" s="28" t="str">
        <f t="array" ref="AT203">IF($I203="","",IF(C203="Q",IF(OR(I203="NOT_READABLE",I203="BLURRY"),XLOOKUP("near_add_step",Calibration!$B:$B,Calibration!$C:$C,0.25),0),IF(C203="R",IF(I203="NOT_CLEAR",XLOOKUP("near_add_step",Calibration!$B:$B,Calibration!$C:$C,0.25),0),0)))</f>
        <v/>
      </c>
      <c r="AU203" s="28" t="str">
        <f t="array" ref="AU203">IF($I203="","",IF(G203="SNELLEN_FEET",IF(I203="READABLE",IFERROR(XLOOKUP(XLOOKUP(R203,Chart_Scale_Distance!B:B,Chart_Scale_Distance!A:A)+1,Chart_Scale_Distance!A:A,Chart_Scale_Distance!B:B),R203),R203),R203))</f>
        <v/>
      </c>
      <c r="AV203" s="28" t="str">
        <f t="array" ref="AV203">IF($I202="","",IFERROR(XLOOKUP(R203,Chart_Scale_Distance!$B:$B,Chart_Scale_Distance!$A:$A,""),""))</f>
        <v/>
      </c>
      <c r="AW203" s="28" t="str">
        <f t="array" ref="AW203">IF($I202="","",IFERROR(XLOOKUP(AA203,Chart_Scale_Distance!$B:$B,Chart_Scale_Distance!$A:$A,""),""))</f>
        <v/>
      </c>
      <c r="AX203" s="28" t="str">
        <f t="shared" si="14"/>
        <v/>
      </c>
      <c r="AY203" s="28" t="str">
        <f t="shared" si="15"/>
        <v/>
      </c>
      <c r="AZ203" s="28" t="str">
        <f t="shared" si="16"/>
        <v/>
      </c>
      <c r="BA203" s="28" t="str">
        <f t="shared" si="17"/>
        <v/>
      </c>
      <c r="BB203" s="28" t="str">
        <f t="shared" si="18"/>
        <v/>
      </c>
      <c r="BC203" s="28" t="str">
        <f t="array" ref="BC203">IF($I203="","",LET(
conf,AI203,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duoMax,XLOOKUP($B203,Derived_Variables!$A:$A,Derived_Variables!$AI:$AI,4),
axisTol,XLOOKUP($B203,Derived_Variables!$A:$A,Derived_Variables!$W:$W,1),
maxStart,XLOOKUP($B203,Derived_Variables!$A:$A,Derived_Variables!$U:$U,1.25),
maxAR,XLOOKUP($B203,Derived_Variables!$A:$A,Derived_Variables!$V:$V,3),
anom,XLOOKUP($B203,Derived_Variables!$A:$A,Derived_Variables!$Z:$Z,FALSE),
reStart,XLOOKUP($B203,Derived_Variables!$A:$A,Derived_Variables!$K:$K,0),
leStart,XLOOKUP($B203,Derived_Variables!$A:$A,Derived_Variables!$N:$N,0),
reAR,XLOOKUP($B203,AR_Input!$A:$A,AR_Input!$B:$B,reStart),
leAR,XLOOKUP($B203,AR_Input!$A:$A,AR_Input!$E:$E,leStart),
reEsc,AND(anom,OR(ABS((S203+AM203)-reStart)&gt;maxStart,ABS((S203+AM203)-reAR)&gt;maxAR)),
leEsc,AND(anom,OR(ABS((V203+AP203)-leStart)&gt;maxStart,ABS((V203+AP203)-leAR)&gt;maxAR)),
phaseMax,IFS(
 AK203="Fast",
   IFS(
     OR(C203="B",C203="D"),XLOOKUP("timeout_coarse_fast",Calibration!$B:$B,Calibration!$C:$C,24),
     OR(C203="E",C203="F",C203="H",C203="I"),XLOOKUP("timeout_jcc_fast",Calibration!$B:$B,Calibration!$C:$C,10),
     OR(C203="G",C203="J"),XLOOKUP("timeout_duochrome_fast",Calibration!$B:$B,Calibration!$C:$C,8),
     C203="K",XLOOKUP("timeout_bino_fast",Calibration!$B:$B,Calibration!$C:$C,10),
     OR(C203="P",C203="Q",C203="R"),XLOOKUP("timeout_near_fast",Calibration!$B:$B,Calibration!$C:$C,16),
     TRUE,XLOOKUP("timeout_coarse_fast",Calibration!$B:$B,Calibration!$C:$C,24)
   ),
 AK203="Normal",
   IFS(
     OR(C203="B",C203="D"),XLOOKUP("timeout_coarse_normal",Calibration!$B:$B,Calibration!$C:$C,36),
     OR(C203="E",C203="F",C203="H",C203="I"),XLOOKUP("timeout_jcc_normal",Calibration!$B:$B,Calibration!$C:$C,14),
     OR(C203="G",C203="J"),XLOOKUP("timeout_duochrome_normal",Calibration!$B:$B,Calibration!$C:$C,10),
     C203="K",XLOOKUP("timeout_bino_normal",Calibration!$B:$B,Calibration!$C:$C,14),
     OR(C203="P",C203="Q",C203="R"),XLOOKUP("timeout_near_normal",Calibration!$B:$B,Calibration!$C:$C,22),
     TRUE,XLOOKUP("timeout_coarse_normal",Calibration!$B:$B,Calibration!$C:$C,36)
   ),
 TRUE,
   IFS(
     OR(C203="B",C203="D"),XLOOKUP("timeout_coarse_slow",Calibration!$B:$B,Calibration!$C:$C,48),
     OR(C203="E",C203="F",C203="H",C203="I"),XLOOKUP("timeout_jcc_slow",Calibration!$B:$B,Calibration!$C:$C,18),
     OR(C203="G",C203="J"),XLOOKUP("timeout_duochrome_slow",Calibration!$B:$B,Calibration!$C:$C,12),
     C203="K",XLOOKUP("timeout_bino_slow",Calibration!$B:$B,Calibration!$C:$C,18),
     OR(C203="P",C203="Q",C203="R"),XLOOKUP("timeout_near_slow",Calibration!$B:$B,Calibration!$C:$C,28),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AJ203=TRUE,"ESCALATE",
C203="A",
IF(OR(I203="NOT_READABLE",I203="BLURRY",AND(R203="20_20_20",I203="READABLE")),"B","A"),
C203="B",
IF(reEsc,"ESCALATE",IF(AY203&gt;=phaseMax,"ESCALATE",IF(AND(AV203&gt;=AW203,I203="READABLE"),"E","B"))),
C203="E",
IF(AY203&gt;=phaseMax,"ESCALATE",IF(OR(I203="SAME",I203="CANT_TELL",AD203&lt;axisTol),"F","E")),
C203="F",
IF(AY203&gt;=phaseMax,"ESCALATE",IF(AX203&gt;=powerSameN,"G","F")),
C203="G",
IF(AY203&gt;=phaseMax,"ESCALATE",IF(OR(AX203&gt;=duoEqualN,BB203&gt;=duoMax),"D","G")),
C203="D",
IF(leEsc,"ESCALATE",IF(AY203&gt;=phaseMax,"ESCALATE",IF(AND(AV203&gt;=AW203,I203="READABLE"),"H","D"))),
C203="H",
IF(AY203&gt;=phaseMax,"ESCALATE",IF(OR(I203="SAME",I203="CANT_TELL",AD203&lt;axisTol),"I","H")),
C203="I",
IF(AY203&gt;=phaseMax,"ESCALATE",IF(AX203&gt;=powerSameN,"J","I")),
C203="J",
IF(AY203&gt;=phaseMax,"ESCALATE",IF(OR(AX203&gt;=duoEqualN,BB203&gt;=duoMax),"K","J")),
C203="K",
IF(AY203&gt;=phaseMax,"ESCALATE",IF(AX203&gt;=binoSameN,IF(XLOOKUP($B203,Derived_Variables!$A:$A,Derived_Variables!$AJ:$AJ,FALSE)=TRUE,"P","END"),"K")),
C203="P",
IF(AY203&gt;=phaseMax,"ESCALATE",IF(OR(I203="READABLE",I203="SAME"),"Q","P")),
C203="Q",
IF(AY203&gt;=phaseMax,"ESCALATE",IF(OR(I203="READABLE",I203="SAME"),"R","Q")),
C203="R",
IF(AY203&gt;=phaseMax,"ESCALATE",IF(OR(I203=nearTarget,I203="SAME"),"END","R")),
TRUE,"END"
)))</f>
        <v/>
      </c>
      <c r="BD203" s="28" t="b">
        <f t="shared" si="19"/>
        <v>0</v>
      </c>
    </row>
    <row r="204" ht="15.75" customHeight="1">
      <c r="A204" s="28">
        <f t="shared" si="3"/>
        <v>203</v>
      </c>
      <c r="B204" s="28">
        <f t="shared" si="4"/>
        <v>6</v>
      </c>
      <c r="C204" s="28" t="str">
        <f t="shared" si="5"/>
        <v/>
      </c>
      <c r="D204" s="28" t="str">
        <f t="array" ref="D204">IF($I203="","",XLOOKUP(C204,FSM_State_Map!A:A,FSM_State_Map!B:B,""))</f>
        <v/>
      </c>
      <c r="E204" s="28" t="str">
        <f t="array" ref="E204">IF($I203="","",XLOOKUP(C204,FSM_State_Map!A:A,FSM_State_Map!C:C,""))</f>
        <v/>
      </c>
      <c r="F204" s="28" t="str">
        <f t="array" ref="F204">IF($I203="","",XLOOKUP(E204,Phase_UI_Map!A:A,Phase_UI_Map!B:B,""))</f>
        <v/>
      </c>
      <c r="G204" s="28" t="str">
        <f t="array" ref="G204">IF($I203="","",XLOOKUP(E204,Phase_UI_Map!A:A,Phase_UI_Map!C:C,""))</f>
        <v/>
      </c>
      <c r="H204" s="28" t="str">
        <f t="array" ref="H204">IF($I203="","",XLOOKUP(E204,Phase_UI_Map!A:A,Phase_UI_Map!D:D,""))</f>
        <v/>
      </c>
      <c r="I204" s="29"/>
      <c r="J204" s="28" t="str">
        <f>IFERROR(__xludf.DUMMYFUNCTION("IF($I203="""","""",IFERROR(INDEX(FILTER(Response_Lists!$B:$B,Response_Lists!$A:$A=$H204),1),""""))"),"")</f>
        <v/>
      </c>
      <c r="K204" s="28" t="str">
        <f>IFERROR(__xludf.DUMMYFUNCTION("IF($I203="""","""",IFERROR(INDEX(FILTER(Response_Lists!$B:$B,Response_Lists!$A:$A=$H204),2),""""))"),"")</f>
        <v/>
      </c>
      <c r="L204" s="28" t="str">
        <f>IFERROR(__xludf.DUMMYFUNCTION("IF($I203="""","""",IFERROR(INDEX(FILTER(Response_Lists!$B:$B,Response_Lists!$A:$A=$H204),3),""""))"),"")</f>
        <v/>
      </c>
      <c r="M204" s="28" t="str">
        <f>IFERROR(__xludf.DUMMYFUNCTION("IF($I203="""","""",IFERROR(INDEX(FILTER(Response_Lists!$B:$B,Response_Lists!$A:$A=$H204),4),""""))"),"")</f>
        <v/>
      </c>
      <c r="N204" s="28" t="str">
        <f>IFERROR(__xludf.DUMMYFUNCTION("IF($I203="""","""",IFERROR(INDEX(FILTER(Response_Lists!$B:$B,Response_Lists!$A:$A=$H204),5),""""))"),"")</f>
        <v/>
      </c>
      <c r="O204" s="28" t="str">
        <f>IFERROR(__xludf.DUMMYFUNCTION("IF($I203="""","""",IFERROR(INDEX(FILTER(Response_Lists!$B:$B,Response_Lists!$A:$A=$H204),6),""""))"),"")</f>
        <v/>
      </c>
      <c r="P204" s="28" t="str">
        <f t="shared" si="6"/>
        <v/>
      </c>
      <c r="Q204" s="28" t="str">
        <f t="array" ref="Q204">IF($I203="","",XLOOKUP(C204,FSM_State_Map!A:A,FSM_State_Map!D:D,""))</f>
        <v/>
      </c>
      <c r="R204" s="28" t="str">
        <f t="shared" si="7"/>
        <v/>
      </c>
      <c r="S204" s="28" t="str">
        <f t="array" ref="S204">IF($I203="","",
IF(
  AND(C204="B",C203&lt;&gt;"B"),
  XLOOKUP($B204,Derived_Variables!$A:$A,Derived_Variables!$K:$K,0)
  + XLOOKUP($B204,Derived_Variables!$A:$A,Derived_Variables!$AE:$AE,0),
  S203+AM203
))</f>
        <v/>
      </c>
      <c r="T204" s="28" t="str">
        <f t="shared" ref="T204:U204" si="418">IF($I203="","",T203+AN203)</f>
        <v/>
      </c>
      <c r="U204" s="28" t="str">
        <f t="shared" si="418"/>
        <v/>
      </c>
      <c r="V204" s="28" t="str">
        <f t="array" ref="V204">IF($I203="","",
IF(
  AND(C204="D",C203&lt;&gt;"D"),
  XLOOKUP($B204,Derived_Variables!$A:$A,Derived_Variables!$N:$N,0)
  + XLOOKUP($B204,Derived_Variables!$A:$A,Derived_Variables!$AE:$AE,0),
  V203+AP203
))</f>
        <v/>
      </c>
      <c r="W204" s="28" t="str">
        <f t="shared" ref="W204:X204" si="419">IF($I203="","",W203+AQ203)</f>
        <v/>
      </c>
      <c r="X204" s="28" t="str">
        <f t="shared" si="419"/>
        <v/>
      </c>
      <c r="Y204" s="28" t="str">
        <f t="array" ref="Y204">IF($I203="","",IF(AND(C204="P",C203&lt;&gt;"P"),IFERROR(XLOOKUP($B204,Lenso_Input!$A:$A,Lenso_Input!$E:$E,0),0),Y203+AS203))</f>
        <v/>
      </c>
      <c r="Z204" s="28" t="str">
        <f t="array" ref="Z204">IF($I203="","",IF(AND(C204="Q",C203&lt;&gt;"Q"),IFERROR(XLOOKUP($B204,Lenso_Input!$A:$A,Lenso_Input!$I:$I,0),0),Z203+AT203))</f>
        <v/>
      </c>
      <c r="AA204" s="28" t="str">
        <f t="array" ref="AA204">IF($I203="","",IF(XLOOKUP($B204,Derived_Variables!$A:$A,Derived_Variables!$R:$R,"6/6_target")="6/6_target","20_20_20","40_30_25"))</f>
        <v/>
      </c>
      <c r="AB204" s="28" t="str">
        <f t="array" ref="AB204">IF($I203="","",XLOOKUP(LOWER(XLOOKUP($B204,Derived_Variables!$A:$A,Derived_Variables!$T:$T,"Standard"))&amp;"_sph_step",Calibration!$B:$B,Calibration!$C:$C,0.25))</f>
        <v/>
      </c>
      <c r="AC204" s="28" t="str">
        <f t="array" ref="AC204">IF($I203="","",XLOOKUP(LOWER(XLOOKUP($B204,Derived_Variables!$A:$A,Derived_Variables!$T:$T,"Standard"))&amp;"_cyl_step",Calibration!$B:$B,Calibration!$C:$C,0.25))</f>
        <v/>
      </c>
      <c r="AD204" s="28" t="str">
        <f t="array" ref="AD204">IF($I203="","",IF(OR(C204="E",C204="H"),LET(startStep,XLOOKUP("axis_start_step",Calibration!$B:$B,Calibration!$C:$C,5),step1,XLOOKUP("axis_reversal_step_1",Calibration!$B:$B,Calibration!$C:$C,3),step2,XLOOKUP("axis_reversal_step_2",Calibration!$B:$B,Calibration!$C:$C,1),IF(OR(C203&lt;&gt;C204,AZ204="",AZ204="SAME",AZ204="CANT_TELL",I204="",I204="SAME",I204="CANT_TELL"),startStep,IF(OR(AND(AZ204="BETTER_1",I204="BETTER_2"),AND(AZ204="BETTER_2",I204="BETTER_1")),IF(AD203&gt;step1,step1,step2),AD203))),0))</f>
        <v/>
      </c>
      <c r="AE204" s="28" t="str">
        <f t="array" ref="AE204">IF($I203="","",XLOOKUP($B204,Derived_Variables!$A:$A,Derived_Variables!$AD:$AD,"No_Fog"))</f>
        <v/>
      </c>
      <c r="AF204" s="28" t="str">
        <f t="array" ref="AF204">IF($I203="","",XLOOKUP($B204,Derived_Variables!$A:$A,Derived_Variables!$AE:$AE,0))</f>
        <v/>
      </c>
      <c r="AG204" s="28" t="str">
        <f t="array" ref="AG204">IF($I203="","",XLOOKUP($B204,Derived_Variables!$A:$A,Derived_Variables!$AF:$AF,""))</f>
        <v/>
      </c>
      <c r="AH204" s="28" t="str">
        <f t="array" ref="AH204">IF($I203="","",XLOOKUP($B204,Derived_Variables!$A:$A,Derived_Variables!$AG:$AG,""))</f>
        <v/>
      </c>
      <c r="AI204" s="28" t="str">
        <f t="array" ref="AI204">IF($I203="","",XLOOKUP($B204,Derived_Variables!$A:$A,Derived_Variables!$AC:$AC,"Medium"))</f>
        <v/>
      </c>
      <c r="AJ204" s="28" t="str">
        <f t="array" ref="AJ204">IF($I203="","",XLOOKUP($B204,Derived_Variables!$A:$A,Derived_Variables!$Y:$Y,FALSE))</f>
        <v/>
      </c>
      <c r="AK204" s="28" t="str">
        <f t="array" ref="AK204">IF($I203="","",XLOOKUP($B204,Derived_Variables!$A:$A,Derived_Variables!$AA:$AA,"Normal"))</f>
        <v/>
      </c>
      <c r="AL204" s="28" t="str">
        <f t="array" ref="AL204">IF($I203="","",XLOOKUP($B204,Derived_Variables!$A:$A,Derived_Variables!$AB:$AB,"Normal"))</f>
        <v/>
      </c>
      <c r="AM204" s="28" t="str">
        <f t="array" ref="AM204">IF($I204="","",IFS(C204="B",IF(OR(I204="NOT_READABLE",I204="BLURRY"),-AB204,0),C204="G",IFS(I204="RED_CLEARER",XLOOKUP("duochrome_red_step",Calibration!$B:$B,Calibration!$C:$C,-0.25),I204="GREEN_CLEARER",XLOOKUP("duochrome_green_step",Calibration!$B:$B,Calibration!$C:$C,0.25),I204="EQUAL",IF(XLOOKUP($B204,Derived_Variables!$A:$A,Derived_Variables!$S:$S,"Neutral")="Undercorrect",XLOOKUP("undercorrect_step",Calibration!$B:$B,Calibration!$C:$C,0.25),IF(XLOOKUP($B204,Derived_Variables!$A:$A,Derived_Variables!$S:$S,"Neutral")="Overcorrect",-XLOOKUP("overcorrect_step",Calibration!$B:$B,Calibration!$C:$C,0.25),0)),TRUE,0),C204="K",IF(I204="TOP_CLEARER",XLOOKUP("bino_balance_step",Calibration!$B:$B,Calibration!$C:$C,0.25),0),TRUE,0))</f>
        <v/>
      </c>
      <c r="AN204" s="28" t="str">
        <f t="shared" si="10"/>
        <v/>
      </c>
      <c r="AO204" s="28" t="str">
        <f t="shared" si="11"/>
        <v/>
      </c>
      <c r="AP204" s="28" t="str">
        <f t="array" ref="AP204">IF($I204="","",IFS(C204="D",IF(OR(I204="NOT_READABLE",I204="BLURRY"),-AB204,0),C204="J",IFS(I204="RED_CLEARER",XLOOKUP("duochrome_red_step",Calibration!$B:$B,Calibration!$C:$C,-0.25),I204="GREEN_CLEARER",XLOOKUP("duochrome_green_step",Calibration!$B:$B,Calibration!$C:$C,0.25),I204="EQUAL",IF(XLOOKUP($B204,Derived_Variables!$A:$A,Derived_Variables!$S:$S,"Neutral")="Undercorrect",XLOOKUP("undercorrect_step",Calibration!$B:$B,Calibration!$C:$C,0.25),IF(XLOOKUP($B204,Derived_Variables!$A:$A,Derived_Variables!$S:$S,"Neutral")="Overcorrect",-XLOOKUP("overcorrect_step",Calibration!$B:$B,Calibration!$C:$C,0.25),0)),TRUE,0),C204="K",IF(I204="BOTTOM_CLEARER",XLOOKUP("bino_balance_step",Calibration!$B:$B,Calibration!$C:$C,0.25),0),TRUE,0))</f>
        <v/>
      </c>
      <c r="AQ204" s="28" t="str">
        <f t="shared" si="12"/>
        <v/>
      </c>
      <c r="AR204" s="28" t="str">
        <f t="shared" si="13"/>
        <v/>
      </c>
      <c r="AS204" s="28" t="str">
        <f t="array" ref="AS204">IF($I204="","",IF(C204="P",IF(OR(I204="NOT_READABLE",I204="BLURRY"),XLOOKUP("near_add_step",Calibration!$B:$B,Calibration!$C:$C,0.25),0),IF(C204="R",IF(I204="NOT_CLEAR",XLOOKUP("near_add_step",Calibration!$B:$B,Calibration!$C:$C,0.25),0),0)))</f>
        <v/>
      </c>
      <c r="AT204" s="28" t="str">
        <f t="array" ref="AT204">IF($I204="","",IF(C204="Q",IF(OR(I204="NOT_READABLE",I204="BLURRY"),XLOOKUP("near_add_step",Calibration!$B:$B,Calibration!$C:$C,0.25),0),IF(C204="R",IF(I204="NOT_CLEAR",XLOOKUP("near_add_step",Calibration!$B:$B,Calibration!$C:$C,0.25),0),0)))</f>
        <v/>
      </c>
      <c r="AU204" s="28" t="str">
        <f t="array" ref="AU204">IF($I204="","",IF(G204="SNELLEN_FEET",IF(I204="READABLE",IFERROR(XLOOKUP(XLOOKUP(R204,Chart_Scale_Distance!B:B,Chart_Scale_Distance!A:A)+1,Chart_Scale_Distance!A:A,Chart_Scale_Distance!B:B),R204),R204),R204))</f>
        <v/>
      </c>
      <c r="AV204" s="28" t="str">
        <f t="array" ref="AV204">IF($I203="","",IFERROR(XLOOKUP(R204,Chart_Scale_Distance!$B:$B,Chart_Scale_Distance!$A:$A,""),""))</f>
        <v/>
      </c>
      <c r="AW204" s="28" t="str">
        <f t="array" ref="AW204">IF($I203="","",IFERROR(XLOOKUP(AA204,Chart_Scale_Distance!$B:$B,Chart_Scale_Distance!$A:$A,""),""))</f>
        <v/>
      </c>
      <c r="AX204" s="28" t="str">
        <f t="shared" si="14"/>
        <v/>
      </c>
      <c r="AY204" s="28" t="str">
        <f t="shared" si="15"/>
        <v/>
      </c>
      <c r="AZ204" s="28" t="str">
        <f t="shared" si="16"/>
        <v/>
      </c>
      <c r="BA204" s="28" t="str">
        <f t="shared" si="17"/>
        <v/>
      </c>
      <c r="BB204" s="28" t="str">
        <f t="shared" si="18"/>
        <v/>
      </c>
      <c r="BC204" s="28" t="str">
        <f t="array" ref="BC204">IF($I204="","",LET(
conf,AI204,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duoMax,XLOOKUP($B204,Derived_Variables!$A:$A,Derived_Variables!$AI:$AI,4),
axisTol,XLOOKUP($B204,Derived_Variables!$A:$A,Derived_Variables!$W:$W,1),
maxStart,XLOOKUP($B204,Derived_Variables!$A:$A,Derived_Variables!$U:$U,1.25),
maxAR,XLOOKUP($B204,Derived_Variables!$A:$A,Derived_Variables!$V:$V,3),
anom,XLOOKUP($B204,Derived_Variables!$A:$A,Derived_Variables!$Z:$Z,FALSE),
reStart,XLOOKUP($B204,Derived_Variables!$A:$A,Derived_Variables!$K:$K,0),
leStart,XLOOKUP($B204,Derived_Variables!$A:$A,Derived_Variables!$N:$N,0),
reAR,XLOOKUP($B204,AR_Input!$A:$A,AR_Input!$B:$B,reStart),
leAR,XLOOKUP($B204,AR_Input!$A:$A,AR_Input!$E:$E,leStart),
reEsc,AND(anom,OR(ABS((S204+AM204)-reStart)&gt;maxStart,ABS((S204+AM204)-reAR)&gt;maxAR)),
leEsc,AND(anom,OR(ABS((V204+AP204)-leStart)&gt;maxStart,ABS((V204+AP204)-leAR)&gt;maxAR)),
phaseMax,IFS(
 AK204="Fast",
   IFS(
     OR(C204="B",C204="D"),XLOOKUP("timeout_coarse_fast",Calibration!$B:$B,Calibration!$C:$C,24),
     OR(C204="E",C204="F",C204="H",C204="I"),XLOOKUP("timeout_jcc_fast",Calibration!$B:$B,Calibration!$C:$C,10),
     OR(C204="G",C204="J"),XLOOKUP("timeout_duochrome_fast",Calibration!$B:$B,Calibration!$C:$C,8),
     C204="K",XLOOKUP("timeout_bino_fast",Calibration!$B:$B,Calibration!$C:$C,10),
     OR(C204="P",C204="Q",C204="R"),XLOOKUP("timeout_near_fast",Calibration!$B:$B,Calibration!$C:$C,16),
     TRUE,XLOOKUP("timeout_coarse_fast",Calibration!$B:$B,Calibration!$C:$C,24)
   ),
 AK204="Normal",
   IFS(
     OR(C204="B",C204="D"),XLOOKUP("timeout_coarse_normal",Calibration!$B:$B,Calibration!$C:$C,36),
     OR(C204="E",C204="F",C204="H",C204="I"),XLOOKUP("timeout_jcc_normal",Calibration!$B:$B,Calibration!$C:$C,14),
     OR(C204="G",C204="J"),XLOOKUP("timeout_duochrome_normal",Calibration!$B:$B,Calibration!$C:$C,10),
     C204="K",XLOOKUP("timeout_bino_normal",Calibration!$B:$B,Calibration!$C:$C,14),
     OR(C204="P",C204="Q",C204="R"),XLOOKUP("timeout_near_normal",Calibration!$B:$B,Calibration!$C:$C,22),
     TRUE,XLOOKUP("timeout_coarse_normal",Calibration!$B:$B,Calibration!$C:$C,36)
   ),
 TRUE,
   IFS(
     OR(C204="B",C204="D"),XLOOKUP("timeout_coarse_slow",Calibration!$B:$B,Calibration!$C:$C,48),
     OR(C204="E",C204="F",C204="H",C204="I"),XLOOKUP("timeout_jcc_slow",Calibration!$B:$B,Calibration!$C:$C,18),
     OR(C204="G",C204="J"),XLOOKUP("timeout_duochrome_slow",Calibration!$B:$B,Calibration!$C:$C,12),
     C204="K",XLOOKUP("timeout_bino_slow",Calibration!$B:$B,Calibration!$C:$C,18),
     OR(C204="P",C204="Q",C204="R"),XLOOKUP("timeout_near_slow",Calibration!$B:$B,Calibration!$C:$C,28),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AJ204=TRUE,"ESCALATE",
C204="A",
IF(OR(I204="NOT_READABLE",I204="BLURRY",AND(R204="20_20_20",I204="READABLE")),"B","A"),
C204="B",
IF(reEsc,"ESCALATE",IF(AY204&gt;=phaseMax,"ESCALATE",IF(AND(AV204&gt;=AW204,I204="READABLE"),"E","B"))),
C204="E",
IF(AY204&gt;=phaseMax,"ESCALATE",IF(OR(I204="SAME",I204="CANT_TELL",AD204&lt;axisTol),"F","E")),
C204="F",
IF(AY204&gt;=phaseMax,"ESCALATE",IF(AX204&gt;=powerSameN,"G","F")),
C204="G",
IF(AY204&gt;=phaseMax,"ESCALATE",IF(OR(AX204&gt;=duoEqualN,BB204&gt;=duoMax),"D","G")),
C204="D",
IF(leEsc,"ESCALATE",IF(AY204&gt;=phaseMax,"ESCALATE",IF(AND(AV204&gt;=AW204,I204="READABLE"),"H","D"))),
C204="H",
IF(AY204&gt;=phaseMax,"ESCALATE",IF(OR(I204="SAME",I204="CANT_TELL",AD204&lt;axisTol),"I","H")),
C204="I",
IF(AY204&gt;=phaseMax,"ESCALATE",IF(AX204&gt;=powerSameN,"J","I")),
C204="J",
IF(AY204&gt;=phaseMax,"ESCALATE",IF(OR(AX204&gt;=duoEqualN,BB204&gt;=duoMax),"K","J")),
C204="K",
IF(AY204&gt;=phaseMax,"ESCALATE",IF(AX204&gt;=binoSameN,IF(XLOOKUP($B204,Derived_Variables!$A:$A,Derived_Variables!$AJ:$AJ,FALSE)=TRUE,"P","END"),"K")),
C204="P",
IF(AY204&gt;=phaseMax,"ESCALATE",IF(OR(I204="READABLE",I204="SAME"),"Q","P")),
C204="Q",
IF(AY204&gt;=phaseMax,"ESCALATE",IF(OR(I204="READABLE",I204="SAME"),"R","Q")),
C204="R",
IF(AY204&gt;=phaseMax,"ESCALATE",IF(OR(I204=nearTarget,I204="SAME"),"END","R")),
TRUE,"END"
)))</f>
        <v/>
      </c>
      <c r="BD204" s="28" t="b">
        <f t="shared" si="19"/>
        <v>0</v>
      </c>
    </row>
    <row r="205" ht="15.75" customHeight="1">
      <c r="A205" s="28">
        <f t="shared" si="3"/>
        <v>204</v>
      </c>
      <c r="B205" s="28">
        <f t="shared" si="4"/>
        <v>6</v>
      </c>
      <c r="C205" s="28" t="str">
        <f t="shared" si="5"/>
        <v/>
      </c>
      <c r="D205" s="28" t="str">
        <f t="array" ref="D205">IF($I204="","",XLOOKUP(C205,FSM_State_Map!A:A,FSM_State_Map!B:B,""))</f>
        <v/>
      </c>
      <c r="E205" s="28" t="str">
        <f t="array" ref="E205">IF($I204="","",XLOOKUP(C205,FSM_State_Map!A:A,FSM_State_Map!C:C,""))</f>
        <v/>
      </c>
      <c r="F205" s="28" t="str">
        <f t="array" ref="F205">IF($I204="","",XLOOKUP(E205,Phase_UI_Map!A:A,Phase_UI_Map!B:B,""))</f>
        <v/>
      </c>
      <c r="G205" s="28" t="str">
        <f t="array" ref="G205">IF($I204="","",XLOOKUP(E205,Phase_UI_Map!A:A,Phase_UI_Map!C:C,""))</f>
        <v/>
      </c>
      <c r="H205" s="28" t="str">
        <f t="array" ref="H205">IF($I204="","",XLOOKUP(E205,Phase_UI_Map!A:A,Phase_UI_Map!D:D,""))</f>
        <v/>
      </c>
      <c r="I205" s="29"/>
      <c r="J205" s="28" t="str">
        <f>IFERROR(__xludf.DUMMYFUNCTION("IF($I204="""","""",IFERROR(INDEX(FILTER(Response_Lists!$B:$B,Response_Lists!$A:$A=$H205),1),""""))"),"")</f>
        <v/>
      </c>
      <c r="K205" s="28" t="str">
        <f>IFERROR(__xludf.DUMMYFUNCTION("IF($I204="""","""",IFERROR(INDEX(FILTER(Response_Lists!$B:$B,Response_Lists!$A:$A=$H205),2),""""))"),"")</f>
        <v/>
      </c>
      <c r="L205" s="28" t="str">
        <f>IFERROR(__xludf.DUMMYFUNCTION("IF($I204="""","""",IFERROR(INDEX(FILTER(Response_Lists!$B:$B,Response_Lists!$A:$A=$H205),3),""""))"),"")</f>
        <v/>
      </c>
      <c r="M205" s="28" t="str">
        <f>IFERROR(__xludf.DUMMYFUNCTION("IF($I204="""","""",IFERROR(INDEX(FILTER(Response_Lists!$B:$B,Response_Lists!$A:$A=$H205),4),""""))"),"")</f>
        <v/>
      </c>
      <c r="N205" s="28" t="str">
        <f>IFERROR(__xludf.DUMMYFUNCTION("IF($I204="""","""",IFERROR(INDEX(FILTER(Response_Lists!$B:$B,Response_Lists!$A:$A=$H205),5),""""))"),"")</f>
        <v/>
      </c>
      <c r="O205" s="28" t="str">
        <f>IFERROR(__xludf.DUMMYFUNCTION("IF($I204="""","""",IFERROR(INDEX(FILTER(Response_Lists!$B:$B,Response_Lists!$A:$A=$H205),6),""""))"),"")</f>
        <v/>
      </c>
      <c r="P205" s="28" t="str">
        <f t="shared" si="6"/>
        <v/>
      </c>
      <c r="Q205" s="28" t="str">
        <f t="array" ref="Q205">IF($I204="","",XLOOKUP(C205,FSM_State_Map!A:A,FSM_State_Map!D:D,""))</f>
        <v/>
      </c>
      <c r="R205" s="28" t="str">
        <f t="shared" si="7"/>
        <v/>
      </c>
      <c r="S205" s="28" t="str">
        <f t="array" ref="S205">IF($I204="","",
IF(
  AND(C205="B",C204&lt;&gt;"B"),
  XLOOKUP($B205,Derived_Variables!$A:$A,Derived_Variables!$K:$K,0)
  + XLOOKUP($B205,Derived_Variables!$A:$A,Derived_Variables!$AE:$AE,0),
  S204+AM204
))</f>
        <v/>
      </c>
      <c r="T205" s="28" t="str">
        <f t="shared" ref="T205:U205" si="420">IF($I204="","",T204+AN204)</f>
        <v/>
      </c>
      <c r="U205" s="28" t="str">
        <f t="shared" si="420"/>
        <v/>
      </c>
      <c r="V205" s="28" t="str">
        <f t="array" ref="V205">IF($I204="","",
IF(
  AND(C205="D",C204&lt;&gt;"D"),
  XLOOKUP($B205,Derived_Variables!$A:$A,Derived_Variables!$N:$N,0)
  + XLOOKUP($B205,Derived_Variables!$A:$A,Derived_Variables!$AE:$AE,0),
  V204+AP204
))</f>
        <v/>
      </c>
      <c r="W205" s="28" t="str">
        <f t="shared" ref="W205:X205" si="421">IF($I204="","",W204+AQ204)</f>
        <v/>
      </c>
      <c r="X205" s="28" t="str">
        <f t="shared" si="421"/>
        <v/>
      </c>
      <c r="Y205" s="28" t="str">
        <f t="array" ref="Y205">IF($I204="","",IF(AND(C205="P",C204&lt;&gt;"P"),IFERROR(XLOOKUP($B205,Lenso_Input!$A:$A,Lenso_Input!$E:$E,0),0),Y204+AS204))</f>
        <v/>
      </c>
      <c r="Z205" s="28" t="str">
        <f t="array" ref="Z205">IF($I204="","",IF(AND(C205="Q",C204&lt;&gt;"Q"),IFERROR(XLOOKUP($B205,Lenso_Input!$A:$A,Lenso_Input!$I:$I,0),0),Z204+AT204))</f>
        <v/>
      </c>
      <c r="AA205" s="28" t="str">
        <f t="array" ref="AA205">IF($I204="","",IF(XLOOKUP($B205,Derived_Variables!$A:$A,Derived_Variables!$R:$R,"6/6_target")="6/6_target","20_20_20","40_30_25"))</f>
        <v/>
      </c>
      <c r="AB205" s="28" t="str">
        <f t="array" ref="AB205">IF($I204="","",XLOOKUP(LOWER(XLOOKUP($B205,Derived_Variables!$A:$A,Derived_Variables!$T:$T,"Standard"))&amp;"_sph_step",Calibration!$B:$B,Calibration!$C:$C,0.25))</f>
        <v/>
      </c>
      <c r="AC205" s="28" t="str">
        <f t="array" ref="AC205">IF($I204="","",XLOOKUP(LOWER(XLOOKUP($B205,Derived_Variables!$A:$A,Derived_Variables!$T:$T,"Standard"))&amp;"_cyl_step",Calibration!$B:$B,Calibration!$C:$C,0.25))</f>
        <v/>
      </c>
      <c r="AD205" s="28" t="str">
        <f t="array" ref="AD205">IF($I204="","",IF(OR(C205="E",C205="H"),LET(startStep,XLOOKUP("axis_start_step",Calibration!$B:$B,Calibration!$C:$C,5),step1,XLOOKUP("axis_reversal_step_1",Calibration!$B:$B,Calibration!$C:$C,3),step2,XLOOKUP("axis_reversal_step_2",Calibration!$B:$B,Calibration!$C:$C,1),IF(OR(C204&lt;&gt;C205,AZ205="",AZ205="SAME",AZ205="CANT_TELL",I205="",I205="SAME",I205="CANT_TELL"),startStep,IF(OR(AND(AZ205="BETTER_1",I205="BETTER_2"),AND(AZ205="BETTER_2",I205="BETTER_1")),IF(AD204&gt;step1,step1,step2),AD204))),0))</f>
        <v/>
      </c>
      <c r="AE205" s="28" t="str">
        <f t="array" ref="AE205">IF($I204="","",XLOOKUP($B205,Derived_Variables!$A:$A,Derived_Variables!$AD:$AD,"No_Fog"))</f>
        <v/>
      </c>
      <c r="AF205" s="28" t="str">
        <f t="array" ref="AF205">IF($I204="","",XLOOKUP($B205,Derived_Variables!$A:$A,Derived_Variables!$AE:$AE,0))</f>
        <v/>
      </c>
      <c r="AG205" s="28" t="str">
        <f t="array" ref="AG205">IF($I204="","",XLOOKUP($B205,Derived_Variables!$A:$A,Derived_Variables!$AF:$AF,""))</f>
        <v/>
      </c>
      <c r="AH205" s="28" t="str">
        <f t="array" ref="AH205">IF($I204="","",XLOOKUP($B205,Derived_Variables!$A:$A,Derived_Variables!$AG:$AG,""))</f>
        <v/>
      </c>
      <c r="AI205" s="28" t="str">
        <f t="array" ref="AI205">IF($I204="","",XLOOKUP($B205,Derived_Variables!$A:$A,Derived_Variables!$AC:$AC,"Medium"))</f>
        <v/>
      </c>
      <c r="AJ205" s="28" t="str">
        <f t="array" ref="AJ205">IF($I204="","",XLOOKUP($B205,Derived_Variables!$A:$A,Derived_Variables!$Y:$Y,FALSE))</f>
        <v/>
      </c>
      <c r="AK205" s="28" t="str">
        <f t="array" ref="AK205">IF($I204="","",XLOOKUP($B205,Derived_Variables!$A:$A,Derived_Variables!$AA:$AA,"Normal"))</f>
        <v/>
      </c>
      <c r="AL205" s="28" t="str">
        <f t="array" ref="AL205">IF($I204="","",XLOOKUP($B205,Derived_Variables!$A:$A,Derived_Variables!$AB:$AB,"Normal"))</f>
        <v/>
      </c>
      <c r="AM205" s="28" t="str">
        <f t="array" ref="AM205">IF($I205="","",IFS(C205="B",IF(OR(I205="NOT_READABLE",I205="BLURRY"),-AB205,0),C205="G",IFS(I205="RED_CLEARER",XLOOKUP("duochrome_red_step",Calibration!$B:$B,Calibration!$C:$C,-0.25),I205="GREEN_CLEARER",XLOOKUP("duochrome_green_step",Calibration!$B:$B,Calibration!$C:$C,0.25),I205="EQUAL",IF(XLOOKUP($B205,Derived_Variables!$A:$A,Derived_Variables!$S:$S,"Neutral")="Undercorrect",XLOOKUP("undercorrect_step",Calibration!$B:$B,Calibration!$C:$C,0.25),IF(XLOOKUP($B205,Derived_Variables!$A:$A,Derived_Variables!$S:$S,"Neutral")="Overcorrect",-XLOOKUP("overcorrect_step",Calibration!$B:$B,Calibration!$C:$C,0.25),0)),TRUE,0),C205="K",IF(I205="TOP_CLEARER",XLOOKUP("bino_balance_step",Calibration!$B:$B,Calibration!$C:$C,0.25),0),TRUE,0))</f>
        <v/>
      </c>
      <c r="AN205" s="28" t="str">
        <f t="shared" si="10"/>
        <v/>
      </c>
      <c r="AO205" s="28" t="str">
        <f t="shared" si="11"/>
        <v/>
      </c>
      <c r="AP205" s="28" t="str">
        <f t="array" ref="AP205">IF($I205="","",IFS(C205="D",IF(OR(I205="NOT_READABLE",I205="BLURRY"),-AB205,0),C205="J",IFS(I205="RED_CLEARER",XLOOKUP("duochrome_red_step",Calibration!$B:$B,Calibration!$C:$C,-0.25),I205="GREEN_CLEARER",XLOOKUP("duochrome_green_step",Calibration!$B:$B,Calibration!$C:$C,0.25),I205="EQUAL",IF(XLOOKUP($B205,Derived_Variables!$A:$A,Derived_Variables!$S:$S,"Neutral")="Undercorrect",XLOOKUP("undercorrect_step",Calibration!$B:$B,Calibration!$C:$C,0.25),IF(XLOOKUP($B205,Derived_Variables!$A:$A,Derived_Variables!$S:$S,"Neutral")="Overcorrect",-XLOOKUP("overcorrect_step",Calibration!$B:$B,Calibration!$C:$C,0.25),0)),TRUE,0),C205="K",IF(I205="BOTTOM_CLEARER",XLOOKUP("bino_balance_step",Calibration!$B:$B,Calibration!$C:$C,0.25),0),TRUE,0))</f>
        <v/>
      </c>
      <c r="AQ205" s="28" t="str">
        <f t="shared" si="12"/>
        <v/>
      </c>
      <c r="AR205" s="28" t="str">
        <f t="shared" si="13"/>
        <v/>
      </c>
      <c r="AS205" s="28" t="str">
        <f t="array" ref="AS205">IF($I205="","",IF(C205="P",IF(OR(I205="NOT_READABLE",I205="BLURRY"),XLOOKUP("near_add_step",Calibration!$B:$B,Calibration!$C:$C,0.25),0),IF(C205="R",IF(I205="NOT_CLEAR",XLOOKUP("near_add_step",Calibration!$B:$B,Calibration!$C:$C,0.25),0),0)))</f>
        <v/>
      </c>
      <c r="AT205" s="28" t="str">
        <f t="array" ref="AT205">IF($I205="","",IF(C205="Q",IF(OR(I205="NOT_READABLE",I205="BLURRY"),XLOOKUP("near_add_step",Calibration!$B:$B,Calibration!$C:$C,0.25),0),IF(C205="R",IF(I205="NOT_CLEAR",XLOOKUP("near_add_step",Calibration!$B:$B,Calibration!$C:$C,0.25),0),0)))</f>
        <v/>
      </c>
      <c r="AU205" s="28" t="str">
        <f t="array" ref="AU205">IF($I205="","",IF(G205="SNELLEN_FEET",IF(I205="READABLE",IFERROR(XLOOKUP(XLOOKUP(R205,Chart_Scale_Distance!B:B,Chart_Scale_Distance!A:A)+1,Chart_Scale_Distance!A:A,Chart_Scale_Distance!B:B),R205),R205),R205))</f>
        <v/>
      </c>
      <c r="AV205" s="28" t="str">
        <f t="array" ref="AV205">IF($I204="","",IFERROR(XLOOKUP(R205,Chart_Scale_Distance!$B:$B,Chart_Scale_Distance!$A:$A,""),""))</f>
        <v/>
      </c>
      <c r="AW205" s="28" t="str">
        <f t="array" ref="AW205">IF($I204="","",IFERROR(XLOOKUP(AA205,Chart_Scale_Distance!$B:$B,Chart_Scale_Distance!$A:$A,""),""))</f>
        <v/>
      </c>
      <c r="AX205" s="28" t="str">
        <f t="shared" si="14"/>
        <v/>
      </c>
      <c r="AY205" s="28" t="str">
        <f t="shared" si="15"/>
        <v/>
      </c>
      <c r="AZ205" s="28" t="str">
        <f t="shared" si="16"/>
        <v/>
      </c>
      <c r="BA205" s="28" t="str">
        <f t="shared" si="17"/>
        <v/>
      </c>
      <c r="BB205" s="28" t="str">
        <f t="shared" si="18"/>
        <v/>
      </c>
      <c r="BC205" s="28" t="str">
        <f t="array" ref="BC205">IF($I205="","",LET(
conf,AI205,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duoMax,XLOOKUP($B205,Derived_Variables!$A:$A,Derived_Variables!$AI:$AI,4),
axisTol,XLOOKUP($B205,Derived_Variables!$A:$A,Derived_Variables!$W:$W,1),
maxStart,XLOOKUP($B205,Derived_Variables!$A:$A,Derived_Variables!$U:$U,1.25),
maxAR,XLOOKUP($B205,Derived_Variables!$A:$A,Derived_Variables!$V:$V,3),
anom,XLOOKUP($B205,Derived_Variables!$A:$A,Derived_Variables!$Z:$Z,FALSE),
reStart,XLOOKUP($B205,Derived_Variables!$A:$A,Derived_Variables!$K:$K,0),
leStart,XLOOKUP($B205,Derived_Variables!$A:$A,Derived_Variables!$N:$N,0),
reAR,XLOOKUP($B205,AR_Input!$A:$A,AR_Input!$B:$B,reStart),
leAR,XLOOKUP($B205,AR_Input!$A:$A,AR_Input!$E:$E,leStart),
reEsc,AND(anom,OR(ABS((S205+AM205)-reStart)&gt;maxStart,ABS((S205+AM205)-reAR)&gt;maxAR)),
leEsc,AND(anom,OR(ABS((V205+AP205)-leStart)&gt;maxStart,ABS((V205+AP205)-leAR)&gt;maxAR)),
phaseMax,IFS(
 AK205="Fast",
   IFS(
     OR(C205="B",C205="D"),XLOOKUP("timeout_coarse_fast",Calibration!$B:$B,Calibration!$C:$C,24),
     OR(C205="E",C205="F",C205="H",C205="I"),XLOOKUP("timeout_jcc_fast",Calibration!$B:$B,Calibration!$C:$C,10),
     OR(C205="G",C205="J"),XLOOKUP("timeout_duochrome_fast",Calibration!$B:$B,Calibration!$C:$C,8),
     C205="K",XLOOKUP("timeout_bino_fast",Calibration!$B:$B,Calibration!$C:$C,10),
     OR(C205="P",C205="Q",C205="R"),XLOOKUP("timeout_near_fast",Calibration!$B:$B,Calibration!$C:$C,16),
     TRUE,XLOOKUP("timeout_coarse_fast",Calibration!$B:$B,Calibration!$C:$C,24)
   ),
 AK205="Normal",
   IFS(
     OR(C205="B",C205="D"),XLOOKUP("timeout_coarse_normal",Calibration!$B:$B,Calibration!$C:$C,36),
     OR(C205="E",C205="F",C205="H",C205="I"),XLOOKUP("timeout_jcc_normal",Calibration!$B:$B,Calibration!$C:$C,14),
     OR(C205="G",C205="J"),XLOOKUP("timeout_duochrome_normal",Calibration!$B:$B,Calibration!$C:$C,10),
     C205="K",XLOOKUP("timeout_bino_normal",Calibration!$B:$B,Calibration!$C:$C,14),
     OR(C205="P",C205="Q",C205="R"),XLOOKUP("timeout_near_normal",Calibration!$B:$B,Calibration!$C:$C,22),
     TRUE,XLOOKUP("timeout_coarse_normal",Calibration!$B:$B,Calibration!$C:$C,36)
   ),
 TRUE,
   IFS(
     OR(C205="B",C205="D"),XLOOKUP("timeout_coarse_slow",Calibration!$B:$B,Calibration!$C:$C,48),
     OR(C205="E",C205="F",C205="H",C205="I"),XLOOKUP("timeout_jcc_slow",Calibration!$B:$B,Calibration!$C:$C,18),
     OR(C205="G",C205="J"),XLOOKUP("timeout_duochrome_slow",Calibration!$B:$B,Calibration!$C:$C,12),
     C205="K",XLOOKUP("timeout_bino_slow",Calibration!$B:$B,Calibration!$C:$C,18),
     OR(C205="P",C205="Q",C205="R"),XLOOKUP("timeout_near_slow",Calibration!$B:$B,Calibration!$C:$C,28),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AJ205=TRUE,"ESCALATE",
C205="A",
IF(OR(I205="NOT_READABLE",I205="BLURRY",AND(R205="20_20_20",I205="READABLE")),"B","A"),
C205="B",
IF(reEsc,"ESCALATE",IF(AY205&gt;=phaseMax,"ESCALATE",IF(AND(AV205&gt;=AW205,I205="READABLE"),"E","B"))),
C205="E",
IF(AY205&gt;=phaseMax,"ESCALATE",IF(OR(I205="SAME",I205="CANT_TELL",AD205&lt;axisTol),"F","E")),
C205="F",
IF(AY205&gt;=phaseMax,"ESCALATE",IF(AX205&gt;=powerSameN,"G","F")),
C205="G",
IF(AY205&gt;=phaseMax,"ESCALATE",IF(OR(AX205&gt;=duoEqualN,BB205&gt;=duoMax),"D","G")),
C205="D",
IF(leEsc,"ESCALATE",IF(AY205&gt;=phaseMax,"ESCALATE",IF(AND(AV205&gt;=AW205,I205="READABLE"),"H","D"))),
C205="H",
IF(AY205&gt;=phaseMax,"ESCALATE",IF(OR(I205="SAME",I205="CANT_TELL",AD205&lt;axisTol),"I","H")),
C205="I",
IF(AY205&gt;=phaseMax,"ESCALATE",IF(AX205&gt;=powerSameN,"J","I")),
C205="J",
IF(AY205&gt;=phaseMax,"ESCALATE",IF(OR(AX205&gt;=duoEqualN,BB205&gt;=duoMax),"K","J")),
C205="K",
IF(AY205&gt;=phaseMax,"ESCALATE",IF(AX205&gt;=binoSameN,IF(XLOOKUP($B205,Derived_Variables!$A:$A,Derived_Variables!$AJ:$AJ,FALSE)=TRUE,"P","END"),"K")),
C205="P",
IF(AY205&gt;=phaseMax,"ESCALATE",IF(OR(I205="READABLE",I205="SAME"),"Q","P")),
C205="Q",
IF(AY205&gt;=phaseMax,"ESCALATE",IF(OR(I205="READABLE",I205="SAME"),"R","Q")),
C205="R",
IF(AY205&gt;=phaseMax,"ESCALATE",IF(OR(I205=nearTarget,I205="SAME"),"END","R")),
TRUE,"END"
)))</f>
        <v/>
      </c>
      <c r="BD205" s="28" t="b">
        <f t="shared" si="19"/>
        <v>0</v>
      </c>
    </row>
    <row r="206" ht="15.75" customHeight="1">
      <c r="A206" s="28">
        <f t="shared" si="3"/>
        <v>205</v>
      </c>
      <c r="B206" s="28">
        <f t="shared" si="4"/>
        <v>6</v>
      </c>
      <c r="C206" s="28" t="str">
        <f t="shared" si="5"/>
        <v/>
      </c>
      <c r="D206" s="28" t="str">
        <f t="array" ref="D206">IF($I205="","",XLOOKUP(C206,FSM_State_Map!A:A,FSM_State_Map!B:B,""))</f>
        <v/>
      </c>
      <c r="E206" s="28" t="str">
        <f t="array" ref="E206">IF($I205="","",XLOOKUP(C206,FSM_State_Map!A:A,FSM_State_Map!C:C,""))</f>
        <v/>
      </c>
      <c r="F206" s="28" t="str">
        <f t="array" ref="F206">IF($I205="","",XLOOKUP(E206,Phase_UI_Map!A:A,Phase_UI_Map!B:B,""))</f>
        <v/>
      </c>
      <c r="G206" s="28" t="str">
        <f t="array" ref="G206">IF($I205="","",XLOOKUP(E206,Phase_UI_Map!A:A,Phase_UI_Map!C:C,""))</f>
        <v/>
      </c>
      <c r="H206" s="28" t="str">
        <f t="array" ref="H206">IF($I205="","",XLOOKUP(E206,Phase_UI_Map!A:A,Phase_UI_Map!D:D,""))</f>
        <v/>
      </c>
      <c r="I206" s="29"/>
      <c r="J206" s="28" t="str">
        <f>IFERROR(__xludf.DUMMYFUNCTION("IF($I205="""","""",IFERROR(INDEX(FILTER(Response_Lists!$B:$B,Response_Lists!$A:$A=$H206),1),""""))"),"")</f>
        <v/>
      </c>
      <c r="K206" s="28" t="str">
        <f>IFERROR(__xludf.DUMMYFUNCTION("IF($I205="""","""",IFERROR(INDEX(FILTER(Response_Lists!$B:$B,Response_Lists!$A:$A=$H206),2),""""))"),"")</f>
        <v/>
      </c>
      <c r="L206" s="28" t="str">
        <f>IFERROR(__xludf.DUMMYFUNCTION("IF($I205="""","""",IFERROR(INDEX(FILTER(Response_Lists!$B:$B,Response_Lists!$A:$A=$H206),3),""""))"),"")</f>
        <v/>
      </c>
      <c r="M206" s="28" t="str">
        <f>IFERROR(__xludf.DUMMYFUNCTION("IF($I205="""","""",IFERROR(INDEX(FILTER(Response_Lists!$B:$B,Response_Lists!$A:$A=$H206),4),""""))"),"")</f>
        <v/>
      </c>
      <c r="N206" s="28" t="str">
        <f>IFERROR(__xludf.DUMMYFUNCTION("IF($I205="""","""",IFERROR(INDEX(FILTER(Response_Lists!$B:$B,Response_Lists!$A:$A=$H206),5),""""))"),"")</f>
        <v/>
      </c>
      <c r="O206" s="28" t="str">
        <f>IFERROR(__xludf.DUMMYFUNCTION("IF($I205="""","""",IFERROR(INDEX(FILTER(Response_Lists!$B:$B,Response_Lists!$A:$A=$H206),6),""""))"),"")</f>
        <v/>
      </c>
      <c r="P206" s="28" t="str">
        <f t="shared" si="6"/>
        <v/>
      </c>
      <c r="Q206" s="28" t="str">
        <f t="array" ref="Q206">IF($I205="","",XLOOKUP(C206,FSM_State_Map!A:A,FSM_State_Map!D:D,""))</f>
        <v/>
      </c>
      <c r="R206" s="28" t="str">
        <f t="shared" si="7"/>
        <v/>
      </c>
      <c r="S206" s="28" t="str">
        <f t="array" ref="S206">IF($I205="","",
IF(
  AND(C206="B",C205&lt;&gt;"B"),
  XLOOKUP($B206,Derived_Variables!$A:$A,Derived_Variables!$K:$K,0)
  + XLOOKUP($B206,Derived_Variables!$A:$A,Derived_Variables!$AE:$AE,0),
  S205+AM205
))</f>
        <v/>
      </c>
      <c r="T206" s="28" t="str">
        <f t="shared" ref="T206:U206" si="422">IF($I205="","",T205+AN205)</f>
        <v/>
      </c>
      <c r="U206" s="28" t="str">
        <f t="shared" si="422"/>
        <v/>
      </c>
      <c r="V206" s="28" t="str">
        <f t="array" ref="V206">IF($I205="","",
IF(
  AND(C206="D",C205&lt;&gt;"D"),
  XLOOKUP($B206,Derived_Variables!$A:$A,Derived_Variables!$N:$N,0)
  + XLOOKUP($B206,Derived_Variables!$A:$A,Derived_Variables!$AE:$AE,0),
  V205+AP205
))</f>
        <v/>
      </c>
      <c r="W206" s="28" t="str">
        <f t="shared" ref="W206:X206" si="423">IF($I205="","",W205+AQ205)</f>
        <v/>
      </c>
      <c r="X206" s="28" t="str">
        <f t="shared" si="423"/>
        <v/>
      </c>
      <c r="Y206" s="28" t="str">
        <f t="array" ref="Y206">IF($I205="","",IF(AND(C206="P",C205&lt;&gt;"P"),IFERROR(XLOOKUP($B206,Lenso_Input!$A:$A,Lenso_Input!$E:$E,0),0),Y205+AS205))</f>
        <v/>
      </c>
      <c r="Z206" s="28" t="str">
        <f t="array" ref="Z206">IF($I205="","",IF(AND(C206="Q",C205&lt;&gt;"Q"),IFERROR(XLOOKUP($B206,Lenso_Input!$A:$A,Lenso_Input!$I:$I,0),0),Z205+AT205))</f>
        <v/>
      </c>
      <c r="AA206" s="28" t="str">
        <f t="array" ref="AA206">IF($I205="","",IF(XLOOKUP($B206,Derived_Variables!$A:$A,Derived_Variables!$R:$R,"6/6_target")="6/6_target","20_20_20","40_30_25"))</f>
        <v/>
      </c>
      <c r="AB206" s="28" t="str">
        <f t="array" ref="AB206">IF($I205="","",XLOOKUP(LOWER(XLOOKUP($B206,Derived_Variables!$A:$A,Derived_Variables!$T:$T,"Standard"))&amp;"_sph_step",Calibration!$B:$B,Calibration!$C:$C,0.25))</f>
        <v/>
      </c>
      <c r="AC206" s="28" t="str">
        <f t="array" ref="AC206">IF($I205="","",XLOOKUP(LOWER(XLOOKUP($B206,Derived_Variables!$A:$A,Derived_Variables!$T:$T,"Standard"))&amp;"_cyl_step",Calibration!$B:$B,Calibration!$C:$C,0.25))</f>
        <v/>
      </c>
      <c r="AD206" s="28" t="str">
        <f t="array" ref="AD206">IF($I205="","",IF(OR(C206="E",C206="H"),LET(startStep,XLOOKUP("axis_start_step",Calibration!$B:$B,Calibration!$C:$C,5),step1,XLOOKUP("axis_reversal_step_1",Calibration!$B:$B,Calibration!$C:$C,3),step2,XLOOKUP("axis_reversal_step_2",Calibration!$B:$B,Calibration!$C:$C,1),IF(OR(C205&lt;&gt;C206,AZ206="",AZ206="SAME",AZ206="CANT_TELL",I206="",I206="SAME",I206="CANT_TELL"),startStep,IF(OR(AND(AZ206="BETTER_1",I206="BETTER_2"),AND(AZ206="BETTER_2",I206="BETTER_1")),IF(AD205&gt;step1,step1,step2),AD205))),0))</f>
        <v/>
      </c>
      <c r="AE206" s="28" t="str">
        <f t="array" ref="AE206">IF($I205="","",XLOOKUP($B206,Derived_Variables!$A:$A,Derived_Variables!$AD:$AD,"No_Fog"))</f>
        <v/>
      </c>
      <c r="AF206" s="28" t="str">
        <f t="array" ref="AF206">IF($I205="","",XLOOKUP($B206,Derived_Variables!$A:$A,Derived_Variables!$AE:$AE,0))</f>
        <v/>
      </c>
      <c r="AG206" s="28" t="str">
        <f t="array" ref="AG206">IF($I205="","",XLOOKUP($B206,Derived_Variables!$A:$A,Derived_Variables!$AF:$AF,""))</f>
        <v/>
      </c>
      <c r="AH206" s="28" t="str">
        <f t="array" ref="AH206">IF($I205="","",XLOOKUP($B206,Derived_Variables!$A:$A,Derived_Variables!$AG:$AG,""))</f>
        <v/>
      </c>
      <c r="AI206" s="28" t="str">
        <f t="array" ref="AI206">IF($I205="","",XLOOKUP($B206,Derived_Variables!$A:$A,Derived_Variables!$AC:$AC,"Medium"))</f>
        <v/>
      </c>
      <c r="AJ206" s="28" t="str">
        <f t="array" ref="AJ206">IF($I205="","",XLOOKUP($B206,Derived_Variables!$A:$A,Derived_Variables!$Y:$Y,FALSE))</f>
        <v/>
      </c>
      <c r="AK206" s="28" t="str">
        <f t="array" ref="AK206">IF($I205="","",XLOOKUP($B206,Derived_Variables!$A:$A,Derived_Variables!$AA:$AA,"Normal"))</f>
        <v/>
      </c>
      <c r="AL206" s="28" t="str">
        <f t="array" ref="AL206">IF($I205="","",XLOOKUP($B206,Derived_Variables!$A:$A,Derived_Variables!$AB:$AB,"Normal"))</f>
        <v/>
      </c>
      <c r="AM206" s="28" t="str">
        <f t="array" ref="AM206">IF($I206="","",IFS(C206="B",IF(OR(I206="NOT_READABLE",I206="BLURRY"),-AB206,0),C206="G",IFS(I206="RED_CLEARER",XLOOKUP("duochrome_red_step",Calibration!$B:$B,Calibration!$C:$C,-0.25),I206="GREEN_CLEARER",XLOOKUP("duochrome_green_step",Calibration!$B:$B,Calibration!$C:$C,0.25),I206="EQUAL",IF(XLOOKUP($B206,Derived_Variables!$A:$A,Derived_Variables!$S:$S,"Neutral")="Undercorrect",XLOOKUP("undercorrect_step",Calibration!$B:$B,Calibration!$C:$C,0.25),IF(XLOOKUP($B206,Derived_Variables!$A:$A,Derived_Variables!$S:$S,"Neutral")="Overcorrect",-XLOOKUP("overcorrect_step",Calibration!$B:$B,Calibration!$C:$C,0.25),0)),TRUE,0),C206="K",IF(I206="TOP_CLEARER",XLOOKUP("bino_balance_step",Calibration!$B:$B,Calibration!$C:$C,0.25),0),TRUE,0))</f>
        <v/>
      </c>
      <c r="AN206" s="28" t="str">
        <f t="shared" si="10"/>
        <v/>
      </c>
      <c r="AO206" s="28" t="str">
        <f t="shared" si="11"/>
        <v/>
      </c>
      <c r="AP206" s="28" t="str">
        <f t="array" ref="AP206">IF($I206="","",IFS(C206="D",IF(OR(I206="NOT_READABLE",I206="BLURRY"),-AB206,0),C206="J",IFS(I206="RED_CLEARER",XLOOKUP("duochrome_red_step",Calibration!$B:$B,Calibration!$C:$C,-0.25),I206="GREEN_CLEARER",XLOOKUP("duochrome_green_step",Calibration!$B:$B,Calibration!$C:$C,0.25),I206="EQUAL",IF(XLOOKUP($B206,Derived_Variables!$A:$A,Derived_Variables!$S:$S,"Neutral")="Undercorrect",XLOOKUP("undercorrect_step",Calibration!$B:$B,Calibration!$C:$C,0.25),IF(XLOOKUP($B206,Derived_Variables!$A:$A,Derived_Variables!$S:$S,"Neutral")="Overcorrect",-XLOOKUP("overcorrect_step",Calibration!$B:$B,Calibration!$C:$C,0.25),0)),TRUE,0),C206="K",IF(I206="BOTTOM_CLEARER",XLOOKUP("bino_balance_step",Calibration!$B:$B,Calibration!$C:$C,0.25),0),TRUE,0))</f>
        <v/>
      </c>
      <c r="AQ206" s="28" t="str">
        <f t="shared" si="12"/>
        <v/>
      </c>
      <c r="AR206" s="28" t="str">
        <f t="shared" si="13"/>
        <v/>
      </c>
      <c r="AS206" s="28" t="str">
        <f t="array" ref="AS206">IF($I206="","",IF(C206="P",IF(OR(I206="NOT_READABLE",I206="BLURRY"),XLOOKUP("near_add_step",Calibration!$B:$B,Calibration!$C:$C,0.25),0),IF(C206="R",IF(I206="NOT_CLEAR",XLOOKUP("near_add_step",Calibration!$B:$B,Calibration!$C:$C,0.25),0),0)))</f>
        <v/>
      </c>
      <c r="AT206" s="28" t="str">
        <f t="array" ref="AT206">IF($I206="","",IF(C206="Q",IF(OR(I206="NOT_READABLE",I206="BLURRY"),XLOOKUP("near_add_step",Calibration!$B:$B,Calibration!$C:$C,0.25),0),IF(C206="R",IF(I206="NOT_CLEAR",XLOOKUP("near_add_step",Calibration!$B:$B,Calibration!$C:$C,0.25),0),0)))</f>
        <v/>
      </c>
      <c r="AU206" s="28" t="str">
        <f t="array" ref="AU206">IF($I206="","",IF(G206="SNELLEN_FEET",IF(I206="READABLE",IFERROR(XLOOKUP(XLOOKUP(R206,Chart_Scale_Distance!B:B,Chart_Scale_Distance!A:A)+1,Chart_Scale_Distance!A:A,Chart_Scale_Distance!B:B),R206),R206),R206))</f>
        <v/>
      </c>
      <c r="AV206" s="28" t="str">
        <f t="array" ref="AV206">IF($I205="","",IFERROR(XLOOKUP(R206,Chart_Scale_Distance!$B:$B,Chart_Scale_Distance!$A:$A,""),""))</f>
        <v/>
      </c>
      <c r="AW206" s="28" t="str">
        <f t="array" ref="AW206">IF($I205="","",IFERROR(XLOOKUP(AA206,Chart_Scale_Distance!$B:$B,Chart_Scale_Distance!$A:$A,""),""))</f>
        <v/>
      </c>
      <c r="AX206" s="28" t="str">
        <f t="shared" si="14"/>
        <v/>
      </c>
      <c r="AY206" s="28" t="str">
        <f t="shared" si="15"/>
        <v/>
      </c>
      <c r="AZ206" s="28" t="str">
        <f t="shared" si="16"/>
        <v/>
      </c>
      <c r="BA206" s="28" t="str">
        <f t="shared" si="17"/>
        <v/>
      </c>
      <c r="BB206" s="28" t="str">
        <f t="shared" si="18"/>
        <v/>
      </c>
      <c r="BC206" s="28" t="str">
        <f t="array" ref="BC206">IF($I206="","",LET(
conf,AI206,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duoMax,XLOOKUP($B206,Derived_Variables!$A:$A,Derived_Variables!$AI:$AI,4),
axisTol,XLOOKUP($B206,Derived_Variables!$A:$A,Derived_Variables!$W:$W,1),
maxStart,XLOOKUP($B206,Derived_Variables!$A:$A,Derived_Variables!$U:$U,1.25),
maxAR,XLOOKUP($B206,Derived_Variables!$A:$A,Derived_Variables!$V:$V,3),
anom,XLOOKUP($B206,Derived_Variables!$A:$A,Derived_Variables!$Z:$Z,FALSE),
reStart,XLOOKUP($B206,Derived_Variables!$A:$A,Derived_Variables!$K:$K,0),
leStart,XLOOKUP($B206,Derived_Variables!$A:$A,Derived_Variables!$N:$N,0),
reAR,XLOOKUP($B206,AR_Input!$A:$A,AR_Input!$B:$B,reStart),
leAR,XLOOKUP($B206,AR_Input!$A:$A,AR_Input!$E:$E,leStart),
reEsc,AND(anom,OR(ABS((S206+AM206)-reStart)&gt;maxStart,ABS((S206+AM206)-reAR)&gt;maxAR)),
leEsc,AND(anom,OR(ABS((V206+AP206)-leStart)&gt;maxStart,ABS((V206+AP206)-leAR)&gt;maxAR)),
phaseMax,IFS(
 AK206="Fast",
   IFS(
     OR(C206="B",C206="D"),XLOOKUP("timeout_coarse_fast",Calibration!$B:$B,Calibration!$C:$C,24),
     OR(C206="E",C206="F",C206="H",C206="I"),XLOOKUP("timeout_jcc_fast",Calibration!$B:$B,Calibration!$C:$C,10),
     OR(C206="G",C206="J"),XLOOKUP("timeout_duochrome_fast",Calibration!$B:$B,Calibration!$C:$C,8),
     C206="K",XLOOKUP("timeout_bino_fast",Calibration!$B:$B,Calibration!$C:$C,10),
     OR(C206="P",C206="Q",C206="R"),XLOOKUP("timeout_near_fast",Calibration!$B:$B,Calibration!$C:$C,16),
     TRUE,XLOOKUP("timeout_coarse_fast",Calibration!$B:$B,Calibration!$C:$C,24)
   ),
 AK206="Normal",
   IFS(
     OR(C206="B",C206="D"),XLOOKUP("timeout_coarse_normal",Calibration!$B:$B,Calibration!$C:$C,36),
     OR(C206="E",C206="F",C206="H",C206="I"),XLOOKUP("timeout_jcc_normal",Calibration!$B:$B,Calibration!$C:$C,14),
     OR(C206="G",C206="J"),XLOOKUP("timeout_duochrome_normal",Calibration!$B:$B,Calibration!$C:$C,10),
     C206="K",XLOOKUP("timeout_bino_normal",Calibration!$B:$B,Calibration!$C:$C,14),
     OR(C206="P",C206="Q",C206="R"),XLOOKUP("timeout_near_normal",Calibration!$B:$B,Calibration!$C:$C,22),
     TRUE,XLOOKUP("timeout_coarse_normal",Calibration!$B:$B,Calibration!$C:$C,36)
   ),
 TRUE,
   IFS(
     OR(C206="B",C206="D"),XLOOKUP("timeout_coarse_slow",Calibration!$B:$B,Calibration!$C:$C,48),
     OR(C206="E",C206="F",C206="H",C206="I"),XLOOKUP("timeout_jcc_slow",Calibration!$B:$B,Calibration!$C:$C,18),
     OR(C206="G",C206="J"),XLOOKUP("timeout_duochrome_slow",Calibration!$B:$B,Calibration!$C:$C,12),
     C206="K",XLOOKUP("timeout_bino_slow",Calibration!$B:$B,Calibration!$C:$C,18),
     OR(C206="P",C206="Q",C206="R"),XLOOKUP("timeout_near_slow",Calibration!$B:$B,Calibration!$C:$C,28),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AJ206=TRUE,"ESCALATE",
C206="A",
IF(OR(I206="NOT_READABLE",I206="BLURRY",AND(R206="20_20_20",I206="READABLE")),"B","A"),
C206="B",
IF(reEsc,"ESCALATE",IF(AY206&gt;=phaseMax,"ESCALATE",IF(AND(AV206&gt;=AW206,I206="READABLE"),"E","B"))),
C206="E",
IF(AY206&gt;=phaseMax,"ESCALATE",IF(OR(I206="SAME",I206="CANT_TELL",AD206&lt;axisTol),"F","E")),
C206="F",
IF(AY206&gt;=phaseMax,"ESCALATE",IF(AX206&gt;=powerSameN,"G","F")),
C206="G",
IF(AY206&gt;=phaseMax,"ESCALATE",IF(OR(AX206&gt;=duoEqualN,BB206&gt;=duoMax),"D","G")),
C206="D",
IF(leEsc,"ESCALATE",IF(AY206&gt;=phaseMax,"ESCALATE",IF(AND(AV206&gt;=AW206,I206="READABLE"),"H","D"))),
C206="H",
IF(AY206&gt;=phaseMax,"ESCALATE",IF(OR(I206="SAME",I206="CANT_TELL",AD206&lt;axisTol),"I","H")),
C206="I",
IF(AY206&gt;=phaseMax,"ESCALATE",IF(AX206&gt;=powerSameN,"J","I")),
C206="J",
IF(AY206&gt;=phaseMax,"ESCALATE",IF(OR(AX206&gt;=duoEqualN,BB206&gt;=duoMax),"K","J")),
C206="K",
IF(AY206&gt;=phaseMax,"ESCALATE",IF(AX206&gt;=binoSameN,IF(XLOOKUP($B206,Derived_Variables!$A:$A,Derived_Variables!$AJ:$AJ,FALSE)=TRUE,"P","END"),"K")),
C206="P",
IF(AY206&gt;=phaseMax,"ESCALATE",IF(OR(I206="READABLE",I206="SAME"),"Q","P")),
C206="Q",
IF(AY206&gt;=phaseMax,"ESCALATE",IF(OR(I206="READABLE",I206="SAME"),"R","Q")),
C206="R",
IF(AY206&gt;=phaseMax,"ESCALATE",IF(OR(I206=nearTarget,I206="SAME"),"END","R")),
TRUE,"END"
)))</f>
        <v/>
      </c>
      <c r="BD206" s="28" t="b">
        <f t="shared" si="19"/>
        <v>0</v>
      </c>
    </row>
    <row r="207" ht="15.75" customHeight="1">
      <c r="A207" s="28">
        <f t="shared" si="3"/>
        <v>206</v>
      </c>
      <c r="B207" s="28">
        <f t="shared" si="4"/>
        <v>6</v>
      </c>
      <c r="C207" s="28" t="str">
        <f t="shared" si="5"/>
        <v/>
      </c>
      <c r="D207" s="28" t="str">
        <f t="array" ref="D207">IF($I206="","",XLOOKUP(C207,FSM_State_Map!A:A,FSM_State_Map!B:B,""))</f>
        <v/>
      </c>
      <c r="E207" s="28" t="str">
        <f t="array" ref="E207">IF($I206="","",XLOOKUP(C207,FSM_State_Map!A:A,FSM_State_Map!C:C,""))</f>
        <v/>
      </c>
      <c r="F207" s="28" t="str">
        <f t="array" ref="F207">IF($I206="","",XLOOKUP(E207,Phase_UI_Map!A:A,Phase_UI_Map!B:B,""))</f>
        <v/>
      </c>
      <c r="G207" s="28" t="str">
        <f t="array" ref="G207">IF($I206="","",XLOOKUP(E207,Phase_UI_Map!A:A,Phase_UI_Map!C:C,""))</f>
        <v/>
      </c>
      <c r="H207" s="28" t="str">
        <f t="array" ref="H207">IF($I206="","",XLOOKUP(E207,Phase_UI_Map!A:A,Phase_UI_Map!D:D,""))</f>
        <v/>
      </c>
      <c r="I207" s="29"/>
      <c r="J207" s="28" t="str">
        <f>IFERROR(__xludf.DUMMYFUNCTION("IF($I206="""","""",IFERROR(INDEX(FILTER(Response_Lists!$B:$B,Response_Lists!$A:$A=$H207),1),""""))"),"")</f>
        <v/>
      </c>
      <c r="K207" s="28" t="str">
        <f>IFERROR(__xludf.DUMMYFUNCTION("IF($I206="""","""",IFERROR(INDEX(FILTER(Response_Lists!$B:$B,Response_Lists!$A:$A=$H207),2),""""))"),"")</f>
        <v/>
      </c>
      <c r="L207" s="28" t="str">
        <f>IFERROR(__xludf.DUMMYFUNCTION("IF($I206="""","""",IFERROR(INDEX(FILTER(Response_Lists!$B:$B,Response_Lists!$A:$A=$H207),3),""""))"),"")</f>
        <v/>
      </c>
      <c r="M207" s="28" t="str">
        <f>IFERROR(__xludf.DUMMYFUNCTION("IF($I206="""","""",IFERROR(INDEX(FILTER(Response_Lists!$B:$B,Response_Lists!$A:$A=$H207),4),""""))"),"")</f>
        <v/>
      </c>
      <c r="N207" s="28" t="str">
        <f>IFERROR(__xludf.DUMMYFUNCTION("IF($I206="""","""",IFERROR(INDEX(FILTER(Response_Lists!$B:$B,Response_Lists!$A:$A=$H207),5),""""))"),"")</f>
        <v/>
      </c>
      <c r="O207" s="28" t="str">
        <f>IFERROR(__xludf.DUMMYFUNCTION("IF($I206="""","""",IFERROR(INDEX(FILTER(Response_Lists!$B:$B,Response_Lists!$A:$A=$H207),6),""""))"),"")</f>
        <v/>
      </c>
      <c r="P207" s="28" t="str">
        <f t="shared" si="6"/>
        <v/>
      </c>
      <c r="Q207" s="28" t="str">
        <f t="array" ref="Q207">IF($I206="","",XLOOKUP(C207,FSM_State_Map!A:A,FSM_State_Map!D:D,""))</f>
        <v/>
      </c>
      <c r="R207" s="28" t="str">
        <f t="shared" si="7"/>
        <v/>
      </c>
      <c r="S207" s="28" t="str">
        <f t="array" ref="S207">IF($I206="","",
IF(
  AND(C207="B",C206&lt;&gt;"B"),
  XLOOKUP($B207,Derived_Variables!$A:$A,Derived_Variables!$K:$K,0)
  + XLOOKUP($B207,Derived_Variables!$A:$A,Derived_Variables!$AE:$AE,0),
  S206+AM206
))</f>
        <v/>
      </c>
      <c r="T207" s="28" t="str">
        <f t="shared" ref="T207:U207" si="424">IF($I206="","",T206+AN206)</f>
        <v/>
      </c>
      <c r="U207" s="28" t="str">
        <f t="shared" si="424"/>
        <v/>
      </c>
      <c r="V207" s="28" t="str">
        <f t="array" ref="V207">IF($I206="","",
IF(
  AND(C207="D",C206&lt;&gt;"D"),
  XLOOKUP($B207,Derived_Variables!$A:$A,Derived_Variables!$N:$N,0)
  + XLOOKUP($B207,Derived_Variables!$A:$A,Derived_Variables!$AE:$AE,0),
  V206+AP206
))</f>
        <v/>
      </c>
      <c r="W207" s="28" t="str">
        <f t="shared" ref="W207:X207" si="425">IF($I206="","",W206+AQ206)</f>
        <v/>
      </c>
      <c r="X207" s="28" t="str">
        <f t="shared" si="425"/>
        <v/>
      </c>
      <c r="Y207" s="28" t="str">
        <f t="array" ref="Y207">IF($I206="","",IF(AND(C207="P",C206&lt;&gt;"P"),IFERROR(XLOOKUP($B207,Lenso_Input!$A:$A,Lenso_Input!$E:$E,0),0),Y206+AS206))</f>
        <v/>
      </c>
      <c r="Z207" s="28" t="str">
        <f t="array" ref="Z207">IF($I206="","",IF(AND(C207="Q",C206&lt;&gt;"Q"),IFERROR(XLOOKUP($B207,Lenso_Input!$A:$A,Lenso_Input!$I:$I,0),0),Z206+AT206))</f>
        <v/>
      </c>
      <c r="AA207" s="28" t="str">
        <f t="array" ref="AA207">IF($I206="","",IF(XLOOKUP($B207,Derived_Variables!$A:$A,Derived_Variables!$R:$R,"6/6_target")="6/6_target","20_20_20","40_30_25"))</f>
        <v/>
      </c>
      <c r="AB207" s="28" t="str">
        <f t="array" ref="AB207">IF($I206="","",XLOOKUP(LOWER(XLOOKUP($B207,Derived_Variables!$A:$A,Derived_Variables!$T:$T,"Standard"))&amp;"_sph_step",Calibration!$B:$B,Calibration!$C:$C,0.25))</f>
        <v/>
      </c>
      <c r="AC207" s="28" t="str">
        <f t="array" ref="AC207">IF($I206="","",XLOOKUP(LOWER(XLOOKUP($B207,Derived_Variables!$A:$A,Derived_Variables!$T:$T,"Standard"))&amp;"_cyl_step",Calibration!$B:$B,Calibration!$C:$C,0.25))</f>
        <v/>
      </c>
      <c r="AD207" s="28" t="str">
        <f t="array" ref="AD207">IF($I206="","",IF(OR(C207="E",C207="H"),LET(startStep,XLOOKUP("axis_start_step",Calibration!$B:$B,Calibration!$C:$C,5),step1,XLOOKUP("axis_reversal_step_1",Calibration!$B:$B,Calibration!$C:$C,3),step2,XLOOKUP("axis_reversal_step_2",Calibration!$B:$B,Calibration!$C:$C,1),IF(OR(C206&lt;&gt;C207,AZ207="",AZ207="SAME",AZ207="CANT_TELL",I207="",I207="SAME",I207="CANT_TELL"),startStep,IF(OR(AND(AZ207="BETTER_1",I207="BETTER_2"),AND(AZ207="BETTER_2",I207="BETTER_1")),IF(AD206&gt;step1,step1,step2),AD206))),0))</f>
        <v/>
      </c>
      <c r="AE207" s="28" t="str">
        <f t="array" ref="AE207">IF($I206="","",XLOOKUP($B207,Derived_Variables!$A:$A,Derived_Variables!$AD:$AD,"No_Fog"))</f>
        <v/>
      </c>
      <c r="AF207" s="28" t="str">
        <f t="array" ref="AF207">IF($I206="","",XLOOKUP($B207,Derived_Variables!$A:$A,Derived_Variables!$AE:$AE,0))</f>
        <v/>
      </c>
      <c r="AG207" s="28" t="str">
        <f t="array" ref="AG207">IF($I206="","",XLOOKUP($B207,Derived_Variables!$A:$A,Derived_Variables!$AF:$AF,""))</f>
        <v/>
      </c>
      <c r="AH207" s="28" t="str">
        <f t="array" ref="AH207">IF($I206="","",XLOOKUP($B207,Derived_Variables!$A:$A,Derived_Variables!$AG:$AG,""))</f>
        <v/>
      </c>
      <c r="AI207" s="28" t="str">
        <f t="array" ref="AI207">IF($I206="","",XLOOKUP($B207,Derived_Variables!$A:$A,Derived_Variables!$AC:$AC,"Medium"))</f>
        <v/>
      </c>
      <c r="AJ207" s="28" t="str">
        <f t="array" ref="AJ207">IF($I206="","",XLOOKUP($B207,Derived_Variables!$A:$A,Derived_Variables!$Y:$Y,FALSE))</f>
        <v/>
      </c>
      <c r="AK207" s="28" t="str">
        <f t="array" ref="AK207">IF($I206="","",XLOOKUP($B207,Derived_Variables!$A:$A,Derived_Variables!$AA:$AA,"Normal"))</f>
        <v/>
      </c>
      <c r="AL207" s="28" t="str">
        <f t="array" ref="AL207">IF($I206="","",XLOOKUP($B207,Derived_Variables!$A:$A,Derived_Variables!$AB:$AB,"Normal"))</f>
        <v/>
      </c>
      <c r="AM207" s="28" t="str">
        <f t="array" ref="AM207">IF($I207="","",IFS(C207="B",IF(OR(I207="NOT_READABLE",I207="BLURRY"),-AB207,0),C207="G",IFS(I207="RED_CLEARER",XLOOKUP("duochrome_red_step",Calibration!$B:$B,Calibration!$C:$C,-0.25),I207="GREEN_CLEARER",XLOOKUP("duochrome_green_step",Calibration!$B:$B,Calibration!$C:$C,0.25),I207="EQUAL",IF(XLOOKUP($B207,Derived_Variables!$A:$A,Derived_Variables!$S:$S,"Neutral")="Undercorrect",XLOOKUP("undercorrect_step",Calibration!$B:$B,Calibration!$C:$C,0.25),IF(XLOOKUP($B207,Derived_Variables!$A:$A,Derived_Variables!$S:$S,"Neutral")="Overcorrect",-XLOOKUP("overcorrect_step",Calibration!$B:$B,Calibration!$C:$C,0.25),0)),TRUE,0),C207="K",IF(I207="TOP_CLEARER",XLOOKUP("bino_balance_step",Calibration!$B:$B,Calibration!$C:$C,0.25),0),TRUE,0))</f>
        <v/>
      </c>
      <c r="AN207" s="28" t="str">
        <f t="shared" si="10"/>
        <v/>
      </c>
      <c r="AO207" s="28" t="str">
        <f t="shared" si="11"/>
        <v/>
      </c>
      <c r="AP207" s="28" t="str">
        <f t="array" ref="AP207">IF($I207="","",IFS(C207="D",IF(OR(I207="NOT_READABLE",I207="BLURRY"),-AB207,0),C207="J",IFS(I207="RED_CLEARER",XLOOKUP("duochrome_red_step",Calibration!$B:$B,Calibration!$C:$C,-0.25),I207="GREEN_CLEARER",XLOOKUP("duochrome_green_step",Calibration!$B:$B,Calibration!$C:$C,0.25),I207="EQUAL",IF(XLOOKUP($B207,Derived_Variables!$A:$A,Derived_Variables!$S:$S,"Neutral")="Undercorrect",XLOOKUP("undercorrect_step",Calibration!$B:$B,Calibration!$C:$C,0.25),IF(XLOOKUP($B207,Derived_Variables!$A:$A,Derived_Variables!$S:$S,"Neutral")="Overcorrect",-XLOOKUP("overcorrect_step",Calibration!$B:$B,Calibration!$C:$C,0.25),0)),TRUE,0),C207="K",IF(I207="BOTTOM_CLEARER",XLOOKUP("bino_balance_step",Calibration!$B:$B,Calibration!$C:$C,0.25),0),TRUE,0))</f>
        <v/>
      </c>
      <c r="AQ207" s="28" t="str">
        <f t="shared" si="12"/>
        <v/>
      </c>
      <c r="AR207" s="28" t="str">
        <f t="shared" si="13"/>
        <v/>
      </c>
      <c r="AS207" s="28" t="str">
        <f t="array" ref="AS207">IF($I207="","",IF(C207="P",IF(OR(I207="NOT_READABLE",I207="BLURRY"),XLOOKUP("near_add_step",Calibration!$B:$B,Calibration!$C:$C,0.25),0),IF(C207="R",IF(I207="NOT_CLEAR",XLOOKUP("near_add_step",Calibration!$B:$B,Calibration!$C:$C,0.25),0),0)))</f>
        <v/>
      </c>
      <c r="AT207" s="28" t="str">
        <f t="array" ref="AT207">IF($I207="","",IF(C207="Q",IF(OR(I207="NOT_READABLE",I207="BLURRY"),XLOOKUP("near_add_step",Calibration!$B:$B,Calibration!$C:$C,0.25),0),IF(C207="R",IF(I207="NOT_CLEAR",XLOOKUP("near_add_step",Calibration!$B:$B,Calibration!$C:$C,0.25),0),0)))</f>
        <v/>
      </c>
      <c r="AU207" s="28" t="str">
        <f t="array" ref="AU207">IF($I207="","",IF(G207="SNELLEN_FEET",IF(I207="READABLE",IFERROR(XLOOKUP(XLOOKUP(R207,Chart_Scale_Distance!B:B,Chart_Scale_Distance!A:A)+1,Chart_Scale_Distance!A:A,Chart_Scale_Distance!B:B),R207),R207),R207))</f>
        <v/>
      </c>
      <c r="AV207" s="28" t="str">
        <f t="array" ref="AV207">IF($I206="","",IFERROR(XLOOKUP(R207,Chart_Scale_Distance!$B:$B,Chart_Scale_Distance!$A:$A,""),""))</f>
        <v/>
      </c>
      <c r="AW207" s="28" t="str">
        <f t="array" ref="AW207">IF($I206="","",IFERROR(XLOOKUP(AA207,Chart_Scale_Distance!$B:$B,Chart_Scale_Distance!$A:$A,""),""))</f>
        <v/>
      </c>
      <c r="AX207" s="28" t="str">
        <f t="shared" si="14"/>
        <v/>
      </c>
      <c r="AY207" s="28" t="str">
        <f t="shared" si="15"/>
        <v/>
      </c>
      <c r="AZ207" s="28" t="str">
        <f t="shared" si="16"/>
        <v/>
      </c>
      <c r="BA207" s="28" t="str">
        <f t="shared" si="17"/>
        <v/>
      </c>
      <c r="BB207" s="28" t="str">
        <f t="shared" si="18"/>
        <v/>
      </c>
      <c r="BC207" s="28" t="str">
        <f t="array" ref="BC207">IF($I207="","",LET(
conf,AI207,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duoMax,XLOOKUP($B207,Derived_Variables!$A:$A,Derived_Variables!$AI:$AI,4),
axisTol,XLOOKUP($B207,Derived_Variables!$A:$A,Derived_Variables!$W:$W,1),
maxStart,XLOOKUP($B207,Derived_Variables!$A:$A,Derived_Variables!$U:$U,1.25),
maxAR,XLOOKUP($B207,Derived_Variables!$A:$A,Derived_Variables!$V:$V,3),
anom,XLOOKUP($B207,Derived_Variables!$A:$A,Derived_Variables!$Z:$Z,FALSE),
reStart,XLOOKUP($B207,Derived_Variables!$A:$A,Derived_Variables!$K:$K,0),
leStart,XLOOKUP($B207,Derived_Variables!$A:$A,Derived_Variables!$N:$N,0),
reAR,XLOOKUP($B207,AR_Input!$A:$A,AR_Input!$B:$B,reStart),
leAR,XLOOKUP($B207,AR_Input!$A:$A,AR_Input!$E:$E,leStart),
reEsc,AND(anom,OR(ABS((S207+AM207)-reStart)&gt;maxStart,ABS((S207+AM207)-reAR)&gt;maxAR)),
leEsc,AND(anom,OR(ABS((V207+AP207)-leStart)&gt;maxStart,ABS((V207+AP207)-leAR)&gt;maxAR)),
phaseMax,IFS(
 AK207="Fast",
   IFS(
     OR(C207="B",C207="D"),XLOOKUP("timeout_coarse_fast",Calibration!$B:$B,Calibration!$C:$C,24),
     OR(C207="E",C207="F",C207="H",C207="I"),XLOOKUP("timeout_jcc_fast",Calibration!$B:$B,Calibration!$C:$C,10),
     OR(C207="G",C207="J"),XLOOKUP("timeout_duochrome_fast",Calibration!$B:$B,Calibration!$C:$C,8),
     C207="K",XLOOKUP("timeout_bino_fast",Calibration!$B:$B,Calibration!$C:$C,10),
     OR(C207="P",C207="Q",C207="R"),XLOOKUP("timeout_near_fast",Calibration!$B:$B,Calibration!$C:$C,16),
     TRUE,XLOOKUP("timeout_coarse_fast",Calibration!$B:$B,Calibration!$C:$C,24)
   ),
 AK207="Normal",
   IFS(
     OR(C207="B",C207="D"),XLOOKUP("timeout_coarse_normal",Calibration!$B:$B,Calibration!$C:$C,36),
     OR(C207="E",C207="F",C207="H",C207="I"),XLOOKUP("timeout_jcc_normal",Calibration!$B:$B,Calibration!$C:$C,14),
     OR(C207="G",C207="J"),XLOOKUP("timeout_duochrome_normal",Calibration!$B:$B,Calibration!$C:$C,10),
     C207="K",XLOOKUP("timeout_bino_normal",Calibration!$B:$B,Calibration!$C:$C,14),
     OR(C207="P",C207="Q",C207="R"),XLOOKUP("timeout_near_normal",Calibration!$B:$B,Calibration!$C:$C,22),
     TRUE,XLOOKUP("timeout_coarse_normal",Calibration!$B:$B,Calibration!$C:$C,36)
   ),
 TRUE,
   IFS(
     OR(C207="B",C207="D"),XLOOKUP("timeout_coarse_slow",Calibration!$B:$B,Calibration!$C:$C,48),
     OR(C207="E",C207="F",C207="H",C207="I"),XLOOKUP("timeout_jcc_slow",Calibration!$B:$B,Calibration!$C:$C,18),
     OR(C207="G",C207="J"),XLOOKUP("timeout_duochrome_slow",Calibration!$B:$B,Calibration!$C:$C,12),
     C207="K",XLOOKUP("timeout_bino_slow",Calibration!$B:$B,Calibration!$C:$C,18),
     OR(C207="P",C207="Q",C207="R"),XLOOKUP("timeout_near_slow",Calibration!$B:$B,Calibration!$C:$C,28),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AJ207=TRUE,"ESCALATE",
C207="A",
IF(OR(I207="NOT_READABLE",I207="BLURRY",AND(R207="20_20_20",I207="READABLE")),"B","A"),
C207="B",
IF(reEsc,"ESCALATE",IF(AY207&gt;=phaseMax,"ESCALATE",IF(AND(AV207&gt;=AW207,I207="READABLE"),"E","B"))),
C207="E",
IF(AY207&gt;=phaseMax,"ESCALATE",IF(OR(I207="SAME",I207="CANT_TELL",AD207&lt;axisTol),"F","E")),
C207="F",
IF(AY207&gt;=phaseMax,"ESCALATE",IF(AX207&gt;=powerSameN,"G","F")),
C207="G",
IF(AY207&gt;=phaseMax,"ESCALATE",IF(OR(AX207&gt;=duoEqualN,BB207&gt;=duoMax),"D","G")),
C207="D",
IF(leEsc,"ESCALATE",IF(AY207&gt;=phaseMax,"ESCALATE",IF(AND(AV207&gt;=AW207,I207="READABLE"),"H","D"))),
C207="H",
IF(AY207&gt;=phaseMax,"ESCALATE",IF(OR(I207="SAME",I207="CANT_TELL",AD207&lt;axisTol),"I","H")),
C207="I",
IF(AY207&gt;=phaseMax,"ESCALATE",IF(AX207&gt;=powerSameN,"J","I")),
C207="J",
IF(AY207&gt;=phaseMax,"ESCALATE",IF(OR(AX207&gt;=duoEqualN,BB207&gt;=duoMax),"K","J")),
C207="K",
IF(AY207&gt;=phaseMax,"ESCALATE",IF(AX207&gt;=binoSameN,IF(XLOOKUP($B207,Derived_Variables!$A:$A,Derived_Variables!$AJ:$AJ,FALSE)=TRUE,"P","END"),"K")),
C207="P",
IF(AY207&gt;=phaseMax,"ESCALATE",IF(OR(I207="READABLE",I207="SAME"),"Q","P")),
C207="Q",
IF(AY207&gt;=phaseMax,"ESCALATE",IF(OR(I207="READABLE",I207="SAME"),"R","Q")),
C207="R",
IF(AY207&gt;=phaseMax,"ESCALATE",IF(OR(I207=nearTarget,I207="SAME"),"END","R")),
TRUE,"END"
)))</f>
        <v/>
      </c>
      <c r="BD207" s="28" t="b">
        <f t="shared" si="19"/>
        <v>0</v>
      </c>
    </row>
    <row r="208" ht="15.75" customHeight="1">
      <c r="A208" s="28">
        <f t="shared" si="3"/>
        <v>207</v>
      </c>
      <c r="B208" s="28">
        <f t="shared" si="4"/>
        <v>6</v>
      </c>
      <c r="C208" s="28" t="str">
        <f t="shared" si="5"/>
        <v/>
      </c>
      <c r="D208" s="28" t="str">
        <f t="array" ref="D208">IF($I207="","",XLOOKUP(C208,FSM_State_Map!A:A,FSM_State_Map!B:B,""))</f>
        <v/>
      </c>
      <c r="E208" s="28" t="str">
        <f t="array" ref="E208">IF($I207="","",XLOOKUP(C208,FSM_State_Map!A:A,FSM_State_Map!C:C,""))</f>
        <v/>
      </c>
      <c r="F208" s="28" t="str">
        <f t="array" ref="F208">IF($I207="","",XLOOKUP(E208,Phase_UI_Map!A:A,Phase_UI_Map!B:B,""))</f>
        <v/>
      </c>
      <c r="G208" s="28" t="str">
        <f t="array" ref="G208">IF($I207="","",XLOOKUP(E208,Phase_UI_Map!A:A,Phase_UI_Map!C:C,""))</f>
        <v/>
      </c>
      <c r="H208" s="28" t="str">
        <f t="array" ref="H208">IF($I207="","",XLOOKUP(E208,Phase_UI_Map!A:A,Phase_UI_Map!D:D,""))</f>
        <v/>
      </c>
      <c r="I208" s="29"/>
      <c r="J208" s="28" t="str">
        <f>IFERROR(__xludf.DUMMYFUNCTION("IF($I207="""","""",IFERROR(INDEX(FILTER(Response_Lists!$B:$B,Response_Lists!$A:$A=$H208),1),""""))"),"")</f>
        <v/>
      </c>
      <c r="K208" s="28" t="str">
        <f>IFERROR(__xludf.DUMMYFUNCTION("IF($I207="""","""",IFERROR(INDEX(FILTER(Response_Lists!$B:$B,Response_Lists!$A:$A=$H208),2),""""))"),"")</f>
        <v/>
      </c>
      <c r="L208" s="28" t="str">
        <f>IFERROR(__xludf.DUMMYFUNCTION("IF($I207="""","""",IFERROR(INDEX(FILTER(Response_Lists!$B:$B,Response_Lists!$A:$A=$H208),3),""""))"),"")</f>
        <v/>
      </c>
      <c r="M208" s="28" t="str">
        <f>IFERROR(__xludf.DUMMYFUNCTION("IF($I207="""","""",IFERROR(INDEX(FILTER(Response_Lists!$B:$B,Response_Lists!$A:$A=$H208),4),""""))"),"")</f>
        <v/>
      </c>
      <c r="N208" s="28" t="str">
        <f>IFERROR(__xludf.DUMMYFUNCTION("IF($I207="""","""",IFERROR(INDEX(FILTER(Response_Lists!$B:$B,Response_Lists!$A:$A=$H208),5),""""))"),"")</f>
        <v/>
      </c>
      <c r="O208" s="28" t="str">
        <f>IFERROR(__xludf.DUMMYFUNCTION("IF($I207="""","""",IFERROR(INDEX(FILTER(Response_Lists!$B:$B,Response_Lists!$A:$A=$H208),6),""""))"),"")</f>
        <v/>
      </c>
      <c r="P208" s="28" t="str">
        <f t="shared" si="6"/>
        <v/>
      </c>
      <c r="Q208" s="28" t="str">
        <f t="array" ref="Q208">IF($I207="","",XLOOKUP(C208,FSM_State_Map!A:A,FSM_State_Map!D:D,""))</f>
        <v/>
      </c>
      <c r="R208" s="28" t="str">
        <f t="shared" si="7"/>
        <v/>
      </c>
      <c r="S208" s="28" t="str">
        <f t="array" ref="S208">IF($I207="","",
IF(
  AND(C208="B",C207&lt;&gt;"B"),
  XLOOKUP($B208,Derived_Variables!$A:$A,Derived_Variables!$K:$K,0)
  + XLOOKUP($B208,Derived_Variables!$A:$A,Derived_Variables!$AE:$AE,0),
  S207+AM207
))</f>
        <v/>
      </c>
      <c r="T208" s="28" t="str">
        <f t="shared" ref="T208:U208" si="426">IF($I207="","",T207+AN207)</f>
        <v/>
      </c>
      <c r="U208" s="28" t="str">
        <f t="shared" si="426"/>
        <v/>
      </c>
      <c r="V208" s="28" t="str">
        <f t="array" ref="V208">IF($I207="","",
IF(
  AND(C208="D",C207&lt;&gt;"D"),
  XLOOKUP($B208,Derived_Variables!$A:$A,Derived_Variables!$N:$N,0)
  + XLOOKUP($B208,Derived_Variables!$A:$A,Derived_Variables!$AE:$AE,0),
  V207+AP207
))</f>
        <v/>
      </c>
      <c r="W208" s="28" t="str">
        <f t="shared" ref="W208:X208" si="427">IF($I207="","",W207+AQ207)</f>
        <v/>
      </c>
      <c r="X208" s="28" t="str">
        <f t="shared" si="427"/>
        <v/>
      </c>
      <c r="Y208" s="28" t="str">
        <f t="array" ref="Y208">IF($I207="","",IF(AND(C208="P",C207&lt;&gt;"P"),IFERROR(XLOOKUP($B208,Lenso_Input!$A:$A,Lenso_Input!$E:$E,0),0),Y207+AS207))</f>
        <v/>
      </c>
      <c r="Z208" s="28" t="str">
        <f t="array" ref="Z208">IF($I207="","",IF(AND(C208="Q",C207&lt;&gt;"Q"),IFERROR(XLOOKUP($B208,Lenso_Input!$A:$A,Lenso_Input!$I:$I,0),0),Z207+AT207))</f>
        <v/>
      </c>
      <c r="AA208" s="28" t="str">
        <f t="array" ref="AA208">IF($I207="","",IF(XLOOKUP($B208,Derived_Variables!$A:$A,Derived_Variables!$R:$R,"6/6_target")="6/6_target","20_20_20","40_30_25"))</f>
        <v/>
      </c>
      <c r="AB208" s="28" t="str">
        <f t="array" ref="AB208">IF($I207="","",XLOOKUP(LOWER(XLOOKUP($B208,Derived_Variables!$A:$A,Derived_Variables!$T:$T,"Standard"))&amp;"_sph_step",Calibration!$B:$B,Calibration!$C:$C,0.25))</f>
        <v/>
      </c>
      <c r="AC208" s="28" t="str">
        <f t="array" ref="AC208">IF($I207="","",XLOOKUP(LOWER(XLOOKUP($B208,Derived_Variables!$A:$A,Derived_Variables!$T:$T,"Standard"))&amp;"_cyl_step",Calibration!$B:$B,Calibration!$C:$C,0.25))</f>
        <v/>
      </c>
      <c r="AD208" s="28" t="str">
        <f t="array" ref="AD208">IF($I207="","",IF(OR(C208="E",C208="H"),LET(startStep,XLOOKUP("axis_start_step",Calibration!$B:$B,Calibration!$C:$C,5),step1,XLOOKUP("axis_reversal_step_1",Calibration!$B:$B,Calibration!$C:$C,3),step2,XLOOKUP("axis_reversal_step_2",Calibration!$B:$B,Calibration!$C:$C,1),IF(OR(C207&lt;&gt;C208,AZ208="",AZ208="SAME",AZ208="CANT_TELL",I208="",I208="SAME",I208="CANT_TELL"),startStep,IF(OR(AND(AZ208="BETTER_1",I208="BETTER_2"),AND(AZ208="BETTER_2",I208="BETTER_1")),IF(AD207&gt;step1,step1,step2),AD207))),0))</f>
        <v/>
      </c>
      <c r="AE208" s="28" t="str">
        <f t="array" ref="AE208">IF($I207="","",XLOOKUP($B208,Derived_Variables!$A:$A,Derived_Variables!$AD:$AD,"No_Fog"))</f>
        <v/>
      </c>
      <c r="AF208" s="28" t="str">
        <f t="array" ref="AF208">IF($I207="","",XLOOKUP($B208,Derived_Variables!$A:$A,Derived_Variables!$AE:$AE,0))</f>
        <v/>
      </c>
      <c r="AG208" s="28" t="str">
        <f t="array" ref="AG208">IF($I207="","",XLOOKUP($B208,Derived_Variables!$A:$A,Derived_Variables!$AF:$AF,""))</f>
        <v/>
      </c>
      <c r="AH208" s="28" t="str">
        <f t="array" ref="AH208">IF($I207="","",XLOOKUP($B208,Derived_Variables!$A:$A,Derived_Variables!$AG:$AG,""))</f>
        <v/>
      </c>
      <c r="AI208" s="28" t="str">
        <f t="array" ref="AI208">IF($I207="","",XLOOKUP($B208,Derived_Variables!$A:$A,Derived_Variables!$AC:$AC,"Medium"))</f>
        <v/>
      </c>
      <c r="AJ208" s="28" t="str">
        <f t="array" ref="AJ208">IF($I207="","",XLOOKUP($B208,Derived_Variables!$A:$A,Derived_Variables!$Y:$Y,FALSE))</f>
        <v/>
      </c>
      <c r="AK208" s="28" t="str">
        <f t="array" ref="AK208">IF($I207="","",XLOOKUP($B208,Derived_Variables!$A:$A,Derived_Variables!$AA:$AA,"Normal"))</f>
        <v/>
      </c>
      <c r="AL208" s="28" t="str">
        <f t="array" ref="AL208">IF($I207="","",XLOOKUP($B208,Derived_Variables!$A:$A,Derived_Variables!$AB:$AB,"Normal"))</f>
        <v/>
      </c>
      <c r="AM208" s="28" t="str">
        <f t="array" ref="AM208">IF($I208="","",IFS(C208="B",IF(OR(I208="NOT_READABLE",I208="BLURRY"),-AB208,0),C208="G",IFS(I208="RED_CLEARER",XLOOKUP("duochrome_red_step",Calibration!$B:$B,Calibration!$C:$C,-0.25),I208="GREEN_CLEARER",XLOOKUP("duochrome_green_step",Calibration!$B:$B,Calibration!$C:$C,0.25),I208="EQUAL",IF(XLOOKUP($B208,Derived_Variables!$A:$A,Derived_Variables!$S:$S,"Neutral")="Undercorrect",XLOOKUP("undercorrect_step",Calibration!$B:$B,Calibration!$C:$C,0.25),IF(XLOOKUP($B208,Derived_Variables!$A:$A,Derived_Variables!$S:$S,"Neutral")="Overcorrect",-XLOOKUP("overcorrect_step",Calibration!$B:$B,Calibration!$C:$C,0.25),0)),TRUE,0),C208="K",IF(I208="TOP_CLEARER",XLOOKUP("bino_balance_step",Calibration!$B:$B,Calibration!$C:$C,0.25),0),TRUE,0))</f>
        <v/>
      </c>
      <c r="AN208" s="28" t="str">
        <f t="shared" si="10"/>
        <v/>
      </c>
      <c r="AO208" s="28" t="str">
        <f t="shared" si="11"/>
        <v/>
      </c>
      <c r="AP208" s="28" t="str">
        <f t="array" ref="AP208">IF($I208="","",IFS(C208="D",IF(OR(I208="NOT_READABLE",I208="BLURRY"),-AB208,0),C208="J",IFS(I208="RED_CLEARER",XLOOKUP("duochrome_red_step",Calibration!$B:$B,Calibration!$C:$C,-0.25),I208="GREEN_CLEARER",XLOOKUP("duochrome_green_step",Calibration!$B:$B,Calibration!$C:$C,0.25),I208="EQUAL",IF(XLOOKUP($B208,Derived_Variables!$A:$A,Derived_Variables!$S:$S,"Neutral")="Undercorrect",XLOOKUP("undercorrect_step",Calibration!$B:$B,Calibration!$C:$C,0.25),IF(XLOOKUP($B208,Derived_Variables!$A:$A,Derived_Variables!$S:$S,"Neutral")="Overcorrect",-XLOOKUP("overcorrect_step",Calibration!$B:$B,Calibration!$C:$C,0.25),0)),TRUE,0),C208="K",IF(I208="BOTTOM_CLEARER",XLOOKUP("bino_balance_step",Calibration!$B:$B,Calibration!$C:$C,0.25),0),TRUE,0))</f>
        <v/>
      </c>
      <c r="AQ208" s="28" t="str">
        <f t="shared" si="12"/>
        <v/>
      </c>
      <c r="AR208" s="28" t="str">
        <f t="shared" si="13"/>
        <v/>
      </c>
      <c r="AS208" s="28" t="str">
        <f t="array" ref="AS208">IF($I208="","",IF(C208="P",IF(OR(I208="NOT_READABLE",I208="BLURRY"),XLOOKUP("near_add_step",Calibration!$B:$B,Calibration!$C:$C,0.25),0),IF(C208="R",IF(I208="NOT_CLEAR",XLOOKUP("near_add_step",Calibration!$B:$B,Calibration!$C:$C,0.25),0),0)))</f>
        <v/>
      </c>
      <c r="AT208" s="28" t="str">
        <f t="array" ref="AT208">IF($I208="","",IF(C208="Q",IF(OR(I208="NOT_READABLE",I208="BLURRY"),XLOOKUP("near_add_step",Calibration!$B:$B,Calibration!$C:$C,0.25),0),IF(C208="R",IF(I208="NOT_CLEAR",XLOOKUP("near_add_step",Calibration!$B:$B,Calibration!$C:$C,0.25),0),0)))</f>
        <v/>
      </c>
      <c r="AU208" s="28" t="str">
        <f t="array" ref="AU208">IF($I208="","",IF(G208="SNELLEN_FEET",IF(I208="READABLE",IFERROR(XLOOKUP(XLOOKUP(R208,Chart_Scale_Distance!B:B,Chart_Scale_Distance!A:A)+1,Chart_Scale_Distance!A:A,Chart_Scale_Distance!B:B),R208),R208),R208))</f>
        <v/>
      </c>
      <c r="AV208" s="28" t="str">
        <f t="array" ref="AV208">IF($I207="","",IFERROR(XLOOKUP(R208,Chart_Scale_Distance!$B:$B,Chart_Scale_Distance!$A:$A,""),""))</f>
        <v/>
      </c>
      <c r="AW208" s="28" t="str">
        <f t="array" ref="AW208">IF($I207="","",IFERROR(XLOOKUP(AA208,Chart_Scale_Distance!$B:$B,Chart_Scale_Distance!$A:$A,""),""))</f>
        <v/>
      </c>
      <c r="AX208" s="28" t="str">
        <f t="shared" si="14"/>
        <v/>
      </c>
      <c r="AY208" s="28" t="str">
        <f t="shared" si="15"/>
        <v/>
      </c>
      <c r="AZ208" s="28" t="str">
        <f t="shared" si="16"/>
        <v/>
      </c>
      <c r="BA208" s="28" t="str">
        <f t="shared" si="17"/>
        <v/>
      </c>
      <c r="BB208" s="28" t="str">
        <f t="shared" si="18"/>
        <v/>
      </c>
      <c r="BC208" s="28" t="str">
        <f t="array" ref="BC208">IF($I208="","",LET(
conf,AI208,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duoMax,XLOOKUP($B208,Derived_Variables!$A:$A,Derived_Variables!$AI:$AI,4),
axisTol,XLOOKUP($B208,Derived_Variables!$A:$A,Derived_Variables!$W:$W,1),
maxStart,XLOOKUP($B208,Derived_Variables!$A:$A,Derived_Variables!$U:$U,1.25),
maxAR,XLOOKUP($B208,Derived_Variables!$A:$A,Derived_Variables!$V:$V,3),
anom,XLOOKUP($B208,Derived_Variables!$A:$A,Derived_Variables!$Z:$Z,FALSE),
reStart,XLOOKUP($B208,Derived_Variables!$A:$A,Derived_Variables!$K:$K,0),
leStart,XLOOKUP($B208,Derived_Variables!$A:$A,Derived_Variables!$N:$N,0),
reAR,XLOOKUP($B208,AR_Input!$A:$A,AR_Input!$B:$B,reStart),
leAR,XLOOKUP($B208,AR_Input!$A:$A,AR_Input!$E:$E,leStart),
reEsc,AND(anom,OR(ABS((S208+AM208)-reStart)&gt;maxStart,ABS((S208+AM208)-reAR)&gt;maxAR)),
leEsc,AND(anom,OR(ABS((V208+AP208)-leStart)&gt;maxStart,ABS((V208+AP208)-leAR)&gt;maxAR)),
phaseMax,IFS(
 AK208="Fast",
   IFS(
     OR(C208="B",C208="D"),XLOOKUP("timeout_coarse_fast",Calibration!$B:$B,Calibration!$C:$C,24),
     OR(C208="E",C208="F",C208="H",C208="I"),XLOOKUP("timeout_jcc_fast",Calibration!$B:$B,Calibration!$C:$C,10),
     OR(C208="G",C208="J"),XLOOKUP("timeout_duochrome_fast",Calibration!$B:$B,Calibration!$C:$C,8),
     C208="K",XLOOKUP("timeout_bino_fast",Calibration!$B:$B,Calibration!$C:$C,10),
     OR(C208="P",C208="Q",C208="R"),XLOOKUP("timeout_near_fast",Calibration!$B:$B,Calibration!$C:$C,16),
     TRUE,XLOOKUP("timeout_coarse_fast",Calibration!$B:$B,Calibration!$C:$C,24)
   ),
 AK208="Normal",
   IFS(
     OR(C208="B",C208="D"),XLOOKUP("timeout_coarse_normal",Calibration!$B:$B,Calibration!$C:$C,36),
     OR(C208="E",C208="F",C208="H",C208="I"),XLOOKUP("timeout_jcc_normal",Calibration!$B:$B,Calibration!$C:$C,14),
     OR(C208="G",C208="J"),XLOOKUP("timeout_duochrome_normal",Calibration!$B:$B,Calibration!$C:$C,10),
     C208="K",XLOOKUP("timeout_bino_normal",Calibration!$B:$B,Calibration!$C:$C,14),
     OR(C208="P",C208="Q",C208="R"),XLOOKUP("timeout_near_normal",Calibration!$B:$B,Calibration!$C:$C,22),
     TRUE,XLOOKUP("timeout_coarse_normal",Calibration!$B:$B,Calibration!$C:$C,36)
   ),
 TRUE,
   IFS(
     OR(C208="B",C208="D"),XLOOKUP("timeout_coarse_slow",Calibration!$B:$B,Calibration!$C:$C,48),
     OR(C208="E",C208="F",C208="H",C208="I"),XLOOKUP("timeout_jcc_slow",Calibration!$B:$B,Calibration!$C:$C,18),
     OR(C208="G",C208="J"),XLOOKUP("timeout_duochrome_slow",Calibration!$B:$B,Calibration!$C:$C,12),
     C208="K",XLOOKUP("timeout_bino_slow",Calibration!$B:$B,Calibration!$C:$C,18),
     OR(C208="P",C208="Q",C208="R"),XLOOKUP("timeout_near_slow",Calibration!$B:$B,Calibration!$C:$C,28),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AJ208=TRUE,"ESCALATE",
C208="A",
IF(OR(I208="NOT_READABLE",I208="BLURRY",AND(R208="20_20_20",I208="READABLE")),"B","A"),
C208="B",
IF(reEsc,"ESCALATE",IF(AY208&gt;=phaseMax,"ESCALATE",IF(AND(AV208&gt;=AW208,I208="READABLE"),"E","B"))),
C208="E",
IF(AY208&gt;=phaseMax,"ESCALATE",IF(OR(I208="SAME",I208="CANT_TELL",AD208&lt;axisTol),"F","E")),
C208="F",
IF(AY208&gt;=phaseMax,"ESCALATE",IF(AX208&gt;=powerSameN,"G","F")),
C208="G",
IF(AY208&gt;=phaseMax,"ESCALATE",IF(OR(AX208&gt;=duoEqualN,BB208&gt;=duoMax),"D","G")),
C208="D",
IF(leEsc,"ESCALATE",IF(AY208&gt;=phaseMax,"ESCALATE",IF(AND(AV208&gt;=AW208,I208="READABLE"),"H","D"))),
C208="H",
IF(AY208&gt;=phaseMax,"ESCALATE",IF(OR(I208="SAME",I208="CANT_TELL",AD208&lt;axisTol),"I","H")),
C208="I",
IF(AY208&gt;=phaseMax,"ESCALATE",IF(AX208&gt;=powerSameN,"J","I")),
C208="J",
IF(AY208&gt;=phaseMax,"ESCALATE",IF(OR(AX208&gt;=duoEqualN,BB208&gt;=duoMax),"K","J")),
C208="K",
IF(AY208&gt;=phaseMax,"ESCALATE",IF(AX208&gt;=binoSameN,IF(XLOOKUP($B208,Derived_Variables!$A:$A,Derived_Variables!$AJ:$AJ,FALSE)=TRUE,"P","END"),"K")),
C208="P",
IF(AY208&gt;=phaseMax,"ESCALATE",IF(OR(I208="READABLE",I208="SAME"),"Q","P")),
C208="Q",
IF(AY208&gt;=phaseMax,"ESCALATE",IF(OR(I208="READABLE",I208="SAME"),"R","Q")),
C208="R",
IF(AY208&gt;=phaseMax,"ESCALATE",IF(OR(I208=nearTarget,I208="SAME"),"END","R")),
TRUE,"END"
)))</f>
        <v/>
      </c>
      <c r="BD208" s="28" t="b">
        <f t="shared" si="19"/>
        <v>0</v>
      </c>
    </row>
    <row r="209" ht="15.75" customHeight="1">
      <c r="A209" s="28">
        <f t="shared" si="3"/>
        <v>208</v>
      </c>
      <c r="B209" s="28">
        <f t="shared" si="4"/>
        <v>6</v>
      </c>
      <c r="C209" s="28" t="str">
        <f t="shared" si="5"/>
        <v/>
      </c>
      <c r="D209" s="28" t="str">
        <f t="array" ref="D209">IF($I208="","",XLOOKUP(C209,FSM_State_Map!A:A,FSM_State_Map!B:B,""))</f>
        <v/>
      </c>
      <c r="E209" s="28" t="str">
        <f t="array" ref="E209">IF($I208="","",XLOOKUP(C209,FSM_State_Map!A:A,FSM_State_Map!C:C,""))</f>
        <v/>
      </c>
      <c r="F209" s="28" t="str">
        <f t="array" ref="F209">IF($I208="","",XLOOKUP(E209,Phase_UI_Map!A:A,Phase_UI_Map!B:B,""))</f>
        <v/>
      </c>
      <c r="G209" s="28" t="str">
        <f t="array" ref="G209">IF($I208="","",XLOOKUP(E209,Phase_UI_Map!A:A,Phase_UI_Map!C:C,""))</f>
        <v/>
      </c>
      <c r="H209" s="28" t="str">
        <f t="array" ref="H209">IF($I208="","",XLOOKUP(E209,Phase_UI_Map!A:A,Phase_UI_Map!D:D,""))</f>
        <v/>
      </c>
      <c r="I209" s="29"/>
      <c r="J209" s="28" t="str">
        <f>IFERROR(__xludf.DUMMYFUNCTION("IF($I208="""","""",IFERROR(INDEX(FILTER(Response_Lists!$B:$B,Response_Lists!$A:$A=$H209),1),""""))"),"")</f>
        <v/>
      </c>
      <c r="K209" s="28" t="str">
        <f>IFERROR(__xludf.DUMMYFUNCTION("IF($I208="""","""",IFERROR(INDEX(FILTER(Response_Lists!$B:$B,Response_Lists!$A:$A=$H209),2),""""))"),"")</f>
        <v/>
      </c>
      <c r="L209" s="28" t="str">
        <f>IFERROR(__xludf.DUMMYFUNCTION("IF($I208="""","""",IFERROR(INDEX(FILTER(Response_Lists!$B:$B,Response_Lists!$A:$A=$H209),3),""""))"),"")</f>
        <v/>
      </c>
      <c r="M209" s="28" t="str">
        <f>IFERROR(__xludf.DUMMYFUNCTION("IF($I208="""","""",IFERROR(INDEX(FILTER(Response_Lists!$B:$B,Response_Lists!$A:$A=$H209),4),""""))"),"")</f>
        <v/>
      </c>
      <c r="N209" s="28" t="str">
        <f>IFERROR(__xludf.DUMMYFUNCTION("IF($I208="""","""",IFERROR(INDEX(FILTER(Response_Lists!$B:$B,Response_Lists!$A:$A=$H209),5),""""))"),"")</f>
        <v/>
      </c>
      <c r="O209" s="28" t="str">
        <f>IFERROR(__xludf.DUMMYFUNCTION("IF($I208="""","""",IFERROR(INDEX(FILTER(Response_Lists!$B:$B,Response_Lists!$A:$A=$H209),6),""""))"),"")</f>
        <v/>
      </c>
      <c r="P209" s="28" t="str">
        <f t="shared" si="6"/>
        <v/>
      </c>
      <c r="Q209" s="28" t="str">
        <f t="array" ref="Q209">IF($I208="","",XLOOKUP(C209,FSM_State_Map!A:A,FSM_State_Map!D:D,""))</f>
        <v/>
      </c>
      <c r="R209" s="28" t="str">
        <f t="shared" si="7"/>
        <v/>
      </c>
      <c r="S209" s="28" t="str">
        <f t="array" ref="S209">IF($I208="","",
IF(
  AND(C209="B",C208&lt;&gt;"B"),
  XLOOKUP($B209,Derived_Variables!$A:$A,Derived_Variables!$K:$K,0)
  + XLOOKUP($B209,Derived_Variables!$A:$A,Derived_Variables!$AE:$AE,0),
  S208+AM208
))</f>
        <v/>
      </c>
      <c r="T209" s="28" t="str">
        <f t="shared" ref="T209:U209" si="428">IF($I208="","",T208+AN208)</f>
        <v/>
      </c>
      <c r="U209" s="28" t="str">
        <f t="shared" si="428"/>
        <v/>
      </c>
      <c r="V209" s="28" t="str">
        <f t="array" ref="V209">IF($I208="","",
IF(
  AND(C209="D",C208&lt;&gt;"D"),
  XLOOKUP($B209,Derived_Variables!$A:$A,Derived_Variables!$N:$N,0)
  + XLOOKUP($B209,Derived_Variables!$A:$A,Derived_Variables!$AE:$AE,0),
  V208+AP208
))</f>
        <v/>
      </c>
      <c r="W209" s="28" t="str">
        <f t="shared" ref="W209:X209" si="429">IF($I208="","",W208+AQ208)</f>
        <v/>
      </c>
      <c r="X209" s="28" t="str">
        <f t="shared" si="429"/>
        <v/>
      </c>
      <c r="Y209" s="28" t="str">
        <f t="array" ref="Y209">IF($I208="","",IF(AND(C209="P",C208&lt;&gt;"P"),IFERROR(XLOOKUP($B209,Lenso_Input!$A:$A,Lenso_Input!$E:$E,0),0),Y208+AS208))</f>
        <v/>
      </c>
      <c r="Z209" s="28" t="str">
        <f t="array" ref="Z209">IF($I208="","",IF(AND(C209="Q",C208&lt;&gt;"Q"),IFERROR(XLOOKUP($B209,Lenso_Input!$A:$A,Lenso_Input!$I:$I,0),0),Z208+AT208))</f>
        <v/>
      </c>
      <c r="AA209" s="28" t="str">
        <f t="array" ref="AA209">IF($I208="","",IF(XLOOKUP($B209,Derived_Variables!$A:$A,Derived_Variables!$R:$R,"6/6_target")="6/6_target","20_20_20","40_30_25"))</f>
        <v/>
      </c>
      <c r="AB209" s="28" t="str">
        <f t="array" ref="AB209">IF($I208="","",XLOOKUP(LOWER(XLOOKUP($B209,Derived_Variables!$A:$A,Derived_Variables!$T:$T,"Standard"))&amp;"_sph_step",Calibration!$B:$B,Calibration!$C:$C,0.25))</f>
        <v/>
      </c>
      <c r="AC209" s="28" t="str">
        <f t="array" ref="AC209">IF($I208="","",XLOOKUP(LOWER(XLOOKUP($B209,Derived_Variables!$A:$A,Derived_Variables!$T:$T,"Standard"))&amp;"_cyl_step",Calibration!$B:$B,Calibration!$C:$C,0.25))</f>
        <v/>
      </c>
      <c r="AD209" s="28" t="str">
        <f t="array" ref="AD209">IF($I208="","",IF(OR(C209="E",C209="H"),LET(startStep,XLOOKUP("axis_start_step",Calibration!$B:$B,Calibration!$C:$C,5),step1,XLOOKUP("axis_reversal_step_1",Calibration!$B:$B,Calibration!$C:$C,3),step2,XLOOKUP("axis_reversal_step_2",Calibration!$B:$B,Calibration!$C:$C,1),IF(OR(C208&lt;&gt;C209,AZ209="",AZ209="SAME",AZ209="CANT_TELL",I209="",I209="SAME",I209="CANT_TELL"),startStep,IF(OR(AND(AZ209="BETTER_1",I209="BETTER_2"),AND(AZ209="BETTER_2",I209="BETTER_1")),IF(AD208&gt;step1,step1,step2),AD208))),0))</f>
        <v/>
      </c>
      <c r="AE209" s="28" t="str">
        <f t="array" ref="AE209">IF($I208="","",XLOOKUP($B209,Derived_Variables!$A:$A,Derived_Variables!$AD:$AD,"No_Fog"))</f>
        <v/>
      </c>
      <c r="AF209" s="28" t="str">
        <f t="array" ref="AF209">IF($I208="","",XLOOKUP($B209,Derived_Variables!$A:$A,Derived_Variables!$AE:$AE,0))</f>
        <v/>
      </c>
      <c r="AG209" s="28" t="str">
        <f t="array" ref="AG209">IF($I208="","",XLOOKUP($B209,Derived_Variables!$A:$A,Derived_Variables!$AF:$AF,""))</f>
        <v/>
      </c>
      <c r="AH209" s="28" t="str">
        <f t="array" ref="AH209">IF($I208="","",XLOOKUP($B209,Derived_Variables!$A:$A,Derived_Variables!$AG:$AG,""))</f>
        <v/>
      </c>
      <c r="AI209" s="28" t="str">
        <f t="array" ref="AI209">IF($I208="","",XLOOKUP($B209,Derived_Variables!$A:$A,Derived_Variables!$AC:$AC,"Medium"))</f>
        <v/>
      </c>
      <c r="AJ209" s="28" t="str">
        <f t="array" ref="AJ209">IF($I208="","",XLOOKUP($B209,Derived_Variables!$A:$A,Derived_Variables!$Y:$Y,FALSE))</f>
        <v/>
      </c>
      <c r="AK209" s="28" t="str">
        <f t="array" ref="AK209">IF($I208="","",XLOOKUP($B209,Derived_Variables!$A:$A,Derived_Variables!$AA:$AA,"Normal"))</f>
        <v/>
      </c>
      <c r="AL209" s="28" t="str">
        <f t="array" ref="AL209">IF($I208="","",XLOOKUP($B209,Derived_Variables!$A:$A,Derived_Variables!$AB:$AB,"Normal"))</f>
        <v/>
      </c>
      <c r="AM209" s="28" t="str">
        <f t="array" ref="AM209">IF($I209="","",IFS(C209="B",IF(OR(I209="NOT_READABLE",I209="BLURRY"),-AB209,0),C209="G",IFS(I209="RED_CLEARER",XLOOKUP("duochrome_red_step",Calibration!$B:$B,Calibration!$C:$C,-0.25),I209="GREEN_CLEARER",XLOOKUP("duochrome_green_step",Calibration!$B:$B,Calibration!$C:$C,0.25),I209="EQUAL",IF(XLOOKUP($B209,Derived_Variables!$A:$A,Derived_Variables!$S:$S,"Neutral")="Undercorrect",XLOOKUP("undercorrect_step",Calibration!$B:$B,Calibration!$C:$C,0.25),IF(XLOOKUP($B209,Derived_Variables!$A:$A,Derived_Variables!$S:$S,"Neutral")="Overcorrect",-XLOOKUP("overcorrect_step",Calibration!$B:$B,Calibration!$C:$C,0.25),0)),TRUE,0),C209="K",IF(I209="TOP_CLEARER",XLOOKUP("bino_balance_step",Calibration!$B:$B,Calibration!$C:$C,0.25),0),TRUE,0))</f>
        <v/>
      </c>
      <c r="AN209" s="28" t="str">
        <f t="shared" si="10"/>
        <v/>
      </c>
      <c r="AO209" s="28" t="str">
        <f t="shared" si="11"/>
        <v/>
      </c>
      <c r="AP209" s="28" t="str">
        <f t="array" ref="AP209">IF($I209="","",IFS(C209="D",IF(OR(I209="NOT_READABLE",I209="BLURRY"),-AB209,0),C209="J",IFS(I209="RED_CLEARER",XLOOKUP("duochrome_red_step",Calibration!$B:$B,Calibration!$C:$C,-0.25),I209="GREEN_CLEARER",XLOOKUP("duochrome_green_step",Calibration!$B:$B,Calibration!$C:$C,0.25),I209="EQUAL",IF(XLOOKUP($B209,Derived_Variables!$A:$A,Derived_Variables!$S:$S,"Neutral")="Undercorrect",XLOOKUP("undercorrect_step",Calibration!$B:$B,Calibration!$C:$C,0.25),IF(XLOOKUP($B209,Derived_Variables!$A:$A,Derived_Variables!$S:$S,"Neutral")="Overcorrect",-XLOOKUP("overcorrect_step",Calibration!$B:$B,Calibration!$C:$C,0.25),0)),TRUE,0),C209="K",IF(I209="BOTTOM_CLEARER",XLOOKUP("bino_balance_step",Calibration!$B:$B,Calibration!$C:$C,0.25),0),TRUE,0))</f>
        <v/>
      </c>
      <c r="AQ209" s="28" t="str">
        <f t="shared" si="12"/>
        <v/>
      </c>
      <c r="AR209" s="28" t="str">
        <f t="shared" si="13"/>
        <v/>
      </c>
      <c r="AS209" s="28" t="str">
        <f t="array" ref="AS209">IF($I209="","",IF(C209="P",IF(OR(I209="NOT_READABLE",I209="BLURRY"),XLOOKUP("near_add_step",Calibration!$B:$B,Calibration!$C:$C,0.25),0),IF(C209="R",IF(I209="NOT_CLEAR",XLOOKUP("near_add_step",Calibration!$B:$B,Calibration!$C:$C,0.25),0),0)))</f>
        <v/>
      </c>
      <c r="AT209" s="28" t="str">
        <f t="array" ref="AT209">IF($I209="","",IF(C209="Q",IF(OR(I209="NOT_READABLE",I209="BLURRY"),XLOOKUP("near_add_step",Calibration!$B:$B,Calibration!$C:$C,0.25),0),IF(C209="R",IF(I209="NOT_CLEAR",XLOOKUP("near_add_step",Calibration!$B:$B,Calibration!$C:$C,0.25),0),0)))</f>
        <v/>
      </c>
      <c r="AU209" s="28" t="str">
        <f t="array" ref="AU209">IF($I209="","",IF(G209="SNELLEN_FEET",IF(I209="READABLE",IFERROR(XLOOKUP(XLOOKUP(R209,Chart_Scale_Distance!B:B,Chart_Scale_Distance!A:A)+1,Chart_Scale_Distance!A:A,Chart_Scale_Distance!B:B),R209),R209),R209))</f>
        <v/>
      </c>
      <c r="AV209" s="28" t="str">
        <f t="array" ref="AV209">IF($I208="","",IFERROR(XLOOKUP(R209,Chart_Scale_Distance!$B:$B,Chart_Scale_Distance!$A:$A,""),""))</f>
        <v/>
      </c>
      <c r="AW209" s="28" t="str">
        <f t="array" ref="AW209">IF($I208="","",IFERROR(XLOOKUP(AA209,Chart_Scale_Distance!$B:$B,Chart_Scale_Distance!$A:$A,""),""))</f>
        <v/>
      </c>
      <c r="AX209" s="28" t="str">
        <f t="shared" si="14"/>
        <v/>
      </c>
      <c r="AY209" s="28" t="str">
        <f t="shared" si="15"/>
        <v/>
      </c>
      <c r="AZ209" s="28" t="str">
        <f t="shared" si="16"/>
        <v/>
      </c>
      <c r="BA209" s="28" t="str">
        <f t="shared" si="17"/>
        <v/>
      </c>
      <c r="BB209" s="28" t="str">
        <f t="shared" si="18"/>
        <v/>
      </c>
      <c r="BC209" s="28" t="str">
        <f t="array" ref="BC209">IF($I209="","",LET(
conf,AI209,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duoMax,XLOOKUP($B209,Derived_Variables!$A:$A,Derived_Variables!$AI:$AI,4),
axisTol,XLOOKUP($B209,Derived_Variables!$A:$A,Derived_Variables!$W:$W,1),
maxStart,XLOOKUP($B209,Derived_Variables!$A:$A,Derived_Variables!$U:$U,1.25),
maxAR,XLOOKUP($B209,Derived_Variables!$A:$A,Derived_Variables!$V:$V,3),
anom,XLOOKUP($B209,Derived_Variables!$A:$A,Derived_Variables!$Z:$Z,FALSE),
reStart,XLOOKUP($B209,Derived_Variables!$A:$A,Derived_Variables!$K:$K,0),
leStart,XLOOKUP($B209,Derived_Variables!$A:$A,Derived_Variables!$N:$N,0),
reAR,XLOOKUP($B209,AR_Input!$A:$A,AR_Input!$B:$B,reStart),
leAR,XLOOKUP($B209,AR_Input!$A:$A,AR_Input!$E:$E,leStart),
reEsc,AND(anom,OR(ABS((S209+AM209)-reStart)&gt;maxStart,ABS((S209+AM209)-reAR)&gt;maxAR)),
leEsc,AND(anom,OR(ABS((V209+AP209)-leStart)&gt;maxStart,ABS((V209+AP209)-leAR)&gt;maxAR)),
phaseMax,IFS(
 AK209="Fast",
   IFS(
     OR(C209="B",C209="D"),XLOOKUP("timeout_coarse_fast",Calibration!$B:$B,Calibration!$C:$C,24),
     OR(C209="E",C209="F",C209="H",C209="I"),XLOOKUP("timeout_jcc_fast",Calibration!$B:$B,Calibration!$C:$C,10),
     OR(C209="G",C209="J"),XLOOKUP("timeout_duochrome_fast",Calibration!$B:$B,Calibration!$C:$C,8),
     C209="K",XLOOKUP("timeout_bino_fast",Calibration!$B:$B,Calibration!$C:$C,10),
     OR(C209="P",C209="Q",C209="R"),XLOOKUP("timeout_near_fast",Calibration!$B:$B,Calibration!$C:$C,16),
     TRUE,XLOOKUP("timeout_coarse_fast",Calibration!$B:$B,Calibration!$C:$C,24)
   ),
 AK209="Normal",
   IFS(
     OR(C209="B",C209="D"),XLOOKUP("timeout_coarse_normal",Calibration!$B:$B,Calibration!$C:$C,36),
     OR(C209="E",C209="F",C209="H",C209="I"),XLOOKUP("timeout_jcc_normal",Calibration!$B:$B,Calibration!$C:$C,14),
     OR(C209="G",C209="J"),XLOOKUP("timeout_duochrome_normal",Calibration!$B:$B,Calibration!$C:$C,10),
     C209="K",XLOOKUP("timeout_bino_normal",Calibration!$B:$B,Calibration!$C:$C,14),
     OR(C209="P",C209="Q",C209="R"),XLOOKUP("timeout_near_normal",Calibration!$B:$B,Calibration!$C:$C,22),
     TRUE,XLOOKUP("timeout_coarse_normal",Calibration!$B:$B,Calibration!$C:$C,36)
   ),
 TRUE,
   IFS(
     OR(C209="B",C209="D"),XLOOKUP("timeout_coarse_slow",Calibration!$B:$B,Calibration!$C:$C,48),
     OR(C209="E",C209="F",C209="H",C209="I"),XLOOKUP("timeout_jcc_slow",Calibration!$B:$B,Calibration!$C:$C,18),
     OR(C209="G",C209="J"),XLOOKUP("timeout_duochrome_slow",Calibration!$B:$B,Calibration!$C:$C,12),
     C209="K",XLOOKUP("timeout_bino_slow",Calibration!$B:$B,Calibration!$C:$C,18),
     OR(C209="P",C209="Q",C209="R"),XLOOKUP("timeout_near_slow",Calibration!$B:$B,Calibration!$C:$C,28),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AJ209=TRUE,"ESCALATE",
C209="A",
IF(OR(I209="NOT_READABLE",I209="BLURRY",AND(R209="20_20_20",I209="READABLE")),"B","A"),
C209="B",
IF(reEsc,"ESCALATE",IF(AY209&gt;=phaseMax,"ESCALATE",IF(AND(AV209&gt;=AW209,I209="READABLE"),"E","B"))),
C209="E",
IF(AY209&gt;=phaseMax,"ESCALATE",IF(OR(I209="SAME",I209="CANT_TELL",AD209&lt;axisTol),"F","E")),
C209="F",
IF(AY209&gt;=phaseMax,"ESCALATE",IF(AX209&gt;=powerSameN,"G","F")),
C209="G",
IF(AY209&gt;=phaseMax,"ESCALATE",IF(OR(AX209&gt;=duoEqualN,BB209&gt;=duoMax),"D","G")),
C209="D",
IF(leEsc,"ESCALATE",IF(AY209&gt;=phaseMax,"ESCALATE",IF(AND(AV209&gt;=AW209,I209="READABLE"),"H","D"))),
C209="H",
IF(AY209&gt;=phaseMax,"ESCALATE",IF(OR(I209="SAME",I209="CANT_TELL",AD209&lt;axisTol),"I","H")),
C209="I",
IF(AY209&gt;=phaseMax,"ESCALATE",IF(AX209&gt;=powerSameN,"J","I")),
C209="J",
IF(AY209&gt;=phaseMax,"ESCALATE",IF(OR(AX209&gt;=duoEqualN,BB209&gt;=duoMax),"K","J")),
C209="K",
IF(AY209&gt;=phaseMax,"ESCALATE",IF(AX209&gt;=binoSameN,IF(XLOOKUP($B209,Derived_Variables!$A:$A,Derived_Variables!$AJ:$AJ,FALSE)=TRUE,"P","END"),"K")),
C209="P",
IF(AY209&gt;=phaseMax,"ESCALATE",IF(OR(I209="READABLE",I209="SAME"),"Q","P")),
C209="Q",
IF(AY209&gt;=phaseMax,"ESCALATE",IF(OR(I209="READABLE",I209="SAME"),"R","Q")),
C209="R",
IF(AY209&gt;=phaseMax,"ESCALATE",IF(OR(I209=nearTarget,I209="SAME"),"END","R")),
TRUE,"END"
)))</f>
        <v/>
      </c>
      <c r="BD209" s="28" t="b">
        <f t="shared" si="19"/>
        <v>0</v>
      </c>
    </row>
    <row r="210" ht="15.75" customHeight="1">
      <c r="A210" s="28">
        <f t="shared" si="3"/>
        <v>209</v>
      </c>
      <c r="B210" s="28">
        <f t="shared" si="4"/>
        <v>6</v>
      </c>
      <c r="C210" s="28" t="str">
        <f t="shared" si="5"/>
        <v/>
      </c>
      <c r="D210" s="28" t="str">
        <f t="array" ref="D210">IF($I209="","",XLOOKUP(C210,FSM_State_Map!A:A,FSM_State_Map!B:B,""))</f>
        <v/>
      </c>
      <c r="E210" s="28" t="str">
        <f t="array" ref="E210">IF($I209="","",XLOOKUP(C210,FSM_State_Map!A:A,FSM_State_Map!C:C,""))</f>
        <v/>
      </c>
      <c r="F210" s="28" t="str">
        <f t="array" ref="F210">IF($I209="","",XLOOKUP(E210,Phase_UI_Map!A:A,Phase_UI_Map!B:B,""))</f>
        <v/>
      </c>
      <c r="G210" s="28" t="str">
        <f t="array" ref="G210">IF($I209="","",XLOOKUP(E210,Phase_UI_Map!A:A,Phase_UI_Map!C:C,""))</f>
        <v/>
      </c>
      <c r="H210" s="28" t="str">
        <f t="array" ref="H210">IF($I209="","",XLOOKUP(E210,Phase_UI_Map!A:A,Phase_UI_Map!D:D,""))</f>
        <v/>
      </c>
      <c r="I210" s="29"/>
      <c r="J210" s="28" t="str">
        <f>IFERROR(__xludf.DUMMYFUNCTION("IF($I209="""","""",IFERROR(INDEX(FILTER(Response_Lists!$B:$B,Response_Lists!$A:$A=$H210),1),""""))"),"")</f>
        <v/>
      </c>
      <c r="K210" s="28" t="str">
        <f>IFERROR(__xludf.DUMMYFUNCTION("IF($I209="""","""",IFERROR(INDEX(FILTER(Response_Lists!$B:$B,Response_Lists!$A:$A=$H210),2),""""))"),"")</f>
        <v/>
      </c>
      <c r="L210" s="28" t="str">
        <f>IFERROR(__xludf.DUMMYFUNCTION("IF($I209="""","""",IFERROR(INDEX(FILTER(Response_Lists!$B:$B,Response_Lists!$A:$A=$H210),3),""""))"),"")</f>
        <v/>
      </c>
      <c r="M210" s="28" t="str">
        <f>IFERROR(__xludf.DUMMYFUNCTION("IF($I209="""","""",IFERROR(INDEX(FILTER(Response_Lists!$B:$B,Response_Lists!$A:$A=$H210),4),""""))"),"")</f>
        <v/>
      </c>
      <c r="N210" s="28" t="str">
        <f>IFERROR(__xludf.DUMMYFUNCTION("IF($I209="""","""",IFERROR(INDEX(FILTER(Response_Lists!$B:$B,Response_Lists!$A:$A=$H210),5),""""))"),"")</f>
        <v/>
      </c>
      <c r="O210" s="28" t="str">
        <f>IFERROR(__xludf.DUMMYFUNCTION("IF($I209="""","""",IFERROR(INDEX(FILTER(Response_Lists!$B:$B,Response_Lists!$A:$A=$H210),6),""""))"),"")</f>
        <v/>
      </c>
      <c r="P210" s="28" t="str">
        <f t="shared" si="6"/>
        <v/>
      </c>
      <c r="Q210" s="28" t="str">
        <f t="array" ref="Q210">IF($I209="","",XLOOKUP(C210,FSM_State_Map!A:A,FSM_State_Map!D:D,""))</f>
        <v/>
      </c>
      <c r="R210" s="28" t="str">
        <f t="shared" si="7"/>
        <v/>
      </c>
      <c r="S210" s="28" t="str">
        <f t="array" ref="S210">IF($I209="","",
IF(
  AND(C210="B",C209&lt;&gt;"B"),
  XLOOKUP($B210,Derived_Variables!$A:$A,Derived_Variables!$K:$K,0)
  + XLOOKUP($B210,Derived_Variables!$A:$A,Derived_Variables!$AE:$AE,0),
  S209+AM209
))</f>
        <v/>
      </c>
      <c r="T210" s="28" t="str">
        <f t="shared" ref="T210:U210" si="430">IF($I209="","",T209+AN209)</f>
        <v/>
      </c>
      <c r="U210" s="28" t="str">
        <f t="shared" si="430"/>
        <v/>
      </c>
      <c r="V210" s="28" t="str">
        <f t="array" ref="V210">IF($I209="","",
IF(
  AND(C210="D",C209&lt;&gt;"D"),
  XLOOKUP($B210,Derived_Variables!$A:$A,Derived_Variables!$N:$N,0)
  + XLOOKUP($B210,Derived_Variables!$A:$A,Derived_Variables!$AE:$AE,0),
  V209+AP209
))</f>
        <v/>
      </c>
      <c r="W210" s="28" t="str">
        <f t="shared" ref="W210:X210" si="431">IF($I209="","",W209+AQ209)</f>
        <v/>
      </c>
      <c r="X210" s="28" t="str">
        <f t="shared" si="431"/>
        <v/>
      </c>
      <c r="Y210" s="28" t="str">
        <f t="array" ref="Y210">IF($I209="","",IF(AND(C210="P",C209&lt;&gt;"P"),IFERROR(XLOOKUP($B210,Lenso_Input!$A:$A,Lenso_Input!$E:$E,0),0),Y209+AS209))</f>
        <v/>
      </c>
      <c r="Z210" s="28" t="str">
        <f t="array" ref="Z210">IF($I209="","",IF(AND(C210="Q",C209&lt;&gt;"Q"),IFERROR(XLOOKUP($B210,Lenso_Input!$A:$A,Lenso_Input!$I:$I,0),0),Z209+AT209))</f>
        <v/>
      </c>
      <c r="AA210" s="28" t="str">
        <f t="array" ref="AA210">IF($I209="","",IF(XLOOKUP($B210,Derived_Variables!$A:$A,Derived_Variables!$R:$R,"6/6_target")="6/6_target","20_20_20","40_30_25"))</f>
        <v/>
      </c>
      <c r="AB210" s="28" t="str">
        <f t="array" ref="AB210">IF($I209="","",XLOOKUP(LOWER(XLOOKUP($B210,Derived_Variables!$A:$A,Derived_Variables!$T:$T,"Standard"))&amp;"_sph_step",Calibration!$B:$B,Calibration!$C:$C,0.25))</f>
        <v/>
      </c>
      <c r="AC210" s="28" t="str">
        <f t="array" ref="AC210">IF($I209="","",XLOOKUP(LOWER(XLOOKUP($B210,Derived_Variables!$A:$A,Derived_Variables!$T:$T,"Standard"))&amp;"_cyl_step",Calibration!$B:$B,Calibration!$C:$C,0.25))</f>
        <v/>
      </c>
      <c r="AD210" s="28" t="str">
        <f t="array" ref="AD210">IF($I209="","",IF(OR(C210="E",C210="H"),LET(startStep,XLOOKUP("axis_start_step",Calibration!$B:$B,Calibration!$C:$C,5),step1,XLOOKUP("axis_reversal_step_1",Calibration!$B:$B,Calibration!$C:$C,3),step2,XLOOKUP("axis_reversal_step_2",Calibration!$B:$B,Calibration!$C:$C,1),IF(OR(C209&lt;&gt;C210,AZ210="",AZ210="SAME",AZ210="CANT_TELL",I210="",I210="SAME",I210="CANT_TELL"),startStep,IF(OR(AND(AZ210="BETTER_1",I210="BETTER_2"),AND(AZ210="BETTER_2",I210="BETTER_1")),IF(AD209&gt;step1,step1,step2),AD209))),0))</f>
        <v/>
      </c>
      <c r="AE210" s="28" t="str">
        <f t="array" ref="AE210">IF($I209="","",XLOOKUP($B210,Derived_Variables!$A:$A,Derived_Variables!$AD:$AD,"No_Fog"))</f>
        <v/>
      </c>
      <c r="AF210" s="28" t="str">
        <f t="array" ref="AF210">IF($I209="","",XLOOKUP($B210,Derived_Variables!$A:$A,Derived_Variables!$AE:$AE,0))</f>
        <v/>
      </c>
      <c r="AG210" s="28" t="str">
        <f t="array" ref="AG210">IF($I209="","",XLOOKUP($B210,Derived_Variables!$A:$A,Derived_Variables!$AF:$AF,""))</f>
        <v/>
      </c>
      <c r="AH210" s="28" t="str">
        <f t="array" ref="AH210">IF($I209="","",XLOOKUP($B210,Derived_Variables!$A:$A,Derived_Variables!$AG:$AG,""))</f>
        <v/>
      </c>
      <c r="AI210" s="28" t="str">
        <f t="array" ref="AI210">IF($I209="","",XLOOKUP($B210,Derived_Variables!$A:$A,Derived_Variables!$AC:$AC,"Medium"))</f>
        <v/>
      </c>
      <c r="AJ210" s="28" t="str">
        <f t="array" ref="AJ210">IF($I209="","",XLOOKUP($B210,Derived_Variables!$A:$A,Derived_Variables!$Y:$Y,FALSE))</f>
        <v/>
      </c>
      <c r="AK210" s="28" t="str">
        <f t="array" ref="AK210">IF($I209="","",XLOOKUP($B210,Derived_Variables!$A:$A,Derived_Variables!$AA:$AA,"Normal"))</f>
        <v/>
      </c>
      <c r="AL210" s="28" t="str">
        <f t="array" ref="AL210">IF($I209="","",XLOOKUP($B210,Derived_Variables!$A:$A,Derived_Variables!$AB:$AB,"Normal"))</f>
        <v/>
      </c>
      <c r="AM210" s="28" t="str">
        <f t="array" ref="AM210">IF($I210="","",IFS(C210="B",IF(OR(I210="NOT_READABLE",I210="BLURRY"),-AB210,0),C210="G",IFS(I210="RED_CLEARER",XLOOKUP("duochrome_red_step",Calibration!$B:$B,Calibration!$C:$C,-0.25),I210="GREEN_CLEARER",XLOOKUP("duochrome_green_step",Calibration!$B:$B,Calibration!$C:$C,0.25),I210="EQUAL",IF(XLOOKUP($B210,Derived_Variables!$A:$A,Derived_Variables!$S:$S,"Neutral")="Undercorrect",XLOOKUP("undercorrect_step",Calibration!$B:$B,Calibration!$C:$C,0.25),IF(XLOOKUP($B210,Derived_Variables!$A:$A,Derived_Variables!$S:$S,"Neutral")="Overcorrect",-XLOOKUP("overcorrect_step",Calibration!$B:$B,Calibration!$C:$C,0.25),0)),TRUE,0),C210="K",IF(I210="TOP_CLEARER",XLOOKUP("bino_balance_step",Calibration!$B:$B,Calibration!$C:$C,0.25),0),TRUE,0))</f>
        <v/>
      </c>
      <c r="AN210" s="28" t="str">
        <f t="shared" si="10"/>
        <v/>
      </c>
      <c r="AO210" s="28" t="str">
        <f t="shared" si="11"/>
        <v/>
      </c>
      <c r="AP210" s="28" t="str">
        <f t="array" ref="AP210">IF($I210="","",IFS(C210="D",IF(OR(I210="NOT_READABLE",I210="BLURRY"),-AB210,0),C210="J",IFS(I210="RED_CLEARER",XLOOKUP("duochrome_red_step",Calibration!$B:$B,Calibration!$C:$C,-0.25),I210="GREEN_CLEARER",XLOOKUP("duochrome_green_step",Calibration!$B:$B,Calibration!$C:$C,0.25),I210="EQUAL",IF(XLOOKUP($B210,Derived_Variables!$A:$A,Derived_Variables!$S:$S,"Neutral")="Undercorrect",XLOOKUP("undercorrect_step",Calibration!$B:$B,Calibration!$C:$C,0.25),IF(XLOOKUP($B210,Derived_Variables!$A:$A,Derived_Variables!$S:$S,"Neutral")="Overcorrect",-XLOOKUP("overcorrect_step",Calibration!$B:$B,Calibration!$C:$C,0.25),0)),TRUE,0),C210="K",IF(I210="BOTTOM_CLEARER",XLOOKUP("bino_balance_step",Calibration!$B:$B,Calibration!$C:$C,0.25),0),TRUE,0))</f>
        <v/>
      </c>
      <c r="AQ210" s="28" t="str">
        <f t="shared" si="12"/>
        <v/>
      </c>
      <c r="AR210" s="28" t="str">
        <f t="shared" si="13"/>
        <v/>
      </c>
      <c r="AS210" s="28" t="str">
        <f t="array" ref="AS210">IF($I210="","",IF(C210="P",IF(OR(I210="NOT_READABLE",I210="BLURRY"),XLOOKUP("near_add_step",Calibration!$B:$B,Calibration!$C:$C,0.25),0),IF(C210="R",IF(I210="NOT_CLEAR",XLOOKUP("near_add_step",Calibration!$B:$B,Calibration!$C:$C,0.25),0),0)))</f>
        <v/>
      </c>
      <c r="AT210" s="28" t="str">
        <f t="array" ref="AT210">IF($I210="","",IF(C210="Q",IF(OR(I210="NOT_READABLE",I210="BLURRY"),XLOOKUP("near_add_step",Calibration!$B:$B,Calibration!$C:$C,0.25),0),IF(C210="R",IF(I210="NOT_CLEAR",XLOOKUP("near_add_step",Calibration!$B:$B,Calibration!$C:$C,0.25),0),0)))</f>
        <v/>
      </c>
      <c r="AU210" s="28" t="str">
        <f t="array" ref="AU210">IF($I210="","",IF(G210="SNELLEN_FEET",IF(I210="READABLE",IFERROR(XLOOKUP(XLOOKUP(R210,Chart_Scale_Distance!B:B,Chart_Scale_Distance!A:A)+1,Chart_Scale_Distance!A:A,Chart_Scale_Distance!B:B),R210),R210),R210))</f>
        <v/>
      </c>
      <c r="AV210" s="28" t="str">
        <f t="array" ref="AV210">IF($I209="","",IFERROR(XLOOKUP(R210,Chart_Scale_Distance!$B:$B,Chart_Scale_Distance!$A:$A,""),""))</f>
        <v/>
      </c>
      <c r="AW210" s="28" t="str">
        <f t="array" ref="AW210">IF($I209="","",IFERROR(XLOOKUP(AA210,Chart_Scale_Distance!$B:$B,Chart_Scale_Distance!$A:$A,""),""))</f>
        <v/>
      </c>
      <c r="AX210" s="28" t="str">
        <f t="shared" si="14"/>
        <v/>
      </c>
      <c r="AY210" s="28" t="str">
        <f t="shared" si="15"/>
        <v/>
      </c>
      <c r="AZ210" s="28" t="str">
        <f t="shared" si="16"/>
        <v/>
      </c>
      <c r="BA210" s="28" t="str">
        <f t="shared" si="17"/>
        <v/>
      </c>
      <c r="BB210" s="28" t="str">
        <f t="shared" si="18"/>
        <v/>
      </c>
      <c r="BC210" s="28" t="str">
        <f t="array" ref="BC210">IF($I210="","",LET(
conf,AI210,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duoMax,XLOOKUP($B210,Derived_Variables!$A:$A,Derived_Variables!$AI:$AI,4),
axisTol,XLOOKUP($B210,Derived_Variables!$A:$A,Derived_Variables!$W:$W,1),
maxStart,XLOOKUP($B210,Derived_Variables!$A:$A,Derived_Variables!$U:$U,1.25),
maxAR,XLOOKUP($B210,Derived_Variables!$A:$A,Derived_Variables!$V:$V,3),
anom,XLOOKUP($B210,Derived_Variables!$A:$A,Derived_Variables!$Z:$Z,FALSE),
reStart,XLOOKUP($B210,Derived_Variables!$A:$A,Derived_Variables!$K:$K,0),
leStart,XLOOKUP($B210,Derived_Variables!$A:$A,Derived_Variables!$N:$N,0),
reAR,XLOOKUP($B210,AR_Input!$A:$A,AR_Input!$B:$B,reStart),
leAR,XLOOKUP($B210,AR_Input!$A:$A,AR_Input!$E:$E,leStart),
reEsc,AND(anom,OR(ABS((S210+AM210)-reStart)&gt;maxStart,ABS((S210+AM210)-reAR)&gt;maxAR)),
leEsc,AND(anom,OR(ABS((V210+AP210)-leStart)&gt;maxStart,ABS((V210+AP210)-leAR)&gt;maxAR)),
phaseMax,IFS(
 AK210="Fast",
   IFS(
     OR(C210="B",C210="D"),XLOOKUP("timeout_coarse_fast",Calibration!$B:$B,Calibration!$C:$C,24),
     OR(C210="E",C210="F",C210="H",C210="I"),XLOOKUP("timeout_jcc_fast",Calibration!$B:$B,Calibration!$C:$C,10),
     OR(C210="G",C210="J"),XLOOKUP("timeout_duochrome_fast",Calibration!$B:$B,Calibration!$C:$C,8),
     C210="K",XLOOKUP("timeout_bino_fast",Calibration!$B:$B,Calibration!$C:$C,10),
     OR(C210="P",C210="Q",C210="R"),XLOOKUP("timeout_near_fast",Calibration!$B:$B,Calibration!$C:$C,16),
     TRUE,XLOOKUP("timeout_coarse_fast",Calibration!$B:$B,Calibration!$C:$C,24)
   ),
 AK210="Normal",
   IFS(
     OR(C210="B",C210="D"),XLOOKUP("timeout_coarse_normal",Calibration!$B:$B,Calibration!$C:$C,36),
     OR(C210="E",C210="F",C210="H",C210="I"),XLOOKUP("timeout_jcc_normal",Calibration!$B:$B,Calibration!$C:$C,14),
     OR(C210="G",C210="J"),XLOOKUP("timeout_duochrome_normal",Calibration!$B:$B,Calibration!$C:$C,10),
     C210="K",XLOOKUP("timeout_bino_normal",Calibration!$B:$B,Calibration!$C:$C,14),
     OR(C210="P",C210="Q",C210="R"),XLOOKUP("timeout_near_normal",Calibration!$B:$B,Calibration!$C:$C,22),
     TRUE,XLOOKUP("timeout_coarse_normal",Calibration!$B:$B,Calibration!$C:$C,36)
   ),
 TRUE,
   IFS(
     OR(C210="B",C210="D"),XLOOKUP("timeout_coarse_slow",Calibration!$B:$B,Calibration!$C:$C,48),
     OR(C210="E",C210="F",C210="H",C210="I"),XLOOKUP("timeout_jcc_slow",Calibration!$B:$B,Calibration!$C:$C,18),
     OR(C210="G",C210="J"),XLOOKUP("timeout_duochrome_slow",Calibration!$B:$B,Calibration!$C:$C,12),
     C210="K",XLOOKUP("timeout_bino_slow",Calibration!$B:$B,Calibration!$C:$C,18),
     OR(C210="P",C210="Q",C210="R"),XLOOKUP("timeout_near_slow",Calibration!$B:$B,Calibration!$C:$C,28),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AJ210=TRUE,"ESCALATE",
C210="A",
IF(OR(I210="NOT_READABLE",I210="BLURRY",AND(R210="20_20_20",I210="READABLE")),"B","A"),
C210="B",
IF(reEsc,"ESCALATE",IF(AY210&gt;=phaseMax,"ESCALATE",IF(AND(AV210&gt;=AW210,I210="READABLE"),"E","B"))),
C210="E",
IF(AY210&gt;=phaseMax,"ESCALATE",IF(OR(I210="SAME",I210="CANT_TELL",AD210&lt;axisTol),"F","E")),
C210="F",
IF(AY210&gt;=phaseMax,"ESCALATE",IF(AX210&gt;=powerSameN,"G","F")),
C210="G",
IF(AY210&gt;=phaseMax,"ESCALATE",IF(OR(AX210&gt;=duoEqualN,BB210&gt;=duoMax),"D","G")),
C210="D",
IF(leEsc,"ESCALATE",IF(AY210&gt;=phaseMax,"ESCALATE",IF(AND(AV210&gt;=AW210,I210="READABLE"),"H","D"))),
C210="H",
IF(AY210&gt;=phaseMax,"ESCALATE",IF(OR(I210="SAME",I210="CANT_TELL",AD210&lt;axisTol),"I","H")),
C210="I",
IF(AY210&gt;=phaseMax,"ESCALATE",IF(AX210&gt;=powerSameN,"J","I")),
C210="J",
IF(AY210&gt;=phaseMax,"ESCALATE",IF(OR(AX210&gt;=duoEqualN,BB210&gt;=duoMax),"K","J")),
C210="K",
IF(AY210&gt;=phaseMax,"ESCALATE",IF(AX210&gt;=binoSameN,IF(XLOOKUP($B210,Derived_Variables!$A:$A,Derived_Variables!$AJ:$AJ,FALSE)=TRUE,"P","END"),"K")),
C210="P",
IF(AY210&gt;=phaseMax,"ESCALATE",IF(OR(I210="READABLE",I210="SAME"),"Q","P")),
C210="Q",
IF(AY210&gt;=phaseMax,"ESCALATE",IF(OR(I210="READABLE",I210="SAME"),"R","Q")),
C210="R",
IF(AY210&gt;=phaseMax,"ESCALATE",IF(OR(I210=nearTarget,I210="SAME"),"END","R")),
TRUE,"END"
)))</f>
        <v/>
      </c>
      <c r="BD210" s="28" t="b">
        <f t="shared" si="19"/>
        <v>0</v>
      </c>
    </row>
    <row r="211" ht="15.75" customHeight="1">
      <c r="A211" s="28">
        <f t="shared" si="3"/>
        <v>210</v>
      </c>
      <c r="B211" s="28">
        <f t="shared" si="4"/>
        <v>6</v>
      </c>
      <c r="C211" s="28" t="str">
        <f t="shared" si="5"/>
        <v/>
      </c>
      <c r="D211" s="28" t="str">
        <f t="array" ref="D211">IF($I210="","",XLOOKUP(C211,FSM_State_Map!A:A,FSM_State_Map!B:B,""))</f>
        <v/>
      </c>
      <c r="E211" s="28" t="str">
        <f t="array" ref="E211">IF($I210="","",XLOOKUP(C211,FSM_State_Map!A:A,FSM_State_Map!C:C,""))</f>
        <v/>
      </c>
      <c r="F211" s="28" t="str">
        <f t="array" ref="F211">IF($I210="","",XLOOKUP(E211,Phase_UI_Map!A:A,Phase_UI_Map!B:B,""))</f>
        <v/>
      </c>
      <c r="G211" s="28" t="str">
        <f t="array" ref="G211">IF($I210="","",XLOOKUP(E211,Phase_UI_Map!A:A,Phase_UI_Map!C:C,""))</f>
        <v/>
      </c>
      <c r="H211" s="28" t="str">
        <f t="array" ref="H211">IF($I210="","",XLOOKUP(E211,Phase_UI_Map!A:A,Phase_UI_Map!D:D,""))</f>
        <v/>
      </c>
      <c r="I211" s="29"/>
      <c r="J211" s="28" t="str">
        <f>IFERROR(__xludf.DUMMYFUNCTION("IF($I210="""","""",IFERROR(INDEX(FILTER(Response_Lists!$B:$B,Response_Lists!$A:$A=$H211),1),""""))"),"")</f>
        <v/>
      </c>
      <c r="K211" s="28" t="str">
        <f>IFERROR(__xludf.DUMMYFUNCTION("IF($I210="""","""",IFERROR(INDEX(FILTER(Response_Lists!$B:$B,Response_Lists!$A:$A=$H211),2),""""))"),"")</f>
        <v/>
      </c>
      <c r="L211" s="28" t="str">
        <f>IFERROR(__xludf.DUMMYFUNCTION("IF($I210="""","""",IFERROR(INDEX(FILTER(Response_Lists!$B:$B,Response_Lists!$A:$A=$H211),3),""""))"),"")</f>
        <v/>
      </c>
      <c r="M211" s="28" t="str">
        <f>IFERROR(__xludf.DUMMYFUNCTION("IF($I210="""","""",IFERROR(INDEX(FILTER(Response_Lists!$B:$B,Response_Lists!$A:$A=$H211),4),""""))"),"")</f>
        <v/>
      </c>
      <c r="N211" s="28" t="str">
        <f>IFERROR(__xludf.DUMMYFUNCTION("IF($I210="""","""",IFERROR(INDEX(FILTER(Response_Lists!$B:$B,Response_Lists!$A:$A=$H211),5),""""))"),"")</f>
        <v/>
      </c>
      <c r="O211" s="28" t="str">
        <f>IFERROR(__xludf.DUMMYFUNCTION("IF($I210="""","""",IFERROR(INDEX(FILTER(Response_Lists!$B:$B,Response_Lists!$A:$A=$H211),6),""""))"),"")</f>
        <v/>
      </c>
      <c r="P211" s="28" t="str">
        <f t="shared" si="6"/>
        <v/>
      </c>
      <c r="Q211" s="28" t="str">
        <f t="array" ref="Q211">IF($I210="","",XLOOKUP(C211,FSM_State_Map!A:A,FSM_State_Map!D:D,""))</f>
        <v/>
      </c>
      <c r="R211" s="28" t="str">
        <f t="shared" si="7"/>
        <v/>
      </c>
      <c r="S211" s="28" t="str">
        <f t="array" ref="S211">IF($I210="","",
IF(
  AND(C211="B",C210&lt;&gt;"B"),
  XLOOKUP($B211,Derived_Variables!$A:$A,Derived_Variables!$K:$K,0)
  + XLOOKUP($B211,Derived_Variables!$A:$A,Derived_Variables!$AE:$AE,0),
  S210+AM210
))</f>
        <v/>
      </c>
      <c r="T211" s="28" t="str">
        <f t="shared" ref="T211:U211" si="432">IF($I210="","",T210+AN210)</f>
        <v/>
      </c>
      <c r="U211" s="28" t="str">
        <f t="shared" si="432"/>
        <v/>
      </c>
      <c r="V211" s="28" t="str">
        <f t="array" ref="V211">IF($I210="","",
IF(
  AND(C211="D",C210&lt;&gt;"D"),
  XLOOKUP($B211,Derived_Variables!$A:$A,Derived_Variables!$N:$N,0)
  + XLOOKUP($B211,Derived_Variables!$A:$A,Derived_Variables!$AE:$AE,0),
  V210+AP210
))</f>
        <v/>
      </c>
      <c r="W211" s="28" t="str">
        <f t="shared" ref="W211:X211" si="433">IF($I210="","",W210+AQ210)</f>
        <v/>
      </c>
      <c r="X211" s="28" t="str">
        <f t="shared" si="433"/>
        <v/>
      </c>
      <c r="Y211" s="28" t="str">
        <f t="array" ref="Y211">IF($I210="","",IF(AND(C211="P",C210&lt;&gt;"P"),IFERROR(XLOOKUP($B211,Lenso_Input!$A:$A,Lenso_Input!$E:$E,0),0),Y210+AS210))</f>
        <v/>
      </c>
      <c r="Z211" s="28" t="str">
        <f t="array" ref="Z211">IF($I210="","",IF(AND(C211="Q",C210&lt;&gt;"Q"),IFERROR(XLOOKUP($B211,Lenso_Input!$A:$A,Lenso_Input!$I:$I,0),0),Z210+AT210))</f>
        <v/>
      </c>
      <c r="AA211" s="28" t="str">
        <f t="array" ref="AA211">IF($I210="","",IF(XLOOKUP($B211,Derived_Variables!$A:$A,Derived_Variables!$R:$R,"6/6_target")="6/6_target","20_20_20","40_30_25"))</f>
        <v/>
      </c>
      <c r="AB211" s="28" t="str">
        <f t="array" ref="AB211">IF($I210="","",XLOOKUP(LOWER(XLOOKUP($B211,Derived_Variables!$A:$A,Derived_Variables!$T:$T,"Standard"))&amp;"_sph_step",Calibration!$B:$B,Calibration!$C:$C,0.25))</f>
        <v/>
      </c>
      <c r="AC211" s="28" t="str">
        <f t="array" ref="AC211">IF($I210="","",XLOOKUP(LOWER(XLOOKUP($B211,Derived_Variables!$A:$A,Derived_Variables!$T:$T,"Standard"))&amp;"_cyl_step",Calibration!$B:$B,Calibration!$C:$C,0.25))</f>
        <v/>
      </c>
      <c r="AD211" s="28" t="str">
        <f t="array" ref="AD211">IF($I210="","",IF(OR(C211="E",C211="H"),LET(startStep,XLOOKUP("axis_start_step",Calibration!$B:$B,Calibration!$C:$C,5),step1,XLOOKUP("axis_reversal_step_1",Calibration!$B:$B,Calibration!$C:$C,3),step2,XLOOKUP("axis_reversal_step_2",Calibration!$B:$B,Calibration!$C:$C,1),IF(OR(C210&lt;&gt;C211,AZ211="",AZ211="SAME",AZ211="CANT_TELL",I211="",I211="SAME",I211="CANT_TELL"),startStep,IF(OR(AND(AZ211="BETTER_1",I211="BETTER_2"),AND(AZ211="BETTER_2",I211="BETTER_1")),IF(AD210&gt;step1,step1,step2),AD210))),0))</f>
        <v/>
      </c>
      <c r="AE211" s="28" t="str">
        <f t="array" ref="AE211">IF($I210="","",XLOOKUP($B211,Derived_Variables!$A:$A,Derived_Variables!$AD:$AD,"No_Fog"))</f>
        <v/>
      </c>
      <c r="AF211" s="28" t="str">
        <f t="array" ref="AF211">IF($I210="","",XLOOKUP($B211,Derived_Variables!$A:$A,Derived_Variables!$AE:$AE,0))</f>
        <v/>
      </c>
      <c r="AG211" s="28" t="str">
        <f t="array" ref="AG211">IF($I210="","",XLOOKUP($B211,Derived_Variables!$A:$A,Derived_Variables!$AF:$AF,""))</f>
        <v/>
      </c>
      <c r="AH211" s="28" t="str">
        <f t="array" ref="AH211">IF($I210="","",XLOOKUP($B211,Derived_Variables!$A:$A,Derived_Variables!$AG:$AG,""))</f>
        <v/>
      </c>
      <c r="AI211" s="28" t="str">
        <f t="array" ref="AI211">IF($I210="","",XLOOKUP($B211,Derived_Variables!$A:$A,Derived_Variables!$AC:$AC,"Medium"))</f>
        <v/>
      </c>
      <c r="AJ211" s="28" t="str">
        <f t="array" ref="AJ211">IF($I210="","",XLOOKUP($B211,Derived_Variables!$A:$A,Derived_Variables!$Y:$Y,FALSE))</f>
        <v/>
      </c>
      <c r="AK211" s="28" t="str">
        <f t="array" ref="AK211">IF($I210="","",XLOOKUP($B211,Derived_Variables!$A:$A,Derived_Variables!$AA:$AA,"Normal"))</f>
        <v/>
      </c>
      <c r="AL211" s="28" t="str">
        <f t="array" ref="AL211">IF($I210="","",XLOOKUP($B211,Derived_Variables!$A:$A,Derived_Variables!$AB:$AB,"Normal"))</f>
        <v/>
      </c>
      <c r="AM211" s="28" t="str">
        <f t="array" ref="AM211">IF($I211="","",IFS(C211="B",IF(OR(I211="NOT_READABLE",I211="BLURRY"),-AB211,0),C211="G",IFS(I211="RED_CLEARER",XLOOKUP("duochrome_red_step",Calibration!$B:$B,Calibration!$C:$C,-0.25),I211="GREEN_CLEARER",XLOOKUP("duochrome_green_step",Calibration!$B:$B,Calibration!$C:$C,0.25),I211="EQUAL",IF(XLOOKUP($B211,Derived_Variables!$A:$A,Derived_Variables!$S:$S,"Neutral")="Undercorrect",XLOOKUP("undercorrect_step",Calibration!$B:$B,Calibration!$C:$C,0.25),IF(XLOOKUP($B211,Derived_Variables!$A:$A,Derived_Variables!$S:$S,"Neutral")="Overcorrect",-XLOOKUP("overcorrect_step",Calibration!$B:$B,Calibration!$C:$C,0.25),0)),TRUE,0),C211="K",IF(I211="TOP_CLEARER",XLOOKUP("bino_balance_step",Calibration!$B:$B,Calibration!$C:$C,0.25),0),TRUE,0))</f>
        <v/>
      </c>
      <c r="AN211" s="28" t="str">
        <f t="shared" si="10"/>
        <v/>
      </c>
      <c r="AO211" s="28" t="str">
        <f t="shared" si="11"/>
        <v/>
      </c>
      <c r="AP211" s="28" t="str">
        <f t="array" ref="AP211">IF($I211="","",IFS(C211="D",IF(OR(I211="NOT_READABLE",I211="BLURRY"),-AB211,0),C211="J",IFS(I211="RED_CLEARER",XLOOKUP("duochrome_red_step",Calibration!$B:$B,Calibration!$C:$C,-0.25),I211="GREEN_CLEARER",XLOOKUP("duochrome_green_step",Calibration!$B:$B,Calibration!$C:$C,0.25),I211="EQUAL",IF(XLOOKUP($B211,Derived_Variables!$A:$A,Derived_Variables!$S:$S,"Neutral")="Undercorrect",XLOOKUP("undercorrect_step",Calibration!$B:$B,Calibration!$C:$C,0.25),IF(XLOOKUP($B211,Derived_Variables!$A:$A,Derived_Variables!$S:$S,"Neutral")="Overcorrect",-XLOOKUP("overcorrect_step",Calibration!$B:$B,Calibration!$C:$C,0.25),0)),TRUE,0),C211="K",IF(I211="BOTTOM_CLEARER",XLOOKUP("bino_balance_step",Calibration!$B:$B,Calibration!$C:$C,0.25),0),TRUE,0))</f>
        <v/>
      </c>
      <c r="AQ211" s="28" t="str">
        <f t="shared" si="12"/>
        <v/>
      </c>
      <c r="AR211" s="28" t="str">
        <f t="shared" si="13"/>
        <v/>
      </c>
      <c r="AS211" s="28" t="str">
        <f t="array" ref="AS211">IF($I211="","",IF(C211="P",IF(OR(I211="NOT_READABLE",I211="BLURRY"),XLOOKUP("near_add_step",Calibration!$B:$B,Calibration!$C:$C,0.25),0),IF(C211="R",IF(I211="NOT_CLEAR",XLOOKUP("near_add_step",Calibration!$B:$B,Calibration!$C:$C,0.25),0),0)))</f>
        <v/>
      </c>
      <c r="AT211" s="28" t="str">
        <f t="array" ref="AT211">IF($I211="","",IF(C211="Q",IF(OR(I211="NOT_READABLE",I211="BLURRY"),XLOOKUP("near_add_step",Calibration!$B:$B,Calibration!$C:$C,0.25),0),IF(C211="R",IF(I211="NOT_CLEAR",XLOOKUP("near_add_step",Calibration!$B:$B,Calibration!$C:$C,0.25),0),0)))</f>
        <v/>
      </c>
      <c r="AU211" s="28" t="str">
        <f t="array" ref="AU211">IF($I211="","",IF(G211="SNELLEN_FEET",IF(I211="READABLE",IFERROR(XLOOKUP(XLOOKUP(R211,Chart_Scale_Distance!B:B,Chart_Scale_Distance!A:A)+1,Chart_Scale_Distance!A:A,Chart_Scale_Distance!B:B),R211),R211),R211))</f>
        <v/>
      </c>
      <c r="AV211" s="28" t="str">
        <f t="array" ref="AV211">IF($I210="","",IFERROR(XLOOKUP(R211,Chart_Scale_Distance!$B:$B,Chart_Scale_Distance!$A:$A,""),""))</f>
        <v/>
      </c>
      <c r="AW211" s="28" t="str">
        <f t="array" ref="AW211">IF($I210="","",IFERROR(XLOOKUP(AA211,Chart_Scale_Distance!$B:$B,Chart_Scale_Distance!$A:$A,""),""))</f>
        <v/>
      </c>
      <c r="AX211" s="28" t="str">
        <f t="shared" si="14"/>
        <v/>
      </c>
      <c r="AY211" s="28" t="str">
        <f t="shared" si="15"/>
        <v/>
      </c>
      <c r="AZ211" s="28" t="str">
        <f t="shared" si="16"/>
        <v/>
      </c>
      <c r="BA211" s="28" t="str">
        <f t="shared" si="17"/>
        <v/>
      </c>
      <c r="BB211" s="28" t="str">
        <f t="shared" si="18"/>
        <v/>
      </c>
      <c r="BC211" s="28" t="str">
        <f t="array" ref="BC211">IF($I211="","",LET(
conf,AI211,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duoMax,XLOOKUP($B211,Derived_Variables!$A:$A,Derived_Variables!$AI:$AI,4),
axisTol,XLOOKUP($B211,Derived_Variables!$A:$A,Derived_Variables!$W:$W,1),
maxStart,XLOOKUP($B211,Derived_Variables!$A:$A,Derived_Variables!$U:$U,1.25),
maxAR,XLOOKUP($B211,Derived_Variables!$A:$A,Derived_Variables!$V:$V,3),
anom,XLOOKUP($B211,Derived_Variables!$A:$A,Derived_Variables!$Z:$Z,FALSE),
reStart,XLOOKUP($B211,Derived_Variables!$A:$A,Derived_Variables!$K:$K,0),
leStart,XLOOKUP($B211,Derived_Variables!$A:$A,Derived_Variables!$N:$N,0),
reAR,XLOOKUP($B211,AR_Input!$A:$A,AR_Input!$B:$B,reStart),
leAR,XLOOKUP($B211,AR_Input!$A:$A,AR_Input!$E:$E,leStart),
reEsc,AND(anom,OR(ABS((S211+AM211)-reStart)&gt;maxStart,ABS((S211+AM211)-reAR)&gt;maxAR)),
leEsc,AND(anom,OR(ABS((V211+AP211)-leStart)&gt;maxStart,ABS((V211+AP211)-leAR)&gt;maxAR)),
phaseMax,IFS(
 AK211="Fast",
   IFS(
     OR(C211="B",C211="D"),XLOOKUP("timeout_coarse_fast",Calibration!$B:$B,Calibration!$C:$C,24),
     OR(C211="E",C211="F",C211="H",C211="I"),XLOOKUP("timeout_jcc_fast",Calibration!$B:$B,Calibration!$C:$C,10),
     OR(C211="G",C211="J"),XLOOKUP("timeout_duochrome_fast",Calibration!$B:$B,Calibration!$C:$C,8),
     C211="K",XLOOKUP("timeout_bino_fast",Calibration!$B:$B,Calibration!$C:$C,10),
     OR(C211="P",C211="Q",C211="R"),XLOOKUP("timeout_near_fast",Calibration!$B:$B,Calibration!$C:$C,16),
     TRUE,XLOOKUP("timeout_coarse_fast",Calibration!$B:$B,Calibration!$C:$C,24)
   ),
 AK211="Normal",
   IFS(
     OR(C211="B",C211="D"),XLOOKUP("timeout_coarse_normal",Calibration!$B:$B,Calibration!$C:$C,36),
     OR(C211="E",C211="F",C211="H",C211="I"),XLOOKUP("timeout_jcc_normal",Calibration!$B:$B,Calibration!$C:$C,14),
     OR(C211="G",C211="J"),XLOOKUP("timeout_duochrome_normal",Calibration!$B:$B,Calibration!$C:$C,10),
     C211="K",XLOOKUP("timeout_bino_normal",Calibration!$B:$B,Calibration!$C:$C,14),
     OR(C211="P",C211="Q",C211="R"),XLOOKUP("timeout_near_normal",Calibration!$B:$B,Calibration!$C:$C,22),
     TRUE,XLOOKUP("timeout_coarse_normal",Calibration!$B:$B,Calibration!$C:$C,36)
   ),
 TRUE,
   IFS(
     OR(C211="B",C211="D"),XLOOKUP("timeout_coarse_slow",Calibration!$B:$B,Calibration!$C:$C,48),
     OR(C211="E",C211="F",C211="H",C211="I"),XLOOKUP("timeout_jcc_slow",Calibration!$B:$B,Calibration!$C:$C,18),
     OR(C211="G",C211="J"),XLOOKUP("timeout_duochrome_slow",Calibration!$B:$B,Calibration!$C:$C,12),
     C211="K",XLOOKUP("timeout_bino_slow",Calibration!$B:$B,Calibration!$C:$C,18),
     OR(C211="P",C211="Q",C211="R"),XLOOKUP("timeout_near_slow",Calibration!$B:$B,Calibration!$C:$C,28),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AJ211=TRUE,"ESCALATE",
C211="A",
IF(OR(I211="NOT_READABLE",I211="BLURRY",AND(R211="20_20_20",I211="READABLE")),"B","A"),
C211="B",
IF(reEsc,"ESCALATE",IF(AY211&gt;=phaseMax,"ESCALATE",IF(AND(AV211&gt;=AW211,I211="READABLE"),"E","B"))),
C211="E",
IF(AY211&gt;=phaseMax,"ESCALATE",IF(OR(I211="SAME",I211="CANT_TELL",AD211&lt;axisTol),"F","E")),
C211="F",
IF(AY211&gt;=phaseMax,"ESCALATE",IF(AX211&gt;=powerSameN,"G","F")),
C211="G",
IF(AY211&gt;=phaseMax,"ESCALATE",IF(OR(AX211&gt;=duoEqualN,BB211&gt;=duoMax),"D","G")),
C211="D",
IF(leEsc,"ESCALATE",IF(AY211&gt;=phaseMax,"ESCALATE",IF(AND(AV211&gt;=AW211,I211="READABLE"),"H","D"))),
C211="H",
IF(AY211&gt;=phaseMax,"ESCALATE",IF(OR(I211="SAME",I211="CANT_TELL",AD211&lt;axisTol),"I","H")),
C211="I",
IF(AY211&gt;=phaseMax,"ESCALATE",IF(AX211&gt;=powerSameN,"J","I")),
C211="J",
IF(AY211&gt;=phaseMax,"ESCALATE",IF(OR(AX211&gt;=duoEqualN,BB211&gt;=duoMax),"K","J")),
C211="K",
IF(AY211&gt;=phaseMax,"ESCALATE",IF(AX211&gt;=binoSameN,IF(XLOOKUP($B211,Derived_Variables!$A:$A,Derived_Variables!$AJ:$AJ,FALSE)=TRUE,"P","END"),"K")),
C211="P",
IF(AY211&gt;=phaseMax,"ESCALATE",IF(OR(I211="READABLE",I211="SAME"),"Q","P")),
C211="Q",
IF(AY211&gt;=phaseMax,"ESCALATE",IF(OR(I211="READABLE",I211="SAME"),"R","Q")),
C211="R",
IF(AY211&gt;=phaseMax,"ESCALATE",IF(OR(I211=nearTarget,I211="SAME"),"END","R")),
TRUE,"END"
)))</f>
        <v/>
      </c>
      <c r="BD211" s="28" t="b">
        <f t="shared" si="19"/>
        <v>0</v>
      </c>
    </row>
    <row r="212" ht="15.75" customHeight="1">
      <c r="A212" s="28">
        <f t="shared" si="3"/>
        <v>211</v>
      </c>
      <c r="B212" s="28">
        <f t="shared" si="4"/>
        <v>6</v>
      </c>
      <c r="C212" s="28" t="str">
        <f t="shared" si="5"/>
        <v/>
      </c>
      <c r="D212" s="28" t="str">
        <f t="array" ref="D212">IF($I211="","",XLOOKUP(C212,FSM_State_Map!A:A,FSM_State_Map!B:B,""))</f>
        <v/>
      </c>
      <c r="E212" s="28" t="str">
        <f t="array" ref="E212">IF($I211="","",XLOOKUP(C212,FSM_State_Map!A:A,FSM_State_Map!C:C,""))</f>
        <v/>
      </c>
      <c r="F212" s="28" t="str">
        <f t="array" ref="F212">IF($I211="","",XLOOKUP(E212,Phase_UI_Map!A:A,Phase_UI_Map!B:B,""))</f>
        <v/>
      </c>
      <c r="G212" s="28" t="str">
        <f t="array" ref="G212">IF($I211="","",XLOOKUP(E212,Phase_UI_Map!A:A,Phase_UI_Map!C:C,""))</f>
        <v/>
      </c>
      <c r="H212" s="28" t="str">
        <f t="array" ref="H212">IF($I211="","",XLOOKUP(E212,Phase_UI_Map!A:A,Phase_UI_Map!D:D,""))</f>
        <v/>
      </c>
      <c r="I212" s="29"/>
      <c r="J212" s="28" t="str">
        <f>IFERROR(__xludf.DUMMYFUNCTION("IF($I211="""","""",IFERROR(INDEX(FILTER(Response_Lists!$B:$B,Response_Lists!$A:$A=$H212),1),""""))"),"")</f>
        <v/>
      </c>
      <c r="K212" s="28" t="str">
        <f>IFERROR(__xludf.DUMMYFUNCTION("IF($I211="""","""",IFERROR(INDEX(FILTER(Response_Lists!$B:$B,Response_Lists!$A:$A=$H212),2),""""))"),"")</f>
        <v/>
      </c>
      <c r="L212" s="28" t="str">
        <f>IFERROR(__xludf.DUMMYFUNCTION("IF($I211="""","""",IFERROR(INDEX(FILTER(Response_Lists!$B:$B,Response_Lists!$A:$A=$H212),3),""""))"),"")</f>
        <v/>
      </c>
      <c r="M212" s="28" t="str">
        <f>IFERROR(__xludf.DUMMYFUNCTION("IF($I211="""","""",IFERROR(INDEX(FILTER(Response_Lists!$B:$B,Response_Lists!$A:$A=$H212),4),""""))"),"")</f>
        <v/>
      </c>
      <c r="N212" s="28" t="str">
        <f>IFERROR(__xludf.DUMMYFUNCTION("IF($I211="""","""",IFERROR(INDEX(FILTER(Response_Lists!$B:$B,Response_Lists!$A:$A=$H212),5),""""))"),"")</f>
        <v/>
      </c>
      <c r="O212" s="28" t="str">
        <f>IFERROR(__xludf.DUMMYFUNCTION("IF($I211="""","""",IFERROR(INDEX(FILTER(Response_Lists!$B:$B,Response_Lists!$A:$A=$H212),6),""""))"),"")</f>
        <v/>
      </c>
      <c r="P212" s="28" t="str">
        <f t="shared" si="6"/>
        <v/>
      </c>
      <c r="Q212" s="28" t="str">
        <f t="array" ref="Q212">IF($I211="","",XLOOKUP(C212,FSM_State_Map!A:A,FSM_State_Map!D:D,""))</f>
        <v/>
      </c>
      <c r="R212" s="28" t="str">
        <f t="shared" si="7"/>
        <v/>
      </c>
      <c r="S212" s="28" t="str">
        <f t="array" ref="S212">IF($I211="","",
IF(
  AND(C212="B",C211&lt;&gt;"B"),
  XLOOKUP($B212,Derived_Variables!$A:$A,Derived_Variables!$K:$K,0)
  + XLOOKUP($B212,Derived_Variables!$A:$A,Derived_Variables!$AE:$AE,0),
  S211+AM211
))</f>
        <v/>
      </c>
      <c r="T212" s="28" t="str">
        <f t="shared" ref="T212:U212" si="434">IF($I211="","",T211+AN211)</f>
        <v/>
      </c>
      <c r="U212" s="28" t="str">
        <f t="shared" si="434"/>
        <v/>
      </c>
      <c r="V212" s="28" t="str">
        <f t="array" ref="V212">IF($I211="","",
IF(
  AND(C212="D",C211&lt;&gt;"D"),
  XLOOKUP($B212,Derived_Variables!$A:$A,Derived_Variables!$N:$N,0)
  + XLOOKUP($B212,Derived_Variables!$A:$A,Derived_Variables!$AE:$AE,0),
  V211+AP211
))</f>
        <v/>
      </c>
      <c r="W212" s="28" t="str">
        <f t="shared" ref="W212:X212" si="435">IF($I211="","",W211+AQ211)</f>
        <v/>
      </c>
      <c r="X212" s="28" t="str">
        <f t="shared" si="435"/>
        <v/>
      </c>
      <c r="Y212" s="28" t="str">
        <f t="array" ref="Y212">IF($I211="","",IF(AND(C212="P",C211&lt;&gt;"P"),IFERROR(XLOOKUP($B212,Lenso_Input!$A:$A,Lenso_Input!$E:$E,0),0),Y211+AS211))</f>
        <v/>
      </c>
      <c r="Z212" s="28" t="str">
        <f t="array" ref="Z212">IF($I211="","",IF(AND(C212="Q",C211&lt;&gt;"Q"),IFERROR(XLOOKUP($B212,Lenso_Input!$A:$A,Lenso_Input!$I:$I,0),0),Z211+AT211))</f>
        <v/>
      </c>
      <c r="AA212" s="28" t="str">
        <f t="array" ref="AA212">IF($I211="","",IF(XLOOKUP($B212,Derived_Variables!$A:$A,Derived_Variables!$R:$R,"6/6_target")="6/6_target","20_20_20","40_30_25"))</f>
        <v/>
      </c>
      <c r="AB212" s="28" t="str">
        <f t="array" ref="AB212">IF($I211="","",XLOOKUP(LOWER(XLOOKUP($B212,Derived_Variables!$A:$A,Derived_Variables!$T:$T,"Standard"))&amp;"_sph_step",Calibration!$B:$B,Calibration!$C:$C,0.25))</f>
        <v/>
      </c>
      <c r="AC212" s="28" t="str">
        <f t="array" ref="AC212">IF($I211="","",XLOOKUP(LOWER(XLOOKUP($B212,Derived_Variables!$A:$A,Derived_Variables!$T:$T,"Standard"))&amp;"_cyl_step",Calibration!$B:$B,Calibration!$C:$C,0.25))</f>
        <v/>
      </c>
      <c r="AD212" s="28" t="str">
        <f t="array" ref="AD212">IF($I211="","",IF(OR(C212="E",C212="H"),LET(startStep,XLOOKUP("axis_start_step",Calibration!$B:$B,Calibration!$C:$C,5),step1,XLOOKUP("axis_reversal_step_1",Calibration!$B:$B,Calibration!$C:$C,3),step2,XLOOKUP("axis_reversal_step_2",Calibration!$B:$B,Calibration!$C:$C,1),IF(OR(C211&lt;&gt;C212,AZ212="",AZ212="SAME",AZ212="CANT_TELL",I212="",I212="SAME",I212="CANT_TELL"),startStep,IF(OR(AND(AZ212="BETTER_1",I212="BETTER_2"),AND(AZ212="BETTER_2",I212="BETTER_1")),IF(AD211&gt;step1,step1,step2),AD211))),0))</f>
        <v/>
      </c>
      <c r="AE212" s="28" t="str">
        <f t="array" ref="AE212">IF($I211="","",XLOOKUP($B212,Derived_Variables!$A:$A,Derived_Variables!$AD:$AD,"No_Fog"))</f>
        <v/>
      </c>
      <c r="AF212" s="28" t="str">
        <f t="array" ref="AF212">IF($I211="","",XLOOKUP($B212,Derived_Variables!$A:$A,Derived_Variables!$AE:$AE,0))</f>
        <v/>
      </c>
      <c r="AG212" s="28" t="str">
        <f t="array" ref="AG212">IF($I211="","",XLOOKUP($B212,Derived_Variables!$A:$A,Derived_Variables!$AF:$AF,""))</f>
        <v/>
      </c>
      <c r="AH212" s="28" t="str">
        <f t="array" ref="AH212">IF($I211="","",XLOOKUP($B212,Derived_Variables!$A:$A,Derived_Variables!$AG:$AG,""))</f>
        <v/>
      </c>
      <c r="AI212" s="28" t="str">
        <f t="array" ref="AI212">IF($I211="","",XLOOKUP($B212,Derived_Variables!$A:$A,Derived_Variables!$AC:$AC,"Medium"))</f>
        <v/>
      </c>
      <c r="AJ212" s="28" t="str">
        <f t="array" ref="AJ212">IF($I211="","",XLOOKUP($B212,Derived_Variables!$A:$A,Derived_Variables!$Y:$Y,FALSE))</f>
        <v/>
      </c>
      <c r="AK212" s="28" t="str">
        <f t="array" ref="AK212">IF($I211="","",XLOOKUP($B212,Derived_Variables!$A:$A,Derived_Variables!$AA:$AA,"Normal"))</f>
        <v/>
      </c>
      <c r="AL212" s="28" t="str">
        <f t="array" ref="AL212">IF($I211="","",XLOOKUP($B212,Derived_Variables!$A:$A,Derived_Variables!$AB:$AB,"Normal"))</f>
        <v/>
      </c>
      <c r="AM212" s="28" t="str">
        <f t="array" ref="AM212">IF($I212="","",IFS(C212="B",IF(OR(I212="NOT_READABLE",I212="BLURRY"),-AB212,0),C212="G",IFS(I212="RED_CLEARER",XLOOKUP("duochrome_red_step",Calibration!$B:$B,Calibration!$C:$C,-0.25),I212="GREEN_CLEARER",XLOOKUP("duochrome_green_step",Calibration!$B:$B,Calibration!$C:$C,0.25),I212="EQUAL",IF(XLOOKUP($B212,Derived_Variables!$A:$A,Derived_Variables!$S:$S,"Neutral")="Undercorrect",XLOOKUP("undercorrect_step",Calibration!$B:$B,Calibration!$C:$C,0.25),IF(XLOOKUP($B212,Derived_Variables!$A:$A,Derived_Variables!$S:$S,"Neutral")="Overcorrect",-XLOOKUP("overcorrect_step",Calibration!$B:$B,Calibration!$C:$C,0.25),0)),TRUE,0),C212="K",IF(I212="TOP_CLEARER",XLOOKUP("bino_balance_step",Calibration!$B:$B,Calibration!$C:$C,0.25),0),TRUE,0))</f>
        <v/>
      </c>
      <c r="AN212" s="28" t="str">
        <f t="shared" si="10"/>
        <v/>
      </c>
      <c r="AO212" s="28" t="str">
        <f t="shared" si="11"/>
        <v/>
      </c>
      <c r="AP212" s="28" t="str">
        <f t="array" ref="AP212">IF($I212="","",IFS(C212="D",IF(OR(I212="NOT_READABLE",I212="BLURRY"),-AB212,0),C212="J",IFS(I212="RED_CLEARER",XLOOKUP("duochrome_red_step",Calibration!$B:$B,Calibration!$C:$C,-0.25),I212="GREEN_CLEARER",XLOOKUP("duochrome_green_step",Calibration!$B:$B,Calibration!$C:$C,0.25),I212="EQUAL",IF(XLOOKUP($B212,Derived_Variables!$A:$A,Derived_Variables!$S:$S,"Neutral")="Undercorrect",XLOOKUP("undercorrect_step",Calibration!$B:$B,Calibration!$C:$C,0.25),IF(XLOOKUP($B212,Derived_Variables!$A:$A,Derived_Variables!$S:$S,"Neutral")="Overcorrect",-XLOOKUP("overcorrect_step",Calibration!$B:$B,Calibration!$C:$C,0.25),0)),TRUE,0),C212="K",IF(I212="BOTTOM_CLEARER",XLOOKUP("bino_balance_step",Calibration!$B:$B,Calibration!$C:$C,0.25),0),TRUE,0))</f>
        <v/>
      </c>
      <c r="AQ212" s="28" t="str">
        <f t="shared" si="12"/>
        <v/>
      </c>
      <c r="AR212" s="28" t="str">
        <f t="shared" si="13"/>
        <v/>
      </c>
      <c r="AS212" s="28" t="str">
        <f t="array" ref="AS212">IF($I212="","",IF(C212="P",IF(OR(I212="NOT_READABLE",I212="BLURRY"),XLOOKUP("near_add_step",Calibration!$B:$B,Calibration!$C:$C,0.25),0),IF(C212="R",IF(I212="NOT_CLEAR",XLOOKUP("near_add_step",Calibration!$B:$B,Calibration!$C:$C,0.25),0),0)))</f>
        <v/>
      </c>
      <c r="AT212" s="28" t="str">
        <f t="array" ref="AT212">IF($I212="","",IF(C212="Q",IF(OR(I212="NOT_READABLE",I212="BLURRY"),XLOOKUP("near_add_step",Calibration!$B:$B,Calibration!$C:$C,0.25),0),IF(C212="R",IF(I212="NOT_CLEAR",XLOOKUP("near_add_step",Calibration!$B:$B,Calibration!$C:$C,0.25),0),0)))</f>
        <v/>
      </c>
      <c r="AU212" s="28" t="str">
        <f t="array" ref="AU212">IF($I212="","",IF(G212="SNELLEN_FEET",IF(I212="READABLE",IFERROR(XLOOKUP(XLOOKUP(R212,Chart_Scale_Distance!B:B,Chart_Scale_Distance!A:A)+1,Chart_Scale_Distance!A:A,Chart_Scale_Distance!B:B),R212),R212),R212))</f>
        <v/>
      </c>
      <c r="AV212" s="28" t="str">
        <f t="array" ref="AV212">IF($I211="","",IFERROR(XLOOKUP(R212,Chart_Scale_Distance!$B:$B,Chart_Scale_Distance!$A:$A,""),""))</f>
        <v/>
      </c>
      <c r="AW212" s="28" t="str">
        <f t="array" ref="AW212">IF($I211="","",IFERROR(XLOOKUP(AA212,Chart_Scale_Distance!$B:$B,Chart_Scale_Distance!$A:$A,""),""))</f>
        <v/>
      </c>
      <c r="AX212" s="28" t="str">
        <f t="shared" si="14"/>
        <v/>
      </c>
      <c r="AY212" s="28" t="str">
        <f t="shared" si="15"/>
        <v/>
      </c>
      <c r="AZ212" s="28" t="str">
        <f t="shared" si="16"/>
        <v/>
      </c>
      <c r="BA212" s="28" t="str">
        <f t="shared" si="17"/>
        <v/>
      </c>
      <c r="BB212" s="28" t="str">
        <f t="shared" si="18"/>
        <v/>
      </c>
      <c r="BC212" s="28" t="str">
        <f t="array" ref="BC212">IF($I212="","",LET(
conf,AI212,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duoMax,XLOOKUP($B212,Derived_Variables!$A:$A,Derived_Variables!$AI:$AI,4),
axisTol,XLOOKUP($B212,Derived_Variables!$A:$A,Derived_Variables!$W:$W,1),
maxStart,XLOOKUP($B212,Derived_Variables!$A:$A,Derived_Variables!$U:$U,1.25),
maxAR,XLOOKUP($B212,Derived_Variables!$A:$A,Derived_Variables!$V:$V,3),
anom,XLOOKUP($B212,Derived_Variables!$A:$A,Derived_Variables!$Z:$Z,FALSE),
reStart,XLOOKUP($B212,Derived_Variables!$A:$A,Derived_Variables!$K:$K,0),
leStart,XLOOKUP($B212,Derived_Variables!$A:$A,Derived_Variables!$N:$N,0),
reAR,XLOOKUP($B212,AR_Input!$A:$A,AR_Input!$B:$B,reStart),
leAR,XLOOKUP($B212,AR_Input!$A:$A,AR_Input!$E:$E,leStart),
reEsc,AND(anom,OR(ABS((S212+AM212)-reStart)&gt;maxStart,ABS((S212+AM212)-reAR)&gt;maxAR)),
leEsc,AND(anom,OR(ABS((V212+AP212)-leStart)&gt;maxStart,ABS((V212+AP212)-leAR)&gt;maxAR)),
phaseMax,IFS(
 AK212="Fast",
   IFS(
     OR(C212="B",C212="D"),XLOOKUP("timeout_coarse_fast",Calibration!$B:$B,Calibration!$C:$C,24),
     OR(C212="E",C212="F",C212="H",C212="I"),XLOOKUP("timeout_jcc_fast",Calibration!$B:$B,Calibration!$C:$C,10),
     OR(C212="G",C212="J"),XLOOKUP("timeout_duochrome_fast",Calibration!$B:$B,Calibration!$C:$C,8),
     C212="K",XLOOKUP("timeout_bino_fast",Calibration!$B:$B,Calibration!$C:$C,10),
     OR(C212="P",C212="Q",C212="R"),XLOOKUP("timeout_near_fast",Calibration!$B:$B,Calibration!$C:$C,16),
     TRUE,XLOOKUP("timeout_coarse_fast",Calibration!$B:$B,Calibration!$C:$C,24)
   ),
 AK212="Normal",
   IFS(
     OR(C212="B",C212="D"),XLOOKUP("timeout_coarse_normal",Calibration!$B:$B,Calibration!$C:$C,36),
     OR(C212="E",C212="F",C212="H",C212="I"),XLOOKUP("timeout_jcc_normal",Calibration!$B:$B,Calibration!$C:$C,14),
     OR(C212="G",C212="J"),XLOOKUP("timeout_duochrome_normal",Calibration!$B:$B,Calibration!$C:$C,10),
     C212="K",XLOOKUP("timeout_bino_normal",Calibration!$B:$B,Calibration!$C:$C,14),
     OR(C212="P",C212="Q",C212="R"),XLOOKUP("timeout_near_normal",Calibration!$B:$B,Calibration!$C:$C,22),
     TRUE,XLOOKUP("timeout_coarse_normal",Calibration!$B:$B,Calibration!$C:$C,36)
   ),
 TRUE,
   IFS(
     OR(C212="B",C212="D"),XLOOKUP("timeout_coarse_slow",Calibration!$B:$B,Calibration!$C:$C,48),
     OR(C212="E",C212="F",C212="H",C212="I"),XLOOKUP("timeout_jcc_slow",Calibration!$B:$B,Calibration!$C:$C,18),
     OR(C212="G",C212="J"),XLOOKUP("timeout_duochrome_slow",Calibration!$B:$B,Calibration!$C:$C,12),
     C212="K",XLOOKUP("timeout_bino_slow",Calibration!$B:$B,Calibration!$C:$C,18),
     OR(C212="P",C212="Q",C212="R"),XLOOKUP("timeout_near_slow",Calibration!$B:$B,Calibration!$C:$C,28),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AJ212=TRUE,"ESCALATE",
C212="A",
IF(OR(I212="NOT_READABLE",I212="BLURRY",AND(R212="20_20_20",I212="READABLE")),"B","A"),
C212="B",
IF(reEsc,"ESCALATE",IF(AY212&gt;=phaseMax,"ESCALATE",IF(AND(AV212&gt;=AW212,I212="READABLE"),"E","B"))),
C212="E",
IF(AY212&gt;=phaseMax,"ESCALATE",IF(OR(I212="SAME",I212="CANT_TELL",AD212&lt;axisTol),"F","E")),
C212="F",
IF(AY212&gt;=phaseMax,"ESCALATE",IF(AX212&gt;=powerSameN,"G","F")),
C212="G",
IF(AY212&gt;=phaseMax,"ESCALATE",IF(OR(AX212&gt;=duoEqualN,BB212&gt;=duoMax),"D","G")),
C212="D",
IF(leEsc,"ESCALATE",IF(AY212&gt;=phaseMax,"ESCALATE",IF(AND(AV212&gt;=AW212,I212="READABLE"),"H","D"))),
C212="H",
IF(AY212&gt;=phaseMax,"ESCALATE",IF(OR(I212="SAME",I212="CANT_TELL",AD212&lt;axisTol),"I","H")),
C212="I",
IF(AY212&gt;=phaseMax,"ESCALATE",IF(AX212&gt;=powerSameN,"J","I")),
C212="J",
IF(AY212&gt;=phaseMax,"ESCALATE",IF(OR(AX212&gt;=duoEqualN,BB212&gt;=duoMax),"K","J")),
C212="K",
IF(AY212&gt;=phaseMax,"ESCALATE",IF(AX212&gt;=binoSameN,IF(XLOOKUP($B212,Derived_Variables!$A:$A,Derived_Variables!$AJ:$AJ,FALSE)=TRUE,"P","END"),"K")),
C212="P",
IF(AY212&gt;=phaseMax,"ESCALATE",IF(OR(I212="READABLE",I212="SAME"),"Q","P")),
C212="Q",
IF(AY212&gt;=phaseMax,"ESCALATE",IF(OR(I212="READABLE",I212="SAME"),"R","Q")),
C212="R",
IF(AY212&gt;=phaseMax,"ESCALATE",IF(OR(I212=nearTarget,I212="SAME"),"END","R")),
TRUE,"END"
)))</f>
        <v/>
      </c>
      <c r="BD212" s="28" t="b">
        <f t="shared" si="19"/>
        <v>0</v>
      </c>
    </row>
    <row r="213" ht="15.75" customHeight="1">
      <c r="A213" s="28">
        <f t="shared" si="3"/>
        <v>212</v>
      </c>
      <c r="B213" s="28">
        <f t="shared" si="4"/>
        <v>6</v>
      </c>
      <c r="C213" s="28" t="str">
        <f t="shared" si="5"/>
        <v/>
      </c>
      <c r="D213" s="28" t="str">
        <f t="array" ref="D213">IF($I212="","",XLOOKUP(C213,FSM_State_Map!A:A,FSM_State_Map!B:B,""))</f>
        <v/>
      </c>
      <c r="E213" s="28" t="str">
        <f t="array" ref="E213">IF($I212="","",XLOOKUP(C213,FSM_State_Map!A:A,FSM_State_Map!C:C,""))</f>
        <v/>
      </c>
      <c r="F213" s="28" t="str">
        <f t="array" ref="F213">IF($I212="","",XLOOKUP(E213,Phase_UI_Map!A:A,Phase_UI_Map!B:B,""))</f>
        <v/>
      </c>
      <c r="G213" s="28" t="str">
        <f t="array" ref="G213">IF($I212="","",XLOOKUP(E213,Phase_UI_Map!A:A,Phase_UI_Map!C:C,""))</f>
        <v/>
      </c>
      <c r="H213" s="28" t="str">
        <f t="array" ref="H213">IF($I212="","",XLOOKUP(E213,Phase_UI_Map!A:A,Phase_UI_Map!D:D,""))</f>
        <v/>
      </c>
      <c r="I213" s="29"/>
      <c r="J213" s="28" t="str">
        <f>IFERROR(__xludf.DUMMYFUNCTION("IF($I212="""","""",IFERROR(INDEX(FILTER(Response_Lists!$B:$B,Response_Lists!$A:$A=$H213),1),""""))"),"")</f>
        <v/>
      </c>
      <c r="K213" s="28" t="str">
        <f>IFERROR(__xludf.DUMMYFUNCTION("IF($I212="""","""",IFERROR(INDEX(FILTER(Response_Lists!$B:$B,Response_Lists!$A:$A=$H213),2),""""))"),"")</f>
        <v/>
      </c>
      <c r="L213" s="28" t="str">
        <f>IFERROR(__xludf.DUMMYFUNCTION("IF($I212="""","""",IFERROR(INDEX(FILTER(Response_Lists!$B:$B,Response_Lists!$A:$A=$H213),3),""""))"),"")</f>
        <v/>
      </c>
      <c r="M213" s="28" t="str">
        <f>IFERROR(__xludf.DUMMYFUNCTION("IF($I212="""","""",IFERROR(INDEX(FILTER(Response_Lists!$B:$B,Response_Lists!$A:$A=$H213),4),""""))"),"")</f>
        <v/>
      </c>
      <c r="N213" s="28" t="str">
        <f>IFERROR(__xludf.DUMMYFUNCTION("IF($I212="""","""",IFERROR(INDEX(FILTER(Response_Lists!$B:$B,Response_Lists!$A:$A=$H213),5),""""))"),"")</f>
        <v/>
      </c>
      <c r="O213" s="28" t="str">
        <f>IFERROR(__xludf.DUMMYFUNCTION("IF($I212="""","""",IFERROR(INDEX(FILTER(Response_Lists!$B:$B,Response_Lists!$A:$A=$H213),6),""""))"),"")</f>
        <v/>
      </c>
      <c r="P213" s="28" t="str">
        <f t="shared" si="6"/>
        <v/>
      </c>
      <c r="Q213" s="28" t="str">
        <f t="array" ref="Q213">IF($I212="","",XLOOKUP(C213,FSM_State_Map!A:A,FSM_State_Map!D:D,""))</f>
        <v/>
      </c>
      <c r="R213" s="28" t="str">
        <f t="shared" si="7"/>
        <v/>
      </c>
      <c r="S213" s="28" t="str">
        <f t="array" ref="S213">IF($I212="","",
IF(
  AND(C213="B",C212&lt;&gt;"B"),
  XLOOKUP($B213,Derived_Variables!$A:$A,Derived_Variables!$K:$K,0)
  + XLOOKUP($B213,Derived_Variables!$A:$A,Derived_Variables!$AE:$AE,0),
  S212+AM212
))</f>
        <v/>
      </c>
      <c r="T213" s="28" t="str">
        <f t="shared" ref="T213:U213" si="436">IF($I212="","",T212+AN212)</f>
        <v/>
      </c>
      <c r="U213" s="28" t="str">
        <f t="shared" si="436"/>
        <v/>
      </c>
      <c r="V213" s="28" t="str">
        <f t="array" ref="V213">IF($I212="","",
IF(
  AND(C213="D",C212&lt;&gt;"D"),
  XLOOKUP($B213,Derived_Variables!$A:$A,Derived_Variables!$N:$N,0)
  + XLOOKUP($B213,Derived_Variables!$A:$A,Derived_Variables!$AE:$AE,0),
  V212+AP212
))</f>
        <v/>
      </c>
      <c r="W213" s="28" t="str">
        <f t="shared" ref="W213:X213" si="437">IF($I212="","",W212+AQ212)</f>
        <v/>
      </c>
      <c r="X213" s="28" t="str">
        <f t="shared" si="437"/>
        <v/>
      </c>
      <c r="Y213" s="28" t="str">
        <f t="array" ref="Y213">IF($I212="","",IF(AND(C213="P",C212&lt;&gt;"P"),IFERROR(XLOOKUP($B213,Lenso_Input!$A:$A,Lenso_Input!$E:$E,0),0),Y212+AS212))</f>
        <v/>
      </c>
      <c r="Z213" s="28" t="str">
        <f t="array" ref="Z213">IF($I212="","",IF(AND(C213="Q",C212&lt;&gt;"Q"),IFERROR(XLOOKUP($B213,Lenso_Input!$A:$A,Lenso_Input!$I:$I,0),0),Z212+AT212))</f>
        <v/>
      </c>
      <c r="AA213" s="28" t="str">
        <f t="array" ref="AA213">IF($I212="","",IF(XLOOKUP($B213,Derived_Variables!$A:$A,Derived_Variables!$R:$R,"6/6_target")="6/6_target","20_20_20","40_30_25"))</f>
        <v/>
      </c>
      <c r="AB213" s="28" t="str">
        <f t="array" ref="AB213">IF($I212="","",XLOOKUP(LOWER(XLOOKUP($B213,Derived_Variables!$A:$A,Derived_Variables!$T:$T,"Standard"))&amp;"_sph_step",Calibration!$B:$B,Calibration!$C:$C,0.25))</f>
        <v/>
      </c>
      <c r="AC213" s="28" t="str">
        <f t="array" ref="AC213">IF($I212="","",XLOOKUP(LOWER(XLOOKUP($B213,Derived_Variables!$A:$A,Derived_Variables!$T:$T,"Standard"))&amp;"_cyl_step",Calibration!$B:$B,Calibration!$C:$C,0.25))</f>
        <v/>
      </c>
      <c r="AD213" s="28" t="str">
        <f t="array" ref="AD213">IF($I212="","",IF(OR(C213="E",C213="H"),LET(startStep,XLOOKUP("axis_start_step",Calibration!$B:$B,Calibration!$C:$C,5),step1,XLOOKUP("axis_reversal_step_1",Calibration!$B:$B,Calibration!$C:$C,3),step2,XLOOKUP("axis_reversal_step_2",Calibration!$B:$B,Calibration!$C:$C,1),IF(OR(C212&lt;&gt;C213,AZ213="",AZ213="SAME",AZ213="CANT_TELL",I213="",I213="SAME",I213="CANT_TELL"),startStep,IF(OR(AND(AZ213="BETTER_1",I213="BETTER_2"),AND(AZ213="BETTER_2",I213="BETTER_1")),IF(AD212&gt;step1,step1,step2),AD212))),0))</f>
        <v/>
      </c>
      <c r="AE213" s="28" t="str">
        <f t="array" ref="AE213">IF($I212="","",XLOOKUP($B213,Derived_Variables!$A:$A,Derived_Variables!$AD:$AD,"No_Fog"))</f>
        <v/>
      </c>
      <c r="AF213" s="28" t="str">
        <f t="array" ref="AF213">IF($I212="","",XLOOKUP($B213,Derived_Variables!$A:$A,Derived_Variables!$AE:$AE,0))</f>
        <v/>
      </c>
      <c r="AG213" s="28" t="str">
        <f t="array" ref="AG213">IF($I212="","",XLOOKUP($B213,Derived_Variables!$A:$A,Derived_Variables!$AF:$AF,""))</f>
        <v/>
      </c>
      <c r="AH213" s="28" t="str">
        <f t="array" ref="AH213">IF($I212="","",XLOOKUP($B213,Derived_Variables!$A:$A,Derived_Variables!$AG:$AG,""))</f>
        <v/>
      </c>
      <c r="AI213" s="28" t="str">
        <f t="array" ref="AI213">IF($I212="","",XLOOKUP($B213,Derived_Variables!$A:$A,Derived_Variables!$AC:$AC,"Medium"))</f>
        <v/>
      </c>
      <c r="AJ213" s="28" t="str">
        <f t="array" ref="AJ213">IF($I212="","",XLOOKUP($B213,Derived_Variables!$A:$A,Derived_Variables!$Y:$Y,FALSE))</f>
        <v/>
      </c>
      <c r="AK213" s="28" t="str">
        <f t="array" ref="AK213">IF($I212="","",XLOOKUP($B213,Derived_Variables!$A:$A,Derived_Variables!$AA:$AA,"Normal"))</f>
        <v/>
      </c>
      <c r="AL213" s="28" t="str">
        <f t="array" ref="AL213">IF($I212="","",XLOOKUP($B213,Derived_Variables!$A:$A,Derived_Variables!$AB:$AB,"Normal"))</f>
        <v/>
      </c>
      <c r="AM213" s="28" t="str">
        <f t="array" ref="AM213">IF($I213="","",IFS(C213="B",IF(OR(I213="NOT_READABLE",I213="BLURRY"),-AB213,0),C213="G",IFS(I213="RED_CLEARER",XLOOKUP("duochrome_red_step",Calibration!$B:$B,Calibration!$C:$C,-0.25),I213="GREEN_CLEARER",XLOOKUP("duochrome_green_step",Calibration!$B:$B,Calibration!$C:$C,0.25),I213="EQUAL",IF(XLOOKUP($B213,Derived_Variables!$A:$A,Derived_Variables!$S:$S,"Neutral")="Undercorrect",XLOOKUP("undercorrect_step",Calibration!$B:$B,Calibration!$C:$C,0.25),IF(XLOOKUP($B213,Derived_Variables!$A:$A,Derived_Variables!$S:$S,"Neutral")="Overcorrect",-XLOOKUP("overcorrect_step",Calibration!$B:$B,Calibration!$C:$C,0.25),0)),TRUE,0),C213="K",IF(I213="TOP_CLEARER",XLOOKUP("bino_balance_step",Calibration!$B:$B,Calibration!$C:$C,0.25),0),TRUE,0))</f>
        <v/>
      </c>
      <c r="AN213" s="28" t="str">
        <f t="shared" si="10"/>
        <v/>
      </c>
      <c r="AO213" s="28" t="str">
        <f t="shared" si="11"/>
        <v/>
      </c>
      <c r="AP213" s="28" t="str">
        <f t="array" ref="AP213">IF($I213="","",IFS(C213="D",IF(OR(I213="NOT_READABLE",I213="BLURRY"),-AB213,0),C213="J",IFS(I213="RED_CLEARER",XLOOKUP("duochrome_red_step",Calibration!$B:$B,Calibration!$C:$C,-0.25),I213="GREEN_CLEARER",XLOOKUP("duochrome_green_step",Calibration!$B:$B,Calibration!$C:$C,0.25),I213="EQUAL",IF(XLOOKUP($B213,Derived_Variables!$A:$A,Derived_Variables!$S:$S,"Neutral")="Undercorrect",XLOOKUP("undercorrect_step",Calibration!$B:$B,Calibration!$C:$C,0.25),IF(XLOOKUP($B213,Derived_Variables!$A:$A,Derived_Variables!$S:$S,"Neutral")="Overcorrect",-XLOOKUP("overcorrect_step",Calibration!$B:$B,Calibration!$C:$C,0.25),0)),TRUE,0),C213="K",IF(I213="BOTTOM_CLEARER",XLOOKUP("bino_balance_step",Calibration!$B:$B,Calibration!$C:$C,0.25),0),TRUE,0))</f>
        <v/>
      </c>
      <c r="AQ213" s="28" t="str">
        <f t="shared" si="12"/>
        <v/>
      </c>
      <c r="AR213" s="28" t="str">
        <f t="shared" si="13"/>
        <v/>
      </c>
      <c r="AS213" s="28" t="str">
        <f t="array" ref="AS213">IF($I213="","",IF(C213="P",IF(OR(I213="NOT_READABLE",I213="BLURRY"),XLOOKUP("near_add_step",Calibration!$B:$B,Calibration!$C:$C,0.25),0),IF(C213="R",IF(I213="NOT_CLEAR",XLOOKUP("near_add_step",Calibration!$B:$B,Calibration!$C:$C,0.25),0),0)))</f>
        <v/>
      </c>
      <c r="AT213" s="28" t="str">
        <f t="array" ref="AT213">IF($I213="","",IF(C213="Q",IF(OR(I213="NOT_READABLE",I213="BLURRY"),XLOOKUP("near_add_step",Calibration!$B:$B,Calibration!$C:$C,0.25),0),IF(C213="R",IF(I213="NOT_CLEAR",XLOOKUP("near_add_step",Calibration!$B:$B,Calibration!$C:$C,0.25),0),0)))</f>
        <v/>
      </c>
      <c r="AU213" s="28" t="str">
        <f t="array" ref="AU213">IF($I213="","",IF(G213="SNELLEN_FEET",IF(I213="READABLE",IFERROR(XLOOKUP(XLOOKUP(R213,Chart_Scale_Distance!B:B,Chart_Scale_Distance!A:A)+1,Chart_Scale_Distance!A:A,Chart_Scale_Distance!B:B),R213),R213),R213))</f>
        <v/>
      </c>
      <c r="AV213" s="28" t="str">
        <f t="array" ref="AV213">IF($I212="","",IFERROR(XLOOKUP(R213,Chart_Scale_Distance!$B:$B,Chart_Scale_Distance!$A:$A,""),""))</f>
        <v/>
      </c>
      <c r="AW213" s="28" t="str">
        <f t="array" ref="AW213">IF($I212="","",IFERROR(XLOOKUP(AA213,Chart_Scale_Distance!$B:$B,Chart_Scale_Distance!$A:$A,""),""))</f>
        <v/>
      </c>
      <c r="AX213" s="28" t="str">
        <f t="shared" si="14"/>
        <v/>
      </c>
      <c r="AY213" s="28" t="str">
        <f t="shared" si="15"/>
        <v/>
      </c>
      <c r="AZ213" s="28" t="str">
        <f t="shared" si="16"/>
        <v/>
      </c>
      <c r="BA213" s="28" t="str">
        <f t="shared" si="17"/>
        <v/>
      </c>
      <c r="BB213" s="28" t="str">
        <f t="shared" si="18"/>
        <v/>
      </c>
      <c r="BC213" s="28" t="str">
        <f t="array" ref="BC213">IF($I213="","",LET(
conf,AI213,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duoMax,XLOOKUP($B213,Derived_Variables!$A:$A,Derived_Variables!$AI:$AI,4),
axisTol,XLOOKUP($B213,Derived_Variables!$A:$A,Derived_Variables!$W:$W,1),
maxStart,XLOOKUP($B213,Derived_Variables!$A:$A,Derived_Variables!$U:$U,1.25),
maxAR,XLOOKUP($B213,Derived_Variables!$A:$A,Derived_Variables!$V:$V,3),
anom,XLOOKUP($B213,Derived_Variables!$A:$A,Derived_Variables!$Z:$Z,FALSE),
reStart,XLOOKUP($B213,Derived_Variables!$A:$A,Derived_Variables!$K:$K,0),
leStart,XLOOKUP($B213,Derived_Variables!$A:$A,Derived_Variables!$N:$N,0),
reAR,XLOOKUP($B213,AR_Input!$A:$A,AR_Input!$B:$B,reStart),
leAR,XLOOKUP($B213,AR_Input!$A:$A,AR_Input!$E:$E,leStart),
reEsc,AND(anom,OR(ABS((S213+AM213)-reStart)&gt;maxStart,ABS((S213+AM213)-reAR)&gt;maxAR)),
leEsc,AND(anom,OR(ABS((V213+AP213)-leStart)&gt;maxStart,ABS((V213+AP213)-leAR)&gt;maxAR)),
phaseMax,IFS(
 AK213="Fast",
   IFS(
     OR(C213="B",C213="D"),XLOOKUP("timeout_coarse_fast",Calibration!$B:$B,Calibration!$C:$C,24),
     OR(C213="E",C213="F",C213="H",C213="I"),XLOOKUP("timeout_jcc_fast",Calibration!$B:$B,Calibration!$C:$C,10),
     OR(C213="G",C213="J"),XLOOKUP("timeout_duochrome_fast",Calibration!$B:$B,Calibration!$C:$C,8),
     C213="K",XLOOKUP("timeout_bino_fast",Calibration!$B:$B,Calibration!$C:$C,10),
     OR(C213="P",C213="Q",C213="R"),XLOOKUP("timeout_near_fast",Calibration!$B:$B,Calibration!$C:$C,16),
     TRUE,XLOOKUP("timeout_coarse_fast",Calibration!$B:$B,Calibration!$C:$C,24)
   ),
 AK213="Normal",
   IFS(
     OR(C213="B",C213="D"),XLOOKUP("timeout_coarse_normal",Calibration!$B:$B,Calibration!$C:$C,36),
     OR(C213="E",C213="F",C213="H",C213="I"),XLOOKUP("timeout_jcc_normal",Calibration!$B:$B,Calibration!$C:$C,14),
     OR(C213="G",C213="J"),XLOOKUP("timeout_duochrome_normal",Calibration!$B:$B,Calibration!$C:$C,10),
     C213="K",XLOOKUP("timeout_bino_normal",Calibration!$B:$B,Calibration!$C:$C,14),
     OR(C213="P",C213="Q",C213="R"),XLOOKUP("timeout_near_normal",Calibration!$B:$B,Calibration!$C:$C,22),
     TRUE,XLOOKUP("timeout_coarse_normal",Calibration!$B:$B,Calibration!$C:$C,36)
   ),
 TRUE,
   IFS(
     OR(C213="B",C213="D"),XLOOKUP("timeout_coarse_slow",Calibration!$B:$B,Calibration!$C:$C,48),
     OR(C213="E",C213="F",C213="H",C213="I"),XLOOKUP("timeout_jcc_slow",Calibration!$B:$B,Calibration!$C:$C,18),
     OR(C213="G",C213="J"),XLOOKUP("timeout_duochrome_slow",Calibration!$B:$B,Calibration!$C:$C,12),
     C213="K",XLOOKUP("timeout_bino_slow",Calibration!$B:$B,Calibration!$C:$C,18),
     OR(C213="P",C213="Q",C213="R"),XLOOKUP("timeout_near_slow",Calibration!$B:$B,Calibration!$C:$C,28),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AJ213=TRUE,"ESCALATE",
C213="A",
IF(OR(I213="NOT_READABLE",I213="BLURRY",AND(R213="20_20_20",I213="READABLE")),"B","A"),
C213="B",
IF(reEsc,"ESCALATE",IF(AY213&gt;=phaseMax,"ESCALATE",IF(AND(AV213&gt;=AW213,I213="READABLE"),"E","B"))),
C213="E",
IF(AY213&gt;=phaseMax,"ESCALATE",IF(OR(I213="SAME",I213="CANT_TELL",AD213&lt;axisTol),"F","E")),
C213="F",
IF(AY213&gt;=phaseMax,"ESCALATE",IF(AX213&gt;=powerSameN,"G","F")),
C213="G",
IF(AY213&gt;=phaseMax,"ESCALATE",IF(OR(AX213&gt;=duoEqualN,BB213&gt;=duoMax),"D","G")),
C213="D",
IF(leEsc,"ESCALATE",IF(AY213&gt;=phaseMax,"ESCALATE",IF(AND(AV213&gt;=AW213,I213="READABLE"),"H","D"))),
C213="H",
IF(AY213&gt;=phaseMax,"ESCALATE",IF(OR(I213="SAME",I213="CANT_TELL",AD213&lt;axisTol),"I","H")),
C213="I",
IF(AY213&gt;=phaseMax,"ESCALATE",IF(AX213&gt;=powerSameN,"J","I")),
C213="J",
IF(AY213&gt;=phaseMax,"ESCALATE",IF(OR(AX213&gt;=duoEqualN,BB213&gt;=duoMax),"K","J")),
C213="K",
IF(AY213&gt;=phaseMax,"ESCALATE",IF(AX213&gt;=binoSameN,IF(XLOOKUP($B213,Derived_Variables!$A:$A,Derived_Variables!$AJ:$AJ,FALSE)=TRUE,"P","END"),"K")),
C213="P",
IF(AY213&gt;=phaseMax,"ESCALATE",IF(OR(I213="READABLE",I213="SAME"),"Q","P")),
C213="Q",
IF(AY213&gt;=phaseMax,"ESCALATE",IF(OR(I213="READABLE",I213="SAME"),"R","Q")),
C213="R",
IF(AY213&gt;=phaseMax,"ESCALATE",IF(OR(I213=nearTarget,I213="SAME"),"END","R")),
TRUE,"END"
)))</f>
        <v/>
      </c>
      <c r="BD213" s="28" t="b">
        <f t="shared" si="19"/>
        <v>0</v>
      </c>
    </row>
    <row r="214" ht="15.75" customHeight="1">
      <c r="A214" s="28">
        <f t="shared" si="3"/>
        <v>213</v>
      </c>
      <c r="B214" s="28">
        <f t="shared" si="4"/>
        <v>6</v>
      </c>
      <c r="C214" s="28" t="str">
        <f t="shared" si="5"/>
        <v/>
      </c>
      <c r="D214" s="28" t="str">
        <f t="array" ref="D214">IF($I213="","",XLOOKUP(C214,FSM_State_Map!A:A,FSM_State_Map!B:B,""))</f>
        <v/>
      </c>
      <c r="E214" s="28" t="str">
        <f t="array" ref="E214">IF($I213="","",XLOOKUP(C214,FSM_State_Map!A:A,FSM_State_Map!C:C,""))</f>
        <v/>
      </c>
      <c r="F214" s="28" t="str">
        <f t="array" ref="F214">IF($I213="","",XLOOKUP(E214,Phase_UI_Map!A:A,Phase_UI_Map!B:B,""))</f>
        <v/>
      </c>
      <c r="G214" s="28" t="str">
        <f t="array" ref="G214">IF($I213="","",XLOOKUP(E214,Phase_UI_Map!A:A,Phase_UI_Map!C:C,""))</f>
        <v/>
      </c>
      <c r="H214" s="28" t="str">
        <f t="array" ref="H214">IF($I213="","",XLOOKUP(E214,Phase_UI_Map!A:A,Phase_UI_Map!D:D,""))</f>
        <v/>
      </c>
      <c r="I214" s="29"/>
      <c r="J214" s="28" t="str">
        <f>IFERROR(__xludf.DUMMYFUNCTION("IF($I213="""","""",IFERROR(INDEX(FILTER(Response_Lists!$B:$B,Response_Lists!$A:$A=$H214),1),""""))"),"")</f>
        <v/>
      </c>
      <c r="K214" s="28" t="str">
        <f>IFERROR(__xludf.DUMMYFUNCTION("IF($I213="""","""",IFERROR(INDEX(FILTER(Response_Lists!$B:$B,Response_Lists!$A:$A=$H214),2),""""))"),"")</f>
        <v/>
      </c>
      <c r="L214" s="28" t="str">
        <f>IFERROR(__xludf.DUMMYFUNCTION("IF($I213="""","""",IFERROR(INDEX(FILTER(Response_Lists!$B:$B,Response_Lists!$A:$A=$H214),3),""""))"),"")</f>
        <v/>
      </c>
      <c r="M214" s="28" t="str">
        <f>IFERROR(__xludf.DUMMYFUNCTION("IF($I213="""","""",IFERROR(INDEX(FILTER(Response_Lists!$B:$B,Response_Lists!$A:$A=$H214),4),""""))"),"")</f>
        <v/>
      </c>
      <c r="N214" s="28" t="str">
        <f>IFERROR(__xludf.DUMMYFUNCTION("IF($I213="""","""",IFERROR(INDEX(FILTER(Response_Lists!$B:$B,Response_Lists!$A:$A=$H214),5),""""))"),"")</f>
        <v/>
      </c>
      <c r="O214" s="28" t="str">
        <f>IFERROR(__xludf.DUMMYFUNCTION("IF($I213="""","""",IFERROR(INDEX(FILTER(Response_Lists!$B:$B,Response_Lists!$A:$A=$H214),6),""""))"),"")</f>
        <v/>
      </c>
      <c r="P214" s="28" t="str">
        <f t="shared" si="6"/>
        <v/>
      </c>
      <c r="Q214" s="28" t="str">
        <f t="array" ref="Q214">IF($I213="","",XLOOKUP(C214,FSM_State_Map!A:A,FSM_State_Map!D:D,""))</f>
        <v/>
      </c>
      <c r="R214" s="28" t="str">
        <f t="shared" si="7"/>
        <v/>
      </c>
      <c r="S214" s="28" t="str">
        <f t="array" ref="S214">IF($I213="","",
IF(
  AND(C214="B",C213&lt;&gt;"B"),
  XLOOKUP($B214,Derived_Variables!$A:$A,Derived_Variables!$K:$K,0)
  + XLOOKUP($B214,Derived_Variables!$A:$A,Derived_Variables!$AE:$AE,0),
  S213+AM213
))</f>
        <v/>
      </c>
      <c r="T214" s="28" t="str">
        <f t="shared" ref="T214:U214" si="438">IF($I213="","",T213+AN213)</f>
        <v/>
      </c>
      <c r="U214" s="28" t="str">
        <f t="shared" si="438"/>
        <v/>
      </c>
      <c r="V214" s="28" t="str">
        <f t="array" ref="V214">IF($I213="","",
IF(
  AND(C214="D",C213&lt;&gt;"D"),
  XLOOKUP($B214,Derived_Variables!$A:$A,Derived_Variables!$N:$N,0)
  + XLOOKUP($B214,Derived_Variables!$A:$A,Derived_Variables!$AE:$AE,0),
  V213+AP213
))</f>
        <v/>
      </c>
      <c r="W214" s="28" t="str">
        <f t="shared" ref="W214:X214" si="439">IF($I213="","",W213+AQ213)</f>
        <v/>
      </c>
      <c r="X214" s="28" t="str">
        <f t="shared" si="439"/>
        <v/>
      </c>
      <c r="Y214" s="28" t="str">
        <f t="array" ref="Y214">IF($I213="","",IF(AND(C214="P",C213&lt;&gt;"P"),IFERROR(XLOOKUP($B214,Lenso_Input!$A:$A,Lenso_Input!$E:$E,0),0),Y213+AS213))</f>
        <v/>
      </c>
      <c r="Z214" s="28" t="str">
        <f t="array" ref="Z214">IF($I213="","",IF(AND(C214="Q",C213&lt;&gt;"Q"),IFERROR(XLOOKUP($B214,Lenso_Input!$A:$A,Lenso_Input!$I:$I,0),0),Z213+AT213))</f>
        <v/>
      </c>
      <c r="AA214" s="28" t="str">
        <f t="array" ref="AA214">IF($I213="","",IF(XLOOKUP($B214,Derived_Variables!$A:$A,Derived_Variables!$R:$R,"6/6_target")="6/6_target","20_20_20","40_30_25"))</f>
        <v/>
      </c>
      <c r="AB214" s="28" t="str">
        <f t="array" ref="AB214">IF($I213="","",XLOOKUP(LOWER(XLOOKUP($B214,Derived_Variables!$A:$A,Derived_Variables!$T:$T,"Standard"))&amp;"_sph_step",Calibration!$B:$B,Calibration!$C:$C,0.25))</f>
        <v/>
      </c>
      <c r="AC214" s="28" t="str">
        <f t="array" ref="AC214">IF($I213="","",XLOOKUP(LOWER(XLOOKUP($B214,Derived_Variables!$A:$A,Derived_Variables!$T:$T,"Standard"))&amp;"_cyl_step",Calibration!$B:$B,Calibration!$C:$C,0.25))</f>
        <v/>
      </c>
      <c r="AD214" s="28" t="str">
        <f t="array" ref="AD214">IF($I213="","",IF(OR(C214="E",C214="H"),LET(startStep,XLOOKUP("axis_start_step",Calibration!$B:$B,Calibration!$C:$C,5),step1,XLOOKUP("axis_reversal_step_1",Calibration!$B:$B,Calibration!$C:$C,3),step2,XLOOKUP("axis_reversal_step_2",Calibration!$B:$B,Calibration!$C:$C,1),IF(OR(C213&lt;&gt;C214,AZ214="",AZ214="SAME",AZ214="CANT_TELL",I214="",I214="SAME",I214="CANT_TELL"),startStep,IF(OR(AND(AZ214="BETTER_1",I214="BETTER_2"),AND(AZ214="BETTER_2",I214="BETTER_1")),IF(AD213&gt;step1,step1,step2),AD213))),0))</f>
        <v/>
      </c>
      <c r="AE214" s="28" t="str">
        <f t="array" ref="AE214">IF($I213="","",XLOOKUP($B214,Derived_Variables!$A:$A,Derived_Variables!$AD:$AD,"No_Fog"))</f>
        <v/>
      </c>
      <c r="AF214" s="28" t="str">
        <f t="array" ref="AF214">IF($I213="","",XLOOKUP($B214,Derived_Variables!$A:$A,Derived_Variables!$AE:$AE,0))</f>
        <v/>
      </c>
      <c r="AG214" s="28" t="str">
        <f t="array" ref="AG214">IF($I213="","",XLOOKUP($B214,Derived_Variables!$A:$A,Derived_Variables!$AF:$AF,""))</f>
        <v/>
      </c>
      <c r="AH214" s="28" t="str">
        <f t="array" ref="AH214">IF($I213="","",XLOOKUP($B214,Derived_Variables!$A:$A,Derived_Variables!$AG:$AG,""))</f>
        <v/>
      </c>
      <c r="AI214" s="28" t="str">
        <f t="array" ref="AI214">IF($I213="","",XLOOKUP($B214,Derived_Variables!$A:$A,Derived_Variables!$AC:$AC,"Medium"))</f>
        <v/>
      </c>
      <c r="AJ214" s="28" t="str">
        <f t="array" ref="AJ214">IF($I213="","",XLOOKUP($B214,Derived_Variables!$A:$A,Derived_Variables!$Y:$Y,FALSE))</f>
        <v/>
      </c>
      <c r="AK214" s="28" t="str">
        <f t="array" ref="AK214">IF($I213="","",XLOOKUP($B214,Derived_Variables!$A:$A,Derived_Variables!$AA:$AA,"Normal"))</f>
        <v/>
      </c>
      <c r="AL214" s="28" t="str">
        <f t="array" ref="AL214">IF($I213="","",XLOOKUP($B214,Derived_Variables!$A:$A,Derived_Variables!$AB:$AB,"Normal"))</f>
        <v/>
      </c>
      <c r="AM214" s="28" t="str">
        <f t="array" ref="AM214">IF($I214="","",IFS(C214="B",IF(OR(I214="NOT_READABLE",I214="BLURRY"),-AB214,0),C214="G",IFS(I214="RED_CLEARER",XLOOKUP("duochrome_red_step",Calibration!$B:$B,Calibration!$C:$C,-0.25),I214="GREEN_CLEARER",XLOOKUP("duochrome_green_step",Calibration!$B:$B,Calibration!$C:$C,0.25),I214="EQUAL",IF(XLOOKUP($B214,Derived_Variables!$A:$A,Derived_Variables!$S:$S,"Neutral")="Undercorrect",XLOOKUP("undercorrect_step",Calibration!$B:$B,Calibration!$C:$C,0.25),IF(XLOOKUP($B214,Derived_Variables!$A:$A,Derived_Variables!$S:$S,"Neutral")="Overcorrect",-XLOOKUP("overcorrect_step",Calibration!$B:$B,Calibration!$C:$C,0.25),0)),TRUE,0),C214="K",IF(I214="TOP_CLEARER",XLOOKUP("bino_balance_step",Calibration!$B:$B,Calibration!$C:$C,0.25),0),TRUE,0))</f>
        <v/>
      </c>
      <c r="AN214" s="28" t="str">
        <f t="shared" si="10"/>
        <v/>
      </c>
      <c r="AO214" s="28" t="str">
        <f t="shared" si="11"/>
        <v/>
      </c>
      <c r="AP214" s="28" t="str">
        <f t="array" ref="AP214">IF($I214="","",IFS(C214="D",IF(OR(I214="NOT_READABLE",I214="BLURRY"),-AB214,0),C214="J",IFS(I214="RED_CLEARER",XLOOKUP("duochrome_red_step",Calibration!$B:$B,Calibration!$C:$C,-0.25),I214="GREEN_CLEARER",XLOOKUP("duochrome_green_step",Calibration!$B:$B,Calibration!$C:$C,0.25),I214="EQUAL",IF(XLOOKUP($B214,Derived_Variables!$A:$A,Derived_Variables!$S:$S,"Neutral")="Undercorrect",XLOOKUP("undercorrect_step",Calibration!$B:$B,Calibration!$C:$C,0.25),IF(XLOOKUP($B214,Derived_Variables!$A:$A,Derived_Variables!$S:$S,"Neutral")="Overcorrect",-XLOOKUP("overcorrect_step",Calibration!$B:$B,Calibration!$C:$C,0.25),0)),TRUE,0),C214="K",IF(I214="BOTTOM_CLEARER",XLOOKUP("bino_balance_step",Calibration!$B:$B,Calibration!$C:$C,0.25),0),TRUE,0))</f>
        <v/>
      </c>
      <c r="AQ214" s="28" t="str">
        <f t="shared" si="12"/>
        <v/>
      </c>
      <c r="AR214" s="28" t="str">
        <f t="shared" si="13"/>
        <v/>
      </c>
      <c r="AS214" s="28" t="str">
        <f t="array" ref="AS214">IF($I214="","",IF(C214="P",IF(OR(I214="NOT_READABLE",I214="BLURRY"),XLOOKUP("near_add_step",Calibration!$B:$B,Calibration!$C:$C,0.25),0),IF(C214="R",IF(I214="NOT_CLEAR",XLOOKUP("near_add_step",Calibration!$B:$B,Calibration!$C:$C,0.25),0),0)))</f>
        <v/>
      </c>
      <c r="AT214" s="28" t="str">
        <f t="array" ref="AT214">IF($I214="","",IF(C214="Q",IF(OR(I214="NOT_READABLE",I214="BLURRY"),XLOOKUP("near_add_step",Calibration!$B:$B,Calibration!$C:$C,0.25),0),IF(C214="R",IF(I214="NOT_CLEAR",XLOOKUP("near_add_step",Calibration!$B:$B,Calibration!$C:$C,0.25),0),0)))</f>
        <v/>
      </c>
      <c r="AU214" s="28" t="str">
        <f t="array" ref="AU214">IF($I214="","",IF(G214="SNELLEN_FEET",IF(I214="READABLE",IFERROR(XLOOKUP(XLOOKUP(R214,Chart_Scale_Distance!B:B,Chart_Scale_Distance!A:A)+1,Chart_Scale_Distance!A:A,Chart_Scale_Distance!B:B),R214),R214),R214))</f>
        <v/>
      </c>
      <c r="AV214" s="28" t="str">
        <f t="array" ref="AV214">IF($I213="","",IFERROR(XLOOKUP(R214,Chart_Scale_Distance!$B:$B,Chart_Scale_Distance!$A:$A,""),""))</f>
        <v/>
      </c>
      <c r="AW214" s="28" t="str">
        <f t="array" ref="AW214">IF($I213="","",IFERROR(XLOOKUP(AA214,Chart_Scale_Distance!$B:$B,Chart_Scale_Distance!$A:$A,""),""))</f>
        <v/>
      </c>
      <c r="AX214" s="28" t="str">
        <f t="shared" si="14"/>
        <v/>
      </c>
      <c r="AY214" s="28" t="str">
        <f t="shared" si="15"/>
        <v/>
      </c>
      <c r="AZ214" s="28" t="str">
        <f t="shared" si="16"/>
        <v/>
      </c>
      <c r="BA214" s="28" t="str">
        <f t="shared" si="17"/>
        <v/>
      </c>
      <c r="BB214" s="28" t="str">
        <f t="shared" si="18"/>
        <v/>
      </c>
      <c r="BC214" s="28" t="str">
        <f t="array" ref="BC214">IF($I214="","",LET(
conf,AI214,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duoMax,XLOOKUP($B214,Derived_Variables!$A:$A,Derived_Variables!$AI:$AI,4),
axisTol,XLOOKUP($B214,Derived_Variables!$A:$A,Derived_Variables!$W:$W,1),
maxStart,XLOOKUP($B214,Derived_Variables!$A:$A,Derived_Variables!$U:$U,1.25),
maxAR,XLOOKUP($B214,Derived_Variables!$A:$A,Derived_Variables!$V:$V,3),
anom,XLOOKUP($B214,Derived_Variables!$A:$A,Derived_Variables!$Z:$Z,FALSE),
reStart,XLOOKUP($B214,Derived_Variables!$A:$A,Derived_Variables!$K:$K,0),
leStart,XLOOKUP($B214,Derived_Variables!$A:$A,Derived_Variables!$N:$N,0),
reAR,XLOOKUP($B214,AR_Input!$A:$A,AR_Input!$B:$B,reStart),
leAR,XLOOKUP($B214,AR_Input!$A:$A,AR_Input!$E:$E,leStart),
reEsc,AND(anom,OR(ABS((S214+AM214)-reStart)&gt;maxStart,ABS((S214+AM214)-reAR)&gt;maxAR)),
leEsc,AND(anom,OR(ABS((V214+AP214)-leStart)&gt;maxStart,ABS((V214+AP214)-leAR)&gt;maxAR)),
phaseMax,IFS(
 AK214="Fast",
   IFS(
     OR(C214="B",C214="D"),XLOOKUP("timeout_coarse_fast",Calibration!$B:$B,Calibration!$C:$C,24),
     OR(C214="E",C214="F",C214="H",C214="I"),XLOOKUP("timeout_jcc_fast",Calibration!$B:$B,Calibration!$C:$C,10),
     OR(C214="G",C214="J"),XLOOKUP("timeout_duochrome_fast",Calibration!$B:$B,Calibration!$C:$C,8),
     C214="K",XLOOKUP("timeout_bino_fast",Calibration!$B:$B,Calibration!$C:$C,10),
     OR(C214="P",C214="Q",C214="R"),XLOOKUP("timeout_near_fast",Calibration!$B:$B,Calibration!$C:$C,16),
     TRUE,XLOOKUP("timeout_coarse_fast",Calibration!$B:$B,Calibration!$C:$C,24)
   ),
 AK214="Normal",
   IFS(
     OR(C214="B",C214="D"),XLOOKUP("timeout_coarse_normal",Calibration!$B:$B,Calibration!$C:$C,36),
     OR(C214="E",C214="F",C214="H",C214="I"),XLOOKUP("timeout_jcc_normal",Calibration!$B:$B,Calibration!$C:$C,14),
     OR(C214="G",C214="J"),XLOOKUP("timeout_duochrome_normal",Calibration!$B:$B,Calibration!$C:$C,10),
     C214="K",XLOOKUP("timeout_bino_normal",Calibration!$B:$B,Calibration!$C:$C,14),
     OR(C214="P",C214="Q",C214="R"),XLOOKUP("timeout_near_normal",Calibration!$B:$B,Calibration!$C:$C,22),
     TRUE,XLOOKUP("timeout_coarse_normal",Calibration!$B:$B,Calibration!$C:$C,36)
   ),
 TRUE,
   IFS(
     OR(C214="B",C214="D"),XLOOKUP("timeout_coarse_slow",Calibration!$B:$B,Calibration!$C:$C,48),
     OR(C214="E",C214="F",C214="H",C214="I"),XLOOKUP("timeout_jcc_slow",Calibration!$B:$B,Calibration!$C:$C,18),
     OR(C214="G",C214="J"),XLOOKUP("timeout_duochrome_slow",Calibration!$B:$B,Calibration!$C:$C,12),
     C214="K",XLOOKUP("timeout_bino_slow",Calibration!$B:$B,Calibration!$C:$C,18),
     OR(C214="P",C214="Q",C214="R"),XLOOKUP("timeout_near_slow",Calibration!$B:$B,Calibration!$C:$C,28),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AJ214=TRUE,"ESCALATE",
C214="A",
IF(OR(I214="NOT_READABLE",I214="BLURRY",AND(R214="20_20_20",I214="READABLE")),"B","A"),
C214="B",
IF(reEsc,"ESCALATE",IF(AY214&gt;=phaseMax,"ESCALATE",IF(AND(AV214&gt;=AW214,I214="READABLE"),"E","B"))),
C214="E",
IF(AY214&gt;=phaseMax,"ESCALATE",IF(OR(I214="SAME",I214="CANT_TELL",AD214&lt;axisTol),"F","E")),
C214="F",
IF(AY214&gt;=phaseMax,"ESCALATE",IF(AX214&gt;=powerSameN,"G","F")),
C214="G",
IF(AY214&gt;=phaseMax,"ESCALATE",IF(OR(AX214&gt;=duoEqualN,BB214&gt;=duoMax),"D","G")),
C214="D",
IF(leEsc,"ESCALATE",IF(AY214&gt;=phaseMax,"ESCALATE",IF(AND(AV214&gt;=AW214,I214="READABLE"),"H","D"))),
C214="H",
IF(AY214&gt;=phaseMax,"ESCALATE",IF(OR(I214="SAME",I214="CANT_TELL",AD214&lt;axisTol),"I","H")),
C214="I",
IF(AY214&gt;=phaseMax,"ESCALATE",IF(AX214&gt;=powerSameN,"J","I")),
C214="J",
IF(AY214&gt;=phaseMax,"ESCALATE",IF(OR(AX214&gt;=duoEqualN,BB214&gt;=duoMax),"K","J")),
C214="K",
IF(AY214&gt;=phaseMax,"ESCALATE",IF(AX214&gt;=binoSameN,IF(XLOOKUP($B214,Derived_Variables!$A:$A,Derived_Variables!$AJ:$AJ,FALSE)=TRUE,"P","END"),"K")),
C214="P",
IF(AY214&gt;=phaseMax,"ESCALATE",IF(OR(I214="READABLE",I214="SAME"),"Q","P")),
C214="Q",
IF(AY214&gt;=phaseMax,"ESCALATE",IF(OR(I214="READABLE",I214="SAME"),"R","Q")),
C214="R",
IF(AY214&gt;=phaseMax,"ESCALATE",IF(OR(I214=nearTarget,I214="SAME"),"END","R")),
TRUE,"END"
)))</f>
        <v/>
      </c>
      <c r="BD214" s="28" t="b">
        <f t="shared" si="19"/>
        <v>0</v>
      </c>
    </row>
    <row r="215" ht="15.75" customHeight="1">
      <c r="A215" s="28">
        <f t="shared" si="3"/>
        <v>214</v>
      </c>
      <c r="B215" s="28">
        <f t="shared" si="4"/>
        <v>6</v>
      </c>
      <c r="C215" s="28" t="str">
        <f t="shared" si="5"/>
        <v/>
      </c>
      <c r="D215" s="28" t="str">
        <f t="array" ref="D215">IF($I214="","",XLOOKUP(C215,FSM_State_Map!A:A,FSM_State_Map!B:B,""))</f>
        <v/>
      </c>
      <c r="E215" s="28" t="str">
        <f t="array" ref="E215">IF($I214="","",XLOOKUP(C215,FSM_State_Map!A:A,FSM_State_Map!C:C,""))</f>
        <v/>
      </c>
      <c r="F215" s="28" t="str">
        <f t="array" ref="F215">IF($I214="","",XLOOKUP(E215,Phase_UI_Map!A:A,Phase_UI_Map!B:B,""))</f>
        <v/>
      </c>
      <c r="G215" s="28" t="str">
        <f t="array" ref="G215">IF($I214="","",XLOOKUP(E215,Phase_UI_Map!A:A,Phase_UI_Map!C:C,""))</f>
        <v/>
      </c>
      <c r="H215" s="28" t="str">
        <f t="array" ref="H215">IF($I214="","",XLOOKUP(E215,Phase_UI_Map!A:A,Phase_UI_Map!D:D,""))</f>
        <v/>
      </c>
      <c r="I215" s="29"/>
      <c r="J215" s="28" t="str">
        <f>IFERROR(__xludf.DUMMYFUNCTION("IF($I214="""","""",IFERROR(INDEX(FILTER(Response_Lists!$B:$B,Response_Lists!$A:$A=$H215),1),""""))"),"")</f>
        <v/>
      </c>
      <c r="K215" s="28" t="str">
        <f>IFERROR(__xludf.DUMMYFUNCTION("IF($I214="""","""",IFERROR(INDEX(FILTER(Response_Lists!$B:$B,Response_Lists!$A:$A=$H215),2),""""))"),"")</f>
        <v/>
      </c>
      <c r="L215" s="28" t="str">
        <f>IFERROR(__xludf.DUMMYFUNCTION("IF($I214="""","""",IFERROR(INDEX(FILTER(Response_Lists!$B:$B,Response_Lists!$A:$A=$H215),3),""""))"),"")</f>
        <v/>
      </c>
      <c r="M215" s="28" t="str">
        <f>IFERROR(__xludf.DUMMYFUNCTION("IF($I214="""","""",IFERROR(INDEX(FILTER(Response_Lists!$B:$B,Response_Lists!$A:$A=$H215),4),""""))"),"")</f>
        <v/>
      </c>
      <c r="N215" s="28" t="str">
        <f>IFERROR(__xludf.DUMMYFUNCTION("IF($I214="""","""",IFERROR(INDEX(FILTER(Response_Lists!$B:$B,Response_Lists!$A:$A=$H215),5),""""))"),"")</f>
        <v/>
      </c>
      <c r="O215" s="28" t="str">
        <f>IFERROR(__xludf.DUMMYFUNCTION("IF($I214="""","""",IFERROR(INDEX(FILTER(Response_Lists!$B:$B,Response_Lists!$A:$A=$H215),6),""""))"),"")</f>
        <v/>
      </c>
      <c r="P215" s="28" t="str">
        <f t="shared" si="6"/>
        <v/>
      </c>
      <c r="Q215" s="28" t="str">
        <f t="array" ref="Q215">IF($I214="","",XLOOKUP(C215,FSM_State_Map!A:A,FSM_State_Map!D:D,""))</f>
        <v/>
      </c>
      <c r="R215" s="28" t="str">
        <f t="shared" si="7"/>
        <v/>
      </c>
      <c r="S215" s="28" t="str">
        <f t="array" ref="S215">IF($I214="","",
IF(
  AND(C215="B",C214&lt;&gt;"B"),
  XLOOKUP($B215,Derived_Variables!$A:$A,Derived_Variables!$K:$K,0)
  + XLOOKUP($B215,Derived_Variables!$A:$A,Derived_Variables!$AE:$AE,0),
  S214+AM214
))</f>
        <v/>
      </c>
      <c r="T215" s="28" t="str">
        <f t="shared" ref="T215:U215" si="440">IF($I214="","",T214+AN214)</f>
        <v/>
      </c>
      <c r="U215" s="28" t="str">
        <f t="shared" si="440"/>
        <v/>
      </c>
      <c r="V215" s="28" t="str">
        <f t="array" ref="V215">IF($I214="","",
IF(
  AND(C215="D",C214&lt;&gt;"D"),
  XLOOKUP($B215,Derived_Variables!$A:$A,Derived_Variables!$N:$N,0)
  + XLOOKUP($B215,Derived_Variables!$A:$A,Derived_Variables!$AE:$AE,0),
  V214+AP214
))</f>
        <v/>
      </c>
      <c r="W215" s="28" t="str">
        <f t="shared" ref="W215:X215" si="441">IF($I214="","",W214+AQ214)</f>
        <v/>
      </c>
      <c r="X215" s="28" t="str">
        <f t="shared" si="441"/>
        <v/>
      </c>
      <c r="Y215" s="28" t="str">
        <f t="array" ref="Y215">IF($I214="","",IF(AND(C215="P",C214&lt;&gt;"P"),IFERROR(XLOOKUP($B215,Lenso_Input!$A:$A,Lenso_Input!$E:$E,0),0),Y214+AS214))</f>
        <v/>
      </c>
      <c r="Z215" s="28" t="str">
        <f t="array" ref="Z215">IF($I214="","",IF(AND(C215="Q",C214&lt;&gt;"Q"),IFERROR(XLOOKUP($B215,Lenso_Input!$A:$A,Lenso_Input!$I:$I,0),0),Z214+AT214))</f>
        <v/>
      </c>
      <c r="AA215" s="28" t="str">
        <f t="array" ref="AA215">IF($I214="","",IF(XLOOKUP($B215,Derived_Variables!$A:$A,Derived_Variables!$R:$R,"6/6_target")="6/6_target","20_20_20","40_30_25"))</f>
        <v/>
      </c>
      <c r="AB215" s="28" t="str">
        <f t="array" ref="AB215">IF($I214="","",XLOOKUP(LOWER(XLOOKUP($B215,Derived_Variables!$A:$A,Derived_Variables!$T:$T,"Standard"))&amp;"_sph_step",Calibration!$B:$B,Calibration!$C:$C,0.25))</f>
        <v/>
      </c>
      <c r="AC215" s="28" t="str">
        <f t="array" ref="AC215">IF($I214="","",XLOOKUP(LOWER(XLOOKUP($B215,Derived_Variables!$A:$A,Derived_Variables!$T:$T,"Standard"))&amp;"_cyl_step",Calibration!$B:$B,Calibration!$C:$C,0.25))</f>
        <v/>
      </c>
      <c r="AD215" s="28" t="str">
        <f t="array" ref="AD215">IF($I214="","",IF(OR(C215="E",C215="H"),LET(startStep,XLOOKUP("axis_start_step",Calibration!$B:$B,Calibration!$C:$C,5),step1,XLOOKUP("axis_reversal_step_1",Calibration!$B:$B,Calibration!$C:$C,3),step2,XLOOKUP("axis_reversal_step_2",Calibration!$B:$B,Calibration!$C:$C,1),IF(OR(C214&lt;&gt;C215,AZ215="",AZ215="SAME",AZ215="CANT_TELL",I215="",I215="SAME",I215="CANT_TELL"),startStep,IF(OR(AND(AZ215="BETTER_1",I215="BETTER_2"),AND(AZ215="BETTER_2",I215="BETTER_1")),IF(AD214&gt;step1,step1,step2),AD214))),0))</f>
        <v/>
      </c>
      <c r="AE215" s="28" t="str">
        <f t="array" ref="AE215">IF($I214="","",XLOOKUP($B215,Derived_Variables!$A:$A,Derived_Variables!$AD:$AD,"No_Fog"))</f>
        <v/>
      </c>
      <c r="AF215" s="28" t="str">
        <f t="array" ref="AF215">IF($I214="","",XLOOKUP($B215,Derived_Variables!$A:$A,Derived_Variables!$AE:$AE,0))</f>
        <v/>
      </c>
      <c r="AG215" s="28" t="str">
        <f t="array" ref="AG215">IF($I214="","",XLOOKUP($B215,Derived_Variables!$A:$A,Derived_Variables!$AF:$AF,""))</f>
        <v/>
      </c>
      <c r="AH215" s="28" t="str">
        <f t="array" ref="AH215">IF($I214="","",XLOOKUP($B215,Derived_Variables!$A:$A,Derived_Variables!$AG:$AG,""))</f>
        <v/>
      </c>
      <c r="AI215" s="28" t="str">
        <f t="array" ref="AI215">IF($I214="","",XLOOKUP($B215,Derived_Variables!$A:$A,Derived_Variables!$AC:$AC,"Medium"))</f>
        <v/>
      </c>
      <c r="AJ215" s="28" t="str">
        <f t="array" ref="AJ215">IF($I214="","",XLOOKUP($B215,Derived_Variables!$A:$A,Derived_Variables!$Y:$Y,FALSE))</f>
        <v/>
      </c>
      <c r="AK215" s="28" t="str">
        <f t="array" ref="AK215">IF($I214="","",XLOOKUP($B215,Derived_Variables!$A:$A,Derived_Variables!$AA:$AA,"Normal"))</f>
        <v/>
      </c>
      <c r="AL215" s="28" t="str">
        <f t="array" ref="AL215">IF($I214="","",XLOOKUP($B215,Derived_Variables!$A:$A,Derived_Variables!$AB:$AB,"Normal"))</f>
        <v/>
      </c>
      <c r="AM215" s="28" t="str">
        <f t="array" ref="AM215">IF($I215="","",IFS(C215="B",IF(OR(I215="NOT_READABLE",I215="BLURRY"),-AB215,0),C215="G",IFS(I215="RED_CLEARER",XLOOKUP("duochrome_red_step",Calibration!$B:$B,Calibration!$C:$C,-0.25),I215="GREEN_CLEARER",XLOOKUP("duochrome_green_step",Calibration!$B:$B,Calibration!$C:$C,0.25),I215="EQUAL",IF(XLOOKUP($B215,Derived_Variables!$A:$A,Derived_Variables!$S:$S,"Neutral")="Undercorrect",XLOOKUP("undercorrect_step",Calibration!$B:$B,Calibration!$C:$C,0.25),IF(XLOOKUP($B215,Derived_Variables!$A:$A,Derived_Variables!$S:$S,"Neutral")="Overcorrect",-XLOOKUP("overcorrect_step",Calibration!$B:$B,Calibration!$C:$C,0.25),0)),TRUE,0),C215="K",IF(I215="TOP_CLEARER",XLOOKUP("bino_balance_step",Calibration!$B:$B,Calibration!$C:$C,0.25),0),TRUE,0))</f>
        <v/>
      </c>
      <c r="AN215" s="28" t="str">
        <f t="shared" si="10"/>
        <v/>
      </c>
      <c r="AO215" s="28" t="str">
        <f t="shared" si="11"/>
        <v/>
      </c>
      <c r="AP215" s="28" t="str">
        <f t="array" ref="AP215">IF($I215="","",IFS(C215="D",IF(OR(I215="NOT_READABLE",I215="BLURRY"),-AB215,0),C215="J",IFS(I215="RED_CLEARER",XLOOKUP("duochrome_red_step",Calibration!$B:$B,Calibration!$C:$C,-0.25),I215="GREEN_CLEARER",XLOOKUP("duochrome_green_step",Calibration!$B:$B,Calibration!$C:$C,0.25),I215="EQUAL",IF(XLOOKUP($B215,Derived_Variables!$A:$A,Derived_Variables!$S:$S,"Neutral")="Undercorrect",XLOOKUP("undercorrect_step",Calibration!$B:$B,Calibration!$C:$C,0.25),IF(XLOOKUP($B215,Derived_Variables!$A:$A,Derived_Variables!$S:$S,"Neutral")="Overcorrect",-XLOOKUP("overcorrect_step",Calibration!$B:$B,Calibration!$C:$C,0.25),0)),TRUE,0),C215="K",IF(I215="BOTTOM_CLEARER",XLOOKUP("bino_balance_step",Calibration!$B:$B,Calibration!$C:$C,0.25),0),TRUE,0))</f>
        <v/>
      </c>
      <c r="AQ215" s="28" t="str">
        <f t="shared" si="12"/>
        <v/>
      </c>
      <c r="AR215" s="28" t="str">
        <f t="shared" si="13"/>
        <v/>
      </c>
      <c r="AS215" s="28" t="str">
        <f t="array" ref="AS215">IF($I215="","",IF(C215="P",IF(OR(I215="NOT_READABLE",I215="BLURRY"),XLOOKUP("near_add_step",Calibration!$B:$B,Calibration!$C:$C,0.25),0),IF(C215="R",IF(I215="NOT_CLEAR",XLOOKUP("near_add_step",Calibration!$B:$B,Calibration!$C:$C,0.25),0),0)))</f>
        <v/>
      </c>
      <c r="AT215" s="28" t="str">
        <f t="array" ref="AT215">IF($I215="","",IF(C215="Q",IF(OR(I215="NOT_READABLE",I215="BLURRY"),XLOOKUP("near_add_step",Calibration!$B:$B,Calibration!$C:$C,0.25),0),IF(C215="R",IF(I215="NOT_CLEAR",XLOOKUP("near_add_step",Calibration!$B:$B,Calibration!$C:$C,0.25),0),0)))</f>
        <v/>
      </c>
      <c r="AU215" s="28" t="str">
        <f t="array" ref="AU215">IF($I215="","",IF(G215="SNELLEN_FEET",IF(I215="READABLE",IFERROR(XLOOKUP(XLOOKUP(R215,Chart_Scale_Distance!B:B,Chart_Scale_Distance!A:A)+1,Chart_Scale_Distance!A:A,Chart_Scale_Distance!B:B),R215),R215),R215))</f>
        <v/>
      </c>
      <c r="AV215" s="28" t="str">
        <f t="array" ref="AV215">IF($I214="","",IFERROR(XLOOKUP(R215,Chart_Scale_Distance!$B:$B,Chart_Scale_Distance!$A:$A,""),""))</f>
        <v/>
      </c>
      <c r="AW215" s="28" t="str">
        <f t="array" ref="AW215">IF($I214="","",IFERROR(XLOOKUP(AA215,Chart_Scale_Distance!$B:$B,Chart_Scale_Distance!$A:$A,""),""))</f>
        <v/>
      </c>
      <c r="AX215" s="28" t="str">
        <f t="shared" si="14"/>
        <v/>
      </c>
      <c r="AY215" s="28" t="str">
        <f t="shared" si="15"/>
        <v/>
      </c>
      <c r="AZ215" s="28" t="str">
        <f t="shared" si="16"/>
        <v/>
      </c>
      <c r="BA215" s="28" t="str">
        <f t="shared" si="17"/>
        <v/>
      </c>
      <c r="BB215" s="28" t="str">
        <f t="shared" si="18"/>
        <v/>
      </c>
      <c r="BC215" s="28" t="str">
        <f t="array" ref="BC215">IF($I215="","",LET(
conf,AI215,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duoMax,XLOOKUP($B215,Derived_Variables!$A:$A,Derived_Variables!$AI:$AI,4),
axisTol,XLOOKUP($B215,Derived_Variables!$A:$A,Derived_Variables!$W:$W,1),
maxStart,XLOOKUP($B215,Derived_Variables!$A:$A,Derived_Variables!$U:$U,1.25),
maxAR,XLOOKUP($B215,Derived_Variables!$A:$A,Derived_Variables!$V:$V,3),
anom,XLOOKUP($B215,Derived_Variables!$A:$A,Derived_Variables!$Z:$Z,FALSE),
reStart,XLOOKUP($B215,Derived_Variables!$A:$A,Derived_Variables!$K:$K,0),
leStart,XLOOKUP($B215,Derived_Variables!$A:$A,Derived_Variables!$N:$N,0),
reAR,XLOOKUP($B215,AR_Input!$A:$A,AR_Input!$B:$B,reStart),
leAR,XLOOKUP($B215,AR_Input!$A:$A,AR_Input!$E:$E,leStart),
reEsc,AND(anom,OR(ABS((S215+AM215)-reStart)&gt;maxStart,ABS((S215+AM215)-reAR)&gt;maxAR)),
leEsc,AND(anom,OR(ABS((V215+AP215)-leStart)&gt;maxStart,ABS((V215+AP215)-leAR)&gt;maxAR)),
phaseMax,IFS(
 AK215="Fast",
   IFS(
     OR(C215="B",C215="D"),XLOOKUP("timeout_coarse_fast",Calibration!$B:$B,Calibration!$C:$C,24),
     OR(C215="E",C215="F",C215="H",C215="I"),XLOOKUP("timeout_jcc_fast",Calibration!$B:$B,Calibration!$C:$C,10),
     OR(C215="G",C215="J"),XLOOKUP("timeout_duochrome_fast",Calibration!$B:$B,Calibration!$C:$C,8),
     C215="K",XLOOKUP("timeout_bino_fast",Calibration!$B:$B,Calibration!$C:$C,10),
     OR(C215="P",C215="Q",C215="R"),XLOOKUP("timeout_near_fast",Calibration!$B:$B,Calibration!$C:$C,16),
     TRUE,XLOOKUP("timeout_coarse_fast",Calibration!$B:$B,Calibration!$C:$C,24)
   ),
 AK215="Normal",
   IFS(
     OR(C215="B",C215="D"),XLOOKUP("timeout_coarse_normal",Calibration!$B:$B,Calibration!$C:$C,36),
     OR(C215="E",C215="F",C215="H",C215="I"),XLOOKUP("timeout_jcc_normal",Calibration!$B:$B,Calibration!$C:$C,14),
     OR(C215="G",C215="J"),XLOOKUP("timeout_duochrome_normal",Calibration!$B:$B,Calibration!$C:$C,10),
     C215="K",XLOOKUP("timeout_bino_normal",Calibration!$B:$B,Calibration!$C:$C,14),
     OR(C215="P",C215="Q",C215="R"),XLOOKUP("timeout_near_normal",Calibration!$B:$B,Calibration!$C:$C,22),
     TRUE,XLOOKUP("timeout_coarse_normal",Calibration!$B:$B,Calibration!$C:$C,36)
   ),
 TRUE,
   IFS(
     OR(C215="B",C215="D"),XLOOKUP("timeout_coarse_slow",Calibration!$B:$B,Calibration!$C:$C,48),
     OR(C215="E",C215="F",C215="H",C215="I"),XLOOKUP("timeout_jcc_slow",Calibration!$B:$B,Calibration!$C:$C,18),
     OR(C215="G",C215="J"),XLOOKUP("timeout_duochrome_slow",Calibration!$B:$B,Calibration!$C:$C,12),
     C215="K",XLOOKUP("timeout_bino_slow",Calibration!$B:$B,Calibration!$C:$C,18),
     OR(C215="P",C215="Q",C215="R"),XLOOKUP("timeout_near_slow",Calibration!$B:$B,Calibration!$C:$C,28),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AJ215=TRUE,"ESCALATE",
C215="A",
IF(OR(I215="NOT_READABLE",I215="BLURRY",AND(R215="20_20_20",I215="READABLE")),"B","A"),
C215="B",
IF(reEsc,"ESCALATE",IF(AY215&gt;=phaseMax,"ESCALATE",IF(AND(AV215&gt;=AW215,I215="READABLE"),"E","B"))),
C215="E",
IF(AY215&gt;=phaseMax,"ESCALATE",IF(OR(I215="SAME",I215="CANT_TELL",AD215&lt;axisTol),"F","E")),
C215="F",
IF(AY215&gt;=phaseMax,"ESCALATE",IF(AX215&gt;=powerSameN,"G","F")),
C215="G",
IF(AY215&gt;=phaseMax,"ESCALATE",IF(OR(AX215&gt;=duoEqualN,BB215&gt;=duoMax),"D","G")),
C215="D",
IF(leEsc,"ESCALATE",IF(AY215&gt;=phaseMax,"ESCALATE",IF(AND(AV215&gt;=AW215,I215="READABLE"),"H","D"))),
C215="H",
IF(AY215&gt;=phaseMax,"ESCALATE",IF(OR(I215="SAME",I215="CANT_TELL",AD215&lt;axisTol),"I","H")),
C215="I",
IF(AY215&gt;=phaseMax,"ESCALATE",IF(AX215&gt;=powerSameN,"J","I")),
C215="J",
IF(AY215&gt;=phaseMax,"ESCALATE",IF(OR(AX215&gt;=duoEqualN,BB215&gt;=duoMax),"K","J")),
C215="K",
IF(AY215&gt;=phaseMax,"ESCALATE",IF(AX215&gt;=binoSameN,IF(XLOOKUP($B215,Derived_Variables!$A:$A,Derived_Variables!$AJ:$AJ,FALSE)=TRUE,"P","END"),"K")),
C215="P",
IF(AY215&gt;=phaseMax,"ESCALATE",IF(OR(I215="READABLE",I215="SAME"),"Q","P")),
C215="Q",
IF(AY215&gt;=phaseMax,"ESCALATE",IF(OR(I215="READABLE",I215="SAME"),"R","Q")),
C215="R",
IF(AY215&gt;=phaseMax,"ESCALATE",IF(OR(I215=nearTarget,I215="SAME"),"END","R")),
TRUE,"END"
)))</f>
        <v/>
      </c>
      <c r="BD215" s="28" t="b">
        <f t="shared" si="19"/>
        <v>0</v>
      </c>
    </row>
    <row r="216" ht="15.75" customHeight="1">
      <c r="A216" s="28">
        <f t="shared" si="3"/>
        <v>215</v>
      </c>
      <c r="B216" s="28">
        <f t="shared" si="4"/>
        <v>6</v>
      </c>
      <c r="C216" s="28" t="str">
        <f t="shared" si="5"/>
        <v/>
      </c>
      <c r="D216" s="28" t="str">
        <f t="array" ref="D216">IF($I215="","",XLOOKUP(C216,FSM_State_Map!A:A,FSM_State_Map!B:B,""))</f>
        <v/>
      </c>
      <c r="E216" s="28" t="str">
        <f t="array" ref="E216">IF($I215="","",XLOOKUP(C216,FSM_State_Map!A:A,FSM_State_Map!C:C,""))</f>
        <v/>
      </c>
      <c r="F216" s="28" t="str">
        <f t="array" ref="F216">IF($I215="","",XLOOKUP(E216,Phase_UI_Map!A:A,Phase_UI_Map!B:B,""))</f>
        <v/>
      </c>
      <c r="G216" s="28" t="str">
        <f t="array" ref="G216">IF($I215="","",XLOOKUP(E216,Phase_UI_Map!A:A,Phase_UI_Map!C:C,""))</f>
        <v/>
      </c>
      <c r="H216" s="28" t="str">
        <f t="array" ref="H216">IF($I215="","",XLOOKUP(E216,Phase_UI_Map!A:A,Phase_UI_Map!D:D,""))</f>
        <v/>
      </c>
      <c r="I216" s="29"/>
      <c r="J216" s="28" t="str">
        <f>IFERROR(__xludf.DUMMYFUNCTION("IF($I215="""","""",IFERROR(INDEX(FILTER(Response_Lists!$B:$B,Response_Lists!$A:$A=$H216),1),""""))"),"")</f>
        <v/>
      </c>
      <c r="K216" s="28" t="str">
        <f>IFERROR(__xludf.DUMMYFUNCTION("IF($I215="""","""",IFERROR(INDEX(FILTER(Response_Lists!$B:$B,Response_Lists!$A:$A=$H216),2),""""))"),"")</f>
        <v/>
      </c>
      <c r="L216" s="28" t="str">
        <f>IFERROR(__xludf.DUMMYFUNCTION("IF($I215="""","""",IFERROR(INDEX(FILTER(Response_Lists!$B:$B,Response_Lists!$A:$A=$H216),3),""""))"),"")</f>
        <v/>
      </c>
      <c r="M216" s="28" t="str">
        <f>IFERROR(__xludf.DUMMYFUNCTION("IF($I215="""","""",IFERROR(INDEX(FILTER(Response_Lists!$B:$B,Response_Lists!$A:$A=$H216),4),""""))"),"")</f>
        <v/>
      </c>
      <c r="N216" s="28" t="str">
        <f>IFERROR(__xludf.DUMMYFUNCTION("IF($I215="""","""",IFERROR(INDEX(FILTER(Response_Lists!$B:$B,Response_Lists!$A:$A=$H216),5),""""))"),"")</f>
        <v/>
      </c>
      <c r="O216" s="28" t="str">
        <f>IFERROR(__xludf.DUMMYFUNCTION("IF($I215="""","""",IFERROR(INDEX(FILTER(Response_Lists!$B:$B,Response_Lists!$A:$A=$H216),6),""""))"),"")</f>
        <v/>
      </c>
      <c r="P216" s="28" t="str">
        <f t="shared" si="6"/>
        <v/>
      </c>
      <c r="Q216" s="28" t="str">
        <f t="array" ref="Q216">IF($I215="","",XLOOKUP(C216,FSM_State_Map!A:A,FSM_State_Map!D:D,""))</f>
        <v/>
      </c>
      <c r="R216" s="28" t="str">
        <f t="shared" si="7"/>
        <v/>
      </c>
      <c r="S216" s="28" t="str">
        <f t="array" ref="S216">IF($I215="","",
IF(
  AND(C216="B",C215&lt;&gt;"B"),
  XLOOKUP($B216,Derived_Variables!$A:$A,Derived_Variables!$K:$K,0)
  + XLOOKUP($B216,Derived_Variables!$A:$A,Derived_Variables!$AE:$AE,0),
  S215+AM215
))</f>
        <v/>
      </c>
      <c r="T216" s="28" t="str">
        <f t="shared" ref="T216:U216" si="442">IF($I215="","",T215+AN215)</f>
        <v/>
      </c>
      <c r="U216" s="28" t="str">
        <f t="shared" si="442"/>
        <v/>
      </c>
      <c r="V216" s="28" t="str">
        <f t="array" ref="V216">IF($I215="","",
IF(
  AND(C216="D",C215&lt;&gt;"D"),
  XLOOKUP($B216,Derived_Variables!$A:$A,Derived_Variables!$N:$N,0)
  + XLOOKUP($B216,Derived_Variables!$A:$A,Derived_Variables!$AE:$AE,0),
  V215+AP215
))</f>
        <v/>
      </c>
      <c r="W216" s="28" t="str">
        <f t="shared" ref="W216:X216" si="443">IF($I215="","",W215+AQ215)</f>
        <v/>
      </c>
      <c r="X216" s="28" t="str">
        <f t="shared" si="443"/>
        <v/>
      </c>
      <c r="Y216" s="28" t="str">
        <f t="array" ref="Y216">IF($I215="","",IF(AND(C216="P",C215&lt;&gt;"P"),IFERROR(XLOOKUP($B216,Lenso_Input!$A:$A,Lenso_Input!$E:$E,0),0),Y215+AS215))</f>
        <v/>
      </c>
      <c r="Z216" s="28" t="str">
        <f t="array" ref="Z216">IF($I215="","",IF(AND(C216="Q",C215&lt;&gt;"Q"),IFERROR(XLOOKUP($B216,Lenso_Input!$A:$A,Lenso_Input!$I:$I,0),0),Z215+AT215))</f>
        <v/>
      </c>
      <c r="AA216" s="28" t="str">
        <f t="array" ref="AA216">IF($I215="","",IF(XLOOKUP($B216,Derived_Variables!$A:$A,Derived_Variables!$R:$R,"6/6_target")="6/6_target","20_20_20","40_30_25"))</f>
        <v/>
      </c>
      <c r="AB216" s="28" t="str">
        <f t="array" ref="AB216">IF($I215="","",XLOOKUP(LOWER(XLOOKUP($B216,Derived_Variables!$A:$A,Derived_Variables!$T:$T,"Standard"))&amp;"_sph_step",Calibration!$B:$B,Calibration!$C:$C,0.25))</f>
        <v/>
      </c>
      <c r="AC216" s="28" t="str">
        <f t="array" ref="AC216">IF($I215="","",XLOOKUP(LOWER(XLOOKUP($B216,Derived_Variables!$A:$A,Derived_Variables!$T:$T,"Standard"))&amp;"_cyl_step",Calibration!$B:$B,Calibration!$C:$C,0.25))</f>
        <v/>
      </c>
      <c r="AD216" s="28" t="str">
        <f t="array" ref="AD216">IF($I215="","",IF(OR(C216="E",C216="H"),LET(startStep,XLOOKUP("axis_start_step",Calibration!$B:$B,Calibration!$C:$C,5),step1,XLOOKUP("axis_reversal_step_1",Calibration!$B:$B,Calibration!$C:$C,3),step2,XLOOKUP("axis_reversal_step_2",Calibration!$B:$B,Calibration!$C:$C,1),IF(OR(C215&lt;&gt;C216,AZ216="",AZ216="SAME",AZ216="CANT_TELL",I216="",I216="SAME",I216="CANT_TELL"),startStep,IF(OR(AND(AZ216="BETTER_1",I216="BETTER_2"),AND(AZ216="BETTER_2",I216="BETTER_1")),IF(AD215&gt;step1,step1,step2),AD215))),0))</f>
        <v/>
      </c>
      <c r="AE216" s="28" t="str">
        <f t="array" ref="AE216">IF($I215="","",XLOOKUP($B216,Derived_Variables!$A:$A,Derived_Variables!$AD:$AD,"No_Fog"))</f>
        <v/>
      </c>
      <c r="AF216" s="28" t="str">
        <f t="array" ref="AF216">IF($I215="","",XLOOKUP($B216,Derived_Variables!$A:$A,Derived_Variables!$AE:$AE,0))</f>
        <v/>
      </c>
      <c r="AG216" s="28" t="str">
        <f t="array" ref="AG216">IF($I215="","",XLOOKUP($B216,Derived_Variables!$A:$A,Derived_Variables!$AF:$AF,""))</f>
        <v/>
      </c>
      <c r="AH216" s="28" t="str">
        <f t="array" ref="AH216">IF($I215="","",XLOOKUP($B216,Derived_Variables!$A:$A,Derived_Variables!$AG:$AG,""))</f>
        <v/>
      </c>
      <c r="AI216" s="28" t="str">
        <f t="array" ref="AI216">IF($I215="","",XLOOKUP($B216,Derived_Variables!$A:$A,Derived_Variables!$AC:$AC,"Medium"))</f>
        <v/>
      </c>
      <c r="AJ216" s="28" t="str">
        <f t="array" ref="AJ216">IF($I215="","",XLOOKUP($B216,Derived_Variables!$A:$A,Derived_Variables!$Y:$Y,FALSE))</f>
        <v/>
      </c>
      <c r="AK216" s="28" t="str">
        <f t="array" ref="AK216">IF($I215="","",XLOOKUP($B216,Derived_Variables!$A:$A,Derived_Variables!$AA:$AA,"Normal"))</f>
        <v/>
      </c>
      <c r="AL216" s="28" t="str">
        <f t="array" ref="AL216">IF($I215="","",XLOOKUP($B216,Derived_Variables!$A:$A,Derived_Variables!$AB:$AB,"Normal"))</f>
        <v/>
      </c>
      <c r="AM216" s="28" t="str">
        <f t="array" ref="AM216">IF($I216="","",IFS(C216="B",IF(OR(I216="NOT_READABLE",I216="BLURRY"),-AB216,0),C216="G",IFS(I216="RED_CLEARER",XLOOKUP("duochrome_red_step",Calibration!$B:$B,Calibration!$C:$C,-0.25),I216="GREEN_CLEARER",XLOOKUP("duochrome_green_step",Calibration!$B:$B,Calibration!$C:$C,0.25),I216="EQUAL",IF(XLOOKUP($B216,Derived_Variables!$A:$A,Derived_Variables!$S:$S,"Neutral")="Undercorrect",XLOOKUP("undercorrect_step",Calibration!$B:$B,Calibration!$C:$C,0.25),IF(XLOOKUP($B216,Derived_Variables!$A:$A,Derived_Variables!$S:$S,"Neutral")="Overcorrect",-XLOOKUP("overcorrect_step",Calibration!$B:$B,Calibration!$C:$C,0.25),0)),TRUE,0),C216="K",IF(I216="TOP_CLEARER",XLOOKUP("bino_balance_step",Calibration!$B:$B,Calibration!$C:$C,0.25),0),TRUE,0))</f>
        <v/>
      </c>
      <c r="AN216" s="28" t="str">
        <f t="shared" si="10"/>
        <v/>
      </c>
      <c r="AO216" s="28" t="str">
        <f t="shared" si="11"/>
        <v/>
      </c>
      <c r="AP216" s="28" t="str">
        <f t="array" ref="AP216">IF($I216="","",IFS(C216="D",IF(OR(I216="NOT_READABLE",I216="BLURRY"),-AB216,0),C216="J",IFS(I216="RED_CLEARER",XLOOKUP("duochrome_red_step",Calibration!$B:$B,Calibration!$C:$C,-0.25),I216="GREEN_CLEARER",XLOOKUP("duochrome_green_step",Calibration!$B:$B,Calibration!$C:$C,0.25),I216="EQUAL",IF(XLOOKUP($B216,Derived_Variables!$A:$A,Derived_Variables!$S:$S,"Neutral")="Undercorrect",XLOOKUP("undercorrect_step",Calibration!$B:$B,Calibration!$C:$C,0.25),IF(XLOOKUP($B216,Derived_Variables!$A:$A,Derived_Variables!$S:$S,"Neutral")="Overcorrect",-XLOOKUP("overcorrect_step",Calibration!$B:$B,Calibration!$C:$C,0.25),0)),TRUE,0),C216="K",IF(I216="BOTTOM_CLEARER",XLOOKUP("bino_balance_step",Calibration!$B:$B,Calibration!$C:$C,0.25),0),TRUE,0))</f>
        <v/>
      </c>
      <c r="AQ216" s="28" t="str">
        <f t="shared" si="12"/>
        <v/>
      </c>
      <c r="AR216" s="28" t="str">
        <f t="shared" si="13"/>
        <v/>
      </c>
      <c r="AS216" s="28" t="str">
        <f t="array" ref="AS216">IF($I216="","",IF(C216="P",IF(OR(I216="NOT_READABLE",I216="BLURRY"),XLOOKUP("near_add_step",Calibration!$B:$B,Calibration!$C:$C,0.25),0),IF(C216="R",IF(I216="NOT_CLEAR",XLOOKUP("near_add_step",Calibration!$B:$B,Calibration!$C:$C,0.25),0),0)))</f>
        <v/>
      </c>
      <c r="AT216" s="28" t="str">
        <f t="array" ref="AT216">IF($I216="","",IF(C216="Q",IF(OR(I216="NOT_READABLE",I216="BLURRY"),XLOOKUP("near_add_step",Calibration!$B:$B,Calibration!$C:$C,0.25),0),IF(C216="R",IF(I216="NOT_CLEAR",XLOOKUP("near_add_step",Calibration!$B:$B,Calibration!$C:$C,0.25),0),0)))</f>
        <v/>
      </c>
      <c r="AU216" s="28" t="str">
        <f t="array" ref="AU216">IF($I216="","",IF(G216="SNELLEN_FEET",IF(I216="READABLE",IFERROR(XLOOKUP(XLOOKUP(R216,Chart_Scale_Distance!B:B,Chart_Scale_Distance!A:A)+1,Chart_Scale_Distance!A:A,Chart_Scale_Distance!B:B),R216),R216),R216))</f>
        <v/>
      </c>
      <c r="AV216" s="28" t="str">
        <f t="array" ref="AV216">IF($I215="","",IFERROR(XLOOKUP(R216,Chart_Scale_Distance!$B:$B,Chart_Scale_Distance!$A:$A,""),""))</f>
        <v/>
      </c>
      <c r="AW216" s="28" t="str">
        <f t="array" ref="AW216">IF($I215="","",IFERROR(XLOOKUP(AA216,Chart_Scale_Distance!$B:$B,Chart_Scale_Distance!$A:$A,""),""))</f>
        <v/>
      </c>
      <c r="AX216" s="28" t="str">
        <f t="shared" si="14"/>
        <v/>
      </c>
      <c r="AY216" s="28" t="str">
        <f t="shared" si="15"/>
        <v/>
      </c>
      <c r="AZ216" s="28" t="str">
        <f t="shared" si="16"/>
        <v/>
      </c>
      <c r="BA216" s="28" t="str">
        <f t="shared" si="17"/>
        <v/>
      </c>
      <c r="BB216" s="28" t="str">
        <f t="shared" si="18"/>
        <v/>
      </c>
      <c r="BC216" s="28" t="str">
        <f t="array" ref="BC216">IF($I216="","",LET(
conf,AI216,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duoMax,XLOOKUP($B216,Derived_Variables!$A:$A,Derived_Variables!$AI:$AI,4),
axisTol,XLOOKUP($B216,Derived_Variables!$A:$A,Derived_Variables!$W:$W,1),
maxStart,XLOOKUP($B216,Derived_Variables!$A:$A,Derived_Variables!$U:$U,1.25),
maxAR,XLOOKUP($B216,Derived_Variables!$A:$A,Derived_Variables!$V:$V,3),
anom,XLOOKUP($B216,Derived_Variables!$A:$A,Derived_Variables!$Z:$Z,FALSE),
reStart,XLOOKUP($B216,Derived_Variables!$A:$A,Derived_Variables!$K:$K,0),
leStart,XLOOKUP($B216,Derived_Variables!$A:$A,Derived_Variables!$N:$N,0),
reAR,XLOOKUP($B216,AR_Input!$A:$A,AR_Input!$B:$B,reStart),
leAR,XLOOKUP($B216,AR_Input!$A:$A,AR_Input!$E:$E,leStart),
reEsc,AND(anom,OR(ABS((S216+AM216)-reStart)&gt;maxStart,ABS((S216+AM216)-reAR)&gt;maxAR)),
leEsc,AND(anom,OR(ABS((V216+AP216)-leStart)&gt;maxStart,ABS((V216+AP216)-leAR)&gt;maxAR)),
phaseMax,IFS(
 AK216="Fast",
   IFS(
     OR(C216="B",C216="D"),XLOOKUP("timeout_coarse_fast",Calibration!$B:$B,Calibration!$C:$C,24),
     OR(C216="E",C216="F",C216="H",C216="I"),XLOOKUP("timeout_jcc_fast",Calibration!$B:$B,Calibration!$C:$C,10),
     OR(C216="G",C216="J"),XLOOKUP("timeout_duochrome_fast",Calibration!$B:$B,Calibration!$C:$C,8),
     C216="K",XLOOKUP("timeout_bino_fast",Calibration!$B:$B,Calibration!$C:$C,10),
     OR(C216="P",C216="Q",C216="R"),XLOOKUP("timeout_near_fast",Calibration!$B:$B,Calibration!$C:$C,16),
     TRUE,XLOOKUP("timeout_coarse_fast",Calibration!$B:$B,Calibration!$C:$C,24)
   ),
 AK216="Normal",
   IFS(
     OR(C216="B",C216="D"),XLOOKUP("timeout_coarse_normal",Calibration!$B:$B,Calibration!$C:$C,36),
     OR(C216="E",C216="F",C216="H",C216="I"),XLOOKUP("timeout_jcc_normal",Calibration!$B:$B,Calibration!$C:$C,14),
     OR(C216="G",C216="J"),XLOOKUP("timeout_duochrome_normal",Calibration!$B:$B,Calibration!$C:$C,10),
     C216="K",XLOOKUP("timeout_bino_normal",Calibration!$B:$B,Calibration!$C:$C,14),
     OR(C216="P",C216="Q",C216="R"),XLOOKUP("timeout_near_normal",Calibration!$B:$B,Calibration!$C:$C,22),
     TRUE,XLOOKUP("timeout_coarse_normal",Calibration!$B:$B,Calibration!$C:$C,36)
   ),
 TRUE,
   IFS(
     OR(C216="B",C216="D"),XLOOKUP("timeout_coarse_slow",Calibration!$B:$B,Calibration!$C:$C,48),
     OR(C216="E",C216="F",C216="H",C216="I"),XLOOKUP("timeout_jcc_slow",Calibration!$B:$B,Calibration!$C:$C,18),
     OR(C216="G",C216="J"),XLOOKUP("timeout_duochrome_slow",Calibration!$B:$B,Calibration!$C:$C,12),
     C216="K",XLOOKUP("timeout_bino_slow",Calibration!$B:$B,Calibration!$C:$C,18),
     OR(C216="P",C216="Q",C216="R"),XLOOKUP("timeout_near_slow",Calibration!$B:$B,Calibration!$C:$C,28),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AJ216=TRUE,"ESCALATE",
C216="A",
IF(OR(I216="NOT_READABLE",I216="BLURRY",AND(R216="20_20_20",I216="READABLE")),"B","A"),
C216="B",
IF(reEsc,"ESCALATE",IF(AY216&gt;=phaseMax,"ESCALATE",IF(AND(AV216&gt;=AW216,I216="READABLE"),"E","B"))),
C216="E",
IF(AY216&gt;=phaseMax,"ESCALATE",IF(OR(I216="SAME",I216="CANT_TELL",AD216&lt;axisTol),"F","E")),
C216="F",
IF(AY216&gt;=phaseMax,"ESCALATE",IF(AX216&gt;=powerSameN,"G","F")),
C216="G",
IF(AY216&gt;=phaseMax,"ESCALATE",IF(OR(AX216&gt;=duoEqualN,BB216&gt;=duoMax),"D","G")),
C216="D",
IF(leEsc,"ESCALATE",IF(AY216&gt;=phaseMax,"ESCALATE",IF(AND(AV216&gt;=AW216,I216="READABLE"),"H","D"))),
C216="H",
IF(AY216&gt;=phaseMax,"ESCALATE",IF(OR(I216="SAME",I216="CANT_TELL",AD216&lt;axisTol),"I","H")),
C216="I",
IF(AY216&gt;=phaseMax,"ESCALATE",IF(AX216&gt;=powerSameN,"J","I")),
C216="J",
IF(AY216&gt;=phaseMax,"ESCALATE",IF(OR(AX216&gt;=duoEqualN,BB216&gt;=duoMax),"K","J")),
C216="K",
IF(AY216&gt;=phaseMax,"ESCALATE",IF(AX216&gt;=binoSameN,IF(XLOOKUP($B216,Derived_Variables!$A:$A,Derived_Variables!$AJ:$AJ,FALSE)=TRUE,"P","END"),"K")),
C216="P",
IF(AY216&gt;=phaseMax,"ESCALATE",IF(OR(I216="READABLE",I216="SAME"),"Q","P")),
C216="Q",
IF(AY216&gt;=phaseMax,"ESCALATE",IF(OR(I216="READABLE",I216="SAME"),"R","Q")),
C216="R",
IF(AY216&gt;=phaseMax,"ESCALATE",IF(OR(I216=nearTarget,I216="SAME"),"END","R")),
TRUE,"END"
)))</f>
        <v/>
      </c>
      <c r="BD216" s="28" t="b">
        <f t="shared" si="19"/>
        <v>0</v>
      </c>
    </row>
    <row r="217" ht="15.75" customHeight="1">
      <c r="A217" s="28">
        <f t="shared" si="3"/>
        <v>216</v>
      </c>
      <c r="B217" s="28">
        <f t="shared" si="4"/>
        <v>6</v>
      </c>
      <c r="C217" s="28" t="str">
        <f t="shared" si="5"/>
        <v/>
      </c>
      <c r="D217" s="28" t="str">
        <f t="array" ref="D217">IF($I216="","",XLOOKUP(C217,FSM_State_Map!A:A,FSM_State_Map!B:B,""))</f>
        <v/>
      </c>
      <c r="E217" s="28" t="str">
        <f t="array" ref="E217">IF($I216="","",XLOOKUP(C217,FSM_State_Map!A:A,FSM_State_Map!C:C,""))</f>
        <v/>
      </c>
      <c r="F217" s="28" t="str">
        <f t="array" ref="F217">IF($I216="","",XLOOKUP(E217,Phase_UI_Map!A:A,Phase_UI_Map!B:B,""))</f>
        <v/>
      </c>
      <c r="G217" s="28" t="str">
        <f t="array" ref="G217">IF($I216="","",XLOOKUP(E217,Phase_UI_Map!A:A,Phase_UI_Map!C:C,""))</f>
        <v/>
      </c>
      <c r="H217" s="28" t="str">
        <f t="array" ref="H217">IF($I216="","",XLOOKUP(E217,Phase_UI_Map!A:A,Phase_UI_Map!D:D,""))</f>
        <v/>
      </c>
      <c r="I217" s="29"/>
      <c r="J217" s="28" t="str">
        <f>IFERROR(__xludf.DUMMYFUNCTION("IF($I216="""","""",IFERROR(INDEX(FILTER(Response_Lists!$B:$B,Response_Lists!$A:$A=$H217),1),""""))"),"")</f>
        <v/>
      </c>
      <c r="K217" s="28" t="str">
        <f>IFERROR(__xludf.DUMMYFUNCTION("IF($I216="""","""",IFERROR(INDEX(FILTER(Response_Lists!$B:$B,Response_Lists!$A:$A=$H217),2),""""))"),"")</f>
        <v/>
      </c>
      <c r="L217" s="28" t="str">
        <f>IFERROR(__xludf.DUMMYFUNCTION("IF($I216="""","""",IFERROR(INDEX(FILTER(Response_Lists!$B:$B,Response_Lists!$A:$A=$H217),3),""""))"),"")</f>
        <v/>
      </c>
      <c r="M217" s="28" t="str">
        <f>IFERROR(__xludf.DUMMYFUNCTION("IF($I216="""","""",IFERROR(INDEX(FILTER(Response_Lists!$B:$B,Response_Lists!$A:$A=$H217),4),""""))"),"")</f>
        <v/>
      </c>
      <c r="N217" s="28" t="str">
        <f>IFERROR(__xludf.DUMMYFUNCTION("IF($I216="""","""",IFERROR(INDEX(FILTER(Response_Lists!$B:$B,Response_Lists!$A:$A=$H217),5),""""))"),"")</f>
        <v/>
      </c>
      <c r="O217" s="28" t="str">
        <f>IFERROR(__xludf.DUMMYFUNCTION("IF($I216="""","""",IFERROR(INDEX(FILTER(Response_Lists!$B:$B,Response_Lists!$A:$A=$H217),6),""""))"),"")</f>
        <v/>
      </c>
      <c r="P217" s="28" t="str">
        <f t="shared" si="6"/>
        <v/>
      </c>
      <c r="Q217" s="28" t="str">
        <f t="array" ref="Q217">IF($I216="","",XLOOKUP(C217,FSM_State_Map!A:A,FSM_State_Map!D:D,""))</f>
        <v/>
      </c>
      <c r="R217" s="28" t="str">
        <f t="shared" si="7"/>
        <v/>
      </c>
      <c r="S217" s="28" t="str">
        <f t="array" ref="S217">IF($I216="","",
IF(
  AND(C217="B",C216&lt;&gt;"B"),
  XLOOKUP($B217,Derived_Variables!$A:$A,Derived_Variables!$K:$K,0)
  + XLOOKUP($B217,Derived_Variables!$A:$A,Derived_Variables!$AE:$AE,0),
  S216+AM216
))</f>
        <v/>
      </c>
      <c r="T217" s="28" t="str">
        <f t="shared" ref="T217:U217" si="444">IF($I216="","",T216+AN216)</f>
        <v/>
      </c>
      <c r="U217" s="28" t="str">
        <f t="shared" si="444"/>
        <v/>
      </c>
      <c r="V217" s="28" t="str">
        <f t="array" ref="V217">IF($I216="","",
IF(
  AND(C217="D",C216&lt;&gt;"D"),
  XLOOKUP($B217,Derived_Variables!$A:$A,Derived_Variables!$N:$N,0)
  + XLOOKUP($B217,Derived_Variables!$A:$A,Derived_Variables!$AE:$AE,0),
  V216+AP216
))</f>
        <v/>
      </c>
      <c r="W217" s="28" t="str">
        <f t="shared" ref="W217:X217" si="445">IF($I216="","",W216+AQ216)</f>
        <v/>
      </c>
      <c r="X217" s="28" t="str">
        <f t="shared" si="445"/>
        <v/>
      </c>
      <c r="Y217" s="28" t="str">
        <f t="array" ref="Y217">IF($I216="","",IF(AND(C217="P",C216&lt;&gt;"P"),IFERROR(XLOOKUP($B217,Lenso_Input!$A:$A,Lenso_Input!$E:$E,0),0),Y216+AS216))</f>
        <v/>
      </c>
      <c r="Z217" s="28" t="str">
        <f t="array" ref="Z217">IF($I216="","",IF(AND(C217="Q",C216&lt;&gt;"Q"),IFERROR(XLOOKUP($B217,Lenso_Input!$A:$A,Lenso_Input!$I:$I,0),0),Z216+AT216))</f>
        <v/>
      </c>
      <c r="AA217" s="28" t="str">
        <f t="array" ref="AA217">IF($I216="","",IF(XLOOKUP($B217,Derived_Variables!$A:$A,Derived_Variables!$R:$R,"6/6_target")="6/6_target","20_20_20","40_30_25"))</f>
        <v/>
      </c>
      <c r="AB217" s="28" t="str">
        <f t="array" ref="AB217">IF($I216="","",XLOOKUP(LOWER(XLOOKUP($B217,Derived_Variables!$A:$A,Derived_Variables!$T:$T,"Standard"))&amp;"_sph_step",Calibration!$B:$B,Calibration!$C:$C,0.25))</f>
        <v/>
      </c>
      <c r="AC217" s="28" t="str">
        <f t="array" ref="AC217">IF($I216="","",XLOOKUP(LOWER(XLOOKUP($B217,Derived_Variables!$A:$A,Derived_Variables!$T:$T,"Standard"))&amp;"_cyl_step",Calibration!$B:$B,Calibration!$C:$C,0.25))</f>
        <v/>
      </c>
      <c r="AD217" s="28" t="str">
        <f t="array" ref="AD217">IF($I216="","",IF(OR(C217="E",C217="H"),LET(startStep,XLOOKUP("axis_start_step",Calibration!$B:$B,Calibration!$C:$C,5),step1,XLOOKUP("axis_reversal_step_1",Calibration!$B:$B,Calibration!$C:$C,3),step2,XLOOKUP("axis_reversal_step_2",Calibration!$B:$B,Calibration!$C:$C,1),IF(OR(C216&lt;&gt;C217,AZ217="",AZ217="SAME",AZ217="CANT_TELL",I217="",I217="SAME",I217="CANT_TELL"),startStep,IF(OR(AND(AZ217="BETTER_1",I217="BETTER_2"),AND(AZ217="BETTER_2",I217="BETTER_1")),IF(AD216&gt;step1,step1,step2),AD216))),0))</f>
        <v/>
      </c>
      <c r="AE217" s="28" t="str">
        <f t="array" ref="AE217">IF($I216="","",XLOOKUP($B217,Derived_Variables!$A:$A,Derived_Variables!$AD:$AD,"No_Fog"))</f>
        <v/>
      </c>
      <c r="AF217" s="28" t="str">
        <f t="array" ref="AF217">IF($I216="","",XLOOKUP($B217,Derived_Variables!$A:$A,Derived_Variables!$AE:$AE,0))</f>
        <v/>
      </c>
      <c r="AG217" s="28" t="str">
        <f t="array" ref="AG217">IF($I216="","",XLOOKUP($B217,Derived_Variables!$A:$A,Derived_Variables!$AF:$AF,""))</f>
        <v/>
      </c>
      <c r="AH217" s="28" t="str">
        <f t="array" ref="AH217">IF($I216="","",XLOOKUP($B217,Derived_Variables!$A:$A,Derived_Variables!$AG:$AG,""))</f>
        <v/>
      </c>
      <c r="AI217" s="28" t="str">
        <f t="array" ref="AI217">IF($I216="","",XLOOKUP($B217,Derived_Variables!$A:$A,Derived_Variables!$AC:$AC,"Medium"))</f>
        <v/>
      </c>
      <c r="AJ217" s="28" t="str">
        <f t="array" ref="AJ217">IF($I216="","",XLOOKUP($B217,Derived_Variables!$A:$A,Derived_Variables!$Y:$Y,FALSE))</f>
        <v/>
      </c>
      <c r="AK217" s="28" t="str">
        <f t="array" ref="AK217">IF($I216="","",XLOOKUP($B217,Derived_Variables!$A:$A,Derived_Variables!$AA:$AA,"Normal"))</f>
        <v/>
      </c>
      <c r="AL217" s="28" t="str">
        <f t="array" ref="AL217">IF($I216="","",XLOOKUP($B217,Derived_Variables!$A:$A,Derived_Variables!$AB:$AB,"Normal"))</f>
        <v/>
      </c>
      <c r="AM217" s="28" t="str">
        <f t="array" ref="AM217">IF($I217="","",IFS(C217="B",IF(OR(I217="NOT_READABLE",I217="BLURRY"),-AB217,0),C217="G",IFS(I217="RED_CLEARER",XLOOKUP("duochrome_red_step",Calibration!$B:$B,Calibration!$C:$C,-0.25),I217="GREEN_CLEARER",XLOOKUP("duochrome_green_step",Calibration!$B:$B,Calibration!$C:$C,0.25),I217="EQUAL",IF(XLOOKUP($B217,Derived_Variables!$A:$A,Derived_Variables!$S:$S,"Neutral")="Undercorrect",XLOOKUP("undercorrect_step",Calibration!$B:$B,Calibration!$C:$C,0.25),IF(XLOOKUP($B217,Derived_Variables!$A:$A,Derived_Variables!$S:$S,"Neutral")="Overcorrect",-XLOOKUP("overcorrect_step",Calibration!$B:$B,Calibration!$C:$C,0.25),0)),TRUE,0),C217="K",IF(I217="TOP_CLEARER",XLOOKUP("bino_balance_step",Calibration!$B:$B,Calibration!$C:$C,0.25),0),TRUE,0))</f>
        <v/>
      </c>
      <c r="AN217" s="28" t="str">
        <f t="shared" si="10"/>
        <v/>
      </c>
      <c r="AO217" s="28" t="str">
        <f t="shared" si="11"/>
        <v/>
      </c>
      <c r="AP217" s="28" t="str">
        <f t="array" ref="AP217">IF($I217="","",IFS(C217="D",IF(OR(I217="NOT_READABLE",I217="BLURRY"),-AB217,0),C217="J",IFS(I217="RED_CLEARER",XLOOKUP("duochrome_red_step",Calibration!$B:$B,Calibration!$C:$C,-0.25),I217="GREEN_CLEARER",XLOOKUP("duochrome_green_step",Calibration!$B:$B,Calibration!$C:$C,0.25),I217="EQUAL",IF(XLOOKUP($B217,Derived_Variables!$A:$A,Derived_Variables!$S:$S,"Neutral")="Undercorrect",XLOOKUP("undercorrect_step",Calibration!$B:$B,Calibration!$C:$C,0.25),IF(XLOOKUP($B217,Derived_Variables!$A:$A,Derived_Variables!$S:$S,"Neutral")="Overcorrect",-XLOOKUP("overcorrect_step",Calibration!$B:$B,Calibration!$C:$C,0.25),0)),TRUE,0),C217="K",IF(I217="BOTTOM_CLEARER",XLOOKUP("bino_balance_step",Calibration!$B:$B,Calibration!$C:$C,0.25),0),TRUE,0))</f>
        <v/>
      </c>
      <c r="AQ217" s="28" t="str">
        <f t="shared" si="12"/>
        <v/>
      </c>
      <c r="AR217" s="28" t="str">
        <f t="shared" si="13"/>
        <v/>
      </c>
      <c r="AS217" s="28" t="str">
        <f t="array" ref="AS217">IF($I217="","",IF(C217="P",IF(OR(I217="NOT_READABLE",I217="BLURRY"),XLOOKUP("near_add_step",Calibration!$B:$B,Calibration!$C:$C,0.25),0),IF(C217="R",IF(I217="NOT_CLEAR",XLOOKUP("near_add_step",Calibration!$B:$B,Calibration!$C:$C,0.25),0),0)))</f>
        <v/>
      </c>
      <c r="AT217" s="28" t="str">
        <f t="array" ref="AT217">IF($I217="","",IF(C217="Q",IF(OR(I217="NOT_READABLE",I217="BLURRY"),XLOOKUP("near_add_step",Calibration!$B:$B,Calibration!$C:$C,0.25),0),IF(C217="R",IF(I217="NOT_CLEAR",XLOOKUP("near_add_step",Calibration!$B:$B,Calibration!$C:$C,0.25),0),0)))</f>
        <v/>
      </c>
      <c r="AU217" s="28" t="str">
        <f t="array" ref="AU217">IF($I217="","",IF(G217="SNELLEN_FEET",IF(I217="READABLE",IFERROR(XLOOKUP(XLOOKUP(R217,Chart_Scale_Distance!B:B,Chart_Scale_Distance!A:A)+1,Chart_Scale_Distance!A:A,Chart_Scale_Distance!B:B),R217),R217),R217))</f>
        <v/>
      </c>
      <c r="AV217" s="28" t="str">
        <f t="array" ref="AV217">IF($I216="","",IFERROR(XLOOKUP(R217,Chart_Scale_Distance!$B:$B,Chart_Scale_Distance!$A:$A,""),""))</f>
        <v/>
      </c>
      <c r="AW217" s="28" t="str">
        <f t="array" ref="AW217">IF($I216="","",IFERROR(XLOOKUP(AA217,Chart_Scale_Distance!$B:$B,Chart_Scale_Distance!$A:$A,""),""))</f>
        <v/>
      </c>
      <c r="AX217" s="28" t="str">
        <f t="shared" si="14"/>
        <v/>
      </c>
      <c r="AY217" s="28" t="str">
        <f t="shared" si="15"/>
        <v/>
      </c>
      <c r="AZ217" s="28" t="str">
        <f t="shared" si="16"/>
        <v/>
      </c>
      <c r="BA217" s="28" t="str">
        <f t="shared" si="17"/>
        <v/>
      </c>
      <c r="BB217" s="28" t="str">
        <f t="shared" si="18"/>
        <v/>
      </c>
      <c r="BC217" s="28" t="str">
        <f t="array" ref="BC217">IF($I217="","",LET(
conf,AI217,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duoMax,XLOOKUP($B217,Derived_Variables!$A:$A,Derived_Variables!$AI:$AI,4),
axisTol,XLOOKUP($B217,Derived_Variables!$A:$A,Derived_Variables!$W:$W,1),
maxStart,XLOOKUP($B217,Derived_Variables!$A:$A,Derived_Variables!$U:$U,1.25),
maxAR,XLOOKUP($B217,Derived_Variables!$A:$A,Derived_Variables!$V:$V,3),
anom,XLOOKUP($B217,Derived_Variables!$A:$A,Derived_Variables!$Z:$Z,FALSE),
reStart,XLOOKUP($B217,Derived_Variables!$A:$A,Derived_Variables!$K:$K,0),
leStart,XLOOKUP($B217,Derived_Variables!$A:$A,Derived_Variables!$N:$N,0),
reAR,XLOOKUP($B217,AR_Input!$A:$A,AR_Input!$B:$B,reStart),
leAR,XLOOKUP($B217,AR_Input!$A:$A,AR_Input!$E:$E,leStart),
reEsc,AND(anom,OR(ABS((S217+AM217)-reStart)&gt;maxStart,ABS((S217+AM217)-reAR)&gt;maxAR)),
leEsc,AND(anom,OR(ABS((V217+AP217)-leStart)&gt;maxStart,ABS((V217+AP217)-leAR)&gt;maxAR)),
phaseMax,IFS(
 AK217="Fast",
   IFS(
     OR(C217="B",C217="D"),XLOOKUP("timeout_coarse_fast",Calibration!$B:$B,Calibration!$C:$C,24),
     OR(C217="E",C217="F",C217="H",C217="I"),XLOOKUP("timeout_jcc_fast",Calibration!$B:$B,Calibration!$C:$C,10),
     OR(C217="G",C217="J"),XLOOKUP("timeout_duochrome_fast",Calibration!$B:$B,Calibration!$C:$C,8),
     C217="K",XLOOKUP("timeout_bino_fast",Calibration!$B:$B,Calibration!$C:$C,10),
     OR(C217="P",C217="Q",C217="R"),XLOOKUP("timeout_near_fast",Calibration!$B:$B,Calibration!$C:$C,16),
     TRUE,XLOOKUP("timeout_coarse_fast",Calibration!$B:$B,Calibration!$C:$C,24)
   ),
 AK217="Normal",
   IFS(
     OR(C217="B",C217="D"),XLOOKUP("timeout_coarse_normal",Calibration!$B:$B,Calibration!$C:$C,36),
     OR(C217="E",C217="F",C217="H",C217="I"),XLOOKUP("timeout_jcc_normal",Calibration!$B:$B,Calibration!$C:$C,14),
     OR(C217="G",C217="J"),XLOOKUP("timeout_duochrome_normal",Calibration!$B:$B,Calibration!$C:$C,10),
     C217="K",XLOOKUP("timeout_bino_normal",Calibration!$B:$B,Calibration!$C:$C,14),
     OR(C217="P",C217="Q",C217="R"),XLOOKUP("timeout_near_normal",Calibration!$B:$B,Calibration!$C:$C,22),
     TRUE,XLOOKUP("timeout_coarse_normal",Calibration!$B:$B,Calibration!$C:$C,36)
   ),
 TRUE,
   IFS(
     OR(C217="B",C217="D"),XLOOKUP("timeout_coarse_slow",Calibration!$B:$B,Calibration!$C:$C,48),
     OR(C217="E",C217="F",C217="H",C217="I"),XLOOKUP("timeout_jcc_slow",Calibration!$B:$B,Calibration!$C:$C,18),
     OR(C217="G",C217="J"),XLOOKUP("timeout_duochrome_slow",Calibration!$B:$B,Calibration!$C:$C,12),
     C217="K",XLOOKUP("timeout_bino_slow",Calibration!$B:$B,Calibration!$C:$C,18),
     OR(C217="P",C217="Q",C217="R"),XLOOKUP("timeout_near_slow",Calibration!$B:$B,Calibration!$C:$C,28),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AJ217=TRUE,"ESCALATE",
C217="A",
IF(OR(I217="NOT_READABLE",I217="BLURRY",AND(R217="20_20_20",I217="READABLE")),"B","A"),
C217="B",
IF(reEsc,"ESCALATE",IF(AY217&gt;=phaseMax,"ESCALATE",IF(AND(AV217&gt;=AW217,I217="READABLE"),"E","B"))),
C217="E",
IF(AY217&gt;=phaseMax,"ESCALATE",IF(OR(I217="SAME",I217="CANT_TELL",AD217&lt;axisTol),"F","E")),
C217="F",
IF(AY217&gt;=phaseMax,"ESCALATE",IF(AX217&gt;=powerSameN,"G","F")),
C217="G",
IF(AY217&gt;=phaseMax,"ESCALATE",IF(OR(AX217&gt;=duoEqualN,BB217&gt;=duoMax),"D","G")),
C217="D",
IF(leEsc,"ESCALATE",IF(AY217&gt;=phaseMax,"ESCALATE",IF(AND(AV217&gt;=AW217,I217="READABLE"),"H","D"))),
C217="H",
IF(AY217&gt;=phaseMax,"ESCALATE",IF(OR(I217="SAME",I217="CANT_TELL",AD217&lt;axisTol),"I","H")),
C217="I",
IF(AY217&gt;=phaseMax,"ESCALATE",IF(AX217&gt;=powerSameN,"J","I")),
C217="J",
IF(AY217&gt;=phaseMax,"ESCALATE",IF(OR(AX217&gt;=duoEqualN,BB217&gt;=duoMax),"K","J")),
C217="K",
IF(AY217&gt;=phaseMax,"ESCALATE",IF(AX217&gt;=binoSameN,IF(XLOOKUP($B217,Derived_Variables!$A:$A,Derived_Variables!$AJ:$AJ,FALSE)=TRUE,"P","END"),"K")),
C217="P",
IF(AY217&gt;=phaseMax,"ESCALATE",IF(OR(I217="READABLE",I217="SAME"),"Q","P")),
C217="Q",
IF(AY217&gt;=phaseMax,"ESCALATE",IF(OR(I217="READABLE",I217="SAME"),"R","Q")),
C217="R",
IF(AY217&gt;=phaseMax,"ESCALATE",IF(OR(I217=nearTarget,I217="SAME"),"END","R")),
TRUE,"END"
)))</f>
        <v/>
      </c>
      <c r="BD217" s="28" t="b">
        <f t="shared" si="19"/>
        <v>0</v>
      </c>
    </row>
    <row r="218" ht="15.75" customHeight="1">
      <c r="A218" s="28">
        <f t="shared" si="3"/>
        <v>217</v>
      </c>
      <c r="B218" s="28">
        <f t="shared" si="4"/>
        <v>6</v>
      </c>
      <c r="C218" s="28" t="str">
        <f t="shared" si="5"/>
        <v/>
      </c>
      <c r="D218" s="28" t="str">
        <f t="array" ref="D218">IF($I217="","",XLOOKUP(C218,FSM_State_Map!A:A,FSM_State_Map!B:B,""))</f>
        <v/>
      </c>
      <c r="E218" s="28" t="str">
        <f t="array" ref="E218">IF($I217="","",XLOOKUP(C218,FSM_State_Map!A:A,FSM_State_Map!C:C,""))</f>
        <v/>
      </c>
      <c r="F218" s="28" t="str">
        <f t="array" ref="F218">IF($I217="","",XLOOKUP(E218,Phase_UI_Map!A:A,Phase_UI_Map!B:B,""))</f>
        <v/>
      </c>
      <c r="G218" s="28" t="str">
        <f t="array" ref="G218">IF($I217="","",XLOOKUP(E218,Phase_UI_Map!A:A,Phase_UI_Map!C:C,""))</f>
        <v/>
      </c>
      <c r="H218" s="28" t="str">
        <f t="array" ref="H218">IF($I217="","",XLOOKUP(E218,Phase_UI_Map!A:A,Phase_UI_Map!D:D,""))</f>
        <v/>
      </c>
      <c r="I218" s="29"/>
      <c r="J218" s="28" t="str">
        <f>IFERROR(__xludf.DUMMYFUNCTION("IF($I217="""","""",IFERROR(INDEX(FILTER(Response_Lists!$B:$B,Response_Lists!$A:$A=$H218),1),""""))"),"")</f>
        <v/>
      </c>
      <c r="K218" s="28" t="str">
        <f>IFERROR(__xludf.DUMMYFUNCTION("IF($I217="""","""",IFERROR(INDEX(FILTER(Response_Lists!$B:$B,Response_Lists!$A:$A=$H218),2),""""))"),"")</f>
        <v/>
      </c>
      <c r="L218" s="28" t="str">
        <f>IFERROR(__xludf.DUMMYFUNCTION("IF($I217="""","""",IFERROR(INDEX(FILTER(Response_Lists!$B:$B,Response_Lists!$A:$A=$H218),3),""""))"),"")</f>
        <v/>
      </c>
      <c r="M218" s="28" t="str">
        <f>IFERROR(__xludf.DUMMYFUNCTION("IF($I217="""","""",IFERROR(INDEX(FILTER(Response_Lists!$B:$B,Response_Lists!$A:$A=$H218),4),""""))"),"")</f>
        <v/>
      </c>
      <c r="N218" s="28" t="str">
        <f>IFERROR(__xludf.DUMMYFUNCTION("IF($I217="""","""",IFERROR(INDEX(FILTER(Response_Lists!$B:$B,Response_Lists!$A:$A=$H218),5),""""))"),"")</f>
        <v/>
      </c>
      <c r="O218" s="28" t="str">
        <f>IFERROR(__xludf.DUMMYFUNCTION("IF($I217="""","""",IFERROR(INDEX(FILTER(Response_Lists!$B:$B,Response_Lists!$A:$A=$H218),6),""""))"),"")</f>
        <v/>
      </c>
      <c r="P218" s="28" t="str">
        <f t="shared" si="6"/>
        <v/>
      </c>
      <c r="Q218" s="28" t="str">
        <f t="array" ref="Q218">IF($I217="","",XLOOKUP(C218,FSM_State_Map!A:A,FSM_State_Map!D:D,""))</f>
        <v/>
      </c>
      <c r="R218" s="28" t="str">
        <f t="shared" si="7"/>
        <v/>
      </c>
      <c r="S218" s="28" t="str">
        <f t="array" ref="S218">IF($I217="","",
IF(
  AND(C218="B",C217&lt;&gt;"B"),
  XLOOKUP($B218,Derived_Variables!$A:$A,Derived_Variables!$K:$K,0)
  + XLOOKUP($B218,Derived_Variables!$A:$A,Derived_Variables!$AE:$AE,0),
  S217+AM217
))</f>
        <v/>
      </c>
      <c r="T218" s="28" t="str">
        <f t="shared" ref="T218:U218" si="446">IF($I217="","",T217+AN217)</f>
        <v/>
      </c>
      <c r="U218" s="28" t="str">
        <f t="shared" si="446"/>
        <v/>
      </c>
      <c r="V218" s="28" t="str">
        <f t="array" ref="V218">IF($I217="","",
IF(
  AND(C218="D",C217&lt;&gt;"D"),
  XLOOKUP($B218,Derived_Variables!$A:$A,Derived_Variables!$N:$N,0)
  + XLOOKUP($B218,Derived_Variables!$A:$A,Derived_Variables!$AE:$AE,0),
  V217+AP217
))</f>
        <v/>
      </c>
      <c r="W218" s="28" t="str">
        <f t="shared" ref="W218:X218" si="447">IF($I217="","",W217+AQ217)</f>
        <v/>
      </c>
      <c r="X218" s="28" t="str">
        <f t="shared" si="447"/>
        <v/>
      </c>
      <c r="Y218" s="28" t="str">
        <f t="array" ref="Y218">IF($I217="","",IF(AND(C218="P",C217&lt;&gt;"P"),IFERROR(XLOOKUP($B218,Lenso_Input!$A:$A,Lenso_Input!$E:$E,0),0),Y217+AS217))</f>
        <v/>
      </c>
      <c r="Z218" s="28" t="str">
        <f t="array" ref="Z218">IF($I217="","",IF(AND(C218="Q",C217&lt;&gt;"Q"),IFERROR(XLOOKUP($B218,Lenso_Input!$A:$A,Lenso_Input!$I:$I,0),0),Z217+AT217))</f>
        <v/>
      </c>
      <c r="AA218" s="28" t="str">
        <f t="array" ref="AA218">IF($I217="","",IF(XLOOKUP($B218,Derived_Variables!$A:$A,Derived_Variables!$R:$R,"6/6_target")="6/6_target","20_20_20","40_30_25"))</f>
        <v/>
      </c>
      <c r="AB218" s="28" t="str">
        <f t="array" ref="AB218">IF($I217="","",XLOOKUP(LOWER(XLOOKUP($B218,Derived_Variables!$A:$A,Derived_Variables!$T:$T,"Standard"))&amp;"_sph_step",Calibration!$B:$B,Calibration!$C:$C,0.25))</f>
        <v/>
      </c>
      <c r="AC218" s="28" t="str">
        <f t="array" ref="AC218">IF($I217="","",XLOOKUP(LOWER(XLOOKUP($B218,Derived_Variables!$A:$A,Derived_Variables!$T:$T,"Standard"))&amp;"_cyl_step",Calibration!$B:$B,Calibration!$C:$C,0.25))</f>
        <v/>
      </c>
      <c r="AD218" s="28" t="str">
        <f t="array" ref="AD218">IF($I217="","",IF(OR(C218="E",C218="H"),LET(startStep,XLOOKUP("axis_start_step",Calibration!$B:$B,Calibration!$C:$C,5),step1,XLOOKUP("axis_reversal_step_1",Calibration!$B:$B,Calibration!$C:$C,3),step2,XLOOKUP("axis_reversal_step_2",Calibration!$B:$B,Calibration!$C:$C,1),IF(OR(C217&lt;&gt;C218,AZ218="",AZ218="SAME",AZ218="CANT_TELL",I218="",I218="SAME",I218="CANT_TELL"),startStep,IF(OR(AND(AZ218="BETTER_1",I218="BETTER_2"),AND(AZ218="BETTER_2",I218="BETTER_1")),IF(AD217&gt;step1,step1,step2),AD217))),0))</f>
        <v/>
      </c>
      <c r="AE218" s="28" t="str">
        <f t="array" ref="AE218">IF($I217="","",XLOOKUP($B218,Derived_Variables!$A:$A,Derived_Variables!$AD:$AD,"No_Fog"))</f>
        <v/>
      </c>
      <c r="AF218" s="28" t="str">
        <f t="array" ref="AF218">IF($I217="","",XLOOKUP($B218,Derived_Variables!$A:$A,Derived_Variables!$AE:$AE,0))</f>
        <v/>
      </c>
      <c r="AG218" s="28" t="str">
        <f t="array" ref="AG218">IF($I217="","",XLOOKUP($B218,Derived_Variables!$A:$A,Derived_Variables!$AF:$AF,""))</f>
        <v/>
      </c>
      <c r="AH218" s="28" t="str">
        <f t="array" ref="AH218">IF($I217="","",XLOOKUP($B218,Derived_Variables!$A:$A,Derived_Variables!$AG:$AG,""))</f>
        <v/>
      </c>
      <c r="AI218" s="28" t="str">
        <f t="array" ref="AI218">IF($I217="","",XLOOKUP($B218,Derived_Variables!$A:$A,Derived_Variables!$AC:$AC,"Medium"))</f>
        <v/>
      </c>
      <c r="AJ218" s="28" t="str">
        <f t="array" ref="AJ218">IF($I217="","",XLOOKUP($B218,Derived_Variables!$A:$A,Derived_Variables!$Y:$Y,FALSE))</f>
        <v/>
      </c>
      <c r="AK218" s="28" t="str">
        <f t="array" ref="AK218">IF($I217="","",XLOOKUP($B218,Derived_Variables!$A:$A,Derived_Variables!$AA:$AA,"Normal"))</f>
        <v/>
      </c>
      <c r="AL218" s="28" t="str">
        <f t="array" ref="AL218">IF($I217="","",XLOOKUP($B218,Derived_Variables!$A:$A,Derived_Variables!$AB:$AB,"Normal"))</f>
        <v/>
      </c>
      <c r="AM218" s="28" t="str">
        <f t="array" ref="AM218">IF($I218="","",IFS(C218="B",IF(OR(I218="NOT_READABLE",I218="BLURRY"),-AB218,0),C218="G",IFS(I218="RED_CLEARER",XLOOKUP("duochrome_red_step",Calibration!$B:$B,Calibration!$C:$C,-0.25),I218="GREEN_CLEARER",XLOOKUP("duochrome_green_step",Calibration!$B:$B,Calibration!$C:$C,0.25),I218="EQUAL",IF(XLOOKUP($B218,Derived_Variables!$A:$A,Derived_Variables!$S:$S,"Neutral")="Undercorrect",XLOOKUP("undercorrect_step",Calibration!$B:$B,Calibration!$C:$C,0.25),IF(XLOOKUP($B218,Derived_Variables!$A:$A,Derived_Variables!$S:$S,"Neutral")="Overcorrect",-XLOOKUP("overcorrect_step",Calibration!$B:$B,Calibration!$C:$C,0.25),0)),TRUE,0),C218="K",IF(I218="TOP_CLEARER",XLOOKUP("bino_balance_step",Calibration!$B:$B,Calibration!$C:$C,0.25),0),TRUE,0))</f>
        <v/>
      </c>
      <c r="AN218" s="28" t="str">
        <f t="shared" si="10"/>
        <v/>
      </c>
      <c r="AO218" s="28" t="str">
        <f t="shared" si="11"/>
        <v/>
      </c>
      <c r="AP218" s="28" t="str">
        <f t="array" ref="AP218">IF($I218="","",IFS(C218="D",IF(OR(I218="NOT_READABLE",I218="BLURRY"),-AB218,0),C218="J",IFS(I218="RED_CLEARER",XLOOKUP("duochrome_red_step",Calibration!$B:$B,Calibration!$C:$C,-0.25),I218="GREEN_CLEARER",XLOOKUP("duochrome_green_step",Calibration!$B:$B,Calibration!$C:$C,0.25),I218="EQUAL",IF(XLOOKUP($B218,Derived_Variables!$A:$A,Derived_Variables!$S:$S,"Neutral")="Undercorrect",XLOOKUP("undercorrect_step",Calibration!$B:$B,Calibration!$C:$C,0.25),IF(XLOOKUP($B218,Derived_Variables!$A:$A,Derived_Variables!$S:$S,"Neutral")="Overcorrect",-XLOOKUP("overcorrect_step",Calibration!$B:$B,Calibration!$C:$C,0.25),0)),TRUE,0),C218="K",IF(I218="BOTTOM_CLEARER",XLOOKUP("bino_balance_step",Calibration!$B:$B,Calibration!$C:$C,0.25),0),TRUE,0))</f>
        <v/>
      </c>
      <c r="AQ218" s="28" t="str">
        <f t="shared" si="12"/>
        <v/>
      </c>
      <c r="AR218" s="28" t="str">
        <f t="shared" si="13"/>
        <v/>
      </c>
      <c r="AS218" s="28" t="str">
        <f t="array" ref="AS218">IF($I218="","",IF(C218="P",IF(OR(I218="NOT_READABLE",I218="BLURRY"),XLOOKUP("near_add_step",Calibration!$B:$B,Calibration!$C:$C,0.25),0),IF(C218="R",IF(I218="NOT_CLEAR",XLOOKUP("near_add_step",Calibration!$B:$B,Calibration!$C:$C,0.25),0),0)))</f>
        <v/>
      </c>
      <c r="AT218" s="28" t="str">
        <f t="array" ref="AT218">IF($I218="","",IF(C218="Q",IF(OR(I218="NOT_READABLE",I218="BLURRY"),XLOOKUP("near_add_step",Calibration!$B:$B,Calibration!$C:$C,0.25),0),IF(C218="R",IF(I218="NOT_CLEAR",XLOOKUP("near_add_step",Calibration!$B:$B,Calibration!$C:$C,0.25),0),0)))</f>
        <v/>
      </c>
      <c r="AU218" s="28" t="str">
        <f t="array" ref="AU218">IF($I218="","",IF(G218="SNELLEN_FEET",IF(I218="READABLE",IFERROR(XLOOKUP(XLOOKUP(R218,Chart_Scale_Distance!B:B,Chart_Scale_Distance!A:A)+1,Chart_Scale_Distance!A:A,Chart_Scale_Distance!B:B),R218),R218),R218))</f>
        <v/>
      </c>
      <c r="AV218" s="28" t="str">
        <f t="array" ref="AV218">IF($I217="","",IFERROR(XLOOKUP(R218,Chart_Scale_Distance!$B:$B,Chart_Scale_Distance!$A:$A,""),""))</f>
        <v/>
      </c>
      <c r="AW218" s="28" t="str">
        <f t="array" ref="AW218">IF($I217="","",IFERROR(XLOOKUP(AA218,Chart_Scale_Distance!$B:$B,Chart_Scale_Distance!$A:$A,""),""))</f>
        <v/>
      </c>
      <c r="AX218" s="28" t="str">
        <f t="shared" si="14"/>
        <v/>
      </c>
      <c r="AY218" s="28" t="str">
        <f t="shared" si="15"/>
        <v/>
      </c>
      <c r="AZ218" s="28" t="str">
        <f t="shared" si="16"/>
        <v/>
      </c>
      <c r="BA218" s="28" t="str">
        <f t="shared" si="17"/>
        <v/>
      </c>
      <c r="BB218" s="28" t="str">
        <f t="shared" si="18"/>
        <v/>
      </c>
      <c r="BC218" s="28" t="str">
        <f t="array" ref="BC218">IF($I218="","",LET(
conf,AI218,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duoMax,XLOOKUP($B218,Derived_Variables!$A:$A,Derived_Variables!$AI:$AI,4),
axisTol,XLOOKUP($B218,Derived_Variables!$A:$A,Derived_Variables!$W:$W,1),
maxStart,XLOOKUP($B218,Derived_Variables!$A:$A,Derived_Variables!$U:$U,1.25),
maxAR,XLOOKUP($B218,Derived_Variables!$A:$A,Derived_Variables!$V:$V,3),
anom,XLOOKUP($B218,Derived_Variables!$A:$A,Derived_Variables!$Z:$Z,FALSE),
reStart,XLOOKUP($B218,Derived_Variables!$A:$A,Derived_Variables!$K:$K,0),
leStart,XLOOKUP($B218,Derived_Variables!$A:$A,Derived_Variables!$N:$N,0),
reAR,XLOOKUP($B218,AR_Input!$A:$A,AR_Input!$B:$B,reStart),
leAR,XLOOKUP($B218,AR_Input!$A:$A,AR_Input!$E:$E,leStart),
reEsc,AND(anom,OR(ABS((S218+AM218)-reStart)&gt;maxStart,ABS((S218+AM218)-reAR)&gt;maxAR)),
leEsc,AND(anom,OR(ABS((V218+AP218)-leStart)&gt;maxStart,ABS((V218+AP218)-leAR)&gt;maxAR)),
phaseMax,IFS(
 AK218="Fast",
   IFS(
     OR(C218="B",C218="D"),XLOOKUP("timeout_coarse_fast",Calibration!$B:$B,Calibration!$C:$C,24),
     OR(C218="E",C218="F",C218="H",C218="I"),XLOOKUP("timeout_jcc_fast",Calibration!$B:$B,Calibration!$C:$C,10),
     OR(C218="G",C218="J"),XLOOKUP("timeout_duochrome_fast",Calibration!$B:$B,Calibration!$C:$C,8),
     C218="K",XLOOKUP("timeout_bino_fast",Calibration!$B:$B,Calibration!$C:$C,10),
     OR(C218="P",C218="Q",C218="R"),XLOOKUP("timeout_near_fast",Calibration!$B:$B,Calibration!$C:$C,16),
     TRUE,XLOOKUP("timeout_coarse_fast",Calibration!$B:$B,Calibration!$C:$C,24)
   ),
 AK218="Normal",
   IFS(
     OR(C218="B",C218="D"),XLOOKUP("timeout_coarse_normal",Calibration!$B:$B,Calibration!$C:$C,36),
     OR(C218="E",C218="F",C218="H",C218="I"),XLOOKUP("timeout_jcc_normal",Calibration!$B:$B,Calibration!$C:$C,14),
     OR(C218="G",C218="J"),XLOOKUP("timeout_duochrome_normal",Calibration!$B:$B,Calibration!$C:$C,10),
     C218="K",XLOOKUP("timeout_bino_normal",Calibration!$B:$B,Calibration!$C:$C,14),
     OR(C218="P",C218="Q",C218="R"),XLOOKUP("timeout_near_normal",Calibration!$B:$B,Calibration!$C:$C,22),
     TRUE,XLOOKUP("timeout_coarse_normal",Calibration!$B:$B,Calibration!$C:$C,36)
   ),
 TRUE,
   IFS(
     OR(C218="B",C218="D"),XLOOKUP("timeout_coarse_slow",Calibration!$B:$B,Calibration!$C:$C,48),
     OR(C218="E",C218="F",C218="H",C218="I"),XLOOKUP("timeout_jcc_slow",Calibration!$B:$B,Calibration!$C:$C,18),
     OR(C218="G",C218="J"),XLOOKUP("timeout_duochrome_slow",Calibration!$B:$B,Calibration!$C:$C,12),
     C218="K",XLOOKUP("timeout_bino_slow",Calibration!$B:$B,Calibration!$C:$C,18),
     OR(C218="P",C218="Q",C218="R"),XLOOKUP("timeout_near_slow",Calibration!$B:$B,Calibration!$C:$C,28),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AJ218=TRUE,"ESCALATE",
C218="A",
IF(OR(I218="NOT_READABLE",I218="BLURRY",AND(R218="20_20_20",I218="READABLE")),"B","A"),
C218="B",
IF(reEsc,"ESCALATE",IF(AY218&gt;=phaseMax,"ESCALATE",IF(AND(AV218&gt;=AW218,I218="READABLE"),"E","B"))),
C218="E",
IF(AY218&gt;=phaseMax,"ESCALATE",IF(OR(I218="SAME",I218="CANT_TELL",AD218&lt;axisTol),"F","E")),
C218="F",
IF(AY218&gt;=phaseMax,"ESCALATE",IF(AX218&gt;=powerSameN,"G","F")),
C218="G",
IF(AY218&gt;=phaseMax,"ESCALATE",IF(OR(AX218&gt;=duoEqualN,BB218&gt;=duoMax),"D","G")),
C218="D",
IF(leEsc,"ESCALATE",IF(AY218&gt;=phaseMax,"ESCALATE",IF(AND(AV218&gt;=AW218,I218="READABLE"),"H","D"))),
C218="H",
IF(AY218&gt;=phaseMax,"ESCALATE",IF(OR(I218="SAME",I218="CANT_TELL",AD218&lt;axisTol),"I","H")),
C218="I",
IF(AY218&gt;=phaseMax,"ESCALATE",IF(AX218&gt;=powerSameN,"J","I")),
C218="J",
IF(AY218&gt;=phaseMax,"ESCALATE",IF(OR(AX218&gt;=duoEqualN,BB218&gt;=duoMax),"K","J")),
C218="K",
IF(AY218&gt;=phaseMax,"ESCALATE",IF(AX218&gt;=binoSameN,IF(XLOOKUP($B218,Derived_Variables!$A:$A,Derived_Variables!$AJ:$AJ,FALSE)=TRUE,"P","END"),"K")),
C218="P",
IF(AY218&gt;=phaseMax,"ESCALATE",IF(OR(I218="READABLE",I218="SAME"),"Q","P")),
C218="Q",
IF(AY218&gt;=phaseMax,"ESCALATE",IF(OR(I218="READABLE",I218="SAME"),"R","Q")),
C218="R",
IF(AY218&gt;=phaseMax,"ESCALATE",IF(OR(I218=nearTarget,I218="SAME"),"END","R")),
TRUE,"END"
)))</f>
        <v/>
      </c>
      <c r="BD218" s="28" t="b">
        <f t="shared" si="19"/>
        <v>0</v>
      </c>
    </row>
    <row r="219" ht="15.75" customHeight="1">
      <c r="A219" s="28">
        <f t="shared" si="3"/>
        <v>218</v>
      </c>
      <c r="B219" s="28">
        <f t="shared" si="4"/>
        <v>6</v>
      </c>
      <c r="C219" s="28" t="str">
        <f t="shared" si="5"/>
        <v/>
      </c>
      <c r="D219" s="28" t="str">
        <f t="array" ref="D219">IF($I218="","",XLOOKUP(C219,FSM_State_Map!A:A,FSM_State_Map!B:B,""))</f>
        <v/>
      </c>
      <c r="E219" s="28" t="str">
        <f t="array" ref="E219">IF($I218="","",XLOOKUP(C219,FSM_State_Map!A:A,FSM_State_Map!C:C,""))</f>
        <v/>
      </c>
      <c r="F219" s="28" t="str">
        <f t="array" ref="F219">IF($I218="","",XLOOKUP(E219,Phase_UI_Map!A:A,Phase_UI_Map!B:B,""))</f>
        <v/>
      </c>
      <c r="G219" s="28" t="str">
        <f t="array" ref="G219">IF($I218="","",XLOOKUP(E219,Phase_UI_Map!A:A,Phase_UI_Map!C:C,""))</f>
        <v/>
      </c>
      <c r="H219" s="28" t="str">
        <f t="array" ref="H219">IF($I218="","",XLOOKUP(E219,Phase_UI_Map!A:A,Phase_UI_Map!D:D,""))</f>
        <v/>
      </c>
      <c r="I219" s="29"/>
      <c r="J219" s="28" t="str">
        <f>IFERROR(__xludf.DUMMYFUNCTION("IF($I218="""","""",IFERROR(INDEX(FILTER(Response_Lists!$B:$B,Response_Lists!$A:$A=$H219),1),""""))"),"")</f>
        <v/>
      </c>
      <c r="K219" s="28" t="str">
        <f>IFERROR(__xludf.DUMMYFUNCTION("IF($I218="""","""",IFERROR(INDEX(FILTER(Response_Lists!$B:$B,Response_Lists!$A:$A=$H219),2),""""))"),"")</f>
        <v/>
      </c>
      <c r="L219" s="28" t="str">
        <f>IFERROR(__xludf.DUMMYFUNCTION("IF($I218="""","""",IFERROR(INDEX(FILTER(Response_Lists!$B:$B,Response_Lists!$A:$A=$H219),3),""""))"),"")</f>
        <v/>
      </c>
      <c r="M219" s="28" t="str">
        <f>IFERROR(__xludf.DUMMYFUNCTION("IF($I218="""","""",IFERROR(INDEX(FILTER(Response_Lists!$B:$B,Response_Lists!$A:$A=$H219),4),""""))"),"")</f>
        <v/>
      </c>
      <c r="N219" s="28" t="str">
        <f>IFERROR(__xludf.DUMMYFUNCTION("IF($I218="""","""",IFERROR(INDEX(FILTER(Response_Lists!$B:$B,Response_Lists!$A:$A=$H219),5),""""))"),"")</f>
        <v/>
      </c>
      <c r="O219" s="28" t="str">
        <f>IFERROR(__xludf.DUMMYFUNCTION("IF($I218="""","""",IFERROR(INDEX(FILTER(Response_Lists!$B:$B,Response_Lists!$A:$A=$H219),6),""""))"),"")</f>
        <v/>
      </c>
      <c r="P219" s="28" t="str">
        <f t="shared" si="6"/>
        <v/>
      </c>
      <c r="Q219" s="28" t="str">
        <f t="array" ref="Q219">IF($I218="","",XLOOKUP(C219,FSM_State_Map!A:A,FSM_State_Map!D:D,""))</f>
        <v/>
      </c>
      <c r="R219" s="28" t="str">
        <f t="shared" si="7"/>
        <v/>
      </c>
      <c r="S219" s="28" t="str">
        <f t="array" ref="S219">IF($I218="","",
IF(
  AND(C219="B",C218&lt;&gt;"B"),
  XLOOKUP($B219,Derived_Variables!$A:$A,Derived_Variables!$K:$K,0)
  + XLOOKUP($B219,Derived_Variables!$A:$A,Derived_Variables!$AE:$AE,0),
  S218+AM218
))</f>
        <v/>
      </c>
      <c r="T219" s="28" t="str">
        <f t="shared" ref="T219:U219" si="448">IF($I218="","",T218+AN218)</f>
        <v/>
      </c>
      <c r="U219" s="28" t="str">
        <f t="shared" si="448"/>
        <v/>
      </c>
      <c r="V219" s="28" t="str">
        <f t="array" ref="V219">IF($I218="","",
IF(
  AND(C219="D",C218&lt;&gt;"D"),
  XLOOKUP($B219,Derived_Variables!$A:$A,Derived_Variables!$N:$N,0)
  + XLOOKUP($B219,Derived_Variables!$A:$A,Derived_Variables!$AE:$AE,0),
  V218+AP218
))</f>
        <v/>
      </c>
      <c r="W219" s="28" t="str">
        <f t="shared" ref="W219:X219" si="449">IF($I218="","",W218+AQ218)</f>
        <v/>
      </c>
      <c r="X219" s="28" t="str">
        <f t="shared" si="449"/>
        <v/>
      </c>
      <c r="Y219" s="28" t="str">
        <f t="array" ref="Y219">IF($I218="","",IF(AND(C219="P",C218&lt;&gt;"P"),IFERROR(XLOOKUP($B219,Lenso_Input!$A:$A,Lenso_Input!$E:$E,0),0),Y218+AS218))</f>
        <v/>
      </c>
      <c r="Z219" s="28" t="str">
        <f t="array" ref="Z219">IF($I218="","",IF(AND(C219="Q",C218&lt;&gt;"Q"),IFERROR(XLOOKUP($B219,Lenso_Input!$A:$A,Lenso_Input!$I:$I,0),0),Z218+AT218))</f>
        <v/>
      </c>
      <c r="AA219" s="28" t="str">
        <f t="array" ref="AA219">IF($I218="","",IF(XLOOKUP($B219,Derived_Variables!$A:$A,Derived_Variables!$R:$R,"6/6_target")="6/6_target","20_20_20","40_30_25"))</f>
        <v/>
      </c>
      <c r="AB219" s="28" t="str">
        <f t="array" ref="AB219">IF($I218="","",XLOOKUP(LOWER(XLOOKUP($B219,Derived_Variables!$A:$A,Derived_Variables!$T:$T,"Standard"))&amp;"_sph_step",Calibration!$B:$B,Calibration!$C:$C,0.25))</f>
        <v/>
      </c>
      <c r="AC219" s="28" t="str">
        <f t="array" ref="AC219">IF($I218="","",XLOOKUP(LOWER(XLOOKUP($B219,Derived_Variables!$A:$A,Derived_Variables!$T:$T,"Standard"))&amp;"_cyl_step",Calibration!$B:$B,Calibration!$C:$C,0.25))</f>
        <v/>
      </c>
      <c r="AD219" s="28" t="str">
        <f t="array" ref="AD219">IF($I218="","",IF(OR(C219="E",C219="H"),LET(startStep,XLOOKUP("axis_start_step",Calibration!$B:$B,Calibration!$C:$C,5),step1,XLOOKUP("axis_reversal_step_1",Calibration!$B:$B,Calibration!$C:$C,3),step2,XLOOKUP("axis_reversal_step_2",Calibration!$B:$B,Calibration!$C:$C,1),IF(OR(C218&lt;&gt;C219,AZ219="",AZ219="SAME",AZ219="CANT_TELL",I219="",I219="SAME",I219="CANT_TELL"),startStep,IF(OR(AND(AZ219="BETTER_1",I219="BETTER_2"),AND(AZ219="BETTER_2",I219="BETTER_1")),IF(AD218&gt;step1,step1,step2),AD218))),0))</f>
        <v/>
      </c>
      <c r="AE219" s="28" t="str">
        <f t="array" ref="AE219">IF($I218="","",XLOOKUP($B219,Derived_Variables!$A:$A,Derived_Variables!$AD:$AD,"No_Fog"))</f>
        <v/>
      </c>
      <c r="AF219" s="28" t="str">
        <f t="array" ref="AF219">IF($I218="","",XLOOKUP($B219,Derived_Variables!$A:$A,Derived_Variables!$AE:$AE,0))</f>
        <v/>
      </c>
      <c r="AG219" s="28" t="str">
        <f t="array" ref="AG219">IF($I218="","",XLOOKUP($B219,Derived_Variables!$A:$A,Derived_Variables!$AF:$AF,""))</f>
        <v/>
      </c>
      <c r="AH219" s="28" t="str">
        <f t="array" ref="AH219">IF($I218="","",XLOOKUP($B219,Derived_Variables!$A:$A,Derived_Variables!$AG:$AG,""))</f>
        <v/>
      </c>
      <c r="AI219" s="28" t="str">
        <f t="array" ref="AI219">IF($I218="","",XLOOKUP($B219,Derived_Variables!$A:$A,Derived_Variables!$AC:$AC,"Medium"))</f>
        <v/>
      </c>
      <c r="AJ219" s="28" t="str">
        <f t="array" ref="AJ219">IF($I218="","",XLOOKUP($B219,Derived_Variables!$A:$A,Derived_Variables!$Y:$Y,FALSE))</f>
        <v/>
      </c>
      <c r="AK219" s="28" t="str">
        <f t="array" ref="AK219">IF($I218="","",XLOOKUP($B219,Derived_Variables!$A:$A,Derived_Variables!$AA:$AA,"Normal"))</f>
        <v/>
      </c>
      <c r="AL219" s="28" t="str">
        <f t="array" ref="AL219">IF($I218="","",XLOOKUP($B219,Derived_Variables!$A:$A,Derived_Variables!$AB:$AB,"Normal"))</f>
        <v/>
      </c>
      <c r="AM219" s="28" t="str">
        <f t="array" ref="AM219">IF($I219="","",IFS(C219="B",IF(OR(I219="NOT_READABLE",I219="BLURRY"),-AB219,0),C219="G",IFS(I219="RED_CLEARER",XLOOKUP("duochrome_red_step",Calibration!$B:$B,Calibration!$C:$C,-0.25),I219="GREEN_CLEARER",XLOOKUP("duochrome_green_step",Calibration!$B:$B,Calibration!$C:$C,0.25),I219="EQUAL",IF(XLOOKUP($B219,Derived_Variables!$A:$A,Derived_Variables!$S:$S,"Neutral")="Undercorrect",XLOOKUP("undercorrect_step",Calibration!$B:$B,Calibration!$C:$C,0.25),IF(XLOOKUP($B219,Derived_Variables!$A:$A,Derived_Variables!$S:$S,"Neutral")="Overcorrect",-XLOOKUP("overcorrect_step",Calibration!$B:$B,Calibration!$C:$C,0.25),0)),TRUE,0),C219="K",IF(I219="TOP_CLEARER",XLOOKUP("bino_balance_step",Calibration!$B:$B,Calibration!$C:$C,0.25),0),TRUE,0))</f>
        <v/>
      </c>
      <c r="AN219" s="28" t="str">
        <f t="shared" si="10"/>
        <v/>
      </c>
      <c r="AO219" s="28" t="str">
        <f t="shared" si="11"/>
        <v/>
      </c>
      <c r="AP219" s="28" t="str">
        <f t="array" ref="AP219">IF($I219="","",IFS(C219="D",IF(OR(I219="NOT_READABLE",I219="BLURRY"),-AB219,0),C219="J",IFS(I219="RED_CLEARER",XLOOKUP("duochrome_red_step",Calibration!$B:$B,Calibration!$C:$C,-0.25),I219="GREEN_CLEARER",XLOOKUP("duochrome_green_step",Calibration!$B:$B,Calibration!$C:$C,0.25),I219="EQUAL",IF(XLOOKUP($B219,Derived_Variables!$A:$A,Derived_Variables!$S:$S,"Neutral")="Undercorrect",XLOOKUP("undercorrect_step",Calibration!$B:$B,Calibration!$C:$C,0.25),IF(XLOOKUP($B219,Derived_Variables!$A:$A,Derived_Variables!$S:$S,"Neutral")="Overcorrect",-XLOOKUP("overcorrect_step",Calibration!$B:$B,Calibration!$C:$C,0.25),0)),TRUE,0),C219="K",IF(I219="BOTTOM_CLEARER",XLOOKUP("bino_balance_step",Calibration!$B:$B,Calibration!$C:$C,0.25),0),TRUE,0))</f>
        <v/>
      </c>
      <c r="AQ219" s="28" t="str">
        <f t="shared" si="12"/>
        <v/>
      </c>
      <c r="AR219" s="28" t="str">
        <f t="shared" si="13"/>
        <v/>
      </c>
      <c r="AS219" s="28" t="str">
        <f t="array" ref="AS219">IF($I219="","",IF(C219="P",IF(OR(I219="NOT_READABLE",I219="BLURRY"),XLOOKUP("near_add_step",Calibration!$B:$B,Calibration!$C:$C,0.25),0),IF(C219="R",IF(I219="NOT_CLEAR",XLOOKUP("near_add_step",Calibration!$B:$B,Calibration!$C:$C,0.25),0),0)))</f>
        <v/>
      </c>
      <c r="AT219" s="28" t="str">
        <f t="array" ref="AT219">IF($I219="","",IF(C219="Q",IF(OR(I219="NOT_READABLE",I219="BLURRY"),XLOOKUP("near_add_step",Calibration!$B:$B,Calibration!$C:$C,0.25),0),IF(C219="R",IF(I219="NOT_CLEAR",XLOOKUP("near_add_step",Calibration!$B:$B,Calibration!$C:$C,0.25),0),0)))</f>
        <v/>
      </c>
      <c r="AU219" s="28" t="str">
        <f t="array" ref="AU219">IF($I219="","",IF(G219="SNELLEN_FEET",IF(I219="READABLE",IFERROR(XLOOKUP(XLOOKUP(R219,Chart_Scale_Distance!B:B,Chart_Scale_Distance!A:A)+1,Chart_Scale_Distance!A:A,Chart_Scale_Distance!B:B),R219),R219),R219))</f>
        <v/>
      </c>
      <c r="AV219" s="28" t="str">
        <f t="array" ref="AV219">IF($I218="","",IFERROR(XLOOKUP(R219,Chart_Scale_Distance!$B:$B,Chart_Scale_Distance!$A:$A,""),""))</f>
        <v/>
      </c>
      <c r="AW219" s="28" t="str">
        <f t="array" ref="AW219">IF($I218="","",IFERROR(XLOOKUP(AA219,Chart_Scale_Distance!$B:$B,Chart_Scale_Distance!$A:$A,""),""))</f>
        <v/>
      </c>
      <c r="AX219" s="28" t="str">
        <f t="shared" si="14"/>
        <v/>
      </c>
      <c r="AY219" s="28" t="str">
        <f t="shared" si="15"/>
        <v/>
      </c>
      <c r="AZ219" s="28" t="str">
        <f t="shared" si="16"/>
        <v/>
      </c>
      <c r="BA219" s="28" t="str">
        <f t="shared" si="17"/>
        <v/>
      </c>
      <c r="BB219" s="28" t="str">
        <f t="shared" si="18"/>
        <v/>
      </c>
      <c r="BC219" s="28" t="str">
        <f t="array" ref="BC219">IF($I219="","",LET(
conf,AI219,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duoMax,XLOOKUP($B219,Derived_Variables!$A:$A,Derived_Variables!$AI:$AI,4),
axisTol,XLOOKUP($B219,Derived_Variables!$A:$A,Derived_Variables!$W:$W,1),
maxStart,XLOOKUP($B219,Derived_Variables!$A:$A,Derived_Variables!$U:$U,1.25),
maxAR,XLOOKUP($B219,Derived_Variables!$A:$A,Derived_Variables!$V:$V,3),
anom,XLOOKUP($B219,Derived_Variables!$A:$A,Derived_Variables!$Z:$Z,FALSE),
reStart,XLOOKUP($B219,Derived_Variables!$A:$A,Derived_Variables!$K:$K,0),
leStart,XLOOKUP($B219,Derived_Variables!$A:$A,Derived_Variables!$N:$N,0),
reAR,XLOOKUP($B219,AR_Input!$A:$A,AR_Input!$B:$B,reStart),
leAR,XLOOKUP($B219,AR_Input!$A:$A,AR_Input!$E:$E,leStart),
reEsc,AND(anom,OR(ABS((S219+AM219)-reStart)&gt;maxStart,ABS((S219+AM219)-reAR)&gt;maxAR)),
leEsc,AND(anom,OR(ABS((V219+AP219)-leStart)&gt;maxStart,ABS((V219+AP219)-leAR)&gt;maxAR)),
phaseMax,IFS(
 AK219="Fast",
   IFS(
     OR(C219="B",C219="D"),XLOOKUP("timeout_coarse_fast",Calibration!$B:$B,Calibration!$C:$C,24),
     OR(C219="E",C219="F",C219="H",C219="I"),XLOOKUP("timeout_jcc_fast",Calibration!$B:$B,Calibration!$C:$C,10),
     OR(C219="G",C219="J"),XLOOKUP("timeout_duochrome_fast",Calibration!$B:$B,Calibration!$C:$C,8),
     C219="K",XLOOKUP("timeout_bino_fast",Calibration!$B:$B,Calibration!$C:$C,10),
     OR(C219="P",C219="Q",C219="R"),XLOOKUP("timeout_near_fast",Calibration!$B:$B,Calibration!$C:$C,16),
     TRUE,XLOOKUP("timeout_coarse_fast",Calibration!$B:$B,Calibration!$C:$C,24)
   ),
 AK219="Normal",
   IFS(
     OR(C219="B",C219="D"),XLOOKUP("timeout_coarse_normal",Calibration!$B:$B,Calibration!$C:$C,36),
     OR(C219="E",C219="F",C219="H",C219="I"),XLOOKUP("timeout_jcc_normal",Calibration!$B:$B,Calibration!$C:$C,14),
     OR(C219="G",C219="J"),XLOOKUP("timeout_duochrome_normal",Calibration!$B:$B,Calibration!$C:$C,10),
     C219="K",XLOOKUP("timeout_bino_normal",Calibration!$B:$B,Calibration!$C:$C,14),
     OR(C219="P",C219="Q",C219="R"),XLOOKUP("timeout_near_normal",Calibration!$B:$B,Calibration!$C:$C,22),
     TRUE,XLOOKUP("timeout_coarse_normal",Calibration!$B:$B,Calibration!$C:$C,36)
   ),
 TRUE,
   IFS(
     OR(C219="B",C219="D"),XLOOKUP("timeout_coarse_slow",Calibration!$B:$B,Calibration!$C:$C,48),
     OR(C219="E",C219="F",C219="H",C219="I"),XLOOKUP("timeout_jcc_slow",Calibration!$B:$B,Calibration!$C:$C,18),
     OR(C219="G",C219="J"),XLOOKUP("timeout_duochrome_slow",Calibration!$B:$B,Calibration!$C:$C,12),
     C219="K",XLOOKUP("timeout_bino_slow",Calibration!$B:$B,Calibration!$C:$C,18),
     OR(C219="P",C219="Q",C219="R"),XLOOKUP("timeout_near_slow",Calibration!$B:$B,Calibration!$C:$C,28),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AJ219=TRUE,"ESCALATE",
C219="A",
IF(OR(I219="NOT_READABLE",I219="BLURRY",AND(R219="20_20_20",I219="READABLE")),"B","A"),
C219="B",
IF(reEsc,"ESCALATE",IF(AY219&gt;=phaseMax,"ESCALATE",IF(AND(AV219&gt;=AW219,I219="READABLE"),"E","B"))),
C219="E",
IF(AY219&gt;=phaseMax,"ESCALATE",IF(OR(I219="SAME",I219="CANT_TELL",AD219&lt;axisTol),"F","E")),
C219="F",
IF(AY219&gt;=phaseMax,"ESCALATE",IF(AX219&gt;=powerSameN,"G","F")),
C219="G",
IF(AY219&gt;=phaseMax,"ESCALATE",IF(OR(AX219&gt;=duoEqualN,BB219&gt;=duoMax),"D","G")),
C219="D",
IF(leEsc,"ESCALATE",IF(AY219&gt;=phaseMax,"ESCALATE",IF(AND(AV219&gt;=AW219,I219="READABLE"),"H","D"))),
C219="H",
IF(AY219&gt;=phaseMax,"ESCALATE",IF(OR(I219="SAME",I219="CANT_TELL",AD219&lt;axisTol),"I","H")),
C219="I",
IF(AY219&gt;=phaseMax,"ESCALATE",IF(AX219&gt;=powerSameN,"J","I")),
C219="J",
IF(AY219&gt;=phaseMax,"ESCALATE",IF(OR(AX219&gt;=duoEqualN,BB219&gt;=duoMax),"K","J")),
C219="K",
IF(AY219&gt;=phaseMax,"ESCALATE",IF(AX219&gt;=binoSameN,IF(XLOOKUP($B219,Derived_Variables!$A:$A,Derived_Variables!$AJ:$AJ,FALSE)=TRUE,"P","END"),"K")),
C219="P",
IF(AY219&gt;=phaseMax,"ESCALATE",IF(OR(I219="READABLE",I219="SAME"),"Q","P")),
C219="Q",
IF(AY219&gt;=phaseMax,"ESCALATE",IF(OR(I219="READABLE",I219="SAME"),"R","Q")),
C219="R",
IF(AY219&gt;=phaseMax,"ESCALATE",IF(OR(I219=nearTarget,I219="SAME"),"END","R")),
TRUE,"END"
)))</f>
        <v/>
      </c>
      <c r="BD219" s="28" t="b">
        <f t="shared" si="19"/>
        <v>0</v>
      </c>
    </row>
    <row r="220" ht="15.75" customHeight="1">
      <c r="A220" s="28">
        <f t="shared" si="3"/>
        <v>219</v>
      </c>
      <c r="B220" s="28">
        <f t="shared" si="4"/>
        <v>6</v>
      </c>
      <c r="C220" s="28" t="str">
        <f t="shared" si="5"/>
        <v/>
      </c>
      <c r="D220" s="28" t="str">
        <f t="array" ref="D220">IF($I219="","",XLOOKUP(C220,FSM_State_Map!A:A,FSM_State_Map!B:B,""))</f>
        <v/>
      </c>
      <c r="E220" s="28" t="str">
        <f t="array" ref="E220">IF($I219="","",XLOOKUP(C220,FSM_State_Map!A:A,FSM_State_Map!C:C,""))</f>
        <v/>
      </c>
      <c r="F220" s="28" t="str">
        <f t="array" ref="F220">IF($I219="","",XLOOKUP(E220,Phase_UI_Map!A:A,Phase_UI_Map!B:B,""))</f>
        <v/>
      </c>
      <c r="G220" s="28" t="str">
        <f t="array" ref="G220">IF($I219="","",XLOOKUP(E220,Phase_UI_Map!A:A,Phase_UI_Map!C:C,""))</f>
        <v/>
      </c>
      <c r="H220" s="28" t="str">
        <f t="array" ref="H220">IF($I219="","",XLOOKUP(E220,Phase_UI_Map!A:A,Phase_UI_Map!D:D,""))</f>
        <v/>
      </c>
      <c r="I220" s="29"/>
      <c r="J220" s="28" t="str">
        <f>IFERROR(__xludf.DUMMYFUNCTION("IF($I219="""","""",IFERROR(INDEX(FILTER(Response_Lists!$B:$B,Response_Lists!$A:$A=$H220),1),""""))"),"")</f>
        <v/>
      </c>
      <c r="K220" s="28" t="str">
        <f>IFERROR(__xludf.DUMMYFUNCTION("IF($I219="""","""",IFERROR(INDEX(FILTER(Response_Lists!$B:$B,Response_Lists!$A:$A=$H220),2),""""))"),"")</f>
        <v/>
      </c>
      <c r="L220" s="28" t="str">
        <f>IFERROR(__xludf.DUMMYFUNCTION("IF($I219="""","""",IFERROR(INDEX(FILTER(Response_Lists!$B:$B,Response_Lists!$A:$A=$H220),3),""""))"),"")</f>
        <v/>
      </c>
      <c r="M220" s="28" t="str">
        <f>IFERROR(__xludf.DUMMYFUNCTION("IF($I219="""","""",IFERROR(INDEX(FILTER(Response_Lists!$B:$B,Response_Lists!$A:$A=$H220),4),""""))"),"")</f>
        <v/>
      </c>
      <c r="N220" s="28" t="str">
        <f>IFERROR(__xludf.DUMMYFUNCTION("IF($I219="""","""",IFERROR(INDEX(FILTER(Response_Lists!$B:$B,Response_Lists!$A:$A=$H220),5),""""))"),"")</f>
        <v/>
      </c>
      <c r="O220" s="28" t="str">
        <f>IFERROR(__xludf.DUMMYFUNCTION("IF($I219="""","""",IFERROR(INDEX(FILTER(Response_Lists!$B:$B,Response_Lists!$A:$A=$H220),6),""""))"),"")</f>
        <v/>
      </c>
      <c r="P220" s="28" t="str">
        <f t="shared" si="6"/>
        <v/>
      </c>
      <c r="Q220" s="28" t="str">
        <f t="array" ref="Q220">IF($I219="","",XLOOKUP(C220,FSM_State_Map!A:A,FSM_State_Map!D:D,""))</f>
        <v/>
      </c>
      <c r="R220" s="28" t="str">
        <f t="shared" si="7"/>
        <v/>
      </c>
      <c r="S220" s="28" t="str">
        <f t="array" ref="S220">IF($I219="","",
IF(
  AND(C220="B",C219&lt;&gt;"B"),
  XLOOKUP($B220,Derived_Variables!$A:$A,Derived_Variables!$K:$K,0)
  + XLOOKUP($B220,Derived_Variables!$A:$A,Derived_Variables!$AE:$AE,0),
  S219+AM219
))</f>
        <v/>
      </c>
      <c r="T220" s="28" t="str">
        <f t="shared" ref="T220:U220" si="450">IF($I219="","",T219+AN219)</f>
        <v/>
      </c>
      <c r="U220" s="28" t="str">
        <f t="shared" si="450"/>
        <v/>
      </c>
      <c r="V220" s="28" t="str">
        <f t="array" ref="V220">IF($I219="","",
IF(
  AND(C220="D",C219&lt;&gt;"D"),
  XLOOKUP($B220,Derived_Variables!$A:$A,Derived_Variables!$N:$N,0)
  + XLOOKUP($B220,Derived_Variables!$A:$A,Derived_Variables!$AE:$AE,0),
  V219+AP219
))</f>
        <v/>
      </c>
      <c r="W220" s="28" t="str">
        <f t="shared" ref="W220:X220" si="451">IF($I219="","",W219+AQ219)</f>
        <v/>
      </c>
      <c r="X220" s="28" t="str">
        <f t="shared" si="451"/>
        <v/>
      </c>
      <c r="Y220" s="28" t="str">
        <f t="array" ref="Y220">IF($I219="","",IF(AND(C220="P",C219&lt;&gt;"P"),IFERROR(XLOOKUP($B220,Lenso_Input!$A:$A,Lenso_Input!$E:$E,0),0),Y219+AS219))</f>
        <v/>
      </c>
      <c r="Z220" s="28" t="str">
        <f t="array" ref="Z220">IF($I219="","",IF(AND(C220="Q",C219&lt;&gt;"Q"),IFERROR(XLOOKUP($B220,Lenso_Input!$A:$A,Lenso_Input!$I:$I,0),0),Z219+AT219))</f>
        <v/>
      </c>
      <c r="AA220" s="28" t="str">
        <f t="array" ref="AA220">IF($I219="","",IF(XLOOKUP($B220,Derived_Variables!$A:$A,Derived_Variables!$R:$R,"6/6_target")="6/6_target","20_20_20","40_30_25"))</f>
        <v/>
      </c>
      <c r="AB220" s="28" t="str">
        <f t="array" ref="AB220">IF($I219="","",XLOOKUP(LOWER(XLOOKUP($B220,Derived_Variables!$A:$A,Derived_Variables!$T:$T,"Standard"))&amp;"_sph_step",Calibration!$B:$B,Calibration!$C:$C,0.25))</f>
        <v/>
      </c>
      <c r="AC220" s="28" t="str">
        <f t="array" ref="AC220">IF($I219="","",XLOOKUP(LOWER(XLOOKUP($B220,Derived_Variables!$A:$A,Derived_Variables!$T:$T,"Standard"))&amp;"_cyl_step",Calibration!$B:$B,Calibration!$C:$C,0.25))</f>
        <v/>
      </c>
      <c r="AD220" s="28" t="str">
        <f t="array" ref="AD220">IF($I219="","",IF(OR(C220="E",C220="H"),LET(startStep,XLOOKUP("axis_start_step",Calibration!$B:$B,Calibration!$C:$C,5),step1,XLOOKUP("axis_reversal_step_1",Calibration!$B:$B,Calibration!$C:$C,3),step2,XLOOKUP("axis_reversal_step_2",Calibration!$B:$B,Calibration!$C:$C,1),IF(OR(C219&lt;&gt;C220,AZ220="",AZ220="SAME",AZ220="CANT_TELL",I220="",I220="SAME",I220="CANT_TELL"),startStep,IF(OR(AND(AZ220="BETTER_1",I220="BETTER_2"),AND(AZ220="BETTER_2",I220="BETTER_1")),IF(AD219&gt;step1,step1,step2),AD219))),0))</f>
        <v/>
      </c>
      <c r="AE220" s="28" t="str">
        <f t="array" ref="AE220">IF($I219="","",XLOOKUP($B220,Derived_Variables!$A:$A,Derived_Variables!$AD:$AD,"No_Fog"))</f>
        <v/>
      </c>
      <c r="AF220" s="28" t="str">
        <f t="array" ref="AF220">IF($I219="","",XLOOKUP($B220,Derived_Variables!$A:$A,Derived_Variables!$AE:$AE,0))</f>
        <v/>
      </c>
      <c r="AG220" s="28" t="str">
        <f t="array" ref="AG220">IF($I219="","",XLOOKUP($B220,Derived_Variables!$A:$A,Derived_Variables!$AF:$AF,""))</f>
        <v/>
      </c>
      <c r="AH220" s="28" t="str">
        <f t="array" ref="AH220">IF($I219="","",XLOOKUP($B220,Derived_Variables!$A:$A,Derived_Variables!$AG:$AG,""))</f>
        <v/>
      </c>
      <c r="AI220" s="28" t="str">
        <f t="array" ref="AI220">IF($I219="","",XLOOKUP($B220,Derived_Variables!$A:$A,Derived_Variables!$AC:$AC,"Medium"))</f>
        <v/>
      </c>
      <c r="AJ220" s="28" t="str">
        <f t="array" ref="AJ220">IF($I219="","",XLOOKUP($B220,Derived_Variables!$A:$A,Derived_Variables!$Y:$Y,FALSE))</f>
        <v/>
      </c>
      <c r="AK220" s="28" t="str">
        <f t="array" ref="AK220">IF($I219="","",XLOOKUP($B220,Derived_Variables!$A:$A,Derived_Variables!$AA:$AA,"Normal"))</f>
        <v/>
      </c>
      <c r="AL220" s="28" t="str">
        <f t="array" ref="AL220">IF($I219="","",XLOOKUP($B220,Derived_Variables!$A:$A,Derived_Variables!$AB:$AB,"Normal"))</f>
        <v/>
      </c>
      <c r="AM220" s="28" t="str">
        <f t="array" ref="AM220">IF($I220="","",IFS(C220="B",IF(OR(I220="NOT_READABLE",I220="BLURRY"),-AB220,0),C220="G",IFS(I220="RED_CLEARER",XLOOKUP("duochrome_red_step",Calibration!$B:$B,Calibration!$C:$C,-0.25),I220="GREEN_CLEARER",XLOOKUP("duochrome_green_step",Calibration!$B:$B,Calibration!$C:$C,0.25),I220="EQUAL",IF(XLOOKUP($B220,Derived_Variables!$A:$A,Derived_Variables!$S:$S,"Neutral")="Undercorrect",XLOOKUP("undercorrect_step",Calibration!$B:$B,Calibration!$C:$C,0.25),IF(XLOOKUP($B220,Derived_Variables!$A:$A,Derived_Variables!$S:$S,"Neutral")="Overcorrect",-XLOOKUP("overcorrect_step",Calibration!$B:$B,Calibration!$C:$C,0.25),0)),TRUE,0),C220="K",IF(I220="TOP_CLEARER",XLOOKUP("bino_balance_step",Calibration!$B:$B,Calibration!$C:$C,0.25),0),TRUE,0))</f>
        <v/>
      </c>
      <c r="AN220" s="28" t="str">
        <f t="shared" si="10"/>
        <v/>
      </c>
      <c r="AO220" s="28" t="str">
        <f t="shared" si="11"/>
        <v/>
      </c>
      <c r="AP220" s="28" t="str">
        <f t="array" ref="AP220">IF($I220="","",IFS(C220="D",IF(OR(I220="NOT_READABLE",I220="BLURRY"),-AB220,0),C220="J",IFS(I220="RED_CLEARER",XLOOKUP("duochrome_red_step",Calibration!$B:$B,Calibration!$C:$C,-0.25),I220="GREEN_CLEARER",XLOOKUP("duochrome_green_step",Calibration!$B:$B,Calibration!$C:$C,0.25),I220="EQUAL",IF(XLOOKUP($B220,Derived_Variables!$A:$A,Derived_Variables!$S:$S,"Neutral")="Undercorrect",XLOOKUP("undercorrect_step",Calibration!$B:$B,Calibration!$C:$C,0.25),IF(XLOOKUP($B220,Derived_Variables!$A:$A,Derived_Variables!$S:$S,"Neutral")="Overcorrect",-XLOOKUP("overcorrect_step",Calibration!$B:$B,Calibration!$C:$C,0.25),0)),TRUE,0),C220="K",IF(I220="BOTTOM_CLEARER",XLOOKUP("bino_balance_step",Calibration!$B:$B,Calibration!$C:$C,0.25),0),TRUE,0))</f>
        <v/>
      </c>
      <c r="AQ220" s="28" t="str">
        <f t="shared" si="12"/>
        <v/>
      </c>
      <c r="AR220" s="28" t="str">
        <f t="shared" si="13"/>
        <v/>
      </c>
      <c r="AS220" s="28" t="str">
        <f t="array" ref="AS220">IF($I220="","",IF(C220="P",IF(OR(I220="NOT_READABLE",I220="BLURRY"),XLOOKUP("near_add_step",Calibration!$B:$B,Calibration!$C:$C,0.25),0),IF(C220="R",IF(I220="NOT_CLEAR",XLOOKUP("near_add_step",Calibration!$B:$B,Calibration!$C:$C,0.25),0),0)))</f>
        <v/>
      </c>
      <c r="AT220" s="28" t="str">
        <f t="array" ref="AT220">IF($I220="","",IF(C220="Q",IF(OR(I220="NOT_READABLE",I220="BLURRY"),XLOOKUP("near_add_step",Calibration!$B:$B,Calibration!$C:$C,0.25),0),IF(C220="R",IF(I220="NOT_CLEAR",XLOOKUP("near_add_step",Calibration!$B:$B,Calibration!$C:$C,0.25),0),0)))</f>
        <v/>
      </c>
      <c r="AU220" s="28" t="str">
        <f t="array" ref="AU220">IF($I220="","",IF(G220="SNELLEN_FEET",IF(I220="READABLE",IFERROR(XLOOKUP(XLOOKUP(R220,Chart_Scale_Distance!B:B,Chart_Scale_Distance!A:A)+1,Chart_Scale_Distance!A:A,Chart_Scale_Distance!B:B),R220),R220),R220))</f>
        <v/>
      </c>
      <c r="AV220" s="28" t="str">
        <f t="array" ref="AV220">IF($I219="","",IFERROR(XLOOKUP(R220,Chart_Scale_Distance!$B:$B,Chart_Scale_Distance!$A:$A,""),""))</f>
        <v/>
      </c>
      <c r="AW220" s="28" t="str">
        <f t="array" ref="AW220">IF($I219="","",IFERROR(XLOOKUP(AA220,Chart_Scale_Distance!$B:$B,Chart_Scale_Distance!$A:$A,""),""))</f>
        <v/>
      </c>
      <c r="AX220" s="28" t="str">
        <f t="shared" si="14"/>
        <v/>
      </c>
      <c r="AY220" s="28" t="str">
        <f t="shared" si="15"/>
        <v/>
      </c>
      <c r="AZ220" s="28" t="str">
        <f t="shared" si="16"/>
        <v/>
      </c>
      <c r="BA220" s="28" t="str">
        <f t="shared" si="17"/>
        <v/>
      </c>
      <c r="BB220" s="28" t="str">
        <f t="shared" si="18"/>
        <v/>
      </c>
      <c r="BC220" s="28" t="str">
        <f t="array" ref="BC220">IF($I220="","",LET(
conf,AI220,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duoMax,XLOOKUP($B220,Derived_Variables!$A:$A,Derived_Variables!$AI:$AI,4),
axisTol,XLOOKUP($B220,Derived_Variables!$A:$A,Derived_Variables!$W:$W,1),
maxStart,XLOOKUP($B220,Derived_Variables!$A:$A,Derived_Variables!$U:$U,1.25),
maxAR,XLOOKUP($B220,Derived_Variables!$A:$A,Derived_Variables!$V:$V,3),
anom,XLOOKUP($B220,Derived_Variables!$A:$A,Derived_Variables!$Z:$Z,FALSE),
reStart,XLOOKUP($B220,Derived_Variables!$A:$A,Derived_Variables!$K:$K,0),
leStart,XLOOKUP($B220,Derived_Variables!$A:$A,Derived_Variables!$N:$N,0),
reAR,XLOOKUP($B220,AR_Input!$A:$A,AR_Input!$B:$B,reStart),
leAR,XLOOKUP($B220,AR_Input!$A:$A,AR_Input!$E:$E,leStart),
reEsc,AND(anom,OR(ABS((S220+AM220)-reStart)&gt;maxStart,ABS((S220+AM220)-reAR)&gt;maxAR)),
leEsc,AND(anom,OR(ABS((V220+AP220)-leStart)&gt;maxStart,ABS((V220+AP220)-leAR)&gt;maxAR)),
phaseMax,IFS(
 AK220="Fast",
   IFS(
     OR(C220="B",C220="D"),XLOOKUP("timeout_coarse_fast",Calibration!$B:$B,Calibration!$C:$C,24),
     OR(C220="E",C220="F",C220="H",C220="I"),XLOOKUP("timeout_jcc_fast",Calibration!$B:$B,Calibration!$C:$C,10),
     OR(C220="G",C220="J"),XLOOKUP("timeout_duochrome_fast",Calibration!$B:$B,Calibration!$C:$C,8),
     C220="K",XLOOKUP("timeout_bino_fast",Calibration!$B:$B,Calibration!$C:$C,10),
     OR(C220="P",C220="Q",C220="R"),XLOOKUP("timeout_near_fast",Calibration!$B:$B,Calibration!$C:$C,16),
     TRUE,XLOOKUP("timeout_coarse_fast",Calibration!$B:$B,Calibration!$C:$C,24)
   ),
 AK220="Normal",
   IFS(
     OR(C220="B",C220="D"),XLOOKUP("timeout_coarse_normal",Calibration!$B:$B,Calibration!$C:$C,36),
     OR(C220="E",C220="F",C220="H",C220="I"),XLOOKUP("timeout_jcc_normal",Calibration!$B:$B,Calibration!$C:$C,14),
     OR(C220="G",C220="J"),XLOOKUP("timeout_duochrome_normal",Calibration!$B:$B,Calibration!$C:$C,10),
     C220="K",XLOOKUP("timeout_bino_normal",Calibration!$B:$B,Calibration!$C:$C,14),
     OR(C220="P",C220="Q",C220="R"),XLOOKUP("timeout_near_normal",Calibration!$B:$B,Calibration!$C:$C,22),
     TRUE,XLOOKUP("timeout_coarse_normal",Calibration!$B:$B,Calibration!$C:$C,36)
   ),
 TRUE,
   IFS(
     OR(C220="B",C220="D"),XLOOKUP("timeout_coarse_slow",Calibration!$B:$B,Calibration!$C:$C,48),
     OR(C220="E",C220="F",C220="H",C220="I"),XLOOKUP("timeout_jcc_slow",Calibration!$B:$B,Calibration!$C:$C,18),
     OR(C220="G",C220="J"),XLOOKUP("timeout_duochrome_slow",Calibration!$B:$B,Calibration!$C:$C,12),
     C220="K",XLOOKUP("timeout_bino_slow",Calibration!$B:$B,Calibration!$C:$C,18),
     OR(C220="P",C220="Q",C220="R"),XLOOKUP("timeout_near_slow",Calibration!$B:$B,Calibration!$C:$C,28),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AJ220=TRUE,"ESCALATE",
C220="A",
IF(OR(I220="NOT_READABLE",I220="BLURRY",AND(R220="20_20_20",I220="READABLE")),"B","A"),
C220="B",
IF(reEsc,"ESCALATE",IF(AY220&gt;=phaseMax,"ESCALATE",IF(AND(AV220&gt;=AW220,I220="READABLE"),"E","B"))),
C220="E",
IF(AY220&gt;=phaseMax,"ESCALATE",IF(OR(I220="SAME",I220="CANT_TELL",AD220&lt;axisTol),"F","E")),
C220="F",
IF(AY220&gt;=phaseMax,"ESCALATE",IF(AX220&gt;=powerSameN,"G","F")),
C220="G",
IF(AY220&gt;=phaseMax,"ESCALATE",IF(OR(AX220&gt;=duoEqualN,BB220&gt;=duoMax),"D","G")),
C220="D",
IF(leEsc,"ESCALATE",IF(AY220&gt;=phaseMax,"ESCALATE",IF(AND(AV220&gt;=AW220,I220="READABLE"),"H","D"))),
C220="H",
IF(AY220&gt;=phaseMax,"ESCALATE",IF(OR(I220="SAME",I220="CANT_TELL",AD220&lt;axisTol),"I","H")),
C220="I",
IF(AY220&gt;=phaseMax,"ESCALATE",IF(AX220&gt;=powerSameN,"J","I")),
C220="J",
IF(AY220&gt;=phaseMax,"ESCALATE",IF(OR(AX220&gt;=duoEqualN,BB220&gt;=duoMax),"K","J")),
C220="K",
IF(AY220&gt;=phaseMax,"ESCALATE",IF(AX220&gt;=binoSameN,IF(XLOOKUP($B220,Derived_Variables!$A:$A,Derived_Variables!$AJ:$AJ,FALSE)=TRUE,"P","END"),"K")),
C220="P",
IF(AY220&gt;=phaseMax,"ESCALATE",IF(OR(I220="READABLE",I220="SAME"),"Q","P")),
C220="Q",
IF(AY220&gt;=phaseMax,"ESCALATE",IF(OR(I220="READABLE",I220="SAME"),"R","Q")),
C220="R",
IF(AY220&gt;=phaseMax,"ESCALATE",IF(OR(I220=nearTarget,I220="SAME"),"END","R")),
TRUE,"END"
)))</f>
        <v/>
      </c>
      <c r="BD220" s="28" t="b">
        <f t="shared" si="19"/>
        <v>0</v>
      </c>
    </row>
    <row r="221" ht="15.75" customHeight="1">
      <c r="A221" s="28">
        <f t="shared" si="3"/>
        <v>220</v>
      </c>
      <c r="B221" s="28">
        <f t="shared" si="4"/>
        <v>6</v>
      </c>
      <c r="C221" s="28" t="str">
        <f t="shared" si="5"/>
        <v/>
      </c>
      <c r="D221" s="28" t="str">
        <f t="array" ref="D221">IF($I220="","",XLOOKUP(C221,FSM_State_Map!A:A,FSM_State_Map!B:B,""))</f>
        <v/>
      </c>
      <c r="E221" s="28" t="str">
        <f t="array" ref="E221">IF($I220="","",XLOOKUP(C221,FSM_State_Map!A:A,FSM_State_Map!C:C,""))</f>
        <v/>
      </c>
      <c r="F221" s="28" t="str">
        <f t="array" ref="F221">IF($I220="","",XLOOKUP(E221,Phase_UI_Map!A:A,Phase_UI_Map!B:B,""))</f>
        <v/>
      </c>
      <c r="G221" s="28" t="str">
        <f t="array" ref="G221">IF($I220="","",XLOOKUP(E221,Phase_UI_Map!A:A,Phase_UI_Map!C:C,""))</f>
        <v/>
      </c>
      <c r="H221" s="28" t="str">
        <f t="array" ref="H221">IF($I220="","",XLOOKUP(E221,Phase_UI_Map!A:A,Phase_UI_Map!D:D,""))</f>
        <v/>
      </c>
      <c r="I221" s="29"/>
      <c r="J221" s="28" t="str">
        <f>IFERROR(__xludf.DUMMYFUNCTION("IF($I220="""","""",IFERROR(INDEX(FILTER(Response_Lists!$B:$B,Response_Lists!$A:$A=$H221),1),""""))"),"")</f>
        <v/>
      </c>
      <c r="K221" s="28" t="str">
        <f>IFERROR(__xludf.DUMMYFUNCTION("IF($I220="""","""",IFERROR(INDEX(FILTER(Response_Lists!$B:$B,Response_Lists!$A:$A=$H221),2),""""))"),"")</f>
        <v/>
      </c>
      <c r="L221" s="28" t="str">
        <f>IFERROR(__xludf.DUMMYFUNCTION("IF($I220="""","""",IFERROR(INDEX(FILTER(Response_Lists!$B:$B,Response_Lists!$A:$A=$H221),3),""""))"),"")</f>
        <v/>
      </c>
      <c r="M221" s="28" t="str">
        <f>IFERROR(__xludf.DUMMYFUNCTION("IF($I220="""","""",IFERROR(INDEX(FILTER(Response_Lists!$B:$B,Response_Lists!$A:$A=$H221),4),""""))"),"")</f>
        <v/>
      </c>
      <c r="N221" s="28" t="str">
        <f>IFERROR(__xludf.DUMMYFUNCTION("IF($I220="""","""",IFERROR(INDEX(FILTER(Response_Lists!$B:$B,Response_Lists!$A:$A=$H221),5),""""))"),"")</f>
        <v/>
      </c>
      <c r="O221" s="28" t="str">
        <f>IFERROR(__xludf.DUMMYFUNCTION("IF($I220="""","""",IFERROR(INDEX(FILTER(Response_Lists!$B:$B,Response_Lists!$A:$A=$H221),6),""""))"),"")</f>
        <v/>
      </c>
      <c r="P221" s="28" t="str">
        <f t="shared" si="6"/>
        <v/>
      </c>
      <c r="Q221" s="28" t="str">
        <f t="array" ref="Q221">IF($I220="","",XLOOKUP(C221,FSM_State_Map!A:A,FSM_State_Map!D:D,""))</f>
        <v/>
      </c>
      <c r="R221" s="28" t="str">
        <f t="shared" si="7"/>
        <v/>
      </c>
      <c r="S221" s="28" t="str">
        <f t="array" ref="S221">IF($I220="","",
IF(
  AND(C221="B",C220&lt;&gt;"B"),
  XLOOKUP($B221,Derived_Variables!$A:$A,Derived_Variables!$K:$K,0)
  + XLOOKUP($B221,Derived_Variables!$A:$A,Derived_Variables!$AE:$AE,0),
  S220+AM220
))</f>
        <v/>
      </c>
      <c r="T221" s="28" t="str">
        <f t="shared" ref="T221:U221" si="452">IF($I220="","",T220+AN220)</f>
        <v/>
      </c>
      <c r="U221" s="28" t="str">
        <f t="shared" si="452"/>
        <v/>
      </c>
      <c r="V221" s="28" t="str">
        <f t="array" ref="V221">IF($I220="","",
IF(
  AND(C221="D",C220&lt;&gt;"D"),
  XLOOKUP($B221,Derived_Variables!$A:$A,Derived_Variables!$N:$N,0)
  + XLOOKUP($B221,Derived_Variables!$A:$A,Derived_Variables!$AE:$AE,0),
  V220+AP220
))</f>
        <v/>
      </c>
      <c r="W221" s="28" t="str">
        <f t="shared" ref="W221:X221" si="453">IF($I220="","",W220+AQ220)</f>
        <v/>
      </c>
      <c r="X221" s="28" t="str">
        <f t="shared" si="453"/>
        <v/>
      </c>
      <c r="Y221" s="28" t="str">
        <f t="array" ref="Y221">IF($I220="","",IF(AND(C221="P",C220&lt;&gt;"P"),IFERROR(XLOOKUP($B221,Lenso_Input!$A:$A,Lenso_Input!$E:$E,0),0),Y220+AS220))</f>
        <v/>
      </c>
      <c r="Z221" s="28" t="str">
        <f t="array" ref="Z221">IF($I220="","",IF(AND(C221="Q",C220&lt;&gt;"Q"),IFERROR(XLOOKUP($B221,Lenso_Input!$A:$A,Lenso_Input!$I:$I,0),0),Z220+AT220))</f>
        <v/>
      </c>
      <c r="AA221" s="28" t="str">
        <f t="array" ref="AA221">IF($I220="","",IF(XLOOKUP($B221,Derived_Variables!$A:$A,Derived_Variables!$R:$R,"6/6_target")="6/6_target","20_20_20","40_30_25"))</f>
        <v/>
      </c>
      <c r="AB221" s="28" t="str">
        <f t="array" ref="AB221">IF($I220="","",XLOOKUP(LOWER(XLOOKUP($B221,Derived_Variables!$A:$A,Derived_Variables!$T:$T,"Standard"))&amp;"_sph_step",Calibration!$B:$B,Calibration!$C:$C,0.25))</f>
        <v/>
      </c>
      <c r="AC221" s="28" t="str">
        <f t="array" ref="AC221">IF($I220="","",XLOOKUP(LOWER(XLOOKUP($B221,Derived_Variables!$A:$A,Derived_Variables!$T:$T,"Standard"))&amp;"_cyl_step",Calibration!$B:$B,Calibration!$C:$C,0.25))</f>
        <v/>
      </c>
      <c r="AD221" s="28" t="str">
        <f t="array" ref="AD221">IF($I220="","",IF(OR(C221="E",C221="H"),LET(startStep,XLOOKUP("axis_start_step",Calibration!$B:$B,Calibration!$C:$C,5),step1,XLOOKUP("axis_reversal_step_1",Calibration!$B:$B,Calibration!$C:$C,3),step2,XLOOKUP("axis_reversal_step_2",Calibration!$B:$B,Calibration!$C:$C,1),IF(OR(C220&lt;&gt;C221,AZ221="",AZ221="SAME",AZ221="CANT_TELL",I221="",I221="SAME",I221="CANT_TELL"),startStep,IF(OR(AND(AZ221="BETTER_1",I221="BETTER_2"),AND(AZ221="BETTER_2",I221="BETTER_1")),IF(AD220&gt;step1,step1,step2),AD220))),0))</f>
        <v/>
      </c>
      <c r="AE221" s="28" t="str">
        <f t="array" ref="AE221">IF($I220="","",XLOOKUP($B221,Derived_Variables!$A:$A,Derived_Variables!$AD:$AD,"No_Fog"))</f>
        <v/>
      </c>
      <c r="AF221" s="28" t="str">
        <f t="array" ref="AF221">IF($I220="","",XLOOKUP($B221,Derived_Variables!$A:$A,Derived_Variables!$AE:$AE,0))</f>
        <v/>
      </c>
      <c r="AG221" s="28" t="str">
        <f t="array" ref="AG221">IF($I220="","",XLOOKUP($B221,Derived_Variables!$A:$A,Derived_Variables!$AF:$AF,""))</f>
        <v/>
      </c>
      <c r="AH221" s="28" t="str">
        <f t="array" ref="AH221">IF($I220="","",XLOOKUP($B221,Derived_Variables!$A:$A,Derived_Variables!$AG:$AG,""))</f>
        <v/>
      </c>
      <c r="AI221" s="28" t="str">
        <f t="array" ref="AI221">IF($I220="","",XLOOKUP($B221,Derived_Variables!$A:$A,Derived_Variables!$AC:$AC,"Medium"))</f>
        <v/>
      </c>
      <c r="AJ221" s="28" t="str">
        <f t="array" ref="AJ221">IF($I220="","",XLOOKUP($B221,Derived_Variables!$A:$A,Derived_Variables!$Y:$Y,FALSE))</f>
        <v/>
      </c>
      <c r="AK221" s="28" t="str">
        <f t="array" ref="AK221">IF($I220="","",XLOOKUP($B221,Derived_Variables!$A:$A,Derived_Variables!$AA:$AA,"Normal"))</f>
        <v/>
      </c>
      <c r="AL221" s="28" t="str">
        <f t="array" ref="AL221">IF($I220="","",XLOOKUP($B221,Derived_Variables!$A:$A,Derived_Variables!$AB:$AB,"Normal"))</f>
        <v/>
      </c>
      <c r="AM221" s="28" t="str">
        <f t="array" ref="AM221">IF($I221="","",IFS(C221="B",IF(OR(I221="NOT_READABLE",I221="BLURRY"),-AB221,0),C221="G",IFS(I221="RED_CLEARER",XLOOKUP("duochrome_red_step",Calibration!$B:$B,Calibration!$C:$C,-0.25),I221="GREEN_CLEARER",XLOOKUP("duochrome_green_step",Calibration!$B:$B,Calibration!$C:$C,0.25),I221="EQUAL",IF(XLOOKUP($B221,Derived_Variables!$A:$A,Derived_Variables!$S:$S,"Neutral")="Undercorrect",XLOOKUP("undercorrect_step",Calibration!$B:$B,Calibration!$C:$C,0.25),IF(XLOOKUP($B221,Derived_Variables!$A:$A,Derived_Variables!$S:$S,"Neutral")="Overcorrect",-XLOOKUP("overcorrect_step",Calibration!$B:$B,Calibration!$C:$C,0.25),0)),TRUE,0),C221="K",IF(I221="TOP_CLEARER",XLOOKUP("bino_balance_step",Calibration!$B:$B,Calibration!$C:$C,0.25),0),TRUE,0))</f>
        <v/>
      </c>
      <c r="AN221" s="28" t="str">
        <f t="shared" si="10"/>
        <v/>
      </c>
      <c r="AO221" s="28" t="str">
        <f t="shared" si="11"/>
        <v/>
      </c>
      <c r="AP221" s="28" t="str">
        <f t="array" ref="AP221">IF($I221="","",IFS(C221="D",IF(OR(I221="NOT_READABLE",I221="BLURRY"),-AB221,0),C221="J",IFS(I221="RED_CLEARER",XLOOKUP("duochrome_red_step",Calibration!$B:$B,Calibration!$C:$C,-0.25),I221="GREEN_CLEARER",XLOOKUP("duochrome_green_step",Calibration!$B:$B,Calibration!$C:$C,0.25),I221="EQUAL",IF(XLOOKUP($B221,Derived_Variables!$A:$A,Derived_Variables!$S:$S,"Neutral")="Undercorrect",XLOOKUP("undercorrect_step",Calibration!$B:$B,Calibration!$C:$C,0.25),IF(XLOOKUP($B221,Derived_Variables!$A:$A,Derived_Variables!$S:$S,"Neutral")="Overcorrect",-XLOOKUP("overcorrect_step",Calibration!$B:$B,Calibration!$C:$C,0.25),0)),TRUE,0),C221="K",IF(I221="BOTTOM_CLEARER",XLOOKUP("bino_balance_step",Calibration!$B:$B,Calibration!$C:$C,0.25),0),TRUE,0))</f>
        <v/>
      </c>
      <c r="AQ221" s="28" t="str">
        <f t="shared" si="12"/>
        <v/>
      </c>
      <c r="AR221" s="28" t="str">
        <f t="shared" si="13"/>
        <v/>
      </c>
      <c r="AS221" s="28" t="str">
        <f t="array" ref="AS221">IF($I221="","",IF(C221="P",IF(OR(I221="NOT_READABLE",I221="BLURRY"),XLOOKUP("near_add_step",Calibration!$B:$B,Calibration!$C:$C,0.25),0),IF(C221="R",IF(I221="NOT_CLEAR",XLOOKUP("near_add_step",Calibration!$B:$B,Calibration!$C:$C,0.25),0),0)))</f>
        <v/>
      </c>
      <c r="AT221" s="28" t="str">
        <f t="array" ref="AT221">IF($I221="","",IF(C221="Q",IF(OR(I221="NOT_READABLE",I221="BLURRY"),XLOOKUP("near_add_step",Calibration!$B:$B,Calibration!$C:$C,0.25),0),IF(C221="R",IF(I221="NOT_CLEAR",XLOOKUP("near_add_step",Calibration!$B:$B,Calibration!$C:$C,0.25),0),0)))</f>
        <v/>
      </c>
      <c r="AU221" s="28" t="str">
        <f t="array" ref="AU221">IF($I221="","",IF(G221="SNELLEN_FEET",IF(I221="READABLE",IFERROR(XLOOKUP(XLOOKUP(R221,Chart_Scale_Distance!B:B,Chart_Scale_Distance!A:A)+1,Chart_Scale_Distance!A:A,Chart_Scale_Distance!B:B),R221),R221),R221))</f>
        <v/>
      </c>
      <c r="AV221" s="28" t="str">
        <f t="array" ref="AV221">IF($I220="","",IFERROR(XLOOKUP(R221,Chart_Scale_Distance!$B:$B,Chart_Scale_Distance!$A:$A,""),""))</f>
        <v/>
      </c>
      <c r="AW221" s="28" t="str">
        <f t="array" ref="AW221">IF($I220="","",IFERROR(XLOOKUP(AA221,Chart_Scale_Distance!$B:$B,Chart_Scale_Distance!$A:$A,""),""))</f>
        <v/>
      </c>
      <c r="AX221" s="28" t="str">
        <f t="shared" si="14"/>
        <v/>
      </c>
      <c r="AY221" s="28" t="str">
        <f t="shared" si="15"/>
        <v/>
      </c>
      <c r="AZ221" s="28" t="str">
        <f t="shared" si="16"/>
        <v/>
      </c>
      <c r="BA221" s="28" t="str">
        <f t="shared" si="17"/>
        <v/>
      </c>
      <c r="BB221" s="28" t="str">
        <f t="shared" si="18"/>
        <v/>
      </c>
      <c r="BC221" s="28" t="str">
        <f t="array" ref="BC221">IF($I221="","",LET(
conf,AI221,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duoMax,XLOOKUP($B221,Derived_Variables!$A:$A,Derived_Variables!$AI:$AI,4),
axisTol,XLOOKUP($B221,Derived_Variables!$A:$A,Derived_Variables!$W:$W,1),
maxStart,XLOOKUP($B221,Derived_Variables!$A:$A,Derived_Variables!$U:$U,1.25),
maxAR,XLOOKUP($B221,Derived_Variables!$A:$A,Derived_Variables!$V:$V,3),
anom,XLOOKUP($B221,Derived_Variables!$A:$A,Derived_Variables!$Z:$Z,FALSE),
reStart,XLOOKUP($B221,Derived_Variables!$A:$A,Derived_Variables!$K:$K,0),
leStart,XLOOKUP($B221,Derived_Variables!$A:$A,Derived_Variables!$N:$N,0),
reAR,XLOOKUP($B221,AR_Input!$A:$A,AR_Input!$B:$B,reStart),
leAR,XLOOKUP($B221,AR_Input!$A:$A,AR_Input!$E:$E,leStart),
reEsc,AND(anom,OR(ABS((S221+AM221)-reStart)&gt;maxStart,ABS((S221+AM221)-reAR)&gt;maxAR)),
leEsc,AND(anom,OR(ABS((V221+AP221)-leStart)&gt;maxStart,ABS((V221+AP221)-leAR)&gt;maxAR)),
phaseMax,IFS(
 AK221="Fast",
   IFS(
     OR(C221="B",C221="D"),XLOOKUP("timeout_coarse_fast",Calibration!$B:$B,Calibration!$C:$C,24),
     OR(C221="E",C221="F",C221="H",C221="I"),XLOOKUP("timeout_jcc_fast",Calibration!$B:$B,Calibration!$C:$C,10),
     OR(C221="G",C221="J"),XLOOKUP("timeout_duochrome_fast",Calibration!$B:$B,Calibration!$C:$C,8),
     C221="K",XLOOKUP("timeout_bino_fast",Calibration!$B:$B,Calibration!$C:$C,10),
     OR(C221="P",C221="Q",C221="R"),XLOOKUP("timeout_near_fast",Calibration!$B:$B,Calibration!$C:$C,16),
     TRUE,XLOOKUP("timeout_coarse_fast",Calibration!$B:$B,Calibration!$C:$C,24)
   ),
 AK221="Normal",
   IFS(
     OR(C221="B",C221="D"),XLOOKUP("timeout_coarse_normal",Calibration!$B:$B,Calibration!$C:$C,36),
     OR(C221="E",C221="F",C221="H",C221="I"),XLOOKUP("timeout_jcc_normal",Calibration!$B:$B,Calibration!$C:$C,14),
     OR(C221="G",C221="J"),XLOOKUP("timeout_duochrome_normal",Calibration!$B:$B,Calibration!$C:$C,10),
     C221="K",XLOOKUP("timeout_bino_normal",Calibration!$B:$B,Calibration!$C:$C,14),
     OR(C221="P",C221="Q",C221="R"),XLOOKUP("timeout_near_normal",Calibration!$B:$B,Calibration!$C:$C,22),
     TRUE,XLOOKUP("timeout_coarse_normal",Calibration!$B:$B,Calibration!$C:$C,36)
   ),
 TRUE,
   IFS(
     OR(C221="B",C221="D"),XLOOKUP("timeout_coarse_slow",Calibration!$B:$B,Calibration!$C:$C,48),
     OR(C221="E",C221="F",C221="H",C221="I"),XLOOKUP("timeout_jcc_slow",Calibration!$B:$B,Calibration!$C:$C,18),
     OR(C221="G",C221="J"),XLOOKUP("timeout_duochrome_slow",Calibration!$B:$B,Calibration!$C:$C,12),
     C221="K",XLOOKUP("timeout_bino_slow",Calibration!$B:$B,Calibration!$C:$C,18),
     OR(C221="P",C221="Q",C221="R"),XLOOKUP("timeout_near_slow",Calibration!$B:$B,Calibration!$C:$C,28),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AJ221=TRUE,"ESCALATE",
C221="A",
IF(OR(I221="NOT_READABLE",I221="BLURRY",AND(R221="20_20_20",I221="READABLE")),"B","A"),
C221="B",
IF(reEsc,"ESCALATE",IF(AY221&gt;=phaseMax,"ESCALATE",IF(AND(AV221&gt;=AW221,I221="READABLE"),"E","B"))),
C221="E",
IF(AY221&gt;=phaseMax,"ESCALATE",IF(OR(I221="SAME",I221="CANT_TELL",AD221&lt;axisTol),"F","E")),
C221="F",
IF(AY221&gt;=phaseMax,"ESCALATE",IF(AX221&gt;=powerSameN,"G","F")),
C221="G",
IF(AY221&gt;=phaseMax,"ESCALATE",IF(OR(AX221&gt;=duoEqualN,BB221&gt;=duoMax),"D","G")),
C221="D",
IF(leEsc,"ESCALATE",IF(AY221&gt;=phaseMax,"ESCALATE",IF(AND(AV221&gt;=AW221,I221="READABLE"),"H","D"))),
C221="H",
IF(AY221&gt;=phaseMax,"ESCALATE",IF(OR(I221="SAME",I221="CANT_TELL",AD221&lt;axisTol),"I","H")),
C221="I",
IF(AY221&gt;=phaseMax,"ESCALATE",IF(AX221&gt;=powerSameN,"J","I")),
C221="J",
IF(AY221&gt;=phaseMax,"ESCALATE",IF(OR(AX221&gt;=duoEqualN,BB221&gt;=duoMax),"K","J")),
C221="K",
IF(AY221&gt;=phaseMax,"ESCALATE",IF(AX221&gt;=binoSameN,IF(XLOOKUP($B221,Derived_Variables!$A:$A,Derived_Variables!$AJ:$AJ,FALSE)=TRUE,"P","END"),"K")),
C221="P",
IF(AY221&gt;=phaseMax,"ESCALATE",IF(OR(I221="READABLE",I221="SAME"),"Q","P")),
C221="Q",
IF(AY221&gt;=phaseMax,"ESCALATE",IF(OR(I221="READABLE",I221="SAME"),"R","Q")),
C221="R",
IF(AY221&gt;=phaseMax,"ESCALATE",IF(OR(I221=nearTarget,I221="SAME"),"END","R")),
TRUE,"END"
)))</f>
        <v/>
      </c>
      <c r="BD221" s="28" t="b">
        <f t="shared" si="19"/>
        <v>0</v>
      </c>
    </row>
    <row r="222" ht="15.75" customHeight="1">
      <c r="A222" s="28">
        <f t="shared" si="3"/>
        <v>221</v>
      </c>
      <c r="B222" s="28">
        <f t="shared" si="4"/>
        <v>6</v>
      </c>
      <c r="C222" s="28" t="str">
        <f t="shared" si="5"/>
        <v/>
      </c>
      <c r="D222" s="28" t="str">
        <f t="array" ref="D222">IF($I221="","",XLOOKUP(C222,FSM_State_Map!A:A,FSM_State_Map!B:B,""))</f>
        <v/>
      </c>
      <c r="E222" s="28" t="str">
        <f t="array" ref="E222">IF($I221="","",XLOOKUP(C222,FSM_State_Map!A:A,FSM_State_Map!C:C,""))</f>
        <v/>
      </c>
      <c r="F222" s="28" t="str">
        <f t="array" ref="F222">IF($I221="","",XLOOKUP(E222,Phase_UI_Map!A:A,Phase_UI_Map!B:B,""))</f>
        <v/>
      </c>
      <c r="G222" s="28" t="str">
        <f t="array" ref="G222">IF($I221="","",XLOOKUP(E222,Phase_UI_Map!A:A,Phase_UI_Map!C:C,""))</f>
        <v/>
      </c>
      <c r="H222" s="28" t="str">
        <f t="array" ref="H222">IF($I221="","",XLOOKUP(E222,Phase_UI_Map!A:A,Phase_UI_Map!D:D,""))</f>
        <v/>
      </c>
      <c r="I222" s="29"/>
      <c r="J222" s="28" t="str">
        <f>IFERROR(__xludf.DUMMYFUNCTION("IF($I221="""","""",IFERROR(INDEX(FILTER(Response_Lists!$B:$B,Response_Lists!$A:$A=$H222),1),""""))"),"")</f>
        <v/>
      </c>
      <c r="K222" s="28" t="str">
        <f>IFERROR(__xludf.DUMMYFUNCTION("IF($I221="""","""",IFERROR(INDEX(FILTER(Response_Lists!$B:$B,Response_Lists!$A:$A=$H222),2),""""))"),"")</f>
        <v/>
      </c>
      <c r="L222" s="28" t="str">
        <f>IFERROR(__xludf.DUMMYFUNCTION("IF($I221="""","""",IFERROR(INDEX(FILTER(Response_Lists!$B:$B,Response_Lists!$A:$A=$H222),3),""""))"),"")</f>
        <v/>
      </c>
      <c r="M222" s="28" t="str">
        <f>IFERROR(__xludf.DUMMYFUNCTION("IF($I221="""","""",IFERROR(INDEX(FILTER(Response_Lists!$B:$B,Response_Lists!$A:$A=$H222),4),""""))"),"")</f>
        <v/>
      </c>
      <c r="N222" s="28" t="str">
        <f>IFERROR(__xludf.DUMMYFUNCTION("IF($I221="""","""",IFERROR(INDEX(FILTER(Response_Lists!$B:$B,Response_Lists!$A:$A=$H222),5),""""))"),"")</f>
        <v/>
      </c>
      <c r="O222" s="28" t="str">
        <f>IFERROR(__xludf.DUMMYFUNCTION("IF($I221="""","""",IFERROR(INDEX(FILTER(Response_Lists!$B:$B,Response_Lists!$A:$A=$H222),6),""""))"),"")</f>
        <v/>
      </c>
      <c r="P222" s="28" t="str">
        <f t="shared" si="6"/>
        <v/>
      </c>
      <c r="Q222" s="28" t="str">
        <f t="array" ref="Q222">IF($I221="","",XLOOKUP(C222,FSM_State_Map!A:A,FSM_State_Map!D:D,""))</f>
        <v/>
      </c>
      <c r="R222" s="28" t="str">
        <f t="shared" si="7"/>
        <v/>
      </c>
      <c r="S222" s="28" t="str">
        <f t="array" ref="S222">IF($I221="","",
IF(
  AND(C222="B",C221&lt;&gt;"B"),
  XLOOKUP($B222,Derived_Variables!$A:$A,Derived_Variables!$K:$K,0)
  + XLOOKUP($B222,Derived_Variables!$A:$A,Derived_Variables!$AE:$AE,0),
  S221+AM221
))</f>
        <v/>
      </c>
      <c r="T222" s="28" t="str">
        <f t="shared" ref="T222:U222" si="454">IF($I221="","",T221+AN221)</f>
        <v/>
      </c>
      <c r="U222" s="28" t="str">
        <f t="shared" si="454"/>
        <v/>
      </c>
      <c r="V222" s="28" t="str">
        <f t="array" ref="V222">IF($I221="","",
IF(
  AND(C222="D",C221&lt;&gt;"D"),
  XLOOKUP($B222,Derived_Variables!$A:$A,Derived_Variables!$N:$N,0)
  + XLOOKUP($B222,Derived_Variables!$A:$A,Derived_Variables!$AE:$AE,0),
  V221+AP221
))</f>
        <v/>
      </c>
      <c r="W222" s="28" t="str">
        <f t="shared" ref="W222:X222" si="455">IF($I221="","",W221+AQ221)</f>
        <v/>
      </c>
      <c r="X222" s="28" t="str">
        <f t="shared" si="455"/>
        <v/>
      </c>
      <c r="Y222" s="28" t="str">
        <f t="array" ref="Y222">IF($I221="","",IF(AND(C222="P",C221&lt;&gt;"P"),IFERROR(XLOOKUP($B222,Lenso_Input!$A:$A,Lenso_Input!$E:$E,0),0),Y221+AS221))</f>
        <v/>
      </c>
      <c r="Z222" s="28" t="str">
        <f t="array" ref="Z222">IF($I221="","",IF(AND(C222="Q",C221&lt;&gt;"Q"),IFERROR(XLOOKUP($B222,Lenso_Input!$A:$A,Lenso_Input!$I:$I,0),0),Z221+AT221))</f>
        <v/>
      </c>
      <c r="AA222" s="28" t="str">
        <f t="array" ref="AA222">IF($I221="","",IF(XLOOKUP($B222,Derived_Variables!$A:$A,Derived_Variables!$R:$R,"6/6_target")="6/6_target","20_20_20","40_30_25"))</f>
        <v/>
      </c>
      <c r="AB222" s="28" t="str">
        <f t="array" ref="AB222">IF($I221="","",XLOOKUP(LOWER(XLOOKUP($B222,Derived_Variables!$A:$A,Derived_Variables!$T:$T,"Standard"))&amp;"_sph_step",Calibration!$B:$B,Calibration!$C:$C,0.25))</f>
        <v/>
      </c>
      <c r="AC222" s="28" t="str">
        <f t="array" ref="AC222">IF($I221="","",XLOOKUP(LOWER(XLOOKUP($B222,Derived_Variables!$A:$A,Derived_Variables!$T:$T,"Standard"))&amp;"_cyl_step",Calibration!$B:$B,Calibration!$C:$C,0.25))</f>
        <v/>
      </c>
      <c r="AD222" s="28" t="str">
        <f t="array" ref="AD222">IF($I221="","",IF(OR(C222="E",C222="H"),LET(startStep,XLOOKUP("axis_start_step",Calibration!$B:$B,Calibration!$C:$C,5),step1,XLOOKUP("axis_reversal_step_1",Calibration!$B:$B,Calibration!$C:$C,3),step2,XLOOKUP("axis_reversal_step_2",Calibration!$B:$B,Calibration!$C:$C,1),IF(OR(C221&lt;&gt;C222,AZ222="",AZ222="SAME",AZ222="CANT_TELL",I222="",I222="SAME",I222="CANT_TELL"),startStep,IF(OR(AND(AZ222="BETTER_1",I222="BETTER_2"),AND(AZ222="BETTER_2",I222="BETTER_1")),IF(AD221&gt;step1,step1,step2),AD221))),0))</f>
        <v/>
      </c>
      <c r="AE222" s="28" t="str">
        <f t="array" ref="AE222">IF($I221="","",XLOOKUP($B222,Derived_Variables!$A:$A,Derived_Variables!$AD:$AD,"No_Fog"))</f>
        <v/>
      </c>
      <c r="AF222" s="28" t="str">
        <f t="array" ref="AF222">IF($I221="","",XLOOKUP($B222,Derived_Variables!$A:$A,Derived_Variables!$AE:$AE,0))</f>
        <v/>
      </c>
      <c r="AG222" s="28" t="str">
        <f t="array" ref="AG222">IF($I221="","",XLOOKUP($B222,Derived_Variables!$A:$A,Derived_Variables!$AF:$AF,""))</f>
        <v/>
      </c>
      <c r="AH222" s="28" t="str">
        <f t="array" ref="AH222">IF($I221="","",XLOOKUP($B222,Derived_Variables!$A:$A,Derived_Variables!$AG:$AG,""))</f>
        <v/>
      </c>
      <c r="AI222" s="28" t="str">
        <f t="array" ref="AI222">IF($I221="","",XLOOKUP($B222,Derived_Variables!$A:$A,Derived_Variables!$AC:$AC,"Medium"))</f>
        <v/>
      </c>
      <c r="AJ222" s="28" t="str">
        <f t="array" ref="AJ222">IF($I221="","",XLOOKUP($B222,Derived_Variables!$A:$A,Derived_Variables!$Y:$Y,FALSE))</f>
        <v/>
      </c>
      <c r="AK222" s="28" t="str">
        <f t="array" ref="AK222">IF($I221="","",XLOOKUP($B222,Derived_Variables!$A:$A,Derived_Variables!$AA:$AA,"Normal"))</f>
        <v/>
      </c>
      <c r="AL222" s="28" t="str">
        <f t="array" ref="AL222">IF($I221="","",XLOOKUP($B222,Derived_Variables!$A:$A,Derived_Variables!$AB:$AB,"Normal"))</f>
        <v/>
      </c>
      <c r="AM222" s="28" t="str">
        <f t="array" ref="AM222">IF($I222="","",IFS(C222="B",IF(OR(I222="NOT_READABLE",I222="BLURRY"),-AB222,0),C222="G",IFS(I222="RED_CLEARER",XLOOKUP("duochrome_red_step",Calibration!$B:$B,Calibration!$C:$C,-0.25),I222="GREEN_CLEARER",XLOOKUP("duochrome_green_step",Calibration!$B:$B,Calibration!$C:$C,0.25),I222="EQUAL",IF(XLOOKUP($B222,Derived_Variables!$A:$A,Derived_Variables!$S:$S,"Neutral")="Undercorrect",XLOOKUP("undercorrect_step",Calibration!$B:$B,Calibration!$C:$C,0.25),IF(XLOOKUP($B222,Derived_Variables!$A:$A,Derived_Variables!$S:$S,"Neutral")="Overcorrect",-XLOOKUP("overcorrect_step",Calibration!$B:$B,Calibration!$C:$C,0.25),0)),TRUE,0),C222="K",IF(I222="TOP_CLEARER",XLOOKUP("bino_balance_step",Calibration!$B:$B,Calibration!$C:$C,0.25),0),TRUE,0))</f>
        <v/>
      </c>
      <c r="AN222" s="28" t="str">
        <f t="shared" si="10"/>
        <v/>
      </c>
      <c r="AO222" s="28" t="str">
        <f t="shared" si="11"/>
        <v/>
      </c>
      <c r="AP222" s="28" t="str">
        <f t="array" ref="AP222">IF($I222="","",IFS(C222="D",IF(OR(I222="NOT_READABLE",I222="BLURRY"),-AB222,0),C222="J",IFS(I222="RED_CLEARER",XLOOKUP("duochrome_red_step",Calibration!$B:$B,Calibration!$C:$C,-0.25),I222="GREEN_CLEARER",XLOOKUP("duochrome_green_step",Calibration!$B:$B,Calibration!$C:$C,0.25),I222="EQUAL",IF(XLOOKUP($B222,Derived_Variables!$A:$A,Derived_Variables!$S:$S,"Neutral")="Undercorrect",XLOOKUP("undercorrect_step",Calibration!$B:$B,Calibration!$C:$C,0.25),IF(XLOOKUP($B222,Derived_Variables!$A:$A,Derived_Variables!$S:$S,"Neutral")="Overcorrect",-XLOOKUP("overcorrect_step",Calibration!$B:$B,Calibration!$C:$C,0.25),0)),TRUE,0),C222="K",IF(I222="BOTTOM_CLEARER",XLOOKUP("bino_balance_step",Calibration!$B:$B,Calibration!$C:$C,0.25),0),TRUE,0))</f>
        <v/>
      </c>
      <c r="AQ222" s="28" t="str">
        <f t="shared" si="12"/>
        <v/>
      </c>
      <c r="AR222" s="28" t="str">
        <f t="shared" si="13"/>
        <v/>
      </c>
      <c r="AS222" s="28" t="str">
        <f t="array" ref="AS222">IF($I222="","",IF(C222="P",IF(OR(I222="NOT_READABLE",I222="BLURRY"),XLOOKUP("near_add_step",Calibration!$B:$B,Calibration!$C:$C,0.25),0),IF(C222="R",IF(I222="NOT_CLEAR",XLOOKUP("near_add_step",Calibration!$B:$B,Calibration!$C:$C,0.25),0),0)))</f>
        <v/>
      </c>
      <c r="AT222" s="28" t="str">
        <f t="array" ref="AT222">IF($I222="","",IF(C222="Q",IF(OR(I222="NOT_READABLE",I222="BLURRY"),XLOOKUP("near_add_step",Calibration!$B:$B,Calibration!$C:$C,0.25),0),IF(C222="R",IF(I222="NOT_CLEAR",XLOOKUP("near_add_step",Calibration!$B:$B,Calibration!$C:$C,0.25),0),0)))</f>
        <v/>
      </c>
      <c r="AU222" s="28" t="str">
        <f t="array" ref="AU222">IF($I222="","",IF(G222="SNELLEN_FEET",IF(I222="READABLE",IFERROR(XLOOKUP(XLOOKUP(R222,Chart_Scale_Distance!B:B,Chart_Scale_Distance!A:A)+1,Chart_Scale_Distance!A:A,Chart_Scale_Distance!B:B),R222),R222),R222))</f>
        <v/>
      </c>
      <c r="AV222" s="28" t="str">
        <f t="array" ref="AV222">IF($I221="","",IFERROR(XLOOKUP(R222,Chart_Scale_Distance!$B:$B,Chart_Scale_Distance!$A:$A,""),""))</f>
        <v/>
      </c>
      <c r="AW222" s="28" t="str">
        <f t="array" ref="AW222">IF($I221="","",IFERROR(XLOOKUP(AA222,Chart_Scale_Distance!$B:$B,Chart_Scale_Distance!$A:$A,""),""))</f>
        <v/>
      </c>
      <c r="AX222" s="28" t="str">
        <f t="shared" si="14"/>
        <v/>
      </c>
      <c r="AY222" s="28" t="str">
        <f t="shared" si="15"/>
        <v/>
      </c>
      <c r="AZ222" s="28" t="str">
        <f t="shared" si="16"/>
        <v/>
      </c>
      <c r="BA222" s="28" t="str">
        <f t="shared" si="17"/>
        <v/>
      </c>
      <c r="BB222" s="28" t="str">
        <f t="shared" si="18"/>
        <v/>
      </c>
      <c r="BC222" s="28" t="str">
        <f t="array" ref="BC222">IF($I222="","",LET(
conf,AI222,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duoMax,XLOOKUP($B222,Derived_Variables!$A:$A,Derived_Variables!$AI:$AI,4),
axisTol,XLOOKUP($B222,Derived_Variables!$A:$A,Derived_Variables!$W:$W,1),
maxStart,XLOOKUP($B222,Derived_Variables!$A:$A,Derived_Variables!$U:$U,1.25),
maxAR,XLOOKUP($B222,Derived_Variables!$A:$A,Derived_Variables!$V:$V,3),
anom,XLOOKUP($B222,Derived_Variables!$A:$A,Derived_Variables!$Z:$Z,FALSE),
reStart,XLOOKUP($B222,Derived_Variables!$A:$A,Derived_Variables!$K:$K,0),
leStart,XLOOKUP($B222,Derived_Variables!$A:$A,Derived_Variables!$N:$N,0),
reAR,XLOOKUP($B222,AR_Input!$A:$A,AR_Input!$B:$B,reStart),
leAR,XLOOKUP($B222,AR_Input!$A:$A,AR_Input!$E:$E,leStart),
reEsc,AND(anom,OR(ABS((S222+AM222)-reStart)&gt;maxStart,ABS((S222+AM222)-reAR)&gt;maxAR)),
leEsc,AND(anom,OR(ABS((V222+AP222)-leStart)&gt;maxStart,ABS((V222+AP222)-leAR)&gt;maxAR)),
phaseMax,IFS(
 AK222="Fast",
   IFS(
     OR(C222="B",C222="D"),XLOOKUP("timeout_coarse_fast",Calibration!$B:$B,Calibration!$C:$C,24),
     OR(C222="E",C222="F",C222="H",C222="I"),XLOOKUP("timeout_jcc_fast",Calibration!$B:$B,Calibration!$C:$C,10),
     OR(C222="G",C222="J"),XLOOKUP("timeout_duochrome_fast",Calibration!$B:$B,Calibration!$C:$C,8),
     C222="K",XLOOKUP("timeout_bino_fast",Calibration!$B:$B,Calibration!$C:$C,10),
     OR(C222="P",C222="Q",C222="R"),XLOOKUP("timeout_near_fast",Calibration!$B:$B,Calibration!$C:$C,16),
     TRUE,XLOOKUP("timeout_coarse_fast",Calibration!$B:$B,Calibration!$C:$C,24)
   ),
 AK222="Normal",
   IFS(
     OR(C222="B",C222="D"),XLOOKUP("timeout_coarse_normal",Calibration!$B:$B,Calibration!$C:$C,36),
     OR(C222="E",C222="F",C222="H",C222="I"),XLOOKUP("timeout_jcc_normal",Calibration!$B:$B,Calibration!$C:$C,14),
     OR(C222="G",C222="J"),XLOOKUP("timeout_duochrome_normal",Calibration!$B:$B,Calibration!$C:$C,10),
     C222="K",XLOOKUP("timeout_bino_normal",Calibration!$B:$B,Calibration!$C:$C,14),
     OR(C222="P",C222="Q",C222="R"),XLOOKUP("timeout_near_normal",Calibration!$B:$B,Calibration!$C:$C,22),
     TRUE,XLOOKUP("timeout_coarse_normal",Calibration!$B:$B,Calibration!$C:$C,36)
   ),
 TRUE,
   IFS(
     OR(C222="B",C222="D"),XLOOKUP("timeout_coarse_slow",Calibration!$B:$B,Calibration!$C:$C,48),
     OR(C222="E",C222="F",C222="H",C222="I"),XLOOKUP("timeout_jcc_slow",Calibration!$B:$B,Calibration!$C:$C,18),
     OR(C222="G",C222="J"),XLOOKUP("timeout_duochrome_slow",Calibration!$B:$B,Calibration!$C:$C,12),
     C222="K",XLOOKUP("timeout_bino_slow",Calibration!$B:$B,Calibration!$C:$C,18),
     OR(C222="P",C222="Q",C222="R"),XLOOKUP("timeout_near_slow",Calibration!$B:$B,Calibration!$C:$C,28),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AJ222=TRUE,"ESCALATE",
C222="A",
IF(OR(I222="NOT_READABLE",I222="BLURRY",AND(R222="20_20_20",I222="READABLE")),"B","A"),
C222="B",
IF(reEsc,"ESCALATE",IF(AY222&gt;=phaseMax,"ESCALATE",IF(AND(AV222&gt;=AW222,I222="READABLE"),"E","B"))),
C222="E",
IF(AY222&gt;=phaseMax,"ESCALATE",IF(OR(I222="SAME",I222="CANT_TELL",AD222&lt;axisTol),"F","E")),
C222="F",
IF(AY222&gt;=phaseMax,"ESCALATE",IF(AX222&gt;=powerSameN,"G","F")),
C222="G",
IF(AY222&gt;=phaseMax,"ESCALATE",IF(OR(AX222&gt;=duoEqualN,BB222&gt;=duoMax),"D","G")),
C222="D",
IF(leEsc,"ESCALATE",IF(AY222&gt;=phaseMax,"ESCALATE",IF(AND(AV222&gt;=AW222,I222="READABLE"),"H","D"))),
C222="H",
IF(AY222&gt;=phaseMax,"ESCALATE",IF(OR(I222="SAME",I222="CANT_TELL",AD222&lt;axisTol),"I","H")),
C222="I",
IF(AY222&gt;=phaseMax,"ESCALATE",IF(AX222&gt;=powerSameN,"J","I")),
C222="J",
IF(AY222&gt;=phaseMax,"ESCALATE",IF(OR(AX222&gt;=duoEqualN,BB222&gt;=duoMax),"K","J")),
C222="K",
IF(AY222&gt;=phaseMax,"ESCALATE",IF(AX222&gt;=binoSameN,IF(XLOOKUP($B222,Derived_Variables!$A:$A,Derived_Variables!$AJ:$AJ,FALSE)=TRUE,"P","END"),"K")),
C222="P",
IF(AY222&gt;=phaseMax,"ESCALATE",IF(OR(I222="READABLE",I222="SAME"),"Q","P")),
C222="Q",
IF(AY222&gt;=phaseMax,"ESCALATE",IF(OR(I222="READABLE",I222="SAME"),"R","Q")),
C222="R",
IF(AY222&gt;=phaseMax,"ESCALATE",IF(OR(I222=nearTarget,I222="SAME"),"END","R")),
TRUE,"END"
)))</f>
        <v/>
      </c>
      <c r="BD222" s="28" t="b">
        <f t="shared" si="19"/>
        <v>0</v>
      </c>
    </row>
    <row r="223" ht="15.75" customHeight="1">
      <c r="A223" s="28">
        <f t="shared" si="3"/>
        <v>222</v>
      </c>
      <c r="B223" s="28">
        <f t="shared" si="4"/>
        <v>6</v>
      </c>
      <c r="C223" s="28" t="str">
        <f t="shared" si="5"/>
        <v/>
      </c>
      <c r="D223" s="28" t="str">
        <f t="array" ref="D223">IF($I222="","",XLOOKUP(C223,FSM_State_Map!A:A,FSM_State_Map!B:B,""))</f>
        <v/>
      </c>
      <c r="E223" s="28" t="str">
        <f t="array" ref="E223">IF($I222="","",XLOOKUP(C223,FSM_State_Map!A:A,FSM_State_Map!C:C,""))</f>
        <v/>
      </c>
      <c r="F223" s="28" t="str">
        <f t="array" ref="F223">IF($I222="","",XLOOKUP(E223,Phase_UI_Map!A:A,Phase_UI_Map!B:B,""))</f>
        <v/>
      </c>
      <c r="G223" s="28" t="str">
        <f t="array" ref="G223">IF($I222="","",XLOOKUP(E223,Phase_UI_Map!A:A,Phase_UI_Map!C:C,""))</f>
        <v/>
      </c>
      <c r="H223" s="28" t="str">
        <f t="array" ref="H223">IF($I222="","",XLOOKUP(E223,Phase_UI_Map!A:A,Phase_UI_Map!D:D,""))</f>
        <v/>
      </c>
      <c r="I223" s="29"/>
      <c r="J223" s="28" t="str">
        <f>IFERROR(__xludf.DUMMYFUNCTION("IF($I222="""","""",IFERROR(INDEX(FILTER(Response_Lists!$B:$B,Response_Lists!$A:$A=$H223),1),""""))"),"")</f>
        <v/>
      </c>
      <c r="K223" s="28" t="str">
        <f>IFERROR(__xludf.DUMMYFUNCTION("IF($I222="""","""",IFERROR(INDEX(FILTER(Response_Lists!$B:$B,Response_Lists!$A:$A=$H223),2),""""))"),"")</f>
        <v/>
      </c>
      <c r="L223" s="28" t="str">
        <f>IFERROR(__xludf.DUMMYFUNCTION("IF($I222="""","""",IFERROR(INDEX(FILTER(Response_Lists!$B:$B,Response_Lists!$A:$A=$H223),3),""""))"),"")</f>
        <v/>
      </c>
      <c r="M223" s="28" t="str">
        <f>IFERROR(__xludf.DUMMYFUNCTION("IF($I222="""","""",IFERROR(INDEX(FILTER(Response_Lists!$B:$B,Response_Lists!$A:$A=$H223),4),""""))"),"")</f>
        <v/>
      </c>
      <c r="N223" s="28" t="str">
        <f>IFERROR(__xludf.DUMMYFUNCTION("IF($I222="""","""",IFERROR(INDEX(FILTER(Response_Lists!$B:$B,Response_Lists!$A:$A=$H223),5),""""))"),"")</f>
        <v/>
      </c>
      <c r="O223" s="28" t="str">
        <f>IFERROR(__xludf.DUMMYFUNCTION("IF($I222="""","""",IFERROR(INDEX(FILTER(Response_Lists!$B:$B,Response_Lists!$A:$A=$H223),6),""""))"),"")</f>
        <v/>
      </c>
      <c r="P223" s="28" t="str">
        <f t="shared" si="6"/>
        <v/>
      </c>
      <c r="Q223" s="28" t="str">
        <f t="array" ref="Q223">IF($I222="","",XLOOKUP(C223,FSM_State_Map!A:A,FSM_State_Map!D:D,""))</f>
        <v/>
      </c>
      <c r="R223" s="28" t="str">
        <f t="shared" si="7"/>
        <v/>
      </c>
      <c r="S223" s="28" t="str">
        <f t="array" ref="S223">IF($I222="","",
IF(
  AND(C223="B",C222&lt;&gt;"B"),
  XLOOKUP($B223,Derived_Variables!$A:$A,Derived_Variables!$K:$K,0)
  + XLOOKUP($B223,Derived_Variables!$A:$A,Derived_Variables!$AE:$AE,0),
  S222+AM222
))</f>
        <v/>
      </c>
      <c r="T223" s="28" t="str">
        <f t="shared" ref="T223:U223" si="456">IF($I222="","",T222+AN222)</f>
        <v/>
      </c>
      <c r="U223" s="28" t="str">
        <f t="shared" si="456"/>
        <v/>
      </c>
      <c r="V223" s="28" t="str">
        <f t="array" ref="V223">IF($I222="","",
IF(
  AND(C223="D",C222&lt;&gt;"D"),
  XLOOKUP($B223,Derived_Variables!$A:$A,Derived_Variables!$N:$N,0)
  + XLOOKUP($B223,Derived_Variables!$A:$A,Derived_Variables!$AE:$AE,0),
  V222+AP222
))</f>
        <v/>
      </c>
      <c r="W223" s="28" t="str">
        <f t="shared" ref="W223:X223" si="457">IF($I222="","",W222+AQ222)</f>
        <v/>
      </c>
      <c r="X223" s="28" t="str">
        <f t="shared" si="457"/>
        <v/>
      </c>
      <c r="Y223" s="28" t="str">
        <f t="array" ref="Y223">IF($I222="","",IF(AND(C223="P",C222&lt;&gt;"P"),IFERROR(XLOOKUP($B223,Lenso_Input!$A:$A,Lenso_Input!$E:$E,0),0),Y222+AS222))</f>
        <v/>
      </c>
      <c r="Z223" s="28" t="str">
        <f t="array" ref="Z223">IF($I222="","",IF(AND(C223="Q",C222&lt;&gt;"Q"),IFERROR(XLOOKUP($B223,Lenso_Input!$A:$A,Lenso_Input!$I:$I,0),0),Z222+AT222))</f>
        <v/>
      </c>
      <c r="AA223" s="28" t="str">
        <f t="array" ref="AA223">IF($I222="","",IF(XLOOKUP($B223,Derived_Variables!$A:$A,Derived_Variables!$R:$R,"6/6_target")="6/6_target","20_20_20","40_30_25"))</f>
        <v/>
      </c>
      <c r="AB223" s="28" t="str">
        <f t="array" ref="AB223">IF($I222="","",XLOOKUP(LOWER(XLOOKUP($B223,Derived_Variables!$A:$A,Derived_Variables!$T:$T,"Standard"))&amp;"_sph_step",Calibration!$B:$B,Calibration!$C:$C,0.25))</f>
        <v/>
      </c>
      <c r="AC223" s="28" t="str">
        <f t="array" ref="AC223">IF($I222="","",XLOOKUP(LOWER(XLOOKUP($B223,Derived_Variables!$A:$A,Derived_Variables!$T:$T,"Standard"))&amp;"_cyl_step",Calibration!$B:$B,Calibration!$C:$C,0.25))</f>
        <v/>
      </c>
      <c r="AD223" s="28" t="str">
        <f t="array" ref="AD223">IF($I222="","",IF(OR(C223="E",C223="H"),LET(startStep,XLOOKUP("axis_start_step",Calibration!$B:$B,Calibration!$C:$C,5),step1,XLOOKUP("axis_reversal_step_1",Calibration!$B:$B,Calibration!$C:$C,3),step2,XLOOKUP("axis_reversal_step_2",Calibration!$B:$B,Calibration!$C:$C,1),IF(OR(C222&lt;&gt;C223,AZ223="",AZ223="SAME",AZ223="CANT_TELL",I223="",I223="SAME",I223="CANT_TELL"),startStep,IF(OR(AND(AZ223="BETTER_1",I223="BETTER_2"),AND(AZ223="BETTER_2",I223="BETTER_1")),IF(AD222&gt;step1,step1,step2),AD222))),0))</f>
        <v/>
      </c>
      <c r="AE223" s="28" t="str">
        <f t="array" ref="AE223">IF($I222="","",XLOOKUP($B223,Derived_Variables!$A:$A,Derived_Variables!$AD:$AD,"No_Fog"))</f>
        <v/>
      </c>
      <c r="AF223" s="28" t="str">
        <f t="array" ref="AF223">IF($I222="","",XLOOKUP($B223,Derived_Variables!$A:$A,Derived_Variables!$AE:$AE,0))</f>
        <v/>
      </c>
      <c r="AG223" s="28" t="str">
        <f t="array" ref="AG223">IF($I222="","",XLOOKUP($B223,Derived_Variables!$A:$A,Derived_Variables!$AF:$AF,""))</f>
        <v/>
      </c>
      <c r="AH223" s="28" t="str">
        <f t="array" ref="AH223">IF($I222="","",XLOOKUP($B223,Derived_Variables!$A:$A,Derived_Variables!$AG:$AG,""))</f>
        <v/>
      </c>
      <c r="AI223" s="28" t="str">
        <f t="array" ref="AI223">IF($I222="","",XLOOKUP($B223,Derived_Variables!$A:$A,Derived_Variables!$AC:$AC,"Medium"))</f>
        <v/>
      </c>
      <c r="AJ223" s="28" t="str">
        <f t="array" ref="AJ223">IF($I222="","",XLOOKUP($B223,Derived_Variables!$A:$A,Derived_Variables!$Y:$Y,FALSE))</f>
        <v/>
      </c>
      <c r="AK223" s="28" t="str">
        <f t="array" ref="AK223">IF($I222="","",XLOOKUP($B223,Derived_Variables!$A:$A,Derived_Variables!$AA:$AA,"Normal"))</f>
        <v/>
      </c>
      <c r="AL223" s="28" t="str">
        <f t="array" ref="AL223">IF($I222="","",XLOOKUP($B223,Derived_Variables!$A:$A,Derived_Variables!$AB:$AB,"Normal"))</f>
        <v/>
      </c>
      <c r="AM223" s="28" t="str">
        <f t="array" ref="AM223">IF($I223="","",IFS(C223="B",IF(OR(I223="NOT_READABLE",I223="BLURRY"),-AB223,0),C223="G",IFS(I223="RED_CLEARER",XLOOKUP("duochrome_red_step",Calibration!$B:$B,Calibration!$C:$C,-0.25),I223="GREEN_CLEARER",XLOOKUP("duochrome_green_step",Calibration!$B:$B,Calibration!$C:$C,0.25),I223="EQUAL",IF(XLOOKUP($B223,Derived_Variables!$A:$A,Derived_Variables!$S:$S,"Neutral")="Undercorrect",XLOOKUP("undercorrect_step",Calibration!$B:$B,Calibration!$C:$C,0.25),IF(XLOOKUP($B223,Derived_Variables!$A:$A,Derived_Variables!$S:$S,"Neutral")="Overcorrect",-XLOOKUP("overcorrect_step",Calibration!$B:$B,Calibration!$C:$C,0.25),0)),TRUE,0),C223="K",IF(I223="TOP_CLEARER",XLOOKUP("bino_balance_step",Calibration!$B:$B,Calibration!$C:$C,0.25),0),TRUE,0))</f>
        <v/>
      </c>
      <c r="AN223" s="28" t="str">
        <f t="shared" si="10"/>
        <v/>
      </c>
      <c r="AO223" s="28" t="str">
        <f t="shared" si="11"/>
        <v/>
      </c>
      <c r="AP223" s="28" t="str">
        <f t="array" ref="AP223">IF($I223="","",IFS(C223="D",IF(OR(I223="NOT_READABLE",I223="BLURRY"),-AB223,0),C223="J",IFS(I223="RED_CLEARER",XLOOKUP("duochrome_red_step",Calibration!$B:$B,Calibration!$C:$C,-0.25),I223="GREEN_CLEARER",XLOOKUP("duochrome_green_step",Calibration!$B:$B,Calibration!$C:$C,0.25),I223="EQUAL",IF(XLOOKUP($B223,Derived_Variables!$A:$A,Derived_Variables!$S:$S,"Neutral")="Undercorrect",XLOOKUP("undercorrect_step",Calibration!$B:$B,Calibration!$C:$C,0.25),IF(XLOOKUP($B223,Derived_Variables!$A:$A,Derived_Variables!$S:$S,"Neutral")="Overcorrect",-XLOOKUP("overcorrect_step",Calibration!$B:$B,Calibration!$C:$C,0.25),0)),TRUE,0),C223="K",IF(I223="BOTTOM_CLEARER",XLOOKUP("bino_balance_step",Calibration!$B:$B,Calibration!$C:$C,0.25),0),TRUE,0))</f>
        <v/>
      </c>
      <c r="AQ223" s="28" t="str">
        <f t="shared" si="12"/>
        <v/>
      </c>
      <c r="AR223" s="28" t="str">
        <f t="shared" si="13"/>
        <v/>
      </c>
      <c r="AS223" s="28" t="str">
        <f t="array" ref="AS223">IF($I223="","",IF(C223="P",IF(OR(I223="NOT_READABLE",I223="BLURRY"),XLOOKUP("near_add_step",Calibration!$B:$B,Calibration!$C:$C,0.25),0),IF(C223="R",IF(I223="NOT_CLEAR",XLOOKUP("near_add_step",Calibration!$B:$B,Calibration!$C:$C,0.25),0),0)))</f>
        <v/>
      </c>
      <c r="AT223" s="28" t="str">
        <f t="array" ref="AT223">IF($I223="","",IF(C223="Q",IF(OR(I223="NOT_READABLE",I223="BLURRY"),XLOOKUP("near_add_step",Calibration!$B:$B,Calibration!$C:$C,0.25),0),IF(C223="R",IF(I223="NOT_CLEAR",XLOOKUP("near_add_step",Calibration!$B:$B,Calibration!$C:$C,0.25),0),0)))</f>
        <v/>
      </c>
      <c r="AU223" s="28" t="str">
        <f t="array" ref="AU223">IF($I223="","",IF(G223="SNELLEN_FEET",IF(I223="READABLE",IFERROR(XLOOKUP(XLOOKUP(R223,Chart_Scale_Distance!B:B,Chart_Scale_Distance!A:A)+1,Chart_Scale_Distance!A:A,Chart_Scale_Distance!B:B),R223),R223),R223))</f>
        <v/>
      </c>
      <c r="AV223" s="28" t="str">
        <f t="array" ref="AV223">IF($I222="","",IFERROR(XLOOKUP(R223,Chart_Scale_Distance!$B:$B,Chart_Scale_Distance!$A:$A,""),""))</f>
        <v/>
      </c>
      <c r="AW223" s="28" t="str">
        <f t="array" ref="AW223">IF($I222="","",IFERROR(XLOOKUP(AA223,Chart_Scale_Distance!$B:$B,Chart_Scale_Distance!$A:$A,""),""))</f>
        <v/>
      </c>
      <c r="AX223" s="28" t="str">
        <f t="shared" si="14"/>
        <v/>
      </c>
      <c r="AY223" s="28" t="str">
        <f t="shared" si="15"/>
        <v/>
      </c>
      <c r="AZ223" s="28" t="str">
        <f t="shared" si="16"/>
        <v/>
      </c>
      <c r="BA223" s="28" t="str">
        <f t="shared" si="17"/>
        <v/>
      </c>
      <c r="BB223" s="28" t="str">
        <f t="shared" si="18"/>
        <v/>
      </c>
      <c r="BC223" s="28" t="str">
        <f t="array" ref="BC223">IF($I223="","",LET(
conf,AI223,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duoMax,XLOOKUP($B223,Derived_Variables!$A:$A,Derived_Variables!$AI:$AI,4),
axisTol,XLOOKUP($B223,Derived_Variables!$A:$A,Derived_Variables!$W:$W,1),
maxStart,XLOOKUP($B223,Derived_Variables!$A:$A,Derived_Variables!$U:$U,1.25),
maxAR,XLOOKUP($B223,Derived_Variables!$A:$A,Derived_Variables!$V:$V,3),
anom,XLOOKUP($B223,Derived_Variables!$A:$A,Derived_Variables!$Z:$Z,FALSE),
reStart,XLOOKUP($B223,Derived_Variables!$A:$A,Derived_Variables!$K:$K,0),
leStart,XLOOKUP($B223,Derived_Variables!$A:$A,Derived_Variables!$N:$N,0),
reAR,XLOOKUP($B223,AR_Input!$A:$A,AR_Input!$B:$B,reStart),
leAR,XLOOKUP($B223,AR_Input!$A:$A,AR_Input!$E:$E,leStart),
reEsc,AND(anom,OR(ABS((S223+AM223)-reStart)&gt;maxStart,ABS((S223+AM223)-reAR)&gt;maxAR)),
leEsc,AND(anom,OR(ABS((V223+AP223)-leStart)&gt;maxStart,ABS((V223+AP223)-leAR)&gt;maxAR)),
phaseMax,IFS(
 AK223="Fast",
   IFS(
     OR(C223="B",C223="D"),XLOOKUP("timeout_coarse_fast",Calibration!$B:$B,Calibration!$C:$C,24),
     OR(C223="E",C223="F",C223="H",C223="I"),XLOOKUP("timeout_jcc_fast",Calibration!$B:$B,Calibration!$C:$C,10),
     OR(C223="G",C223="J"),XLOOKUP("timeout_duochrome_fast",Calibration!$B:$B,Calibration!$C:$C,8),
     C223="K",XLOOKUP("timeout_bino_fast",Calibration!$B:$B,Calibration!$C:$C,10),
     OR(C223="P",C223="Q",C223="R"),XLOOKUP("timeout_near_fast",Calibration!$B:$B,Calibration!$C:$C,16),
     TRUE,XLOOKUP("timeout_coarse_fast",Calibration!$B:$B,Calibration!$C:$C,24)
   ),
 AK223="Normal",
   IFS(
     OR(C223="B",C223="D"),XLOOKUP("timeout_coarse_normal",Calibration!$B:$B,Calibration!$C:$C,36),
     OR(C223="E",C223="F",C223="H",C223="I"),XLOOKUP("timeout_jcc_normal",Calibration!$B:$B,Calibration!$C:$C,14),
     OR(C223="G",C223="J"),XLOOKUP("timeout_duochrome_normal",Calibration!$B:$B,Calibration!$C:$C,10),
     C223="K",XLOOKUP("timeout_bino_normal",Calibration!$B:$B,Calibration!$C:$C,14),
     OR(C223="P",C223="Q",C223="R"),XLOOKUP("timeout_near_normal",Calibration!$B:$B,Calibration!$C:$C,22),
     TRUE,XLOOKUP("timeout_coarse_normal",Calibration!$B:$B,Calibration!$C:$C,36)
   ),
 TRUE,
   IFS(
     OR(C223="B",C223="D"),XLOOKUP("timeout_coarse_slow",Calibration!$B:$B,Calibration!$C:$C,48),
     OR(C223="E",C223="F",C223="H",C223="I"),XLOOKUP("timeout_jcc_slow",Calibration!$B:$B,Calibration!$C:$C,18),
     OR(C223="G",C223="J"),XLOOKUP("timeout_duochrome_slow",Calibration!$B:$B,Calibration!$C:$C,12),
     C223="K",XLOOKUP("timeout_bino_slow",Calibration!$B:$B,Calibration!$C:$C,18),
     OR(C223="P",C223="Q",C223="R"),XLOOKUP("timeout_near_slow",Calibration!$B:$B,Calibration!$C:$C,28),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AJ223=TRUE,"ESCALATE",
C223="A",
IF(OR(I223="NOT_READABLE",I223="BLURRY",AND(R223="20_20_20",I223="READABLE")),"B","A"),
C223="B",
IF(reEsc,"ESCALATE",IF(AY223&gt;=phaseMax,"ESCALATE",IF(AND(AV223&gt;=AW223,I223="READABLE"),"E","B"))),
C223="E",
IF(AY223&gt;=phaseMax,"ESCALATE",IF(OR(I223="SAME",I223="CANT_TELL",AD223&lt;axisTol),"F","E")),
C223="F",
IF(AY223&gt;=phaseMax,"ESCALATE",IF(AX223&gt;=powerSameN,"G","F")),
C223="G",
IF(AY223&gt;=phaseMax,"ESCALATE",IF(OR(AX223&gt;=duoEqualN,BB223&gt;=duoMax),"D","G")),
C223="D",
IF(leEsc,"ESCALATE",IF(AY223&gt;=phaseMax,"ESCALATE",IF(AND(AV223&gt;=AW223,I223="READABLE"),"H","D"))),
C223="H",
IF(AY223&gt;=phaseMax,"ESCALATE",IF(OR(I223="SAME",I223="CANT_TELL",AD223&lt;axisTol),"I","H")),
C223="I",
IF(AY223&gt;=phaseMax,"ESCALATE",IF(AX223&gt;=powerSameN,"J","I")),
C223="J",
IF(AY223&gt;=phaseMax,"ESCALATE",IF(OR(AX223&gt;=duoEqualN,BB223&gt;=duoMax),"K","J")),
C223="K",
IF(AY223&gt;=phaseMax,"ESCALATE",IF(AX223&gt;=binoSameN,IF(XLOOKUP($B223,Derived_Variables!$A:$A,Derived_Variables!$AJ:$AJ,FALSE)=TRUE,"P","END"),"K")),
C223="P",
IF(AY223&gt;=phaseMax,"ESCALATE",IF(OR(I223="READABLE",I223="SAME"),"Q","P")),
C223="Q",
IF(AY223&gt;=phaseMax,"ESCALATE",IF(OR(I223="READABLE",I223="SAME"),"R","Q")),
C223="R",
IF(AY223&gt;=phaseMax,"ESCALATE",IF(OR(I223=nearTarget,I223="SAME"),"END","R")),
TRUE,"END"
)))</f>
        <v/>
      </c>
      <c r="BD223" s="28" t="b">
        <f t="shared" si="19"/>
        <v>0</v>
      </c>
    </row>
    <row r="224" ht="15.75" customHeight="1">
      <c r="A224" s="28">
        <f t="shared" si="3"/>
        <v>223</v>
      </c>
      <c r="B224" s="28">
        <f t="shared" si="4"/>
        <v>6</v>
      </c>
      <c r="C224" s="28" t="str">
        <f t="shared" si="5"/>
        <v/>
      </c>
      <c r="D224" s="28" t="str">
        <f t="array" ref="D224">IF($I223="","",XLOOKUP(C224,FSM_State_Map!A:A,FSM_State_Map!B:B,""))</f>
        <v/>
      </c>
      <c r="E224" s="28" t="str">
        <f t="array" ref="E224">IF($I223="","",XLOOKUP(C224,FSM_State_Map!A:A,FSM_State_Map!C:C,""))</f>
        <v/>
      </c>
      <c r="F224" s="28" t="str">
        <f t="array" ref="F224">IF($I223="","",XLOOKUP(E224,Phase_UI_Map!A:A,Phase_UI_Map!B:B,""))</f>
        <v/>
      </c>
      <c r="G224" s="28" t="str">
        <f t="array" ref="G224">IF($I223="","",XLOOKUP(E224,Phase_UI_Map!A:A,Phase_UI_Map!C:C,""))</f>
        <v/>
      </c>
      <c r="H224" s="28" t="str">
        <f t="array" ref="H224">IF($I223="","",XLOOKUP(E224,Phase_UI_Map!A:A,Phase_UI_Map!D:D,""))</f>
        <v/>
      </c>
      <c r="I224" s="29"/>
      <c r="J224" s="28" t="str">
        <f>IFERROR(__xludf.DUMMYFUNCTION("IF($I223="""","""",IFERROR(INDEX(FILTER(Response_Lists!$B:$B,Response_Lists!$A:$A=$H224),1),""""))"),"")</f>
        <v/>
      </c>
      <c r="K224" s="28" t="str">
        <f>IFERROR(__xludf.DUMMYFUNCTION("IF($I223="""","""",IFERROR(INDEX(FILTER(Response_Lists!$B:$B,Response_Lists!$A:$A=$H224),2),""""))"),"")</f>
        <v/>
      </c>
      <c r="L224" s="28" t="str">
        <f>IFERROR(__xludf.DUMMYFUNCTION("IF($I223="""","""",IFERROR(INDEX(FILTER(Response_Lists!$B:$B,Response_Lists!$A:$A=$H224),3),""""))"),"")</f>
        <v/>
      </c>
      <c r="M224" s="28" t="str">
        <f>IFERROR(__xludf.DUMMYFUNCTION("IF($I223="""","""",IFERROR(INDEX(FILTER(Response_Lists!$B:$B,Response_Lists!$A:$A=$H224),4),""""))"),"")</f>
        <v/>
      </c>
      <c r="N224" s="28" t="str">
        <f>IFERROR(__xludf.DUMMYFUNCTION("IF($I223="""","""",IFERROR(INDEX(FILTER(Response_Lists!$B:$B,Response_Lists!$A:$A=$H224),5),""""))"),"")</f>
        <v/>
      </c>
      <c r="O224" s="28" t="str">
        <f>IFERROR(__xludf.DUMMYFUNCTION("IF($I223="""","""",IFERROR(INDEX(FILTER(Response_Lists!$B:$B,Response_Lists!$A:$A=$H224),6),""""))"),"")</f>
        <v/>
      </c>
      <c r="P224" s="28" t="str">
        <f t="shared" si="6"/>
        <v/>
      </c>
      <c r="Q224" s="28" t="str">
        <f t="array" ref="Q224">IF($I223="","",XLOOKUP(C224,FSM_State_Map!A:A,FSM_State_Map!D:D,""))</f>
        <v/>
      </c>
      <c r="R224" s="28" t="str">
        <f t="shared" si="7"/>
        <v/>
      </c>
      <c r="S224" s="28" t="str">
        <f t="array" ref="S224">IF($I223="","",
IF(
  AND(C224="B",C223&lt;&gt;"B"),
  XLOOKUP($B224,Derived_Variables!$A:$A,Derived_Variables!$K:$K,0)
  + XLOOKUP($B224,Derived_Variables!$A:$A,Derived_Variables!$AE:$AE,0),
  S223+AM223
))</f>
        <v/>
      </c>
      <c r="T224" s="28" t="str">
        <f t="shared" ref="T224:U224" si="458">IF($I223="","",T223+AN223)</f>
        <v/>
      </c>
      <c r="U224" s="28" t="str">
        <f t="shared" si="458"/>
        <v/>
      </c>
      <c r="V224" s="28" t="str">
        <f t="array" ref="V224">IF($I223="","",
IF(
  AND(C224="D",C223&lt;&gt;"D"),
  XLOOKUP($B224,Derived_Variables!$A:$A,Derived_Variables!$N:$N,0)
  + XLOOKUP($B224,Derived_Variables!$A:$A,Derived_Variables!$AE:$AE,0),
  V223+AP223
))</f>
        <v/>
      </c>
      <c r="W224" s="28" t="str">
        <f t="shared" ref="W224:X224" si="459">IF($I223="","",W223+AQ223)</f>
        <v/>
      </c>
      <c r="X224" s="28" t="str">
        <f t="shared" si="459"/>
        <v/>
      </c>
      <c r="Y224" s="28" t="str">
        <f t="array" ref="Y224">IF($I223="","",IF(AND(C224="P",C223&lt;&gt;"P"),IFERROR(XLOOKUP($B224,Lenso_Input!$A:$A,Lenso_Input!$E:$E,0),0),Y223+AS223))</f>
        <v/>
      </c>
      <c r="Z224" s="28" t="str">
        <f t="array" ref="Z224">IF($I223="","",IF(AND(C224="Q",C223&lt;&gt;"Q"),IFERROR(XLOOKUP($B224,Lenso_Input!$A:$A,Lenso_Input!$I:$I,0),0),Z223+AT223))</f>
        <v/>
      </c>
      <c r="AA224" s="28" t="str">
        <f t="array" ref="AA224">IF($I223="","",IF(XLOOKUP($B224,Derived_Variables!$A:$A,Derived_Variables!$R:$R,"6/6_target")="6/6_target","20_20_20","40_30_25"))</f>
        <v/>
      </c>
      <c r="AB224" s="28" t="str">
        <f t="array" ref="AB224">IF($I223="","",XLOOKUP(LOWER(XLOOKUP($B224,Derived_Variables!$A:$A,Derived_Variables!$T:$T,"Standard"))&amp;"_sph_step",Calibration!$B:$B,Calibration!$C:$C,0.25))</f>
        <v/>
      </c>
      <c r="AC224" s="28" t="str">
        <f t="array" ref="AC224">IF($I223="","",XLOOKUP(LOWER(XLOOKUP($B224,Derived_Variables!$A:$A,Derived_Variables!$T:$T,"Standard"))&amp;"_cyl_step",Calibration!$B:$B,Calibration!$C:$C,0.25))</f>
        <v/>
      </c>
      <c r="AD224" s="28" t="str">
        <f t="array" ref="AD224">IF($I223="","",IF(OR(C224="E",C224="H"),LET(startStep,XLOOKUP("axis_start_step",Calibration!$B:$B,Calibration!$C:$C,5),step1,XLOOKUP("axis_reversal_step_1",Calibration!$B:$B,Calibration!$C:$C,3),step2,XLOOKUP("axis_reversal_step_2",Calibration!$B:$B,Calibration!$C:$C,1),IF(OR(C223&lt;&gt;C224,AZ224="",AZ224="SAME",AZ224="CANT_TELL",I224="",I224="SAME",I224="CANT_TELL"),startStep,IF(OR(AND(AZ224="BETTER_1",I224="BETTER_2"),AND(AZ224="BETTER_2",I224="BETTER_1")),IF(AD223&gt;step1,step1,step2),AD223))),0))</f>
        <v/>
      </c>
      <c r="AE224" s="28" t="str">
        <f t="array" ref="AE224">IF($I223="","",XLOOKUP($B224,Derived_Variables!$A:$A,Derived_Variables!$AD:$AD,"No_Fog"))</f>
        <v/>
      </c>
      <c r="AF224" s="28" t="str">
        <f t="array" ref="AF224">IF($I223="","",XLOOKUP($B224,Derived_Variables!$A:$A,Derived_Variables!$AE:$AE,0))</f>
        <v/>
      </c>
      <c r="AG224" s="28" t="str">
        <f t="array" ref="AG224">IF($I223="","",XLOOKUP($B224,Derived_Variables!$A:$A,Derived_Variables!$AF:$AF,""))</f>
        <v/>
      </c>
      <c r="AH224" s="28" t="str">
        <f t="array" ref="AH224">IF($I223="","",XLOOKUP($B224,Derived_Variables!$A:$A,Derived_Variables!$AG:$AG,""))</f>
        <v/>
      </c>
      <c r="AI224" s="28" t="str">
        <f t="array" ref="AI224">IF($I223="","",XLOOKUP($B224,Derived_Variables!$A:$A,Derived_Variables!$AC:$AC,"Medium"))</f>
        <v/>
      </c>
      <c r="AJ224" s="28" t="str">
        <f t="array" ref="AJ224">IF($I223="","",XLOOKUP($B224,Derived_Variables!$A:$A,Derived_Variables!$Y:$Y,FALSE))</f>
        <v/>
      </c>
      <c r="AK224" s="28" t="str">
        <f t="array" ref="AK224">IF($I223="","",XLOOKUP($B224,Derived_Variables!$A:$A,Derived_Variables!$AA:$AA,"Normal"))</f>
        <v/>
      </c>
      <c r="AL224" s="28" t="str">
        <f t="array" ref="AL224">IF($I223="","",XLOOKUP($B224,Derived_Variables!$A:$A,Derived_Variables!$AB:$AB,"Normal"))</f>
        <v/>
      </c>
      <c r="AM224" s="28" t="str">
        <f t="array" ref="AM224">IF($I224="","",IFS(C224="B",IF(OR(I224="NOT_READABLE",I224="BLURRY"),-AB224,0),C224="G",IFS(I224="RED_CLEARER",XLOOKUP("duochrome_red_step",Calibration!$B:$B,Calibration!$C:$C,-0.25),I224="GREEN_CLEARER",XLOOKUP("duochrome_green_step",Calibration!$B:$B,Calibration!$C:$C,0.25),I224="EQUAL",IF(XLOOKUP($B224,Derived_Variables!$A:$A,Derived_Variables!$S:$S,"Neutral")="Undercorrect",XLOOKUP("undercorrect_step",Calibration!$B:$B,Calibration!$C:$C,0.25),IF(XLOOKUP($B224,Derived_Variables!$A:$A,Derived_Variables!$S:$S,"Neutral")="Overcorrect",-XLOOKUP("overcorrect_step",Calibration!$B:$B,Calibration!$C:$C,0.25),0)),TRUE,0),C224="K",IF(I224="TOP_CLEARER",XLOOKUP("bino_balance_step",Calibration!$B:$B,Calibration!$C:$C,0.25),0),TRUE,0))</f>
        <v/>
      </c>
      <c r="AN224" s="28" t="str">
        <f t="shared" si="10"/>
        <v/>
      </c>
      <c r="AO224" s="28" t="str">
        <f t="shared" si="11"/>
        <v/>
      </c>
      <c r="AP224" s="28" t="str">
        <f t="array" ref="AP224">IF($I224="","",IFS(C224="D",IF(OR(I224="NOT_READABLE",I224="BLURRY"),-AB224,0),C224="J",IFS(I224="RED_CLEARER",XLOOKUP("duochrome_red_step",Calibration!$B:$B,Calibration!$C:$C,-0.25),I224="GREEN_CLEARER",XLOOKUP("duochrome_green_step",Calibration!$B:$B,Calibration!$C:$C,0.25),I224="EQUAL",IF(XLOOKUP($B224,Derived_Variables!$A:$A,Derived_Variables!$S:$S,"Neutral")="Undercorrect",XLOOKUP("undercorrect_step",Calibration!$B:$B,Calibration!$C:$C,0.25),IF(XLOOKUP($B224,Derived_Variables!$A:$A,Derived_Variables!$S:$S,"Neutral")="Overcorrect",-XLOOKUP("overcorrect_step",Calibration!$B:$B,Calibration!$C:$C,0.25),0)),TRUE,0),C224="K",IF(I224="BOTTOM_CLEARER",XLOOKUP("bino_balance_step",Calibration!$B:$B,Calibration!$C:$C,0.25),0),TRUE,0))</f>
        <v/>
      </c>
      <c r="AQ224" s="28" t="str">
        <f t="shared" si="12"/>
        <v/>
      </c>
      <c r="AR224" s="28" t="str">
        <f t="shared" si="13"/>
        <v/>
      </c>
      <c r="AS224" s="28" t="str">
        <f t="array" ref="AS224">IF($I224="","",IF(C224="P",IF(OR(I224="NOT_READABLE",I224="BLURRY"),XLOOKUP("near_add_step",Calibration!$B:$B,Calibration!$C:$C,0.25),0),IF(C224="R",IF(I224="NOT_CLEAR",XLOOKUP("near_add_step",Calibration!$B:$B,Calibration!$C:$C,0.25),0),0)))</f>
        <v/>
      </c>
      <c r="AT224" s="28" t="str">
        <f t="array" ref="AT224">IF($I224="","",IF(C224="Q",IF(OR(I224="NOT_READABLE",I224="BLURRY"),XLOOKUP("near_add_step",Calibration!$B:$B,Calibration!$C:$C,0.25),0),IF(C224="R",IF(I224="NOT_CLEAR",XLOOKUP("near_add_step",Calibration!$B:$B,Calibration!$C:$C,0.25),0),0)))</f>
        <v/>
      </c>
      <c r="AU224" s="28" t="str">
        <f t="array" ref="AU224">IF($I224="","",IF(G224="SNELLEN_FEET",IF(I224="READABLE",IFERROR(XLOOKUP(XLOOKUP(R224,Chart_Scale_Distance!B:B,Chart_Scale_Distance!A:A)+1,Chart_Scale_Distance!A:A,Chart_Scale_Distance!B:B),R224),R224),R224))</f>
        <v/>
      </c>
      <c r="AV224" s="28" t="str">
        <f t="array" ref="AV224">IF($I223="","",IFERROR(XLOOKUP(R224,Chart_Scale_Distance!$B:$B,Chart_Scale_Distance!$A:$A,""),""))</f>
        <v/>
      </c>
      <c r="AW224" s="28" t="str">
        <f t="array" ref="AW224">IF($I223="","",IFERROR(XLOOKUP(AA224,Chart_Scale_Distance!$B:$B,Chart_Scale_Distance!$A:$A,""),""))</f>
        <v/>
      </c>
      <c r="AX224" s="28" t="str">
        <f t="shared" si="14"/>
        <v/>
      </c>
      <c r="AY224" s="28" t="str">
        <f t="shared" si="15"/>
        <v/>
      </c>
      <c r="AZ224" s="28" t="str">
        <f t="shared" si="16"/>
        <v/>
      </c>
      <c r="BA224" s="28" t="str">
        <f t="shared" si="17"/>
        <v/>
      </c>
      <c r="BB224" s="28" t="str">
        <f t="shared" si="18"/>
        <v/>
      </c>
      <c r="BC224" s="28" t="str">
        <f t="array" ref="BC224">IF($I224="","",LET(
conf,AI224,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duoMax,XLOOKUP($B224,Derived_Variables!$A:$A,Derived_Variables!$AI:$AI,4),
axisTol,XLOOKUP($B224,Derived_Variables!$A:$A,Derived_Variables!$W:$W,1),
maxStart,XLOOKUP($B224,Derived_Variables!$A:$A,Derived_Variables!$U:$U,1.25),
maxAR,XLOOKUP($B224,Derived_Variables!$A:$A,Derived_Variables!$V:$V,3),
anom,XLOOKUP($B224,Derived_Variables!$A:$A,Derived_Variables!$Z:$Z,FALSE),
reStart,XLOOKUP($B224,Derived_Variables!$A:$A,Derived_Variables!$K:$K,0),
leStart,XLOOKUP($B224,Derived_Variables!$A:$A,Derived_Variables!$N:$N,0),
reAR,XLOOKUP($B224,AR_Input!$A:$A,AR_Input!$B:$B,reStart),
leAR,XLOOKUP($B224,AR_Input!$A:$A,AR_Input!$E:$E,leStart),
reEsc,AND(anom,OR(ABS((S224+AM224)-reStart)&gt;maxStart,ABS((S224+AM224)-reAR)&gt;maxAR)),
leEsc,AND(anom,OR(ABS((V224+AP224)-leStart)&gt;maxStart,ABS((V224+AP224)-leAR)&gt;maxAR)),
phaseMax,IFS(
 AK224="Fast",
   IFS(
     OR(C224="B",C224="D"),XLOOKUP("timeout_coarse_fast",Calibration!$B:$B,Calibration!$C:$C,24),
     OR(C224="E",C224="F",C224="H",C224="I"),XLOOKUP("timeout_jcc_fast",Calibration!$B:$B,Calibration!$C:$C,10),
     OR(C224="G",C224="J"),XLOOKUP("timeout_duochrome_fast",Calibration!$B:$B,Calibration!$C:$C,8),
     C224="K",XLOOKUP("timeout_bino_fast",Calibration!$B:$B,Calibration!$C:$C,10),
     OR(C224="P",C224="Q",C224="R"),XLOOKUP("timeout_near_fast",Calibration!$B:$B,Calibration!$C:$C,16),
     TRUE,XLOOKUP("timeout_coarse_fast",Calibration!$B:$B,Calibration!$C:$C,24)
   ),
 AK224="Normal",
   IFS(
     OR(C224="B",C224="D"),XLOOKUP("timeout_coarse_normal",Calibration!$B:$B,Calibration!$C:$C,36),
     OR(C224="E",C224="F",C224="H",C224="I"),XLOOKUP("timeout_jcc_normal",Calibration!$B:$B,Calibration!$C:$C,14),
     OR(C224="G",C224="J"),XLOOKUP("timeout_duochrome_normal",Calibration!$B:$B,Calibration!$C:$C,10),
     C224="K",XLOOKUP("timeout_bino_normal",Calibration!$B:$B,Calibration!$C:$C,14),
     OR(C224="P",C224="Q",C224="R"),XLOOKUP("timeout_near_normal",Calibration!$B:$B,Calibration!$C:$C,22),
     TRUE,XLOOKUP("timeout_coarse_normal",Calibration!$B:$B,Calibration!$C:$C,36)
   ),
 TRUE,
   IFS(
     OR(C224="B",C224="D"),XLOOKUP("timeout_coarse_slow",Calibration!$B:$B,Calibration!$C:$C,48),
     OR(C224="E",C224="F",C224="H",C224="I"),XLOOKUP("timeout_jcc_slow",Calibration!$B:$B,Calibration!$C:$C,18),
     OR(C224="G",C224="J"),XLOOKUP("timeout_duochrome_slow",Calibration!$B:$B,Calibration!$C:$C,12),
     C224="K",XLOOKUP("timeout_bino_slow",Calibration!$B:$B,Calibration!$C:$C,18),
     OR(C224="P",C224="Q",C224="R"),XLOOKUP("timeout_near_slow",Calibration!$B:$B,Calibration!$C:$C,28),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AJ224=TRUE,"ESCALATE",
C224="A",
IF(OR(I224="NOT_READABLE",I224="BLURRY",AND(R224="20_20_20",I224="READABLE")),"B","A"),
C224="B",
IF(reEsc,"ESCALATE",IF(AY224&gt;=phaseMax,"ESCALATE",IF(AND(AV224&gt;=AW224,I224="READABLE"),"E","B"))),
C224="E",
IF(AY224&gt;=phaseMax,"ESCALATE",IF(OR(I224="SAME",I224="CANT_TELL",AD224&lt;axisTol),"F","E")),
C224="F",
IF(AY224&gt;=phaseMax,"ESCALATE",IF(AX224&gt;=powerSameN,"G","F")),
C224="G",
IF(AY224&gt;=phaseMax,"ESCALATE",IF(OR(AX224&gt;=duoEqualN,BB224&gt;=duoMax),"D","G")),
C224="D",
IF(leEsc,"ESCALATE",IF(AY224&gt;=phaseMax,"ESCALATE",IF(AND(AV224&gt;=AW224,I224="READABLE"),"H","D"))),
C224="H",
IF(AY224&gt;=phaseMax,"ESCALATE",IF(OR(I224="SAME",I224="CANT_TELL",AD224&lt;axisTol),"I","H")),
C224="I",
IF(AY224&gt;=phaseMax,"ESCALATE",IF(AX224&gt;=powerSameN,"J","I")),
C224="J",
IF(AY224&gt;=phaseMax,"ESCALATE",IF(OR(AX224&gt;=duoEqualN,BB224&gt;=duoMax),"K","J")),
C224="K",
IF(AY224&gt;=phaseMax,"ESCALATE",IF(AX224&gt;=binoSameN,IF(XLOOKUP($B224,Derived_Variables!$A:$A,Derived_Variables!$AJ:$AJ,FALSE)=TRUE,"P","END"),"K")),
C224="P",
IF(AY224&gt;=phaseMax,"ESCALATE",IF(OR(I224="READABLE",I224="SAME"),"Q","P")),
C224="Q",
IF(AY224&gt;=phaseMax,"ESCALATE",IF(OR(I224="READABLE",I224="SAME"),"R","Q")),
C224="R",
IF(AY224&gt;=phaseMax,"ESCALATE",IF(OR(I224=nearTarget,I224="SAME"),"END","R")),
TRUE,"END"
)))</f>
        <v/>
      </c>
      <c r="BD224" s="28" t="b">
        <f t="shared" si="19"/>
        <v>0</v>
      </c>
    </row>
    <row r="225" ht="15.75" customHeight="1">
      <c r="A225" s="28">
        <f t="shared" si="3"/>
        <v>224</v>
      </c>
      <c r="B225" s="28">
        <f t="shared" si="4"/>
        <v>6</v>
      </c>
      <c r="C225" s="28" t="str">
        <f t="shared" si="5"/>
        <v/>
      </c>
      <c r="D225" s="28" t="str">
        <f t="array" ref="D225">IF($I224="","",XLOOKUP(C225,FSM_State_Map!A:A,FSM_State_Map!B:B,""))</f>
        <v/>
      </c>
      <c r="E225" s="28" t="str">
        <f t="array" ref="E225">IF($I224="","",XLOOKUP(C225,FSM_State_Map!A:A,FSM_State_Map!C:C,""))</f>
        <v/>
      </c>
      <c r="F225" s="28" t="str">
        <f t="array" ref="F225">IF($I224="","",XLOOKUP(E225,Phase_UI_Map!A:A,Phase_UI_Map!B:B,""))</f>
        <v/>
      </c>
      <c r="G225" s="28" t="str">
        <f t="array" ref="G225">IF($I224="","",XLOOKUP(E225,Phase_UI_Map!A:A,Phase_UI_Map!C:C,""))</f>
        <v/>
      </c>
      <c r="H225" s="28" t="str">
        <f t="array" ref="H225">IF($I224="","",XLOOKUP(E225,Phase_UI_Map!A:A,Phase_UI_Map!D:D,""))</f>
        <v/>
      </c>
      <c r="I225" s="29"/>
      <c r="J225" s="28" t="str">
        <f>IFERROR(__xludf.DUMMYFUNCTION("IF($I224="""","""",IFERROR(INDEX(FILTER(Response_Lists!$B:$B,Response_Lists!$A:$A=$H225),1),""""))"),"")</f>
        <v/>
      </c>
      <c r="K225" s="28" t="str">
        <f>IFERROR(__xludf.DUMMYFUNCTION("IF($I224="""","""",IFERROR(INDEX(FILTER(Response_Lists!$B:$B,Response_Lists!$A:$A=$H225),2),""""))"),"")</f>
        <v/>
      </c>
      <c r="L225" s="28" t="str">
        <f>IFERROR(__xludf.DUMMYFUNCTION("IF($I224="""","""",IFERROR(INDEX(FILTER(Response_Lists!$B:$B,Response_Lists!$A:$A=$H225),3),""""))"),"")</f>
        <v/>
      </c>
      <c r="M225" s="28" t="str">
        <f>IFERROR(__xludf.DUMMYFUNCTION("IF($I224="""","""",IFERROR(INDEX(FILTER(Response_Lists!$B:$B,Response_Lists!$A:$A=$H225),4),""""))"),"")</f>
        <v/>
      </c>
      <c r="N225" s="28" t="str">
        <f>IFERROR(__xludf.DUMMYFUNCTION("IF($I224="""","""",IFERROR(INDEX(FILTER(Response_Lists!$B:$B,Response_Lists!$A:$A=$H225),5),""""))"),"")</f>
        <v/>
      </c>
      <c r="O225" s="28" t="str">
        <f>IFERROR(__xludf.DUMMYFUNCTION("IF($I224="""","""",IFERROR(INDEX(FILTER(Response_Lists!$B:$B,Response_Lists!$A:$A=$H225),6),""""))"),"")</f>
        <v/>
      </c>
      <c r="P225" s="28" t="str">
        <f t="shared" si="6"/>
        <v/>
      </c>
      <c r="Q225" s="28" t="str">
        <f t="array" ref="Q225">IF($I224="","",XLOOKUP(C225,FSM_State_Map!A:A,FSM_State_Map!D:D,""))</f>
        <v/>
      </c>
      <c r="R225" s="28" t="str">
        <f t="shared" si="7"/>
        <v/>
      </c>
      <c r="S225" s="28" t="str">
        <f t="array" ref="S225">IF($I224="","",
IF(
  AND(C225="B",C224&lt;&gt;"B"),
  XLOOKUP($B225,Derived_Variables!$A:$A,Derived_Variables!$K:$K,0)
  + XLOOKUP($B225,Derived_Variables!$A:$A,Derived_Variables!$AE:$AE,0),
  S224+AM224
))</f>
        <v/>
      </c>
      <c r="T225" s="28" t="str">
        <f t="shared" ref="T225:U225" si="460">IF($I224="","",T224+AN224)</f>
        <v/>
      </c>
      <c r="U225" s="28" t="str">
        <f t="shared" si="460"/>
        <v/>
      </c>
      <c r="V225" s="28" t="str">
        <f t="array" ref="V225">IF($I224="","",
IF(
  AND(C225="D",C224&lt;&gt;"D"),
  XLOOKUP($B225,Derived_Variables!$A:$A,Derived_Variables!$N:$N,0)
  + XLOOKUP($B225,Derived_Variables!$A:$A,Derived_Variables!$AE:$AE,0),
  V224+AP224
))</f>
        <v/>
      </c>
      <c r="W225" s="28" t="str">
        <f t="shared" ref="W225:X225" si="461">IF($I224="","",W224+AQ224)</f>
        <v/>
      </c>
      <c r="X225" s="28" t="str">
        <f t="shared" si="461"/>
        <v/>
      </c>
      <c r="Y225" s="28" t="str">
        <f t="array" ref="Y225">IF($I224="","",IF(AND(C225="P",C224&lt;&gt;"P"),IFERROR(XLOOKUP($B225,Lenso_Input!$A:$A,Lenso_Input!$E:$E,0),0),Y224+AS224))</f>
        <v/>
      </c>
      <c r="Z225" s="28" t="str">
        <f t="array" ref="Z225">IF($I224="","",IF(AND(C225="Q",C224&lt;&gt;"Q"),IFERROR(XLOOKUP($B225,Lenso_Input!$A:$A,Lenso_Input!$I:$I,0),0),Z224+AT224))</f>
        <v/>
      </c>
      <c r="AA225" s="28" t="str">
        <f t="array" ref="AA225">IF($I224="","",IF(XLOOKUP($B225,Derived_Variables!$A:$A,Derived_Variables!$R:$R,"6/6_target")="6/6_target","20_20_20","40_30_25"))</f>
        <v/>
      </c>
      <c r="AB225" s="28" t="str">
        <f t="array" ref="AB225">IF($I224="","",XLOOKUP(LOWER(XLOOKUP($B225,Derived_Variables!$A:$A,Derived_Variables!$T:$T,"Standard"))&amp;"_sph_step",Calibration!$B:$B,Calibration!$C:$C,0.25))</f>
        <v/>
      </c>
      <c r="AC225" s="28" t="str">
        <f t="array" ref="AC225">IF($I224="","",XLOOKUP(LOWER(XLOOKUP($B225,Derived_Variables!$A:$A,Derived_Variables!$T:$T,"Standard"))&amp;"_cyl_step",Calibration!$B:$B,Calibration!$C:$C,0.25))</f>
        <v/>
      </c>
      <c r="AD225" s="28" t="str">
        <f t="array" ref="AD225">IF($I224="","",IF(OR(C225="E",C225="H"),LET(startStep,XLOOKUP("axis_start_step",Calibration!$B:$B,Calibration!$C:$C,5),step1,XLOOKUP("axis_reversal_step_1",Calibration!$B:$B,Calibration!$C:$C,3),step2,XLOOKUP("axis_reversal_step_2",Calibration!$B:$B,Calibration!$C:$C,1),IF(OR(C224&lt;&gt;C225,AZ225="",AZ225="SAME",AZ225="CANT_TELL",I225="",I225="SAME",I225="CANT_TELL"),startStep,IF(OR(AND(AZ225="BETTER_1",I225="BETTER_2"),AND(AZ225="BETTER_2",I225="BETTER_1")),IF(AD224&gt;step1,step1,step2),AD224))),0))</f>
        <v/>
      </c>
      <c r="AE225" s="28" t="str">
        <f t="array" ref="AE225">IF($I224="","",XLOOKUP($B225,Derived_Variables!$A:$A,Derived_Variables!$AD:$AD,"No_Fog"))</f>
        <v/>
      </c>
      <c r="AF225" s="28" t="str">
        <f t="array" ref="AF225">IF($I224="","",XLOOKUP($B225,Derived_Variables!$A:$A,Derived_Variables!$AE:$AE,0))</f>
        <v/>
      </c>
      <c r="AG225" s="28" t="str">
        <f t="array" ref="AG225">IF($I224="","",XLOOKUP($B225,Derived_Variables!$A:$A,Derived_Variables!$AF:$AF,""))</f>
        <v/>
      </c>
      <c r="AH225" s="28" t="str">
        <f t="array" ref="AH225">IF($I224="","",XLOOKUP($B225,Derived_Variables!$A:$A,Derived_Variables!$AG:$AG,""))</f>
        <v/>
      </c>
      <c r="AI225" s="28" t="str">
        <f t="array" ref="AI225">IF($I224="","",XLOOKUP($B225,Derived_Variables!$A:$A,Derived_Variables!$AC:$AC,"Medium"))</f>
        <v/>
      </c>
      <c r="AJ225" s="28" t="str">
        <f t="array" ref="AJ225">IF($I224="","",XLOOKUP($B225,Derived_Variables!$A:$A,Derived_Variables!$Y:$Y,FALSE))</f>
        <v/>
      </c>
      <c r="AK225" s="28" t="str">
        <f t="array" ref="AK225">IF($I224="","",XLOOKUP($B225,Derived_Variables!$A:$A,Derived_Variables!$AA:$AA,"Normal"))</f>
        <v/>
      </c>
      <c r="AL225" s="28" t="str">
        <f t="array" ref="AL225">IF($I224="","",XLOOKUP($B225,Derived_Variables!$A:$A,Derived_Variables!$AB:$AB,"Normal"))</f>
        <v/>
      </c>
      <c r="AM225" s="28" t="str">
        <f t="array" ref="AM225">IF($I225="","",IFS(C225="B",IF(OR(I225="NOT_READABLE",I225="BLURRY"),-AB225,0),C225="G",IFS(I225="RED_CLEARER",XLOOKUP("duochrome_red_step",Calibration!$B:$B,Calibration!$C:$C,-0.25),I225="GREEN_CLEARER",XLOOKUP("duochrome_green_step",Calibration!$B:$B,Calibration!$C:$C,0.25),I225="EQUAL",IF(XLOOKUP($B225,Derived_Variables!$A:$A,Derived_Variables!$S:$S,"Neutral")="Undercorrect",XLOOKUP("undercorrect_step",Calibration!$B:$B,Calibration!$C:$C,0.25),IF(XLOOKUP($B225,Derived_Variables!$A:$A,Derived_Variables!$S:$S,"Neutral")="Overcorrect",-XLOOKUP("overcorrect_step",Calibration!$B:$B,Calibration!$C:$C,0.25),0)),TRUE,0),C225="K",IF(I225="TOP_CLEARER",XLOOKUP("bino_balance_step",Calibration!$B:$B,Calibration!$C:$C,0.25),0),TRUE,0))</f>
        <v/>
      </c>
      <c r="AN225" s="28" t="str">
        <f t="shared" si="10"/>
        <v/>
      </c>
      <c r="AO225" s="28" t="str">
        <f t="shared" si="11"/>
        <v/>
      </c>
      <c r="AP225" s="28" t="str">
        <f t="array" ref="AP225">IF($I225="","",IFS(C225="D",IF(OR(I225="NOT_READABLE",I225="BLURRY"),-AB225,0),C225="J",IFS(I225="RED_CLEARER",XLOOKUP("duochrome_red_step",Calibration!$B:$B,Calibration!$C:$C,-0.25),I225="GREEN_CLEARER",XLOOKUP("duochrome_green_step",Calibration!$B:$B,Calibration!$C:$C,0.25),I225="EQUAL",IF(XLOOKUP($B225,Derived_Variables!$A:$A,Derived_Variables!$S:$S,"Neutral")="Undercorrect",XLOOKUP("undercorrect_step",Calibration!$B:$B,Calibration!$C:$C,0.25),IF(XLOOKUP($B225,Derived_Variables!$A:$A,Derived_Variables!$S:$S,"Neutral")="Overcorrect",-XLOOKUP("overcorrect_step",Calibration!$B:$B,Calibration!$C:$C,0.25),0)),TRUE,0),C225="K",IF(I225="BOTTOM_CLEARER",XLOOKUP("bino_balance_step",Calibration!$B:$B,Calibration!$C:$C,0.25),0),TRUE,0))</f>
        <v/>
      </c>
      <c r="AQ225" s="28" t="str">
        <f t="shared" si="12"/>
        <v/>
      </c>
      <c r="AR225" s="28" t="str">
        <f t="shared" si="13"/>
        <v/>
      </c>
      <c r="AS225" s="28" t="str">
        <f t="array" ref="AS225">IF($I225="","",IF(C225="P",IF(OR(I225="NOT_READABLE",I225="BLURRY"),XLOOKUP("near_add_step",Calibration!$B:$B,Calibration!$C:$C,0.25),0),IF(C225="R",IF(I225="NOT_CLEAR",XLOOKUP("near_add_step",Calibration!$B:$B,Calibration!$C:$C,0.25),0),0)))</f>
        <v/>
      </c>
      <c r="AT225" s="28" t="str">
        <f t="array" ref="AT225">IF($I225="","",IF(C225="Q",IF(OR(I225="NOT_READABLE",I225="BLURRY"),XLOOKUP("near_add_step",Calibration!$B:$B,Calibration!$C:$C,0.25),0),IF(C225="R",IF(I225="NOT_CLEAR",XLOOKUP("near_add_step",Calibration!$B:$B,Calibration!$C:$C,0.25),0),0)))</f>
        <v/>
      </c>
      <c r="AU225" s="28" t="str">
        <f t="array" ref="AU225">IF($I225="","",IF(G225="SNELLEN_FEET",IF(I225="READABLE",IFERROR(XLOOKUP(XLOOKUP(R225,Chart_Scale_Distance!B:B,Chart_Scale_Distance!A:A)+1,Chart_Scale_Distance!A:A,Chart_Scale_Distance!B:B),R225),R225),R225))</f>
        <v/>
      </c>
      <c r="AV225" s="28" t="str">
        <f t="array" ref="AV225">IF($I224="","",IFERROR(XLOOKUP(R225,Chart_Scale_Distance!$B:$B,Chart_Scale_Distance!$A:$A,""),""))</f>
        <v/>
      </c>
      <c r="AW225" s="28" t="str">
        <f t="array" ref="AW225">IF($I224="","",IFERROR(XLOOKUP(AA225,Chart_Scale_Distance!$B:$B,Chart_Scale_Distance!$A:$A,""),""))</f>
        <v/>
      </c>
      <c r="AX225" s="28" t="str">
        <f t="shared" si="14"/>
        <v/>
      </c>
      <c r="AY225" s="28" t="str">
        <f t="shared" si="15"/>
        <v/>
      </c>
      <c r="AZ225" s="28" t="str">
        <f t="shared" si="16"/>
        <v/>
      </c>
      <c r="BA225" s="28" t="str">
        <f t="shared" si="17"/>
        <v/>
      </c>
      <c r="BB225" s="28" t="str">
        <f t="shared" si="18"/>
        <v/>
      </c>
      <c r="BC225" s="28" t="str">
        <f t="array" ref="BC225">IF($I225="","",LET(
conf,AI225,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duoMax,XLOOKUP($B225,Derived_Variables!$A:$A,Derived_Variables!$AI:$AI,4),
axisTol,XLOOKUP($B225,Derived_Variables!$A:$A,Derived_Variables!$W:$W,1),
maxStart,XLOOKUP($B225,Derived_Variables!$A:$A,Derived_Variables!$U:$U,1.25),
maxAR,XLOOKUP($B225,Derived_Variables!$A:$A,Derived_Variables!$V:$V,3),
anom,XLOOKUP($B225,Derived_Variables!$A:$A,Derived_Variables!$Z:$Z,FALSE),
reStart,XLOOKUP($B225,Derived_Variables!$A:$A,Derived_Variables!$K:$K,0),
leStart,XLOOKUP($B225,Derived_Variables!$A:$A,Derived_Variables!$N:$N,0),
reAR,XLOOKUP($B225,AR_Input!$A:$A,AR_Input!$B:$B,reStart),
leAR,XLOOKUP($B225,AR_Input!$A:$A,AR_Input!$E:$E,leStart),
reEsc,AND(anom,OR(ABS((S225+AM225)-reStart)&gt;maxStart,ABS((S225+AM225)-reAR)&gt;maxAR)),
leEsc,AND(anom,OR(ABS((V225+AP225)-leStart)&gt;maxStart,ABS((V225+AP225)-leAR)&gt;maxAR)),
phaseMax,IFS(
 AK225="Fast",
   IFS(
     OR(C225="B",C225="D"),XLOOKUP("timeout_coarse_fast",Calibration!$B:$B,Calibration!$C:$C,24),
     OR(C225="E",C225="F",C225="H",C225="I"),XLOOKUP("timeout_jcc_fast",Calibration!$B:$B,Calibration!$C:$C,10),
     OR(C225="G",C225="J"),XLOOKUP("timeout_duochrome_fast",Calibration!$B:$B,Calibration!$C:$C,8),
     C225="K",XLOOKUP("timeout_bino_fast",Calibration!$B:$B,Calibration!$C:$C,10),
     OR(C225="P",C225="Q",C225="R"),XLOOKUP("timeout_near_fast",Calibration!$B:$B,Calibration!$C:$C,16),
     TRUE,XLOOKUP("timeout_coarse_fast",Calibration!$B:$B,Calibration!$C:$C,24)
   ),
 AK225="Normal",
   IFS(
     OR(C225="B",C225="D"),XLOOKUP("timeout_coarse_normal",Calibration!$B:$B,Calibration!$C:$C,36),
     OR(C225="E",C225="F",C225="H",C225="I"),XLOOKUP("timeout_jcc_normal",Calibration!$B:$B,Calibration!$C:$C,14),
     OR(C225="G",C225="J"),XLOOKUP("timeout_duochrome_normal",Calibration!$B:$B,Calibration!$C:$C,10),
     C225="K",XLOOKUP("timeout_bino_normal",Calibration!$B:$B,Calibration!$C:$C,14),
     OR(C225="P",C225="Q",C225="R"),XLOOKUP("timeout_near_normal",Calibration!$B:$B,Calibration!$C:$C,22),
     TRUE,XLOOKUP("timeout_coarse_normal",Calibration!$B:$B,Calibration!$C:$C,36)
   ),
 TRUE,
   IFS(
     OR(C225="B",C225="D"),XLOOKUP("timeout_coarse_slow",Calibration!$B:$B,Calibration!$C:$C,48),
     OR(C225="E",C225="F",C225="H",C225="I"),XLOOKUP("timeout_jcc_slow",Calibration!$B:$B,Calibration!$C:$C,18),
     OR(C225="G",C225="J"),XLOOKUP("timeout_duochrome_slow",Calibration!$B:$B,Calibration!$C:$C,12),
     C225="K",XLOOKUP("timeout_bino_slow",Calibration!$B:$B,Calibration!$C:$C,18),
     OR(C225="P",C225="Q",C225="R"),XLOOKUP("timeout_near_slow",Calibration!$B:$B,Calibration!$C:$C,28),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AJ225=TRUE,"ESCALATE",
C225="A",
IF(OR(I225="NOT_READABLE",I225="BLURRY",AND(R225="20_20_20",I225="READABLE")),"B","A"),
C225="B",
IF(reEsc,"ESCALATE",IF(AY225&gt;=phaseMax,"ESCALATE",IF(AND(AV225&gt;=AW225,I225="READABLE"),"E","B"))),
C225="E",
IF(AY225&gt;=phaseMax,"ESCALATE",IF(OR(I225="SAME",I225="CANT_TELL",AD225&lt;axisTol),"F","E")),
C225="F",
IF(AY225&gt;=phaseMax,"ESCALATE",IF(AX225&gt;=powerSameN,"G","F")),
C225="G",
IF(AY225&gt;=phaseMax,"ESCALATE",IF(OR(AX225&gt;=duoEqualN,BB225&gt;=duoMax),"D","G")),
C225="D",
IF(leEsc,"ESCALATE",IF(AY225&gt;=phaseMax,"ESCALATE",IF(AND(AV225&gt;=AW225,I225="READABLE"),"H","D"))),
C225="H",
IF(AY225&gt;=phaseMax,"ESCALATE",IF(OR(I225="SAME",I225="CANT_TELL",AD225&lt;axisTol),"I","H")),
C225="I",
IF(AY225&gt;=phaseMax,"ESCALATE",IF(AX225&gt;=powerSameN,"J","I")),
C225="J",
IF(AY225&gt;=phaseMax,"ESCALATE",IF(OR(AX225&gt;=duoEqualN,BB225&gt;=duoMax),"K","J")),
C225="K",
IF(AY225&gt;=phaseMax,"ESCALATE",IF(AX225&gt;=binoSameN,IF(XLOOKUP($B225,Derived_Variables!$A:$A,Derived_Variables!$AJ:$AJ,FALSE)=TRUE,"P","END"),"K")),
C225="P",
IF(AY225&gt;=phaseMax,"ESCALATE",IF(OR(I225="READABLE",I225="SAME"),"Q","P")),
C225="Q",
IF(AY225&gt;=phaseMax,"ESCALATE",IF(OR(I225="READABLE",I225="SAME"),"R","Q")),
C225="R",
IF(AY225&gt;=phaseMax,"ESCALATE",IF(OR(I225=nearTarget,I225="SAME"),"END","R")),
TRUE,"END"
)))</f>
        <v/>
      </c>
      <c r="BD225" s="28" t="b">
        <f t="shared" si="19"/>
        <v>0</v>
      </c>
    </row>
    <row r="226" ht="15.75" customHeight="1">
      <c r="A226" s="28">
        <f t="shared" si="3"/>
        <v>225</v>
      </c>
      <c r="B226" s="28">
        <f t="shared" si="4"/>
        <v>6</v>
      </c>
      <c r="C226" s="28" t="str">
        <f t="shared" si="5"/>
        <v/>
      </c>
      <c r="D226" s="28" t="str">
        <f t="array" ref="D226">IF($I225="","",XLOOKUP(C226,FSM_State_Map!A:A,FSM_State_Map!B:B,""))</f>
        <v/>
      </c>
      <c r="E226" s="28" t="str">
        <f t="array" ref="E226">IF($I225="","",XLOOKUP(C226,FSM_State_Map!A:A,FSM_State_Map!C:C,""))</f>
        <v/>
      </c>
      <c r="F226" s="28" t="str">
        <f t="array" ref="F226">IF($I225="","",XLOOKUP(E226,Phase_UI_Map!A:A,Phase_UI_Map!B:B,""))</f>
        <v/>
      </c>
      <c r="G226" s="28" t="str">
        <f t="array" ref="G226">IF($I225="","",XLOOKUP(E226,Phase_UI_Map!A:A,Phase_UI_Map!C:C,""))</f>
        <v/>
      </c>
      <c r="H226" s="28" t="str">
        <f t="array" ref="H226">IF($I225="","",XLOOKUP(E226,Phase_UI_Map!A:A,Phase_UI_Map!D:D,""))</f>
        <v/>
      </c>
      <c r="I226" s="29"/>
      <c r="J226" s="28" t="str">
        <f>IFERROR(__xludf.DUMMYFUNCTION("IF($I225="""","""",IFERROR(INDEX(FILTER(Response_Lists!$B:$B,Response_Lists!$A:$A=$H226),1),""""))"),"")</f>
        <v/>
      </c>
      <c r="K226" s="28" t="str">
        <f>IFERROR(__xludf.DUMMYFUNCTION("IF($I225="""","""",IFERROR(INDEX(FILTER(Response_Lists!$B:$B,Response_Lists!$A:$A=$H226),2),""""))"),"")</f>
        <v/>
      </c>
      <c r="L226" s="28" t="str">
        <f>IFERROR(__xludf.DUMMYFUNCTION("IF($I225="""","""",IFERROR(INDEX(FILTER(Response_Lists!$B:$B,Response_Lists!$A:$A=$H226),3),""""))"),"")</f>
        <v/>
      </c>
      <c r="M226" s="28" t="str">
        <f>IFERROR(__xludf.DUMMYFUNCTION("IF($I225="""","""",IFERROR(INDEX(FILTER(Response_Lists!$B:$B,Response_Lists!$A:$A=$H226),4),""""))"),"")</f>
        <v/>
      </c>
      <c r="N226" s="28" t="str">
        <f>IFERROR(__xludf.DUMMYFUNCTION("IF($I225="""","""",IFERROR(INDEX(FILTER(Response_Lists!$B:$B,Response_Lists!$A:$A=$H226),5),""""))"),"")</f>
        <v/>
      </c>
      <c r="O226" s="28" t="str">
        <f>IFERROR(__xludf.DUMMYFUNCTION("IF($I225="""","""",IFERROR(INDEX(FILTER(Response_Lists!$B:$B,Response_Lists!$A:$A=$H226),6),""""))"),"")</f>
        <v/>
      </c>
      <c r="P226" s="28" t="str">
        <f t="shared" si="6"/>
        <v/>
      </c>
      <c r="Q226" s="28" t="str">
        <f t="array" ref="Q226">IF($I225="","",XLOOKUP(C226,FSM_State_Map!A:A,FSM_State_Map!D:D,""))</f>
        <v/>
      </c>
      <c r="R226" s="28" t="str">
        <f t="shared" si="7"/>
        <v/>
      </c>
      <c r="S226" s="28" t="str">
        <f t="array" ref="S226">IF($I225="","",
IF(
  AND(C226="B",C225&lt;&gt;"B"),
  XLOOKUP($B226,Derived_Variables!$A:$A,Derived_Variables!$K:$K,0)
  + XLOOKUP($B226,Derived_Variables!$A:$A,Derived_Variables!$AE:$AE,0),
  S225+AM225
))</f>
        <v/>
      </c>
      <c r="T226" s="28" t="str">
        <f t="shared" ref="T226:U226" si="462">IF($I225="","",T225+AN225)</f>
        <v/>
      </c>
      <c r="U226" s="28" t="str">
        <f t="shared" si="462"/>
        <v/>
      </c>
      <c r="V226" s="28" t="str">
        <f t="array" ref="V226">IF($I225="","",
IF(
  AND(C226="D",C225&lt;&gt;"D"),
  XLOOKUP($B226,Derived_Variables!$A:$A,Derived_Variables!$N:$N,0)
  + XLOOKUP($B226,Derived_Variables!$A:$A,Derived_Variables!$AE:$AE,0),
  V225+AP225
))</f>
        <v/>
      </c>
      <c r="W226" s="28" t="str">
        <f t="shared" ref="W226:X226" si="463">IF($I225="","",W225+AQ225)</f>
        <v/>
      </c>
      <c r="X226" s="28" t="str">
        <f t="shared" si="463"/>
        <v/>
      </c>
      <c r="Y226" s="28" t="str">
        <f t="array" ref="Y226">IF($I225="","",IF(AND(C226="P",C225&lt;&gt;"P"),IFERROR(XLOOKUP($B226,Lenso_Input!$A:$A,Lenso_Input!$E:$E,0),0),Y225+AS225))</f>
        <v/>
      </c>
      <c r="Z226" s="28" t="str">
        <f t="array" ref="Z226">IF($I225="","",IF(AND(C226="Q",C225&lt;&gt;"Q"),IFERROR(XLOOKUP($B226,Lenso_Input!$A:$A,Lenso_Input!$I:$I,0),0),Z225+AT225))</f>
        <v/>
      </c>
      <c r="AA226" s="28" t="str">
        <f t="array" ref="AA226">IF($I225="","",IF(XLOOKUP($B226,Derived_Variables!$A:$A,Derived_Variables!$R:$R,"6/6_target")="6/6_target","20_20_20","40_30_25"))</f>
        <v/>
      </c>
      <c r="AB226" s="28" t="str">
        <f t="array" ref="AB226">IF($I225="","",XLOOKUP(LOWER(XLOOKUP($B226,Derived_Variables!$A:$A,Derived_Variables!$T:$T,"Standard"))&amp;"_sph_step",Calibration!$B:$B,Calibration!$C:$C,0.25))</f>
        <v/>
      </c>
      <c r="AC226" s="28" t="str">
        <f t="array" ref="AC226">IF($I225="","",XLOOKUP(LOWER(XLOOKUP($B226,Derived_Variables!$A:$A,Derived_Variables!$T:$T,"Standard"))&amp;"_cyl_step",Calibration!$B:$B,Calibration!$C:$C,0.25))</f>
        <v/>
      </c>
      <c r="AD226" s="28" t="str">
        <f t="array" ref="AD226">IF($I225="","",IF(OR(C226="E",C226="H"),LET(startStep,XLOOKUP("axis_start_step",Calibration!$B:$B,Calibration!$C:$C,5),step1,XLOOKUP("axis_reversal_step_1",Calibration!$B:$B,Calibration!$C:$C,3),step2,XLOOKUP("axis_reversal_step_2",Calibration!$B:$B,Calibration!$C:$C,1),IF(OR(C225&lt;&gt;C226,AZ226="",AZ226="SAME",AZ226="CANT_TELL",I226="",I226="SAME",I226="CANT_TELL"),startStep,IF(OR(AND(AZ226="BETTER_1",I226="BETTER_2"),AND(AZ226="BETTER_2",I226="BETTER_1")),IF(AD225&gt;step1,step1,step2),AD225))),0))</f>
        <v/>
      </c>
      <c r="AE226" s="28" t="str">
        <f t="array" ref="AE226">IF($I225="","",XLOOKUP($B226,Derived_Variables!$A:$A,Derived_Variables!$AD:$AD,"No_Fog"))</f>
        <v/>
      </c>
      <c r="AF226" s="28" t="str">
        <f t="array" ref="AF226">IF($I225="","",XLOOKUP($B226,Derived_Variables!$A:$A,Derived_Variables!$AE:$AE,0))</f>
        <v/>
      </c>
      <c r="AG226" s="28" t="str">
        <f t="array" ref="AG226">IF($I225="","",XLOOKUP($B226,Derived_Variables!$A:$A,Derived_Variables!$AF:$AF,""))</f>
        <v/>
      </c>
      <c r="AH226" s="28" t="str">
        <f t="array" ref="AH226">IF($I225="","",XLOOKUP($B226,Derived_Variables!$A:$A,Derived_Variables!$AG:$AG,""))</f>
        <v/>
      </c>
      <c r="AI226" s="28" t="str">
        <f t="array" ref="AI226">IF($I225="","",XLOOKUP($B226,Derived_Variables!$A:$A,Derived_Variables!$AC:$AC,"Medium"))</f>
        <v/>
      </c>
      <c r="AJ226" s="28" t="str">
        <f t="array" ref="AJ226">IF($I225="","",XLOOKUP($B226,Derived_Variables!$A:$A,Derived_Variables!$Y:$Y,FALSE))</f>
        <v/>
      </c>
      <c r="AK226" s="28" t="str">
        <f t="array" ref="AK226">IF($I225="","",XLOOKUP($B226,Derived_Variables!$A:$A,Derived_Variables!$AA:$AA,"Normal"))</f>
        <v/>
      </c>
      <c r="AL226" s="28" t="str">
        <f t="array" ref="AL226">IF($I225="","",XLOOKUP($B226,Derived_Variables!$A:$A,Derived_Variables!$AB:$AB,"Normal"))</f>
        <v/>
      </c>
      <c r="AM226" s="28" t="str">
        <f t="array" ref="AM226">IF($I226="","",IFS(C226="B",IF(OR(I226="NOT_READABLE",I226="BLURRY"),-AB226,0),C226="G",IFS(I226="RED_CLEARER",XLOOKUP("duochrome_red_step",Calibration!$B:$B,Calibration!$C:$C,-0.25),I226="GREEN_CLEARER",XLOOKUP("duochrome_green_step",Calibration!$B:$B,Calibration!$C:$C,0.25),I226="EQUAL",IF(XLOOKUP($B226,Derived_Variables!$A:$A,Derived_Variables!$S:$S,"Neutral")="Undercorrect",XLOOKUP("undercorrect_step",Calibration!$B:$B,Calibration!$C:$C,0.25),IF(XLOOKUP($B226,Derived_Variables!$A:$A,Derived_Variables!$S:$S,"Neutral")="Overcorrect",-XLOOKUP("overcorrect_step",Calibration!$B:$B,Calibration!$C:$C,0.25),0)),TRUE,0),C226="K",IF(I226="TOP_CLEARER",XLOOKUP("bino_balance_step",Calibration!$B:$B,Calibration!$C:$C,0.25),0),TRUE,0))</f>
        <v/>
      </c>
      <c r="AN226" s="28" t="str">
        <f t="shared" si="10"/>
        <v/>
      </c>
      <c r="AO226" s="28" t="str">
        <f t="shared" si="11"/>
        <v/>
      </c>
      <c r="AP226" s="28" t="str">
        <f t="array" ref="AP226">IF($I226="","",IFS(C226="D",IF(OR(I226="NOT_READABLE",I226="BLURRY"),-AB226,0),C226="J",IFS(I226="RED_CLEARER",XLOOKUP("duochrome_red_step",Calibration!$B:$B,Calibration!$C:$C,-0.25),I226="GREEN_CLEARER",XLOOKUP("duochrome_green_step",Calibration!$B:$B,Calibration!$C:$C,0.25),I226="EQUAL",IF(XLOOKUP($B226,Derived_Variables!$A:$A,Derived_Variables!$S:$S,"Neutral")="Undercorrect",XLOOKUP("undercorrect_step",Calibration!$B:$B,Calibration!$C:$C,0.25),IF(XLOOKUP($B226,Derived_Variables!$A:$A,Derived_Variables!$S:$S,"Neutral")="Overcorrect",-XLOOKUP("overcorrect_step",Calibration!$B:$B,Calibration!$C:$C,0.25),0)),TRUE,0),C226="K",IF(I226="BOTTOM_CLEARER",XLOOKUP("bino_balance_step",Calibration!$B:$B,Calibration!$C:$C,0.25),0),TRUE,0))</f>
        <v/>
      </c>
      <c r="AQ226" s="28" t="str">
        <f t="shared" si="12"/>
        <v/>
      </c>
      <c r="AR226" s="28" t="str">
        <f t="shared" si="13"/>
        <v/>
      </c>
      <c r="AS226" s="28" t="str">
        <f t="array" ref="AS226">IF($I226="","",IF(C226="P",IF(OR(I226="NOT_READABLE",I226="BLURRY"),XLOOKUP("near_add_step",Calibration!$B:$B,Calibration!$C:$C,0.25),0),IF(C226="R",IF(I226="NOT_CLEAR",XLOOKUP("near_add_step",Calibration!$B:$B,Calibration!$C:$C,0.25),0),0)))</f>
        <v/>
      </c>
      <c r="AT226" s="28" t="str">
        <f t="array" ref="AT226">IF($I226="","",IF(C226="Q",IF(OR(I226="NOT_READABLE",I226="BLURRY"),XLOOKUP("near_add_step",Calibration!$B:$B,Calibration!$C:$C,0.25),0),IF(C226="R",IF(I226="NOT_CLEAR",XLOOKUP("near_add_step",Calibration!$B:$B,Calibration!$C:$C,0.25),0),0)))</f>
        <v/>
      </c>
      <c r="AU226" s="28" t="str">
        <f t="array" ref="AU226">IF($I226="","",IF(G226="SNELLEN_FEET",IF(I226="READABLE",IFERROR(XLOOKUP(XLOOKUP(R226,Chart_Scale_Distance!B:B,Chart_Scale_Distance!A:A)+1,Chart_Scale_Distance!A:A,Chart_Scale_Distance!B:B),R226),R226),R226))</f>
        <v/>
      </c>
      <c r="AV226" s="28" t="str">
        <f t="array" ref="AV226">IF($I225="","",IFERROR(XLOOKUP(R226,Chart_Scale_Distance!$B:$B,Chart_Scale_Distance!$A:$A,""),""))</f>
        <v/>
      </c>
      <c r="AW226" s="28" t="str">
        <f t="array" ref="AW226">IF($I225="","",IFERROR(XLOOKUP(AA226,Chart_Scale_Distance!$B:$B,Chart_Scale_Distance!$A:$A,""),""))</f>
        <v/>
      </c>
      <c r="AX226" s="28" t="str">
        <f t="shared" si="14"/>
        <v/>
      </c>
      <c r="AY226" s="28" t="str">
        <f t="shared" si="15"/>
        <v/>
      </c>
      <c r="AZ226" s="28" t="str">
        <f t="shared" si="16"/>
        <v/>
      </c>
      <c r="BA226" s="28" t="str">
        <f t="shared" si="17"/>
        <v/>
      </c>
      <c r="BB226" s="28" t="str">
        <f t="shared" si="18"/>
        <v/>
      </c>
      <c r="BC226" s="28" t="str">
        <f t="array" ref="BC226">IF($I226="","",LET(
conf,AI226,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duoMax,XLOOKUP($B226,Derived_Variables!$A:$A,Derived_Variables!$AI:$AI,4),
axisTol,XLOOKUP($B226,Derived_Variables!$A:$A,Derived_Variables!$W:$W,1),
maxStart,XLOOKUP($B226,Derived_Variables!$A:$A,Derived_Variables!$U:$U,1.25),
maxAR,XLOOKUP($B226,Derived_Variables!$A:$A,Derived_Variables!$V:$V,3),
anom,XLOOKUP($B226,Derived_Variables!$A:$A,Derived_Variables!$Z:$Z,FALSE),
reStart,XLOOKUP($B226,Derived_Variables!$A:$A,Derived_Variables!$K:$K,0),
leStart,XLOOKUP($B226,Derived_Variables!$A:$A,Derived_Variables!$N:$N,0),
reAR,XLOOKUP($B226,AR_Input!$A:$A,AR_Input!$B:$B,reStart),
leAR,XLOOKUP($B226,AR_Input!$A:$A,AR_Input!$E:$E,leStart),
reEsc,AND(anom,OR(ABS((S226+AM226)-reStart)&gt;maxStart,ABS((S226+AM226)-reAR)&gt;maxAR)),
leEsc,AND(anom,OR(ABS((V226+AP226)-leStart)&gt;maxStart,ABS((V226+AP226)-leAR)&gt;maxAR)),
phaseMax,IFS(
 AK226="Fast",
   IFS(
     OR(C226="B",C226="D"),XLOOKUP("timeout_coarse_fast",Calibration!$B:$B,Calibration!$C:$C,24),
     OR(C226="E",C226="F",C226="H",C226="I"),XLOOKUP("timeout_jcc_fast",Calibration!$B:$B,Calibration!$C:$C,10),
     OR(C226="G",C226="J"),XLOOKUP("timeout_duochrome_fast",Calibration!$B:$B,Calibration!$C:$C,8),
     C226="K",XLOOKUP("timeout_bino_fast",Calibration!$B:$B,Calibration!$C:$C,10),
     OR(C226="P",C226="Q",C226="R"),XLOOKUP("timeout_near_fast",Calibration!$B:$B,Calibration!$C:$C,16),
     TRUE,XLOOKUP("timeout_coarse_fast",Calibration!$B:$B,Calibration!$C:$C,24)
   ),
 AK226="Normal",
   IFS(
     OR(C226="B",C226="D"),XLOOKUP("timeout_coarse_normal",Calibration!$B:$B,Calibration!$C:$C,36),
     OR(C226="E",C226="F",C226="H",C226="I"),XLOOKUP("timeout_jcc_normal",Calibration!$B:$B,Calibration!$C:$C,14),
     OR(C226="G",C226="J"),XLOOKUP("timeout_duochrome_normal",Calibration!$B:$B,Calibration!$C:$C,10),
     C226="K",XLOOKUP("timeout_bino_normal",Calibration!$B:$B,Calibration!$C:$C,14),
     OR(C226="P",C226="Q",C226="R"),XLOOKUP("timeout_near_normal",Calibration!$B:$B,Calibration!$C:$C,22),
     TRUE,XLOOKUP("timeout_coarse_normal",Calibration!$B:$B,Calibration!$C:$C,36)
   ),
 TRUE,
   IFS(
     OR(C226="B",C226="D"),XLOOKUP("timeout_coarse_slow",Calibration!$B:$B,Calibration!$C:$C,48),
     OR(C226="E",C226="F",C226="H",C226="I"),XLOOKUP("timeout_jcc_slow",Calibration!$B:$B,Calibration!$C:$C,18),
     OR(C226="G",C226="J"),XLOOKUP("timeout_duochrome_slow",Calibration!$B:$B,Calibration!$C:$C,12),
     C226="K",XLOOKUP("timeout_bino_slow",Calibration!$B:$B,Calibration!$C:$C,18),
     OR(C226="P",C226="Q",C226="R"),XLOOKUP("timeout_near_slow",Calibration!$B:$B,Calibration!$C:$C,28),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AJ226=TRUE,"ESCALATE",
C226="A",
IF(OR(I226="NOT_READABLE",I226="BLURRY",AND(R226="20_20_20",I226="READABLE")),"B","A"),
C226="B",
IF(reEsc,"ESCALATE",IF(AY226&gt;=phaseMax,"ESCALATE",IF(AND(AV226&gt;=AW226,I226="READABLE"),"E","B"))),
C226="E",
IF(AY226&gt;=phaseMax,"ESCALATE",IF(OR(I226="SAME",I226="CANT_TELL",AD226&lt;axisTol),"F","E")),
C226="F",
IF(AY226&gt;=phaseMax,"ESCALATE",IF(AX226&gt;=powerSameN,"G","F")),
C226="G",
IF(AY226&gt;=phaseMax,"ESCALATE",IF(OR(AX226&gt;=duoEqualN,BB226&gt;=duoMax),"D","G")),
C226="D",
IF(leEsc,"ESCALATE",IF(AY226&gt;=phaseMax,"ESCALATE",IF(AND(AV226&gt;=AW226,I226="READABLE"),"H","D"))),
C226="H",
IF(AY226&gt;=phaseMax,"ESCALATE",IF(OR(I226="SAME",I226="CANT_TELL",AD226&lt;axisTol),"I","H")),
C226="I",
IF(AY226&gt;=phaseMax,"ESCALATE",IF(AX226&gt;=powerSameN,"J","I")),
C226="J",
IF(AY226&gt;=phaseMax,"ESCALATE",IF(OR(AX226&gt;=duoEqualN,BB226&gt;=duoMax),"K","J")),
C226="K",
IF(AY226&gt;=phaseMax,"ESCALATE",IF(AX226&gt;=binoSameN,IF(XLOOKUP($B226,Derived_Variables!$A:$A,Derived_Variables!$AJ:$AJ,FALSE)=TRUE,"P","END"),"K")),
C226="P",
IF(AY226&gt;=phaseMax,"ESCALATE",IF(OR(I226="READABLE",I226="SAME"),"Q","P")),
C226="Q",
IF(AY226&gt;=phaseMax,"ESCALATE",IF(OR(I226="READABLE",I226="SAME"),"R","Q")),
C226="R",
IF(AY226&gt;=phaseMax,"ESCALATE",IF(OR(I226=nearTarget,I226="SAME"),"END","R")),
TRUE,"END"
)))</f>
        <v/>
      </c>
      <c r="BD226" s="28" t="b">
        <f t="shared" si="19"/>
        <v>0</v>
      </c>
    </row>
    <row r="227" ht="15.75" customHeight="1">
      <c r="A227" s="28">
        <f t="shared" si="3"/>
        <v>226</v>
      </c>
      <c r="B227" s="28">
        <f t="shared" si="4"/>
        <v>6</v>
      </c>
      <c r="C227" s="28" t="str">
        <f t="shared" si="5"/>
        <v/>
      </c>
      <c r="D227" s="28" t="str">
        <f t="array" ref="D227">IF($I226="","",XLOOKUP(C227,FSM_State_Map!A:A,FSM_State_Map!B:B,""))</f>
        <v/>
      </c>
      <c r="E227" s="28" t="str">
        <f t="array" ref="E227">IF($I226="","",XLOOKUP(C227,FSM_State_Map!A:A,FSM_State_Map!C:C,""))</f>
        <v/>
      </c>
      <c r="F227" s="28" t="str">
        <f t="array" ref="F227">IF($I226="","",XLOOKUP(E227,Phase_UI_Map!A:A,Phase_UI_Map!B:B,""))</f>
        <v/>
      </c>
      <c r="G227" s="28" t="str">
        <f t="array" ref="G227">IF($I226="","",XLOOKUP(E227,Phase_UI_Map!A:A,Phase_UI_Map!C:C,""))</f>
        <v/>
      </c>
      <c r="H227" s="28" t="str">
        <f t="array" ref="H227">IF($I226="","",XLOOKUP(E227,Phase_UI_Map!A:A,Phase_UI_Map!D:D,""))</f>
        <v/>
      </c>
      <c r="I227" s="29"/>
      <c r="J227" s="28" t="str">
        <f>IFERROR(__xludf.DUMMYFUNCTION("IF($I226="""","""",IFERROR(INDEX(FILTER(Response_Lists!$B:$B,Response_Lists!$A:$A=$H227),1),""""))"),"")</f>
        <v/>
      </c>
      <c r="K227" s="28" t="str">
        <f>IFERROR(__xludf.DUMMYFUNCTION("IF($I226="""","""",IFERROR(INDEX(FILTER(Response_Lists!$B:$B,Response_Lists!$A:$A=$H227),2),""""))"),"")</f>
        <v/>
      </c>
      <c r="L227" s="28" t="str">
        <f>IFERROR(__xludf.DUMMYFUNCTION("IF($I226="""","""",IFERROR(INDEX(FILTER(Response_Lists!$B:$B,Response_Lists!$A:$A=$H227),3),""""))"),"")</f>
        <v/>
      </c>
      <c r="M227" s="28" t="str">
        <f>IFERROR(__xludf.DUMMYFUNCTION("IF($I226="""","""",IFERROR(INDEX(FILTER(Response_Lists!$B:$B,Response_Lists!$A:$A=$H227),4),""""))"),"")</f>
        <v/>
      </c>
      <c r="N227" s="28" t="str">
        <f>IFERROR(__xludf.DUMMYFUNCTION("IF($I226="""","""",IFERROR(INDEX(FILTER(Response_Lists!$B:$B,Response_Lists!$A:$A=$H227),5),""""))"),"")</f>
        <v/>
      </c>
      <c r="O227" s="28" t="str">
        <f>IFERROR(__xludf.DUMMYFUNCTION("IF($I226="""","""",IFERROR(INDEX(FILTER(Response_Lists!$B:$B,Response_Lists!$A:$A=$H227),6),""""))"),"")</f>
        <v/>
      </c>
      <c r="P227" s="28" t="str">
        <f t="shared" si="6"/>
        <v/>
      </c>
      <c r="Q227" s="28" t="str">
        <f t="array" ref="Q227">IF($I226="","",XLOOKUP(C227,FSM_State_Map!A:A,FSM_State_Map!D:D,""))</f>
        <v/>
      </c>
      <c r="R227" s="28" t="str">
        <f t="shared" si="7"/>
        <v/>
      </c>
      <c r="S227" s="28" t="str">
        <f t="array" ref="S227">IF($I226="","",
IF(
  AND(C227="B",C226&lt;&gt;"B"),
  XLOOKUP($B227,Derived_Variables!$A:$A,Derived_Variables!$K:$K,0)
  + XLOOKUP($B227,Derived_Variables!$A:$A,Derived_Variables!$AE:$AE,0),
  S226+AM226
))</f>
        <v/>
      </c>
      <c r="T227" s="28" t="str">
        <f t="shared" ref="T227:U227" si="464">IF($I226="","",T226+AN226)</f>
        <v/>
      </c>
      <c r="U227" s="28" t="str">
        <f t="shared" si="464"/>
        <v/>
      </c>
      <c r="V227" s="28" t="str">
        <f t="array" ref="V227">IF($I226="","",
IF(
  AND(C227="D",C226&lt;&gt;"D"),
  XLOOKUP($B227,Derived_Variables!$A:$A,Derived_Variables!$N:$N,0)
  + XLOOKUP($B227,Derived_Variables!$A:$A,Derived_Variables!$AE:$AE,0),
  V226+AP226
))</f>
        <v/>
      </c>
      <c r="W227" s="28" t="str">
        <f t="shared" ref="W227:X227" si="465">IF($I226="","",W226+AQ226)</f>
        <v/>
      </c>
      <c r="X227" s="28" t="str">
        <f t="shared" si="465"/>
        <v/>
      </c>
      <c r="Y227" s="28" t="str">
        <f t="array" ref="Y227">IF($I226="","",IF(AND(C227="P",C226&lt;&gt;"P"),IFERROR(XLOOKUP($B227,Lenso_Input!$A:$A,Lenso_Input!$E:$E,0),0),Y226+AS226))</f>
        <v/>
      </c>
      <c r="Z227" s="28" t="str">
        <f t="array" ref="Z227">IF($I226="","",IF(AND(C227="Q",C226&lt;&gt;"Q"),IFERROR(XLOOKUP($B227,Lenso_Input!$A:$A,Lenso_Input!$I:$I,0),0),Z226+AT226))</f>
        <v/>
      </c>
      <c r="AA227" s="28" t="str">
        <f t="array" ref="AA227">IF($I226="","",IF(XLOOKUP($B227,Derived_Variables!$A:$A,Derived_Variables!$R:$R,"6/6_target")="6/6_target","20_20_20","40_30_25"))</f>
        <v/>
      </c>
      <c r="AB227" s="28" t="str">
        <f t="array" ref="AB227">IF($I226="","",XLOOKUP(LOWER(XLOOKUP($B227,Derived_Variables!$A:$A,Derived_Variables!$T:$T,"Standard"))&amp;"_sph_step",Calibration!$B:$B,Calibration!$C:$C,0.25))</f>
        <v/>
      </c>
      <c r="AC227" s="28" t="str">
        <f t="array" ref="AC227">IF($I226="","",XLOOKUP(LOWER(XLOOKUP($B227,Derived_Variables!$A:$A,Derived_Variables!$T:$T,"Standard"))&amp;"_cyl_step",Calibration!$B:$B,Calibration!$C:$C,0.25))</f>
        <v/>
      </c>
      <c r="AD227" s="28" t="str">
        <f t="array" ref="AD227">IF($I226="","",IF(OR(C227="E",C227="H"),LET(startStep,XLOOKUP("axis_start_step",Calibration!$B:$B,Calibration!$C:$C,5),step1,XLOOKUP("axis_reversal_step_1",Calibration!$B:$B,Calibration!$C:$C,3),step2,XLOOKUP("axis_reversal_step_2",Calibration!$B:$B,Calibration!$C:$C,1),IF(OR(C226&lt;&gt;C227,AZ227="",AZ227="SAME",AZ227="CANT_TELL",I227="",I227="SAME",I227="CANT_TELL"),startStep,IF(OR(AND(AZ227="BETTER_1",I227="BETTER_2"),AND(AZ227="BETTER_2",I227="BETTER_1")),IF(AD226&gt;step1,step1,step2),AD226))),0))</f>
        <v/>
      </c>
      <c r="AE227" s="28" t="str">
        <f t="array" ref="AE227">IF($I226="","",XLOOKUP($B227,Derived_Variables!$A:$A,Derived_Variables!$AD:$AD,"No_Fog"))</f>
        <v/>
      </c>
      <c r="AF227" s="28" t="str">
        <f t="array" ref="AF227">IF($I226="","",XLOOKUP($B227,Derived_Variables!$A:$A,Derived_Variables!$AE:$AE,0))</f>
        <v/>
      </c>
      <c r="AG227" s="28" t="str">
        <f t="array" ref="AG227">IF($I226="","",XLOOKUP($B227,Derived_Variables!$A:$A,Derived_Variables!$AF:$AF,""))</f>
        <v/>
      </c>
      <c r="AH227" s="28" t="str">
        <f t="array" ref="AH227">IF($I226="","",XLOOKUP($B227,Derived_Variables!$A:$A,Derived_Variables!$AG:$AG,""))</f>
        <v/>
      </c>
      <c r="AI227" s="28" t="str">
        <f t="array" ref="AI227">IF($I226="","",XLOOKUP($B227,Derived_Variables!$A:$A,Derived_Variables!$AC:$AC,"Medium"))</f>
        <v/>
      </c>
      <c r="AJ227" s="28" t="str">
        <f t="array" ref="AJ227">IF($I226="","",XLOOKUP($B227,Derived_Variables!$A:$A,Derived_Variables!$Y:$Y,FALSE))</f>
        <v/>
      </c>
      <c r="AK227" s="28" t="str">
        <f t="array" ref="AK227">IF($I226="","",XLOOKUP($B227,Derived_Variables!$A:$A,Derived_Variables!$AA:$AA,"Normal"))</f>
        <v/>
      </c>
      <c r="AL227" s="28" t="str">
        <f t="array" ref="AL227">IF($I226="","",XLOOKUP($B227,Derived_Variables!$A:$A,Derived_Variables!$AB:$AB,"Normal"))</f>
        <v/>
      </c>
      <c r="AM227" s="28" t="str">
        <f t="array" ref="AM227">IF($I227="","",IFS(C227="B",IF(OR(I227="NOT_READABLE",I227="BLURRY"),-AB227,0),C227="G",IFS(I227="RED_CLEARER",XLOOKUP("duochrome_red_step",Calibration!$B:$B,Calibration!$C:$C,-0.25),I227="GREEN_CLEARER",XLOOKUP("duochrome_green_step",Calibration!$B:$B,Calibration!$C:$C,0.25),I227="EQUAL",IF(XLOOKUP($B227,Derived_Variables!$A:$A,Derived_Variables!$S:$S,"Neutral")="Undercorrect",XLOOKUP("undercorrect_step",Calibration!$B:$B,Calibration!$C:$C,0.25),IF(XLOOKUP($B227,Derived_Variables!$A:$A,Derived_Variables!$S:$S,"Neutral")="Overcorrect",-XLOOKUP("overcorrect_step",Calibration!$B:$B,Calibration!$C:$C,0.25),0)),TRUE,0),C227="K",IF(I227="TOP_CLEARER",XLOOKUP("bino_balance_step",Calibration!$B:$B,Calibration!$C:$C,0.25),0),TRUE,0))</f>
        <v/>
      </c>
      <c r="AN227" s="28" t="str">
        <f t="shared" si="10"/>
        <v/>
      </c>
      <c r="AO227" s="28" t="str">
        <f t="shared" si="11"/>
        <v/>
      </c>
      <c r="AP227" s="28" t="str">
        <f t="array" ref="AP227">IF($I227="","",IFS(C227="D",IF(OR(I227="NOT_READABLE",I227="BLURRY"),-AB227,0),C227="J",IFS(I227="RED_CLEARER",XLOOKUP("duochrome_red_step",Calibration!$B:$B,Calibration!$C:$C,-0.25),I227="GREEN_CLEARER",XLOOKUP("duochrome_green_step",Calibration!$B:$B,Calibration!$C:$C,0.25),I227="EQUAL",IF(XLOOKUP($B227,Derived_Variables!$A:$A,Derived_Variables!$S:$S,"Neutral")="Undercorrect",XLOOKUP("undercorrect_step",Calibration!$B:$B,Calibration!$C:$C,0.25),IF(XLOOKUP($B227,Derived_Variables!$A:$A,Derived_Variables!$S:$S,"Neutral")="Overcorrect",-XLOOKUP("overcorrect_step",Calibration!$B:$B,Calibration!$C:$C,0.25),0)),TRUE,0),C227="K",IF(I227="BOTTOM_CLEARER",XLOOKUP("bino_balance_step",Calibration!$B:$B,Calibration!$C:$C,0.25),0),TRUE,0))</f>
        <v/>
      </c>
      <c r="AQ227" s="28" t="str">
        <f t="shared" si="12"/>
        <v/>
      </c>
      <c r="AR227" s="28" t="str">
        <f t="shared" si="13"/>
        <v/>
      </c>
      <c r="AS227" s="28" t="str">
        <f t="array" ref="AS227">IF($I227="","",IF(C227="P",IF(OR(I227="NOT_READABLE",I227="BLURRY"),XLOOKUP("near_add_step",Calibration!$B:$B,Calibration!$C:$C,0.25),0),IF(C227="R",IF(I227="NOT_CLEAR",XLOOKUP("near_add_step",Calibration!$B:$B,Calibration!$C:$C,0.25),0),0)))</f>
        <v/>
      </c>
      <c r="AT227" s="28" t="str">
        <f t="array" ref="AT227">IF($I227="","",IF(C227="Q",IF(OR(I227="NOT_READABLE",I227="BLURRY"),XLOOKUP("near_add_step",Calibration!$B:$B,Calibration!$C:$C,0.25),0),IF(C227="R",IF(I227="NOT_CLEAR",XLOOKUP("near_add_step",Calibration!$B:$B,Calibration!$C:$C,0.25),0),0)))</f>
        <v/>
      </c>
      <c r="AU227" s="28" t="str">
        <f t="array" ref="AU227">IF($I227="","",IF(G227="SNELLEN_FEET",IF(I227="READABLE",IFERROR(XLOOKUP(XLOOKUP(R227,Chart_Scale_Distance!B:B,Chart_Scale_Distance!A:A)+1,Chart_Scale_Distance!A:A,Chart_Scale_Distance!B:B),R227),R227),R227))</f>
        <v/>
      </c>
      <c r="AV227" s="28" t="str">
        <f t="array" ref="AV227">IF($I226="","",IFERROR(XLOOKUP(R227,Chart_Scale_Distance!$B:$B,Chart_Scale_Distance!$A:$A,""),""))</f>
        <v/>
      </c>
      <c r="AW227" s="28" t="str">
        <f t="array" ref="AW227">IF($I226="","",IFERROR(XLOOKUP(AA227,Chart_Scale_Distance!$B:$B,Chart_Scale_Distance!$A:$A,""),""))</f>
        <v/>
      </c>
      <c r="AX227" s="28" t="str">
        <f t="shared" si="14"/>
        <v/>
      </c>
      <c r="AY227" s="28" t="str">
        <f t="shared" si="15"/>
        <v/>
      </c>
      <c r="AZ227" s="28" t="str">
        <f t="shared" si="16"/>
        <v/>
      </c>
      <c r="BA227" s="28" t="str">
        <f t="shared" si="17"/>
        <v/>
      </c>
      <c r="BB227" s="28" t="str">
        <f t="shared" si="18"/>
        <v/>
      </c>
      <c r="BC227" s="28" t="str">
        <f t="array" ref="BC227">IF($I227="","",LET(
conf,AI227,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duoMax,XLOOKUP($B227,Derived_Variables!$A:$A,Derived_Variables!$AI:$AI,4),
axisTol,XLOOKUP($B227,Derived_Variables!$A:$A,Derived_Variables!$W:$W,1),
maxStart,XLOOKUP($B227,Derived_Variables!$A:$A,Derived_Variables!$U:$U,1.25),
maxAR,XLOOKUP($B227,Derived_Variables!$A:$A,Derived_Variables!$V:$V,3),
anom,XLOOKUP($B227,Derived_Variables!$A:$A,Derived_Variables!$Z:$Z,FALSE),
reStart,XLOOKUP($B227,Derived_Variables!$A:$A,Derived_Variables!$K:$K,0),
leStart,XLOOKUP($B227,Derived_Variables!$A:$A,Derived_Variables!$N:$N,0),
reAR,XLOOKUP($B227,AR_Input!$A:$A,AR_Input!$B:$B,reStart),
leAR,XLOOKUP($B227,AR_Input!$A:$A,AR_Input!$E:$E,leStart),
reEsc,AND(anom,OR(ABS((S227+AM227)-reStart)&gt;maxStart,ABS((S227+AM227)-reAR)&gt;maxAR)),
leEsc,AND(anom,OR(ABS((V227+AP227)-leStart)&gt;maxStart,ABS((V227+AP227)-leAR)&gt;maxAR)),
phaseMax,IFS(
 AK227="Fast",
   IFS(
     OR(C227="B",C227="D"),XLOOKUP("timeout_coarse_fast",Calibration!$B:$B,Calibration!$C:$C,24),
     OR(C227="E",C227="F",C227="H",C227="I"),XLOOKUP("timeout_jcc_fast",Calibration!$B:$B,Calibration!$C:$C,10),
     OR(C227="G",C227="J"),XLOOKUP("timeout_duochrome_fast",Calibration!$B:$B,Calibration!$C:$C,8),
     C227="K",XLOOKUP("timeout_bino_fast",Calibration!$B:$B,Calibration!$C:$C,10),
     OR(C227="P",C227="Q",C227="R"),XLOOKUP("timeout_near_fast",Calibration!$B:$B,Calibration!$C:$C,16),
     TRUE,XLOOKUP("timeout_coarse_fast",Calibration!$B:$B,Calibration!$C:$C,24)
   ),
 AK227="Normal",
   IFS(
     OR(C227="B",C227="D"),XLOOKUP("timeout_coarse_normal",Calibration!$B:$B,Calibration!$C:$C,36),
     OR(C227="E",C227="F",C227="H",C227="I"),XLOOKUP("timeout_jcc_normal",Calibration!$B:$B,Calibration!$C:$C,14),
     OR(C227="G",C227="J"),XLOOKUP("timeout_duochrome_normal",Calibration!$B:$B,Calibration!$C:$C,10),
     C227="K",XLOOKUP("timeout_bino_normal",Calibration!$B:$B,Calibration!$C:$C,14),
     OR(C227="P",C227="Q",C227="R"),XLOOKUP("timeout_near_normal",Calibration!$B:$B,Calibration!$C:$C,22),
     TRUE,XLOOKUP("timeout_coarse_normal",Calibration!$B:$B,Calibration!$C:$C,36)
   ),
 TRUE,
   IFS(
     OR(C227="B",C227="D"),XLOOKUP("timeout_coarse_slow",Calibration!$B:$B,Calibration!$C:$C,48),
     OR(C227="E",C227="F",C227="H",C227="I"),XLOOKUP("timeout_jcc_slow",Calibration!$B:$B,Calibration!$C:$C,18),
     OR(C227="G",C227="J"),XLOOKUP("timeout_duochrome_slow",Calibration!$B:$B,Calibration!$C:$C,12),
     C227="K",XLOOKUP("timeout_bino_slow",Calibration!$B:$B,Calibration!$C:$C,18),
     OR(C227="P",C227="Q",C227="R"),XLOOKUP("timeout_near_slow",Calibration!$B:$B,Calibration!$C:$C,28),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AJ227=TRUE,"ESCALATE",
C227="A",
IF(OR(I227="NOT_READABLE",I227="BLURRY",AND(R227="20_20_20",I227="READABLE")),"B","A"),
C227="B",
IF(reEsc,"ESCALATE",IF(AY227&gt;=phaseMax,"ESCALATE",IF(AND(AV227&gt;=AW227,I227="READABLE"),"E","B"))),
C227="E",
IF(AY227&gt;=phaseMax,"ESCALATE",IF(OR(I227="SAME",I227="CANT_TELL",AD227&lt;axisTol),"F","E")),
C227="F",
IF(AY227&gt;=phaseMax,"ESCALATE",IF(AX227&gt;=powerSameN,"G","F")),
C227="G",
IF(AY227&gt;=phaseMax,"ESCALATE",IF(OR(AX227&gt;=duoEqualN,BB227&gt;=duoMax),"D","G")),
C227="D",
IF(leEsc,"ESCALATE",IF(AY227&gt;=phaseMax,"ESCALATE",IF(AND(AV227&gt;=AW227,I227="READABLE"),"H","D"))),
C227="H",
IF(AY227&gt;=phaseMax,"ESCALATE",IF(OR(I227="SAME",I227="CANT_TELL",AD227&lt;axisTol),"I","H")),
C227="I",
IF(AY227&gt;=phaseMax,"ESCALATE",IF(AX227&gt;=powerSameN,"J","I")),
C227="J",
IF(AY227&gt;=phaseMax,"ESCALATE",IF(OR(AX227&gt;=duoEqualN,BB227&gt;=duoMax),"K","J")),
C227="K",
IF(AY227&gt;=phaseMax,"ESCALATE",IF(AX227&gt;=binoSameN,IF(XLOOKUP($B227,Derived_Variables!$A:$A,Derived_Variables!$AJ:$AJ,FALSE)=TRUE,"P","END"),"K")),
C227="P",
IF(AY227&gt;=phaseMax,"ESCALATE",IF(OR(I227="READABLE",I227="SAME"),"Q","P")),
C227="Q",
IF(AY227&gt;=phaseMax,"ESCALATE",IF(OR(I227="READABLE",I227="SAME"),"R","Q")),
C227="R",
IF(AY227&gt;=phaseMax,"ESCALATE",IF(OR(I227=nearTarget,I227="SAME"),"END","R")),
TRUE,"END"
)))</f>
        <v/>
      </c>
      <c r="BD227" s="28" t="b">
        <f t="shared" si="19"/>
        <v>0</v>
      </c>
    </row>
    <row r="228" ht="15.75" customHeight="1">
      <c r="A228" s="28">
        <f t="shared" si="3"/>
        <v>227</v>
      </c>
      <c r="B228" s="28">
        <f t="shared" si="4"/>
        <v>6</v>
      </c>
      <c r="C228" s="28" t="str">
        <f t="shared" si="5"/>
        <v/>
      </c>
      <c r="D228" s="28" t="str">
        <f t="array" ref="D228">IF($I227="","",XLOOKUP(C228,FSM_State_Map!A:A,FSM_State_Map!B:B,""))</f>
        <v/>
      </c>
      <c r="E228" s="28" t="str">
        <f t="array" ref="E228">IF($I227="","",XLOOKUP(C228,FSM_State_Map!A:A,FSM_State_Map!C:C,""))</f>
        <v/>
      </c>
      <c r="F228" s="28" t="str">
        <f t="array" ref="F228">IF($I227="","",XLOOKUP(E228,Phase_UI_Map!A:A,Phase_UI_Map!B:B,""))</f>
        <v/>
      </c>
      <c r="G228" s="28" t="str">
        <f t="array" ref="G228">IF($I227="","",XLOOKUP(E228,Phase_UI_Map!A:A,Phase_UI_Map!C:C,""))</f>
        <v/>
      </c>
      <c r="H228" s="28" t="str">
        <f t="array" ref="H228">IF($I227="","",XLOOKUP(E228,Phase_UI_Map!A:A,Phase_UI_Map!D:D,""))</f>
        <v/>
      </c>
      <c r="I228" s="29"/>
      <c r="J228" s="28" t="str">
        <f>IFERROR(__xludf.DUMMYFUNCTION("IF($I227="""","""",IFERROR(INDEX(FILTER(Response_Lists!$B:$B,Response_Lists!$A:$A=$H228),1),""""))"),"")</f>
        <v/>
      </c>
      <c r="K228" s="28" t="str">
        <f>IFERROR(__xludf.DUMMYFUNCTION("IF($I227="""","""",IFERROR(INDEX(FILTER(Response_Lists!$B:$B,Response_Lists!$A:$A=$H228),2),""""))"),"")</f>
        <v/>
      </c>
      <c r="L228" s="28" t="str">
        <f>IFERROR(__xludf.DUMMYFUNCTION("IF($I227="""","""",IFERROR(INDEX(FILTER(Response_Lists!$B:$B,Response_Lists!$A:$A=$H228),3),""""))"),"")</f>
        <v/>
      </c>
      <c r="M228" s="28" t="str">
        <f>IFERROR(__xludf.DUMMYFUNCTION("IF($I227="""","""",IFERROR(INDEX(FILTER(Response_Lists!$B:$B,Response_Lists!$A:$A=$H228),4),""""))"),"")</f>
        <v/>
      </c>
      <c r="N228" s="28" t="str">
        <f>IFERROR(__xludf.DUMMYFUNCTION("IF($I227="""","""",IFERROR(INDEX(FILTER(Response_Lists!$B:$B,Response_Lists!$A:$A=$H228),5),""""))"),"")</f>
        <v/>
      </c>
      <c r="O228" s="28" t="str">
        <f>IFERROR(__xludf.DUMMYFUNCTION("IF($I227="""","""",IFERROR(INDEX(FILTER(Response_Lists!$B:$B,Response_Lists!$A:$A=$H228),6),""""))"),"")</f>
        <v/>
      </c>
      <c r="P228" s="28" t="str">
        <f t="shared" si="6"/>
        <v/>
      </c>
      <c r="Q228" s="28" t="str">
        <f t="array" ref="Q228">IF($I227="","",XLOOKUP(C228,FSM_State_Map!A:A,FSM_State_Map!D:D,""))</f>
        <v/>
      </c>
      <c r="R228" s="28" t="str">
        <f t="shared" si="7"/>
        <v/>
      </c>
      <c r="S228" s="28" t="str">
        <f t="array" ref="S228">IF($I227="","",
IF(
  AND(C228="B",C227&lt;&gt;"B"),
  XLOOKUP($B228,Derived_Variables!$A:$A,Derived_Variables!$K:$K,0)
  + XLOOKUP($B228,Derived_Variables!$A:$A,Derived_Variables!$AE:$AE,0),
  S227+AM227
))</f>
        <v/>
      </c>
      <c r="T228" s="28" t="str">
        <f t="shared" ref="T228:U228" si="466">IF($I227="","",T227+AN227)</f>
        <v/>
      </c>
      <c r="U228" s="28" t="str">
        <f t="shared" si="466"/>
        <v/>
      </c>
      <c r="V228" s="28" t="str">
        <f t="array" ref="V228">IF($I227="","",
IF(
  AND(C228="D",C227&lt;&gt;"D"),
  XLOOKUP($B228,Derived_Variables!$A:$A,Derived_Variables!$N:$N,0)
  + XLOOKUP($B228,Derived_Variables!$A:$A,Derived_Variables!$AE:$AE,0),
  V227+AP227
))</f>
        <v/>
      </c>
      <c r="W228" s="28" t="str">
        <f t="shared" ref="W228:X228" si="467">IF($I227="","",W227+AQ227)</f>
        <v/>
      </c>
      <c r="X228" s="28" t="str">
        <f t="shared" si="467"/>
        <v/>
      </c>
      <c r="Y228" s="28" t="str">
        <f t="array" ref="Y228">IF($I227="","",IF(AND(C228="P",C227&lt;&gt;"P"),IFERROR(XLOOKUP($B228,Lenso_Input!$A:$A,Lenso_Input!$E:$E,0),0),Y227+AS227))</f>
        <v/>
      </c>
      <c r="Z228" s="28" t="str">
        <f t="array" ref="Z228">IF($I227="","",IF(AND(C228="Q",C227&lt;&gt;"Q"),IFERROR(XLOOKUP($B228,Lenso_Input!$A:$A,Lenso_Input!$I:$I,0),0),Z227+AT227))</f>
        <v/>
      </c>
      <c r="AA228" s="28" t="str">
        <f t="array" ref="AA228">IF($I227="","",IF(XLOOKUP($B228,Derived_Variables!$A:$A,Derived_Variables!$R:$R,"6/6_target")="6/6_target","20_20_20","40_30_25"))</f>
        <v/>
      </c>
      <c r="AB228" s="28" t="str">
        <f t="array" ref="AB228">IF($I227="","",XLOOKUP(LOWER(XLOOKUP($B228,Derived_Variables!$A:$A,Derived_Variables!$T:$T,"Standard"))&amp;"_sph_step",Calibration!$B:$B,Calibration!$C:$C,0.25))</f>
        <v/>
      </c>
      <c r="AC228" s="28" t="str">
        <f t="array" ref="AC228">IF($I227="","",XLOOKUP(LOWER(XLOOKUP($B228,Derived_Variables!$A:$A,Derived_Variables!$T:$T,"Standard"))&amp;"_cyl_step",Calibration!$B:$B,Calibration!$C:$C,0.25))</f>
        <v/>
      </c>
      <c r="AD228" s="28" t="str">
        <f t="array" ref="AD228">IF($I227="","",IF(OR(C228="E",C228="H"),LET(startStep,XLOOKUP("axis_start_step",Calibration!$B:$B,Calibration!$C:$C,5),step1,XLOOKUP("axis_reversal_step_1",Calibration!$B:$B,Calibration!$C:$C,3),step2,XLOOKUP("axis_reversal_step_2",Calibration!$B:$B,Calibration!$C:$C,1),IF(OR(C227&lt;&gt;C228,AZ228="",AZ228="SAME",AZ228="CANT_TELL",I228="",I228="SAME",I228="CANT_TELL"),startStep,IF(OR(AND(AZ228="BETTER_1",I228="BETTER_2"),AND(AZ228="BETTER_2",I228="BETTER_1")),IF(AD227&gt;step1,step1,step2),AD227))),0))</f>
        <v/>
      </c>
      <c r="AE228" s="28" t="str">
        <f t="array" ref="AE228">IF($I227="","",XLOOKUP($B228,Derived_Variables!$A:$A,Derived_Variables!$AD:$AD,"No_Fog"))</f>
        <v/>
      </c>
      <c r="AF228" s="28" t="str">
        <f t="array" ref="AF228">IF($I227="","",XLOOKUP($B228,Derived_Variables!$A:$A,Derived_Variables!$AE:$AE,0))</f>
        <v/>
      </c>
      <c r="AG228" s="28" t="str">
        <f t="array" ref="AG228">IF($I227="","",XLOOKUP($B228,Derived_Variables!$A:$A,Derived_Variables!$AF:$AF,""))</f>
        <v/>
      </c>
      <c r="AH228" s="28" t="str">
        <f t="array" ref="AH228">IF($I227="","",XLOOKUP($B228,Derived_Variables!$A:$A,Derived_Variables!$AG:$AG,""))</f>
        <v/>
      </c>
      <c r="AI228" s="28" t="str">
        <f t="array" ref="AI228">IF($I227="","",XLOOKUP($B228,Derived_Variables!$A:$A,Derived_Variables!$AC:$AC,"Medium"))</f>
        <v/>
      </c>
      <c r="AJ228" s="28" t="str">
        <f t="array" ref="AJ228">IF($I227="","",XLOOKUP($B228,Derived_Variables!$A:$A,Derived_Variables!$Y:$Y,FALSE))</f>
        <v/>
      </c>
      <c r="AK228" s="28" t="str">
        <f t="array" ref="AK228">IF($I227="","",XLOOKUP($B228,Derived_Variables!$A:$A,Derived_Variables!$AA:$AA,"Normal"))</f>
        <v/>
      </c>
      <c r="AL228" s="28" t="str">
        <f t="array" ref="AL228">IF($I227="","",XLOOKUP($B228,Derived_Variables!$A:$A,Derived_Variables!$AB:$AB,"Normal"))</f>
        <v/>
      </c>
      <c r="AM228" s="28" t="str">
        <f t="array" ref="AM228">IF($I228="","",IFS(C228="B",IF(OR(I228="NOT_READABLE",I228="BLURRY"),-AB228,0),C228="G",IFS(I228="RED_CLEARER",XLOOKUP("duochrome_red_step",Calibration!$B:$B,Calibration!$C:$C,-0.25),I228="GREEN_CLEARER",XLOOKUP("duochrome_green_step",Calibration!$B:$B,Calibration!$C:$C,0.25),I228="EQUAL",IF(XLOOKUP($B228,Derived_Variables!$A:$A,Derived_Variables!$S:$S,"Neutral")="Undercorrect",XLOOKUP("undercorrect_step",Calibration!$B:$B,Calibration!$C:$C,0.25),IF(XLOOKUP($B228,Derived_Variables!$A:$A,Derived_Variables!$S:$S,"Neutral")="Overcorrect",-XLOOKUP("overcorrect_step",Calibration!$B:$B,Calibration!$C:$C,0.25),0)),TRUE,0),C228="K",IF(I228="TOP_CLEARER",XLOOKUP("bino_balance_step",Calibration!$B:$B,Calibration!$C:$C,0.25),0),TRUE,0))</f>
        <v/>
      </c>
      <c r="AN228" s="28" t="str">
        <f t="shared" si="10"/>
        <v/>
      </c>
      <c r="AO228" s="28" t="str">
        <f t="shared" si="11"/>
        <v/>
      </c>
      <c r="AP228" s="28" t="str">
        <f t="array" ref="AP228">IF($I228="","",IFS(C228="D",IF(OR(I228="NOT_READABLE",I228="BLURRY"),-AB228,0),C228="J",IFS(I228="RED_CLEARER",XLOOKUP("duochrome_red_step",Calibration!$B:$B,Calibration!$C:$C,-0.25),I228="GREEN_CLEARER",XLOOKUP("duochrome_green_step",Calibration!$B:$B,Calibration!$C:$C,0.25),I228="EQUAL",IF(XLOOKUP($B228,Derived_Variables!$A:$A,Derived_Variables!$S:$S,"Neutral")="Undercorrect",XLOOKUP("undercorrect_step",Calibration!$B:$B,Calibration!$C:$C,0.25),IF(XLOOKUP($B228,Derived_Variables!$A:$A,Derived_Variables!$S:$S,"Neutral")="Overcorrect",-XLOOKUP("overcorrect_step",Calibration!$B:$B,Calibration!$C:$C,0.25),0)),TRUE,0),C228="K",IF(I228="BOTTOM_CLEARER",XLOOKUP("bino_balance_step",Calibration!$B:$B,Calibration!$C:$C,0.25),0),TRUE,0))</f>
        <v/>
      </c>
      <c r="AQ228" s="28" t="str">
        <f t="shared" si="12"/>
        <v/>
      </c>
      <c r="AR228" s="28" t="str">
        <f t="shared" si="13"/>
        <v/>
      </c>
      <c r="AS228" s="28" t="str">
        <f t="array" ref="AS228">IF($I228="","",IF(C228="P",IF(OR(I228="NOT_READABLE",I228="BLURRY"),XLOOKUP("near_add_step",Calibration!$B:$B,Calibration!$C:$C,0.25),0),IF(C228="R",IF(I228="NOT_CLEAR",XLOOKUP("near_add_step",Calibration!$B:$B,Calibration!$C:$C,0.25),0),0)))</f>
        <v/>
      </c>
      <c r="AT228" s="28" t="str">
        <f t="array" ref="AT228">IF($I228="","",IF(C228="Q",IF(OR(I228="NOT_READABLE",I228="BLURRY"),XLOOKUP("near_add_step",Calibration!$B:$B,Calibration!$C:$C,0.25),0),IF(C228="R",IF(I228="NOT_CLEAR",XLOOKUP("near_add_step",Calibration!$B:$B,Calibration!$C:$C,0.25),0),0)))</f>
        <v/>
      </c>
      <c r="AU228" s="28" t="str">
        <f t="array" ref="AU228">IF($I228="","",IF(G228="SNELLEN_FEET",IF(I228="READABLE",IFERROR(XLOOKUP(XLOOKUP(R228,Chart_Scale_Distance!B:B,Chart_Scale_Distance!A:A)+1,Chart_Scale_Distance!A:A,Chart_Scale_Distance!B:B),R228),R228),R228))</f>
        <v/>
      </c>
      <c r="AV228" s="28" t="str">
        <f t="array" ref="AV228">IF($I227="","",IFERROR(XLOOKUP(R228,Chart_Scale_Distance!$B:$B,Chart_Scale_Distance!$A:$A,""),""))</f>
        <v/>
      </c>
      <c r="AW228" s="28" t="str">
        <f t="array" ref="AW228">IF($I227="","",IFERROR(XLOOKUP(AA228,Chart_Scale_Distance!$B:$B,Chart_Scale_Distance!$A:$A,""),""))</f>
        <v/>
      </c>
      <c r="AX228" s="28" t="str">
        <f t="shared" si="14"/>
        <v/>
      </c>
      <c r="AY228" s="28" t="str">
        <f t="shared" si="15"/>
        <v/>
      </c>
      <c r="AZ228" s="28" t="str">
        <f t="shared" si="16"/>
        <v/>
      </c>
      <c r="BA228" s="28" t="str">
        <f t="shared" si="17"/>
        <v/>
      </c>
      <c r="BB228" s="28" t="str">
        <f t="shared" si="18"/>
        <v/>
      </c>
      <c r="BC228" s="28" t="str">
        <f t="array" ref="BC228">IF($I228="","",LET(
conf,AI228,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duoMax,XLOOKUP($B228,Derived_Variables!$A:$A,Derived_Variables!$AI:$AI,4),
axisTol,XLOOKUP($B228,Derived_Variables!$A:$A,Derived_Variables!$W:$W,1),
maxStart,XLOOKUP($B228,Derived_Variables!$A:$A,Derived_Variables!$U:$U,1.25),
maxAR,XLOOKUP($B228,Derived_Variables!$A:$A,Derived_Variables!$V:$V,3),
anom,XLOOKUP($B228,Derived_Variables!$A:$A,Derived_Variables!$Z:$Z,FALSE),
reStart,XLOOKUP($B228,Derived_Variables!$A:$A,Derived_Variables!$K:$K,0),
leStart,XLOOKUP($B228,Derived_Variables!$A:$A,Derived_Variables!$N:$N,0),
reAR,XLOOKUP($B228,AR_Input!$A:$A,AR_Input!$B:$B,reStart),
leAR,XLOOKUP($B228,AR_Input!$A:$A,AR_Input!$E:$E,leStart),
reEsc,AND(anom,OR(ABS((S228+AM228)-reStart)&gt;maxStart,ABS((S228+AM228)-reAR)&gt;maxAR)),
leEsc,AND(anom,OR(ABS((V228+AP228)-leStart)&gt;maxStart,ABS((V228+AP228)-leAR)&gt;maxAR)),
phaseMax,IFS(
 AK228="Fast",
   IFS(
     OR(C228="B",C228="D"),XLOOKUP("timeout_coarse_fast",Calibration!$B:$B,Calibration!$C:$C,24),
     OR(C228="E",C228="F",C228="H",C228="I"),XLOOKUP("timeout_jcc_fast",Calibration!$B:$B,Calibration!$C:$C,10),
     OR(C228="G",C228="J"),XLOOKUP("timeout_duochrome_fast",Calibration!$B:$B,Calibration!$C:$C,8),
     C228="K",XLOOKUP("timeout_bino_fast",Calibration!$B:$B,Calibration!$C:$C,10),
     OR(C228="P",C228="Q",C228="R"),XLOOKUP("timeout_near_fast",Calibration!$B:$B,Calibration!$C:$C,16),
     TRUE,XLOOKUP("timeout_coarse_fast",Calibration!$B:$B,Calibration!$C:$C,24)
   ),
 AK228="Normal",
   IFS(
     OR(C228="B",C228="D"),XLOOKUP("timeout_coarse_normal",Calibration!$B:$B,Calibration!$C:$C,36),
     OR(C228="E",C228="F",C228="H",C228="I"),XLOOKUP("timeout_jcc_normal",Calibration!$B:$B,Calibration!$C:$C,14),
     OR(C228="G",C228="J"),XLOOKUP("timeout_duochrome_normal",Calibration!$B:$B,Calibration!$C:$C,10),
     C228="K",XLOOKUP("timeout_bino_normal",Calibration!$B:$B,Calibration!$C:$C,14),
     OR(C228="P",C228="Q",C228="R"),XLOOKUP("timeout_near_normal",Calibration!$B:$B,Calibration!$C:$C,22),
     TRUE,XLOOKUP("timeout_coarse_normal",Calibration!$B:$B,Calibration!$C:$C,36)
   ),
 TRUE,
   IFS(
     OR(C228="B",C228="D"),XLOOKUP("timeout_coarse_slow",Calibration!$B:$B,Calibration!$C:$C,48),
     OR(C228="E",C228="F",C228="H",C228="I"),XLOOKUP("timeout_jcc_slow",Calibration!$B:$B,Calibration!$C:$C,18),
     OR(C228="G",C228="J"),XLOOKUP("timeout_duochrome_slow",Calibration!$B:$B,Calibration!$C:$C,12),
     C228="K",XLOOKUP("timeout_bino_slow",Calibration!$B:$B,Calibration!$C:$C,18),
     OR(C228="P",C228="Q",C228="R"),XLOOKUP("timeout_near_slow",Calibration!$B:$B,Calibration!$C:$C,28),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AJ228=TRUE,"ESCALATE",
C228="A",
IF(OR(I228="NOT_READABLE",I228="BLURRY",AND(R228="20_20_20",I228="READABLE")),"B","A"),
C228="B",
IF(reEsc,"ESCALATE",IF(AY228&gt;=phaseMax,"ESCALATE",IF(AND(AV228&gt;=AW228,I228="READABLE"),"E","B"))),
C228="E",
IF(AY228&gt;=phaseMax,"ESCALATE",IF(OR(I228="SAME",I228="CANT_TELL",AD228&lt;axisTol),"F","E")),
C228="F",
IF(AY228&gt;=phaseMax,"ESCALATE",IF(AX228&gt;=powerSameN,"G","F")),
C228="G",
IF(AY228&gt;=phaseMax,"ESCALATE",IF(OR(AX228&gt;=duoEqualN,BB228&gt;=duoMax),"D","G")),
C228="D",
IF(leEsc,"ESCALATE",IF(AY228&gt;=phaseMax,"ESCALATE",IF(AND(AV228&gt;=AW228,I228="READABLE"),"H","D"))),
C228="H",
IF(AY228&gt;=phaseMax,"ESCALATE",IF(OR(I228="SAME",I228="CANT_TELL",AD228&lt;axisTol),"I","H")),
C228="I",
IF(AY228&gt;=phaseMax,"ESCALATE",IF(AX228&gt;=powerSameN,"J","I")),
C228="J",
IF(AY228&gt;=phaseMax,"ESCALATE",IF(OR(AX228&gt;=duoEqualN,BB228&gt;=duoMax),"K","J")),
C228="K",
IF(AY228&gt;=phaseMax,"ESCALATE",IF(AX228&gt;=binoSameN,IF(XLOOKUP($B228,Derived_Variables!$A:$A,Derived_Variables!$AJ:$AJ,FALSE)=TRUE,"P","END"),"K")),
C228="P",
IF(AY228&gt;=phaseMax,"ESCALATE",IF(OR(I228="READABLE",I228="SAME"),"Q","P")),
C228="Q",
IF(AY228&gt;=phaseMax,"ESCALATE",IF(OR(I228="READABLE",I228="SAME"),"R","Q")),
C228="R",
IF(AY228&gt;=phaseMax,"ESCALATE",IF(OR(I228=nearTarget,I228="SAME"),"END","R")),
TRUE,"END"
)))</f>
        <v/>
      </c>
      <c r="BD228" s="28" t="b">
        <f t="shared" si="19"/>
        <v>0</v>
      </c>
    </row>
    <row r="229" ht="15.75" customHeight="1">
      <c r="A229" s="28">
        <f t="shared" si="3"/>
        <v>228</v>
      </c>
      <c r="B229" s="28">
        <f t="shared" si="4"/>
        <v>6</v>
      </c>
      <c r="C229" s="28" t="str">
        <f t="shared" si="5"/>
        <v/>
      </c>
      <c r="D229" s="28" t="str">
        <f t="array" ref="D229">IF($I228="","",XLOOKUP(C229,FSM_State_Map!A:A,FSM_State_Map!B:B,""))</f>
        <v/>
      </c>
      <c r="E229" s="28" t="str">
        <f t="array" ref="E229">IF($I228="","",XLOOKUP(C229,FSM_State_Map!A:A,FSM_State_Map!C:C,""))</f>
        <v/>
      </c>
      <c r="F229" s="28" t="str">
        <f t="array" ref="F229">IF($I228="","",XLOOKUP(E229,Phase_UI_Map!A:A,Phase_UI_Map!B:B,""))</f>
        <v/>
      </c>
      <c r="G229" s="28" t="str">
        <f t="array" ref="G229">IF($I228="","",XLOOKUP(E229,Phase_UI_Map!A:A,Phase_UI_Map!C:C,""))</f>
        <v/>
      </c>
      <c r="H229" s="28" t="str">
        <f t="array" ref="H229">IF($I228="","",XLOOKUP(E229,Phase_UI_Map!A:A,Phase_UI_Map!D:D,""))</f>
        <v/>
      </c>
      <c r="I229" s="29"/>
      <c r="J229" s="28" t="str">
        <f>IFERROR(__xludf.DUMMYFUNCTION("IF($I228="""","""",IFERROR(INDEX(FILTER(Response_Lists!$B:$B,Response_Lists!$A:$A=$H229),1),""""))"),"")</f>
        <v/>
      </c>
      <c r="K229" s="28" t="str">
        <f>IFERROR(__xludf.DUMMYFUNCTION("IF($I228="""","""",IFERROR(INDEX(FILTER(Response_Lists!$B:$B,Response_Lists!$A:$A=$H229),2),""""))"),"")</f>
        <v/>
      </c>
      <c r="L229" s="28" t="str">
        <f>IFERROR(__xludf.DUMMYFUNCTION("IF($I228="""","""",IFERROR(INDEX(FILTER(Response_Lists!$B:$B,Response_Lists!$A:$A=$H229),3),""""))"),"")</f>
        <v/>
      </c>
      <c r="M229" s="28" t="str">
        <f>IFERROR(__xludf.DUMMYFUNCTION("IF($I228="""","""",IFERROR(INDEX(FILTER(Response_Lists!$B:$B,Response_Lists!$A:$A=$H229),4),""""))"),"")</f>
        <v/>
      </c>
      <c r="N229" s="28" t="str">
        <f>IFERROR(__xludf.DUMMYFUNCTION("IF($I228="""","""",IFERROR(INDEX(FILTER(Response_Lists!$B:$B,Response_Lists!$A:$A=$H229),5),""""))"),"")</f>
        <v/>
      </c>
      <c r="O229" s="28" t="str">
        <f>IFERROR(__xludf.DUMMYFUNCTION("IF($I228="""","""",IFERROR(INDEX(FILTER(Response_Lists!$B:$B,Response_Lists!$A:$A=$H229),6),""""))"),"")</f>
        <v/>
      </c>
      <c r="P229" s="28" t="str">
        <f t="shared" si="6"/>
        <v/>
      </c>
      <c r="Q229" s="28" t="str">
        <f t="array" ref="Q229">IF($I228="","",XLOOKUP(C229,FSM_State_Map!A:A,FSM_State_Map!D:D,""))</f>
        <v/>
      </c>
      <c r="R229" s="28" t="str">
        <f t="shared" si="7"/>
        <v/>
      </c>
      <c r="S229" s="28" t="str">
        <f t="array" ref="S229">IF($I228="","",
IF(
  AND(C229="B",C228&lt;&gt;"B"),
  XLOOKUP($B229,Derived_Variables!$A:$A,Derived_Variables!$K:$K,0)
  + XLOOKUP($B229,Derived_Variables!$A:$A,Derived_Variables!$AE:$AE,0),
  S228+AM228
))</f>
        <v/>
      </c>
      <c r="T229" s="28" t="str">
        <f t="shared" ref="T229:U229" si="468">IF($I228="","",T228+AN228)</f>
        <v/>
      </c>
      <c r="U229" s="28" t="str">
        <f t="shared" si="468"/>
        <v/>
      </c>
      <c r="V229" s="28" t="str">
        <f t="array" ref="V229">IF($I228="","",
IF(
  AND(C229="D",C228&lt;&gt;"D"),
  XLOOKUP($B229,Derived_Variables!$A:$A,Derived_Variables!$N:$N,0)
  + XLOOKUP($B229,Derived_Variables!$A:$A,Derived_Variables!$AE:$AE,0),
  V228+AP228
))</f>
        <v/>
      </c>
      <c r="W229" s="28" t="str">
        <f t="shared" ref="W229:X229" si="469">IF($I228="","",W228+AQ228)</f>
        <v/>
      </c>
      <c r="X229" s="28" t="str">
        <f t="shared" si="469"/>
        <v/>
      </c>
      <c r="Y229" s="28" t="str">
        <f t="array" ref="Y229">IF($I228="","",IF(AND(C229="P",C228&lt;&gt;"P"),IFERROR(XLOOKUP($B229,Lenso_Input!$A:$A,Lenso_Input!$E:$E,0),0),Y228+AS228))</f>
        <v/>
      </c>
      <c r="Z229" s="28" t="str">
        <f t="array" ref="Z229">IF($I228="","",IF(AND(C229="Q",C228&lt;&gt;"Q"),IFERROR(XLOOKUP($B229,Lenso_Input!$A:$A,Lenso_Input!$I:$I,0),0),Z228+AT228))</f>
        <v/>
      </c>
      <c r="AA229" s="28" t="str">
        <f t="array" ref="AA229">IF($I228="","",IF(XLOOKUP($B229,Derived_Variables!$A:$A,Derived_Variables!$R:$R,"6/6_target")="6/6_target","20_20_20","40_30_25"))</f>
        <v/>
      </c>
      <c r="AB229" s="28" t="str">
        <f t="array" ref="AB229">IF($I228="","",XLOOKUP(LOWER(XLOOKUP($B229,Derived_Variables!$A:$A,Derived_Variables!$T:$T,"Standard"))&amp;"_sph_step",Calibration!$B:$B,Calibration!$C:$C,0.25))</f>
        <v/>
      </c>
      <c r="AC229" s="28" t="str">
        <f t="array" ref="AC229">IF($I228="","",XLOOKUP(LOWER(XLOOKUP($B229,Derived_Variables!$A:$A,Derived_Variables!$T:$T,"Standard"))&amp;"_cyl_step",Calibration!$B:$B,Calibration!$C:$C,0.25))</f>
        <v/>
      </c>
      <c r="AD229" s="28" t="str">
        <f t="array" ref="AD229">IF($I228="","",IF(OR(C229="E",C229="H"),LET(startStep,XLOOKUP("axis_start_step",Calibration!$B:$B,Calibration!$C:$C,5),step1,XLOOKUP("axis_reversal_step_1",Calibration!$B:$B,Calibration!$C:$C,3),step2,XLOOKUP("axis_reversal_step_2",Calibration!$B:$B,Calibration!$C:$C,1),IF(OR(C228&lt;&gt;C229,AZ229="",AZ229="SAME",AZ229="CANT_TELL",I229="",I229="SAME",I229="CANT_TELL"),startStep,IF(OR(AND(AZ229="BETTER_1",I229="BETTER_2"),AND(AZ229="BETTER_2",I229="BETTER_1")),IF(AD228&gt;step1,step1,step2),AD228))),0))</f>
        <v/>
      </c>
      <c r="AE229" s="28" t="str">
        <f t="array" ref="AE229">IF($I228="","",XLOOKUP($B229,Derived_Variables!$A:$A,Derived_Variables!$AD:$AD,"No_Fog"))</f>
        <v/>
      </c>
      <c r="AF229" s="28" t="str">
        <f t="array" ref="AF229">IF($I228="","",XLOOKUP($B229,Derived_Variables!$A:$A,Derived_Variables!$AE:$AE,0))</f>
        <v/>
      </c>
      <c r="AG229" s="28" t="str">
        <f t="array" ref="AG229">IF($I228="","",XLOOKUP($B229,Derived_Variables!$A:$A,Derived_Variables!$AF:$AF,""))</f>
        <v/>
      </c>
      <c r="AH229" s="28" t="str">
        <f t="array" ref="AH229">IF($I228="","",XLOOKUP($B229,Derived_Variables!$A:$A,Derived_Variables!$AG:$AG,""))</f>
        <v/>
      </c>
      <c r="AI229" s="28" t="str">
        <f t="array" ref="AI229">IF($I228="","",XLOOKUP($B229,Derived_Variables!$A:$A,Derived_Variables!$AC:$AC,"Medium"))</f>
        <v/>
      </c>
      <c r="AJ229" s="28" t="str">
        <f t="array" ref="AJ229">IF($I228="","",XLOOKUP($B229,Derived_Variables!$A:$A,Derived_Variables!$Y:$Y,FALSE))</f>
        <v/>
      </c>
      <c r="AK229" s="28" t="str">
        <f t="array" ref="AK229">IF($I228="","",XLOOKUP($B229,Derived_Variables!$A:$A,Derived_Variables!$AA:$AA,"Normal"))</f>
        <v/>
      </c>
      <c r="AL229" s="28" t="str">
        <f t="array" ref="AL229">IF($I228="","",XLOOKUP($B229,Derived_Variables!$A:$A,Derived_Variables!$AB:$AB,"Normal"))</f>
        <v/>
      </c>
      <c r="AM229" s="28" t="str">
        <f t="array" ref="AM229">IF($I229="","",IFS(C229="B",IF(OR(I229="NOT_READABLE",I229="BLURRY"),-AB229,0),C229="G",IFS(I229="RED_CLEARER",XLOOKUP("duochrome_red_step",Calibration!$B:$B,Calibration!$C:$C,-0.25),I229="GREEN_CLEARER",XLOOKUP("duochrome_green_step",Calibration!$B:$B,Calibration!$C:$C,0.25),I229="EQUAL",IF(XLOOKUP($B229,Derived_Variables!$A:$A,Derived_Variables!$S:$S,"Neutral")="Undercorrect",XLOOKUP("undercorrect_step",Calibration!$B:$B,Calibration!$C:$C,0.25),IF(XLOOKUP($B229,Derived_Variables!$A:$A,Derived_Variables!$S:$S,"Neutral")="Overcorrect",-XLOOKUP("overcorrect_step",Calibration!$B:$B,Calibration!$C:$C,0.25),0)),TRUE,0),C229="K",IF(I229="TOP_CLEARER",XLOOKUP("bino_balance_step",Calibration!$B:$B,Calibration!$C:$C,0.25),0),TRUE,0))</f>
        <v/>
      </c>
      <c r="AN229" s="28" t="str">
        <f t="shared" si="10"/>
        <v/>
      </c>
      <c r="AO229" s="28" t="str">
        <f t="shared" si="11"/>
        <v/>
      </c>
      <c r="AP229" s="28" t="str">
        <f t="array" ref="AP229">IF($I229="","",IFS(C229="D",IF(OR(I229="NOT_READABLE",I229="BLURRY"),-AB229,0),C229="J",IFS(I229="RED_CLEARER",XLOOKUP("duochrome_red_step",Calibration!$B:$B,Calibration!$C:$C,-0.25),I229="GREEN_CLEARER",XLOOKUP("duochrome_green_step",Calibration!$B:$B,Calibration!$C:$C,0.25),I229="EQUAL",IF(XLOOKUP($B229,Derived_Variables!$A:$A,Derived_Variables!$S:$S,"Neutral")="Undercorrect",XLOOKUP("undercorrect_step",Calibration!$B:$B,Calibration!$C:$C,0.25),IF(XLOOKUP($B229,Derived_Variables!$A:$A,Derived_Variables!$S:$S,"Neutral")="Overcorrect",-XLOOKUP("overcorrect_step",Calibration!$B:$B,Calibration!$C:$C,0.25),0)),TRUE,0),C229="K",IF(I229="BOTTOM_CLEARER",XLOOKUP("bino_balance_step",Calibration!$B:$B,Calibration!$C:$C,0.25),0),TRUE,0))</f>
        <v/>
      </c>
      <c r="AQ229" s="28" t="str">
        <f t="shared" si="12"/>
        <v/>
      </c>
      <c r="AR229" s="28" t="str">
        <f t="shared" si="13"/>
        <v/>
      </c>
      <c r="AS229" s="28" t="str">
        <f t="array" ref="AS229">IF($I229="","",IF(C229="P",IF(OR(I229="NOT_READABLE",I229="BLURRY"),XLOOKUP("near_add_step",Calibration!$B:$B,Calibration!$C:$C,0.25),0),IF(C229="R",IF(I229="NOT_CLEAR",XLOOKUP("near_add_step",Calibration!$B:$B,Calibration!$C:$C,0.25),0),0)))</f>
        <v/>
      </c>
      <c r="AT229" s="28" t="str">
        <f t="array" ref="AT229">IF($I229="","",IF(C229="Q",IF(OR(I229="NOT_READABLE",I229="BLURRY"),XLOOKUP("near_add_step",Calibration!$B:$B,Calibration!$C:$C,0.25),0),IF(C229="R",IF(I229="NOT_CLEAR",XLOOKUP("near_add_step",Calibration!$B:$B,Calibration!$C:$C,0.25),0),0)))</f>
        <v/>
      </c>
      <c r="AU229" s="28" t="str">
        <f t="array" ref="AU229">IF($I229="","",IF(G229="SNELLEN_FEET",IF(I229="READABLE",IFERROR(XLOOKUP(XLOOKUP(R229,Chart_Scale_Distance!B:B,Chart_Scale_Distance!A:A)+1,Chart_Scale_Distance!A:A,Chart_Scale_Distance!B:B),R229),R229),R229))</f>
        <v/>
      </c>
      <c r="AV229" s="28" t="str">
        <f t="array" ref="AV229">IF($I228="","",IFERROR(XLOOKUP(R229,Chart_Scale_Distance!$B:$B,Chart_Scale_Distance!$A:$A,""),""))</f>
        <v/>
      </c>
      <c r="AW229" s="28" t="str">
        <f t="array" ref="AW229">IF($I228="","",IFERROR(XLOOKUP(AA229,Chart_Scale_Distance!$B:$B,Chart_Scale_Distance!$A:$A,""),""))</f>
        <v/>
      </c>
      <c r="AX229" s="28" t="str">
        <f t="shared" si="14"/>
        <v/>
      </c>
      <c r="AY229" s="28" t="str">
        <f t="shared" si="15"/>
        <v/>
      </c>
      <c r="AZ229" s="28" t="str">
        <f t="shared" si="16"/>
        <v/>
      </c>
      <c r="BA229" s="28" t="str">
        <f t="shared" si="17"/>
        <v/>
      </c>
      <c r="BB229" s="28" t="str">
        <f t="shared" si="18"/>
        <v/>
      </c>
      <c r="BC229" s="28" t="str">
        <f t="array" ref="BC229">IF($I229="","",LET(
conf,AI229,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duoMax,XLOOKUP($B229,Derived_Variables!$A:$A,Derived_Variables!$AI:$AI,4),
axisTol,XLOOKUP($B229,Derived_Variables!$A:$A,Derived_Variables!$W:$W,1),
maxStart,XLOOKUP($B229,Derived_Variables!$A:$A,Derived_Variables!$U:$U,1.25),
maxAR,XLOOKUP($B229,Derived_Variables!$A:$A,Derived_Variables!$V:$V,3),
anom,XLOOKUP($B229,Derived_Variables!$A:$A,Derived_Variables!$Z:$Z,FALSE),
reStart,XLOOKUP($B229,Derived_Variables!$A:$A,Derived_Variables!$K:$K,0),
leStart,XLOOKUP($B229,Derived_Variables!$A:$A,Derived_Variables!$N:$N,0),
reAR,XLOOKUP($B229,AR_Input!$A:$A,AR_Input!$B:$B,reStart),
leAR,XLOOKUP($B229,AR_Input!$A:$A,AR_Input!$E:$E,leStart),
reEsc,AND(anom,OR(ABS((S229+AM229)-reStart)&gt;maxStart,ABS((S229+AM229)-reAR)&gt;maxAR)),
leEsc,AND(anom,OR(ABS((V229+AP229)-leStart)&gt;maxStart,ABS((V229+AP229)-leAR)&gt;maxAR)),
phaseMax,IFS(
 AK229="Fast",
   IFS(
     OR(C229="B",C229="D"),XLOOKUP("timeout_coarse_fast",Calibration!$B:$B,Calibration!$C:$C,24),
     OR(C229="E",C229="F",C229="H",C229="I"),XLOOKUP("timeout_jcc_fast",Calibration!$B:$B,Calibration!$C:$C,10),
     OR(C229="G",C229="J"),XLOOKUP("timeout_duochrome_fast",Calibration!$B:$B,Calibration!$C:$C,8),
     C229="K",XLOOKUP("timeout_bino_fast",Calibration!$B:$B,Calibration!$C:$C,10),
     OR(C229="P",C229="Q",C229="R"),XLOOKUP("timeout_near_fast",Calibration!$B:$B,Calibration!$C:$C,16),
     TRUE,XLOOKUP("timeout_coarse_fast",Calibration!$B:$B,Calibration!$C:$C,24)
   ),
 AK229="Normal",
   IFS(
     OR(C229="B",C229="D"),XLOOKUP("timeout_coarse_normal",Calibration!$B:$B,Calibration!$C:$C,36),
     OR(C229="E",C229="F",C229="H",C229="I"),XLOOKUP("timeout_jcc_normal",Calibration!$B:$B,Calibration!$C:$C,14),
     OR(C229="G",C229="J"),XLOOKUP("timeout_duochrome_normal",Calibration!$B:$B,Calibration!$C:$C,10),
     C229="K",XLOOKUP("timeout_bino_normal",Calibration!$B:$B,Calibration!$C:$C,14),
     OR(C229="P",C229="Q",C229="R"),XLOOKUP("timeout_near_normal",Calibration!$B:$B,Calibration!$C:$C,22),
     TRUE,XLOOKUP("timeout_coarse_normal",Calibration!$B:$B,Calibration!$C:$C,36)
   ),
 TRUE,
   IFS(
     OR(C229="B",C229="D"),XLOOKUP("timeout_coarse_slow",Calibration!$B:$B,Calibration!$C:$C,48),
     OR(C229="E",C229="F",C229="H",C229="I"),XLOOKUP("timeout_jcc_slow",Calibration!$B:$B,Calibration!$C:$C,18),
     OR(C229="G",C229="J"),XLOOKUP("timeout_duochrome_slow",Calibration!$B:$B,Calibration!$C:$C,12),
     C229="K",XLOOKUP("timeout_bino_slow",Calibration!$B:$B,Calibration!$C:$C,18),
     OR(C229="P",C229="Q",C229="R"),XLOOKUP("timeout_near_slow",Calibration!$B:$B,Calibration!$C:$C,28),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AJ229=TRUE,"ESCALATE",
C229="A",
IF(OR(I229="NOT_READABLE",I229="BLURRY",AND(R229="20_20_20",I229="READABLE")),"B","A"),
C229="B",
IF(reEsc,"ESCALATE",IF(AY229&gt;=phaseMax,"ESCALATE",IF(AND(AV229&gt;=AW229,I229="READABLE"),"E","B"))),
C229="E",
IF(AY229&gt;=phaseMax,"ESCALATE",IF(OR(I229="SAME",I229="CANT_TELL",AD229&lt;axisTol),"F","E")),
C229="F",
IF(AY229&gt;=phaseMax,"ESCALATE",IF(AX229&gt;=powerSameN,"G","F")),
C229="G",
IF(AY229&gt;=phaseMax,"ESCALATE",IF(OR(AX229&gt;=duoEqualN,BB229&gt;=duoMax),"D","G")),
C229="D",
IF(leEsc,"ESCALATE",IF(AY229&gt;=phaseMax,"ESCALATE",IF(AND(AV229&gt;=AW229,I229="READABLE"),"H","D"))),
C229="H",
IF(AY229&gt;=phaseMax,"ESCALATE",IF(OR(I229="SAME",I229="CANT_TELL",AD229&lt;axisTol),"I","H")),
C229="I",
IF(AY229&gt;=phaseMax,"ESCALATE",IF(AX229&gt;=powerSameN,"J","I")),
C229="J",
IF(AY229&gt;=phaseMax,"ESCALATE",IF(OR(AX229&gt;=duoEqualN,BB229&gt;=duoMax),"K","J")),
C229="K",
IF(AY229&gt;=phaseMax,"ESCALATE",IF(AX229&gt;=binoSameN,IF(XLOOKUP($B229,Derived_Variables!$A:$A,Derived_Variables!$AJ:$AJ,FALSE)=TRUE,"P","END"),"K")),
C229="P",
IF(AY229&gt;=phaseMax,"ESCALATE",IF(OR(I229="READABLE",I229="SAME"),"Q","P")),
C229="Q",
IF(AY229&gt;=phaseMax,"ESCALATE",IF(OR(I229="READABLE",I229="SAME"),"R","Q")),
C229="R",
IF(AY229&gt;=phaseMax,"ESCALATE",IF(OR(I229=nearTarget,I229="SAME"),"END","R")),
TRUE,"END"
)))</f>
        <v/>
      </c>
      <c r="BD229" s="28" t="b">
        <f t="shared" si="19"/>
        <v>0</v>
      </c>
    </row>
    <row r="230" ht="15.75" customHeight="1">
      <c r="A230" s="28">
        <f t="shared" si="3"/>
        <v>229</v>
      </c>
      <c r="B230" s="28">
        <f t="shared" si="4"/>
        <v>6</v>
      </c>
      <c r="C230" s="28" t="str">
        <f t="shared" si="5"/>
        <v/>
      </c>
      <c r="D230" s="28" t="str">
        <f t="array" ref="D230">IF($I229="","",XLOOKUP(C230,FSM_State_Map!A:A,FSM_State_Map!B:B,""))</f>
        <v/>
      </c>
      <c r="E230" s="28" t="str">
        <f t="array" ref="E230">IF($I229="","",XLOOKUP(C230,FSM_State_Map!A:A,FSM_State_Map!C:C,""))</f>
        <v/>
      </c>
      <c r="F230" s="28" t="str">
        <f t="array" ref="F230">IF($I229="","",XLOOKUP(E230,Phase_UI_Map!A:A,Phase_UI_Map!B:B,""))</f>
        <v/>
      </c>
      <c r="G230" s="28" t="str">
        <f t="array" ref="G230">IF($I229="","",XLOOKUP(E230,Phase_UI_Map!A:A,Phase_UI_Map!C:C,""))</f>
        <v/>
      </c>
      <c r="H230" s="28" t="str">
        <f t="array" ref="H230">IF($I229="","",XLOOKUP(E230,Phase_UI_Map!A:A,Phase_UI_Map!D:D,""))</f>
        <v/>
      </c>
      <c r="I230" s="29"/>
      <c r="J230" s="28" t="str">
        <f>IFERROR(__xludf.DUMMYFUNCTION("IF($I229="""","""",IFERROR(INDEX(FILTER(Response_Lists!$B:$B,Response_Lists!$A:$A=$H230),1),""""))"),"")</f>
        <v/>
      </c>
      <c r="K230" s="28" t="str">
        <f>IFERROR(__xludf.DUMMYFUNCTION("IF($I229="""","""",IFERROR(INDEX(FILTER(Response_Lists!$B:$B,Response_Lists!$A:$A=$H230),2),""""))"),"")</f>
        <v/>
      </c>
      <c r="L230" s="28" t="str">
        <f>IFERROR(__xludf.DUMMYFUNCTION("IF($I229="""","""",IFERROR(INDEX(FILTER(Response_Lists!$B:$B,Response_Lists!$A:$A=$H230),3),""""))"),"")</f>
        <v/>
      </c>
      <c r="M230" s="28" t="str">
        <f>IFERROR(__xludf.DUMMYFUNCTION("IF($I229="""","""",IFERROR(INDEX(FILTER(Response_Lists!$B:$B,Response_Lists!$A:$A=$H230),4),""""))"),"")</f>
        <v/>
      </c>
      <c r="N230" s="28" t="str">
        <f>IFERROR(__xludf.DUMMYFUNCTION("IF($I229="""","""",IFERROR(INDEX(FILTER(Response_Lists!$B:$B,Response_Lists!$A:$A=$H230),5),""""))"),"")</f>
        <v/>
      </c>
      <c r="O230" s="28" t="str">
        <f>IFERROR(__xludf.DUMMYFUNCTION("IF($I229="""","""",IFERROR(INDEX(FILTER(Response_Lists!$B:$B,Response_Lists!$A:$A=$H230),6),""""))"),"")</f>
        <v/>
      </c>
      <c r="P230" s="28" t="str">
        <f t="shared" si="6"/>
        <v/>
      </c>
      <c r="Q230" s="28" t="str">
        <f t="array" ref="Q230">IF($I229="","",XLOOKUP(C230,FSM_State_Map!A:A,FSM_State_Map!D:D,""))</f>
        <v/>
      </c>
      <c r="R230" s="28" t="str">
        <f t="shared" si="7"/>
        <v/>
      </c>
      <c r="S230" s="28" t="str">
        <f t="array" ref="S230">IF($I229="","",
IF(
  AND(C230="B",C229&lt;&gt;"B"),
  XLOOKUP($B230,Derived_Variables!$A:$A,Derived_Variables!$K:$K,0)
  + XLOOKUP($B230,Derived_Variables!$A:$A,Derived_Variables!$AE:$AE,0),
  S229+AM229
))</f>
        <v/>
      </c>
      <c r="T230" s="28" t="str">
        <f t="shared" ref="T230:U230" si="470">IF($I229="","",T229+AN229)</f>
        <v/>
      </c>
      <c r="U230" s="28" t="str">
        <f t="shared" si="470"/>
        <v/>
      </c>
      <c r="V230" s="28" t="str">
        <f t="array" ref="V230">IF($I229="","",
IF(
  AND(C230="D",C229&lt;&gt;"D"),
  XLOOKUP($B230,Derived_Variables!$A:$A,Derived_Variables!$N:$N,0)
  + XLOOKUP($B230,Derived_Variables!$A:$A,Derived_Variables!$AE:$AE,0),
  V229+AP229
))</f>
        <v/>
      </c>
      <c r="W230" s="28" t="str">
        <f t="shared" ref="W230:X230" si="471">IF($I229="","",W229+AQ229)</f>
        <v/>
      </c>
      <c r="X230" s="28" t="str">
        <f t="shared" si="471"/>
        <v/>
      </c>
      <c r="Y230" s="28" t="str">
        <f t="array" ref="Y230">IF($I229="","",IF(AND(C230="P",C229&lt;&gt;"P"),IFERROR(XLOOKUP($B230,Lenso_Input!$A:$A,Lenso_Input!$E:$E,0),0),Y229+AS229))</f>
        <v/>
      </c>
      <c r="Z230" s="28" t="str">
        <f t="array" ref="Z230">IF($I229="","",IF(AND(C230="Q",C229&lt;&gt;"Q"),IFERROR(XLOOKUP($B230,Lenso_Input!$A:$A,Lenso_Input!$I:$I,0),0),Z229+AT229))</f>
        <v/>
      </c>
      <c r="AA230" s="28" t="str">
        <f t="array" ref="AA230">IF($I229="","",IF(XLOOKUP($B230,Derived_Variables!$A:$A,Derived_Variables!$R:$R,"6/6_target")="6/6_target","20_20_20","40_30_25"))</f>
        <v/>
      </c>
      <c r="AB230" s="28" t="str">
        <f t="array" ref="AB230">IF($I229="","",XLOOKUP(LOWER(XLOOKUP($B230,Derived_Variables!$A:$A,Derived_Variables!$T:$T,"Standard"))&amp;"_sph_step",Calibration!$B:$B,Calibration!$C:$C,0.25))</f>
        <v/>
      </c>
      <c r="AC230" s="28" t="str">
        <f t="array" ref="AC230">IF($I229="","",XLOOKUP(LOWER(XLOOKUP($B230,Derived_Variables!$A:$A,Derived_Variables!$T:$T,"Standard"))&amp;"_cyl_step",Calibration!$B:$B,Calibration!$C:$C,0.25))</f>
        <v/>
      </c>
      <c r="AD230" s="28" t="str">
        <f t="array" ref="AD230">IF($I229="","",IF(OR(C230="E",C230="H"),LET(startStep,XLOOKUP("axis_start_step",Calibration!$B:$B,Calibration!$C:$C,5),step1,XLOOKUP("axis_reversal_step_1",Calibration!$B:$B,Calibration!$C:$C,3),step2,XLOOKUP("axis_reversal_step_2",Calibration!$B:$B,Calibration!$C:$C,1),IF(OR(C229&lt;&gt;C230,AZ230="",AZ230="SAME",AZ230="CANT_TELL",I230="",I230="SAME",I230="CANT_TELL"),startStep,IF(OR(AND(AZ230="BETTER_1",I230="BETTER_2"),AND(AZ230="BETTER_2",I230="BETTER_1")),IF(AD229&gt;step1,step1,step2),AD229))),0))</f>
        <v/>
      </c>
      <c r="AE230" s="28" t="str">
        <f t="array" ref="AE230">IF($I229="","",XLOOKUP($B230,Derived_Variables!$A:$A,Derived_Variables!$AD:$AD,"No_Fog"))</f>
        <v/>
      </c>
      <c r="AF230" s="28" t="str">
        <f t="array" ref="AF230">IF($I229="","",XLOOKUP($B230,Derived_Variables!$A:$A,Derived_Variables!$AE:$AE,0))</f>
        <v/>
      </c>
      <c r="AG230" s="28" t="str">
        <f t="array" ref="AG230">IF($I229="","",XLOOKUP($B230,Derived_Variables!$A:$A,Derived_Variables!$AF:$AF,""))</f>
        <v/>
      </c>
      <c r="AH230" s="28" t="str">
        <f t="array" ref="AH230">IF($I229="","",XLOOKUP($B230,Derived_Variables!$A:$A,Derived_Variables!$AG:$AG,""))</f>
        <v/>
      </c>
      <c r="AI230" s="28" t="str">
        <f t="array" ref="AI230">IF($I229="","",XLOOKUP($B230,Derived_Variables!$A:$A,Derived_Variables!$AC:$AC,"Medium"))</f>
        <v/>
      </c>
      <c r="AJ230" s="28" t="str">
        <f t="array" ref="AJ230">IF($I229="","",XLOOKUP($B230,Derived_Variables!$A:$A,Derived_Variables!$Y:$Y,FALSE))</f>
        <v/>
      </c>
      <c r="AK230" s="28" t="str">
        <f t="array" ref="AK230">IF($I229="","",XLOOKUP($B230,Derived_Variables!$A:$A,Derived_Variables!$AA:$AA,"Normal"))</f>
        <v/>
      </c>
      <c r="AL230" s="28" t="str">
        <f t="array" ref="AL230">IF($I229="","",XLOOKUP($B230,Derived_Variables!$A:$A,Derived_Variables!$AB:$AB,"Normal"))</f>
        <v/>
      </c>
      <c r="AM230" s="28" t="str">
        <f t="array" ref="AM230">IF($I230="","",IFS(C230="B",IF(OR(I230="NOT_READABLE",I230="BLURRY"),-AB230,0),C230="G",IFS(I230="RED_CLEARER",XLOOKUP("duochrome_red_step",Calibration!$B:$B,Calibration!$C:$C,-0.25),I230="GREEN_CLEARER",XLOOKUP("duochrome_green_step",Calibration!$B:$B,Calibration!$C:$C,0.25),I230="EQUAL",IF(XLOOKUP($B230,Derived_Variables!$A:$A,Derived_Variables!$S:$S,"Neutral")="Undercorrect",XLOOKUP("undercorrect_step",Calibration!$B:$B,Calibration!$C:$C,0.25),IF(XLOOKUP($B230,Derived_Variables!$A:$A,Derived_Variables!$S:$S,"Neutral")="Overcorrect",-XLOOKUP("overcorrect_step",Calibration!$B:$B,Calibration!$C:$C,0.25),0)),TRUE,0),C230="K",IF(I230="TOP_CLEARER",XLOOKUP("bino_balance_step",Calibration!$B:$B,Calibration!$C:$C,0.25),0),TRUE,0))</f>
        <v/>
      </c>
      <c r="AN230" s="28" t="str">
        <f t="shared" si="10"/>
        <v/>
      </c>
      <c r="AO230" s="28" t="str">
        <f t="shared" si="11"/>
        <v/>
      </c>
      <c r="AP230" s="28" t="str">
        <f t="array" ref="AP230">IF($I230="","",IFS(C230="D",IF(OR(I230="NOT_READABLE",I230="BLURRY"),-AB230,0),C230="J",IFS(I230="RED_CLEARER",XLOOKUP("duochrome_red_step",Calibration!$B:$B,Calibration!$C:$C,-0.25),I230="GREEN_CLEARER",XLOOKUP("duochrome_green_step",Calibration!$B:$B,Calibration!$C:$C,0.25),I230="EQUAL",IF(XLOOKUP($B230,Derived_Variables!$A:$A,Derived_Variables!$S:$S,"Neutral")="Undercorrect",XLOOKUP("undercorrect_step",Calibration!$B:$B,Calibration!$C:$C,0.25),IF(XLOOKUP($B230,Derived_Variables!$A:$A,Derived_Variables!$S:$S,"Neutral")="Overcorrect",-XLOOKUP("overcorrect_step",Calibration!$B:$B,Calibration!$C:$C,0.25),0)),TRUE,0),C230="K",IF(I230="BOTTOM_CLEARER",XLOOKUP("bino_balance_step",Calibration!$B:$B,Calibration!$C:$C,0.25),0),TRUE,0))</f>
        <v/>
      </c>
      <c r="AQ230" s="28" t="str">
        <f t="shared" si="12"/>
        <v/>
      </c>
      <c r="AR230" s="28" t="str">
        <f t="shared" si="13"/>
        <v/>
      </c>
      <c r="AS230" s="28" t="str">
        <f t="array" ref="AS230">IF($I230="","",IF(C230="P",IF(OR(I230="NOT_READABLE",I230="BLURRY"),XLOOKUP("near_add_step",Calibration!$B:$B,Calibration!$C:$C,0.25),0),IF(C230="R",IF(I230="NOT_CLEAR",XLOOKUP("near_add_step",Calibration!$B:$B,Calibration!$C:$C,0.25),0),0)))</f>
        <v/>
      </c>
      <c r="AT230" s="28" t="str">
        <f t="array" ref="AT230">IF($I230="","",IF(C230="Q",IF(OR(I230="NOT_READABLE",I230="BLURRY"),XLOOKUP("near_add_step",Calibration!$B:$B,Calibration!$C:$C,0.25),0),IF(C230="R",IF(I230="NOT_CLEAR",XLOOKUP("near_add_step",Calibration!$B:$B,Calibration!$C:$C,0.25),0),0)))</f>
        <v/>
      </c>
      <c r="AU230" s="28" t="str">
        <f t="array" ref="AU230">IF($I230="","",IF(G230="SNELLEN_FEET",IF(I230="READABLE",IFERROR(XLOOKUP(XLOOKUP(R230,Chart_Scale_Distance!B:B,Chart_Scale_Distance!A:A)+1,Chart_Scale_Distance!A:A,Chart_Scale_Distance!B:B),R230),R230),R230))</f>
        <v/>
      </c>
      <c r="AV230" s="28" t="str">
        <f t="array" ref="AV230">IF($I229="","",IFERROR(XLOOKUP(R230,Chart_Scale_Distance!$B:$B,Chart_Scale_Distance!$A:$A,""),""))</f>
        <v/>
      </c>
      <c r="AW230" s="28" t="str">
        <f t="array" ref="AW230">IF($I229="","",IFERROR(XLOOKUP(AA230,Chart_Scale_Distance!$B:$B,Chart_Scale_Distance!$A:$A,""),""))</f>
        <v/>
      </c>
      <c r="AX230" s="28" t="str">
        <f t="shared" si="14"/>
        <v/>
      </c>
      <c r="AY230" s="28" t="str">
        <f t="shared" si="15"/>
        <v/>
      </c>
      <c r="AZ230" s="28" t="str">
        <f t="shared" si="16"/>
        <v/>
      </c>
      <c r="BA230" s="28" t="str">
        <f t="shared" si="17"/>
        <v/>
      </c>
      <c r="BB230" s="28" t="str">
        <f t="shared" si="18"/>
        <v/>
      </c>
      <c r="BC230" s="28" t="str">
        <f t="array" ref="BC230">IF($I230="","",LET(
conf,AI230,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duoMax,XLOOKUP($B230,Derived_Variables!$A:$A,Derived_Variables!$AI:$AI,4),
axisTol,XLOOKUP($B230,Derived_Variables!$A:$A,Derived_Variables!$W:$W,1),
maxStart,XLOOKUP($B230,Derived_Variables!$A:$A,Derived_Variables!$U:$U,1.25),
maxAR,XLOOKUP($B230,Derived_Variables!$A:$A,Derived_Variables!$V:$V,3),
anom,XLOOKUP($B230,Derived_Variables!$A:$A,Derived_Variables!$Z:$Z,FALSE),
reStart,XLOOKUP($B230,Derived_Variables!$A:$A,Derived_Variables!$K:$K,0),
leStart,XLOOKUP($B230,Derived_Variables!$A:$A,Derived_Variables!$N:$N,0),
reAR,XLOOKUP($B230,AR_Input!$A:$A,AR_Input!$B:$B,reStart),
leAR,XLOOKUP($B230,AR_Input!$A:$A,AR_Input!$E:$E,leStart),
reEsc,AND(anom,OR(ABS((S230+AM230)-reStart)&gt;maxStart,ABS((S230+AM230)-reAR)&gt;maxAR)),
leEsc,AND(anom,OR(ABS((V230+AP230)-leStart)&gt;maxStart,ABS((V230+AP230)-leAR)&gt;maxAR)),
phaseMax,IFS(
 AK230="Fast",
   IFS(
     OR(C230="B",C230="D"),XLOOKUP("timeout_coarse_fast",Calibration!$B:$B,Calibration!$C:$C,24),
     OR(C230="E",C230="F",C230="H",C230="I"),XLOOKUP("timeout_jcc_fast",Calibration!$B:$B,Calibration!$C:$C,10),
     OR(C230="G",C230="J"),XLOOKUP("timeout_duochrome_fast",Calibration!$B:$B,Calibration!$C:$C,8),
     C230="K",XLOOKUP("timeout_bino_fast",Calibration!$B:$B,Calibration!$C:$C,10),
     OR(C230="P",C230="Q",C230="R"),XLOOKUP("timeout_near_fast",Calibration!$B:$B,Calibration!$C:$C,16),
     TRUE,XLOOKUP("timeout_coarse_fast",Calibration!$B:$B,Calibration!$C:$C,24)
   ),
 AK230="Normal",
   IFS(
     OR(C230="B",C230="D"),XLOOKUP("timeout_coarse_normal",Calibration!$B:$B,Calibration!$C:$C,36),
     OR(C230="E",C230="F",C230="H",C230="I"),XLOOKUP("timeout_jcc_normal",Calibration!$B:$B,Calibration!$C:$C,14),
     OR(C230="G",C230="J"),XLOOKUP("timeout_duochrome_normal",Calibration!$B:$B,Calibration!$C:$C,10),
     C230="K",XLOOKUP("timeout_bino_normal",Calibration!$B:$B,Calibration!$C:$C,14),
     OR(C230="P",C230="Q",C230="R"),XLOOKUP("timeout_near_normal",Calibration!$B:$B,Calibration!$C:$C,22),
     TRUE,XLOOKUP("timeout_coarse_normal",Calibration!$B:$B,Calibration!$C:$C,36)
   ),
 TRUE,
   IFS(
     OR(C230="B",C230="D"),XLOOKUP("timeout_coarse_slow",Calibration!$B:$B,Calibration!$C:$C,48),
     OR(C230="E",C230="F",C230="H",C230="I"),XLOOKUP("timeout_jcc_slow",Calibration!$B:$B,Calibration!$C:$C,18),
     OR(C230="G",C230="J"),XLOOKUP("timeout_duochrome_slow",Calibration!$B:$B,Calibration!$C:$C,12),
     C230="K",XLOOKUP("timeout_bino_slow",Calibration!$B:$B,Calibration!$C:$C,18),
     OR(C230="P",C230="Q",C230="R"),XLOOKUP("timeout_near_slow",Calibration!$B:$B,Calibration!$C:$C,28),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AJ230=TRUE,"ESCALATE",
C230="A",
IF(OR(I230="NOT_READABLE",I230="BLURRY",AND(R230="20_20_20",I230="READABLE")),"B","A"),
C230="B",
IF(reEsc,"ESCALATE",IF(AY230&gt;=phaseMax,"ESCALATE",IF(AND(AV230&gt;=AW230,I230="READABLE"),"E","B"))),
C230="E",
IF(AY230&gt;=phaseMax,"ESCALATE",IF(OR(I230="SAME",I230="CANT_TELL",AD230&lt;axisTol),"F","E")),
C230="F",
IF(AY230&gt;=phaseMax,"ESCALATE",IF(AX230&gt;=powerSameN,"G","F")),
C230="G",
IF(AY230&gt;=phaseMax,"ESCALATE",IF(OR(AX230&gt;=duoEqualN,BB230&gt;=duoMax),"D","G")),
C230="D",
IF(leEsc,"ESCALATE",IF(AY230&gt;=phaseMax,"ESCALATE",IF(AND(AV230&gt;=AW230,I230="READABLE"),"H","D"))),
C230="H",
IF(AY230&gt;=phaseMax,"ESCALATE",IF(OR(I230="SAME",I230="CANT_TELL",AD230&lt;axisTol),"I","H")),
C230="I",
IF(AY230&gt;=phaseMax,"ESCALATE",IF(AX230&gt;=powerSameN,"J","I")),
C230="J",
IF(AY230&gt;=phaseMax,"ESCALATE",IF(OR(AX230&gt;=duoEqualN,BB230&gt;=duoMax),"K","J")),
C230="K",
IF(AY230&gt;=phaseMax,"ESCALATE",IF(AX230&gt;=binoSameN,IF(XLOOKUP($B230,Derived_Variables!$A:$A,Derived_Variables!$AJ:$AJ,FALSE)=TRUE,"P","END"),"K")),
C230="P",
IF(AY230&gt;=phaseMax,"ESCALATE",IF(OR(I230="READABLE",I230="SAME"),"Q","P")),
C230="Q",
IF(AY230&gt;=phaseMax,"ESCALATE",IF(OR(I230="READABLE",I230="SAME"),"R","Q")),
C230="R",
IF(AY230&gt;=phaseMax,"ESCALATE",IF(OR(I230=nearTarget,I230="SAME"),"END","R")),
TRUE,"END"
)))</f>
        <v/>
      </c>
      <c r="BD230" s="28" t="b">
        <f t="shared" si="19"/>
        <v>0</v>
      </c>
    </row>
    <row r="231" ht="15.75" customHeight="1">
      <c r="A231" s="28">
        <f t="shared" si="3"/>
        <v>230</v>
      </c>
      <c r="B231" s="28">
        <f t="shared" si="4"/>
        <v>6</v>
      </c>
      <c r="C231" s="28" t="str">
        <f t="shared" si="5"/>
        <v/>
      </c>
      <c r="D231" s="28" t="str">
        <f t="array" ref="D231">IF($I230="","",XLOOKUP(C231,FSM_State_Map!A:A,FSM_State_Map!B:B,""))</f>
        <v/>
      </c>
      <c r="E231" s="28" t="str">
        <f t="array" ref="E231">IF($I230="","",XLOOKUP(C231,FSM_State_Map!A:A,FSM_State_Map!C:C,""))</f>
        <v/>
      </c>
      <c r="F231" s="28" t="str">
        <f t="array" ref="F231">IF($I230="","",XLOOKUP(E231,Phase_UI_Map!A:A,Phase_UI_Map!B:B,""))</f>
        <v/>
      </c>
      <c r="G231" s="28" t="str">
        <f t="array" ref="G231">IF($I230="","",XLOOKUP(E231,Phase_UI_Map!A:A,Phase_UI_Map!C:C,""))</f>
        <v/>
      </c>
      <c r="H231" s="28" t="str">
        <f t="array" ref="H231">IF($I230="","",XLOOKUP(E231,Phase_UI_Map!A:A,Phase_UI_Map!D:D,""))</f>
        <v/>
      </c>
      <c r="I231" s="29"/>
      <c r="J231" s="28" t="str">
        <f>IFERROR(__xludf.DUMMYFUNCTION("IF($I230="""","""",IFERROR(INDEX(FILTER(Response_Lists!$B:$B,Response_Lists!$A:$A=$H231),1),""""))"),"")</f>
        <v/>
      </c>
      <c r="K231" s="28" t="str">
        <f>IFERROR(__xludf.DUMMYFUNCTION("IF($I230="""","""",IFERROR(INDEX(FILTER(Response_Lists!$B:$B,Response_Lists!$A:$A=$H231),2),""""))"),"")</f>
        <v/>
      </c>
      <c r="L231" s="28" t="str">
        <f>IFERROR(__xludf.DUMMYFUNCTION("IF($I230="""","""",IFERROR(INDEX(FILTER(Response_Lists!$B:$B,Response_Lists!$A:$A=$H231),3),""""))"),"")</f>
        <v/>
      </c>
      <c r="M231" s="28" t="str">
        <f>IFERROR(__xludf.DUMMYFUNCTION("IF($I230="""","""",IFERROR(INDEX(FILTER(Response_Lists!$B:$B,Response_Lists!$A:$A=$H231),4),""""))"),"")</f>
        <v/>
      </c>
      <c r="N231" s="28" t="str">
        <f>IFERROR(__xludf.DUMMYFUNCTION("IF($I230="""","""",IFERROR(INDEX(FILTER(Response_Lists!$B:$B,Response_Lists!$A:$A=$H231),5),""""))"),"")</f>
        <v/>
      </c>
      <c r="O231" s="28" t="str">
        <f>IFERROR(__xludf.DUMMYFUNCTION("IF($I230="""","""",IFERROR(INDEX(FILTER(Response_Lists!$B:$B,Response_Lists!$A:$A=$H231),6),""""))"),"")</f>
        <v/>
      </c>
      <c r="P231" s="28" t="str">
        <f t="shared" si="6"/>
        <v/>
      </c>
      <c r="Q231" s="28" t="str">
        <f t="array" ref="Q231">IF($I230="","",XLOOKUP(C231,FSM_State_Map!A:A,FSM_State_Map!D:D,""))</f>
        <v/>
      </c>
      <c r="R231" s="28" t="str">
        <f t="shared" si="7"/>
        <v/>
      </c>
      <c r="S231" s="28" t="str">
        <f t="array" ref="S231">IF($I230="","",
IF(
  AND(C231="B",C230&lt;&gt;"B"),
  XLOOKUP($B231,Derived_Variables!$A:$A,Derived_Variables!$K:$K,0)
  + XLOOKUP($B231,Derived_Variables!$A:$A,Derived_Variables!$AE:$AE,0),
  S230+AM230
))</f>
        <v/>
      </c>
      <c r="T231" s="28" t="str">
        <f t="shared" ref="T231:U231" si="472">IF($I230="","",T230+AN230)</f>
        <v/>
      </c>
      <c r="U231" s="28" t="str">
        <f t="shared" si="472"/>
        <v/>
      </c>
      <c r="V231" s="28" t="str">
        <f t="array" ref="V231">IF($I230="","",
IF(
  AND(C231="D",C230&lt;&gt;"D"),
  XLOOKUP($B231,Derived_Variables!$A:$A,Derived_Variables!$N:$N,0)
  + XLOOKUP($B231,Derived_Variables!$A:$A,Derived_Variables!$AE:$AE,0),
  V230+AP230
))</f>
        <v/>
      </c>
      <c r="W231" s="28" t="str">
        <f t="shared" ref="W231:X231" si="473">IF($I230="","",W230+AQ230)</f>
        <v/>
      </c>
      <c r="X231" s="28" t="str">
        <f t="shared" si="473"/>
        <v/>
      </c>
      <c r="Y231" s="28" t="str">
        <f t="array" ref="Y231">IF($I230="","",IF(AND(C231="P",C230&lt;&gt;"P"),IFERROR(XLOOKUP($B231,Lenso_Input!$A:$A,Lenso_Input!$E:$E,0),0),Y230+AS230))</f>
        <v/>
      </c>
      <c r="Z231" s="28" t="str">
        <f t="array" ref="Z231">IF($I230="","",IF(AND(C231="Q",C230&lt;&gt;"Q"),IFERROR(XLOOKUP($B231,Lenso_Input!$A:$A,Lenso_Input!$I:$I,0),0),Z230+AT230))</f>
        <v/>
      </c>
      <c r="AA231" s="28" t="str">
        <f t="array" ref="AA231">IF($I230="","",IF(XLOOKUP($B231,Derived_Variables!$A:$A,Derived_Variables!$R:$R,"6/6_target")="6/6_target","20_20_20","40_30_25"))</f>
        <v/>
      </c>
      <c r="AB231" s="28" t="str">
        <f t="array" ref="AB231">IF($I230="","",XLOOKUP(LOWER(XLOOKUP($B231,Derived_Variables!$A:$A,Derived_Variables!$T:$T,"Standard"))&amp;"_sph_step",Calibration!$B:$B,Calibration!$C:$C,0.25))</f>
        <v/>
      </c>
      <c r="AC231" s="28" t="str">
        <f t="array" ref="AC231">IF($I230="","",XLOOKUP(LOWER(XLOOKUP($B231,Derived_Variables!$A:$A,Derived_Variables!$T:$T,"Standard"))&amp;"_cyl_step",Calibration!$B:$B,Calibration!$C:$C,0.25))</f>
        <v/>
      </c>
      <c r="AD231" s="28" t="str">
        <f t="array" ref="AD231">IF($I230="","",IF(OR(C231="E",C231="H"),LET(startStep,XLOOKUP("axis_start_step",Calibration!$B:$B,Calibration!$C:$C,5),step1,XLOOKUP("axis_reversal_step_1",Calibration!$B:$B,Calibration!$C:$C,3),step2,XLOOKUP("axis_reversal_step_2",Calibration!$B:$B,Calibration!$C:$C,1),IF(OR(C230&lt;&gt;C231,AZ231="",AZ231="SAME",AZ231="CANT_TELL",I231="",I231="SAME",I231="CANT_TELL"),startStep,IF(OR(AND(AZ231="BETTER_1",I231="BETTER_2"),AND(AZ231="BETTER_2",I231="BETTER_1")),IF(AD230&gt;step1,step1,step2),AD230))),0))</f>
        <v/>
      </c>
      <c r="AE231" s="28" t="str">
        <f t="array" ref="AE231">IF($I230="","",XLOOKUP($B231,Derived_Variables!$A:$A,Derived_Variables!$AD:$AD,"No_Fog"))</f>
        <v/>
      </c>
      <c r="AF231" s="28" t="str">
        <f t="array" ref="AF231">IF($I230="","",XLOOKUP($B231,Derived_Variables!$A:$A,Derived_Variables!$AE:$AE,0))</f>
        <v/>
      </c>
      <c r="AG231" s="28" t="str">
        <f t="array" ref="AG231">IF($I230="","",XLOOKUP($B231,Derived_Variables!$A:$A,Derived_Variables!$AF:$AF,""))</f>
        <v/>
      </c>
      <c r="AH231" s="28" t="str">
        <f t="array" ref="AH231">IF($I230="","",XLOOKUP($B231,Derived_Variables!$A:$A,Derived_Variables!$AG:$AG,""))</f>
        <v/>
      </c>
      <c r="AI231" s="28" t="str">
        <f t="array" ref="AI231">IF($I230="","",XLOOKUP($B231,Derived_Variables!$A:$A,Derived_Variables!$AC:$AC,"Medium"))</f>
        <v/>
      </c>
      <c r="AJ231" s="28" t="str">
        <f t="array" ref="AJ231">IF($I230="","",XLOOKUP($B231,Derived_Variables!$A:$A,Derived_Variables!$Y:$Y,FALSE))</f>
        <v/>
      </c>
      <c r="AK231" s="28" t="str">
        <f t="array" ref="AK231">IF($I230="","",XLOOKUP($B231,Derived_Variables!$A:$A,Derived_Variables!$AA:$AA,"Normal"))</f>
        <v/>
      </c>
      <c r="AL231" s="28" t="str">
        <f t="array" ref="AL231">IF($I230="","",XLOOKUP($B231,Derived_Variables!$A:$A,Derived_Variables!$AB:$AB,"Normal"))</f>
        <v/>
      </c>
      <c r="AM231" s="28" t="str">
        <f t="array" ref="AM231">IF($I231="","",IFS(C231="B",IF(OR(I231="NOT_READABLE",I231="BLURRY"),-AB231,0),C231="G",IFS(I231="RED_CLEARER",XLOOKUP("duochrome_red_step",Calibration!$B:$B,Calibration!$C:$C,-0.25),I231="GREEN_CLEARER",XLOOKUP("duochrome_green_step",Calibration!$B:$B,Calibration!$C:$C,0.25),I231="EQUAL",IF(XLOOKUP($B231,Derived_Variables!$A:$A,Derived_Variables!$S:$S,"Neutral")="Undercorrect",XLOOKUP("undercorrect_step",Calibration!$B:$B,Calibration!$C:$C,0.25),IF(XLOOKUP($B231,Derived_Variables!$A:$A,Derived_Variables!$S:$S,"Neutral")="Overcorrect",-XLOOKUP("overcorrect_step",Calibration!$B:$B,Calibration!$C:$C,0.25),0)),TRUE,0),C231="K",IF(I231="TOP_CLEARER",XLOOKUP("bino_balance_step",Calibration!$B:$B,Calibration!$C:$C,0.25),0),TRUE,0))</f>
        <v/>
      </c>
      <c r="AN231" s="28" t="str">
        <f t="shared" si="10"/>
        <v/>
      </c>
      <c r="AO231" s="28" t="str">
        <f t="shared" si="11"/>
        <v/>
      </c>
      <c r="AP231" s="28" t="str">
        <f t="array" ref="AP231">IF($I231="","",IFS(C231="D",IF(OR(I231="NOT_READABLE",I231="BLURRY"),-AB231,0),C231="J",IFS(I231="RED_CLEARER",XLOOKUP("duochrome_red_step",Calibration!$B:$B,Calibration!$C:$C,-0.25),I231="GREEN_CLEARER",XLOOKUP("duochrome_green_step",Calibration!$B:$B,Calibration!$C:$C,0.25),I231="EQUAL",IF(XLOOKUP($B231,Derived_Variables!$A:$A,Derived_Variables!$S:$S,"Neutral")="Undercorrect",XLOOKUP("undercorrect_step",Calibration!$B:$B,Calibration!$C:$C,0.25),IF(XLOOKUP($B231,Derived_Variables!$A:$A,Derived_Variables!$S:$S,"Neutral")="Overcorrect",-XLOOKUP("overcorrect_step",Calibration!$B:$B,Calibration!$C:$C,0.25),0)),TRUE,0),C231="K",IF(I231="BOTTOM_CLEARER",XLOOKUP("bino_balance_step",Calibration!$B:$B,Calibration!$C:$C,0.25),0),TRUE,0))</f>
        <v/>
      </c>
      <c r="AQ231" s="28" t="str">
        <f t="shared" si="12"/>
        <v/>
      </c>
      <c r="AR231" s="28" t="str">
        <f t="shared" si="13"/>
        <v/>
      </c>
      <c r="AS231" s="28" t="str">
        <f t="array" ref="AS231">IF($I231="","",IF(C231="P",IF(OR(I231="NOT_READABLE",I231="BLURRY"),XLOOKUP("near_add_step",Calibration!$B:$B,Calibration!$C:$C,0.25),0),IF(C231="R",IF(I231="NOT_CLEAR",XLOOKUP("near_add_step",Calibration!$B:$B,Calibration!$C:$C,0.25),0),0)))</f>
        <v/>
      </c>
      <c r="AT231" s="28" t="str">
        <f t="array" ref="AT231">IF($I231="","",IF(C231="Q",IF(OR(I231="NOT_READABLE",I231="BLURRY"),XLOOKUP("near_add_step",Calibration!$B:$B,Calibration!$C:$C,0.25),0),IF(C231="R",IF(I231="NOT_CLEAR",XLOOKUP("near_add_step",Calibration!$B:$B,Calibration!$C:$C,0.25),0),0)))</f>
        <v/>
      </c>
      <c r="AU231" s="28" t="str">
        <f t="array" ref="AU231">IF($I231="","",IF(G231="SNELLEN_FEET",IF(I231="READABLE",IFERROR(XLOOKUP(XLOOKUP(R231,Chart_Scale_Distance!B:B,Chart_Scale_Distance!A:A)+1,Chart_Scale_Distance!A:A,Chart_Scale_Distance!B:B),R231),R231),R231))</f>
        <v/>
      </c>
      <c r="AV231" s="28" t="str">
        <f t="array" ref="AV231">IF($I230="","",IFERROR(XLOOKUP(R231,Chart_Scale_Distance!$B:$B,Chart_Scale_Distance!$A:$A,""),""))</f>
        <v/>
      </c>
      <c r="AW231" s="28" t="str">
        <f t="array" ref="AW231">IF($I230="","",IFERROR(XLOOKUP(AA231,Chart_Scale_Distance!$B:$B,Chart_Scale_Distance!$A:$A,""),""))</f>
        <v/>
      </c>
      <c r="AX231" s="28" t="str">
        <f t="shared" si="14"/>
        <v/>
      </c>
      <c r="AY231" s="28" t="str">
        <f t="shared" si="15"/>
        <v/>
      </c>
      <c r="AZ231" s="28" t="str">
        <f t="shared" si="16"/>
        <v/>
      </c>
      <c r="BA231" s="28" t="str">
        <f t="shared" si="17"/>
        <v/>
      </c>
      <c r="BB231" s="28" t="str">
        <f t="shared" si="18"/>
        <v/>
      </c>
      <c r="BC231" s="28" t="str">
        <f t="array" ref="BC231">IF($I231="","",LET(
conf,AI231,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duoMax,XLOOKUP($B231,Derived_Variables!$A:$A,Derived_Variables!$AI:$AI,4),
axisTol,XLOOKUP($B231,Derived_Variables!$A:$A,Derived_Variables!$W:$W,1),
maxStart,XLOOKUP($B231,Derived_Variables!$A:$A,Derived_Variables!$U:$U,1.25),
maxAR,XLOOKUP($B231,Derived_Variables!$A:$A,Derived_Variables!$V:$V,3),
anom,XLOOKUP($B231,Derived_Variables!$A:$A,Derived_Variables!$Z:$Z,FALSE),
reStart,XLOOKUP($B231,Derived_Variables!$A:$A,Derived_Variables!$K:$K,0),
leStart,XLOOKUP($B231,Derived_Variables!$A:$A,Derived_Variables!$N:$N,0),
reAR,XLOOKUP($B231,AR_Input!$A:$A,AR_Input!$B:$B,reStart),
leAR,XLOOKUP($B231,AR_Input!$A:$A,AR_Input!$E:$E,leStart),
reEsc,AND(anom,OR(ABS((S231+AM231)-reStart)&gt;maxStart,ABS((S231+AM231)-reAR)&gt;maxAR)),
leEsc,AND(anom,OR(ABS((V231+AP231)-leStart)&gt;maxStart,ABS((V231+AP231)-leAR)&gt;maxAR)),
phaseMax,IFS(
 AK231="Fast",
   IFS(
     OR(C231="B",C231="D"),XLOOKUP("timeout_coarse_fast",Calibration!$B:$B,Calibration!$C:$C,24),
     OR(C231="E",C231="F",C231="H",C231="I"),XLOOKUP("timeout_jcc_fast",Calibration!$B:$B,Calibration!$C:$C,10),
     OR(C231="G",C231="J"),XLOOKUP("timeout_duochrome_fast",Calibration!$B:$B,Calibration!$C:$C,8),
     C231="K",XLOOKUP("timeout_bino_fast",Calibration!$B:$B,Calibration!$C:$C,10),
     OR(C231="P",C231="Q",C231="R"),XLOOKUP("timeout_near_fast",Calibration!$B:$B,Calibration!$C:$C,16),
     TRUE,XLOOKUP("timeout_coarse_fast",Calibration!$B:$B,Calibration!$C:$C,24)
   ),
 AK231="Normal",
   IFS(
     OR(C231="B",C231="D"),XLOOKUP("timeout_coarse_normal",Calibration!$B:$B,Calibration!$C:$C,36),
     OR(C231="E",C231="F",C231="H",C231="I"),XLOOKUP("timeout_jcc_normal",Calibration!$B:$B,Calibration!$C:$C,14),
     OR(C231="G",C231="J"),XLOOKUP("timeout_duochrome_normal",Calibration!$B:$B,Calibration!$C:$C,10),
     C231="K",XLOOKUP("timeout_bino_normal",Calibration!$B:$B,Calibration!$C:$C,14),
     OR(C231="P",C231="Q",C231="R"),XLOOKUP("timeout_near_normal",Calibration!$B:$B,Calibration!$C:$C,22),
     TRUE,XLOOKUP("timeout_coarse_normal",Calibration!$B:$B,Calibration!$C:$C,36)
   ),
 TRUE,
   IFS(
     OR(C231="B",C231="D"),XLOOKUP("timeout_coarse_slow",Calibration!$B:$B,Calibration!$C:$C,48),
     OR(C231="E",C231="F",C231="H",C231="I"),XLOOKUP("timeout_jcc_slow",Calibration!$B:$B,Calibration!$C:$C,18),
     OR(C231="G",C231="J"),XLOOKUP("timeout_duochrome_slow",Calibration!$B:$B,Calibration!$C:$C,12),
     C231="K",XLOOKUP("timeout_bino_slow",Calibration!$B:$B,Calibration!$C:$C,18),
     OR(C231="P",C231="Q",C231="R"),XLOOKUP("timeout_near_slow",Calibration!$B:$B,Calibration!$C:$C,28),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AJ231=TRUE,"ESCALATE",
C231="A",
IF(OR(I231="NOT_READABLE",I231="BLURRY",AND(R231="20_20_20",I231="READABLE")),"B","A"),
C231="B",
IF(reEsc,"ESCALATE",IF(AY231&gt;=phaseMax,"ESCALATE",IF(AND(AV231&gt;=AW231,I231="READABLE"),"E","B"))),
C231="E",
IF(AY231&gt;=phaseMax,"ESCALATE",IF(OR(I231="SAME",I231="CANT_TELL",AD231&lt;axisTol),"F","E")),
C231="F",
IF(AY231&gt;=phaseMax,"ESCALATE",IF(AX231&gt;=powerSameN,"G","F")),
C231="G",
IF(AY231&gt;=phaseMax,"ESCALATE",IF(OR(AX231&gt;=duoEqualN,BB231&gt;=duoMax),"D","G")),
C231="D",
IF(leEsc,"ESCALATE",IF(AY231&gt;=phaseMax,"ESCALATE",IF(AND(AV231&gt;=AW231,I231="READABLE"),"H","D"))),
C231="H",
IF(AY231&gt;=phaseMax,"ESCALATE",IF(OR(I231="SAME",I231="CANT_TELL",AD231&lt;axisTol),"I","H")),
C231="I",
IF(AY231&gt;=phaseMax,"ESCALATE",IF(AX231&gt;=powerSameN,"J","I")),
C231="J",
IF(AY231&gt;=phaseMax,"ESCALATE",IF(OR(AX231&gt;=duoEqualN,BB231&gt;=duoMax),"K","J")),
C231="K",
IF(AY231&gt;=phaseMax,"ESCALATE",IF(AX231&gt;=binoSameN,IF(XLOOKUP($B231,Derived_Variables!$A:$A,Derived_Variables!$AJ:$AJ,FALSE)=TRUE,"P","END"),"K")),
C231="P",
IF(AY231&gt;=phaseMax,"ESCALATE",IF(OR(I231="READABLE",I231="SAME"),"Q","P")),
C231="Q",
IF(AY231&gt;=phaseMax,"ESCALATE",IF(OR(I231="READABLE",I231="SAME"),"R","Q")),
C231="R",
IF(AY231&gt;=phaseMax,"ESCALATE",IF(OR(I231=nearTarget,I231="SAME"),"END","R")),
TRUE,"END"
)))</f>
        <v/>
      </c>
      <c r="BD231" s="28" t="b">
        <f t="shared" si="19"/>
        <v>0</v>
      </c>
    </row>
    <row r="232" ht="15.75" customHeight="1">
      <c r="A232" s="28">
        <f t="shared" si="3"/>
        <v>231</v>
      </c>
      <c r="B232" s="28">
        <f t="shared" si="4"/>
        <v>6</v>
      </c>
      <c r="C232" s="28" t="str">
        <f t="shared" si="5"/>
        <v/>
      </c>
      <c r="D232" s="28" t="str">
        <f t="array" ref="D232">IF($I231="","",XLOOKUP(C232,FSM_State_Map!A:A,FSM_State_Map!B:B,""))</f>
        <v/>
      </c>
      <c r="E232" s="28" t="str">
        <f t="array" ref="E232">IF($I231="","",XLOOKUP(C232,FSM_State_Map!A:A,FSM_State_Map!C:C,""))</f>
        <v/>
      </c>
      <c r="F232" s="28" t="str">
        <f t="array" ref="F232">IF($I231="","",XLOOKUP(E232,Phase_UI_Map!A:A,Phase_UI_Map!B:B,""))</f>
        <v/>
      </c>
      <c r="G232" s="28" t="str">
        <f t="array" ref="G232">IF($I231="","",XLOOKUP(E232,Phase_UI_Map!A:A,Phase_UI_Map!C:C,""))</f>
        <v/>
      </c>
      <c r="H232" s="28" t="str">
        <f t="array" ref="H232">IF($I231="","",XLOOKUP(E232,Phase_UI_Map!A:A,Phase_UI_Map!D:D,""))</f>
        <v/>
      </c>
      <c r="I232" s="29"/>
      <c r="J232" s="28" t="str">
        <f>IFERROR(__xludf.DUMMYFUNCTION("IF($I231="""","""",IFERROR(INDEX(FILTER(Response_Lists!$B:$B,Response_Lists!$A:$A=$H232),1),""""))"),"")</f>
        <v/>
      </c>
      <c r="K232" s="28" t="str">
        <f>IFERROR(__xludf.DUMMYFUNCTION("IF($I231="""","""",IFERROR(INDEX(FILTER(Response_Lists!$B:$B,Response_Lists!$A:$A=$H232),2),""""))"),"")</f>
        <v/>
      </c>
      <c r="L232" s="28" t="str">
        <f>IFERROR(__xludf.DUMMYFUNCTION("IF($I231="""","""",IFERROR(INDEX(FILTER(Response_Lists!$B:$B,Response_Lists!$A:$A=$H232),3),""""))"),"")</f>
        <v/>
      </c>
      <c r="M232" s="28" t="str">
        <f>IFERROR(__xludf.DUMMYFUNCTION("IF($I231="""","""",IFERROR(INDEX(FILTER(Response_Lists!$B:$B,Response_Lists!$A:$A=$H232),4),""""))"),"")</f>
        <v/>
      </c>
      <c r="N232" s="28" t="str">
        <f>IFERROR(__xludf.DUMMYFUNCTION("IF($I231="""","""",IFERROR(INDEX(FILTER(Response_Lists!$B:$B,Response_Lists!$A:$A=$H232),5),""""))"),"")</f>
        <v/>
      </c>
      <c r="O232" s="28" t="str">
        <f>IFERROR(__xludf.DUMMYFUNCTION("IF($I231="""","""",IFERROR(INDEX(FILTER(Response_Lists!$B:$B,Response_Lists!$A:$A=$H232),6),""""))"),"")</f>
        <v/>
      </c>
      <c r="P232" s="28" t="str">
        <f t="shared" si="6"/>
        <v/>
      </c>
      <c r="Q232" s="28" t="str">
        <f t="array" ref="Q232">IF($I231="","",XLOOKUP(C232,FSM_State_Map!A:A,FSM_State_Map!D:D,""))</f>
        <v/>
      </c>
      <c r="R232" s="28" t="str">
        <f t="shared" si="7"/>
        <v/>
      </c>
      <c r="S232" s="28" t="str">
        <f t="array" ref="S232">IF($I231="","",
IF(
  AND(C232="B",C231&lt;&gt;"B"),
  XLOOKUP($B232,Derived_Variables!$A:$A,Derived_Variables!$K:$K,0)
  + XLOOKUP($B232,Derived_Variables!$A:$A,Derived_Variables!$AE:$AE,0),
  S231+AM231
))</f>
        <v/>
      </c>
      <c r="T232" s="28" t="str">
        <f t="shared" ref="T232:U232" si="474">IF($I231="","",T231+AN231)</f>
        <v/>
      </c>
      <c r="U232" s="28" t="str">
        <f t="shared" si="474"/>
        <v/>
      </c>
      <c r="V232" s="28" t="str">
        <f t="array" ref="V232">IF($I231="","",
IF(
  AND(C232="D",C231&lt;&gt;"D"),
  XLOOKUP($B232,Derived_Variables!$A:$A,Derived_Variables!$N:$N,0)
  + XLOOKUP($B232,Derived_Variables!$A:$A,Derived_Variables!$AE:$AE,0),
  V231+AP231
))</f>
        <v/>
      </c>
      <c r="W232" s="28" t="str">
        <f t="shared" ref="W232:X232" si="475">IF($I231="","",W231+AQ231)</f>
        <v/>
      </c>
      <c r="X232" s="28" t="str">
        <f t="shared" si="475"/>
        <v/>
      </c>
      <c r="Y232" s="28" t="str">
        <f t="array" ref="Y232">IF($I231="","",IF(AND(C232="P",C231&lt;&gt;"P"),IFERROR(XLOOKUP($B232,Lenso_Input!$A:$A,Lenso_Input!$E:$E,0),0),Y231+AS231))</f>
        <v/>
      </c>
      <c r="Z232" s="28" t="str">
        <f t="array" ref="Z232">IF($I231="","",IF(AND(C232="Q",C231&lt;&gt;"Q"),IFERROR(XLOOKUP($B232,Lenso_Input!$A:$A,Lenso_Input!$I:$I,0),0),Z231+AT231))</f>
        <v/>
      </c>
      <c r="AA232" s="28" t="str">
        <f t="array" ref="AA232">IF($I231="","",IF(XLOOKUP($B232,Derived_Variables!$A:$A,Derived_Variables!$R:$R,"6/6_target")="6/6_target","20_20_20","40_30_25"))</f>
        <v/>
      </c>
      <c r="AB232" s="28" t="str">
        <f t="array" ref="AB232">IF($I231="","",XLOOKUP(LOWER(XLOOKUP($B232,Derived_Variables!$A:$A,Derived_Variables!$T:$T,"Standard"))&amp;"_sph_step",Calibration!$B:$B,Calibration!$C:$C,0.25))</f>
        <v/>
      </c>
      <c r="AC232" s="28" t="str">
        <f t="array" ref="AC232">IF($I231="","",XLOOKUP(LOWER(XLOOKUP($B232,Derived_Variables!$A:$A,Derived_Variables!$T:$T,"Standard"))&amp;"_cyl_step",Calibration!$B:$B,Calibration!$C:$C,0.25))</f>
        <v/>
      </c>
      <c r="AD232" s="28" t="str">
        <f t="array" ref="AD232">IF($I231="","",IF(OR(C232="E",C232="H"),LET(startStep,XLOOKUP("axis_start_step",Calibration!$B:$B,Calibration!$C:$C,5),step1,XLOOKUP("axis_reversal_step_1",Calibration!$B:$B,Calibration!$C:$C,3),step2,XLOOKUP("axis_reversal_step_2",Calibration!$B:$B,Calibration!$C:$C,1),IF(OR(C231&lt;&gt;C232,AZ232="",AZ232="SAME",AZ232="CANT_TELL",I232="",I232="SAME",I232="CANT_TELL"),startStep,IF(OR(AND(AZ232="BETTER_1",I232="BETTER_2"),AND(AZ232="BETTER_2",I232="BETTER_1")),IF(AD231&gt;step1,step1,step2),AD231))),0))</f>
        <v/>
      </c>
      <c r="AE232" s="28" t="str">
        <f t="array" ref="AE232">IF($I231="","",XLOOKUP($B232,Derived_Variables!$A:$A,Derived_Variables!$AD:$AD,"No_Fog"))</f>
        <v/>
      </c>
      <c r="AF232" s="28" t="str">
        <f t="array" ref="AF232">IF($I231="","",XLOOKUP($B232,Derived_Variables!$A:$A,Derived_Variables!$AE:$AE,0))</f>
        <v/>
      </c>
      <c r="AG232" s="28" t="str">
        <f t="array" ref="AG232">IF($I231="","",XLOOKUP($B232,Derived_Variables!$A:$A,Derived_Variables!$AF:$AF,""))</f>
        <v/>
      </c>
      <c r="AH232" s="28" t="str">
        <f t="array" ref="AH232">IF($I231="","",XLOOKUP($B232,Derived_Variables!$A:$A,Derived_Variables!$AG:$AG,""))</f>
        <v/>
      </c>
      <c r="AI232" s="28" t="str">
        <f t="array" ref="AI232">IF($I231="","",XLOOKUP($B232,Derived_Variables!$A:$A,Derived_Variables!$AC:$AC,"Medium"))</f>
        <v/>
      </c>
      <c r="AJ232" s="28" t="str">
        <f t="array" ref="AJ232">IF($I231="","",XLOOKUP($B232,Derived_Variables!$A:$A,Derived_Variables!$Y:$Y,FALSE))</f>
        <v/>
      </c>
      <c r="AK232" s="28" t="str">
        <f t="array" ref="AK232">IF($I231="","",XLOOKUP($B232,Derived_Variables!$A:$A,Derived_Variables!$AA:$AA,"Normal"))</f>
        <v/>
      </c>
      <c r="AL232" s="28" t="str">
        <f t="array" ref="AL232">IF($I231="","",XLOOKUP($B232,Derived_Variables!$A:$A,Derived_Variables!$AB:$AB,"Normal"))</f>
        <v/>
      </c>
      <c r="AM232" s="28" t="str">
        <f t="array" ref="AM232">IF($I232="","",IFS(C232="B",IF(OR(I232="NOT_READABLE",I232="BLURRY"),-AB232,0),C232="G",IFS(I232="RED_CLEARER",XLOOKUP("duochrome_red_step",Calibration!$B:$B,Calibration!$C:$C,-0.25),I232="GREEN_CLEARER",XLOOKUP("duochrome_green_step",Calibration!$B:$B,Calibration!$C:$C,0.25),I232="EQUAL",IF(XLOOKUP($B232,Derived_Variables!$A:$A,Derived_Variables!$S:$S,"Neutral")="Undercorrect",XLOOKUP("undercorrect_step",Calibration!$B:$B,Calibration!$C:$C,0.25),IF(XLOOKUP($B232,Derived_Variables!$A:$A,Derived_Variables!$S:$S,"Neutral")="Overcorrect",-XLOOKUP("overcorrect_step",Calibration!$B:$B,Calibration!$C:$C,0.25),0)),TRUE,0),C232="K",IF(I232="TOP_CLEARER",XLOOKUP("bino_balance_step",Calibration!$B:$B,Calibration!$C:$C,0.25),0),TRUE,0))</f>
        <v/>
      </c>
      <c r="AN232" s="28" t="str">
        <f t="shared" si="10"/>
        <v/>
      </c>
      <c r="AO232" s="28" t="str">
        <f t="shared" si="11"/>
        <v/>
      </c>
      <c r="AP232" s="28" t="str">
        <f t="array" ref="AP232">IF($I232="","",IFS(C232="D",IF(OR(I232="NOT_READABLE",I232="BLURRY"),-AB232,0),C232="J",IFS(I232="RED_CLEARER",XLOOKUP("duochrome_red_step",Calibration!$B:$B,Calibration!$C:$C,-0.25),I232="GREEN_CLEARER",XLOOKUP("duochrome_green_step",Calibration!$B:$B,Calibration!$C:$C,0.25),I232="EQUAL",IF(XLOOKUP($B232,Derived_Variables!$A:$A,Derived_Variables!$S:$S,"Neutral")="Undercorrect",XLOOKUP("undercorrect_step",Calibration!$B:$B,Calibration!$C:$C,0.25),IF(XLOOKUP($B232,Derived_Variables!$A:$A,Derived_Variables!$S:$S,"Neutral")="Overcorrect",-XLOOKUP("overcorrect_step",Calibration!$B:$B,Calibration!$C:$C,0.25),0)),TRUE,0),C232="K",IF(I232="BOTTOM_CLEARER",XLOOKUP("bino_balance_step",Calibration!$B:$B,Calibration!$C:$C,0.25),0),TRUE,0))</f>
        <v/>
      </c>
      <c r="AQ232" s="28" t="str">
        <f t="shared" si="12"/>
        <v/>
      </c>
      <c r="AR232" s="28" t="str">
        <f t="shared" si="13"/>
        <v/>
      </c>
      <c r="AS232" s="28" t="str">
        <f t="array" ref="AS232">IF($I232="","",IF(C232="P",IF(OR(I232="NOT_READABLE",I232="BLURRY"),XLOOKUP("near_add_step",Calibration!$B:$B,Calibration!$C:$C,0.25),0),IF(C232="R",IF(I232="NOT_CLEAR",XLOOKUP("near_add_step",Calibration!$B:$B,Calibration!$C:$C,0.25),0),0)))</f>
        <v/>
      </c>
      <c r="AT232" s="28" t="str">
        <f t="array" ref="AT232">IF($I232="","",IF(C232="Q",IF(OR(I232="NOT_READABLE",I232="BLURRY"),XLOOKUP("near_add_step",Calibration!$B:$B,Calibration!$C:$C,0.25),0),IF(C232="R",IF(I232="NOT_CLEAR",XLOOKUP("near_add_step",Calibration!$B:$B,Calibration!$C:$C,0.25),0),0)))</f>
        <v/>
      </c>
      <c r="AU232" s="28" t="str">
        <f t="array" ref="AU232">IF($I232="","",IF(G232="SNELLEN_FEET",IF(I232="READABLE",IFERROR(XLOOKUP(XLOOKUP(R232,Chart_Scale_Distance!B:B,Chart_Scale_Distance!A:A)+1,Chart_Scale_Distance!A:A,Chart_Scale_Distance!B:B),R232),R232),R232))</f>
        <v/>
      </c>
      <c r="AV232" s="28" t="str">
        <f t="array" ref="AV232">IF($I231="","",IFERROR(XLOOKUP(R232,Chart_Scale_Distance!$B:$B,Chart_Scale_Distance!$A:$A,""),""))</f>
        <v/>
      </c>
      <c r="AW232" s="28" t="str">
        <f t="array" ref="AW232">IF($I231="","",IFERROR(XLOOKUP(AA232,Chart_Scale_Distance!$B:$B,Chart_Scale_Distance!$A:$A,""),""))</f>
        <v/>
      </c>
      <c r="AX232" s="28" t="str">
        <f t="shared" si="14"/>
        <v/>
      </c>
      <c r="AY232" s="28" t="str">
        <f t="shared" si="15"/>
        <v/>
      </c>
      <c r="AZ232" s="28" t="str">
        <f t="shared" si="16"/>
        <v/>
      </c>
      <c r="BA232" s="28" t="str">
        <f t="shared" si="17"/>
        <v/>
      </c>
      <c r="BB232" s="28" t="str">
        <f t="shared" si="18"/>
        <v/>
      </c>
      <c r="BC232" s="28" t="str">
        <f t="array" ref="BC232">IF($I232="","",LET(
conf,AI232,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duoMax,XLOOKUP($B232,Derived_Variables!$A:$A,Derived_Variables!$AI:$AI,4),
axisTol,XLOOKUP($B232,Derived_Variables!$A:$A,Derived_Variables!$W:$W,1),
maxStart,XLOOKUP($B232,Derived_Variables!$A:$A,Derived_Variables!$U:$U,1.25),
maxAR,XLOOKUP($B232,Derived_Variables!$A:$A,Derived_Variables!$V:$V,3),
anom,XLOOKUP($B232,Derived_Variables!$A:$A,Derived_Variables!$Z:$Z,FALSE),
reStart,XLOOKUP($B232,Derived_Variables!$A:$A,Derived_Variables!$K:$K,0),
leStart,XLOOKUP($B232,Derived_Variables!$A:$A,Derived_Variables!$N:$N,0),
reAR,XLOOKUP($B232,AR_Input!$A:$A,AR_Input!$B:$B,reStart),
leAR,XLOOKUP($B232,AR_Input!$A:$A,AR_Input!$E:$E,leStart),
reEsc,AND(anom,OR(ABS((S232+AM232)-reStart)&gt;maxStart,ABS((S232+AM232)-reAR)&gt;maxAR)),
leEsc,AND(anom,OR(ABS((V232+AP232)-leStart)&gt;maxStart,ABS((V232+AP232)-leAR)&gt;maxAR)),
phaseMax,IFS(
 AK232="Fast",
   IFS(
     OR(C232="B",C232="D"),XLOOKUP("timeout_coarse_fast",Calibration!$B:$B,Calibration!$C:$C,24),
     OR(C232="E",C232="F",C232="H",C232="I"),XLOOKUP("timeout_jcc_fast",Calibration!$B:$B,Calibration!$C:$C,10),
     OR(C232="G",C232="J"),XLOOKUP("timeout_duochrome_fast",Calibration!$B:$B,Calibration!$C:$C,8),
     C232="K",XLOOKUP("timeout_bino_fast",Calibration!$B:$B,Calibration!$C:$C,10),
     OR(C232="P",C232="Q",C232="R"),XLOOKUP("timeout_near_fast",Calibration!$B:$B,Calibration!$C:$C,16),
     TRUE,XLOOKUP("timeout_coarse_fast",Calibration!$B:$B,Calibration!$C:$C,24)
   ),
 AK232="Normal",
   IFS(
     OR(C232="B",C232="D"),XLOOKUP("timeout_coarse_normal",Calibration!$B:$B,Calibration!$C:$C,36),
     OR(C232="E",C232="F",C232="H",C232="I"),XLOOKUP("timeout_jcc_normal",Calibration!$B:$B,Calibration!$C:$C,14),
     OR(C232="G",C232="J"),XLOOKUP("timeout_duochrome_normal",Calibration!$B:$B,Calibration!$C:$C,10),
     C232="K",XLOOKUP("timeout_bino_normal",Calibration!$B:$B,Calibration!$C:$C,14),
     OR(C232="P",C232="Q",C232="R"),XLOOKUP("timeout_near_normal",Calibration!$B:$B,Calibration!$C:$C,22),
     TRUE,XLOOKUP("timeout_coarse_normal",Calibration!$B:$B,Calibration!$C:$C,36)
   ),
 TRUE,
   IFS(
     OR(C232="B",C232="D"),XLOOKUP("timeout_coarse_slow",Calibration!$B:$B,Calibration!$C:$C,48),
     OR(C232="E",C232="F",C232="H",C232="I"),XLOOKUP("timeout_jcc_slow",Calibration!$B:$B,Calibration!$C:$C,18),
     OR(C232="G",C232="J"),XLOOKUP("timeout_duochrome_slow",Calibration!$B:$B,Calibration!$C:$C,12),
     C232="K",XLOOKUP("timeout_bino_slow",Calibration!$B:$B,Calibration!$C:$C,18),
     OR(C232="P",C232="Q",C232="R"),XLOOKUP("timeout_near_slow",Calibration!$B:$B,Calibration!$C:$C,28),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AJ232=TRUE,"ESCALATE",
C232="A",
IF(OR(I232="NOT_READABLE",I232="BLURRY",AND(R232="20_20_20",I232="READABLE")),"B","A"),
C232="B",
IF(reEsc,"ESCALATE",IF(AY232&gt;=phaseMax,"ESCALATE",IF(AND(AV232&gt;=AW232,I232="READABLE"),"E","B"))),
C232="E",
IF(AY232&gt;=phaseMax,"ESCALATE",IF(OR(I232="SAME",I232="CANT_TELL",AD232&lt;axisTol),"F","E")),
C232="F",
IF(AY232&gt;=phaseMax,"ESCALATE",IF(AX232&gt;=powerSameN,"G","F")),
C232="G",
IF(AY232&gt;=phaseMax,"ESCALATE",IF(OR(AX232&gt;=duoEqualN,BB232&gt;=duoMax),"D","G")),
C232="D",
IF(leEsc,"ESCALATE",IF(AY232&gt;=phaseMax,"ESCALATE",IF(AND(AV232&gt;=AW232,I232="READABLE"),"H","D"))),
C232="H",
IF(AY232&gt;=phaseMax,"ESCALATE",IF(OR(I232="SAME",I232="CANT_TELL",AD232&lt;axisTol),"I","H")),
C232="I",
IF(AY232&gt;=phaseMax,"ESCALATE",IF(AX232&gt;=powerSameN,"J","I")),
C232="J",
IF(AY232&gt;=phaseMax,"ESCALATE",IF(OR(AX232&gt;=duoEqualN,BB232&gt;=duoMax),"K","J")),
C232="K",
IF(AY232&gt;=phaseMax,"ESCALATE",IF(AX232&gt;=binoSameN,IF(XLOOKUP($B232,Derived_Variables!$A:$A,Derived_Variables!$AJ:$AJ,FALSE)=TRUE,"P","END"),"K")),
C232="P",
IF(AY232&gt;=phaseMax,"ESCALATE",IF(OR(I232="READABLE",I232="SAME"),"Q","P")),
C232="Q",
IF(AY232&gt;=phaseMax,"ESCALATE",IF(OR(I232="READABLE",I232="SAME"),"R","Q")),
C232="R",
IF(AY232&gt;=phaseMax,"ESCALATE",IF(OR(I232=nearTarget,I232="SAME"),"END","R")),
TRUE,"END"
)))</f>
        <v/>
      </c>
      <c r="BD232" s="28" t="b">
        <f t="shared" si="19"/>
        <v>0</v>
      </c>
    </row>
    <row r="233" ht="15.75" customHeight="1">
      <c r="A233" s="28">
        <f t="shared" si="3"/>
        <v>232</v>
      </c>
      <c r="B233" s="28">
        <f t="shared" si="4"/>
        <v>6</v>
      </c>
      <c r="C233" s="28" t="str">
        <f t="shared" si="5"/>
        <v/>
      </c>
      <c r="D233" s="28" t="str">
        <f t="array" ref="D233">IF($I232="","",XLOOKUP(C233,FSM_State_Map!A:A,FSM_State_Map!B:B,""))</f>
        <v/>
      </c>
      <c r="E233" s="28" t="str">
        <f t="array" ref="E233">IF($I232="","",XLOOKUP(C233,FSM_State_Map!A:A,FSM_State_Map!C:C,""))</f>
        <v/>
      </c>
      <c r="F233" s="28" t="str">
        <f t="array" ref="F233">IF($I232="","",XLOOKUP(E233,Phase_UI_Map!A:A,Phase_UI_Map!B:B,""))</f>
        <v/>
      </c>
      <c r="G233" s="28" t="str">
        <f t="array" ref="G233">IF($I232="","",XLOOKUP(E233,Phase_UI_Map!A:A,Phase_UI_Map!C:C,""))</f>
        <v/>
      </c>
      <c r="H233" s="28" t="str">
        <f t="array" ref="H233">IF($I232="","",XLOOKUP(E233,Phase_UI_Map!A:A,Phase_UI_Map!D:D,""))</f>
        <v/>
      </c>
      <c r="I233" s="29"/>
      <c r="J233" s="28" t="str">
        <f>IFERROR(__xludf.DUMMYFUNCTION("IF($I232="""","""",IFERROR(INDEX(FILTER(Response_Lists!$B:$B,Response_Lists!$A:$A=$H233),1),""""))"),"")</f>
        <v/>
      </c>
      <c r="K233" s="28" t="str">
        <f>IFERROR(__xludf.DUMMYFUNCTION("IF($I232="""","""",IFERROR(INDEX(FILTER(Response_Lists!$B:$B,Response_Lists!$A:$A=$H233),2),""""))"),"")</f>
        <v/>
      </c>
      <c r="L233" s="28" t="str">
        <f>IFERROR(__xludf.DUMMYFUNCTION("IF($I232="""","""",IFERROR(INDEX(FILTER(Response_Lists!$B:$B,Response_Lists!$A:$A=$H233),3),""""))"),"")</f>
        <v/>
      </c>
      <c r="M233" s="28" t="str">
        <f>IFERROR(__xludf.DUMMYFUNCTION("IF($I232="""","""",IFERROR(INDEX(FILTER(Response_Lists!$B:$B,Response_Lists!$A:$A=$H233),4),""""))"),"")</f>
        <v/>
      </c>
      <c r="N233" s="28" t="str">
        <f>IFERROR(__xludf.DUMMYFUNCTION("IF($I232="""","""",IFERROR(INDEX(FILTER(Response_Lists!$B:$B,Response_Lists!$A:$A=$H233),5),""""))"),"")</f>
        <v/>
      </c>
      <c r="O233" s="28" t="str">
        <f>IFERROR(__xludf.DUMMYFUNCTION("IF($I232="""","""",IFERROR(INDEX(FILTER(Response_Lists!$B:$B,Response_Lists!$A:$A=$H233),6),""""))"),"")</f>
        <v/>
      </c>
      <c r="P233" s="28" t="str">
        <f t="shared" si="6"/>
        <v/>
      </c>
      <c r="Q233" s="28" t="str">
        <f t="array" ref="Q233">IF($I232="","",XLOOKUP(C233,FSM_State_Map!A:A,FSM_State_Map!D:D,""))</f>
        <v/>
      </c>
      <c r="R233" s="28" t="str">
        <f t="shared" si="7"/>
        <v/>
      </c>
      <c r="S233" s="28" t="str">
        <f t="array" ref="S233">IF($I232="","",
IF(
  AND(C233="B",C232&lt;&gt;"B"),
  XLOOKUP($B233,Derived_Variables!$A:$A,Derived_Variables!$K:$K,0)
  + XLOOKUP($B233,Derived_Variables!$A:$A,Derived_Variables!$AE:$AE,0),
  S232+AM232
))</f>
        <v/>
      </c>
      <c r="T233" s="28" t="str">
        <f t="shared" ref="T233:U233" si="476">IF($I232="","",T232+AN232)</f>
        <v/>
      </c>
      <c r="U233" s="28" t="str">
        <f t="shared" si="476"/>
        <v/>
      </c>
      <c r="V233" s="28" t="str">
        <f t="array" ref="V233">IF($I232="","",
IF(
  AND(C233="D",C232&lt;&gt;"D"),
  XLOOKUP($B233,Derived_Variables!$A:$A,Derived_Variables!$N:$N,0)
  + XLOOKUP($B233,Derived_Variables!$A:$A,Derived_Variables!$AE:$AE,0),
  V232+AP232
))</f>
        <v/>
      </c>
      <c r="W233" s="28" t="str">
        <f t="shared" ref="W233:X233" si="477">IF($I232="","",W232+AQ232)</f>
        <v/>
      </c>
      <c r="X233" s="28" t="str">
        <f t="shared" si="477"/>
        <v/>
      </c>
      <c r="Y233" s="28" t="str">
        <f t="array" ref="Y233">IF($I232="","",IF(AND(C233="P",C232&lt;&gt;"P"),IFERROR(XLOOKUP($B233,Lenso_Input!$A:$A,Lenso_Input!$E:$E,0),0),Y232+AS232))</f>
        <v/>
      </c>
      <c r="Z233" s="28" t="str">
        <f t="array" ref="Z233">IF($I232="","",IF(AND(C233="Q",C232&lt;&gt;"Q"),IFERROR(XLOOKUP($B233,Lenso_Input!$A:$A,Lenso_Input!$I:$I,0),0),Z232+AT232))</f>
        <v/>
      </c>
      <c r="AA233" s="28" t="str">
        <f t="array" ref="AA233">IF($I232="","",IF(XLOOKUP($B233,Derived_Variables!$A:$A,Derived_Variables!$R:$R,"6/6_target")="6/6_target","20_20_20","40_30_25"))</f>
        <v/>
      </c>
      <c r="AB233" s="28" t="str">
        <f t="array" ref="AB233">IF($I232="","",XLOOKUP(LOWER(XLOOKUP($B233,Derived_Variables!$A:$A,Derived_Variables!$T:$T,"Standard"))&amp;"_sph_step",Calibration!$B:$B,Calibration!$C:$C,0.25))</f>
        <v/>
      </c>
      <c r="AC233" s="28" t="str">
        <f t="array" ref="AC233">IF($I232="","",XLOOKUP(LOWER(XLOOKUP($B233,Derived_Variables!$A:$A,Derived_Variables!$T:$T,"Standard"))&amp;"_cyl_step",Calibration!$B:$B,Calibration!$C:$C,0.25))</f>
        <v/>
      </c>
      <c r="AD233" s="28" t="str">
        <f t="array" ref="AD233">IF($I232="","",IF(OR(C233="E",C233="H"),LET(startStep,XLOOKUP("axis_start_step",Calibration!$B:$B,Calibration!$C:$C,5),step1,XLOOKUP("axis_reversal_step_1",Calibration!$B:$B,Calibration!$C:$C,3),step2,XLOOKUP("axis_reversal_step_2",Calibration!$B:$B,Calibration!$C:$C,1),IF(OR(C232&lt;&gt;C233,AZ233="",AZ233="SAME",AZ233="CANT_TELL",I233="",I233="SAME",I233="CANT_TELL"),startStep,IF(OR(AND(AZ233="BETTER_1",I233="BETTER_2"),AND(AZ233="BETTER_2",I233="BETTER_1")),IF(AD232&gt;step1,step1,step2),AD232))),0))</f>
        <v/>
      </c>
      <c r="AE233" s="28" t="str">
        <f t="array" ref="AE233">IF($I232="","",XLOOKUP($B233,Derived_Variables!$A:$A,Derived_Variables!$AD:$AD,"No_Fog"))</f>
        <v/>
      </c>
      <c r="AF233" s="28" t="str">
        <f t="array" ref="AF233">IF($I232="","",XLOOKUP($B233,Derived_Variables!$A:$A,Derived_Variables!$AE:$AE,0))</f>
        <v/>
      </c>
      <c r="AG233" s="28" t="str">
        <f t="array" ref="AG233">IF($I232="","",XLOOKUP($B233,Derived_Variables!$A:$A,Derived_Variables!$AF:$AF,""))</f>
        <v/>
      </c>
      <c r="AH233" s="28" t="str">
        <f t="array" ref="AH233">IF($I232="","",XLOOKUP($B233,Derived_Variables!$A:$A,Derived_Variables!$AG:$AG,""))</f>
        <v/>
      </c>
      <c r="AI233" s="28" t="str">
        <f t="array" ref="AI233">IF($I232="","",XLOOKUP($B233,Derived_Variables!$A:$A,Derived_Variables!$AC:$AC,"Medium"))</f>
        <v/>
      </c>
      <c r="AJ233" s="28" t="str">
        <f t="array" ref="AJ233">IF($I232="","",XLOOKUP($B233,Derived_Variables!$A:$A,Derived_Variables!$Y:$Y,FALSE))</f>
        <v/>
      </c>
      <c r="AK233" s="28" t="str">
        <f t="array" ref="AK233">IF($I232="","",XLOOKUP($B233,Derived_Variables!$A:$A,Derived_Variables!$AA:$AA,"Normal"))</f>
        <v/>
      </c>
      <c r="AL233" s="28" t="str">
        <f t="array" ref="AL233">IF($I232="","",XLOOKUP($B233,Derived_Variables!$A:$A,Derived_Variables!$AB:$AB,"Normal"))</f>
        <v/>
      </c>
      <c r="AM233" s="28" t="str">
        <f t="array" ref="AM233">IF($I233="","",IFS(C233="B",IF(OR(I233="NOT_READABLE",I233="BLURRY"),-AB233,0),C233="G",IFS(I233="RED_CLEARER",XLOOKUP("duochrome_red_step",Calibration!$B:$B,Calibration!$C:$C,-0.25),I233="GREEN_CLEARER",XLOOKUP("duochrome_green_step",Calibration!$B:$B,Calibration!$C:$C,0.25),I233="EQUAL",IF(XLOOKUP($B233,Derived_Variables!$A:$A,Derived_Variables!$S:$S,"Neutral")="Undercorrect",XLOOKUP("undercorrect_step",Calibration!$B:$B,Calibration!$C:$C,0.25),IF(XLOOKUP($B233,Derived_Variables!$A:$A,Derived_Variables!$S:$S,"Neutral")="Overcorrect",-XLOOKUP("overcorrect_step",Calibration!$B:$B,Calibration!$C:$C,0.25),0)),TRUE,0),C233="K",IF(I233="TOP_CLEARER",XLOOKUP("bino_balance_step",Calibration!$B:$B,Calibration!$C:$C,0.25),0),TRUE,0))</f>
        <v/>
      </c>
      <c r="AN233" s="28" t="str">
        <f t="shared" si="10"/>
        <v/>
      </c>
      <c r="AO233" s="28" t="str">
        <f t="shared" si="11"/>
        <v/>
      </c>
      <c r="AP233" s="28" t="str">
        <f t="array" ref="AP233">IF($I233="","",IFS(C233="D",IF(OR(I233="NOT_READABLE",I233="BLURRY"),-AB233,0),C233="J",IFS(I233="RED_CLEARER",XLOOKUP("duochrome_red_step",Calibration!$B:$B,Calibration!$C:$C,-0.25),I233="GREEN_CLEARER",XLOOKUP("duochrome_green_step",Calibration!$B:$B,Calibration!$C:$C,0.25),I233="EQUAL",IF(XLOOKUP($B233,Derived_Variables!$A:$A,Derived_Variables!$S:$S,"Neutral")="Undercorrect",XLOOKUP("undercorrect_step",Calibration!$B:$B,Calibration!$C:$C,0.25),IF(XLOOKUP($B233,Derived_Variables!$A:$A,Derived_Variables!$S:$S,"Neutral")="Overcorrect",-XLOOKUP("overcorrect_step",Calibration!$B:$B,Calibration!$C:$C,0.25),0)),TRUE,0),C233="K",IF(I233="BOTTOM_CLEARER",XLOOKUP("bino_balance_step",Calibration!$B:$B,Calibration!$C:$C,0.25),0),TRUE,0))</f>
        <v/>
      </c>
      <c r="AQ233" s="28" t="str">
        <f t="shared" si="12"/>
        <v/>
      </c>
      <c r="AR233" s="28" t="str">
        <f t="shared" si="13"/>
        <v/>
      </c>
      <c r="AS233" s="28" t="str">
        <f t="array" ref="AS233">IF($I233="","",IF(C233="P",IF(OR(I233="NOT_READABLE",I233="BLURRY"),XLOOKUP("near_add_step",Calibration!$B:$B,Calibration!$C:$C,0.25),0),IF(C233="R",IF(I233="NOT_CLEAR",XLOOKUP("near_add_step",Calibration!$B:$B,Calibration!$C:$C,0.25),0),0)))</f>
        <v/>
      </c>
      <c r="AT233" s="28" t="str">
        <f t="array" ref="AT233">IF($I233="","",IF(C233="Q",IF(OR(I233="NOT_READABLE",I233="BLURRY"),XLOOKUP("near_add_step",Calibration!$B:$B,Calibration!$C:$C,0.25),0),IF(C233="R",IF(I233="NOT_CLEAR",XLOOKUP("near_add_step",Calibration!$B:$B,Calibration!$C:$C,0.25),0),0)))</f>
        <v/>
      </c>
      <c r="AU233" s="28" t="str">
        <f t="array" ref="AU233">IF($I233="","",IF(G233="SNELLEN_FEET",IF(I233="READABLE",IFERROR(XLOOKUP(XLOOKUP(R233,Chart_Scale_Distance!B:B,Chart_Scale_Distance!A:A)+1,Chart_Scale_Distance!A:A,Chart_Scale_Distance!B:B),R233),R233),R233))</f>
        <v/>
      </c>
      <c r="AV233" s="28" t="str">
        <f t="array" ref="AV233">IF($I232="","",IFERROR(XLOOKUP(R233,Chart_Scale_Distance!$B:$B,Chart_Scale_Distance!$A:$A,""),""))</f>
        <v/>
      </c>
      <c r="AW233" s="28" t="str">
        <f t="array" ref="AW233">IF($I232="","",IFERROR(XLOOKUP(AA233,Chart_Scale_Distance!$B:$B,Chart_Scale_Distance!$A:$A,""),""))</f>
        <v/>
      </c>
      <c r="AX233" s="28" t="str">
        <f t="shared" si="14"/>
        <v/>
      </c>
      <c r="AY233" s="28" t="str">
        <f t="shared" si="15"/>
        <v/>
      </c>
      <c r="AZ233" s="28" t="str">
        <f t="shared" si="16"/>
        <v/>
      </c>
      <c r="BA233" s="28" t="str">
        <f t="shared" si="17"/>
        <v/>
      </c>
      <c r="BB233" s="28" t="str">
        <f t="shared" si="18"/>
        <v/>
      </c>
      <c r="BC233" s="28" t="str">
        <f t="array" ref="BC233">IF($I233="","",LET(
conf,AI233,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duoMax,XLOOKUP($B233,Derived_Variables!$A:$A,Derived_Variables!$AI:$AI,4),
axisTol,XLOOKUP($B233,Derived_Variables!$A:$A,Derived_Variables!$W:$W,1),
maxStart,XLOOKUP($B233,Derived_Variables!$A:$A,Derived_Variables!$U:$U,1.25),
maxAR,XLOOKUP($B233,Derived_Variables!$A:$A,Derived_Variables!$V:$V,3),
anom,XLOOKUP($B233,Derived_Variables!$A:$A,Derived_Variables!$Z:$Z,FALSE),
reStart,XLOOKUP($B233,Derived_Variables!$A:$A,Derived_Variables!$K:$K,0),
leStart,XLOOKUP($B233,Derived_Variables!$A:$A,Derived_Variables!$N:$N,0),
reAR,XLOOKUP($B233,AR_Input!$A:$A,AR_Input!$B:$B,reStart),
leAR,XLOOKUP($B233,AR_Input!$A:$A,AR_Input!$E:$E,leStart),
reEsc,AND(anom,OR(ABS((S233+AM233)-reStart)&gt;maxStart,ABS((S233+AM233)-reAR)&gt;maxAR)),
leEsc,AND(anom,OR(ABS((V233+AP233)-leStart)&gt;maxStart,ABS((V233+AP233)-leAR)&gt;maxAR)),
phaseMax,IFS(
 AK233="Fast",
   IFS(
     OR(C233="B",C233="D"),XLOOKUP("timeout_coarse_fast",Calibration!$B:$B,Calibration!$C:$C,24),
     OR(C233="E",C233="F",C233="H",C233="I"),XLOOKUP("timeout_jcc_fast",Calibration!$B:$B,Calibration!$C:$C,10),
     OR(C233="G",C233="J"),XLOOKUP("timeout_duochrome_fast",Calibration!$B:$B,Calibration!$C:$C,8),
     C233="K",XLOOKUP("timeout_bino_fast",Calibration!$B:$B,Calibration!$C:$C,10),
     OR(C233="P",C233="Q",C233="R"),XLOOKUP("timeout_near_fast",Calibration!$B:$B,Calibration!$C:$C,16),
     TRUE,XLOOKUP("timeout_coarse_fast",Calibration!$B:$B,Calibration!$C:$C,24)
   ),
 AK233="Normal",
   IFS(
     OR(C233="B",C233="D"),XLOOKUP("timeout_coarse_normal",Calibration!$B:$B,Calibration!$C:$C,36),
     OR(C233="E",C233="F",C233="H",C233="I"),XLOOKUP("timeout_jcc_normal",Calibration!$B:$B,Calibration!$C:$C,14),
     OR(C233="G",C233="J"),XLOOKUP("timeout_duochrome_normal",Calibration!$B:$B,Calibration!$C:$C,10),
     C233="K",XLOOKUP("timeout_bino_normal",Calibration!$B:$B,Calibration!$C:$C,14),
     OR(C233="P",C233="Q",C233="R"),XLOOKUP("timeout_near_normal",Calibration!$B:$B,Calibration!$C:$C,22),
     TRUE,XLOOKUP("timeout_coarse_normal",Calibration!$B:$B,Calibration!$C:$C,36)
   ),
 TRUE,
   IFS(
     OR(C233="B",C233="D"),XLOOKUP("timeout_coarse_slow",Calibration!$B:$B,Calibration!$C:$C,48),
     OR(C233="E",C233="F",C233="H",C233="I"),XLOOKUP("timeout_jcc_slow",Calibration!$B:$B,Calibration!$C:$C,18),
     OR(C233="G",C233="J"),XLOOKUP("timeout_duochrome_slow",Calibration!$B:$B,Calibration!$C:$C,12),
     C233="K",XLOOKUP("timeout_bino_slow",Calibration!$B:$B,Calibration!$C:$C,18),
     OR(C233="P",C233="Q",C233="R"),XLOOKUP("timeout_near_slow",Calibration!$B:$B,Calibration!$C:$C,28),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AJ233=TRUE,"ESCALATE",
C233="A",
IF(OR(I233="NOT_READABLE",I233="BLURRY",AND(R233="20_20_20",I233="READABLE")),"B","A"),
C233="B",
IF(reEsc,"ESCALATE",IF(AY233&gt;=phaseMax,"ESCALATE",IF(AND(AV233&gt;=AW233,I233="READABLE"),"E","B"))),
C233="E",
IF(AY233&gt;=phaseMax,"ESCALATE",IF(OR(I233="SAME",I233="CANT_TELL",AD233&lt;axisTol),"F","E")),
C233="F",
IF(AY233&gt;=phaseMax,"ESCALATE",IF(AX233&gt;=powerSameN,"G","F")),
C233="G",
IF(AY233&gt;=phaseMax,"ESCALATE",IF(OR(AX233&gt;=duoEqualN,BB233&gt;=duoMax),"D","G")),
C233="D",
IF(leEsc,"ESCALATE",IF(AY233&gt;=phaseMax,"ESCALATE",IF(AND(AV233&gt;=AW233,I233="READABLE"),"H","D"))),
C233="H",
IF(AY233&gt;=phaseMax,"ESCALATE",IF(OR(I233="SAME",I233="CANT_TELL",AD233&lt;axisTol),"I","H")),
C233="I",
IF(AY233&gt;=phaseMax,"ESCALATE",IF(AX233&gt;=powerSameN,"J","I")),
C233="J",
IF(AY233&gt;=phaseMax,"ESCALATE",IF(OR(AX233&gt;=duoEqualN,BB233&gt;=duoMax),"K","J")),
C233="K",
IF(AY233&gt;=phaseMax,"ESCALATE",IF(AX233&gt;=binoSameN,IF(XLOOKUP($B233,Derived_Variables!$A:$A,Derived_Variables!$AJ:$AJ,FALSE)=TRUE,"P","END"),"K")),
C233="P",
IF(AY233&gt;=phaseMax,"ESCALATE",IF(OR(I233="READABLE",I233="SAME"),"Q","P")),
C233="Q",
IF(AY233&gt;=phaseMax,"ESCALATE",IF(OR(I233="READABLE",I233="SAME"),"R","Q")),
C233="R",
IF(AY233&gt;=phaseMax,"ESCALATE",IF(OR(I233=nearTarget,I233="SAME"),"END","R")),
TRUE,"END"
)))</f>
        <v/>
      </c>
      <c r="BD233" s="28" t="b">
        <f t="shared" si="19"/>
        <v>0</v>
      </c>
    </row>
    <row r="234" ht="15.75" customHeight="1">
      <c r="A234" s="28">
        <f t="shared" si="3"/>
        <v>233</v>
      </c>
      <c r="B234" s="28">
        <f t="shared" si="4"/>
        <v>6</v>
      </c>
      <c r="C234" s="28" t="str">
        <f t="shared" si="5"/>
        <v/>
      </c>
      <c r="D234" s="28" t="str">
        <f t="array" ref="D234">IF($I233="","",XLOOKUP(C234,FSM_State_Map!A:A,FSM_State_Map!B:B,""))</f>
        <v/>
      </c>
      <c r="E234" s="28" t="str">
        <f t="array" ref="E234">IF($I233="","",XLOOKUP(C234,FSM_State_Map!A:A,FSM_State_Map!C:C,""))</f>
        <v/>
      </c>
      <c r="F234" s="28" t="str">
        <f t="array" ref="F234">IF($I233="","",XLOOKUP(E234,Phase_UI_Map!A:A,Phase_UI_Map!B:B,""))</f>
        <v/>
      </c>
      <c r="G234" s="28" t="str">
        <f t="array" ref="G234">IF($I233="","",XLOOKUP(E234,Phase_UI_Map!A:A,Phase_UI_Map!C:C,""))</f>
        <v/>
      </c>
      <c r="H234" s="28" t="str">
        <f t="array" ref="H234">IF($I233="","",XLOOKUP(E234,Phase_UI_Map!A:A,Phase_UI_Map!D:D,""))</f>
        <v/>
      </c>
      <c r="I234" s="29"/>
      <c r="J234" s="28" t="str">
        <f>IFERROR(__xludf.DUMMYFUNCTION("IF($I233="""","""",IFERROR(INDEX(FILTER(Response_Lists!$B:$B,Response_Lists!$A:$A=$H234),1),""""))"),"")</f>
        <v/>
      </c>
      <c r="K234" s="28" t="str">
        <f>IFERROR(__xludf.DUMMYFUNCTION("IF($I233="""","""",IFERROR(INDEX(FILTER(Response_Lists!$B:$B,Response_Lists!$A:$A=$H234),2),""""))"),"")</f>
        <v/>
      </c>
      <c r="L234" s="28" t="str">
        <f>IFERROR(__xludf.DUMMYFUNCTION("IF($I233="""","""",IFERROR(INDEX(FILTER(Response_Lists!$B:$B,Response_Lists!$A:$A=$H234),3),""""))"),"")</f>
        <v/>
      </c>
      <c r="M234" s="28" t="str">
        <f>IFERROR(__xludf.DUMMYFUNCTION("IF($I233="""","""",IFERROR(INDEX(FILTER(Response_Lists!$B:$B,Response_Lists!$A:$A=$H234),4),""""))"),"")</f>
        <v/>
      </c>
      <c r="N234" s="28" t="str">
        <f>IFERROR(__xludf.DUMMYFUNCTION("IF($I233="""","""",IFERROR(INDEX(FILTER(Response_Lists!$B:$B,Response_Lists!$A:$A=$H234),5),""""))"),"")</f>
        <v/>
      </c>
      <c r="O234" s="28" t="str">
        <f>IFERROR(__xludf.DUMMYFUNCTION("IF($I233="""","""",IFERROR(INDEX(FILTER(Response_Lists!$B:$B,Response_Lists!$A:$A=$H234),6),""""))"),"")</f>
        <v/>
      </c>
      <c r="P234" s="28" t="str">
        <f t="shared" si="6"/>
        <v/>
      </c>
      <c r="Q234" s="28" t="str">
        <f t="array" ref="Q234">IF($I233="","",XLOOKUP(C234,FSM_State_Map!A:A,FSM_State_Map!D:D,""))</f>
        <v/>
      </c>
      <c r="R234" s="28" t="str">
        <f t="shared" si="7"/>
        <v/>
      </c>
      <c r="S234" s="28" t="str">
        <f t="array" ref="S234">IF($I233="","",
IF(
  AND(C234="B",C233&lt;&gt;"B"),
  XLOOKUP($B234,Derived_Variables!$A:$A,Derived_Variables!$K:$K,0)
  + XLOOKUP($B234,Derived_Variables!$A:$A,Derived_Variables!$AE:$AE,0),
  S233+AM233
))</f>
        <v/>
      </c>
      <c r="T234" s="28" t="str">
        <f t="shared" ref="T234:U234" si="478">IF($I233="","",T233+AN233)</f>
        <v/>
      </c>
      <c r="U234" s="28" t="str">
        <f t="shared" si="478"/>
        <v/>
      </c>
      <c r="V234" s="28" t="str">
        <f t="array" ref="V234">IF($I233="","",
IF(
  AND(C234="D",C233&lt;&gt;"D"),
  XLOOKUP($B234,Derived_Variables!$A:$A,Derived_Variables!$N:$N,0)
  + XLOOKUP($B234,Derived_Variables!$A:$A,Derived_Variables!$AE:$AE,0),
  V233+AP233
))</f>
        <v/>
      </c>
      <c r="W234" s="28" t="str">
        <f t="shared" ref="W234:X234" si="479">IF($I233="","",W233+AQ233)</f>
        <v/>
      </c>
      <c r="X234" s="28" t="str">
        <f t="shared" si="479"/>
        <v/>
      </c>
      <c r="Y234" s="28" t="str">
        <f t="array" ref="Y234">IF($I233="","",IF(AND(C234="P",C233&lt;&gt;"P"),IFERROR(XLOOKUP($B234,Lenso_Input!$A:$A,Lenso_Input!$E:$E,0),0),Y233+AS233))</f>
        <v/>
      </c>
      <c r="Z234" s="28" t="str">
        <f t="array" ref="Z234">IF($I233="","",IF(AND(C234="Q",C233&lt;&gt;"Q"),IFERROR(XLOOKUP($B234,Lenso_Input!$A:$A,Lenso_Input!$I:$I,0),0),Z233+AT233))</f>
        <v/>
      </c>
      <c r="AA234" s="28" t="str">
        <f t="array" ref="AA234">IF($I233="","",IF(XLOOKUP($B234,Derived_Variables!$A:$A,Derived_Variables!$R:$R,"6/6_target")="6/6_target","20_20_20","40_30_25"))</f>
        <v/>
      </c>
      <c r="AB234" s="28" t="str">
        <f t="array" ref="AB234">IF($I233="","",XLOOKUP(LOWER(XLOOKUP($B234,Derived_Variables!$A:$A,Derived_Variables!$T:$T,"Standard"))&amp;"_sph_step",Calibration!$B:$B,Calibration!$C:$C,0.25))</f>
        <v/>
      </c>
      <c r="AC234" s="28" t="str">
        <f t="array" ref="AC234">IF($I233="","",XLOOKUP(LOWER(XLOOKUP($B234,Derived_Variables!$A:$A,Derived_Variables!$T:$T,"Standard"))&amp;"_cyl_step",Calibration!$B:$B,Calibration!$C:$C,0.25))</f>
        <v/>
      </c>
      <c r="AD234" s="28" t="str">
        <f t="array" ref="AD234">IF($I233="","",IF(OR(C234="E",C234="H"),LET(startStep,XLOOKUP("axis_start_step",Calibration!$B:$B,Calibration!$C:$C,5),step1,XLOOKUP("axis_reversal_step_1",Calibration!$B:$B,Calibration!$C:$C,3),step2,XLOOKUP("axis_reversal_step_2",Calibration!$B:$B,Calibration!$C:$C,1),IF(OR(C233&lt;&gt;C234,AZ234="",AZ234="SAME",AZ234="CANT_TELL",I234="",I234="SAME",I234="CANT_TELL"),startStep,IF(OR(AND(AZ234="BETTER_1",I234="BETTER_2"),AND(AZ234="BETTER_2",I234="BETTER_1")),IF(AD233&gt;step1,step1,step2),AD233))),0))</f>
        <v/>
      </c>
      <c r="AE234" s="28" t="str">
        <f t="array" ref="AE234">IF($I233="","",XLOOKUP($B234,Derived_Variables!$A:$A,Derived_Variables!$AD:$AD,"No_Fog"))</f>
        <v/>
      </c>
      <c r="AF234" s="28" t="str">
        <f t="array" ref="AF234">IF($I233="","",XLOOKUP($B234,Derived_Variables!$A:$A,Derived_Variables!$AE:$AE,0))</f>
        <v/>
      </c>
      <c r="AG234" s="28" t="str">
        <f t="array" ref="AG234">IF($I233="","",XLOOKUP($B234,Derived_Variables!$A:$A,Derived_Variables!$AF:$AF,""))</f>
        <v/>
      </c>
      <c r="AH234" s="28" t="str">
        <f t="array" ref="AH234">IF($I233="","",XLOOKUP($B234,Derived_Variables!$A:$A,Derived_Variables!$AG:$AG,""))</f>
        <v/>
      </c>
      <c r="AI234" s="28" t="str">
        <f t="array" ref="AI234">IF($I233="","",XLOOKUP($B234,Derived_Variables!$A:$A,Derived_Variables!$AC:$AC,"Medium"))</f>
        <v/>
      </c>
      <c r="AJ234" s="28" t="str">
        <f t="array" ref="AJ234">IF($I233="","",XLOOKUP($B234,Derived_Variables!$A:$A,Derived_Variables!$Y:$Y,FALSE))</f>
        <v/>
      </c>
      <c r="AK234" s="28" t="str">
        <f t="array" ref="AK234">IF($I233="","",XLOOKUP($B234,Derived_Variables!$A:$A,Derived_Variables!$AA:$AA,"Normal"))</f>
        <v/>
      </c>
      <c r="AL234" s="28" t="str">
        <f t="array" ref="AL234">IF($I233="","",XLOOKUP($B234,Derived_Variables!$A:$A,Derived_Variables!$AB:$AB,"Normal"))</f>
        <v/>
      </c>
      <c r="AM234" s="28" t="str">
        <f t="array" ref="AM234">IF($I234="","",IFS(C234="B",IF(OR(I234="NOT_READABLE",I234="BLURRY"),-AB234,0),C234="G",IFS(I234="RED_CLEARER",XLOOKUP("duochrome_red_step",Calibration!$B:$B,Calibration!$C:$C,-0.25),I234="GREEN_CLEARER",XLOOKUP("duochrome_green_step",Calibration!$B:$B,Calibration!$C:$C,0.25),I234="EQUAL",IF(XLOOKUP($B234,Derived_Variables!$A:$A,Derived_Variables!$S:$S,"Neutral")="Undercorrect",XLOOKUP("undercorrect_step",Calibration!$B:$B,Calibration!$C:$C,0.25),IF(XLOOKUP($B234,Derived_Variables!$A:$A,Derived_Variables!$S:$S,"Neutral")="Overcorrect",-XLOOKUP("overcorrect_step",Calibration!$B:$B,Calibration!$C:$C,0.25),0)),TRUE,0),C234="K",IF(I234="TOP_CLEARER",XLOOKUP("bino_balance_step",Calibration!$B:$B,Calibration!$C:$C,0.25),0),TRUE,0))</f>
        <v/>
      </c>
      <c r="AN234" s="28" t="str">
        <f t="shared" si="10"/>
        <v/>
      </c>
      <c r="AO234" s="28" t="str">
        <f t="shared" si="11"/>
        <v/>
      </c>
      <c r="AP234" s="28" t="str">
        <f t="array" ref="AP234">IF($I234="","",IFS(C234="D",IF(OR(I234="NOT_READABLE",I234="BLURRY"),-AB234,0),C234="J",IFS(I234="RED_CLEARER",XLOOKUP("duochrome_red_step",Calibration!$B:$B,Calibration!$C:$C,-0.25),I234="GREEN_CLEARER",XLOOKUP("duochrome_green_step",Calibration!$B:$B,Calibration!$C:$C,0.25),I234="EQUAL",IF(XLOOKUP($B234,Derived_Variables!$A:$A,Derived_Variables!$S:$S,"Neutral")="Undercorrect",XLOOKUP("undercorrect_step",Calibration!$B:$B,Calibration!$C:$C,0.25),IF(XLOOKUP($B234,Derived_Variables!$A:$A,Derived_Variables!$S:$S,"Neutral")="Overcorrect",-XLOOKUP("overcorrect_step",Calibration!$B:$B,Calibration!$C:$C,0.25),0)),TRUE,0),C234="K",IF(I234="BOTTOM_CLEARER",XLOOKUP("bino_balance_step",Calibration!$B:$B,Calibration!$C:$C,0.25),0),TRUE,0))</f>
        <v/>
      </c>
      <c r="AQ234" s="28" t="str">
        <f t="shared" si="12"/>
        <v/>
      </c>
      <c r="AR234" s="28" t="str">
        <f t="shared" si="13"/>
        <v/>
      </c>
      <c r="AS234" s="28" t="str">
        <f t="array" ref="AS234">IF($I234="","",IF(C234="P",IF(OR(I234="NOT_READABLE",I234="BLURRY"),XLOOKUP("near_add_step",Calibration!$B:$B,Calibration!$C:$C,0.25),0),IF(C234="R",IF(I234="NOT_CLEAR",XLOOKUP("near_add_step",Calibration!$B:$B,Calibration!$C:$C,0.25),0),0)))</f>
        <v/>
      </c>
      <c r="AT234" s="28" t="str">
        <f t="array" ref="AT234">IF($I234="","",IF(C234="Q",IF(OR(I234="NOT_READABLE",I234="BLURRY"),XLOOKUP("near_add_step",Calibration!$B:$B,Calibration!$C:$C,0.25),0),IF(C234="R",IF(I234="NOT_CLEAR",XLOOKUP("near_add_step",Calibration!$B:$B,Calibration!$C:$C,0.25),0),0)))</f>
        <v/>
      </c>
      <c r="AU234" s="28" t="str">
        <f t="array" ref="AU234">IF($I234="","",IF(G234="SNELLEN_FEET",IF(I234="READABLE",IFERROR(XLOOKUP(XLOOKUP(R234,Chart_Scale_Distance!B:B,Chart_Scale_Distance!A:A)+1,Chart_Scale_Distance!A:A,Chart_Scale_Distance!B:B),R234),R234),R234))</f>
        <v/>
      </c>
      <c r="AV234" s="28" t="str">
        <f t="array" ref="AV234">IF($I233="","",IFERROR(XLOOKUP(R234,Chart_Scale_Distance!$B:$B,Chart_Scale_Distance!$A:$A,""),""))</f>
        <v/>
      </c>
      <c r="AW234" s="28" t="str">
        <f t="array" ref="AW234">IF($I233="","",IFERROR(XLOOKUP(AA234,Chart_Scale_Distance!$B:$B,Chart_Scale_Distance!$A:$A,""),""))</f>
        <v/>
      </c>
      <c r="AX234" s="28" t="str">
        <f t="shared" si="14"/>
        <v/>
      </c>
      <c r="AY234" s="28" t="str">
        <f t="shared" si="15"/>
        <v/>
      </c>
      <c r="AZ234" s="28" t="str">
        <f t="shared" si="16"/>
        <v/>
      </c>
      <c r="BA234" s="28" t="str">
        <f t="shared" si="17"/>
        <v/>
      </c>
      <c r="BB234" s="28" t="str">
        <f t="shared" si="18"/>
        <v/>
      </c>
      <c r="BC234" s="28" t="str">
        <f t="array" ref="BC234">IF($I234="","",LET(
conf,AI234,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duoMax,XLOOKUP($B234,Derived_Variables!$A:$A,Derived_Variables!$AI:$AI,4),
axisTol,XLOOKUP($B234,Derived_Variables!$A:$A,Derived_Variables!$W:$W,1),
maxStart,XLOOKUP($B234,Derived_Variables!$A:$A,Derived_Variables!$U:$U,1.25),
maxAR,XLOOKUP($B234,Derived_Variables!$A:$A,Derived_Variables!$V:$V,3),
anom,XLOOKUP($B234,Derived_Variables!$A:$A,Derived_Variables!$Z:$Z,FALSE),
reStart,XLOOKUP($B234,Derived_Variables!$A:$A,Derived_Variables!$K:$K,0),
leStart,XLOOKUP($B234,Derived_Variables!$A:$A,Derived_Variables!$N:$N,0),
reAR,XLOOKUP($B234,AR_Input!$A:$A,AR_Input!$B:$B,reStart),
leAR,XLOOKUP($B234,AR_Input!$A:$A,AR_Input!$E:$E,leStart),
reEsc,AND(anom,OR(ABS((S234+AM234)-reStart)&gt;maxStart,ABS((S234+AM234)-reAR)&gt;maxAR)),
leEsc,AND(anom,OR(ABS((V234+AP234)-leStart)&gt;maxStart,ABS((V234+AP234)-leAR)&gt;maxAR)),
phaseMax,IFS(
 AK234="Fast",
   IFS(
     OR(C234="B",C234="D"),XLOOKUP("timeout_coarse_fast",Calibration!$B:$B,Calibration!$C:$C,24),
     OR(C234="E",C234="F",C234="H",C234="I"),XLOOKUP("timeout_jcc_fast",Calibration!$B:$B,Calibration!$C:$C,10),
     OR(C234="G",C234="J"),XLOOKUP("timeout_duochrome_fast",Calibration!$B:$B,Calibration!$C:$C,8),
     C234="K",XLOOKUP("timeout_bino_fast",Calibration!$B:$B,Calibration!$C:$C,10),
     OR(C234="P",C234="Q",C234="R"),XLOOKUP("timeout_near_fast",Calibration!$B:$B,Calibration!$C:$C,16),
     TRUE,XLOOKUP("timeout_coarse_fast",Calibration!$B:$B,Calibration!$C:$C,24)
   ),
 AK234="Normal",
   IFS(
     OR(C234="B",C234="D"),XLOOKUP("timeout_coarse_normal",Calibration!$B:$B,Calibration!$C:$C,36),
     OR(C234="E",C234="F",C234="H",C234="I"),XLOOKUP("timeout_jcc_normal",Calibration!$B:$B,Calibration!$C:$C,14),
     OR(C234="G",C234="J"),XLOOKUP("timeout_duochrome_normal",Calibration!$B:$B,Calibration!$C:$C,10),
     C234="K",XLOOKUP("timeout_bino_normal",Calibration!$B:$B,Calibration!$C:$C,14),
     OR(C234="P",C234="Q",C234="R"),XLOOKUP("timeout_near_normal",Calibration!$B:$B,Calibration!$C:$C,22),
     TRUE,XLOOKUP("timeout_coarse_normal",Calibration!$B:$B,Calibration!$C:$C,36)
   ),
 TRUE,
   IFS(
     OR(C234="B",C234="D"),XLOOKUP("timeout_coarse_slow",Calibration!$B:$B,Calibration!$C:$C,48),
     OR(C234="E",C234="F",C234="H",C234="I"),XLOOKUP("timeout_jcc_slow",Calibration!$B:$B,Calibration!$C:$C,18),
     OR(C234="G",C234="J"),XLOOKUP("timeout_duochrome_slow",Calibration!$B:$B,Calibration!$C:$C,12),
     C234="K",XLOOKUP("timeout_bino_slow",Calibration!$B:$B,Calibration!$C:$C,18),
     OR(C234="P",C234="Q",C234="R"),XLOOKUP("timeout_near_slow",Calibration!$B:$B,Calibration!$C:$C,28),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AJ234=TRUE,"ESCALATE",
C234="A",
IF(OR(I234="NOT_READABLE",I234="BLURRY",AND(R234="20_20_20",I234="READABLE")),"B","A"),
C234="B",
IF(reEsc,"ESCALATE",IF(AY234&gt;=phaseMax,"ESCALATE",IF(AND(AV234&gt;=AW234,I234="READABLE"),"E","B"))),
C234="E",
IF(AY234&gt;=phaseMax,"ESCALATE",IF(OR(I234="SAME",I234="CANT_TELL",AD234&lt;axisTol),"F","E")),
C234="F",
IF(AY234&gt;=phaseMax,"ESCALATE",IF(AX234&gt;=powerSameN,"G","F")),
C234="G",
IF(AY234&gt;=phaseMax,"ESCALATE",IF(OR(AX234&gt;=duoEqualN,BB234&gt;=duoMax),"D","G")),
C234="D",
IF(leEsc,"ESCALATE",IF(AY234&gt;=phaseMax,"ESCALATE",IF(AND(AV234&gt;=AW234,I234="READABLE"),"H","D"))),
C234="H",
IF(AY234&gt;=phaseMax,"ESCALATE",IF(OR(I234="SAME",I234="CANT_TELL",AD234&lt;axisTol),"I","H")),
C234="I",
IF(AY234&gt;=phaseMax,"ESCALATE",IF(AX234&gt;=powerSameN,"J","I")),
C234="J",
IF(AY234&gt;=phaseMax,"ESCALATE",IF(OR(AX234&gt;=duoEqualN,BB234&gt;=duoMax),"K","J")),
C234="K",
IF(AY234&gt;=phaseMax,"ESCALATE",IF(AX234&gt;=binoSameN,IF(XLOOKUP($B234,Derived_Variables!$A:$A,Derived_Variables!$AJ:$AJ,FALSE)=TRUE,"P","END"),"K")),
C234="P",
IF(AY234&gt;=phaseMax,"ESCALATE",IF(OR(I234="READABLE",I234="SAME"),"Q","P")),
C234="Q",
IF(AY234&gt;=phaseMax,"ESCALATE",IF(OR(I234="READABLE",I234="SAME"),"R","Q")),
C234="R",
IF(AY234&gt;=phaseMax,"ESCALATE",IF(OR(I234=nearTarget,I234="SAME"),"END","R")),
TRUE,"END"
)))</f>
        <v/>
      </c>
      <c r="BD234" s="28" t="b">
        <f t="shared" si="19"/>
        <v>0</v>
      </c>
    </row>
    <row r="235" ht="15.75" customHeight="1">
      <c r="A235" s="28">
        <f t="shared" si="3"/>
        <v>234</v>
      </c>
      <c r="B235" s="28">
        <f t="shared" si="4"/>
        <v>6</v>
      </c>
      <c r="C235" s="28" t="str">
        <f t="shared" si="5"/>
        <v/>
      </c>
      <c r="D235" s="28" t="str">
        <f t="array" ref="D235">IF($I234="","",XLOOKUP(C235,FSM_State_Map!A:A,FSM_State_Map!B:B,""))</f>
        <v/>
      </c>
      <c r="E235" s="28" t="str">
        <f t="array" ref="E235">IF($I234="","",XLOOKUP(C235,FSM_State_Map!A:A,FSM_State_Map!C:C,""))</f>
        <v/>
      </c>
      <c r="F235" s="28" t="str">
        <f t="array" ref="F235">IF($I234="","",XLOOKUP(E235,Phase_UI_Map!A:A,Phase_UI_Map!B:B,""))</f>
        <v/>
      </c>
      <c r="G235" s="28" t="str">
        <f t="array" ref="G235">IF($I234="","",XLOOKUP(E235,Phase_UI_Map!A:A,Phase_UI_Map!C:C,""))</f>
        <v/>
      </c>
      <c r="H235" s="28" t="str">
        <f t="array" ref="H235">IF($I234="","",XLOOKUP(E235,Phase_UI_Map!A:A,Phase_UI_Map!D:D,""))</f>
        <v/>
      </c>
      <c r="I235" s="29"/>
      <c r="J235" s="28" t="str">
        <f>IFERROR(__xludf.DUMMYFUNCTION("IF($I234="""","""",IFERROR(INDEX(FILTER(Response_Lists!$B:$B,Response_Lists!$A:$A=$H235),1),""""))"),"")</f>
        <v/>
      </c>
      <c r="K235" s="28" t="str">
        <f>IFERROR(__xludf.DUMMYFUNCTION("IF($I234="""","""",IFERROR(INDEX(FILTER(Response_Lists!$B:$B,Response_Lists!$A:$A=$H235),2),""""))"),"")</f>
        <v/>
      </c>
      <c r="L235" s="28" t="str">
        <f>IFERROR(__xludf.DUMMYFUNCTION("IF($I234="""","""",IFERROR(INDEX(FILTER(Response_Lists!$B:$B,Response_Lists!$A:$A=$H235),3),""""))"),"")</f>
        <v/>
      </c>
      <c r="M235" s="28" t="str">
        <f>IFERROR(__xludf.DUMMYFUNCTION("IF($I234="""","""",IFERROR(INDEX(FILTER(Response_Lists!$B:$B,Response_Lists!$A:$A=$H235),4),""""))"),"")</f>
        <v/>
      </c>
      <c r="N235" s="28" t="str">
        <f>IFERROR(__xludf.DUMMYFUNCTION("IF($I234="""","""",IFERROR(INDEX(FILTER(Response_Lists!$B:$B,Response_Lists!$A:$A=$H235),5),""""))"),"")</f>
        <v/>
      </c>
      <c r="O235" s="28" t="str">
        <f>IFERROR(__xludf.DUMMYFUNCTION("IF($I234="""","""",IFERROR(INDEX(FILTER(Response_Lists!$B:$B,Response_Lists!$A:$A=$H235),6),""""))"),"")</f>
        <v/>
      </c>
      <c r="P235" s="28" t="str">
        <f t="shared" si="6"/>
        <v/>
      </c>
      <c r="Q235" s="28" t="str">
        <f t="array" ref="Q235">IF($I234="","",XLOOKUP(C235,FSM_State_Map!A:A,FSM_State_Map!D:D,""))</f>
        <v/>
      </c>
      <c r="R235" s="28" t="str">
        <f t="shared" si="7"/>
        <v/>
      </c>
      <c r="S235" s="28" t="str">
        <f t="array" ref="S235">IF($I234="","",
IF(
  AND(C235="B",C234&lt;&gt;"B"),
  XLOOKUP($B235,Derived_Variables!$A:$A,Derived_Variables!$K:$K,0)
  + XLOOKUP($B235,Derived_Variables!$A:$A,Derived_Variables!$AE:$AE,0),
  S234+AM234
))</f>
        <v/>
      </c>
      <c r="T235" s="28" t="str">
        <f t="shared" ref="T235:U235" si="480">IF($I234="","",T234+AN234)</f>
        <v/>
      </c>
      <c r="U235" s="28" t="str">
        <f t="shared" si="480"/>
        <v/>
      </c>
      <c r="V235" s="28" t="str">
        <f t="array" ref="V235">IF($I234="","",
IF(
  AND(C235="D",C234&lt;&gt;"D"),
  XLOOKUP($B235,Derived_Variables!$A:$A,Derived_Variables!$N:$N,0)
  + XLOOKUP($B235,Derived_Variables!$A:$A,Derived_Variables!$AE:$AE,0),
  V234+AP234
))</f>
        <v/>
      </c>
      <c r="W235" s="28" t="str">
        <f t="shared" ref="W235:X235" si="481">IF($I234="","",W234+AQ234)</f>
        <v/>
      </c>
      <c r="X235" s="28" t="str">
        <f t="shared" si="481"/>
        <v/>
      </c>
      <c r="Y235" s="28" t="str">
        <f t="array" ref="Y235">IF($I234="","",IF(AND(C235="P",C234&lt;&gt;"P"),IFERROR(XLOOKUP($B235,Lenso_Input!$A:$A,Lenso_Input!$E:$E,0),0),Y234+AS234))</f>
        <v/>
      </c>
      <c r="Z235" s="28" t="str">
        <f t="array" ref="Z235">IF($I234="","",IF(AND(C235="Q",C234&lt;&gt;"Q"),IFERROR(XLOOKUP($B235,Lenso_Input!$A:$A,Lenso_Input!$I:$I,0),0),Z234+AT234))</f>
        <v/>
      </c>
      <c r="AA235" s="28" t="str">
        <f t="array" ref="AA235">IF($I234="","",IF(XLOOKUP($B235,Derived_Variables!$A:$A,Derived_Variables!$R:$R,"6/6_target")="6/6_target","20_20_20","40_30_25"))</f>
        <v/>
      </c>
      <c r="AB235" s="28" t="str">
        <f t="array" ref="AB235">IF($I234="","",XLOOKUP(LOWER(XLOOKUP($B235,Derived_Variables!$A:$A,Derived_Variables!$T:$T,"Standard"))&amp;"_sph_step",Calibration!$B:$B,Calibration!$C:$C,0.25))</f>
        <v/>
      </c>
      <c r="AC235" s="28" t="str">
        <f t="array" ref="AC235">IF($I234="","",XLOOKUP(LOWER(XLOOKUP($B235,Derived_Variables!$A:$A,Derived_Variables!$T:$T,"Standard"))&amp;"_cyl_step",Calibration!$B:$B,Calibration!$C:$C,0.25))</f>
        <v/>
      </c>
      <c r="AD235" s="28" t="str">
        <f t="array" ref="AD235">IF($I234="","",IF(OR(C235="E",C235="H"),LET(startStep,XLOOKUP("axis_start_step",Calibration!$B:$B,Calibration!$C:$C,5),step1,XLOOKUP("axis_reversal_step_1",Calibration!$B:$B,Calibration!$C:$C,3),step2,XLOOKUP("axis_reversal_step_2",Calibration!$B:$B,Calibration!$C:$C,1),IF(OR(C234&lt;&gt;C235,AZ235="",AZ235="SAME",AZ235="CANT_TELL",I235="",I235="SAME",I235="CANT_TELL"),startStep,IF(OR(AND(AZ235="BETTER_1",I235="BETTER_2"),AND(AZ235="BETTER_2",I235="BETTER_1")),IF(AD234&gt;step1,step1,step2),AD234))),0))</f>
        <v/>
      </c>
      <c r="AE235" s="28" t="str">
        <f t="array" ref="AE235">IF($I234="","",XLOOKUP($B235,Derived_Variables!$A:$A,Derived_Variables!$AD:$AD,"No_Fog"))</f>
        <v/>
      </c>
      <c r="AF235" s="28" t="str">
        <f t="array" ref="AF235">IF($I234="","",XLOOKUP($B235,Derived_Variables!$A:$A,Derived_Variables!$AE:$AE,0))</f>
        <v/>
      </c>
      <c r="AG235" s="28" t="str">
        <f t="array" ref="AG235">IF($I234="","",XLOOKUP($B235,Derived_Variables!$A:$A,Derived_Variables!$AF:$AF,""))</f>
        <v/>
      </c>
      <c r="AH235" s="28" t="str">
        <f t="array" ref="AH235">IF($I234="","",XLOOKUP($B235,Derived_Variables!$A:$A,Derived_Variables!$AG:$AG,""))</f>
        <v/>
      </c>
      <c r="AI235" s="28" t="str">
        <f t="array" ref="AI235">IF($I234="","",XLOOKUP($B235,Derived_Variables!$A:$A,Derived_Variables!$AC:$AC,"Medium"))</f>
        <v/>
      </c>
      <c r="AJ235" s="28" t="str">
        <f t="array" ref="AJ235">IF($I234="","",XLOOKUP($B235,Derived_Variables!$A:$A,Derived_Variables!$Y:$Y,FALSE))</f>
        <v/>
      </c>
      <c r="AK235" s="28" t="str">
        <f t="array" ref="AK235">IF($I234="","",XLOOKUP($B235,Derived_Variables!$A:$A,Derived_Variables!$AA:$AA,"Normal"))</f>
        <v/>
      </c>
      <c r="AL235" s="28" t="str">
        <f t="array" ref="AL235">IF($I234="","",XLOOKUP($B235,Derived_Variables!$A:$A,Derived_Variables!$AB:$AB,"Normal"))</f>
        <v/>
      </c>
      <c r="AM235" s="28" t="str">
        <f t="array" ref="AM235">IF($I235="","",IFS(C235="B",IF(OR(I235="NOT_READABLE",I235="BLURRY"),-AB235,0),C235="G",IFS(I235="RED_CLEARER",XLOOKUP("duochrome_red_step",Calibration!$B:$B,Calibration!$C:$C,-0.25),I235="GREEN_CLEARER",XLOOKUP("duochrome_green_step",Calibration!$B:$B,Calibration!$C:$C,0.25),I235="EQUAL",IF(XLOOKUP($B235,Derived_Variables!$A:$A,Derived_Variables!$S:$S,"Neutral")="Undercorrect",XLOOKUP("undercorrect_step",Calibration!$B:$B,Calibration!$C:$C,0.25),IF(XLOOKUP($B235,Derived_Variables!$A:$A,Derived_Variables!$S:$S,"Neutral")="Overcorrect",-XLOOKUP("overcorrect_step",Calibration!$B:$B,Calibration!$C:$C,0.25),0)),TRUE,0),C235="K",IF(I235="TOP_CLEARER",XLOOKUP("bino_balance_step",Calibration!$B:$B,Calibration!$C:$C,0.25),0),TRUE,0))</f>
        <v/>
      </c>
      <c r="AN235" s="28" t="str">
        <f t="shared" si="10"/>
        <v/>
      </c>
      <c r="AO235" s="28" t="str">
        <f t="shared" si="11"/>
        <v/>
      </c>
      <c r="AP235" s="28" t="str">
        <f t="array" ref="AP235">IF($I235="","",IFS(C235="D",IF(OR(I235="NOT_READABLE",I235="BLURRY"),-AB235,0),C235="J",IFS(I235="RED_CLEARER",XLOOKUP("duochrome_red_step",Calibration!$B:$B,Calibration!$C:$C,-0.25),I235="GREEN_CLEARER",XLOOKUP("duochrome_green_step",Calibration!$B:$B,Calibration!$C:$C,0.25),I235="EQUAL",IF(XLOOKUP($B235,Derived_Variables!$A:$A,Derived_Variables!$S:$S,"Neutral")="Undercorrect",XLOOKUP("undercorrect_step",Calibration!$B:$B,Calibration!$C:$C,0.25),IF(XLOOKUP($B235,Derived_Variables!$A:$A,Derived_Variables!$S:$S,"Neutral")="Overcorrect",-XLOOKUP("overcorrect_step",Calibration!$B:$B,Calibration!$C:$C,0.25),0)),TRUE,0),C235="K",IF(I235="BOTTOM_CLEARER",XLOOKUP("bino_balance_step",Calibration!$B:$B,Calibration!$C:$C,0.25),0),TRUE,0))</f>
        <v/>
      </c>
      <c r="AQ235" s="28" t="str">
        <f t="shared" si="12"/>
        <v/>
      </c>
      <c r="AR235" s="28" t="str">
        <f t="shared" si="13"/>
        <v/>
      </c>
      <c r="AS235" s="28" t="str">
        <f t="array" ref="AS235">IF($I235="","",IF(C235="P",IF(OR(I235="NOT_READABLE",I235="BLURRY"),XLOOKUP("near_add_step",Calibration!$B:$B,Calibration!$C:$C,0.25),0),IF(C235="R",IF(I235="NOT_CLEAR",XLOOKUP("near_add_step",Calibration!$B:$B,Calibration!$C:$C,0.25),0),0)))</f>
        <v/>
      </c>
      <c r="AT235" s="28" t="str">
        <f t="array" ref="AT235">IF($I235="","",IF(C235="Q",IF(OR(I235="NOT_READABLE",I235="BLURRY"),XLOOKUP("near_add_step",Calibration!$B:$B,Calibration!$C:$C,0.25),0),IF(C235="R",IF(I235="NOT_CLEAR",XLOOKUP("near_add_step",Calibration!$B:$B,Calibration!$C:$C,0.25),0),0)))</f>
        <v/>
      </c>
      <c r="AU235" s="28" t="str">
        <f t="array" ref="AU235">IF($I235="","",IF(G235="SNELLEN_FEET",IF(I235="READABLE",IFERROR(XLOOKUP(XLOOKUP(R235,Chart_Scale_Distance!B:B,Chart_Scale_Distance!A:A)+1,Chart_Scale_Distance!A:A,Chart_Scale_Distance!B:B),R235),R235),R235))</f>
        <v/>
      </c>
      <c r="AV235" s="28" t="str">
        <f t="array" ref="AV235">IF($I234="","",IFERROR(XLOOKUP(R235,Chart_Scale_Distance!$B:$B,Chart_Scale_Distance!$A:$A,""),""))</f>
        <v/>
      </c>
      <c r="AW235" s="28" t="str">
        <f t="array" ref="AW235">IF($I234="","",IFERROR(XLOOKUP(AA235,Chart_Scale_Distance!$B:$B,Chart_Scale_Distance!$A:$A,""),""))</f>
        <v/>
      </c>
      <c r="AX235" s="28" t="str">
        <f t="shared" si="14"/>
        <v/>
      </c>
      <c r="AY235" s="28" t="str">
        <f t="shared" si="15"/>
        <v/>
      </c>
      <c r="AZ235" s="28" t="str">
        <f t="shared" si="16"/>
        <v/>
      </c>
      <c r="BA235" s="28" t="str">
        <f t="shared" si="17"/>
        <v/>
      </c>
      <c r="BB235" s="28" t="str">
        <f t="shared" si="18"/>
        <v/>
      </c>
      <c r="BC235" s="28" t="str">
        <f t="array" ref="BC235">IF($I235="","",LET(
conf,AI235,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duoMax,XLOOKUP($B235,Derived_Variables!$A:$A,Derived_Variables!$AI:$AI,4),
axisTol,XLOOKUP($B235,Derived_Variables!$A:$A,Derived_Variables!$W:$W,1),
maxStart,XLOOKUP($B235,Derived_Variables!$A:$A,Derived_Variables!$U:$U,1.25),
maxAR,XLOOKUP($B235,Derived_Variables!$A:$A,Derived_Variables!$V:$V,3),
anom,XLOOKUP($B235,Derived_Variables!$A:$A,Derived_Variables!$Z:$Z,FALSE),
reStart,XLOOKUP($B235,Derived_Variables!$A:$A,Derived_Variables!$K:$K,0),
leStart,XLOOKUP($B235,Derived_Variables!$A:$A,Derived_Variables!$N:$N,0),
reAR,XLOOKUP($B235,AR_Input!$A:$A,AR_Input!$B:$B,reStart),
leAR,XLOOKUP($B235,AR_Input!$A:$A,AR_Input!$E:$E,leStart),
reEsc,AND(anom,OR(ABS((S235+AM235)-reStart)&gt;maxStart,ABS((S235+AM235)-reAR)&gt;maxAR)),
leEsc,AND(anom,OR(ABS((V235+AP235)-leStart)&gt;maxStart,ABS((V235+AP235)-leAR)&gt;maxAR)),
phaseMax,IFS(
 AK235="Fast",
   IFS(
     OR(C235="B",C235="D"),XLOOKUP("timeout_coarse_fast",Calibration!$B:$B,Calibration!$C:$C,24),
     OR(C235="E",C235="F",C235="H",C235="I"),XLOOKUP("timeout_jcc_fast",Calibration!$B:$B,Calibration!$C:$C,10),
     OR(C235="G",C235="J"),XLOOKUP("timeout_duochrome_fast",Calibration!$B:$B,Calibration!$C:$C,8),
     C235="K",XLOOKUP("timeout_bino_fast",Calibration!$B:$B,Calibration!$C:$C,10),
     OR(C235="P",C235="Q",C235="R"),XLOOKUP("timeout_near_fast",Calibration!$B:$B,Calibration!$C:$C,16),
     TRUE,XLOOKUP("timeout_coarse_fast",Calibration!$B:$B,Calibration!$C:$C,24)
   ),
 AK235="Normal",
   IFS(
     OR(C235="B",C235="D"),XLOOKUP("timeout_coarse_normal",Calibration!$B:$B,Calibration!$C:$C,36),
     OR(C235="E",C235="F",C235="H",C235="I"),XLOOKUP("timeout_jcc_normal",Calibration!$B:$B,Calibration!$C:$C,14),
     OR(C235="G",C235="J"),XLOOKUP("timeout_duochrome_normal",Calibration!$B:$B,Calibration!$C:$C,10),
     C235="K",XLOOKUP("timeout_bino_normal",Calibration!$B:$B,Calibration!$C:$C,14),
     OR(C235="P",C235="Q",C235="R"),XLOOKUP("timeout_near_normal",Calibration!$B:$B,Calibration!$C:$C,22),
     TRUE,XLOOKUP("timeout_coarse_normal",Calibration!$B:$B,Calibration!$C:$C,36)
   ),
 TRUE,
   IFS(
     OR(C235="B",C235="D"),XLOOKUP("timeout_coarse_slow",Calibration!$B:$B,Calibration!$C:$C,48),
     OR(C235="E",C235="F",C235="H",C235="I"),XLOOKUP("timeout_jcc_slow",Calibration!$B:$B,Calibration!$C:$C,18),
     OR(C235="G",C235="J"),XLOOKUP("timeout_duochrome_slow",Calibration!$B:$B,Calibration!$C:$C,12),
     C235="K",XLOOKUP("timeout_bino_slow",Calibration!$B:$B,Calibration!$C:$C,18),
     OR(C235="P",C235="Q",C235="R"),XLOOKUP("timeout_near_slow",Calibration!$B:$B,Calibration!$C:$C,28),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AJ235=TRUE,"ESCALATE",
C235="A",
IF(OR(I235="NOT_READABLE",I235="BLURRY",AND(R235="20_20_20",I235="READABLE")),"B","A"),
C235="B",
IF(reEsc,"ESCALATE",IF(AY235&gt;=phaseMax,"ESCALATE",IF(AND(AV235&gt;=AW235,I235="READABLE"),"E","B"))),
C235="E",
IF(AY235&gt;=phaseMax,"ESCALATE",IF(OR(I235="SAME",I235="CANT_TELL",AD235&lt;axisTol),"F","E")),
C235="F",
IF(AY235&gt;=phaseMax,"ESCALATE",IF(AX235&gt;=powerSameN,"G","F")),
C235="G",
IF(AY235&gt;=phaseMax,"ESCALATE",IF(OR(AX235&gt;=duoEqualN,BB235&gt;=duoMax),"D","G")),
C235="D",
IF(leEsc,"ESCALATE",IF(AY235&gt;=phaseMax,"ESCALATE",IF(AND(AV235&gt;=AW235,I235="READABLE"),"H","D"))),
C235="H",
IF(AY235&gt;=phaseMax,"ESCALATE",IF(OR(I235="SAME",I235="CANT_TELL",AD235&lt;axisTol),"I","H")),
C235="I",
IF(AY235&gt;=phaseMax,"ESCALATE",IF(AX235&gt;=powerSameN,"J","I")),
C235="J",
IF(AY235&gt;=phaseMax,"ESCALATE",IF(OR(AX235&gt;=duoEqualN,BB235&gt;=duoMax),"K","J")),
C235="K",
IF(AY235&gt;=phaseMax,"ESCALATE",IF(AX235&gt;=binoSameN,IF(XLOOKUP($B235,Derived_Variables!$A:$A,Derived_Variables!$AJ:$AJ,FALSE)=TRUE,"P","END"),"K")),
C235="P",
IF(AY235&gt;=phaseMax,"ESCALATE",IF(OR(I235="READABLE",I235="SAME"),"Q","P")),
C235="Q",
IF(AY235&gt;=phaseMax,"ESCALATE",IF(OR(I235="READABLE",I235="SAME"),"R","Q")),
C235="R",
IF(AY235&gt;=phaseMax,"ESCALATE",IF(OR(I235=nearTarget,I235="SAME"),"END","R")),
TRUE,"END"
)))</f>
        <v/>
      </c>
      <c r="BD235" s="28" t="b">
        <f t="shared" si="19"/>
        <v>0</v>
      </c>
    </row>
    <row r="236" ht="15.75" customHeight="1">
      <c r="A236" s="28">
        <f t="shared" si="3"/>
        <v>235</v>
      </c>
      <c r="B236" s="28">
        <f t="shared" si="4"/>
        <v>6</v>
      </c>
      <c r="C236" s="28" t="str">
        <f t="shared" si="5"/>
        <v/>
      </c>
      <c r="D236" s="28" t="str">
        <f t="array" ref="D236">IF($I235="","",XLOOKUP(C236,FSM_State_Map!A:A,FSM_State_Map!B:B,""))</f>
        <v/>
      </c>
      <c r="E236" s="28" t="str">
        <f t="array" ref="E236">IF($I235="","",XLOOKUP(C236,FSM_State_Map!A:A,FSM_State_Map!C:C,""))</f>
        <v/>
      </c>
      <c r="F236" s="28" t="str">
        <f t="array" ref="F236">IF($I235="","",XLOOKUP(E236,Phase_UI_Map!A:A,Phase_UI_Map!B:B,""))</f>
        <v/>
      </c>
      <c r="G236" s="28" t="str">
        <f t="array" ref="G236">IF($I235="","",XLOOKUP(E236,Phase_UI_Map!A:A,Phase_UI_Map!C:C,""))</f>
        <v/>
      </c>
      <c r="H236" s="28" t="str">
        <f t="array" ref="H236">IF($I235="","",XLOOKUP(E236,Phase_UI_Map!A:A,Phase_UI_Map!D:D,""))</f>
        <v/>
      </c>
      <c r="I236" s="29"/>
      <c r="J236" s="28" t="str">
        <f>IFERROR(__xludf.DUMMYFUNCTION("IF($I235="""","""",IFERROR(INDEX(FILTER(Response_Lists!$B:$B,Response_Lists!$A:$A=$H236),1),""""))"),"")</f>
        <v/>
      </c>
      <c r="K236" s="28" t="str">
        <f>IFERROR(__xludf.DUMMYFUNCTION("IF($I235="""","""",IFERROR(INDEX(FILTER(Response_Lists!$B:$B,Response_Lists!$A:$A=$H236),2),""""))"),"")</f>
        <v/>
      </c>
      <c r="L236" s="28" t="str">
        <f>IFERROR(__xludf.DUMMYFUNCTION("IF($I235="""","""",IFERROR(INDEX(FILTER(Response_Lists!$B:$B,Response_Lists!$A:$A=$H236),3),""""))"),"")</f>
        <v/>
      </c>
      <c r="M236" s="28" t="str">
        <f>IFERROR(__xludf.DUMMYFUNCTION("IF($I235="""","""",IFERROR(INDEX(FILTER(Response_Lists!$B:$B,Response_Lists!$A:$A=$H236),4),""""))"),"")</f>
        <v/>
      </c>
      <c r="N236" s="28" t="str">
        <f>IFERROR(__xludf.DUMMYFUNCTION("IF($I235="""","""",IFERROR(INDEX(FILTER(Response_Lists!$B:$B,Response_Lists!$A:$A=$H236),5),""""))"),"")</f>
        <v/>
      </c>
      <c r="O236" s="28" t="str">
        <f>IFERROR(__xludf.DUMMYFUNCTION("IF($I235="""","""",IFERROR(INDEX(FILTER(Response_Lists!$B:$B,Response_Lists!$A:$A=$H236),6),""""))"),"")</f>
        <v/>
      </c>
      <c r="P236" s="28" t="str">
        <f t="shared" si="6"/>
        <v/>
      </c>
      <c r="Q236" s="28" t="str">
        <f t="array" ref="Q236">IF($I235="","",XLOOKUP(C236,FSM_State_Map!A:A,FSM_State_Map!D:D,""))</f>
        <v/>
      </c>
      <c r="R236" s="28" t="str">
        <f t="shared" si="7"/>
        <v/>
      </c>
      <c r="S236" s="28" t="str">
        <f t="array" ref="S236">IF($I235="","",
IF(
  AND(C236="B",C235&lt;&gt;"B"),
  XLOOKUP($B236,Derived_Variables!$A:$A,Derived_Variables!$K:$K,0)
  + XLOOKUP($B236,Derived_Variables!$A:$A,Derived_Variables!$AE:$AE,0),
  S235+AM235
))</f>
        <v/>
      </c>
      <c r="T236" s="28" t="str">
        <f t="shared" ref="T236:U236" si="482">IF($I235="","",T235+AN235)</f>
        <v/>
      </c>
      <c r="U236" s="28" t="str">
        <f t="shared" si="482"/>
        <v/>
      </c>
      <c r="V236" s="28" t="str">
        <f t="array" ref="V236">IF($I235="","",
IF(
  AND(C236="D",C235&lt;&gt;"D"),
  XLOOKUP($B236,Derived_Variables!$A:$A,Derived_Variables!$N:$N,0)
  + XLOOKUP($B236,Derived_Variables!$A:$A,Derived_Variables!$AE:$AE,0),
  V235+AP235
))</f>
        <v/>
      </c>
      <c r="W236" s="28" t="str">
        <f t="shared" ref="W236:X236" si="483">IF($I235="","",W235+AQ235)</f>
        <v/>
      </c>
      <c r="X236" s="28" t="str">
        <f t="shared" si="483"/>
        <v/>
      </c>
      <c r="Y236" s="28" t="str">
        <f t="array" ref="Y236">IF($I235="","",IF(AND(C236="P",C235&lt;&gt;"P"),IFERROR(XLOOKUP($B236,Lenso_Input!$A:$A,Lenso_Input!$E:$E,0),0),Y235+AS235))</f>
        <v/>
      </c>
      <c r="Z236" s="28" t="str">
        <f t="array" ref="Z236">IF($I235="","",IF(AND(C236="Q",C235&lt;&gt;"Q"),IFERROR(XLOOKUP($B236,Lenso_Input!$A:$A,Lenso_Input!$I:$I,0),0),Z235+AT235))</f>
        <v/>
      </c>
      <c r="AA236" s="28" t="str">
        <f t="array" ref="AA236">IF($I235="","",IF(XLOOKUP($B236,Derived_Variables!$A:$A,Derived_Variables!$R:$R,"6/6_target")="6/6_target","20_20_20","40_30_25"))</f>
        <v/>
      </c>
      <c r="AB236" s="28" t="str">
        <f t="array" ref="AB236">IF($I235="","",XLOOKUP(LOWER(XLOOKUP($B236,Derived_Variables!$A:$A,Derived_Variables!$T:$T,"Standard"))&amp;"_sph_step",Calibration!$B:$B,Calibration!$C:$C,0.25))</f>
        <v/>
      </c>
      <c r="AC236" s="28" t="str">
        <f t="array" ref="AC236">IF($I235="","",XLOOKUP(LOWER(XLOOKUP($B236,Derived_Variables!$A:$A,Derived_Variables!$T:$T,"Standard"))&amp;"_cyl_step",Calibration!$B:$B,Calibration!$C:$C,0.25))</f>
        <v/>
      </c>
      <c r="AD236" s="28" t="str">
        <f t="array" ref="AD236">IF($I235="","",IF(OR(C236="E",C236="H"),LET(startStep,XLOOKUP("axis_start_step",Calibration!$B:$B,Calibration!$C:$C,5),step1,XLOOKUP("axis_reversal_step_1",Calibration!$B:$B,Calibration!$C:$C,3),step2,XLOOKUP("axis_reversal_step_2",Calibration!$B:$B,Calibration!$C:$C,1),IF(OR(C235&lt;&gt;C236,AZ236="",AZ236="SAME",AZ236="CANT_TELL",I236="",I236="SAME",I236="CANT_TELL"),startStep,IF(OR(AND(AZ236="BETTER_1",I236="BETTER_2"),AND(AZ236="BETTER_2",I236="BETTER_1")),IF(AD235&gt;step1,step1,step2),AD235))),0))</f>
        <v/>
      </c>
      <c r="AE236" s="28" t="str">
        <f t="array" ref="AE236">IF($I235="","",XLOOKUP($B236,Derived_Variables!$A:$A,Derived_Variables!$AD:$AD,"No_Fog"))</f>
        <v/>
      </c>
      <c r="AF236" s="28" t="str">
        <f t="array" ref="AF236">IF($I235="","",XLOOKUP($B236,Derived_Variables!$A:$A,Derived_Variables!$AE:$AE,0))</f>
        <v/>
      </c>
      <c r="AG236" s="28" t="str">
        <f t="array" ref="AG236">IF($I235="","",XLOOKUP($B236,Derived_Variables!$A:$A,Derived_Variables!$AF:$AF,""))</f>
        <v/>
      </c>
      <c r="AH236" s="28" t="str">
        <f t="array" ref="AH236">IF($I235="","",XLOOKUP($B236,Derived_Variables!$A:$A,Derived_Variables!$AG:$AG,""))</f>
        <v/>
      </c>
      <c r="AI236" s="28" t="str">
        <f t="array" ref="AI236">IF($I235="","",XLOOKUP($B236,Derived_Variables!$A:$A,Derived_Variables!$AC:$AC,"Medium"))</f>
        <v/>
      </c>
      <c r="AJ236" s="28" t="str">
        <f t="array" ref="AJ236">IF($I235="","",XLOOKUP($B236,Derived_Variables!$A:$A,Derived_Variables!$Y:$Y,FALSE))</f>
        <v/>
      </c>
      <c r="AK236" s="28" t="str">
        <f t="array" ref="AK236">IF($I235="","",XLOOKUP($B236,Derived_Variables!$A:$A,Derived_Variables!$AA:$AA,"Normal"))</f>
        <v/>
      </c>
      <c r="AL236" s="28" t="str">
        <f t="array" ref="AL236">IF($I235="","",XLOOKUP($B236,Derived_Variables!$A:$A,Derived_Variables!$AB:$AB,"Normal"))</f>
        <v/>
      </c>
      <c r="AM236" s="28" t="str">
        <f t="array" ref="AM236">IF($I236="","",IFS(C236="B",IF(OR(I236="NOT_READABLE",I236="BLURRY"),-AB236,0),C236="G",IFS(I236="RED_CLEARER",XLOOKUP("duochrome_red_step",Calibration!$B:$B,Calibration!$C:$C,-0.25),I236="GREEN_CLEARER",XLOOKUP("duochrome_green_step",Calibration!$B:$B,Calibration!$C:$C,0.25),I236="EQUAL",IF(XLOOKUP($B236,Derived_Variables!$A:$A,Derived_Variables!$S:$S,"Neutral")="Undercorrect",XLOOKUP("undercorrect_step",Calibration!$B:$B,Calibration!$C:$C,0.25),IF(XLOOKUP($B236,Derived_Variables!$A:$A,Derived_Variables!$S:$S,"Neutral")="Overcorrect",-XLOOKUP("overcorrect_step",Calibration!$B:$B,Calibration!$C:$C,0.25),0)),TRUE,0),C236="K",IF(I236="TOP_CLEARER",XLOOKUP("bino_balance_step",Calibration!$B:$B,Calibration!$C:$C,0.25),0),TRUE,0))</f>
        <v/>
      </c>
      <c r="AN236" s="28" t="str">
        <f t="shared" si="10"/>
        <v/>
      </c>
      <c r="AO236" s="28" t="str">
        <f t="shared" si="11"/>
        <v/>
      </c>
      <c r="AP236" s="28" t="str">
        <f t="array" ref="AP236">IF($I236="","",IFS(C236="D",IF(OR(I236="NOT_READABLE",I236="BLURRY"),-AB236,0),C236="J",IFS(I236="RED_CLEARER",XLOOKUP("duochrome_red_step",Calibration!$B:$B,Calibration!$C:$C,-0.25),I236="GREEN_CLEARER",XLOOKUP("duochrome_green_step",Calibration!$B:$B,Calibration!$C:$C,0.25),I236="EQUAL",IF(XLOOKUP($B236,Derived_Variables!$A:$A,Derived_Variables!$S:$S,"Neutral")="Undercorrect",XLOOKUP("undercorrect_step",Calibration!$B:$B,Calibration!$C:$C,0.25),IF(XLOOKUP($B236,Derived_Variables!$A:$A,Derived_Variables!$S:$S,"Neutral")="Overcorrect",-XLOOKUP("overcorrect_step",Calibration!$B:$B,Calibration!$C:$C,0.25),0)),TRUE,0),C236="K",IF(I236="BOTTOM_CLEARER",XLOOKUP("bino_balance_step",Calibration!$B:$B,Calibration!$C:$C,0.25),0),TRUE,0))</f>
        <v/>
      </c>
      <c r="AQ236" s="28" t="str">
        <f t="shared" si="12"/>
        <v/>
      </c>
      <c r="AR236" s="28" t="str">
        <f t="shared" si="13"/>
        <v/>
      </c>
      <c r="AS236" s="28" t="str">
        <f t="array" ref="AS236">IF($I236="","",IF(C236="P",IF(OR(I236="NOT_READABLE",I236="BLURRY"),XLOOKUP("near_add_step",Calibration!$B:$B,Calibration!$C:$C,0.25),0),IF(C236="R",IF(I236="NOT_CLEAR",XLOOKUP("near_add_step",Calibration!$B:$B,Calibration!$C:$C,0.25),0),0)))</f>
        <v/>
      </c>
      <c r="AT236" s="28" t="str">
        <f t="array" ref="AT236">IF($I236="","",IF(C236="Q",IF(OR(I236="NOT_READABLE",I236="BLURRY"),XLOOKUP("near_add_step",Calibration!$B:$B,Calibration!$C:$C,0.25),0),IF(C236="R",IF(I236="NOT_CLEAR",XLOOKUP("near_add_step",Calibration!$B:$B,Calibration!$C:$C,0.25),0),0)))</f>
        <v/>
      </c>
      <c r="AU236" s="28" t="str">
        <f t="array" ref="AU236">IF($I236="","",IF(G236="SNELLEN_FEET",IF(I236="READABLE",IFERROR(XLOOKUP(XLOOKUP(R236,Chart_Scale_Distance!B:B,Chart_Scale_Distance!A:A)+1,Chart_Scale_Distance!A:A,Chart_Scale_Distance!B:B),R236),R236),R236))</f>
        <v/>
      </c>
      <c r="AV236" s="28" t="str">
        <f t="array" ref="AV236">IF($I235="","",IFERROR(XLOOKUP(R236,Chart_Scale_Distance!$B:$B,Chart_Scale_Distance!$A:$A,""),""))</f>
        <v/>
      </c>
      <c r="AW236" s="28" t="str">
        <f t="array" ref="AW236">IF($I235="","",IFERROR(XLOOKUP(AA236,Chart_Scale_Distance!$B:$B,Chart_Scale_Distance!$A:$A,""),""))</f>
        <v/>
      </c>
      <c r="AX236" s="28" t="str">
        <f t="shared" si="14"/>
        <v/>
      </c>
      <c r="AY236" s="28" t="str">
        <f t="shared" si="15"/>
        <v/>
      </c>
      <c r="AZ236" s="28" t="str">
        <f t="shared" si="16"/>
        <v/>
      </c>
      <c r="BA236" s="28" t="str">
        <f t="shared" si="17"/>
        <v/>
      </c>
      <c r="BB236" s="28" t="str">
        <f t="shared" si="18"/>
        <v/>
      </c>
      <c r="BC236" s="28" t="str">
        <f t="array" ref="BC236">IF($I236="","",LET(
conf,AI236,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duoMax,XLOOKUP($B236,Derived_Variables!$A:$A,Derived_Variables!$AI:$AI,4),
axisTol,XLOOKUP($B236,Derived_Variables!$A:$A,Derived_Variables!$W:$W,1),
maxStart,XLOOKUP($B236,Derived_Variables!$A:$A,Derived_Variables!$U:$U,1.25),
maxAR,XLOOKUP($B236,Derived_Variables!$A:$A,Derived_Variables!$V:$V,3),
anom,XLOOKUP($B236,Derived_Variables!$A:$A,Derived_Variables!$Z:$Z,FALSE),
reStart,XLOOKUP($B236,Derived_Variables!$A:$A,Derived_Variables!$K:$K,0),
leStart,XLOOKUP($B236,Derived_Variables!$A:$A,Derived_Variables!$N:$N,0),
reAR,XLOOKUP($B236,AR_Input!$A:$A,AR_Input!$B:$B,reStart),
leAR,XLOOKUP($B236,AR_Input!$A:$A,AR_Input!$E:$E,leStart),
reEsc,AND(anom,OR(ABS((S236+AM236)-reStart)&gt;maxStart,ABS((S236+AM236)-reAR)&gt;maxAR)),
leEsc,AND(anom,OR(ABS((V236+AP236)-leStart)&gt;maxStart,ABS((V236+AP236)-leAR)&gt;maxAR)),
phaseMax,IFS(
 AK236="Fast",
   IFS(
     OR(C236="B",C236="D"),XLOOKUP("timeout_coarse_fast",Calibration!$B:$B,Calibration!$C:$C,24),
     OR(C236="E",C236="F",C236="H",C236="I"),XLOOKUP("timeout_jcc_fast",Calibration!$B:$B,Calibration!$C:$C,10),
     OR(C236="G",C236="J"),XLOOKUP("timeout_duochrome_fast",Calibration!$B:$B,Calibration!$C:$C,8),
     C236="K",XLOOKUP("timeout_bino_fast",Calibration!$B:$B,Calibration!$C:$C,10),
     OR(C236="P",C236="Q",C236="R"),XLOOKUP("timeout_near_fast",Calibration!$B:$B,Calibration!$C:$C,16),
     TRUE,XLOOKUP("timeout_coarse_fast",Calibration!$B:$B,Calibration!$C:$C,24)
   ),
 AK236="Normal",
   IFS(
     OR(C236="B",C236="D"),XLOOKUP("timeout_coarse_normal",Calibration!$B:$B,Calibration!$C:$C,36),
     OR(C236="E",C236="F",C236="H",C236="I"),XLOOKUP("timeout_jcc_normal",Calibration!$B:$B,Calibration!$C:$C,14),
     OR(C236="G",C236="J"),XLOOKUP("timeout_duochrome_normal",Calibration!$B:$B,Calibration!$C:$C,10),
     C236="K",XLOOKUP("timeout_bino_normal",Calibration!$B:$B,Calibration!$C:$C,14),
     OR(C236="P",C236="Q",C236="R"),XLOOKUP("timeout_near_normal",Calibration!$B:$B,Calibration!$C:$C,22),
     TRUE,XLOOKUP("timeout_coarse_normal",Calibration!$B:$B,Calibration!$C:$C,36)
   ),
 TRUE,
   IFS(
     OR(C236="B",C236="D"),XLOOKUP("timeout_coarse_slow",Calibration!$B:$B,Calibration!$C:$C,48),
     OR(C236="E",C236="F",C236="H",C236="I"),XLOOKUP("timeout_jcc_slow",Calibration!$B:$B,Calibration!$C:$C,18),
     OR(C236="G",C236="J"),XLOOKUP("timeout_duochrome_slow",Calibration!$B:$B,Calibration!$C:$C,12),
     C236="K",XLOOKUP("timeout_bino_slow",Calibration!$B:$B,Calibration!$C:$C,18),
     OR(C236="P",C236="Q",C236="R"),XLOOKUP("timeout_near_slow",Calibration!$B:$B,Calibration!$C:$C,28),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AJ236=TRUE,"ESCALATE",
C236="A",
IF(OR(I236="NOT_READABLE",I236="BLURRY",AND(R236="20_20_20",I236="READABLE")),"B","A"),
C236="B",
IF(reEsc,"ESCALATE",IF(AY236&gt;=phaseMax,"ESCALATE",IF(AND(AV236&gt;=AW236,I236="READABLE"),"E","B"))),
C236="E",
IF(AY236&gt;=phaseMax,"ESCALATE",IF(OR(I236="SAME",I236="CANT_TELL",AD236&lt;axisTol),"F","E")),
C236="F",
IF(AY236&gt;=phaseMax,"ESCALATE",IF(AX236&gt;=powerSameN,"G","F")),
C236="G",
IF(AY236&gt;=phaseMax,"ESCALATE",IF(OR(AX236&gt;=duoEqualN,BB236&gt;=duoMax),"D","G")),
C236="D",
IF(leEsc,"ESCALATE",IF(AY236&gt;=phaseMax,"ESCALATE",IF(AND(AV236&gt;=AW236,I236="READABLE"),"H","D"))),
C236="H",
IF(AY236&gt;=phaseMax,"ESCALATE",IF(OR(I236="SAME",I236="CANT_TELL",AD236&lt;axisTol),"I","H")),
C236="I",
IF(AY236&gt;=phaseMax,"ESCALATE",IF(AX236&gt;=powerSameN,"J","I")),
C236="J",
IF(AY236&gt;=phaseMax,"ESCALATE",IF(OR(AX236&gt;=duoEqualN,BB236&gt;=duoMax),"K","J")),
C236="K",
IF(AY236&gt;=phaseMax,"ESCALATE",IF(AX236&gt;=binoSameN,IF(XLOOKUP($B236,Derived_Variables!$A:$A,Derived_Variables!$AJ:$AJ,FALSE)=TRUE,"P","END"),"K")),
C236="P",
IF(AY236&gt;=phaseMax,"ESCALATE",IF(OR(I236="READABLE",I236="SAME"),"Q","P")),
C236="Q",
IF(AY236&gt;=phaseMax,"ESCALATE",IF(OR(I236="READABLE",I236="SAME"),"R","Q")),
C236="R",
IF(AY236&gt;=phaseMax,"ESCALATE",IF(OR(I236=nearTarget,I236="SAME"),"END","R")),
TRUE,"END"
)))</f>
        <v/>
      </c>
      <c r="BD236" s="28" t="b">
        <f t="shared" si="19"/>
        <v>0</v>
      </c>
    </row>
    <row r="237" ht="15.75" customHeight="1">
      <c r="A237" s="28">
        <f t="shared" si="3"/>
        <v>236</v>
      </c>
      <c r="B237" s="28">
        <f t="shared" si="4"/>
        <v>6</v>
      </c>
      <c r="C237" s="28" t="str">
        <f t="shared" si="5"/>
        <v/>
      </c>
      <c r="D237" s="28" t="str">
        <f t="array" ref="D237">IF($I236="","",XLOOKUP(C237,FSM_State_Map!A:A,FSM_State_Map!B:B,""))</f>
        <v/>
      </c>
      <c r="E237" s="28" t="str">
        <f t="array" ref="E237">IF($I236="","",XLOOKUP(C237,FSM_State_Map!A:A,FSM_State_Map!C:C,""))</f>
        <v/>
      </c>
      <c r="F237" s="28" t="str">
        <f t="array" ref="F237">IF($I236="","",XLOOKUP(E237,Phase_UI_Map!A:A,Phase_UI_Map!B:B,""))</f>
        <v/>
      </c>
      <c r="G237" s="28" t="str">
        <f t="array" ref="G237">IF($I236="","",XLOOKUP(E237,Phase_UI_Map!A:A,Phase_UI_Map!C:C,""))</f>
        <v/>
      </c>
      <c r="H237" s="28" t="str">
        <f t="array" ref="H237">IF($I236="","",XLOOKUP(E237,Phase_UI_Map!A:A,Phase_UI_Map!D:D,""))</f>
        <v/>
      </c>
      <c r="I237" s="29"/>
      <c r="J237" s="28" t="str">
        <f>IFERROR(__xludf.DUMMYFUNCTION("IF($I236="""","""",IFERROR(INDEX(FILTER(Response_Lists!$B:$B,Response_Lists!$A:$A=$H237),1),""""))"),"")</f>
        <v/>
      </c>
      <c r="K237" s="28" t="str">
        <f>IFERROR(__xludf.DUMMYFUNCTION("IF($I236="""","""",IFERROR(INDEX(FILTER(Response_Lists!$B:$B,Response_Lists!$A:$A=$H237),2),""""))"),"")</f>
        <v/>
      </c>
      <c r="L237" s="28" t="str">
        <f>IFERROR(__xludf.DUMMYFUNCTION("IF($I236="""","""",IFERROR(INDEX(FILTER(Response_Lists!$B:$B,Response_Lists!$A:$A=$H237),3),""""))"),"")</f>
        <v/>
      </c>
      <c r="M237" s="28" t="str">
        <f>IFERROR(__xludf.DUMMYFUNCTION("IF($I236="""","""",IFERROR(INDEX(FILTER(Response_Lists!$B:$B,Response_Lists!$A:$A=$H237),4),""""))"),"")</f>
        <v/>
      </c>
      <c r="N237" s="28" t="str">
        <f>IFERROR(__xludf.DUMMYFUNCTION("IF($I236="""","""",IFERROR(INDEX(FILTER(Response_Lists!$B:$B,Response_Lists!$A:$A=$H237),5),""""))"),"")</f>
        <v/>
      </c>
      <c r="O237" s="28" t="str">
        <f>IFERROR(__xludf.DUMMYFUNCTION("IF($I236="""","""",IFERROR(INDEX(FILTER(Response_Lists!$B:$B,Response_Lists!$A:$A=$H237),6),""""))"),"")</f>
        <v/>
      </c>
      <c r="P237" s="28" t="str">
        <f t="shared" si="6"/>
        <v/>
      </c>
      <c r="Q237" s="28" t="str">
        <f t="array" ref="Q237">IF($I236="","",XLOOKUP(C237,FSM_State_Map!A:A,FSM_State_Map!D:D,""))</f>
        <v/>
      </c>
      <c r="R237" s="28" t="str">
        <f t="shared" si="7"/>
        <v/>
      </c>
      <c r="S237" s="28" t="str">
        <f t="array" ref="S237">IF($I236="","",
IF(
  AND(C237="B",C236&lt;&gt;"B"),
  XLOOKUP($B237,Derived_Variables!$A:$A,Derived_Variables!$K:$K,0)
  + XLOOKUP($B237,Derived_Variables!$A:$A,Derived_Variables!$AE:$AE,0),
  S236+AM236
))</f>
        <v/>
      </c>
      <c r="T237" s="28" t="str">
        <f t="shared" ref="T237:U237" si="484">IF($I236="","",T236+AN236)</f>
        <v/>
      </c>
      <c r="U237" s="28" t="str">
        <f t="shared" si="484"/>
        <v/>
      </c>
      <c r="V237" s="28" t="str">
        <f t="array" ref="V237">IF($I236="","",
IF(
  AND(C237="D",C236&lt;&gt;"D"),
  XLOOKUP($B237,Derived_Variables!$A:$A,Derived_Variables!$N:$N,0)
  + XLOOKUP($B237,Derived_Variables!$A:$A,Derived_Variables!$AE:$AE,0),
  V236+AP236
))</f>
        <v/>
      </c>
      <c r="W237" s="28" t="str">
        <f t="shared" ref="W237:X237" si="485">IF($I236="","",W236+AQ236)</f>
        <v/>
      </c>
      <c r="X237" s="28" t="str">
        <f t="shared" si="485"/>
        <v/>
      </c>
      <c r="Y237" s="28" t="str">
        <f t="array" ref="Y237">IF($I236="","",IF(AND(C237="P",C236&lt;&gt;"P"),IFERROR(XLOOKUP($B237,Lenso_Input!$A:$A,Lenso_Input!$E:$E,0),0),Y236+AS236))</f>
        <v/>
      </c>
      <c r="Z237" s="28" t="str">
        <f t="array" ref="Z237">IF($I236="","",IF(AND(C237="Q",C236&lt;&gt;"Q"),IFERROR(XLOOKUP($B237,Lenso_Input!$A:$A,Lenso_Input!$I:$I,0),0),Z236+AT236))</f>
        <v/>
      </c>
      <c r="AA237" s="28" t="str">
        <f t="array" ref="AA237">IF($I236="","",IF(XLOOKUP($B237,Derived_Variables!$A:$A,Derived_Variables!$R:$R,"6/6_target")="6/6_target","20_20_20","40_30_25"))</f>
        <v/>
      </c>
      <c r="AB237" s="28" t="str">
        <f t="array" ref="AB237">IF($I236="","",XLOOKUP(LOWER(XLOOKUP($B237,Derived_Variables!$A:$A,Derived_Variables!$T:$T,"Standard"))&amp;"_sph_step",Calibration!$B:$B,Calibration!$C:$C,0.25))</f>
        <v/>
      </c>
      <c r="AC237" s="28" t="str">
        <f t="array" ref="AC237">IF($I236="","",XLOOKUP(LOWER(XLOOKUP($B237,Derived_Variables!$A:$A,Derived_Variables!$T:$T,"Standard"))&amp;"_cyl_step",Calibration!$B:$B,Calibration!$C:$C,0.25))</f>
        <v/>
      </c>
      <c r="AD237" s="28" t="str">
        <f t="array" ref="AD237">IF($I236="","",IF(OR(C237="E",C237="H"),LET(startStep,XLOOKUP("axis_start_step",Calibration!$B:$B,Calibration!$C:$C,5),step1,XLOOKUP("axis_reversal_step_1",Calibration!$B:$B,Calibration!$C:$C,3),step2,XLOOKUP("axis_reversal_step_2",Calibration!$B:$B,Calibration!$C:$C,1),IF(OR(C236&lt;&gt;C237,AZ237="",AZ237="SAME",AZ237="CANT_TELL",I237="",I237="SAME",I237="CANT_TELL"),startStep,IF(OR(AND(AZ237="BETTER_1",I237="BETTER_2"),AND(AZ237="BETTER_2",I237="BETTER_1")),IF(AD236&gt;step1,step1,step2),AD236))),0))</f>
        <v/>
      </c>
      <c r="AE237" s="28" t="str">
        <f t="array" ref="AE237">IF($I236="","",XLOOKUP($B237,Derived_Variables!$A:$A,Derived_Variables!$AD:$AD,"No_Fog"))</f>
        <v/>
      </c>
      <c r="AF237" s="28" t="str">
        <f t="array" ref="AF237">IF($I236="","",XLOOKUP($B237,Derived_Variables!$A:$A,Derived_Variables!$AE:$AE,0))</f>
        <v/>
      </c>
      <c r="AG237" s="28" t="str">
        <f t="array" ref="AG237">IF($I236="","",XLOOKUP($B237,Derived_Variables!$A:$A,Derived_Variables!$AF:$AF,""))</f>
        <v/>
      </c>
      <c r="AH237" s="28" t="str">
        <f t="array" ref="AH237">IF($I236="","",XLOOKUP($B237,Derived_Variables!$A:$A,Derived_Variables!$AG:$AG,""))</f>
        <v/>
      </c>
      <c r="AI237" s="28" t="str">
        <f t="array" ref="AI237">IF($I236="","",XLOOKUP($B237,Derived_Variables!$A:$A,Derived_Variables!$AC:$AC,"Medium"))</f>
        <v/>
      </c>
      <c r="AJ237" s="28" t="str">
        <f t="array" ref="AJ237">IF($I236="","",XLOOKUP($B237,Derived_Variables!$A:$A,Derived_Variables!$Y:$Y,FALSE))</f>
        <v/>
      </c>
      <c r="AK237" s="28" t="str">
        <f t="array" ref="AK237">IF($I236="","",XLOOKUP($B237,Derived_Variables!$A:$A,Derived_Variables!$AA:$AA,"Normal"))</f>
        <v/>
      </c>
      <c r="AL237" s="28" t="str">
        <f t="array" ref="AL237">IF($I236="","",XLOOKUP($B237,Derived_Variables!$A:$A,Derived_Variables!$AB:$AB,"Normal"))</f>
        <v/>
      </c>
      <c r="AM237" s="28" t="str">
        <f t="array" ref="AM237">IF($I237="","",IFS(C237="B",IF(OR(I237="NOT_READABLE",I237="BLURRY"),-AB237,0),C237="G",IFS(I237="RED_CLEARER",XLOOKUP("duochrome_red_step",Calibration!$B:$B,Calibration!$C:$C,-0.25),I237="GREEN_CLEARER",XLOOKUP("duochrome_green_step",Calibration!$B:$B,Calibration!$C:$C,0.25),I237="EQUAL",IF(XLOOKUP($B237,Derived_Variables!$A:$A,Derived_Variables!$S:$S,"Neutral")="Undercorrect",XLOOKUP("undercorrect_step",Calibration!$B:$B,Calibration!$C:$C,0.25),IF(XLOOKUP($B237,Derived_Variables!$A:$A,Derived_Variables!$S:$S,"Neutral")="Overcorrect",-XLOOKUP("overcorrect_step",Calibration!$B:$B,Calibration!$C:$C,0.25),0)),TRUE,0),C237="K",IF(I237="TOP_CLEARER",XLOOKUP("bino_balance_step",Calibration!$B:$B,Calibration!$C:$C,0.25),0),TRUE,0))</f>
        <v/>
      </c>
      <c r="AN237" s="28" t="str">
        <f t="shared" si="10"/>
        <v/>
      </c>
      <c r="AO237" s="28" t="str">
        <f t="shared" si="11"/>
        <v/>
      </c>
      <c r="AP237" s="28" t="str">
        <f t="array" ref="AP237">IF($I237="","",IFS(C237="D",IF(OR(I237="NOT_READABLE",I237="BLURRY"),-AB237,0),C237="J",IFS(I237="RED_CLEARER",XLOOKUP("duochrome_red_step",Calibration!$B:$B,Calibration!$C:$C,-0.25),I237="GREEN_CLEARER",XLOOKUP("duochrome_green_step",Calibration!$B:$B,Calibration!$C:$C,0.25),I237="EQUAL",IF(XLOOKUP($B237,Derived_Variables!$A:$A,Derived_Variables!$S:$S,"Neutral")="Undercorrect",XLOOKUP("undercorrect_step",Calibration!$B:$B,Calibration!$C:$C,0.25),IF(XLOOKUP($B237,Derived_Variables!$A:$A,Derived_Variables!$S:$S,"Neutral")="Overcorrect",-XLOOKUP("overcorrect_step",Calibration!$B:$B,Calibration!$C:$C,0.25),0)),TRUE,0),C237="K",IF(I237="BOTTOM_CLEARER",XLOOKUP("bino_balance_step",Calibration!$B:$B,Calibration!$C:$C,0.25),0),TRUE,0))</f>
        <v/>
      </c>
      <c r="AQ237" s="28" t="str">
        <f t="shared" si="12"/>
        <v/>
      </c>
      <c r="AR237" s="28" t="str">
        <f t="shared" si="13"/>
        <v/>
      </c>
      <c r="AS237" s="28" t="str">
        <f t="array" ref="AS237">IF($I237="","",IF(C237="P",IF(OR(I237="NOT_READABLE",I237="BLURRY"),XLOOKUP("near_add_step",Calibration!$B:$B,Calibration!$C:$C,0.25),0),IF(C237="R",IF(I237="NOT_CLEAR",XLOOKUP("near_add_step",Calibration!$B:$B,Calibration!$C:$C,0.25),0),0)))</f>
        <v/>
      </c>
      <c r="AT237" s="28" t="str">
        <f t="array" ref="AT237">IF($I237="","",IF(C237="Q",IF(OR(I237="NOT_READABLE",I237="BLURRY"),XLOOKUP("near_add_step",Calibration!$B:$B,Calibration!$C:$C,0.25),0),IF(C237="R",IF(I237="NOT_CLEAR",XLOOKUP("near_add_step",Calibration!$B:$B,Calibration!$C:$C,0.25),0),0)))</f>
        <v/>
      </c>
      <c r="AU237" s="28" t="str">
        <f t="array" ref="AU237">IF($I237="","",IF(G237="SNELLEN_FEET",IF(I237="READABLE",IFERROR(XLOOKUP(XLOOKUP(R237,Chart_Scale_Distance!B:B,Chart_Scale_Distance!A:A)+1,Chart_Scale_Distance!A:A,Chart_Scale_Distance!B:B),R237),R237),R237))</f>
        <v/>
      </c>
      <c r="AV237" s="28" t="str">
        <f t="array" ref="AV237">IF($I236="","",IFERROR(XLOOKUP(R237,Chart_Scale_Distance!$B:$B,Chart_Scale_Distance!$A:$A,""),""))</f>
        <v/>
      </c>
      <c r="AW237" s="28" t="str">
        <f t="array" ref="AW237">IF($I236="","",IFERROR(XLOOKUP(AA237,Chart_Scale_Distance!$B:$B,Chart_Scale_Distance!$A:$A,""),""))</f>
        <v/>
      </c>
      <c r="AX237" s="28" t="str">
        <f t="shared" si="14"/>
        <v/>
      </c>
      <c r="AY237" s="28" t="str">
        <f t="shared" si="15"/>
        <v/>
      </c>
      <c r="AZ237" s="28" t="str">
        <f t="shared" si="16"/>
        <v/>
      </c>
      <c r="BA237" s="28" t="str">
        <f t="shared" si="17"/>
        <v/>
      </c>
      <c r="BB237" s="28" t="str">
        <f t="shared" si="18"/>
        <v/>
      </c>
      <c r="BC237" s="28" t="str">
        <f t="array" ref="BC237">IF($I237="","",LET(
conf,AI237,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duoMax,XLOOKUP($B237,Derived_Variables!$A:$A,Derived_Variables!$AI:$AI,4),
axisTol,XLOOKUP($B237,Derived_Variables!$A:$A,Derived_Variables!$W:$W,1),
maxStart,XLOOKUP($B237,Derived_Variables!$A:$A,Derived_Variables!$U:$U,1.25),
maxAR,XLOOKUP($B237,Derived_Variables!$A:$A,Derived_Variables!$V:$V,3),
anom,XLOOKUP($B237,Derived_Variables!$A:$A,Derived_Variables!$Z:$Z,FALSE),
reStart,XLOOKUP($B237,Derived_Variables!$A:$A,Derived_Variables!$K:$K,0),
leStart,XLOOKUP($B237,Derived_Variables!$A:$A,Derived_Variables!$N:$N,0),
reAR,XLOOKUP($B237,AR_Input!$A:$A,AR_Input!$B:$B,reStart),
leAR,XLOOKUP($B237,AR_Input!$A:$A,AR_Input!$E:$E,leStart),
reEsc,AND(anom,OR(ABS((S237+AM237)-reStart)&gt;maxStart,ABS((S237+AM237)-reAR)&gt;maxAR)),
leEsc,AND(anom,OR(ABS((V237+AP237)-leStart)&gt;maxStart,ABS((V237+AP237)-leAR)&gt;maxAR)),
phaseMax,IFS(
 AK237="Fast",
   IFS(
     OR(C237="B",C237="D"),XLOOKUP("timeout_coarse_fast",Calibration!$B:$B,Calibration!$C:$C,24),
     OR(C237="E",C237="F",C237="H",C237="I"),XLOOKUP("timeout_jcc_fast",Calibration!$B:$B,Calibration!$C:$C,10),
     OR(C237="G",C237="J"),XLOOKUP("timeout_duochrome_fast",Calibration!$B:$B,Calibration!$C:$C,8),
     C237="K",XLOOKUP("timeout_bino_fast",Calibration!$B:$B,Calibration!$C:$C,10),
     OR(C237="P",C237="Q",C237="R"),XLOOKUP("timeout_near_fast",Calibration!$B:$B,Calibration!$C:$C,16),
     TRUE,XLOOKUP("timeout_coarse_fast",Calibration!$B:$B,Calibration!$C:$C,24)
   ),
 AK237="Normal",
   IFS(
     OR(C237="B",C237="D"),XLOOKUP("timeout_coarse_normal",Calibration!$B:$B,Calibration!$C:$C,36),
     OR(C237="E",C237="F",C237="H",C237="I"),XLOOKUP("timeout_jcc_normal",Calibration!$B:$B,Calibration!$C:$C,14),
     OR(C237="G",C237="J"),XLOOKUP("timeout_duochrome_normal",Calibration!$B:$B,Calibration!$C:$C,10),
     C237="K",XLOOKUP("timeout_bino_normal",Calibration!$B:$B,Calibration!$C:$C,14),
     OR(C237="P",C237="Q",C237="R"),XLOOKUP("timeout_near_normal",Calibration!$B:$B,Calibration!$C:$C,22),
     TRUE,XLOOKUP("timeout_coarse_normal",Calibration!$B:$B,Calibration!$C:$C,36)
   ),
 TRUE,
   IFS(
     OR(C237="B",C237="D"),XLOOKUP("timeout_coarse_slow",Calibration!$B:$B,Calibration!$C:$C,48),
     OR(C237="E",C237="F",C237="H",C237="I"),XLOOKUP("timeout_jcc_slow",Calibration!$B:$B,Calibration!$C:$C,18),
     OR(C237="G",C237="J"),XLOOKUP("timeout_duochrome_slow",Calibration!$B:$B,Calibration!$C:$C,12),
     C237="K",XLOOKUP("timeout_bino_slow",Calibration!$B:$B,Calibration!$C:$C,18),
     OR(C237="P",C237="Q",C237="R"),XLOOKUP("timeout_near_slow",Calibration!$B:$B,Calibration!$C:$C,28),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AJ237=TRUE,"ESCALATE",
C237="A",
IF(OR(I237="NOT_READABLE",I237="BLURRY",AND(R237="20_20_20",I237="READABLE")),"B","A"),
C237="B",
IF(reEsc,"ESCALATE",IF(AY237&gt;=phaseMax,"ESCALATE",IF(AND(AV237&gt;=AW237,I237="READABLE"),"E","B"))),
C237="E",
IF(AY237&gt;=phaseMax,"ESCALATE",IF(OR(I237="SAME",I237="CANT_TELL",AD237&lt;axisTol),"F","E")),
C237="F",
IF(AY237&gt;=phaseMax,"ESCALATE",IF(AX237&gt;=powerSameN,"G","F")),
C237="G",
IF(AY237&gt;=phaseMax,"ESCALATE",IF(OR(AX237&gt;=duoEqualN,BB237&gt;=duoMax),"D","G")),
C237="D",
IF(leEsc,"ESCALATE",IF(AY237&gt;=phaseMax,"ESCALATE",IF(AND(AV237&gt;=AW237,I237="READABLE"),"H","D"))),
C237="H",
IF(AY237&gt;=phaseMax,"ESCALATE",IF(OR(I237="SAME",I237="CANT_TELL",AD237&lt;axisTol),"I","H")),
C237="I",
IF(AY237&gt;=phaseMax,"ESCALATE",IF(AX237&gt;=powerSameN,"J","I")),
C237="J",
IF(AY237&gt;=phaseMax,"ESCALATE",IF(OR(AX237&gt;=duoEqualN,BB237&gt;=duoMax),"K","J")),
C237="K",
IF(AY237&gt;=phaseMax,"ESCALATE",IF(AX237&gt;=binoSameN,IF(XLOOKUP($B237,Derived_Variables!$A:$A,Derived_Variables!$AJ:$AJ,FALSE)=TRUE,"P","END"),"K")),
C237="P",
IF(AY237&gt;=phaseMax,"ESCALATE",IF(OR(I237="READABLE",I237="SAME"),"Q","P")),
C237="Q",
IF(AY237&gt;=phaseMax,"ESCALATE",IF(OR(I237="READABLE",I237="SAME"),"R","Q")),
C237="R",
IF(AY237&gt;=phaseMax,"ESCALATE",IF(OR(I237=nearTarget,I237="SAME"),"END","R")),
TRUE,"END"
)))</f>
        <v/>
      </c>
      <c r="BD237" s="28" t="b">
        <f t="shared" si="19"/>
        <v>0</v>
      </c>
    </row>
    <row r="238" ht="15.75" customHeight="1">
      <c r="A238" s="28">
        <f t="shared" si="3"/>
        <v>237</v>
      </c>
      <c r="B238" s="28">
        <f t="shared" si="4"/>
        <v>6</v>
      </c>
      <c r="C238" s="28" t="str">
        <f t="shared" si="5"/>
        <v/>
      </c>
      <c r="D238" s="28" t="str">
        <f t="array" ref="D238">IF($I237="","",XLOOKUP(C238,FSM_State_Map!A:A,FSM_State_Map!B:B,""))</f>
        <v/>
      </c>
      <c r="E238" s="28" t="str">
        <f t="array" ref="E238">IF($I237="","",XLOOKUP(C238,FSM_State_Map!A:A,FSM_State_Map!C:C,""))</f>
        <v/>
      </c>
      <c r="F238" s="28" t="str">
        <f t="array" ref="F238">IF($I237="","",XLOOKUP(E238,Phase_UI_Map!A:A,Phase_UI_Map!B:B,""))</f>
        <v/>
      </c>
      <c r="G238" s="28" t="str">
        <f t="array" ref="G238">IF($I237="","",XLOOKUP(E238,Phase_UI_Map!A:A,Phase_UI_Map!C:C,""))</f>
        <v/>
      </c>
      <c r="H238" s="28" t="str">
        <f t="array" ref="H238">IF($I237="","",XLOOKUP(E238,Phase_UI_Map!A:A,Phase_UI_Map!D:D,""))</f>
        <v/>
      </c>
      <c r="I238" s="29"/>
      <c r="J238" s="28" t="str">
        <f>IFERROR(__xludf.DUMMYFUNCTION("IF($I237="""","""",IFERROR(INDEX(FILTER(Response_Lists!$B:$B,Response_Lists!$A:$A=$H238),1),""""))"),"")</f>
        <v/>
      </c>
      <c r="K238" s="28" t="str">
        <f>IFERROR(__xludf.DUMMYFUNCTION("IF($I237="""","""",IFERROR(INDEX(FILTER(Response_Lists!$B:$B,Response_Lists!$A:$A=$H238),2),""""))"),"")</f>
        <v/>
      </c>
      <c r="L238" s="28" t="str">
        <f>IFERROR(__xludf.DUMMYFUNCTION("IF($I237="""","""",IFERROR(INDEX(FILTER(Response_Lists!$B:$B,Response_Lists!$A:$A=$H238),3),""""))"),"")</f>
        <v/>
      </c>
      <c r="M238" s="28" t="str">
        <f>IFERROR(__xludf.DUMMYFUNCTION("IF($I237="""","""",IFERROR(INDEX(FILTER(Response_Lists!$B:$B,Response_Lists!$A:$A=$H238),4),""""))"),"")</f>
        <v/>
      </c>
      <c r="N238" s="28" t="str">
        <f>IFERROR(__xludf.DUMMYFUNCTION("IF($I237="""","""",IFERROR(INDEX(FILTER(Response_Lists!$B:$B,Response_Lists!$A:$A=$H238),5),""""))"),"")</f>
        <v/>
      </c>
      <c r="O238" s="28" t="str">
        <f>IFERROR(__xludf.DUMMYFUNCTION("IF($I237="""","""",IFERROR(INDEX(FILTER(Response_Lists!$B:$B,Response_Lists!$A:$A=$H238),6),""""))"),"")</f>
        <v/>
      </c>
      <c r="P238" s="28" t="str">
        <f t="shared" si="6"/>
        <v/>
      </c>
      <c r="Q238" s="28" t="str">
        <f t="array" ref="Q238">IF($I237="","",XLOOKUP(C238,FSM_State_Map!A:A,FSM_State_Map!D:D,""))</f>
        <v/>
      </c>
      <c r="R238" s="28" t="str">
        <f t="shared" si="7"/>
        <v/>
      </c>
      <c r="S238" s="28" t="str">
        <f t="array" ref="S238">IF($I237="","",
IF(
  AND(C238="B",C237&lt;&gt;"B"),
  XLOOKUP($B238,Derived_Variables!$A:$A,Derived_Variables!$K:$K,0)
  + XLOOKUP($B238,Derived_Variables!$A:$A,Derived_Variables!$AE:$AE,0),
  S237+AM237
))</f>
        <v/>
      </c>
      <c r="T238" s="28" t="str">
        <f t="shared" ref="T238:U238" si="486">IF($I237="","",T237+AN237)</f>
        <v/>
      </c>
      <c r="U238" s="28" t="str">
        <f t="shared" si="486"/>
        <v/>
      </c>
      <c r="V238" s="28" t="str">
        <f t="array" ref="V238">IF($I237="","",
IF(
  AND(C238="D",C237&lt;&gt;"D"),
  XLOOKUP($B238,Derived_Variables!$A:$A,Derived_Variables!$N:$N,0)
  + XLOOKUP($B238,Derived_Variables!$A:$A,Derived_Variables!$AE:$AE,0),
  V237+AP237
))</f>
        <v/>
      </c>
      <c r="W238" s="28" t="str">
        <f t="shared" ref="W238:X238" si="487">IF($I237="","",W237+AQ237)</f>
        <v/>
      </c>
      <c r="X238" s="28" t="str">
        <f t="shared" si="487"/>
        <v/>
      </c>
      <c r="Y238" s="28" t="str">
        <f t="array" ref="Y238">IF($I237="","",IF(AND(C238="P",C237&lt;&gt;"P"),IFERROR(XLOOKUP($B238,Lenso_Input!$A:$A,Lenso_Input!$E:$E,0),0),Y237+AS237))</f>
        <v/>
      </c>
      <c r="Z238" s="28" t="str">
        <f t="array" ref="Z238">IF($I237="","",IF(AND(C238="Q",C237&lt;&gt;"Q"),IFERROR(XLOOKUP($B238,Lenso_Input!$A:$A,Lenso_Input!$I:$I,0),0),Z237+AT237))</f>
        <v/>
      </c>
      <c r="AA238" s="28" t="str">
        <f t="array" ref="AA238">IF($I237="","",IF(XLOOKUP($B238,Derived_Variables!$A:$A,Derived_Variables!$R:$R,"6/6_target")="6/6_target","20_20_20","40_30_25"))</f>
        <v/>
      </c>
      <c r="AB238" s="28" t="str">
        <f t="array" ref="AB238">IF($I237="","",XLOOKUP(LOWER(XLOOKUP($B238,Derived_Variables!$A:$A,Derived_Variables!$T:$T,"Standard"))&amp;"_sph_step",Calibration!$B:$B,Calibration!$C:$C,0.25))</f>
        <v/>
      </c>
      <c r="AC238" s="28" t="str">
        <f t="array" ref="AC238">IF($I237="","",XLOOKUP(LOWER(XLOOKUP($B238,Derived_Variables!$A:$A,Derived_Variables!$T:$T,"Standard"))&amp;"_cyl_step",Calibration!$B:$B,Calibration!$C:$C,0.25))</f>
        <v/>
      </c>
      <c r="AD238" s="28" t="str">
        <f t="array" ref="AD238">IF($I237="","",IF(OR(C238="E",C238="H"),LET(startStep,XLOOKUP("axis_start_step",Calibration!$B:$B,Calibration!$C:$C,5),step1,XLOOKUP("axis_reversal_step_1",Calibration!$B:$B,Calibration!$C:$C,3),step2,XLOOKUP("axis_reversal_step_2",Calibration!$B:$B,Calibration!$C:$C,1),IF(OR(C237&lt;&gt;C238,AZ238="",AZ238="SAME",AZ238="CANT_TELL",I238="",I238="SAME",I238="CANT_TELL"),startStep,IF(OR(AND(AZ238="BETTER_1",I238="BETTER_2"),AND(AZ238="BETTER_2",I238="BETTER_1")),IF(AD237&gt;step1,step1,step2),AD237))),0))</f>
        <v/>
      </c>
      <c r="AE238" s="28" t="str">
        <f t="array" ref="AE238">IF($I237="","",XLOOKUP($B238,Derived_Variables!$A:$A,Derived_Variables!$AD:$AD,"No_Fog"))</f>
        <v/>
      </c>
      <c r="AF238" s="28" t="str">
        <f t="array" ref="AF238">IF($I237="","",XLOOKUP($B238,Derived_Variables!$A:$A,Derived_Variables!$AE:$AE,0))</f>
        <v/>
      </c>
      <c r="AG238" s="28" t="str">
        <f t="array" ref="AG238">IF($I237="","",XLOOKUP($B238,Derived_Variables!$A:$A,Derived_Variables!$AF:$AF,""))</f>
        <v/>
      </c>
      <c r="AH238" s="28" t="str">
        <f t="array" ref="AH238">IF($I237="","",XLOOKUP($B238,Derived_Variables!$A:$A,Derived_Variables!$AG:$AG,""))</f>
        <v/>
      </c>
      <c r="AI238" s="28" t="str">
        <f t="array" ref="AI238">IF($I237="","",XLOOKUP($B238,Derived_Variables!$A:$A,Derived_Variables!$AC:$AC,"Medium"))</f>
        <v/>
      </c>
      <c r="AJ238" s="28" t="str">
        <f t="array" ref="AJ238">IF($I237="","",XLOOKUP($B238,Derived_Variables!$A:$A,Derived_Variables!$Y:$Y,FALSE))</f>
        <v/>
      </c>
      <c r="AK238" s="28" t="str">
        <f t="array" ref="AK238">IF($I237="","",XLOOKUP($B238,Derived_Variables!$A:$A,Derived_Variables!$AA:$AA,"Normal"))</f>
        <v/>
      </c>
      <c r="AL238" s="28" t="str">
        <f t="array" ref="AL238">IF($I237="","",XLOOKUP($B238,Derived_Variables!$A:$A,Derived_Variables!$AB:$AB,"Normal"))</f>
        <v/>
      </c>
      <c r="AM238" s="28" t="str">
        <f t="array" ref="AM238">IF($I238="","",IFS(C238="B",IF(OR(I238="NOT_READABLE",I238="BLURRY"),-AB238,0),C238="G",IFS(I238="RED_CLEARER",XLOOKUP("duochrome_red_step",Calibration!$B:$B,Calibration!$C:$C,-0.25),I238="GREEN_CLEARER",XLOOKUP("duochrome_green_step",Calibration!$B:$B,Calibration!$C:$C,0.25),I238="EQUAL",IF(XLOOKUP($B238,Derived_Variables!$A:$A,Derived_Variables!$S:$S,"Neutral")="Undercorrect",XLOOKUP("undercorrect_step",Calibration!$B:$B,Calibration!$C:$C,0.25),IF(XLOOKUP($B238,Derived_Variables!$A:$A,Derived_Variables!$S:$S,"Neutral")="Overcorrect",-XLOOKUP("overcorrect_step",Calibration!$B:$B,Calibration!$C:$C,0.25),0)),TRUE,0),C238="K",IF(I238="TOP_CLEARER",XLOOKUP("bino_balance_step",Calibration!$B:$B,Calibration!$C:$C,0.25),0),TRUE,0))</f>
        <v/>
      </c>
      <c r="AN238" s="28" t="str">
        <f t="shared" si="10"/>
        <v/>
      </c>
      <c r="AO238" s="28" t="str">
        <f t="shared" si="11"/>
        <v/>
      </c>
      <c r="AP238" s="28" t="str">
        <f t="array" ref="AP238">IF($I238="","",IFS(C238="D",IF(OR(I238="NOT_READABLE",I238="BLURRY"),-AB238,0),C238="J",IFS(I238="RED_CLEARER",XLOOKUP("duochrome_red_step",Calibration!$B:$B,Calibration!$C:$C,-0.25),I238="GREEN_CLEARER",XLOOKUP("duochrome_green_step",Calibration!$B:$B,Calibration!$C:$C,0.25),I238="EQUAL",IF(XLOOKUP($B238,Derived_Variables!$A:$A,Derived_Variables!$S:$S,"Neutral")="Undercorrect",XLOOKUP("undercorrect_step",Calibration!$B:$B,Calibration!$C:$C,0.25),IF(XLOOKUP($B238,Derived_Variables!$A:$A,Derived_Variables!$S:$S,"Neutral")="Overcorrect",-XLOOKUP("overcorrect_step",Calibration!$B:$B,Calibration!$C:$C,0.25),0)),TRUE,0),C238="K",IF(I238="BOTTOM_CLEARER",XLOOKUP("bino_balance_step",Calibration!$B:$B,Calibration!$C:$C,0.25),0),TRUE,0))</f>
        <v/>
      </c>
      <c r="AQ238" s="28" t="str">
        <f t="shared" si="12"/>
        <v/>
      </c>
      <c r="AR238" s="28" t="str">
        <f t="shared" si="13"/>
        <v/>
      </c>
      <c r="AS238" s="28" t="str">
        <f t="array" ref="AS238">IF($I238="","",IF(C238="P",IF(OR(I238="NOT_READABLE",I238="BLURRY"),XLOOKUP("near_add_step",Calibration!$B:$B,Calibration!$C:$C,0.25),0),IF(C238="R",IF(I238="NOT_CLEAR",XLOOKUP("near_add_step",Calibration!$B:$B,Calibration!$C:$C,0.25),0),0)))</f>
        <v/>
      </c>
      <c r="AT238" s="28" t="str">
        <f t="array" ref="AT238">IF($I238="","",IF(C238="Q",IF(OR(I238="NOT_READABLE",I238="BLURRY"),XLOOKUP("near_add_step",Calibration!$B:$B,Calibration!$C:$C,0.25),0),IF(C238="R",IF(I238="NOT_CLEAR",XLOOKUP("near_add_step",Calibration!$B:$B,Calibration!$C:$C,0.25),0),0)))</f>
        <v/>
      </c>
      <c r="AU238" s="28" t="str">
        <f t="array" ref="AU238">IF($I238="","",IF(G238="SNELLEN_FEET",IF(I238="READABLE",IFERROR(XLOOKUP(XLOOKUP(R238,Chart_Scale_Distance!B:B,Chart_Scale_Distance!A:A)+1,Chart_Scale_Distance!A:A,Chart_Scale_Distance!B:B),R238),R238),R238))</f>
        <v/>
      </c>
      <c r="AV238" s="28" t="str">
        <f t="array" ref="AV238">IF($I237="","",IFERROR(XLOOKUP(R238,Chart_Scale_Distance!$B:$B,Chart_Scale_Distance!$A:$A,""),""))</f>
        <v/>
      </c>
      <c r="AW238" s="28" t="str">
        <f t="array" ref="AW238">IF($I237="","",IFERROR(XLOOKUP(AA238,Chart_Scale_Distance!$B:$B,Chart_Scale_Distance!$A:$A,""),""))</f>
        <v/>
      </c>
      <c r="AX238" s="28" t="str">
        <f t="shared" si="14"/>
        <v/>
      </c>
      <c r="AY238" s="28" t="str">
        <f t="shared" si="15"/>
        <v/>
      </c>
      <c r="AZ238" s="28" t="str">
        <f t="shared" si="16"/>
        <v/>
      </c>
      <c r="BA238" s="28" t="str">
        <f t="shared" si="17"/>
        <v/>
      </c>
      <c r="BB238" s="28" t="str">
        <f t="shared" si="18"/>
        <v/>
      </c>
      <c r="BC238" s="28" t="str">
        <f t="array" ref="BC238">IF($I238="","",LET(
conf,AI238,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duoMax,XLOOKUP($B238,Derived_Variables!$A:$A,Derived_Variables!$AI:$AI,4),
axisTol,XLOOKUP($B238,Derived_Variables!$A:$A,Derived_Variables!$W:$W,1),
maxStart,XLOOKUP($B238,Derived_Variables!$A:$A,Derived_Variables!$U:$U,1.25),
maxAR,XLOOKUP($B238,Derived_Variables!$A:$A,Derived_Variables!$V:$V,3),
anom,XLOOKUP($B238,Derived_Variables!$A:$A,Derived_Variables!$Z:$Z,FALSE),
reStart,XLOOKUP($B238,Derived_Variables!$A:$A,Derived_Variables!$K:$K,0),
leStart,XLOOKUP($B238,Derived_Variables!$A:$A,Derived_Variables!$N:$N,0),
reAR,XLOOKUP($B238,AR_Input!$A:$A,AR_Input!$B:$B,reStart),
leAR,XLOOKUP($B238,AR_Input!$A:$A,AR_Input!$E:$E,leStart),
reEsc,AND(anom,OR(ABS((S238+AM238)-reStart)&gt;maxStart,ABS((S238+AM238)-reAR)&gt;maxAR)),
leEsc,AND(anom,OR(ABS((V238+AP238)-leStart)&gt;maxStart,ABS((V238+AP238)-leAR)&gt;maxAR)),
phaseMax,IFS(
 AK238="Fast",
   IFS(
     OR(C238="B",C238="D"),XLOOKUP("timeout_coarse_fast",Calibration!$B:$B,Calibration!$C:$C,24),
     OR(C238="E",C238="F",C238="H",C238="I"),XLOOKUP("timeout_jcc_fast",Calibration!$B:$B,Calibration!$C:$C,10),
     OR(C238="G",C238="J"),XLOOKUP("timeout_duochrome_fast",Calibration!$B:$B,Calibration!$C:$C,8),
     C238="K",XLOOKUP("timeout_bino_fast",Calibration!$B:$B,Calibration!$C:$C,10),
     OR(C238="P",C238="Q",C238="R"),XLOOKUP("timeout_near_fast",Calibration!$B:$B,Calibration!$C:$C,16),
     TRUE,XLOOKUP("timeout_coarse_fast",Calibration!$B:$B,Calibration!$C:$C,24)
   ),
 AK238="Normal",
   IFS(
     OR(C238="B",C238="D"),XLOOKUP("timeout_coarse_normal",Calibration!$B:$B,Calibration!$C:$C,36),
     OR(C238="E",C238="F",C238="H",C238="I"),XLOOKUP("timeout_jcc_normal",Calibration!$B:$B,Calibration!$C:$C,14),
     OR(C238="G",C238="J"),XLOOKUP("timeout_duochrome_normal",Calibration!$B:$B,Calibration!$C:$C,10),
     C238="K",XLOOKUP("timeout_bino_normal",Calibration!$B:$B,Calibration!$C:$C,14),
     OR(C238="P",C238="Q",C238="R"),XLOOKUP("timeout_near_normal",Calibration!$B:$B,Calibration!$C:$C,22),
     TRUE,XLOOKUP("timeout_coarse_normal",Calibration!$B:$B,Calibration!$C:$C,36)
   ),
 TRUE,
   IFS(
     OR(C238="B",C238="D"),XLOOKUP("timeout_coarse_slow",Calibration!$B:$B,Calibration!$C:$C,48),
     OR(C238="E",C238="F",C238="H",C238="I"),XLOOKUP("timeout_jcc_slow",Calibration!$B:$B,Calibration!$C:$C,18),
     OR(C238="G",C238="J"),XLOOKUP("timeout_duochrome_slow",Calibration!$B:$B,Calibration!$C:$C,12),
     C238="K",XLOOKUP("timeout_bino_slow",Calibration!$B:$B,Calibration!$C:$C,18),
     OR(C238="P",C238="Q",C238="R"),XLOOKUP("timeout_near_slow",Calibration!$B:$B,Calibration!$C:$C,28),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AJ238=TRUE,"ESCALATE",
C238="A",
IF(OR(I238="NOT_READABLE",I238="BLURRY",AND(R238="20_20_20",I238="READABLE")),"B","A"),
C238="B",
IF(reEsc,"ESCALATE",IF(AY238&gt;=phaseMax,"ESCALATE",IF(AND(AV238&gt;=AW238,I238="READABLE"),"E","B"))),
C238="E",
IF(AY238&gt;=phaseMax,"ESCALATE",IF(OR(I238="SAME",I238="CANT_TELL",AD238&lt;axisTol),"F","E")),
C238="F",
IF(AY238&gt;=phaseMax,"ESCALATE",IF(AX238&gt;=powerSameN,"G","F")),
C238="G",
IF(AY238&gt;=phaseMax,"ESCALATE",IF(OR(AX238&gt;=duoEqualN,BB238&gt;=duoMax),"D","G")),
C238="D",
IF(leEsc,"ESCALATE",IF(AY238&gt;=phaseMax,"ESCALATE",IF(AND(AV238&gt;=AW238,I238="READABLE"),"H","D"))),
C238="H",
IF(AY238&gt;=phaseMax,"ESCALATE",IF(OR(I238="SAME",I238="CANT_TELL",AD238&lt;axisTol),"I","H")),
C238="I",
IF(AY238&gt;=phaseMax,"ESCALATE",IF(AX238&gt;=powerSameN,"J","I")),
C238="J",
IF(AY238&gt;=phaseMax,"ESCALATE",IF(OR(AX238&gt;=duoEqualN,BB238&gt;=duoMax),"K","J")),
C238="K",
IF(AY238&gt;=phaseMax,"ESCALATE",IF(AX238&gt;=binoSameN,IF(XLOOKUP($B238,Derived_Variables!$A:$A,Derived_Variables!$AJ:$AJ,FALSE)=TRUE,"P","END"),"K")),
C238="P",
IF(AY238&gt;=phaseMax,"ESCALATE",IF(OR(I238="READABLE",I238="SAME"),"Q","P")),
C238="Q",
IF(AY238&gt;=phaseMax,"ESCALATE",IF(OR(I238="READABLE",I238="SAME"),"R","Q")),
C238="R",
IF(AY238&gt;=phaseMax,"ESCALATE",IF(OR(I238=nearTarget,I238="SAME"),"END","R")),
TRUE,"END"
)))</f>
        <v/>
      </c>
      <c r="BD238" s="28" t="b">
        <f t="shared" si="19"/>
        <v>0</v>
      </c>
    </row>
    <row r="239" ht="15.75" customHeight="1">
      <c r="A239" s="28">
        <f t="shared" si="3"/>
        <v>238</v>
      </c>
      <c r="B239" s="28">
        <f t="shared" si="4"/>
        <v>6</v>
      </c>
      <c r="C239" s="28" t="str">
        <f t="shared" si="5"/>
        <v/>
      </c>
      <c r="D239" s="28" t="str">
        <f t="array" ref="D239">IF($I238="","",XLOOKUP(C239,FSM_State_Map!A:A,FSM_State_Map!B:B,""))</f>
        <v/>
      </c>
      <c r="E239" s="28" t="str">
        <f t="array" ref="E239">IF($I238="","",XLOOKUP(C239,FSM_State_Map!A:A,FSM_State_Map!C:C,""))</f>
        <v/>
      </c>
      <c r="F239" s="28" t="str">
        <f t="array" ref="F239">IF($I238="","",XLOOKUP(E239,Phase_UI_Map!A:A,Phase_UI_Map!B:B,""))</f>
        <v/>
      </c>
      <c r="G239" s="28" t="str">
        <f t="array" ref="G239">IF($I238="","",XLOOKUP(E239,Phase_UI_Map!A:A,Phase_UI_Map!C:C,""))</f>
        <v/>
      </c>
      <c r="H239" s="28" t="str">
        <f t="array" ref="H239">IF($I238="","",XLOOKUP(E239,Phase_UI_Map!A:A,Phase_UI_Map!D:D,""))</f>
        <v/>
      </c>
      <c r="I239" s="29"/>
      <c r="J239" s="28" t="str">
        <f>IFERROR(__xludf.DUMMYFUNCTION("IF($I238="""","""",IFERROR(INDEX(FILTER(Response_Lists!$B:$B,Response_Lists!$A:$A=$H239),1),""""))"),"")</f>
        <v/>
      </c>
      <c r="K239" s="28" t="str">
        <f>IFERROR(__xludf.DUMMYFUNCTION("IF($I238="""","""",IFERROR(INDEX(FILTER(Response_Lists!$B:$B,Response_Lists!$A:$A=$H239),2),""""))"),"")</f>
        <v/>
      </c>
      <c r="L239" s="28" t="str">
        <f>IFERROR(__xludf.DUMMYFUNCTION("IF($I238="""","""",IFERROR(INDEX(FILTER(Response_Lists!$B:$B,Response_Lists!$A:$A=$H239),3),""""))"),"")</f>
        <v/>
      </c>
      <c r="M239" s="28" t="str">
        <f>IFERROR(__xludf.DUMMYFUNCTION("IF($I238="""","""",IFERROR(INDEX(FILTER(Response_Lists!$B:$B,Response_Lists!$A:$A=$H239),4),""""))"),"")</f>
        <v/>
      </c>
      <c r="N239" s="28" t="str">
        <f>IFERROR(__xludf.DUMMYFUNCTION("IF($I238="""","""",IFERROR(INDEX(FILTER(Response_Lists!$B:$B,Response_Lists!$A:$A=$H239),5),""""))"),"")</f>
        <v/>
      </c>
      <c r="O239" s="28" t="str">
        <f>IFERROR(__xludf.DUMMYFUNCTION("IF($I238="""","""",IFERROR(INDEX(FILTER(Response_Lists!$B:$B,Response_Lists!$A:$A=$H239),6),""""))"),"")</f>
        <v/>
      </c>
      <c r="P239" s="28" t="str">
        <f t="shared" si="6"/>
        <v/>
      </c>
      <c r="Q239" s="28" t="str">
        <f t="array" ref="Q239">IF($I238="","",XLOOKUP(C239,FSM_State_Map!A:A,FSM_State_Map!D:D,""))</f>
        <v/>
      </c>
      <c r="R239" s="28" t="str">
        <f t="shared" si="7"/>
        <v/>
      </c>
      <c r="S239" s="28" t="str">
        <f t="array" ref="S239">IF($I238="","",
IF(
  AND(C239="B",C238&lt;&gt;"B"),
  XLOOKUP($B239,Derived_Variables!$A:$A,Derived_Variables!$K:$K,0)
  + XLOOKUP($B239,Derived_Variables!$A:$A,Derived_Variables!$AE:$AE,0),
  S238+AM238
))</f>
        <v/>
      </c>
      <c r="T239" s="28" t="str">
        <f t="shared" ref="T239:U239" si="488">IF($I238="","",T238+AN238)</f>
        <v/>
      </c>
      <c r="U239" s="28" t="str">
        <f t="shared" si="488"/>
        <v/>
      </c>
      <c r="V239" s="28" t="str">
        <f t="array" ref="V239">IF($I238="","",
IF(
  AND(C239="D",C238&lt;&gt;"D"),
  XLOOKUP($B239,Derived_Variables!$A:$A,Derived_Variables!$N:$N,0)
  + XLOOKUP($B239,Derived_Variables!$A:$A,Derived_Variables!$AE:$AE,0),
  V238+AP238
))</f>
        <v/>
      </c>
      <c r="W239" s="28" t="str">
        <f t="shared" ref="W239:X239" si="489">IF($I238="","",W238+AQ238)</f>
        <v/>
      </c>
      <c r="X239" s="28" t="str">
        <f t="shared" si="489"/>
        <v/>
      </c>
      <c r="Y239" s="28" t="str">
        <f t="array" ref="Y239">IF($I238="","",IF(AND(C239="P",C238&lt;&gt;"P"),IFERROR(XLOOKUP($B239,Lenso_Input!$A:$A,Lenso_Input!$E:$E,0),0),Y238+AS238))</f>
        <v/>
      </c>
      <c r="Z239" s="28" t="str">
        <f t="array" ref="Z239">IF($I238="","",IF(AND(C239="Q",C238&lt;&gt;"Q"),IFERROR(XLOOKUP($B239,Lenso_Input!$A:$A,Lenso_Input!$I:$I,0),0),Z238+AT238))</f>
        <v/>
      </c>
      <c r="AA239" s="28" t="str">
        <f t="array" ref="AA239">IF($I238="","",IF(XLOOKUP($B239,Derived_Variables!$A:$A,Derived_Variables!$R:$R,"6/6_target")="6/6_target","20_20_20","40_30_25"))</f>
        <v/>
      </c>
      <c r="AB239" s="28" t="str">
        <f t="array" ref="AB239">IF($I238="","",XLOOKUP(LOWER(XLOOKUP($B239,Derived_Variables!$A:$A,Derived_Variables!$T:$T,"Standard"))&amp;"_sph_step",Calibration!$B:$B,Calibration!$C:$C,0.25))</f>
        <v/>
      </c>
      <c r="AC239" s="28" t="str">
        <f t="array" ref="AC239">IF($I238="","",XLOOKUP(LOWER(XLOOKUP($B239,Derived_Variables!$A:$A,Derived_Variables!$T:$T,"Standard"))&amp;"_cyl_step",Calibration!$B:$B,Calibration!$C:$C,0.25))</f>
        <v/>
      </c>
      <c r="AD239" s="28" t="str">
        <f t="array" ref="AD239">IF($I238="","",IF(OR(C239="E",C239="H"),LET(startStep,XLOOKUP("axis_start_step",Calibration!$B:$B,Calibration!$C:$C,5),step1,XLOOKUP("axis_reversal_step_1",Calibration!$B:$B,Calibration!$C:$C,3),step2,XLOOKUP("axis_reversal_step_2",Calibration!$B:$B,Calibration!$C:$C,1),IF(OR(C238&lt;&gt;C239,AZ239="",AZ239="SAME",AZ239="CANT_TELL",I239="",I239="SAME",I239="CANT_TELL"),startStep,IF(OR(AND(AZ239="BETTER_1",I239="BETTER_2"),AND(AZ239="BETTER_2",I239="BETTER_1")),IF(AD238&gt;step1,step1,step2),AD238))),0))</f>
        <v/>
      </c>
      <c r="AE239" s="28" t="str">
        <f t="array" ref="AE239">IF($I238="","",XLOOKUP($B239,Derived_Variables!$A:$A,Derived_Variables!$AD:$AD,"No_Fog"))</f>
        <v/>
      </c>
      <c r="AF239" s="28" t="str">
        <f t="array" ref="AF239">IF($I238="","",XLOOKUP($B239,Derived_Variables!$A:$A,Derived_Variables!$AE:$AE,0))</f>
        <v/>
      </c>
      <c r="AG239" s="28" t="str">
        <f t="array" ref="AG239">IF($I238="","",XLOOKUP($B239,Derived_Variables!$A:$A,Derived_Variables!$AF:$AF,""))</f>
        <v/>
      </c>
      <c r="AH239" s="28" t="str">
        <f t="array" ref="AH239">IF($I238="","",XLOOKUP($B239,Derived_Variables!$A:$A,Derived_Variables!$AG:$AG,""))</f>
        <v/>
      </c>
      <c r="AI239" s="28" t="str">
        <f t="array" ref="AI239">IF($I238="","",XLOOKUP($B239,Derived_Variables!$A:$A,Derived_Variables!$AC:$AC,"Medium"))</f>
        <v/>
      </c>
      <c r="AJ239" s="28" t="str">
        <f t="array" ref="AJ239">IF($I238="","",XLOOKUP($B239,Derived_Variables!$A:$A,Derived_Variables!$Y:$Y,FALSE))</f>
        <v/>
      </c>
      <c r="AK239" s="28" t="str">
        <f t="array" ref="AK239">IF($I238="","",XLOOKUP($B239,Derived_Variables!$A:$A,Derived_Variables!$AA:$AA,"Normal"))</f>
        <v/>
      </c>
      <c r="AL239" s="28" t="str">
        <f t="array" ref="AL239">IF($I238="","",XLOOKUP($B239,Derived_Variables!$A:$A,Derived_Variables!$AB:$AB,"Normal"))</f>
        <v/>
      </c>
      <c r="AM239" s="28" t="str">
        <f t="array" ref="AM239">IF($I239="","",IFS(C239="B",IF(OR(I239="NOT_READABLE",I239="BLURRY"),-AB239,0),C239="G",IFS(I239="RED_CLEARER",XLOOKUP("duochrome_red_step",Calibration!$B:$B,Calibration!$C:$C,-0.25),I239="GREEN_CLEARER",XLOOKUP("duochrome_green_step",Calibration!$B:$B,Calibration!$C:$C,0.25),I239="EQUAL",IF(XLOOKUP($B239,Derived_Variables!$A:$A,Derived_Variables!$S:$S,"Neutral")="Undercorrect",XLOOKUP("undercorrect_step",Calibration!$B:$B,Calibration!$C:$C,0.25),IF(XLOOKUP($B239,Derived_Variables!$A:$A,Derived_Variables!$S:$S,"Neutral")="Overcorrect",-XLOOKUP("overcorrect_step",Calibration!$B:$B,Calibration!$C:$C,0.25),0)),TRUE,0),C239="K",IF(I239="TOP_CLEARER",XLOOKUP("bino_balance_step",Calibration!$B:$B,Calibration!$C:$C,0.25),0),TRUE,0))</f>
        <v/>
      </c>
      <c r="AN239" s="28" t="str">
        <f t="shared" si="10"/>
        <v/>
      </c>
      <c r="AO239" s="28" t="str">
        <f t="shared" si="11"/>
        <v/>
      </c>
      <c r="AP239" s="28" t="str">
        <f t="array" ref="AP239">IF($I239="","",IFS(C239="D",IF(OR(I239="NOT_READABLE",I239="BLURRY"),-AB239,0),C239="J",IFS(I239="RED_CLEARER",XLOOKUP("duochrome_red_step",Calibration!$B:$B,Calibration!$C:$C,-0.25),I239="GREEN_CLEARER",XLOOKUP("duochrome_green_step",Calibration!$B:$B,Calibration!$C:$C,0.25),I239="EQUAL",IF(XLOOKUP($B239,Derived_Variables!$A:$A,Derived_Variables!$S:$S,"Neutral")="Undercorrect",XLOOKUP("undercorrect_step",Calibration!$B:$B,Calibration!$C:$C,0.25),IF(XLOOKUP($B239,Derived_Variables!$A:$A,Derived_Variables!$S:$S,"Neutral")="Overcorrect",-XLOOKUP("overcorrect_step",Calibration!$B:$B,Calibration!$C:$C,0.25),0)),TRUE,0),C239="K",IF(I239="BOTTOM_CLEARER",XLOOKUP("bino_balance_step",Calibration!$B:$B,Calibration!$C:$C,0.25),0),TRUE,0))</f>
        <v/>
      </c>
      <c r="AQ239" s="28" t="str">
        <f t="shared" si="12"/>
        <v/>
      </c>
      <c r="AR239" s="28" t="str">
        <f t="shared" si="13"/>
        <v/>
      </c>
      <c r="AS239" s="28" t="str">
        <f t="array" ref="AS239">IF($I239="","",IF(C239="P",IF(OR(I239="NOT_READABLE",I239="BLURRY"),XLOOKUP("near_add_step",Calibration!$B:$B,Calibration!$C:$C,0.25),0),IF(C239="R",IF(I239="NOT_CLEAR",XLOOKUP("near_add_step",Calibration!$B:$B,Calibration!$C:$C,0.25),0),0)))</f>
        <v/>
      </c>
      <c r="AT239" s="28" t="str">
        <f t="array" ref="AT239">IF($I239="","",IF(C239="Q",IF(OR(I239="NOT_READABLE",I239="BLURRY"),XLOOKUP("near_add_step",Calibration!$B:$B,Calibration!$C:$C,0.25),0),IF(C239="R",IF(I239="NOT_CLEAR",XLOOKUP("near_add_step",Calibration!$B:$B,Calibration!$C:$C,0.25),0),0)))</f>
        <v/>
      </c>
      <c r="AU239" s="28" t="str">
        <f t="array" ref="AU239">IF($I239="","",IF(G239="SNELLEN_FEET",IF(I239="READABLE",IFERROR(XLOOKUP(XLOOKUP(R239,Chart_Scale_Distance!B:B,Chart_Scale_Distance!A:A)+1,Chart_Scale_Distance!A:A,Chart_Scale_Distance!B:B),R239),R239),R239))</f>
        <v/>
      </c>
      <c r="AV239" s="28" t="str">
        <f t="array" ref="AV239">IF($I238="","",IFERROR(XLOOKUP(R239,Chart_Scale_Distance!$B:$B,Chart_Scale_Distance!$A:$A,""),""))</f>
        <v/>
      </c>
      <c r="AW239" s="28" t="str">
        <f t="array" ref="AW239">IF($I238="","",IFERROR(XLOOKUP(AA239,Chart_Scale_Distance!$B:$B,Chart_Scale_Distance!$A:$A,""),""))</f>
        <v/>
      </c>
      <c r="AX239" s="28" t="str">
        <f t="shared" si="14"/>
        <v/>
      </c>
      <c r="AY239" s="28" t="str">
        <f t="shared" si="15"/>
        <v/>
      </c>
      <c r="AZ239" s="28" t="str">
        <f t="shared" si="16"/>
        <v/>
      </c>
      <c r="BA239" s="28" t="str">
        <f t="shared" si="17"/>
        <v/>
      </c>
      <c r="BB239" s="28" t="str">
        <f t="shared" si="18"/>
        <v/>
      </c>
      <c r="BC239" s="28" t="str">
        <f t="array" ref="BC239">IF($I239="","",LET(
conf,AI239,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duoMax,XLOOKUP($B239,Derived_Variables!$A:$A,Derived_Variables!$AI:$AI,4),
axisTol,XLOOKUP($B239,Derived_Variables!$A:$A,Derived_Variables!$W:$W,1),
maxStart,XLOOKUP($B239,Derived_Variables!$A:$A,Derived_Variables!$U:$U,1.25),
maxAR,XLOOKUP($B239,Derived_Variables!$A:$A,Derived_Variables!$V:$V,3),
anom,XLOOKUP($B239,Derived_Variables!$A:$A,Derived_Variables!$Z:$Z,FALSE),
reStart,XLOOKUP($B239,Derived_Variables!$A:$A,Derived_Variables!$K:$K,0),
leStart,XLOOKUP($B239,Derived_Variables!$A:$A,Derived_Variables!$N:$N,0),
reAR,XLOOKUP($B239,AR_Input!$A:$A,AR_Input!$B:$B,reStart),
leAR,XLOOKUP($B239,AR_Input!$A:$A,AR_Input!$E:$E,leStart),
reEsc,AND(anom,OR(ABS((S239+AM239)-reStart)&gt;maxStart,ABS((S239+AM239)-reAR)&gt;maxAR)),
leEsc,AND(anom,OR(ABS((V239+AP239)-leStart)&gt;maxStart,ABS((V239+AP239)-leAR)&gt;maxAR)),
phaseMax,IFS(
 AK239="Fast",
   IFS(
     OR(C239="B",C239="D"),XLOOKUP("timeout_coarse_fast",Calibration!$B:$B,Calibration!$C:$C,24),
     OR(C239="E",C239="F",C239="H",C239="I"),XLOOKUP("timeout_jcc_fast",Calibration!$B:$B,Calibration!$C:$C,10),
     OR(C239="G",C239="J"),XLOOKUP("timeout_duochrome_fast",Calibration!$B:$B,Calibration!$C:$C,8),
     C239="K",XLOOKUP("timeout_bino_fast",Calibration!$B:$B,Calibration!$C:$C,10),
     OR(C239="P",C239="Q",C239="R"),XLOOKUP("timeout_near_fast",Calibration!$B:$B,Calibration!$C:$C,16),
     TRUE,XLOOKUP("timeout_coarse_fast",Calibration!$B:$B,Calibration!$C:$C,24)
   ),
 AK239="Normal",
   IFS(
     OR(C239="B",C239="D"),XLOOKUP("timeout_coarse_normal",Calibration!$B:$B,Calibration!$C:$C,36),
     OR(C239="E",C239="F",C239="H",C239="I"),XLOOKUP("timeout_jcc_normal",Calibration!$B:$B,Calibration!$C:$C,14),
     OR(C239="G",C239="J"),XLOOKUP("timeout_duochrome_normal",Calibration!$B:$B,Calibration!$C:$C,10),
     C239="K",XLOOKUP("timeout_bino_normal",Calibration!$B:$B,Calibration!$C:$C,14),
     OR(C239="P",C239="Q",C239="R"),XLOOKUP("timeout_near_normal",Calibration!$B:$B,Calibration!$C:$C,22),
     TRUE,XLOOKUP("timeout_coarse_normal",Calibration!$B:$B,Calibration!$C:$C,36)
   ),
 TRUE,
   IFS(
     OR(C239="B",C239="D"),XLOOKUP("timeout_coarse_slow",Calibration!$B:$B,Calibration!$C:$C,48),
     OR(C239="E",C239="F",C239="H",C239="I"),XLOOKUP("timeout_jcc_slow",Calibration!$B:$B,Calibration!$C:$C,18),
     OR(C239="G",C239="J"),XLOOKUP("timeout_duochrome_slow",Calibration!$B:$B,Calibration!$C:$C,12),
     C239="K",XLOOKUP("timeout_bino_slow",Calibration!$B:$B,Calibration!$C:$C,18),
     OR(C239="P",C239="Q",C239="R"),XLOOKUP("timeout_near_slow",Calibration!$B:$B,Calibration!$C:$C,28),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AJ239=TRUE,"ESCALATE",
C239="A",
IF(OR(I239="NOT_READABLE",I239="BLURRY",AND(R239="20_20_20",I239="READABLE")),"B","A"),
C239="B",
IF(reEsc,"ESCALATE",IF(AY239&gt;=phaseMax,"ESCALATE",IF(AND(AV239&gt;=AW239,I239="READABLE"),"E","B"))),
C239="E",
IF(AY239&gt;=phaseMax,"ESCALATE",IF(OR(I239="SAME",I239="CANT_TELL",AD239&lt;axisTol),"F","E")),
C239="F",
IF(AY239&gt;=phaseMax,"ESCALATE",IF(AX239&gt;=powerSameN,"G","F")),
C239="G",
IF(AY239&gt;=phaseMax,"ESCALATE",IF(OR(AX239&gt;=duoEqualN,BB239&gt;=duoMax),"D","G")),
C239="D",
IF(leEsc,"ESCALATE",IF(AY239&gt;=phaseMax,"ESCALATE",IF(AND(AV239&gt;=AW239,I239="READABLE"),"H","D"))),
C239="H",
IF(AY239&gt;=phaseMax,"ESCALATE",IF(OR(I239="SAME",I239="CANT_TELL",AD239&lt;axisTol),"I","H")),
C239="I",
IF(AY239&gt;=phaseMax,"ESCALATE",IF(AX239&gt;=powerSameN,"J","I")),
C239="J",
IF(AY239&gt;=phaseMax,"ESCALATE",IF(OR(AX239&gt;=duoEqualN,BB239&gt;=duoMax),"K","J")),
C239="K",
IF(AY239&gt;=phaseMax,"ESCALATE",IF(AX239&gt;=binoSameN,IF(XLOOKUP($B239,Derived_Variables!$A:$A,Derived_Variables!$AJ:$AJ,FALSE)=TRUE,"P","END"),"K")),
C239="P",
IF(AY239&gt;=phaseMax,"ESCALATE",IF(OR(I239="READABLE",I239="SAME"),"Q","P")),
C239="Q",
IF(AY239&gt;=phaseMax,"ESCALATE",IF(OR(I239="READABLE",I239="SAME"),"R","Q")),
C239="R",
IF(AY239&gt;=phaseMax,"ESCALATE",IF(OR(I239=nearTarget,I239="SAME"),"END","R")),
TRUE,"END"
)))</f>
        <v/>
      </c>
      <c r="BD239" s="28" t="b">
        <f t="shared" si="19"/>
        <v>0</v>
      </c>
    </row>
    <row r="240" ht="15.75" customHeight="1">
      <c r="A240" s="28">
        <f t="shared" si="3"/>
        <v>239</v>
      </c>
      <c r="B240" s="28">
        <f t="shared" si="4"/>
        <v>6</v>
      </c>
      <c r="C240" s="28" t="str">
        <f t="shared" si="5"/>
        <v/>
      </c>
      <c r="D240" s="28" t="str">
        <f t="array" ref="D240">IF($I239="","",XLOOKUP(C240,FSM_State_Map!A:A,FSM_State_Map!B:B,""))</f>
        <v/>
      </c>
      <c r="E240" s="28" t="str">
        <f t="array" ref="E240">IF($I239="","",XLOOKUP(C240,FSM_State_Map!A:A,FSM_State_Map!C:C,""))</f>
        <v/>
      </c>
      <c r="F240" s="28" t="str">
        <f t="array" ref="F240">IF($I239="","",XLOOKUP(E240,Phase_UI_Map!A:A,Phase_UI_Map!B:B,""))</f>
        <v/>
      </c>
      <c r="G240" s="28" t="str">
        <f t="array" ref="G240">IF($I239="","",XLOOKUP(E240,Phase_UI_Map!A:A,Phase_UI_Map!C:C,""))</f>
        <v/>
      </c>
      <c r="H240" s="28" t="str">
        <f t="array" ref="H240">IF($I239="","",XLOOKUP(E240,Phase_UI_Map!A:A,Phase_UI_Map!D:D,""))</f>
        <v/>
      </c>
      <c r="I240" s="29"/>
      <c r="J240" s="28" t="str">
        <f>IFERROR(__xludf.DUMMYFUNCTION("IF($I239="""","""",IFERROR(INDEX(FILTER(Response_Lists!$B:$B,Response_Lists!$A:$A=$H240),1),""""))"),"")</f>
        <v/>
      </c>
      <c r="K240" s="28" t="str">
        <f>IFERROR(__xludf.DUMMYFUNCTION("IF($I239="""","""",IFERROR(INDEX(FILTER(Response_Lists!$B:$B,Response_Lists!$A:$A=$H240),2),""""))"),"")</f>
        <v/>
      </c>
      <c r="L240" s="28" t="str">
        <f>IFERROR(__xludf.DUMMYFUNCTION("IF($I239="""","""",IFERROR(INDEX(FILTER(Response_Lists!$B:$B,Response_Lists!$A:$A=$H240),3),""""))"),"")</f>
        <v/>
      </c>
      <c r="M240" s="28" t="str">
        <f>IFERROR(__xludf.DUMMYFUNCTION("IF($I239="""","""",IFERROR(INDEX(FILTER(Response_Lists!$B:$B,Response_Lists!$A:$A=$H240),4),""""))"),"")</f>
        <v/>
      </c>
      <c r="N240" s="28" t="str">
        <f>IFERROR(__xludf.DUMMYFUNCTION("IF($I239="""","""",IFERROR(INDEX(FILTER(Response_Lists!$B:$B,Response_Lists!$A:$A=$H240),5),""""))"),"")</f>
        <v/>
      </c>
      <c r="O240" s="28" t="str">
        <f>IFERROR(__xludf.DUMMYFUNCTION("IF($I239="""","""",IFERROR(INDEX(FILTER(Response_Lists!$B:$B,Response_Lists!$A:$A=$H240),6),""""))"),"")</f>
        <v/>
      </c>
      <c r="P240" s="28" t="str">
        <f t="shared" si="6"/>
        <v/>
      </c>
      <c r="Q240" s="28" t="str">
        <f t="array" ref="Q240">IF($I239="","",XLOOKUP(C240,FSM_State_Map!A:A,FSM_State_Map!D:D,""))</f>
        <v/>
      </c>
      <c r="R240" s="28" t="str">
        <f t="shared" si="7"/>
        <v/>
      </c>
      <c r="S240" s="28" t="str">
        <f t="array" ref="S240">IF($I239="","",
IF(
  AND(C240="B",C239&lt;&gt;"B"),
  XLOOKUP($B240,Derived_Variables!$A:$A,Derived_Variables!$K:$K,0)
  + XLOOKUP($B240,Derived_Variables!$A:$A,Derived_Variables!$AE:$AE,0),
  S239+AM239
))</f>
        <v/>
      </c>
      <c r="T240" s="28" t="str">
        <f t="shared" ref="T240:U240" si="490">IF($I239="","",T239+AN239)</f>
        <v/>
      </c>
      <c r="U240" s="28" t="str">
        <f t="shared" si="490"/>
        <v/>
      </c>
      <c r="V240" s="28" t="str">
        <f t="array" ref="V240">IF($I239="","",
IF(
  AND(C240="D",C239&lt;&gt;"D"),
  XLOOKUP($B240,Derived_Variables!$A:$A,Derived_Variables!$N:$N,0)
  + XLOOKUP($B240,Derived_Variables!$A:$A,Derived_Variables!$AE:$AE,0),
  V239+AP239
))</f>
        <v/>
      </c>
      <c r="W240" s="28" t="str">
        <f t="shared" ref="W240:X240" si="491">IF($I239="","",W239+AQ239)</f>
        <v/>
      </c>
      <c r="X240" s="28" t="str">
        <f t="shared" si="491"/>
        <v/>
      </c>
      <c r="Y240" s="28" t="str">
        <f t="array" ref="Y240">IF($I239="","",IF(AND(C240="P",C239&lt;&gt;"P"),IFERROR(XLOOKUP($B240,Lenso_Input!$A:$A,Lenso_Input!$E:$E,0),0),Y239+AS239))</f>
        <v/>
      </c>
      <c r="Z240" s="28" t="str">
        <f t="array" ref="Z240">IF($I239="","",IF(AND(C240="Q",C239&lt;&gt;"Q"),IFERROR(XLOOKUP($B240,Lenso_Input!$A:$A,Lenso_Input!$I:$I,0),0),Z239+AT239))</f>
        <v/>
      </c>
      <c r="AA240" s="28" t="str">
        <f t="array" ref="AA240">IF($I239="","",IF(XLOOKUP($B240,Derived_Variables!$A:$A,Derived_Variables!$R:$R,"6/6_target")="6/6_target","20_20_20","40_30_25"))</f>
        <v/>
      </c>
      <c r="AB240" s="28" t="str">
        <f t="array" ref="AB240">IF($I239="","",XLOOKUP(LOWER(XLOOKUP($B240,Derived_Variables!$A:$A,Derived_Variables!$T:$T,"Standard"))&amp;"_sph_step",Calibration!$B:$B,Calibration!$C:$C,0.25))</f>
        <v/>
      </c>
      <c r="AC240" s="28" t="str">
        <f t="array" ref="AC240">IF($I239="","",XLOOKUP(LOWER(XLOOKUP($B240,Derived_Variables!$A:$A,Derived_Variables!$T:$T,"Standard"))&amp;"_cyl_step",Calibration!$B:$B,Calibration!$C:$C,0.25))</f>
        <v/>
      </c>
      <c r="AD240" s="28" t="str">
        <f t="array" ref="AD240">IF($I239="","",IF(OR(C240="E",C240="H"),LET(startStep,XLOOKUP("axis_start_step",Calibration!$B:$B,Calibration!$C:$C,5),step1,XLOOKUP("axis_reversal_step_1",Calibration!$B:$B,Calibration!$C:$C,3),step2,XLOOKUP("axis_reversal_step_2",Calibration!$B:$B,Calibration!$C:$C,1),IF(OR(C239&lt;&gt;C240,AZ240="",AZ240="SAME",AZ240="CANT_TELL",I240="",I240="SAME",I240="CANT_TELL"),startStep,IF(OR(AND(AZ240="BETTER_1",I240="BETTER_2"),AND(AZ240="BETTER_2",I240="BETTER_1")),IF(AD239&gt;step1,step1,step2),AD239))),0))</f>
        <v/>
      </c>
      <c r="AE240" s="28" t="str">
        <f t="array" ref="AE240">IF($I239="","",XLOOKUP($B240,Derived_Variables!$A:$A,Derived_Variables!$AD:$AD,"No_Fog"))</f>
        <v/>
      </c>
      <c r="AF240" s="28" t="str">
        <f t="array" ref="AF240">IF($I239="","",XLOOKUP($B240,Derived_Variables!$A:$A,Derived_Variables!$AE:$AE,0))</f>
        <v/>
      </c>
      <c r="AG240" s="28" t="str">
        <f t="array" ref="AG240">IF($I239="","",XLOOKUP($B240,Derived_Variables!$A:$A,Derived_Variables!$AF:$AF,""))</f>
        <v/>
      </c>
      <c r="AH240" s="28" t="str">
        <f t="array" ref="AH240">IF($I239="","",XLOOKUP($B240,Derived_Variables!$A:$A,Derived_Variables!$AG:$AG,""))</f>
        <v/>
      </c>
      <c r="AI240" s="28" t="str">
        <f t="array" ref="AI240">IF($I239="","",XLOOKUP($B240,Derived_Variables!$A:$A,Derived_Variables!$AC:$AC,"Medium"))</f>
        <v/>
      </c>
      <c r="AJ240" s="28" t="str">
        <f t="array" ref="AJ240">IF($I239="","",XLOOKUP($B240,Derived_Variables!$A:$A,Derived_Variables!$Y:$Y,FALSE))</f>
        <v/>
      </c>
      <c r="AK240" s="28" t="str">
        <f t="array" ref="AK240">IF($I239="","",XLOOKUP($B240,Derived_Variables!$A:$A,Derived_Variables!$AA:$AA,"Normal"))</f>
        <v/>
      </c>
      <c r="AL240" s="28" t="str">
        <f t="array" ref="AL240">IF($I239="","",XLOOKUP($B240,Derived_Variables!$A:$A,Derived_Variables!$AB:$AB,"Normal"))</f>
        <v/>
      </c>
      <c r="AM240" s="28" t="str">
        <f t="array" ref="AM240">IF($I240="","",IFS(C240="B",IF(OR(I240="NOT_READABLE",I240="BLURRY"),-AB240,0),C240="G",IFS(I240="RED_CLEARER",XLOOKUP("duochrome_red_step",Calibration!$B:$B,Calibration!$C:$C,-0.25),I240="GREEN_CLEARER",XLOOKUP("duochrome_green_step",Calibration!$B:$B,Calibration!$C:$C,0.25),I240="EQUAL",IF(XLOOKUP($B240,Derived_Variables!$A:$A,Derived_Variables!$S:$S,"Neutral")="Undercorrect",XLOOKUP("undercorrect_step",Calibration!$B:$B,Calibration!$C:$C,0.25),IF(XLOOKUP($B240,Derived_Variables!$A:$A,Derived_Variables!$S:$S,"Neutral")="Overcorrect",-XLOOKUP("overcorrect_step",Calibration!$B:$B,Calibration!$C:$C,0.25),0)),TRUE,0),C240="K",IF(I240="TOP_CLEARER",XLOOKUP("bino_balance_step",Calibration!$B:$B,Calibration!$C:$C,0.25),0),TRUE,0))</f>
        <v/>
      </c>
      <c r="AN240" s="28" t="str">
        <f t="shared" si="10"/>
        <v/>
      </c>
      <c r="AO240" s="28" t="str">
        <f t="shared" si="11"/>
        <v/>
      </c>
      <c r="AP240" s="28" t="str">
        <f t="array" ref="AP240">IF($I240="","",IFS(C240="D",IF(OR(I240="NOT_READABLE",I240="BLURRY"),-AB240,0),C240="J",IFS(I240="RED_CLEARER",XLOOKUP("duochrome_red_step",Calibration!$B:$B,Calibration!$C:$C,-0.25),I240="GREEN_CLEARER",XLOOKUP("duochrome_green_step",Calibration!$B:$B,Calibration!$C:$C,0.25),I240="EQUAL",IF(XLOOKUP($B240,Derived_Variables!$A:$A,Derived_Variables!$S:$S,"Neutral")="Undercorrect",XLOOKUP("undercorrect_step",Calibration!$B:$B,Calibration!$C:$C,0.25),IF(XLOOKUP($B240,Derived_Variables!$A:$A,Derived_Variables!$S:$S,"Neutral")="Overcorrect",-XLOOKUP("overcorrect_step",Calibration!$B:$B,Calibration!$C:$C,0.25),0)),TRUE,0),C240="K",IF(I240="BOTTOM_CLEARER",XLOOKUP("bino_balance_step",Calibration!$B:$B,Calibration!$C:$C,0.25),0),TRUE,0))</f>
        <v/>
      </c>
      <c r="AQ240" s="28" t="str">
        <f t="shared" si="12"/>
        <v/>
      </c>
      <c r="AR240" s="28" t="str">
        <f t="shared" si="13"/>
        <v/>
      </c>
      <c r="AS240" s="28" t="str">
        <f t="array" ref="AS240">IF($I240="","",IF(C240="P",IF(OR(I240="NOT_READABLE",I240="BLURRY"),XLOOKUP("near_add_step",Calibration!$B:$B,Calibration!$C:$C,0.25),0),IF(C240="R",IF(I240="NOT_CLEAR",XLOOKUP("near_add_step",Calibration!$B:$B,Calibration!$C:$C,0.25),0),0)))</f>
        <v/>
      </c>
      <c r="AT240" s="28" t="str">
        <f t="array" ref="AT240">IF($I240="","",IF(C240="Q",IF(OR(I240="NOT_READABLE",I240="BLURRY"),XLOOKUP("near_add_step",Calibration!$B:$B,Calibration!$C:$C,0.25),0),IF(C240="R",IF(I240="NOT_CLEAR",XLOOKUP("near_add_step",Calibration!$B:$B,Calibration!$C:$C,0.25),0),0)))</f>
        <v/>
      </c>
      <c r="AU240" s="28" t="str">
        <f t="array" ref="AU240">IF($I240="","",IF(G240="SNELLEN_FEET",IF(I240="READABLE",IFERROR(XLOOKUP(XLOOKUP(R240,Chart_Scale_Distance!B:B,Chart_Scale_Distance!A:A)+1,Chart_Scale_Distance!A:A,Chart_Scale_Distance!B:B),R240),R240),R240))</f>
        <v/>
      </c>
      <c r="AV240" s="28" t="str">
        <f t="array" ref="AV240">IF($I239="","",IFERROR(XLOOKUP(R240,Chart_Scale_Distance!$B:$B,Chart_Scale_Distance!$A:$A,""),""))</f>
        <v/>
      </c>
      <c r="AW240" s="28" t="str">
        <f t="array" ref="AW240">IF($I239="","",IFERROR(XLOOKUP(AA240,Chart_Scale_Distance!$B:$B,Chart_Scale_Distance!$A:$A,""),""))</f>
        <v/>
      </c>
      <c r="AX240" s="28" t="str">
        <f t="shared" si="14"/>
        <v/>
      </c>
      <c r="AY240" s="28" t="str">
        <f t="shared" si="15"/>
        <v/>
      </c>
      <c r="AZ240" s="28" t="str">
        <f t="shared" si="16"/>
        <v/>
      </c>
      <c r="BA240" s="28" t="str">
        <f t="shared" si="17"/>
        <v/>
      </c>
      <c r="BB240" s="28" t="str">
        <f t="shared" si="18"/>
        <v/>
      </c>
      <c r="BC240" s="28" t="str">
        <f t="array" ref="BC240">IF($I240="","",LET(
conf,AI240,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duoMax,XLOOKUP($B240,Derived_Variables!$A:$A,Derived_Variables!$AI:$AI,4),
axisTol,XLOOKUP($B240,Derived_Variables!$A:$A,Derived_Variables!$W:$W,1),
maxStart,XLOOKUP($B240,Derived_Variables!$A:$A,Derived_Variables!$U:$U,1.25),
maxAR,XLOOKUP($B240,Derived_Variables!$A:$A,Derived_Variables!$V:$V,3),
anom,XLOOKUP($B240,Derived_Variables!$A:$A,Derived_Variables!$Z:$Z,FALSE),
reStart,XLOOKUP($B240,Derived_Variables!$A:$A,Derived_Variables!$K:$K,0),
leStart,XLOOKUP($B240,Derived_Variables!$A:$A,Derived_Variables!$N:$N,0),
reAR,XLOOKUP($B240,AR_Input!$A:$A,AR_Input!$B:$B,reStart),
leAR,XLOOKUP($B240,AR_Input!$A:$A,AR_Input!$E:$E,leStart),
reEsc,AND(anom,OR(ABS((S240+AM240)-reStart)&gt;maxStart,ABS((S240+AM240)-reAR)&gt;maxAR)),
leEsc,AND(anom,OR(ABS((V240+AP240)-leStart)&gt;maxStart,ABS((V240+AP240)-leAR)&gt;maxAR)),
phaseMax,IFS(
 AK240="Fast",
   IFS(
     OR(C240="B",C240="D"),XLOOKUP("timeout_coarse_fast",Calibration!$B:$B,Calibration!$C:$C,24),
     OR(C240="E",C240="F",C240="H",C240="I"),XLOOKUP("timeout_jcc_fast",Calibration!$B:$B,Calibration!$C:$C,10),
     OR(C240="G",C240="J"),XLOOKUP("timeout_duochrome_fast",Calibration!$B:$B,Calibration!$C:$C,8),
     C240="K",XLOOKUP("timeout_bino_fast",Calibration!$B:$B,Calibration!$C:$C,10),
     OR(C240="P",C240="Q",C240="R"),XLOOKUP("timeout_near_fast",Calibration!$B:$B,Calibration!$C:$C,16),
     TRUE,XLOOKUP("timeout_coarse_fast",Calibration!$B:$B,Calibration!$C:$C,24)
   ),
 AK240="Normal",
   IFS(
     OR(C240="B",C240="D"),XLOOKUP("timeout_coarse_normal",Calibration!$B:$B,Calibration!$C:$C,36),
     OR(C240="E",C240="F",C240="H",C240="I"),XLOOKUP("timeout_jcc_normal",Calibration!$B:$B,Calibration!$C:$C,14),
     OR(C240="G",C240="J"),XLOOKUP("timeout_duochrome_normal",Calibration!$B:$B,Calibration!$C:$C,10),
     C240="K",XLOOKUP("timeout_bino_normal",Calibration!$B:$B,Calibration!$C:$C,14),
     OR(C240="P",C240="Q",C240="R"),XLOOKUP("timeout_near_normal",Calibration!$B:$B,Calibration!$C:$C,22),
     TRUE,XLOOKUP("timeout_coarse_normal",Calibration!$B:$B,Calibration!$C:$C,36)
   ),
 TRUE,
   IFS(
     OR(C240="B",C240="D"),XLOOKUP("timeout_coarse_slow",Calibration!$B:$B,Calibration!$C:$C,48),
     OR(C240="E",C240="F",C240="H",C240="I"),XLOOKUP("timeout_jcc_slow",Calibration!$B:$B,Calibration!$C:$C,18),
     OR(C240="G",C240="J"),XLOOKUP("timeout_duochrome_slow",Calibration!$B:$B,Calibration!$C:$C,12),
     C240="K",XLOOKUP("timeout_bino_slow",Calibration!$B:$B,Calibration!$C:$C,18),
     OR(C240="P",C240="Q",C240="R"),XLOOKUP("timeout_near_slow",Calibration!$B:$B,Calibration!$C:$C,28),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AJ240=TRUE,"ESCALATE",
C240="A",
IF(OR(I240="NOT_READABLE",I240="BLURRY",AND(R240="20_20_20",I240="READABLE")),"B","A"),
C240="B",
IF(reEsc,"ESCALATE",IF(AY240&gt;=phaseMax,"ESCALATE",IF(AND(AV240&gt;=AW240,I240="READABLE"),"E","B"))),
C240="E",
IF(AY240&gt;=phaseMax,"ESCALATE",IF(OR(I240="SAME",I240="CANT_TELL",AD240&lt;axisTol),"F","E")),
C240="F",
IF(AY240&gt;=phaseMax,"ESCALATE",IF(AX240&gt;=powerSameN,"G","F")),
C240="G",
IF(AY240&gt;=phaseMax,"ESCALATE",IF(OR(AX240&gt;=duoEqualN,BB240&gt;=duoMax),"D","G")),
C240="D",
IF(leEsc,"ESCALATE",IF(AY240&gt;=phaseMax,"ESCALATE",IF(AND(AV240&gt;=AW240,I240="READABLE"),"H","D"))),
C240="H",
IF(AY240&gt;=phaseMax,"ESCALATE",IF(OR(I240="SAME",I240="CANT_TELL",AD240&lt;axisTol),"I","H")),
C240="I",
IF(AY240&gt;=phaseMax,"ESCALATE",IF(AX240&gt;=powerSameN,"J","I")),
C240="J",
IF(AY240&gt;=phaseMax,"ESCALATE",IF(OR(AX240&gt;=duoEqualN,BB240&gt;=duoMax),"K","J")),
C240="K",
IF(AY240&gt;=phaseMax,"ESCALATE",IF(AX240&gt;=binoSameN,IF(XLOOKUP($B240,Derived_Variables!$A:$A,Derived_Variables!$AJ:$AJ,FALSE)=TRUE,"P","END"),"K")),
C240="P",
IF(AY240&gt;=phaseMax,"ESCALATE",IF(OR(I240="READABLE",I240="SAME"),"Q","P")),
C240="Q",
IF(AY240&gt;=phaseMax,"ESCALATE",IF(OR(I240="READABLE",I240="SAME"),"R","Q")),
C240="R",
IF(AY240&gt;=phaseMax,"ESCALATE",IF(OR(I240=nearTarget,I240="SAME"),"END","R")),
TRUE,"END"
)))</f>
        <v/>
      </c>
      <c r="BD240" s="28" t="b">
        <f t="shared" si="19"/>
        <v>0</v>
      </c>
    </row>
    <row r="241" ht="15.75" customHeight="1">
      <c r="A241" s="28">
        <f t="shared" si="3"/>
        <v>240</v>
      </c>
      <c r="B241" s="28">
        <f t="shared" si="4"/>
        <v>6</v>
      </c>
      <c r="C241" s="28" t="str">
        <f t="shared" si="5"/>
        <v/>
      </c>
      <c r="D241" s="28" t="str">
        <f t="array" ref="D241">IF($I240="","",XLOOKUP(C241,FSM_State_Map!A:A,FSM_State_Map!B:B,""))</f>
        <v/>
      </c>
      <c r="E241" s="28" t="str">
        <f t="array" ref="E241">IF($I240="","",XLOOKUP(C241,FSM_State_Map!A:A,FSM_State_Map!C:C,""))</f>
        <v/>
      </c>
      <c r="F241" s="28" t="str">
        <f t="array" ref="F241">IF($I240="","",XLOOKUP(E241,Phase_UI_Map!A:A,Phase_UI_Map!B:B,""))</f>
        <v/>
      </c>
      <c r="G241" s="28" t="str">
        <f t="array" ref="G241">IF($I240="","",XLOOKUP(E241,Phase_UI_Map!A:A,Phase_UI_Map!C:C,""))</f>
        <v/>
      </c>
      <c r="H241" s="28" t="str">
        <f t="array" ref="H241">IF($I240="","",XLOOKUP(E241,Phase_UI_Map!A:A,Phase_UI_Map!D:D,""))</f>
        <v/>
      </c>
      <c r="I241" s="29"/>
      <c r="J241" s="28" t="str">
        <f>IFERROR(__xludf.DUMMYFUNCTION("IF($I240="""","""",IFERROR(INDEX(FILTER(Response_Lists!$B:$B,Response_Lists!$A:$A=$H241),1),""""))"),"")</f>
        <v/>
      </c>
      <c r="K241" s="28" t="str">
        <f>IFERROR(__xludf.DUMMYFUNCTION("IF($I240="""","""",IFERROR(INDEX(FILTER(Response_Lists!$B:$B,Response_Lists!$A:$A=$H241),2),""""))"),"")</f>
        <v/>
      </c>
      <c r="L241" s="28" t="str">
        <f>IFERROR(__xludf.DUMMYFUNCTION("IF($I240="""","""",IFERROR(INDEX(FILTER(Response_Lists!$B:$B,Response_Lists!$A:$A=$H241),3),""""))"),"")</f>
        <v/>
      </c>
      <c r="M241" s="28" t="str">
        <f>IFERROR(__xludf.DUMMYFUNCTION("IF($I240="""","""",IFERROR(INDEX(FILTER(Response_Lists!$B:$B,Response_Lists!$A:$A=$H241),4),""""))"),"")</f>
        <v/>
      </c>
      <c r="N241" s="28" t="str">
        <f>IFERROR(__xludf.DUMMYFUNCTION("IF($I240="""","""",IFERROR(INDEX(FILTER(Response_Lists!$B:$B,Response_Lists!$A:$A=$H241),5),""""))"),"")</f>
        <v/>
      </c>
      <c r="O241" s="28" t="str">
        <f>IFERROR(__xludf.DUMMYFUNCTION("IF($I240="""","""",IFERROR(INDEX(FILTER(Response_Lists!$B:$B,Response_Lists!$A:$A=$H241),6),""""))"),"")</f>
        <v/>
      </c>
      <c r="P241" s="28" t="str">
        <f t="shared" si="6"/>
        <v/>
      </c>
      <c r="Q241" s="28" t="str">
        <f t="array" ref="Q241">IF($I240="","",XLOOKUP(C241,FSM_State_Map!A:A,FSM_State_Map!D:D,""))</f>
        <v/>
      </c>
      <c r="R241" s="28" t="str">
        <f t="shared" si="7"/>
        <v/>
      </c>
      <c r="S241" s="28" t="str">
        <f t="array" ref="S241">IF($I240="","",
IF(
  AND(C241="B",C240&lt;&gt;"B"),
  XLOOKUP($B241,Derived_Variables!$A:$A,Derived_Variables!$K:$K,0)
  + XLOOKUP($B241,Derived_Variables!$A:$A,Derived_Variables!$AE:$AE,0),
  S240+AM240
))</f>
        <v/>
      </c>
      <c r="T241" s="28" t="str">
        <f t="shared" ref="T241:U241" si="492">IF($I240="","",T240+AN240)</f>
        <v/>
      </c>
      <c r="U241" s="28" t="str">
        <f t="shared" si="492"/>
        <v/>
      </c>
      <c r="V241" s="28" t="str">
        <f t="array" ref="V241">IF($I240="","",
IF(
  AND(C241="D",C240&lt;&gt;"D"),
  XLOOKUP($B241,Derived_Variables!$A:$A,Derived_Variables!$N:$N,0)
  + XLOOKUP($B241,Derived_Variables!$A:$A,Derived_Variables!$AE:$AE,0),
  V240+AP240
))</f>
        <v/>
      </c>
      <c r="W241" s="28" t="str">
        <f t="shared" ref="W241:X241" si="493">IF($I240="","",W240+AQ240)</f>
        <v/>
      </c>
      <c r="X241" s="28" t="str">
        <f t="shared" si="493"/>
        <v/>
      </c>
      <c r="Y241" s="28" t="str">
        <f t="array" ref="Y241">IF($I240="","",IF(AND(C241="P",C240&lt;&gt;"P"),IFERROR(XLOOKUP($B241,Lenso_Input!$A:$A,Lenso_Input!$E:$E,0),0),Y240+AS240))</f>
        <v/>
      </c>
      <c r="Z241" s="28" t="str">
        <f t="array" ref="Z241">IF($I240="","",IF(AND(C241="Q",C240&lt;&gt;"Q"),IFERROR(XLOOKUP($B241,Lenso_Input!$A:$A,Lenso_Input!$I:$I,0),0),Z240+AT240))</f>
        <v/>
      </c>
      <c r="AA241" s="28" t="str">
        <f t="array" ref="AA241">IF($I240="","",IF(XLOOKUP($B241,Derived_Variables!$A:$A,Derived_Variables!$R:$R,"6/6_target")="6/6_target","20_20_20","40_30_25"))</f>
        <v/>
      </c>
      <c r="AB241" s="28" t="str">
        <f t="array" ref="AB241">IF($I240="","",XLOOKUP(LOWER(XLOOKUP($B241,Derived_Variables!$A:$A,Derived_Variables!$T:$T,"Standard"))&amp;"_sph_step",Calibration!$B:$B,Calibration!$C:$C,0.25))</f>
        <v/>
      </c>
      <c r="AC241" s="28" t="str">
        <f t="array" ref="AC241">IF($I240="","",XLOOKUP(LOWER(XLOOKUP($B241,Derived_Variables!$A:$A,Derived_Variables!$T:$T,"Standard"))&amp;"_cyl_step",Calibration!$B:$B,Calibration!$C:$C,0.25))</f>
        <v/>
      </c>
      <c r="AD241" s="28" t="str">
        <f t="array" ref="AD241">IF($I240="","",IF(OR(C241="E",C241="H"),LET(startStep,XLOOKUP("axis_start_step",Calibration!$B:$B,Calibration!$C:$C,5),step1,XLOOKUP("axis_reversal_step_1",Calibration!$B:$B,Calibration!$C:$C,3),step2,XLOOKUP("axis_reversal_step_2",Calibration!$B:$B,Calibration!$C:$C,1),IF(OR(C240&lt;&gt;C241,AZ241="",AZ241="SAME",AZ241="CANT_TELL",I241="",I241="SAME",I241="CANT_TELL"),startStep,IF(OR(AND(AZ241="BETTER_1",I241="BETTER_2"),AND(AZ241="BETTER_2",I241="BETTER_1")),IF(AD240&gt;step1,step1,step2),AD240))),0))</f>
        <v/>
      </c>
      <c r="AE241" s="28" t="str">
        <f t="array" ref="AE241">IF($I240="","",XLOOKUP($B241,Derived_Variables!$A:$A,Derived_Variables!$AD:$AD,"No_Fog"))</f>
        <v/>
      </c>
      <c r="AF241" s="28" t="str">
        <f t="array" ref="AF241">IF($I240="","",XLOOKUP($B241,Derived_Variables!$A:$A,Derived_Variables!$AE:$AE,0))</f>
        <v/>
      </c>
      <c r="AG241" s="28" t="str">
        <f t="array" ref="AG241">IF($I240="","",XLOOKUP($B241,Derived_Variables!$A:$A,Derived_Variables!$AF:$AF,""))</f>
        <v/>
      </c>
      <c r="AH241" s="28" t="str">
        <f t="array" ref="AH241">IF($I240="","",XLOOKUP($B241,Derived_Variables!$A:$A,Derived_Variables!$AG:$AG,""))</f>
        <v/>
      </c>
      <c r="AI241" s="28" t="str">
        <f t="array" ref="AI241">IF($I240="","",XLOOKUP($B241,Derived_Variables!$A:$A,Derived_Variables!$AC:$AC,"Medium"))</f>
        <v/>
      </c>
      <c r="AJ241" s="28" t="str">
        <f t="array" ref="AJ241">IF($I240="","",XLOOKUP($B241,Derived_Variables!$A:$A,Derived_Variables!$Y:$Y,FALSE))</f>
        <v/>
      </c>
      <c r="AK241" s="28" t="str">
        <f t="array" ref="AK241">IF($I240="","",XLOOKUP($B241,Derived_Variables!$A:$A,Derived_Variables!$AA:$AA,"Normal"))</f>
        <v/>
      </c>
      <c r="AL241" s="28" t="str">
        <f t="array" ref="AL241">IF($I240="","",XLOOKUP($B241,Derived_Variables!$A:$A,Derived_Variables!$AB:$AB,"Normal"))</f>
        <v/>
      </c>
      <c r="AM241" s="28" t="str">
        <f t="array" ref="AM241">IF($I241="","",IFS(C241="B",IF(OR(I241="NOT_READABLE",I241="BLURRY"),-AB241,0),C241="G",IFS(I241="RED_CLEARER",XLOOKUP("duochrome_red_step",Calibration!$B:$B,Calibration!$C:$C,-0.25),I241="GREEN_CLEARER",XLOOKUP("duochrome_green_step",Calibration!$B:$B,Calibration!$C:$C,0.25),I241="EQUAL",IF(XLOOKUP($B241,Derived_Variables!$A:$A,Derived_Variables!$S:$S,"Neutral")="Undercorrect",XLOOKUP("undercorrect_step",Calibration!$B:$B,Calibration!$C:$C,0.25),IF(XLOOKUP($B241,Derived_Variables!$A:$A,Derived_Variables!$S:$S,"Neutral")="Overcorrect",-XLOOKUP("overcorrect_step",Calibration!$B:$B,Calibration!$C:$C,0.25),0)),TRUE,0),C241="K",IF(I241="TOP_CLEARER",XLOOKUP("bino_balance_step",Calibration!$B:$B,Calibration!$C:$C,0.25),0),TRUE,0))</f>
        <v/>
      </c>
      <c r="AN241" s="28" t="str">
        <f t="shared" si="10"/>
        <v/>
      </c>
      <c r="AO241" s="28" t="str">
        <f t="shared" si="11"/>
        <v/>
      </c>
      <c r="AP241" s="28" t="str">
        <f t="array" ref="AP241">IF($I241="","",IFS(C241="D",IF(OR(I241="NOT_READABLE",I241="BLURRY"),-AB241,0),C241="J",IFS(I241="RED_CLEARER",XLOOKUP("duochrome_red_step",Calibration!$B:$B,Calibration!$C:$C,-0.25),I241="GREEN_CLEARER",XLOOKUP("duochrome_green_step",Calibration!$B:$B,Calibration!$C:$C,0.25),I241="EQUAL",IF(XLOOKUP($B241,Derived_Variables!$A:$A,Derived_Variables!$S:$S,"Neutral")="Undercorrect",XLOOKUP("undercorrect_step",Calibration!$B:$B,Calibration!$C:$C,0.25),IF(XLOOKUP($B241,Derived_Variables!$A:$A,Derived_Variables!$S:$S,"Neutral")="Overcorrect",-XLOOKUP("overcorrect_step",Calibration!$B:$B,Calibration!$C:$C,0.25),0)),TRUE,0),C241="K",IF(I241="BOTTOM_CLEARER",XLOOKUP("bino_balance_step",Calibration!$B:$B,Calibration!$C:$C,0.25),0),TRUE,0))</f>
        <v/>
      </c>
      <c r="AQ241" s="28" t="str">
        <f t="shared" si="12"/>
        <v/>
      </c>
      <c r="AR241" s="28" t="str">
        <f t="shared" si="13"/>
        <v/>
      </c>
      <c r="AS241" s="28" t="str">
        <f t="array" ref="AS241">IF($I241="","",IF(C241="P",IF(OR(I241="NOT_READABLE",I241="BLURRY"),XLOOKUP("near_add_step",Calibration!$B:$B,Calibration!$C:$C,0.25),0),IF(C241="R",IF(I241="NOT_CLEAR",XLOOKUP("near_add_step",Calibration!$B:$B,Calibration!$C:$C,0.25),0),0)))</f>
        <v/>
      </c>
      <c r="AT241" s="28" t="str">
        <f t="array" ref="AT241">IF($I241="","",IF(C241="Q",IF(OR(I241="NOT_READABLE",I241="BLURRY"),XLOOKUP("near_add_step",Calibration!$B:$B,Calibration!$C:$C,0.25),0),IF(C241="R",IF(I241="NOT_CLEAR",XLOOKUP("near_add_step",Calibration!$B:$B,Calibration!$C:$C,0.25),0),0)))</f>
        <v/>
      </c>
      <c r="AU241" s="28" t="str">
        <f t="array" ref="AU241">IF($I241="","",IF(G241="SNELLEN_FEET",IF(I241="READABLE",IFERROR(XLOOKUP(XLOOKUP(R241,Chart_Scale_Distance!B:B,Chart_Scale_Distance!A:A)+1,Chart_Scale_Distance!A:A,Chart_Scale_Distance!B:B),R241),R241),R241))</f>
        <v/>
      </c>
      <c r="AV241" s="28" t="str">
        <f t="array" ref="AV241">IF($I240="","",IFERROR(XLOOKUP(R241,Chart_Scale_Distance!$B:$B,Chart_Scale_Distance!$A:$A,""),""))</f>
        <v/>
      </c>
      <c r="AW241" s="28" t="str">
        <f t="array" ref="AW241">IF($I240="","",IFERROR(XLOOKUP(AA241,Chart_Scale_Distance!$B:$B,Chart_Scale_Distance!$A:$A,""),""))</f>
        <v/>
      </c>
      <c r="AX241" s="28" t="str">
        <f t="shared" si="14"/>
        <v/>
      </c>
      <c r="AY241" s="28" t="str">
        <f t="shared" si="15"/>
        <v/>
      </c>
      <c r="AZ241" s="28" t="str">
        <f t="shared" si="16"/>
        <v/>
      </c>
      <c r="BA241" s="28" t="str">
        <f t="shared" si="17"/>
        <v/>
      </c>
      <c r="BB241" s="28" t="str">
        <f t="shared" si="18"/>
        <v/>
      </c>
      <c r="BC241" s="28" t="str">
        <f t="array" ref="BC241">IF($I241="","",LET(
conf,AI241,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duoMax,XLOOKUP($B241,Derived_Variables!$A:$A,Derived_Variables!$AI:$AI,4),
axisTol,XLOOKUP($B241,Derived_Variables!$A:$A,Derived_Variables!$W:$W,1),
maxStart,XLOOKUP($B241,Derived_Variables!$A:$A,Derived_Variables!$U:$U,1.25),
maxAR,XLOOKUP($B241,Derived_Variables!$A:$A,Derived_Variables!$V:$V,3),
anom,XLOOKUP($B241,Derived_Variables!$A:$A,Derived_Variables!$Z:$Z,FALSE),
reStart,XLOOKUP($B241,Derived_Variables!$A:$A,Derived_Variables!$K:$K,0),
leStart,XLOOKUP($B241,Derived_Variables!$A:$A,Derived_Variables!$N:$N,0),
reAR,XLOOKUP($B241,AR_Input!$A:$A,AR_Input!$B:$B,reStart),
leAR,XLOOKUP($B241,AR_Input!$A:$A,AR_Input!$E:$E,leStart),
reEsc,AND(anom,OR(ABS((S241+AM241)-reStart)&gt;maxStart,ABS((S241+AM241)-reAR)&gt;maxAR)),
leEsc,AND(anom,OR(ABS((V241+AP241)-leStart)&gt;maxStart,ABS((V241+AP241)-leAR)&gt;maxAR)),
phaseMax,IFS(
 AK241="Fast",
   IFS(
     OR(C241="B",C241="D"),XLOOKUP("timeout_coarse_fast",Calibration!$B:$B,Calibration!$C:$C,24),
     OR(C241="E",C241="F",C241="H",C241="I"),XLOOKUP("timeout_jcc_fast",Calibration!$B:$B,Calibration!$C:$C,10),
     OR(C241="G",C241="J"),XLOOKUP("timeout_duochrome_fast",Calibration!$B:$B,Calibration!$C:$C,8),
     C241="K",XLOOKUP("timeout_bino_fast",Calibration!$B:$B,Calibration!$C:$C,10),
     OR(C241="P",C241="Q",C241="R"),XLOOKUP("timeout_near_fast",Calibration!$B:$B,Calibration!$C:$C,16),
     TRUE,XLOOKUP("timeout_coarse_fast",Calibration!$B:$B,Calibration!$C:$C,24)
   ),
 AK241="Normal",
   IFS(
     OR(C241="B",C241="D"),XLOOKUP("timeout_coarse_normal",Calibration!$B:$B,Calibration!$C:$C,36),
     OR(C241="E",C241="F",C241="H",C241="I"),XLOOKUP("timeout_jcc_normal",Calibration!$B:$B,Calibration!$C:$C,14),
     OR(C241="G",C241="J"),XLOOKUP("timeout_duochrome_normal",Calibration!$B:$B,Calibration!$C:$C,10),
     C241="K",XLOOKUP("timeout_bino_normal",Calibration!$B:$B,Calibration!$C:$C,14),
     OR(C241="P",C241="Q",C241="R"),XLOOKUP("timeout_near_normal",Calibration!$B:$B,Calibration!$C:$C,22),
     TRUE,XLOOKUP("timeout_coarse_normal",Calibration!$B:$B,Calibration!$C:$C,36)
   ),
 TRUE,
   IFS(
     OR(C241="B",C241="D"),XLOOKUP("timeout_coarse_slow",Calibration!$B:$B,Calibration!$C:$C,48),
     OR(C241="E",C241="F",C241="H",C241="I"),XLOOKUP("timeout_jcc_slow",Calibration!$B:$B,Calibration!$C:$C,18),
     OR(C241="G",C241="J"),XLOOKUP("timeout_duochrome_slow",Calibration!$B:$B,Calibration!$C:$C,12),
     C241="K",XLOOKUP("timeout_bino_slow",Calibration!$B:$B,Calibration!$C:$C,18),
     OR(C241="P",C241="Q",C241="R"),XLOOKUP("timeout_near_slow",Calibration!$B:$B,Calibration!$C:$C,28),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AJ241=TRUE,"ESCALATE",
C241="A",
IF(OR(I241="NOT_READABLE",I241="BLURRY",AND(R241="20_20_20",I241="READABLE")),"B","A"),
C241="B",
IF(reEsc,"ESCALATE",IF(AY241&gt;=phaseMax,"ESCALATE",IF(AND(AV241&gt;=AW241,I241="READABLE"),"E","B"))),
C241="E",
IF(AY241&gt;=phaseMax,"ESCALATE",IF(OR(I241="SAME",I241="CANT_TELL",AD241&lt;axisTol),"F","E")),
C241="F",
IF(AY241&gt;=phaseMax,"ESCALATE",IF(AX241&gt;=powerSameN,"G","F")),
C241="G",
IF(AY241&gt;=phaseMax,"ESCALATE",IF(OR(AX241&gt;=duoEqualN,BB241&gt;=duoMax),"D","G")),
C241="D",
IF(leEsc,"ESCALATE",IF(AY241&gt;=phaseMax,"ESCALATE",IF(AND(AV241&gt;=AW241,I241="READABLE"),"H","D"))),
C241="H",
IF(AY241&gt;=phaseMax,"ESCALATE",IF(OR(I241="SAME",I241="CANT_TELL",AD241&lt;axisTol),"I","H")),
C241="I",
IF(AY241&gt;=phaseMax,"ESCALATE",IF(AX241&gt;=powerSameN,"J","I")),
C241="J",
IF(AY241&gt;=phaseMax,"ESCALATE",IF(OR(AX241&gt;=duoEqualN,BB241&gt;=duoMax),"K","J")),
C241="K",
IF(AY241&gt;=phaseMax,"ESCALATE",IF(AX241&gt;=binoSameN,IF(XLOOKUP($B241,Derived_Variables!$A:$A,Derived_Variables!$AJ:$AJ,FALSE)=TRUE,"P","END"),"K")),
C241="P",
IF(AY241&gt;=phaseMax,"ESCALATE",IF(OR(I241="READABLE",I241="SAME"),"Q","P")),
C241="Q",
IF(AY241&gt;=phaseMax,"ESCALATE",IF(OR(I241="READABLE",I241="SAME"),"R","Q")),
C241="R",
IF(AY241&gt;=phaseMax,"ESCALATE",IF(OR(I241=nearTarget,I241="SAME"),"END","R")),
TRUE,"END"
)))</f>
        <v/>
      </c>
      <c r="BD241" s="28" t="b">
        <f t="shared" si="19"/>
        <v>0</v>
      </c>
    </row>
    <row r="242" ht="15.75" customHeight="1">
      <c r="A242" s="28">
        <f t="shared" si="3"/>
        <v>241</v>
      </c>
      <c r="B242" s="28">
        <f t="shared" si="4"/>
        <v>6</v>
      </c>
      <c r="C242" s="28" t="str">
        <f t="shared" si="5"/>
        <v/>
      </c>
      <c r="D242" s="28" t="str">
        <f t="array" ref="D242">IF($I241="","",XLOOKUP(C242,FSM_State_Map!A:A,FSM_State_Map!B:B,""))</f>
        <v/>
      </c>
      <c r="E242" s="28" t="str">
        <f t="array" ref="E242">IF($I241="","",XLOOKUP(C242,FSM_State_Map!A:A,FSM_State_Map!C:C,""))</f>
        <v/>
      </c>
      <c r="F242" s="28" t="str">
        <f t="array" ref="F242">IF($I241="","",XLOOKUP(E242,Phase_UI_Map!A:A,Phase_UI_Map!B:B,""))</f>
        <v/>
      </c>
      <c r="G242" s="28" t="str">
        <f t="array" ref="G242">IF($I241="","",XLOOKUP(E242,Phase_UI_Map!A:A,Phase_UI_Map!C:C,""))</f>
        <v/>
      </c>
      <c r="H242" s="28" t="str">
        <f t="array" ref="H242">IF($I241="","",XLOOKUP(E242,Phase_UI_Map!A:A,Phase_UI_Map!D:D,""))</f>
        <v/>
      </c>
      <c r="I242" s="29"/>
      <c r="J242" s="28" t="str">
        <f>IFERROR(__xludf.DUMMYFUNCTION("IF($I241="""","""",IFERROR(INDEX(FILTER(Response_Lists!$B:$B,Response_Lists!$A:$A=$H242),1),""""))"),"")</f>
        <v/>
      </c>
      <c r="K242" s="28" t="str">
        <f>IFERROR(__xludf.DUMMYFUNCTION("IF($I241="""","""",IFERROR(INDEX(FILTER(Response_Lists!$B:$B,Response_Lists!$A:$A=$H242),2),""""))"),"")</f>
        <v/>
      </c>
      <c r="L242" s="28" t="str">
        <f>IFERROR(__xludf.DUMMYFUNCTION("IF($I241="""","""",IFERROR(INDEX(FILTER(Response_Lists!$B:$B,Response_Lists!$A:$A=$H242),3),""""))"),"")</f>
        <v/>
      </c>
      <c r="M242" s="28" t="str">
        <f>IFERROR(__xludf.DUMMYFUNCTION("IF($I241="""","""",IFERROR(INDEX(FILTER(Response_Lists!$B:$B,Response_Lists!$A:$A=$H242),4),""""))"),"")</f>
        <v/>
      </c>
      <c r="N242" s="28" t="str">
        <f>IFERROR(__xludf.DUMMYFUNCTION("IF($I241="""","""",IFERROR(INDEX(FILTER(Response_Lists!$B:$B,Response_Lists!$A:$A=$H242),5),""""))"),"")</f>
        <v/>
      </c>
      <c r="O242" s="28" t="str">
        <f>IFERROR(__xludf.DUMMYFUNCTION("IF($I241="""","""",IFERROR(INDEX(FILTER(Response_Lists!$B:$B,Response_Lists!$A:$A=$H242),6),""""))"),"")</f>
        <v/>
      </c>
      <c r="P242" s="28" t="str">
        <f t="shared" si="6"/>
        <v/>
      </c>
      <c r="Q242" s="28" t="str">
        <f t="array" ref="Q242">IF($I241="","",XLOOKUP(C242,FSM_State_Map!A:A,FSM_State_Map!D:D,""))</f>
        <v/>
      </c>
      <c r="R242" s="28" t="str">
        <f t="shared" si="7"/>
        <v/>
      </c>
      <c r="S242" s="28" t="str">
        <f t="array" ref="S242">IF($I241="","",
IF(
  AND(C242="B",C241&lt;&gt;"B"),
  XLOOKUP($B242,Derived_Variables!$A:$A,Derived_Variables!$K:$K,0)
  + XLOOKUP($B242,Derived_Variables!$A:$A,Derived_Variables!$AE:$AE,0),
  S241+AM241
))</f>
        <v/>
      </c>
      <c r="T242" s="28" t="str">
        <f t="shared" ref="T242:U242" si="494">IF($I241="","",T241+AN241)</f>
        <v/>
      </c>
      <c r="U242" s="28" t="str">
        <f t="shared" si="494"/>
        <v/>
      </c>
      <c r="V242" s="28" t="str">
        <f t="array" ref="V242">IF($I241="","",
IF(
  AND(C242="D",C241&lt;&gt;"D"),
  XLOOKUP($B242,Derived_Variables!$A:$A,Derived_Variables!$N:$N,0)
  + XLOOKUP($B242,Derived_Variables!$A:$A,Derived_Variables!$AE:$AE,0),
  V241+AP241
))</f>
        <v/>
      </c>
      <c r="W242" s="28" t="str">
        <f t="shared" ref="W242:X242" si="495">IF($I241="","",W241+AQ241)</f>
        <v/>
      </c>
      <c r="X242" s="28" t="str">
        <f t="shared" si="495"/>
        <v/>
      </c>
      <c r="Y242" s="28" t="str">
        <f t="array" ref="Y242">IF($I241="","",IF(AND(C242="P",C241&lt;&gt;"P"),IFERROR(XLOOKUP($B242,Lenso_Input!$A:$A,Lenso_Input!$E:$E,0),0),Y241+AS241))</f>
        <v/>
      </c>
      <c r="Z242" s="28" t="str">
        <f t="array" ref="Z242">IF($I241="","",IF(AND(C242="Q",C241&lt;&gt;"Q"),IFERROR(XLOOKUP($B242,Lenso_Input!$A:$A,Lenso_Input!$I:$I,0),0),Z241+AT241))</f>
        <v/>
      </c>
      <c r="AA242" s="28" t="str">
        <f t="array" ref="AA242">IF($I241="","",IF(XLOOKUP($B242,Derived_Variables!$A:$A,Derived_Variables!$R:$R,"6/6_target")="6/6_target","20_20_20","40_30_25"))</f>
        <v/>
      </c>
      <c r="AB242" s="28" t="str">
        <f t="array" ref="AB242">IF($I241="","",XLOOKUP(LOWER(XLOOKUP($B242,Derived_Variables!$A:$A,Derived_Variables!$T:$T,"Standard"))&amp;"_sph_step",Calibration!$B:$B,Calibration!$C:$C,0.25))</f>
        <v/>
      </c>
      <c r="AC242" s="28" t="str">
        <f t="array" ref="AC242">IF($I241="","",XLOOKUP(LOWER(XLOOKUP($B242,Derived_Variables!$A:$A,Derived_Variables!$T:$T,"Standard"))&amp;"_cyl_step",Calibration!$B:$B,Calibration!$C:$C,0.25))</f>
        <v/>
      </c>
      <c r="AD242" s="28" t="str">
        <f t="array" ref="AD242">IF($I241="","",IF(OR(C242="E",C242="H"),LET(startStep,XLOOKUP("axis_start_step",Calibration!$B:$B,Calibration!$C:$C,5),step1,XLOOKUP("axis_reversal_step_1",Calibration!$B:$B,Calibration!$C:$C,3),step2,XLOOKUP("axis_reversal_step_2",Calibration!$B:$B,Calibration!$C:$C,1),IF(OR(C241&lt;&gt;C242,AZ242="",AZ242="SAME",AZ242="CANT_TELL",I242="",I242="SAME",I242="CANT_TELL"),startStep,IF(OR(AND(AZ242="BETTER_1",I242="BETTER_2"),AND(AZ242="BETTER_2",I242="BETTER_1")),IF(AD241&gt;step1,step1,step2),AD241))),0))</f>
        <v/>
      </c>
      <c r="AE242" s="28" t="str">
        <f t="array" ref="AE242">IF($I241="","",XLOOKUP($B242,Derived_Variables!$A:$A,Derived_Variables!$AD:$AD,"No_Fog"))</f>
        <v/>
      </c>
      <c r="AF242" s="28" t="str">
        <f t="array" ref="AF242">IF($I241="","",XLOOKUP($B242,Derived_Variables!$A:$A,Derived_Variables!$AE:$AE,0))</f>
        <v/>
      </c>
      <c r="AG242" s="28" t="str">
        <f t="array" ref="AG242">IF($I241="","",XLOOKUP($B242,Derived_Variables!$A:$A,Derived_Variables!$AF:$AF,""))</f>
        <v/>
      </c>
      <c r="AH242" s="28" t="str">
        <f t="array" ref="AH242">IF($I241="","",XLOOKUP($B242,Derived_Variables!$A:$A,Derived_Variables!$AG:$AG,""))</f>
        <v/>
      </c>
      <c r="AI242" s="28" t="str">
        <f t="array" ref="AI242">IF($I241="","",XLOOKUP($B242,Derived_Variables!$A:$A,Derived_Variables!$AC:$AC,"Medium"))</f>
        <v/>
      </c>
      <c r="AJ242" s="28" t="str">
        <f t="array" ref="AJ242">IF($I241="","",XLOOKUP($B242,Derived_Variables!$A:$A,Derived_Variables!$Y:$Y,FALSE))</f>
        <v/>
      </c>
      <c r="AK242" s="28" t="str">
        <f t="array" ref="AK242">IF($I241="","",XLOOKUP($B242,Derived_Variables!$A:$A,Derived_Variables!$AA:$AA,"Normal"))</f>
        <v/>
      </c>
      <c r="AL242" s="28" t="str">
        <f t="array" ref="AL242">IF($I241="","",XLOOKUP($B242,Derived_Variables!$A:$A,Derived_Variables!$AB:$AB,"Normal"))</f>
        <v/>
      </c>
      <c r="AM242" s="28" t="str">
        <f t="array" ref="AM242">IF($I242="","",IFS(C242="B",IF(OR(I242="NOT_READABLE",I242="BLURRY"),-AB242,0),C242="G",IFS(I242="RED_CLEARER",XLOOKUP("duochrome_red_step",Calibration!$B:$B,Calibration!$C:$C,-0.25),I242="GREEN_CLEARER",XLOOKUP("duochrome_green_step",Calibration!$B:$B,Calibration!$C:$C,0.25),I242="EQUAL",IF(XLOOKUP($B242,Derived_Variables!$A:$A,Derived_Variables!$S:$S,"Neutral")="Undercorrect",XLOOKUP("undercorrect_step",Calibration!$B:$B,Calibration!$C:$C,0.25),IF(XLOOKUP($B242,Derived_Variables!$A:$A,Derived_Variables!$S:$S,"Neutral")="Overcorrect",-XLOOKUP("overcorrect_step",Calibration!$B:$B,Calibration!$C:$C,0.25),0)),TRUE,0),C242="K",IF(I242="TOP_CLEARER",XLOOKUP("bino_balance_step",Calibration!$B:$B,Calibration!$C:$C,0.25),0),TRUE,0))</f>
        <v/>
      </c>
      <c r="AN242" s="28" t="str">
        <f t="shared" si="10"/>
        <v/>
      </c>
      <c r="AO242" s="28" t="str">
        <f t="shared" si="11"/>
        <v/>
      </c>
      <c r="AP242" s="28" t="str">
        <f t="array" ref="AP242">IF($I242="","",IFS(C242="D",IF(OR(I242="NOT_READABLE",I242="BLURRY"),-AB242,0),C242="J",IFS(I242="RED_CLEARER",XLOOKUP("duochrome_red_step",Calibration!$B:$B,Calibration!$C:$C,-0.25),I242="GREEN_CLEARER",XLOOKUP("duochrome_green_step",Calibration!$B:$B,Calibration!$C:$C,0.25),I242="EQUAL",IF(XLOOKUP($B242,Derived_Variables!$A:$A,Derived_Variables!$S:$S,"Neutral")="Undercorrect",XLOOKUP("undercorrect_step",Calibration!$B:$B,Calibration!$C:$C,0.25),IF(XLOOKUP($B242,Derived_Variables!$A:$A,Derived_Variables!$S:$S,"Neutral")="Overcorrect",-XLOOKUP("overcorrect_step",Calibration!$B:$B,Calibration!$C:$C,0.25),0)),TRUE,0),C242="K",IF(I242="BOTTOM_CLEARER",XLOOKUP("bino_balance_step",Calibration!$B:$B,Calibration!$C:$C,0.25),0),TRUE,0))</f>
        <v/>
      </c>
      <c r="AQ242" s="28" t="str">
        <f t="shared" si="12"/>
        <v/>
      </c>
      <c r="AR242" s="28" t="str">
        <f t="shared" si="13"/>
        <v/>
      </c>
      <c r="AS242" s="28" t="str">
        <f t="array" ref="AS242">IF($I242="","",IF(C242="P",IF(OR(I242="NOT_READABLE",I242="BLURRY"),XLOOKUP("near_add_step",Calibration!$B:$B,Calibration!$C:$C,0.25),0),IF(C242="R",IF(I242="NOT_CLEAR",XLOOKUP("near_add_step",Calibration!$B:$B,Calibration!$C:$C,0.25),0),0)))</f>
        <v/>
      </c>
      <c r="AT242" s="28" t="str">
        <f t="array" ref="AT242">IF($I242="","",IF(C242="Q",IF(OR(I242="NOT_READABLE",I242="BLURRY"),XLOOKUP("near_add_step",Calibration!$B:$B,Calibration!$C:$C,0.25),0),IF(C242="R",IF(I242="NOT_CLEAR",XLOOKUP("near_add_step",Calibration!$B:$B,Calibration!$C:$C,0.25),0),0)))</f>
        <v/>
      </c>
      <c r="AU242" s="28" t="str">
        <f t="array" ref="AU242">IF($I242="","",IF(G242="SNELLEN_FEET",IF(I242="READABLE",IFERROR(XLOOKUP(XLOOKUP(R242,Chart_Scale_Distance!B:B,Chart_Scale_Distance!A:A)+1,Chart_Scale_Distance!A:A,Chart_Scale_Distance!B:B),R242),R242),R242))</f>
        <v/>
      </c>
      <c r="AV242" s="28" t="str">
        <f t="array" ref="AV242">IF($I241="","",IFERROR(XLOOKUP(R242,Chart_Scale_Distance!$B:$B,Chart_Scale_Distance!$A:$A,""),""))</f>
        <v/>
      </c>
      <c r="AW242" s="28" t="str">
        <f t="array" ref="AW242">IF($I241="","",IFERROR(XLOOKUP(AA242,Chart_Scale_Distance!$B:$B,Chart_Scale_Distance!$A:$A,""),""))</f>
        <v/>
      </c>
      <c r="AX242" s="28" t="str">
        <f t="shared" si="14"/>
        <v/>
      </c>
      <c r="AY242" s="28" t="str">
        <f t="shared" si="15"/>
        <v/>
      </c>
      <c r="AZ242" s="28" t="str">
        <f t="shared" si="16"/>
        <v/>
      </c>
      <c r="BA242" s="28" t="str">
        <f t="shared" si="17"/>
        <v/>
      </c>
      <c r="BB242" s="28" t="str">
        <f t="shared" si="18"/>
        <v/>
      </c>
      <c r="BC242" s="28" t="str">
        <f t="array" ref="BC242">IF($I242="","",LET(
conf,AI242,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duoMax,XLOOKUP($B242,Derived_Variables!$A:$A,Derived_Variables!$AI:$AI,4),
axisTol,XLOOKUP($B242,Derived_Variables!$A:$A,Derived_Variables!$W:$W,1),
maxStart,XLOOKUP($B242,Derived_Variables!$A:$A,Derived_Variables!$U:$U,1.25),
maxAR,XLOOKUP($B242,Derived_Variables!$A:$A,Derived_Variables!$V:$V,3),
anom,XLOOKUP($B242,Derived_Variables!$A:$A,Derived_Variables!$Z:$Z,FALSE),
reStart,XLOOKUP($B242,Derived_Variables!$A:$A,Derived_Variables!$K:$K,0),
leStart,XLOOKUP($B242,Derived_Variables!$A:$A,Derived_Variables!$N:$N,0),
reAR,XLOOKUP($B242,AR_Input!$A:$A,AR_Input!$B:$B,reStart),
leAR,XLOOKUP($B242,AR_Input!$A:$A,AR_Input!$E:$E,leStart),
reEsc,AND(anom,OR(ABS((S242+AM242)-reStart)&gt;maxStart,ABS((S242+AM242)-reAR)&gt;maxAR)),
leEsc,AND(anom,OR(ABS((V242+AP242)-leStart)&gt;maxStart,ABS((V242+AP242)-leAR)&gt;maxAR)),
phaseMax,IFS(
 AK242="Fast",
   IFS(
     OR(C242="B",C242="D"),XLOOKUP("timeout_coarse_fast",Calibration!$B:$B,Calibration!$C:$C,24),
     OR(C242="E",C242="F",C242="H",C242="I"),XLOOKUP("timeout_jcc_fast",Calibration!$B:$B,Calibration!$C:$C,10),
     OR(C242="G",C242="J"),XLOOKUP("timeout_duochrome_fast",Calibration!$B:$B,Calibration!$C:$C,8),
     C242="K",XLOOKUP("timeout_bino_fast",Calibration!$B:$B,Calibration!$C:$C,10),
     OR(C242="P",C242="Q",C242="R"),XLOOKUP("timeout_near_fast",Calibration!$B:$B,Calibration!$C:$C,16),
     TRUE,XLOOKUP("timeout_coarse_fast",Calibration!$B:$B,Calibration!$C:$C,24)
   ),
 AK242="Normal",
   IFS(
     OR(C242="B",C242="D"),XLOOKUP("timeout_coarse_normal",Calibration!$B:$B,Calibration!$C:$C,36),
     OR(C242="E",C242="F",C242="H",C242="I"),XLOOKUP("timeout_jcc_normal",Calibration!$B:$B,Calibration!$C:$C,14),
     OR(C242="G",C242="J"),XLOOKUP("timeout_duochrome_normal",Calibration!$B:$B,Calibration!$C:$C,10),
     C242="K",XLOOKUP("timeout_bino_normal",Calibration!$B:$B,Calibration!$C:$C,14),
     OR(C242="P",C242="Q",C242="R"),XLOOKUP("timeout_near_normal",Calibration!$B:$B,Calibration!$C:$C,22),
     TRUE,XLOOKUP("timeout_coarse_normal",Calibration!$B:$B,Calibration!$C:$C,36)
   ),
 TRUE,
   IFS(
     OR(C242="B",C242="D"),XLOOKUP("timeout_coarse_slow",Calibration!$B:$B,Calibration!$C:$C,48),
     OR(C242="E",C242="F",C242="H",C242="I"),XLOOKUP("timeout_jcc_slow",Calibration!$B:$B,Calibration!$C:$C,18),
     OR(C242="G",C242="J"),XLOOKUP("timeout_duochrome_slow",Calibration!$B:$B,Calibration!$C:$C,12),
     C242="K",XLOOKUP("timeout_bino_slow",Calibration!$B:$B,Calibration!$C:$C,18),
     OR(C242="P",C242="Q",C242="R"),XLOOKUP("timeout_near_slow",Calibration!$B:$B,Calibration!$C:$C,28),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AJ242=TRUE,"ESCALATE",
C242="A",
IF(OR(I242="NOT_READABLE",I242="BLURRY",AND(R242="20_20_20",I242="READABLE")),"B","A"),
C242="B",
IF(reEsc,"ESCALATE",IF(AY242&gt;=phaseMax,"ESCALATE",IF(AND(AV242&gt;=AW242,I242="READABLE"),"E","B"))),
C242="E",
IF(AY242&gt;=phaseMax,"ESCALATE",IF(OR(I242="SAME",I242="CANT_TELL",AD242&lt;axisTol),"F","E")),
C242="F",
IF(AY242&gt;=phaseMax,"ESCALATE",IF(AX242&gt;=powerSameN,"G","F")),
C242="G",
IF(AY242&gt;=phaseMax,"ESCALATE",IF(OR(AX242&gt;=duoEqualN,BB242&gt;=duoMax),"D","G")),
C242="D",
IF(leEsc,"ESCALATE",IF(AY242&gt;=phaseMax,"ESCALATE",IF(AND(AV242&gt;=AW242,I242="READABLE"),"H","D"))),
C242="H",
IF(AY242&gt;=phaseMax,"ESCALATE",IF(OR(I242="SAME",I242="CANT_TELL",AD242&lt;axisTol),"I","H")),
C242="I",
IF(AY242&gt;=phaseMax,"ESCALATE",IF(AX242&gt;=powerSameN,"J","I")),
C242="J",
IF(AY242&gt;=phaseMax,"ESCALATE",IF(OR(AX242&gt;=duoEqualN,BB242&gt;=duoMax),"K","J")),
C242="K",
IF(AY242&gt;=phaseMax,"ESCALATE",IF(AX242&gt;=binoSameN,IF(XLOOKUP($B242,Derived_Variables!$A:$A,Derived_Variables!$AJ:$AJ,FALSE)=TRUE,"P","END"),"K")),
C242="P",
IF(AY242&gt;=phaseMax,"ESCALATE",IF(OR(I242="READABLE",I242="SAME"),"Q","P")),
C242="Q",
IF(AY242&gt;=phaseMax,"ESCALATE",IF(OR(I242="READABLE",I242="SAME"),"R","Q")),
C242="R",
IF(AY242&gt;=phaseMax,"ESCALATE",IF(OR(I242=nearTarget,I242="SAME"),"END","R")),
TRUE,"END"
)))</f>
        <v/>
      </c>
      <c r="BD242" s="28" t="b">
        <f t="shared" si="19"/>
        <v>0</v>
      </c>
    </row>
    <row r="243" ht="15.75" customHeight="1">
      <c r="A243" s="28">
        <f t="shared" si="3"/>
        <v>242</v>
      </c>
      <c r="B243" s="28">
        <f t="shared" si="4"/>
        <v>6</v>
      </c>
      <c r="C243" s="28" t="str">
        <f t="shared" si="5"/>
        <v/>
      </c>
      <c r="D243" s="28" t="str">
        <f t="array" ref="D243">IF($I242="","",XLOOKUP(C243,FSM_State_Map!A:A,FSM_State_Map!B:B,""))</f>
        <v/>
      </c>
      <c r="E243" s="28" t="str">
        <f t="array" ref="E243">IF($I242="","",XLOOKUP(C243,FSM_State_Map!A:A,FSM_State_Map!C:C,""))</f>
        <v/>
      </c>
      <c r="F243" s="28" t="str">
        <f t="array" ref="F243">IF($I242="","",XLOOKUP(E243,Phase_UI_Map!A:A,Phase_UI_Map!B:B,""))</f>
        <v/>
      </c>
      <c r="G243" s="28" t="str">
        <f t="array" ref="G243">IF($I242="","",XLOOKUP(E243,Phase_UI_Map!A:A,Phase_UI_Map!C:C,""))</f>
        <v/>
      </c>
      <c r="H243" s="28" t="str">
        <f t="array" ref="H243">IF($I242="","",XLOOKUP(E243,Phase_UI_Map!A:A,Phase_UI_Map!D:D,""))</f>
        <v/>
      </c>
      <c r="I243" s="29"/>
      <c r="J243" s="28" t="str">
        <f>IFERROR(__xludf.DUMMYFUNCTION("IF($I242="""","""",IFERROR(INDEX(FILTER(Response_Lists!$B:$B,Response_Lists!$A:$A=$H243),1),""""))"),"")</f>
        <v/>
      </c>
      <c r="K243" s="28" t="str">
        <f>IFERROR(__xludf.DUMMYFUNCTION("IF($I242="""","""",IFERROR(INDEX(FILTER(Response_Lists!$B:$B,Response_Lists!$A:$A=$H243),2),""""))"),"")</f>
        <v/>
      </c>
      <c r="L243" s="28" t="str">
        <f>IFERROR(__xludf.DUMMYFUNCTION("IF($I242="""","""",IFERROR(INDEX(FILTER(Response_Lists!$B:$B,Response_Lists!$A:$A=$H243),3),""""))"),"")</f>
        <v/>
      </c>
      <c r="M243" s="28" t="str">
        <f>IFERROR(__xludf.DUMMYFUNCTION("IF($I242="""","""",IFERROR(INDEX(FILTER(Response_Lists!$B:$B,Response_Lists!$A:$A=$H243),4),""""))"),"")</f>
        <v/>
      </c>
      <c r="N243" s="28" t="str">
        <f>IFERROR(__xludf.DUMMYFUNCTION("IF($I242="""","""",IFERROR(INDEX(FILTER(Response_Lists!$B:$B,Response_Lists!$A:$A=$H243),5),""""))"),"")</f>
        <v/>
      </c>
      <c r="O243" s="28" t="str">
        <f>IFERROR(__xludf.DUMMYFUNCTION("IF($I242="""","""",IFERROR(INDEX(FILTER(Response_Lists!$B:$B,Response_Lists!$A:$A=$H243),6),""""))"),"")</f>
        <v/>
      </c>
      <c r="P243" s="28" t="str">
        <f t="shared" si="6"/>
        <v/>
      </c>
      <c r="Q243" s="28" t="str">
        <f t="array" ref="Q243">IF($I242="","",XLOOKUP(C243,FSM_State_Map!A:A,FSM_State_Map!D:D,""))</f>
        <v/>
      </c>
      <c r="R243" s="28" t="str">
        <f t="shared" si="7"/>
        <v/>
      </c>
      <c r="S243" s="28" t="str">
        <f t="array" ref="S243">IF($I242="","",
IF(
  AND(C243="B",C242&lt;&gt;"B"),
  XLOOKUP($B243,Derived_Variables!$A:$A,Derived_Variables!$K:$K,0)
  + XLOOKUP($B243,Derived_Variables!$A:$A,Derived_Variables!$AE:$AE,0),
  S242+AM242
))</f>
        <v/>
      </c>
      <c r="T243" s="28" t="str">
        <f t="shared" ref="T243:U243" si="496">IF($I242="","",T242+AN242)</f>
        <v/>
      </c>
      <c r="U243" s="28" t="str">
        <f t="shared" si="496"/>
        <v/>
      </c>
      <c r="V243" s="28" t="str">
        <f t="array" ref="V243">IF($I242="","",
IF(
  AND(C243="D",C242&lt;&gt;"D"),
  XLOOKUP($B243,Derived_Variables!$A:$A,Derived_Variables!$N:$N,0)
  + XLOOKUP($B243,Derived_Variables!$A:$A,Derived_Variables!$AE:$AE,0),
  V242+AP242
))</f>
        <v/>
      </c>
      <c r="W243" s="28" t="str">
        <f t="shared" ref="W243:X243" si="497">IF($I242="","",W242+AQ242)</f>
        <v/>
      </c>
      <c r="X243" s="28" t="str">
        <f t="shared" si="497"/>
        <v/>
      </c>
      <c r="Y243" s="28" t="str">
        <f t="array" ref="Y243">IF($I242="","",IF(AND(C243="P",C242&lt;&gt;"P"),IFERROR(XLOOKUP($B243,Lenso_Input!$A:$A,Lenso_Input!$E:$E,0),0),Y242+AS242))</f>
        <v/>
      </c>
      <c r="Z243" s="28" t="str">
        <f t="array" ref="Z243">IF($I242="","",IF(AND(C243="Q",C242&lt;&gt;"Q"),IFERROR(XLOOKUP($B243,Lenso_Input!$A:$A,Lenso_Input!$I:$I,0),0),Z242+AT242))</f>
        <v/>
      </c>
      <c r="AA243" s="28" t="str">
        <f t="array" ref="AA243">IF($I242="","",IF(XLOOKUP($B243,Derived_Variables!$A:$A,Derived_Variables!$R:$R,"6/6_target")="6/6_target","20_20_20","40_30_25"))</f>
        <v/>
      </c>
      <c r="AB243" s="28" t="str">
        <f t="array" ref="AB243">IF($I242="","",XLOOKUP(LOWER(XLOOKUP($B243,Derived_Variables!$A:$A,Derived_Variables!$T:$T,"Standard"))&amp;"_sph_step",Calibration!$B:$B,Calibration!$C:$C,0.25))</f>
        <v/>
      </c>
      <c r="AC243" s="28" t="str">
        <f t="array" ref="AC243">IF($I242="","",XLOOKUP(LOWER(XLOOKUP($B243,Derived_Variables!$A:$A,Derived_Variables!$T:$T,"Standard"))&amp;"_cyl_step",Calibration!$B:$B,Calibration!$C:$C,0.25))</f>
        <v/>
      </c>
      <c r="AD243" s="28" t="str">
        <f t="array" ref="AD243">IF($I242="","",IF(OR(C243="E",C243="H"),LET(startStep,XLOOKUP("axis_start_step",Calibration!$B:$B,Calibration!$C:$C,5),step1,XLOOKUP("axis_reversal_step_1",Calibration!$B:$B,Calibration!$C:$C,3),step2,XLOOKUP("axis_reversal_step_2",Calibration!$B:$B,Calibration!$C:$C,1),IF(OR(C242&lt;&gt;C243,AZ243="",AZ243="SAME",AZ243="CANT_TELL",I243="",I243="SAME",I243="CANT_TELL"),startStep,IF(OR(AND(AZ243="BETTER_1",I243="BETTER_2"),AND(AZ243="BETTER_2",I243="BETTER_1")),IF(AD242&gt;step1,step1,step2),AD242))),0))</f>
        <v/>
      </c>
      <c r="AE243" s="28" t="str">
        <f t="array" ref="AE243">IF($I242="","",XLOOKUP($B243,Derived_Variables!$A:$A,Derived_Variables!$AD:$AD,"No_Fog"))</f>
        <v/>
      </c>
      <c r="AF243" s="28" t="str">
        <f t="array" ref="AF243">IF($I242="","",XLOOKUP($B243,Derived_Variables!$A:$A,Derived_Variables!$AE:$AE,0))</f>
        <v/>
      </c>
      <c r="AG243" s="28" t="str">
        <f t="array" ref="AG243">IF($I242="","",XLOOKUP($B243,Derived_Variables!$A:$A,Derived_Variables!$AF:$AF,""))</f>
        <v/>
      </c>
      <c r="AH243" s="28" t="str">
        <f t="array" ref="AH243">IF($I242="","",XLOOKUP($B243,Derived_Variables!$A:$A,Derived_Variables!$AG:$AG,""))</f>
        <v/>
      </c>
      <c r="AI243" s="28" t="str">
        <f t="array" ref="AI243">IF($I242="","",XLOOKUP($B243,Derived_Variables!$A:$A,Derived_Variables!$AC:$AC,"Medium"))</f>
        <v/>
      </c>
      <c r="AJ243" s="28" t="str">
        <f t="array" ref="AJ243">IF($I242="","",XLOOKUP($B243,Derived_Variables!$A:$A,Derived_Variables!$Y:$Y,FALSE))</f>
        <v/>
      </c>
      <c r="AK243" s="28" t="str">
        <f t="array" ref="AK243">IF($I242="","",XLOOKUP($B243,Derived_Variables!$A:$A,Derived_Variables!$AA:$AA,"Normal"))</f>
        <v/>
      </c>
      <c r="AL243" s="28" t="str">
        <f t="array" ref="AL243">IF($I242="","",XLOOKUP($B243,Derived_Variables!$A:$A,Derived_Variables!$AB:$AB,"Normal"))</f>
        <v/>
      </c>
      <c r="AM243" s="28" t="str">
        <f t="array" ref="AM243">IF($I243="","",IFS(C243="B",IF(OR(I243="NOT_READABLE",I243="BLURRY"),-AB243,0),C243="G",IFS(I243="RED_CLEARER",XLOOKUP("duochrome_red_step",Calibration!$B:$B,Calibration!$C:$C,-0.25),I243="GREEN_CLEARER",XLOOKUP("duochrome_green_step",Calibration!$B:$B,Calibration!$C:$C,0.25),I243="EQUAL",IF(XLOOKUP($B243,Derived_Variables!$A:$A,Derived_Variables!$S:$S,"Neutral")="Undercorrect",XLOOKUP("undercorrect_step",Calibration!$B:$B,Calibration!$C:$C,0.25),IF(XLOOKUP($B243,Derived_Variables!$A:$A,Derived_Variables!$S:$S,"Neutral")="Overcorrect",-XLOOKUP("overcorrect_step",Calibration!$B:$B,Calibration!$C:$C,0.25),0)),TRUE,0),C243="K",IF(I243="TOP_CLEARER",XLOOKUP("bino_balance_step",Calibration!$B:$B,Calibration!$C:$C,0.25),0),TRUE,0))</f>
        <v/>
      </c>
      <c r="AN243" s="28" t="str">
        <f t="shared" si="10"/>
        <v/>
      </c>
      <c r="AO243" s="28" t="str">
        <f t="shared" si="11"/>
        <v/>
      </c>
      <c r="AP243" s="28" t="str">
        <f t="array" ref="AP243">IF($I243="","",IFS(C243="D",IF(OR(I243="NOT_READABLE",I243="BLURRY"),-AB243,0),C243="J",IFS(I243="RED_CLEARER",XLOOKUP("duochrome_red_step",Calibration!$B:$B,Calibration!$C:$C,-0.25),I243="GREEN_CLEARER",XLOOKUP("duochrome_green_step",Calibration!$B:$B,Calibration!$C:$C,0.25),I243="EQUAL",IF(XLOOKUP($B243,Derived_Variables!$A:$A,Derived_Variables!$S:$S,"Neutral")="Undercorrect",XLOOKUP("undercorrect_step",Calibration!$B:$B,Calibration!$C:$C,0.25),IF(XLOOKUP($B243,Derived_Variables!$A:$A,Derived_Variables!$S:$S,"Neutral")="Overcorrect",-XLOOKUP("overcorrect_step",Calibration!$B:$B,Calibration!$C:$C,0.25),0)),TRUE,0),C243="K",IF(I243="BOTTOM_CLEARER",XLOOKUP("bino_balance_step",Calibration!$B:$B,Calibration!$C:$C,0.25),0),TRUE,0))</f>
        <v/>
      </c>
      <c r="AQ243" s="28" t="str">
        <f t="shared" si="12"/>
        <v/>
      </c>
      <c r="AR243" s="28" t="str">
        <f t="shared" si="13"/>
        <v/>
      </c>
      <c r="AS243" s="28" t="str">
        <f t="array" ref="AS243">IF($I243="","",IF(C243="P",IF(OR(I243="NOT_READABLE",I243="BLURRY"),XLOOKUP("near_add_step",Calibration!$B:$B,Calibration!$C:$C,0.25),0),IF(C243="R",IF(I243="NOT_CLEAR",XLOOKUP("near_add_step",Calibration!$B:$B,Calibration!$C:$C,0.25),0),0)))</f>
        <v/>
      </c>
      <c r="AT243" s="28" t="str">
        <f t="array" ref="AT243">IF($I243="","",IF(C243="Q",IF(OR(I243="NOT_READABLE",I243="BLURRY"),XLOOKUP("near_add_step",Calibration!$B:$B,Calibration!$C:$C,0.25),0),IF(C243="R",IF(I243="NOT_CLEAR",XLOOKUP("near_add_step",Calibration!$B:$B,Calibration!$C:$C,0.25),0),0)))</f>
        <v/>
      </c>
      <c r="AU243" s="28" t="str">
        <f t="array" ref="AU243">IF($I243="","",IF(G243="SNELLEN_FEET",IF(I243="READABLE",IFERROR(XLOOKUP(XLOOKUP(R243,Chart_Scale_Distance!B:B,Chart_Scale_Distance!A:A)+1,Chart_Scale_Distance!A:A,Chart_Scale_Distance!B:B),R243),R243),R243))</f>
        <v/>
      </c>
      <c r="AV243" s="28" t="str">
        <f t="array" ref="AV243">IF($I242="","",IFERROR(XLOOKUP(R243,Chart_Scale_Distance!$B:$B,Chart_Scale_Distance!$A:$A,""),""))</f>
        <v/>
      </c>
      <c r="AW243" s="28" t="str">
        <f t="array" ref="AW243">IF($I242="","",IFERROR(XLOOKUP(AA243,Chart_Scale_Distance!$B:$B,Chart_Scale_Distance!$A:$A,""),""))</f>
        <v/>
      </c>
      <c r="AX243" s="28" t="str">
        <f t="shared" si="14"/>
        <v/>
      </c>
      <c r="AY243" s="28" t="str">
        <f t="shared" si="15"/>
        <v/>
      </c>
      <c r="AZ243" s="28" t="str">
        <f t="shared" si="16"/>
        <v/>
      </c>
      <c r="BA243" s="28" t="str">
        <f t="shared" si="17"/>
        <v/>
      </c>
      <c r="BB243" s="28" t="str">
        <f t="shared" si="18"/>
        <v/>
      </c>
      <c r="BC243" s="28" t="str">
        <f t="array" ref="BC243">IF($I243="","",LET(
conf,AI243,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duoMax,XLOOKUP($B243,Derived_Variables!$A:$A,Derived_Variables!$AI:$AI,4),
axisTol,XLOOKUP($B243,Derived_Variables!$A:$A,Derived_Variables!$W:$W,1),
maxStart,XLOOKUP($B243,Derived_Variables!$A:$A,Derived_Variables!$U:$U,1.25),
maxAR,XLOOKUP($B243,Derived_Variables!$A:$A,Derived_Variables!$V:$V,3),
anom,XLOOKUP($B243,Derived_Variables!$A:$A,Derived_Variables!$Z:$Z,FALSE),
reStart,XLOOKUP($B243,Derived_Variables!$A:$A,Derived_Variables!$K:$K,0),
leStart,XLOOKUP($B243,Derived_Variables!$A:$A,Derived_Variables!$N:$N,0),
reAR,XLOOKUP($B243,AR_Input!$A:$A,AR_Input!$B:$B,reStart),
leAR,XLOOKUP($B243,AR_Input!$A:$A,AR_Input!$E:$E,leStart),
reEsc,AND(anom,OR(ABS((S243+AM243)-reStart)&gt;maxStart,ABS((S243+AM243)-reAR)&gt;maxAR)),
leEsc,AND(anom,OR(ABS((V243+AP243)-leStart)&gt;maxStart,ABS((V243+AP243)-leAR)&gt;maxAR)),
phaseMax,IFS(
 AK243="Fast",
   IFS(
     OR(C243="B",C243="D"),XLOOKUP("timeout_coarse_fast",Calibration!$B:$B,Calibration!$C:$C,24),
     OR(C243="E",C243="F",C243="H",C243="I"),XLOOKUP("timeout_jcc_fast",Calibration!$B:$B,Calibration!$C:$C,10),
     OR(C243="G",C243="J"),XLOOKUP("timeout_duochrome_fast",Calibration!$B:$B,Calibration!$C:$C,8),
     C243="K",XLOOKUP("timeout_bino_fast",Calibration!$B:$B,Calibration!$C:$C,10),
     OR(C243="P",C243="Q",C243="R"),XLOOKUP("timeout_near_fast",Calibration!$B:$B,Calibration!$C:$C,16),
     TRUE,XLOOKUP("timeout_coarse_fast",Calibration!$B:$B,Calibration!$C:$C,24)
   ),
 AK243="Normal",
   IFS(
     OR(C243="B",C243="D"),XLOOKUP("timeout_coarse_normal",Calibration!$B:$B,Calibration!$C:$C,36),
     OR(C243="E",C243="F",C243="H",C243="I"),XLOOKUP("timeout_jcc_normal",Calibration!$B:$B,Calibration!$C:$C,14),
     OR(C243="G",C243="J"),XLOOKUP("timeout_duochrome_normal",Calibration!$B:$B,Calibration!$C:$C,10),
     C243="K",XLOOKUP("timeout_bino_normal",Calibration!$B:$B,Calibration!$C:$C,14),
     OR(C243="P",C243="Q",C243="R"),XLOOKUP("timeout_near_normal",Calibration!$B:$B,Calibration!$C:$C,22),
     TRUE,XLOOKUP("timeout_coarse_normal",Calibration!$B:$B,Calibration!$C:$C,36)
   ),
 TRUE,
   IFS(
     OR(C243="B",C243="D"),XLOOKUP("timeout_coarse_slow",Calibration!$B:$B,Calibration!$C:$C,48),
     OR(C243="E",C243="F",C243="H",C243="I"),XLOOKUP("timeout_jcc_slow",Calibration!$B:$B,Calibration!$C:$C,18),
     OR(C243="G",C243="J"),XLOOKUP("timeout_duochrome_slow",Calibration!$B:$B,Calibration!$C:$C,12),
     C243="K",XLOOKUP("timeout_bino_slow",Calibration!$B:$B,Calibration!$C:$C,18),
     OR(C243="P",C243="Q",C243="R"),XLOOKUP("timeout_near_slow",Calibration!$B:$B,Calibration!$C:$C,28),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AJ243=TRUE,"ESCALATE",
C243="A",
IF(OR(I243="NOT_READABLE",I243="BLURRY",AND(R243="20_20_20",I243="READABLE")),"B","A"),
C243="B",
IF(reEsc,"ESCALATE",IF(AY243&gt;=phaseMax,"ESCALATE",IF(AND(AV243&gt;=AW243,I243="READABLE"),"E","B"))),
C243="E",
IF(AY243&gt;=phaseMax,"ESCALATE",IF(OR(I243="SAME",I243="CANT_TELL",AD243&lt;axisTol),"F","E")),
C243="F",
IF(AY243&gt;=phaseMax,"ESCALATE",IF(AX243&gt;=powerSameN,"G","F")),
C243="G",
IF(AY243&gt;=phaseMax,"ESCALATE",IF(OR(AX243&gt;=duoEqualN,BB243&gt;=duoMax),"D","G")),
C243="D",
IF(leEsc,"ESCALATE",IF(AY243&gt;=phaseMax,"ESCALATE",IF(AND(AV243&gt;=AW243,I243="READABLE"),"H","D"))),
C243="H",
IF(AY243&gt;=phaseMax,"ESCALATE",IF(OR(I243="SAME",I243="CANT_TELL",AD243&lt;axisTol),"I","H")),
C243="I",
IF(AY243&gt;=phaseMax,"ESCALATE",IF(AX243&gt;=powerSameN,"J","I")),
C243="J",
IF(AY243&gt;=phaseMax,"ESCALATE",IF(OR(AX243&gt;=duoEqualN,BB243&gt;=duoMax),"K","J")),
C243="K",
IF(AY243&gt;=phaseMax,"ESCALATE",IF(AX243&gt;=binoSameN,IF(XLOOKUP($B243,Derived_Variables!$A:$A,Derived_Variables!$AJ:$AJ,FALSE)=TRUE,"P","END"),"K")),
C243="P",
IF(AY243&gt;=phaseMax,"ESCALATE",IF(OR(I243="READABLE",I243="SAME"),"Q","P")),
C243="Q",
IF(AY243&gt;=phaseMax,"ESCALATE",IF(OR(I243="READABLE",I243="SAME"),"R","Q")),
C243="R",
IF(AY243&gt;=phaseMax,"ESCALATE",IF(OR(I243=nearTarget,I243="SAME"),"END","R")),
TRUE,"END"
)))</f>
        <v/>
      </c>
      <c r="BD243" s="28" t="b">
        <f t="shared" si="19"/>
        <v>0</v>
      </c>
    </row>
    <row r="244" ht="15.75" customHeight="1">
      <c r="A244" s="28">
        <f t="shared" si="3"/>
        <v>243</v>
      </c>
      <c r="B244" s="28">
        <f t="shared" si="4"/>
        <v>6</v>
      </c>
      <c r="C244" s="28" t="str">
        <f t="shared" si="5"/>
        <v/>
      </c>
      <c r="D244" s="28" t="str">
        <f t="array" ref="D244">IF($I243="","",XLOOKUP(C244,FSM_State_Map!A:A,FSM_State_Map!B:B,""))</f>
        <v/>
      </c>
      <c r="E244" s="28" t="str">
        <f t="array" ref="E244">IF($I243="","",XLOOKUP(C244,FSM_State_Map!A:A,FSM_State_Map!C:C,""))</f>
        <v/>
      </c>
      <c r="F244" s="28" t="str">
        <f t="array" ref="F244">IF($I243="","",XLOOKUP(E244,Phase_UI_Map!A:A,Phase_UI_Map!B:B,""))</f>
        <v/>
      </c>
      <c r="G244" s="28" t="str">
        <f t="array" ref="G244">IF($I243="","",XLOOKUP(E244,Phase_UI_Map!A:A,Phase_UI_Map!C:C,""))</f>
        <v/>
      </c>
      <c r="H244" s="28" t="str">
        <f t="array" ref="H244">IF($I243="","",XLOOKUP(E244,Phase_UI_Map!A:A,Phase_UI_Map!D:D,""))</f>
        <v/>
      </c>
      <c r="I244" s="29"/>
      <c r="J244" s="28" t="str">
        <f>IFERROR(__xludf.DUMMYFUNCTION("IF($I243="""","""",IFERROR(INDEX(FILTER(Response_Lists!$B:$B,Response_Lists!$A:$A=$H244),1),""""))"),"")</f>
        <v/>
      </c>
      <c r="K244" s="28" t="str">
        <f>IFERROR(__xludf.DUMMYFUNCTION("IF($I243="""","""",IFERROR(INDEX(FILTER(Response_Lists!$B:$B,Response_Lists!$A:$A=$H244),2),""""))"),"")</f>
        <v/>
      </c>
      <c r="L244" s="28" t="str">
        <f>IFERROR(__xludf.DUMMYFUNCTION("IF($I243="""","""",IFERROR(INDEX(FILTER(Response_Lists!$B:$B,Response_Lists!$A:$A=$H244),3),""""))"),"")</f>
        <v/>
      </c>
      <c r="M244" s="28" t="str">
        <f>IFERROR(__xludf.DUMMYFUNCTION("IF($I243="""","""",IFERROR(INDEX(FILTER(Response_Lists!$B:$B,Response_Lists!$A:$A=$H244),4),""""))"),"")</f>
        <v/>
      </c>
      <c r="N244" s="28" t="str">
        <f>IFERROR(__xludf.DUMMYFUNCTION("IF($I243="""","""",IFERROR(INDEX(FILTER(Response_Lists!$B:$B,Response_Lists!$A:$A=$H244),5),""""))"),"")</f>
        <v/>
      </c>
      <c r="O244" s="28" t="str">
        <f>IFERROR(__xludf.DUMMYFUNCTION("IF($I243="""","""",IFERROR(INDEX(FILTER(Response_Lists!$B:$B,Response_Lists!$A:$A=$H244),6),""""))"),"")</f>
        <v/>
      </c>
      <c r="P244" s="28" t="str">
        <f t="shared" si="6"/>
        <v/>
      </c>
      <c r="Q244" s="28" t="str">
        <f t="array" ref="Q244">IF($I243="","",XLOOKUP(C244,FSM_State_Map!A:A,FSM_State_Map!D:D,""))</f>
        <v/>
      </c>
      <c r="R244" s="28" t="str">
        <f t="shared" si="7"/>
        <v/>
      </c>
      <c r="S244" s="28" t="str">
        <f t="array" ref="S244">IF($I243="","",
IF(
  AND(C244="B",C243&lt;&gt;"B"),
  XLOOKUP($B244,Derived_Variables!$A:$A,Derived_Variables!$K:$K,0)
  + XLOOKUP($B244,Derived_Variables!$A:$A,Derived_Variables!$AE:$AE,0),
  S243+AM243
))</f>
        <v/>
      </c>
      <c r="T244" s="28" t="str">
        <f t="shared" ref="T244:U244" si="498">IF($I243="","",T243+AN243)</f>
        <v/>
      </c>
      <c r="U244" s="28" t="str">
        <f t="shared" si="498"/>
        <v/>
      </c>
      <c r="V244" s="28" t="str">
        <f t="array" ref="V244">IF($I243="","",
IF(
  AND(C244="D",C243&lt;&gt;"D"),
  XLOOKUP($B244,Derived_Variables!$A:$A,Derived_Variables!$N:$N,0)
  + XLOOKUP($B244,Derived_Variables!$A:$A,Derived_Variables!$AE:$AE,0),
  V243+AP243
))</f>
        <v/>
      </c>
      <c r="W244" s="28" t="str">
        <f t="shared" ref="W244:X244" si="499">IF($I243="","",W243+AQ243)</f>
        <v/>
      </c>
      <c r="X244" s="28" t="str">
        <f t="shared" si="499"/>
        <v/>
      </c>
      <c r="Y244" s="28" t="str">
        <f t="array" ref="Y244">IF($I243="","",IF(AND(C244="P",C243&lt;&gt;"P"),IFERROR(XLOOKUP($B244,Lenso_Input!$A:$A,Lenso_Input!$E:$E,0),0),Y243+AS243))</f>
        <v/>
      </c>
      <c r="Z244" s="28" t="str">
        <f t="array" ref="Z244">IF($I243="","",IF(AND(C244="Q",C243&lt;&gt;"Q"),IFERROR(XLOOKUP($B244,Lenso_Input!$A:$A,Lenso_Input!$I:$I,0),0),Z243+AT243))</f>
        <v/>
      </c>
      <c r="AA244" s="28" t="str">
        <f t="array" ref="AA244">IF($I243="","",IF(XLOOKUP($B244,Derived_Variables!$A:$A,Derived_Variables!$R:$R,"6/6_target")="6/6_target","20_20_20","40_30_25"))</f>
        <v/>
      </c>
      <c r="AB244" s="28" t="str">
        <f t="array" ref="AB244">IF($I243="","",XLOOKUP(LOWER(XLOOKUP($B244,Derived_Variables!$A:$A,Derived_Variables!$T:$T,"Standard"))&amp;"_sph_step",Calibration!$B:$B,Calibration!$C:$C,0.25))</f>
        <v/>
      </c>
      <c r="AC244" s="28" t="str">
        <f t="array" ref="AC244">IF($I243="","",XLOOKUP(LOWER(XLOOKUP($B244,Derived_Variables!$A:$A,Derived_Variables!$T:$T,"Standard"))&amp;"_cyl_step",Calibration!$B:$B,Calibration!$C:$C,0.25))</f>
        <v/>
      </c>
      <c r="AD244" s="28" t="str">
        <f t="array" ref="AD244">IF($I243="","",IF(OR(C244="E",C244="H"),LET(startStep,XLOOKUP("axis_start_step",Calibration!$B:$B,Calibration!$C:$C,5),step1,XLOOKUP("axis_reversal_step_1",Calibration!$B:$B,Calibration!$C:$C,3),step2,XLOOKUP("axis_reversal_step_2",Calibration!$B:$B,Calibration!$C:$C,1),IF(OR(C243&lt;&gt;C244,AZ244="",AZ244="SAME",AZ244="CANT_TELL",I244="",I244="SAME",I244="CANT_TELL"),startStep,IF(OR(AND(AZ244="BETTER_1",I244="BETTER_2"),AND(AZ244="BETTER_2",I244="BETTER_1")),IF(AD243&gt;step1,step1,step2),AD243))),0))</f>
        <v/>
      </c>
      <c r="AE244" s="28" t="str">
        <f t="array" ref="AE244">IF($I243="","",XLOOKUP($B244,Derived_Variables!$A:$A,Derived_Variables!$AD:$AD,"No_Fog"))</f>
        <v/>
      </c>
      <c r="AF244" s="28" t="str">
        <f t="array" ref="AF244">IF($I243="","",XLOOKUP($B244,Derived_Variables!$A:$A,Derived_Variables!$AE:$AE,0))</f>
        <v/>
      </c>
      <c r="AG244" s="28" t="str">
        <f t="array" ref="AG244">IF($I243="","",XLOOKUP($B244,Derived_Variables!$A:$A,Derived_Variables!$AF:$AF,""))</f>
        <v/>
      </c>
      <c r="AH244" s="28" t="str">
        <f t="array" ref="AH244">IF($I243="","",XLOOKUP($B244,Derived_Variables!$A:$A,Derived_Variables!$AG:$AG,""))</f>
        <v/>
      </c>
      <c r="AI244" s="28" t="str">
        <f t="array" ref="AI244">IF($I243="","",XLOOKUP($B244,Derived_Variables!$A:$A,Derived_Variables!$AC:$AC,"Medium"))</f>
        <v/>
      </c>
      <c r="AJ244" s="28" t="str">
        <f t="array" ref="AJ244">IF($I243="","",XLOOKUP($B244,Derived_Variables!$A:$A,Derived_Variables!$Y:$Y,FALSE))</f>
        <v/>
      </c>
      <c r="AK244" s="28" t="str">
        <f t="array" ref="AK244">IF($I243="","",XLOOKUP($B244,Derived_Variables!$A:$A,Derived_Variables!$AA:$AA,"Normal"))</f>
        <v/>
      </c>
      <c r="AL244" s="28" t="str">
        <f t="array" ref="AL244">IF($I243="","",XLOOKUP($B244,Derived_Variables!$A:$A,Derived_Variables!$AB:$AB,"Normal"))</f>
        <v/>
      </c>
      <c r="AM244" s="28" t="str">
        <f t="array" ref="AM244">IF($I244="","",IFS(C244="B",IF(OR(I244="NOT_READABLE",I244="BLURRY"),-AB244,0),C244="G",IFS(I244="RED_CLEARER",XLOOKUP("duochrome_red_step",Calibration!$B:$B,Calibration!$C:$C,-0.25),I244="GREEN_CLEARER",XLOOKUP("duochrome_green_step",Calibration!$B:$B,Calibration!$C:$C,0.25),I244="EQUAL",IF(XLOOKUP($B244,Derived_Variables!$A:$A,Derived_Variables!$S:$S,"Neutral")="Undercorrect",XLOOKUP("undercorrect_step",Calibration!$B:$B,Calibration!$C:$C,0.25),IF(XLOOKUP($B244,Derived_Variables!$A:$A,Derived_Variables!$S:$S,"Neutral")="Overcorrect",-XLOOKUP("overcorrect_step",Calibration!$B:$B,Calibration!$C:$C,0.25),0)),TRUE,0),C244="K",IF(I244="TOP_CLEARER",XLOOKUP("bino_balance_step",Calibration!$B:$B,Calibration!$C:$C,0.25),0),TRUE,0))</f>
        <v/>
      </c>
      <c r="AN244" s="28" t="str">
        <f t="shared" si="10"/>
        <v/>
      </c>
      <c r="AO244" s="28" t="str">
        <f t="shared" si="11"/>
        <v/>
      </c>
      <c r="AP244" s="28" t="str">
        <f t="array" ref="AP244">IF($I244="","",IFS(C244="D",IF(OR(I244="NOT_READABLE",I244="BLURRY"),-AB244,0),C244="J",IFS(I244="RED_CLEARER",XLOOKUP("duochrome_red_step",Calibration!$B:$B,Calibration!$C:$C,-0.25),I244="GREEN_CLEARER",XLOOKUP("duochrome_green_step",Calibration!$B:$B,Calibration!$C:$C,0.25),I244="EQUAL",IF(XLOOKUP($B244,Derived_Variables!$A:$A,Derived_Variables!$S:$S,"Neutral")="Undercorrect",XLOOKUP("undercorrect_step",Calibration!$B:$B,Calibration!$C:$C,0.25),IF(XLOOKUP($B244,Derived_Variables!$A:$A,Derived_Variables!$S:$S,"Neutral")="Overcorrect",-XLOOKUP("overcorrect_step",Calibration!$B:$B,Calibration!$C:$C,0.25),0)),TRUE,0),C244="K",IF(I244="BOTTOM_CLEARER",XLOOKUP("bino_balance_step",Calibration!$B:$B,Calibration!$C:$C,0.25),0),TRUE,0))</f>
        <v/>
      </c>
      <c r="AQ244" s="28" t="str">
        <f t="shared" si="12"/>
        <v/>
      </c>
      <c r="AR244" s="28" t="str">
        <f t="shared" si="13"/>
        <v/>
      </c>
      <c r="AS244" s="28" t="str">
        <f t="array" ref="AS244">IF($I244="","",IF(C244="P",IF(OR(I244="NOT_READABLE",I244="BLURRY"),XLOOKUP("near_add_step",Calibration!$B:$B,Calibration!$C:$C,0.25),0),IF(C244="R",IF(I244="NOT_CLEAR",XLOOKUP("near_add_step",Calibration!$B:$B,Calibration!$C:$C,0.25),0),0)))</f>
        <v/>
      </c>
      <c r="AT244" s="28" t="str">
        <f t="array" ref="AT244">IF($I244="","",IF(C244="Q",IF(OR(I244="NOT_READABLE",I244="BLURRY"),XLOOKUP("near_add_step",Calibration!$B:$B,Calibration!$C:$C,0.25),0),IF(C244="R",IF(I244="NOT_CLEAR",XLOOKUP("near_add_step",Calibration!$B:$B,Calibration!$C:$C,0.25),0),0)))</f>
        <v/>
      </c>
      <c r="AU244" s="28" t="str">
        <f t="array" ref="AU244">IF($I244="","",IF(G244="SNELLEN_FEET",IF(I244="READABLE",IFERROR(XLOOKUP(XLOOKUP(R244,Chart_Scale_Distance!B:B,Chart_Scale_Distance!A:A)+1,Chart_Scale_Distance!A:A,Chart_Scale_Distance!B:B),R244),R244),R244))</f>
        <v/>
      </c>
      <c r="AV244" s="28" t="str">
        <f t="array" ref="AV244">IF($I243="","",IFERROR(XLOOKUP(R244,Chart_Scale_Distance!$B:$B,Chart_Scale_Distance!$A:$A,""),""))</f>
        <v/>
      </c>
      <c r="AW244" s="28" t="str">
        <f t="array" ref="AW244">IF($I243="","",IFERROR(XLOOKUP(AA244,Chart_Scale_Distance!$B:$B,Chart_Scale_Distance!$A:$A,""),""))</f>
        <v/>
      </c>
      <c r="AX244" s="28" t="str">
        <f t="shared" si="14"/>
        <v/>
      </c>
      <c r="AY244" s="28" t="str">
        <f t="shared" si="15"/>
        <v/>
      </c>
      <c r="AZ244" s="28" t="str">
        <f t="shared" si="16"/>
        <v/>
      </c>
      <c r="BA244" s="28" t="str">
        <f t="shared" si="17"/>
        <v/>
      </c>
      <c r="BB244" s="28" t="str">
        <f t="shared" si="18"/>
        <v/>
      </c>
      <c r="BC244" s="28" t="str">
        <f t="array" ref="BC244">IF($I244="","",LET(
conf,AI244,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duoMax,XLOOKUP($B244,Derived_Variables!$A:$A,Derived_Variables!$AI:$AI,4),
axisTol,XLOOKUP($B244,Derived_Variables!$A:$A,Derived_Variables!$W:$W,1),
maxStart,XLOOKUP($B244,Derived_Variables!$A:$A,Derived_Variables!$U:$U,1.25),
maxAR,XLOOKUP($B244,Derived_Variables!$A:$A,Derived_Variables!$V:$V,3),
anom,XLOOKUP($B244,Derived_Variables!$A:$A,Derived_Variables!$Z:$Z,FALSE),
reStart,XLOOKUP($B244,Derived_Variables!$A:$A,Derived_Variables!$K:$K,0),
leStart,XLOOKUP($B244,Derived_Variables!$A:$A,Derived_Variables!$N:$N,0),
reAR,XLOOKUP($B244,AR_Input!$A:$A,AR_Input!$B:$B,reStart),
leAR,XLOOKUP($B244,AR_Input!$A:$A,AR_Input!$E:$E,leStart),
reEsc,AND(anom,OR(ABS((S244+AM244)-reStart)&gt;maxStart,ABS((S244+AM244)-reAR)&gt;maxAR)),
leEsc,AND(anom,OR(ABS((V244+AP244)-leStart)&gt;maxStart,ABS((V244+AP244)-leAR)&gt;maxAR)),
phaseMax,IFS(
 AK244="Fast",
   IFS(
     OR(C244="B",C244="D"),XLOOKUP("timeout_coarse_fast",Calibration!$B:$B,Calibration!$C:$C,24),
     OR(C244="E",C244="F",C244="H",C244="I"),XLOOKUP("timeout_jcc_fast",Calibration!$B:$B,Calibration!$C:$C,10),
     OR(C244="G",C244="J"),XLOOKUP("timeout_duochrome_fast",Calibration!$B:$B,Calibration!$C:$C,8),
     C244="K",XLOOKUP("timeout_bino_fast",Calibration!$B:$B,Calibration!$C:$C,10),
     OR(C244="P",C244="Q",C244="R"),XLOOKUP("timeout_near_fast",Calibration!$B:$B,Calibration!$C:$C,16),
     TRUE,XLOOKUP("timeout_coarse_fast",Calibration!$B:$B,Calibration!$C:$C,24)
   ),
 AK244="Normal",
   IFS(
     OR(C244="B",C244="D"),XLOOKUP("timeout_coarse_normal",Calibration!$B:$B,Calibration!$C:$C,36),
     OR(C244="E",C244="F",C244="H",C244="I"),XLOOKUP("timeout_jcc_normal",Calibration!$B:$B,Calibration!$C:$C,14),
     OR(C244="G",C244="J"),XLOOKUP("timeout_duochrome_normal",Calibration!$B:$B,Calibration!$C:$C,10),
     C244="K",XLOOKUP("timeout_bino_normal",Calibration!$B:$B,Calibration!$C:$C,14),
     OR(C244="P",C244="Q",C244="R"),XLOOKUP("timeout_near_normal",Calibration!$B:$B,Calibration!$C:$C,22),
     TRUE,XLOOKUP("timeout_coarse_normal",Calibration!$B:$B,Calibration!$C:$C,36)
   ),
 TRUE,
   IFS(
     OR(C244="B",C244="D"),XLOOKUP("timeout_coarse_slow",Calibration!$B:$B,Calibration!$C:$C,48),
     OR(C244="E",C244="F",C244="H",C244="I"),XLOOKUP("timeout_jcc_slow",Calibration!$B:$B,Calibration!$C:$C,18),
     OR(C244="G",C244="J"),XLOOKUP("timeout_duochrome_slow",Calibration!$B:$B,Calibration!$C:$C,12),
     C244="K",XLOOKUP("timeout_bino_slow",Calibration!$B:$B,Calibration!$C:$C,18),
     OR(C244="P",C244="Q",C244="R"),XLOOKUP("timeout_near_slow",Calibration!$B:$B,Calibration!$C:$C,28),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AJ244=TRUE,"ESCALATE",
C244="A",
IF(OR(I244="NOT_READABLE",I244="BLURRY",AND(R244="20_20_20",I244="READABLE")),"B","A"),
C244="B",
IF(reEsc,"ESCALATE",IF(AY244&gt;=phaseMax,"ESCALATE",IF(AND(AV244&gt;=AW244,I244="READABLE"),"E","B"))),
C244="E",
IF(AY244&gt;=phaseMax,"ESCALATE",IF(OR(I244="SAME",I244="CANT_TELL",AD244&lt;axisTol),"F","E")),
C244="F",
IF(AY244&gt;=phaseMax,"ESCALATE",IF(AX244&gt;=powerSameN,"G","F")),
C244="G",
IF(AY244&gt;=phaseMax,"ESCALATE",IF(OR(AX244&gt;=duoEqualN,BB244&gt;=duoMax),"D","G")),
C244="D",
IF(leEsc,"ESCALATE",IF(AY244&gt;=phaseMax,"ESCALATE",IF(AND(AV244&gt;=AW244,I244="READABLE"),"H","D"))),
C244="H",
IF(AY244&gt;=phaseMax,"ESCALATE",IF(OR(I244="SAME",I244="CANT_TELL",AD244&lt;axisTol),"I","H")),
C244="I",
IF(AY244&gt;=phaseMax,"ESCALATE",IF(AX244&gt;=powerSameN,"J","I")),
C244="J",
IF(AY244&gt;=phaseMax,"ESCALATE",IF(OR(AX244&gt;=duoEqualN,BB244&gt;=duoMax),"K","J")),
C244="K",
IF(AY244&gt;=phaseMax,"ESCALATE",IF(AX244&gt;=binoSameN,IF(XLOOKUP($B244,Derived_Variables!$A:$A,Derived_Variables!$AJ:$AJ,FALSE)=TRUE,"P","END"),"K")),
C244="P",
IF(AY244&gt;=phaseMax,"ESCALATE",IF(OR(I244="READABLE",I244="SAME"),"Q","P")),
C244="Q",
IF(AY244&gt;=phaseMax,"ESCALATE",IF(OR(I244="READABLE",I244="SAME"),"R","Q")),
C244="R",
IF(AY244&gt;=phaseMax,"ESCALATE",IF(OR(I244=nearTarget,I244="SAME"),"END","R")),
TRUE,"END"
)))</f>
        <v/>
      </c>
      <c r="BD244" s="28" t="b">
        <f t="shared" si="19"/>
        <v>0</v>
      </c>
    </row>
    <row r="245" ht="15.75" customHeight="1">
      <c r="A245" s="28">
        <f t="shared" si="3"/>
        <v>244</v>
      </c>
      <c r="B245" s="28">
        <f t="shared" si="4"/>
        <v>6</v>
      </c>
      <c r="C245" s="28" t="str">
        <f t="shared" si="5"/>
        <v/>
      </c>
      <c r="D245" s="28" t="str">
        <f t="array" ref="D245">IF($I244="","",XLOOKUP(C245,FSM_State_Map!A:A,FSM_State_Map!B:B,""))</f>
        <v/>
      </c>
      <c r="E245" s="28" t="str">
        <f t="array" ref="E245">IF($I244="","",XLOOKUP(C245,FSM_State_Map!A:A,FSM_State_Map!C:C,""))</f>
        <v/>
      </c>
      <c r="F245" s="28" t="str">
        <f t="array" ref="F245">IF($I244="","",XLOOKUP(E245,Phase_UI_Map!A:A,Phase_UI_Map!B:B,""))</f>
        <v/>
      </c>
      <c r="G245" s="28" t="str">
        <f t="array" ref="G245">IF($I244="","",XLOOKUP(E245,Phase_UI_Map!A:A,Phase_UI_Map!C:C,""))</f>
        <v/>
      </c>
      <c r="H245" s="28" t="str">
        <f t="array" ref="H245">IF($I244="","",XLOOKUP(E245,Phase_UI_Map!A:A,Phase_UI_Map!D:D,""))</f>
        <v/>
      </c>
      <c r="I245" s="29"/>
      <c r="J245" s="28" t="str">
        <f>IFERROR(__xludf.DUMMYFUNCTION("IF($I244="""","""",IFERROR(INDEX(FILTER(Response_Lists!$B:$B,Response_Lists!$A:$A=$H245),1),""""))"),"")</f>
        <v/>
      </c>
      <c r="K245" s="28" t="str">
        <f>IFERROR(__xludf.DUMMYFUNCTION("IF($I244="""","""",IFERROR(INDEX(FILTER(Response_Lists!$B:$B,Response_Lists!$A:$A=$H245),2),""""))"),"")</f>
        <v/>
      </c>
      <c r="L245" s="28" t="str">
        <f>IFERROR(__xludf.DUMMYFUNCTION("IF($I244="""","""",IFERROR(INDEX(FILTER(Response_Lists!$B:$B,Response_Lists!$A:$A=$H245),3),""""))"),"")</f>
        <v/>
      </c>
      <c r="M245" s="28" t="str">
        <f>IFERROR(__xludf.DUMMYFUNCTION("IF($I244="""","""",IFERROR(INDEX(FILTER(Response_Lists!$B:$B,Response_Lists!$A:$A=$H245),4),""""))"),"")</f>
        <v/>
      </c>
      <c r="N245" s="28" t="str">
        <f>IFERROR(__xludf.DUMMYFUNCTION("IF($I244="""","""",IFERROR(INDEX(FILTER(Response_Lists!$B:$B,Response_Lists!$A:$A=$H245),5),""""))"),"")</f>
        <v/>
      </c>
      <c r="O245" s="28" t="str">
        <f>IFERROR(__xludf.DUMMYFUNCTION("IF($I244="""","""",IFERROR(INDEX(FILTER(Response_Lists!$B:$B,Response_Lists!$A:$A=$H245),6),""""))"),"")</f>
        <v/>
      </c>
      <c r="P245" s="28" t="str">
        <f t="shared" si="6"/>
        <v/>
      </c>
      <c r="Q245" s="28" t="str">
        <f t="array" ref="Q245">IF($I244="","",XLOOKUP(C245,FSM_State_Map!A:A,FSM_State_Map!D:D,""))</f>
        <v/>
      </c>
      <c r="R245" s="28" t="str">
        <f t="shared" si="7"/>
        <v/>
      </c>
      <c r="S245" s="28" t="str">
        <f t="array" ref="S245">IF($I244="","",
IF(
  AND(C245="B",C244&lt;&gt;"B"),
  XLOOKUP($B245,Derived_Variables!$A:$A,Derived_Variables!$K:$K,0)
  + XLOOKUP($B245,Derived_Variables!$A:$A,Derived_Variables!$AE:$AE,0),
  S244+AM244
))</f>
        <v/>
      </c>
      <c r="T245" s="28" t="str">
        <f t="shared" ref="T245:U245" si="500">IF($I244="","",T244+AN244)</f>
        <v/>
      </c>
      <c r="U245" s="28" t="str">
        <f t="shared" si="500"/>
        <v/>
      </c>
      <c r="V245" s="28" t="str">
        <f t="array" ref="V245">IF($I244="","",
IF(
  AND(C245="D",C244&lt;&gt;"D"),
  XLOOKUP($B245,Derived_Variables!$A:$A,Derived_Variables!$N:$N,0)
  + XLOOKUP($B245,Derived_Variables!$A:$A,Derived_Variables!$AE:$AE,0),
  V244+AP244
))</f>
        <v/>
      </c>
      <c r="W245" s="28" t="str">
        <f t="shared" ref="W245:X245" si="501">IF($I244="","",W244+AQ244)</f>
        <v/>
      </c>
      <c r="X245" s="28" t="str">
        <f t="shared" si="501"/>
        <v/>
      </c>
      <c r="Y245" s="28" t="str">
        <f t="array" ref="Y245">IF($I244="","",IF(AND(C245="P",C244&lt;&gt;"P"),IFERROR(XLOOKUP($B245,Lenso_Input!$A:$A,Lenso_Input!$E:$E,0),0),Y244+AS244))</f>
        <v/>
      </c>
      <c r="Z245" s="28" t="str">
        <f t="array" ref="Z245">IF($I244="","",IF(AND(C245="Q",C244&lt;&gt;"Q"),IFERROR(XLOOKUP($B245,Lenso_Input!$A:$A,Lenso_Input!$I:$I,0),0),Z244+AT244))</f>
        <v/>
      </c>
      <c r="AA245" s="28" t="str">
        <f t="array" ref="AA245">IF($I244="","",IF(XLOOKUP($B245,Derived_Variables!$A:$A,Derived_Variables!$R:$R,"6/6_target")="6/6_target","20_20_20","40_30_25"))</f>
        <v/>
      </c>
      <c r="AB245" s="28" t="str">
        <f t="array" ref="AB245">IF($I244="","",XLOOKUP(LOWER(XLOOKUP($B245,Derived_Variables!$A:$A,Derived_Variables!$T:$T,"Standard"))&amp;"_sph_step",Calibration!$B:$B,Calibration!$C:$C,0.25))</f>
        <v/>
      </c>
      <c r="AC245" s="28" t="str">
        <f t="array" ref="AC245">IF($I244="","",XLOOKUP(LOWER(XLOOKUP($B245,Derived_Variables!$A:$A,Derived_Variables!$T:$T,"Standard"))&amp;"_cyl_step",Calibration!$B:$B,Calibration!$C:$C,0.25))</f>
        <v/>
      </c>
      <c r="AD245" s="28" t="str">
        <f t="array" ref="AD245">IF($I244="","",IF(OR(C245="E",C245="H"),LET(startStep,XLOOKUP("axis_start_step",Calibration!$B:$B,Calibration!$C:$C,5),step1,XLOOKUP("axis_reversal_step_1",Calibration!$B:$B,Calibration!$C:$C,3),step2,XLOOKUP("axis_reversal_step_2",Calibration!$B:$B,Calibration!$C:$C,1),IF(OR(C244&lt;&gt;C245,AZ245="",AZ245="SAME",AZ245="CANT_TELL",I245="",I245="SAME",I245="CANT_TELL"),startStep,IF(OR(AND(AZ245="BETTER_1",I245="BETTER_2"),AND(AZ245="BETTER_2",I245="BETTER_1")),IF(AD244&gt;step1,step1,step2),AD244))),0))</f>
        <v/>
      </c>
      <c r="AE245" s="28" t="str">
        <f t="array" ref="AE245">IF($I244="","",XLOOKUP($B245,Derived_Variables!$A:$A,Derived_Variables!$AD:$AD,"No_Fog"))</f>
        <v/>
      </c>
      <c r="AF245" s="28" t="str">
        <f t="array" ref="AF245">IF($I244="","",XLOOKUP($B245,Derived_Variables!$A:$A,Derived_Variables!$AE:$AE,0))</f>
        <v/>
      </c>
      <c r="AG245" s="28" t="str">
        <f t="array" ref="AG245">IF($I244="","",XLOOKUP($B245,Derived_Variables!$A:$A,Derived_Variables!$AF:$AF,""))</f>
        <v/>
      </c>
      <c r="AH245" s="28" t="str">
        <f t="array" ref="AH245">IF($I244="","",XLOOKUP($B245,Derived_Variables!$A:$A,Derived_Variables!$AG:$AG,""))</f>
        <v/>
      </c>
      <c r="AI245" s="28" t="str">
        <f t="array" ref="AI245">IF($I244="","",XLOOKUP($B245,Derived_Variables!$A:$A,Derived_Variables!$AC:$AC,"Medium"))</f>
        <v/>
      </c>
      <c r="AJ245" s="28" t="str">
        <f t="array" ref="AJ245">IF($I244="","",XLOOKUP($B245,Derived_Variables!$A:$A,Derived_Variables!$Y:$Y,FALSE))</f>
        <v/>
      </c>
      <c r="AK245" s="28" t="str">
        <f t="array" ref="AK245">IF($I244="","",XLOOKUP($B245,Derived_Variables!$A:$A,Derived_Variables!$AA:$AA,"Normal"))</f>
        <v/>
      </c>
      <c r="AL245" s="28" t="str">
        <f t="array" ref="AL245">IF($I244="","",XLOOKUP($B245,Derived_Variables!$A:$A,Derived_Variables!$AB:$AB,"Normal"))</f>
        <v/>
      </c>
      <c r="AM245" s="28" t="str">
        <f t="array" ref="AM245">IF($I245="","",IFS(C245="B",IF(OR(I245="NOT_READABLE",I245="BLURRY"),-AB245,0),C245="G",IFS(I245="RED_CLEARER",XLOOKUP("duochrome_red_step",Calibration!$B:$B,Calibration!$C:$C,-0.25),I245="GREEN_CLEARER",XLOOKUP("duochrome_green_step",Calibration!$B:$B,Calibration!$C:$C,0.25),I245="EQUAL",IF(XLOOKUP($B245,Derived_Variables!$A:$A,Derived_Variables!$S:$S,"Neutral")="Undercorrect",XLOOKUP("undercorrect_step",Calibration!$B:$B,Calibration!$C:$C,0.25),IF(XLOOKUP($B245,Derived_Variables!$A:$A,Derived_Variables!$S:$S,"Neutral")="Overcorrect",-XLOOKUP("overcorrect_step",Calibration!$B:$B,Calibration!$C:$C,0.25),0)),TRUE,0),C245="K",IF(I245="TOP_CLEARER",XLOOKUP("bino_balance_step",Calibration!$B:$B,Calibration!$C:$C,0.25),0),TRUE,0))</f>
        <v/>
      </c>
      <c r="AN245" s="28" t="str">
        <f t="shared" si="10"/>
        <v/>
      </c>
      <c r="AO245" s="28" t="str">
        <f t="shared" si="11"/>
        <v/>
      </c>
      <c r="AP245" s="28" t="str">
        <f t="array" ref="AP245">IF($I245="","",IFS(C245="D",IF(OR(I245="NOT_READABLE",I245="BLURRY"),-AB245,0),C245="J",IFS(I245="RED_CLEARER",XLOOKUP("duochrome_red_step",Calibration!$B:$B,Calibration!$C:$C,-0.25),I245="GREEN_CLEARER",XLOOKUP("duochrome_green_step",Calibration!$B:$B,Calibration!$C:$C,0.25),I245="EQUAL",IF(XLOOKUP($B245,Derived_Variables!$A:$A,Derived_Variables!$S:$S,"Neutral")="Undercorrect",XLOOKUP("undercorrect_step",Calibration!$B:$B,Calibration!$C:$C,0.25),IF(XLOOKUP($B245,Derived_Variables!$A:$A,Derived_Variables!$S:$S,"Neutral")="Overcorrect",-XLOOKUP("overcorrect_step",Calibration!$B:$B,Calibration!$C:$C,0.25),0)),TRUE,0),C245="K",IF(I245="BOTTOM_CLEARER",XLOOKUP("bino_balance_step",Calibration!$B:$B,Calibration!$C:$C,0.25),0),TRUE,0))</f>
        <v/>
      </c>
      <c r="AQ245" s="28" t="str">
        <f t="shared" si="12"/>
        <v/>
      </c>
      <c r="AR245" s="28" t="str">
        <f t="shared" si="13"/>
        <v/>
      </c>
      <c r="AS245" s="28" t="str">
        <f t="array" ref="AS245">IF($I245="","",IF(C245="P",IF(OR(I245="NOT_READABLE",I245="BLURRY"),XLOOKUP("near_add_step",Calibration!$B:$B,Calibration!$C:$C,0.25),0),IF(C245="R",IF(I245="NOT_CLEAR",XLOOKUP("near_add_step",Calibration!$B:$B,Calibration!$C:$C,0.25),0),0)))</f>
        <v/>
      </c>
      <c r="AT245" s="28" t="str">
        <f t="array" ref="AT245">IF($I245="","",IF(C245="Q",IF(OR(I245="NOT_READABLE",I245="BLURRY"),XLOOKUP("near_add_step",Calibration!$B:$B,Calibration!$C:$C,0.25),0),IF(C245="R",IF(I245="NOT_CLEAR",XLOOKUP("near_add_step",Calibration!$B:$B,Calibration!$C:$C,0.25),0),0)))</f>
        <v/>
      </c>
      <c r="AU245" s="28" t="str">
        <f t="array" ref="AU245">IF($I245="","",IF(G245="SNELLEN_FEET",IF(I245="READABLE",IFERROR(XLOOKUP(XLOOKUP(R245,Chart_Scale_Distance!B:B,Chart_Scale_Distance!A:A)+1,Chart_Scale_Distance!A:A,Chart_Scale_Distance!B:B),R245),R245),R245))</f>
        <v/>
      </c>
      <c r="AV245" s="28" t="str">
        <f t="array" ref="AV245">IF($I244="","",IFERROR(XLOOKUP(R245,Chart_Scale_Distance!$B:$B,Chart_Scale_Distance!$A:$A,""),""))</f>
        <v/>
      </c>
      <c r="AW245" s="28" t="str">
        <f t="array" ref="AW245">IF($I244="","",IFERROR(XLOOKUP(AA245,Chart_Scale_Distance!$B:$B,Chart_Scale_Distance!$A:$A,""),""))</f>
        <v/>
      </c>
      <c r="AX245" s="28" t="str">
        <f t="shared" si="14"/>
        <v/>
      </c>
      <c r="AY245" s="28" t="str">
        <f t="shared" si="15"/>
        <v/>
      </c>
      <c r="AZ245" s="28" t="str">
        <f t="shared" si="16"/>
        <v/>
      </c>
      <c r="BA245" s="28" t="str">
        <f t="shared" si="17"/>
        <v/>
      </c>
      <c r="BB245" s="28" t="str">
        <f t="shared" si="18"/>
        <v/>
      </c>
      <c r="BC245" s="28" t="str">
        <f t="array" ref="BC245">IF($I245="","",LET(
conf,AI245,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duoMax,XLOOKUP($B245,Derived_Variables!$A:$A,Derived_Variables!$AI:$AI,4),
axisTol,XLOOKUP($B245,Derived_Variables!$A:$A,Derived_Variables!$W:$W,1),
maxStart,XLOOKUP($B245,Derived_Variables!$A:$A,Derived_Variables!$U:$U,1.25),
maxAR,XLOOKUP($B245,Derived_Variables!$A:$A,Derived_Variables!$V:$V,3),
anom,XLOOKUP($B245,Derived_Variables!$A:$A,Derived_Variables!$Z:$Z,FALSE),
reStart,XLOOKUP($B245,Derived_Variables!$A:$A,Derived_Variables!$K:$K,0),
leStart,XLOOKUP($B245,Derived_Variables!$A:$A,Derived_Variables!$N:$N,0),
reAR,XLOOKUP($B245,AR_Input!$A:$A,AR_Input!$B:$B,reStart),
leAR,XLOOKUP($B245,AR_Input!$A:$A,AR_Input!$E:$E,leStart),
reEsc,AND(anom,OR(ABS((S245+AM245)-reStart)&gt;maxStart,ABS((S245+AM245)-reAR)&gt;maxAR)),
leEsc,AND(anom,OR(ABS((V245+AP245)-leStart)&gt;maxStart,ABS((V245+AP245)-leAR)&gt;maxAR)),
phaseMax,IFS(
 AK245="Fast",
   IFS(
     OR(C245="B",C245="D"),XLOOKUP("timeout_coarse_fast",Calibration!$B:$B,Calibration!$C:$C,24),
     OR(C245="E",C245="F",C245="H",C245="I"),XLOOKUP("timeout_jcc_fast",Calibration!$B:$B,Calibration!$C:$C,10),
     OR(C245="G",C245="J"),XLOOKUP("timeout_duochrome_fast",Calibration!$B:$B,Calibration!$C:$C,8),
     C245="K",XLOOKUP("timeout_bino_fast",Calibration!$B:$B,Calibration!$C:$C,10),
     OR(C245="P",C245="Q",C245="R"),XLOOKUP("timeout_near_fast",Calibration!$B:$B,Calibration!$C:$C,16),
     TRUE,XLOOKUP("timeout_coarse_fast",Calibration!$B:$B,Calibration!$C:$C,24)
   ),
 AK245="Normal",
   IFS(
     OR(C245="B",C245="D"),XLOOKUP("timeout_coarse_normal",Calibration!$B:$B,Calibration!$C:$C,36),
     OR(C245="E",C245="F",C245="H",C245="I"),XLOOKUP("timeout_jcc_normal",Calibration!$B:$B,Calibration!$C:$C,14),
     OR(C245="G",C245="J"),XLOOKUP("timeout_duochrome_normal",Calibration!$B:$B,Calibration!$C:$C,10),
     C245="K",XLOOKUP("timeout_bino_normal",Calibration!$B:$B,Calibration!$C:$C,14),
     OR(C245="P",C245="Q",C245="R"),XLOOKUP("timeout_near_normal",Calibration!$B:$B,Calibration!$C:$C,22),
     TRUE,XLOOKUP("timeout_coarse_normal",Calibration!$B:$B,Calibration!$C:$C,36)
   ),
 TRUE,
   IFS(
     OR(C245="B",C245="D"),XLOOKUP("timeout_coarse_slow",Calibration!$B:$B,Calibration!$C:$C,48),
     OR(C245="E",C245="F",C245="H",C245="I"),XLOOKUP("timeout_jcc_slow",Calibration!$B:$B,Calibration!$C:$C,18),
     OR(C245="G",C245="J"),XLOOKUP("timeout_duochrome_slow",Calibration!$B:$B,Calibration!$C:$C,12),
     C245="K",XLOOKUP("timeout_bino_slow",Calibration!$B:$B,Calibration!$C:$C,18),
     OR(C245="P",C245="Q",C245="R"),XLOOKUP("timeout_near_slow",Calibration!$B:$B,Calibration!$C:$C,28),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AJ245=TRUE,"ESCALATE",
C245="A",
IF(OR(I245="NOT_READABLE",I245="BLURRY",AND(R245="20_20_20",I245="READABLE")),"B","A"),
C245="B",
IF(reEsc,"ESCALATE",IF(AY245&gt;=phaseMax,"ESCALATE",IF(AND(AV245&gt;=AW245,I245="READABLE"),"E","B"))),
C245="E",
IF(AY245&gt;=phaseMax,"ESCALATE",IF(OR(I245="SAME",I245="CANT_TELL",AD245&lt;axisTol),"F","E")),
C245="F",
IF(AY245&gt;=phaseMax,"ESCALATE",IF(AX245&gt;=powerSameN,"G","F")),
C245="G",
IF(AY245&gt;=phaseMax,"ESCALATE",IF(OR(AX245&gt;=duoEqualN,BB245&gt;=duoMax),"D","G")),
C245="D",
IF(leEsc,"ESCALATE",IF(AY245&gt;=phaseMax,"ESCALATE",IF(AND(AV245&gt;=AW245,I245="READABLE"),"H","D"))),
C245="H",
IF(AY245&gt;=phaseMax,"ESCALATE",IF(OR(I245="SAME",I245="CANT_TELL",AD245&lt;axisTol),"I","H")),
C245="I",
IF(AY245&gt;=phaseMax,"ESCALATE",IF(AX245&gt;=powerSameN,"J","I")),
C245="J",
IF(AY245&gt;=phaseMax,"ESCALATE",IF(OR(AX245&gt;=duoEqualN,BB245&gt;=duoMax),"K","J")),
C245="K",
IF(AY245&gt;=phaseMax,"ESCALATE",IF(AX245&gt;=binoSameN,IF(XLOOKUP($B245,Derived_Variables!$A:$A,Derived_Variables!$AJ:$AJ,FALSE)=TRUE,"P","END"),"K")),
C245="P",
IF(AY245&gt;=phaseMax,"ESCALATE",IF(OR(I245="READABLE",I245="SAME"),"Q","P")),
C245="Q",
IF(AY245&gt;=phaseMax,"ESCALATE",IF(OR(I245="READABLE",I245="SAME"),"R","Q")),
C245="R",
IF(AY245&gt;=phaseMax,"ESCALATE",IF(OR(I245=nearTarget,I245="SAME"),"END","R")),
TRUE,"END"
)))</f>
        <v/>
      </c>
      <c r="BD245" s="28" t="b">
        <f t="shared" si="19"/>
        <v>0</v>
      </c>
    </row>
    <row r="246" ht="15.75" customHeight="1">
      <c r="A246" s="28">
        <f t="shared" si="3"/>
        <v>245</v>
      </c>
      <c r="B246" s="28">
        <f t="shared" si="4"/>
        <v>6</v>
      </c>
      <c r="C246" s="28" t="str">
        <f t="shared" si="5"/>
        <v/>
      </c>
      <c r="D246" s="28" t="str">
        <f t="array" ref="D246">IF($I245="","",XLOOKUP(C246,FSM_State_Map!A:A,FSM_State_Map!B:B,""))</f>
        <v/>
      </c>
      <c r="E246" s="28" t="str">
        <f t="array" ref="E246">IF($I245="","",XLOOKUP(C246,FSM_State_Map!A:A,FSM_State_Map!C:C,""))</f>
        <v/>
      </c>
      <c r="F246" s="28" t="str">
        <f t="array" ref="F246">IF($I245="","",XLOOKUP(E246,Phase_UI_Map!A:A,Phase_UI_Map!B:B,""))</f>
        <v/>
      </c>
      <c r="G246" s="28" t="str">
        <f t="array" ref="G246">IF($I245="","",XLOOKUP(E246,Phase_UI_Map!A:A,Phase_UI_Map!C:C,""))</f>
        <v/>
      </c>
      <c r="H246" s="28" t="str">
        <f t="array" ref="H246">IF($I245="","",XLOOKUP(E246,Phase_UI_Map!A:A,Phase_UI_Map!D:D,""))</f>
        <v/>
      </c>
      <c r="I246" s="29"/>
      <c r="J246" s="28" t="str">
        <f>IFERROR(__xludf.DUMMYFUNCTION("IF($I245="""","""",IFERROR(INDEX(FILTER(Response_Lists!$B:$B,Response_Lists!$A:$A=$H246),1),""""))"),"")</f>
        <v/>
      </c>
      <c r="K246" s="28" t="str">
        <f>IFERROR(__xludf.DUMMYFUNCTION("IF($I245="""","""",IFERROR(INDEX(FILTER(Response_Lists!$B:$B,Response_Lists!$A:$A=$H246),2),""""))"),"")</f>
        <v/>
      </c>
      <c r="L246" s="28" t="str">
        <f>IFERROR(__xludf.DUMMYFUNCTION("IF($I245="""","""",IFERROR(INDEX(FILTER(Response_Lists!$B:$B,Response_Lists!$A:$A=$H246),3),""""))"),"")</f>
        <v/>
      </c>
      <c r="M246" s="28" t="str">
        <f>IFERROR(__xludf.DUMMYFUNCTION("IF($I245="""","""",IFERROR(INDEX(FILTER(Response_Lists!$B:$B,Response_Lists!$A:$A=$H246),4),""""))"),"")</f>
        <v/>
      </c>
      <c r="N246" s="28" t="str">
        <f>IFERROR(__xludf.DUMMYFUNCTION("IF($I245="""","""",IFERROR(INDEX(FILTER(Response_Lists!$B:$B,Response_Lists!$A:$A=$H246),5),""""))"),"")</f>
        <v/>
      </c>
      <c r="O246" s="28" t="str">
        <f>IFERROR(__xludf.DUMMYFUNCTION("IF($I245="""","""",IFERROR(INDEX(FILTER(Response_Lists!$B:$B,Response_Lists!$A:$A=$H246),6),""""))"),"")</f>
        <v/>
      </c>
      <c r="P246" s="28" t="str">
        <f t="shared" si="6"/>
        <v/>
      </c>
      <c r="Q246" s="28" t="str">
        <f t="array" ref="Q246">IF($I245="","",XLOOKUP(C246,FSM_State_Map!A:A,FSM_State_Map!D:D,""))</f>
        <v/>
      </c>
      <c r="R246" s="28" t="str">
        <f t="shared" si="7"/>
        <v/>
      </c>
      <c r="S246" s="28" t="str">
        <f t="array" ref="S246">IF($I245="","",
IF(
  AND(C246="B",C245&lt;&gt;"B"),
  XLOOKUP($B246,Derived_Variables!$A:$A,Derived_Variables!$K:$K,0)
  + XLOOKUP($B246,Derived_Variables!$A:$A,Derived_Variables!$AE:$AE,0),
  S245+AM245
))</f>
        <v/>
      </c>
      <c r="T246" s="28" t="str">
        <f t="shared" ref="T246:U246" si="502">IF($I245="","",T245+AN245)</f>
        <v/>
      </c>
      <c r="U246" s="28" t="str">
        <f t="shared" si="502"/>
        <v/>
      </c>
      <c r="V246" s="28" t="str">
        <f t="array" ref="V246">IF($I245="","",
IF(
  AND(C246="D",C245&lt;&gt;"D"),
  XLOOKUP($B246,Derived_Variables!$A:$A,Derived_Variables!$N:$N,0)
  + XLOOKUP($B246,Derived_Variables!$A:$A,Derived_Variables!$AE:$AE,0),
  V245+AP245
))</f>
        <v/>
      </c>
      <c r="W246" s="28" t="str">
        <f t="shared" ref="W246:X246" si="503">IF($I245="","",W245+AQ245)</f>
        <v/>
      </c>
      <c r="X246" s="28" t="str">
        <f t="shared" si="503"/>
        <v/>
      </c>
      <c r="Y246" s="28" t="str">
        <f t="array" ref="Y246">IF($I245="","",IF(AND(C246="P",C245&lt;&gt;"P"),IFERROR(XLOOKUP($B246,Lenso_Input!$A:$A,Lenso_Input!$E:$E,0),0),Y245+AS245))</f>
        <v/>
      </c>
      <c r="Z246" s="28" t="str">
        <f t="array" ref="Z246">IF($I245="","",IF(AND(C246="Q",C245&lt;&gt;"Q"),IFERROR(XLOOKUP($B246,Lenso_Input!$A:$A,Lenso_Input!$I:$I,0),0),Z245+AT245))</f>
        <v/>
      </c>
      <c r="AA246" s="28" t="str">
        <f t="array" ref="AA246">IF($I245="","",IF(XLOOKUP($B246,Derived_Variables!$A:$A,Derived_Variables!$R:$R,"6/6_target")="6/6_target","20_20_20","40_30_25"))</f>
        <v/>
      </c>
      <c r="AB246" s="28" t="str">
        <f t="array" ref="AB246">IF($I245="","",XLOOKUP(LOWER(XLOOKUP($B246,Derived_Variables!$A:$A,Derived_Variables!$T:$T,"Standard"))&amp;"_sph_step",Calibration!$B:$B,Calibration!$C:$C,0.25))</f>
        <v/>
      </c>
      <c r="AC246" s="28" t="str">
        <f t="array" ref="AC246">IF($I245="","",XLOOKUP(LOWER(XLOOKUP($B246,Derived_Variables!$A:$A,Derived_Variables!$T:$T,"Standard"))&amp;"_cyl_step",Calibration!$B:$B,Calibration!$C:$C,0.25))</f>
        <v/>
      </c>
      <c r="AD246" s="28" t="str">
        <f t="array" ref="AD246">IF($I245="","",IF(OR(C246="E",C246="H"),LET(startStep,XLOOKUP("axis_start_step",Calibration!$B:$B,Calibration!$C:$C,5),step1,XLOOKUP("axis_reversal_step_1",Calibration!$B:$B,Calibration!$C:$C,3),step2,XLOOKUP("axis_reversal_step_2",Calibration!$B:$B,Calibration!$C:$C,1),IF(OR(C245&lt;&gt;C246,AZ246="",AZ246="SAME",AZ246="CANT_TELL",I246="",I246="SAME",I246="CANT_TELL"),startStep,IF(OR(AND(AZ246="BETTER_1",I246="BETTER_2"),AND(AZ246="BETTER_2",I246="BETTER_1")),IF(AD245&gt;step1,step1,step2),AD245))),0))</f>
        <v/>
      </c>
      <c r="AE246" s="28" t="str">
        <f t="array" ref="AE246">IF($I245="","",XLOOKUP($B246,Derived_Variables!$A:$A,Derived_Variables!$AD:$AD,"No_Fog"))</f>
        <v/>
      </c>
      <c r="AF246" s="28" t="str">
        <f t="array" ref="AF246">IF($I245="","",XLOOKUP($B246,Derived_Variables!$A:$A,Derived_Variables!$AE:$AE,0))</f>
        <v/>
      </c>
      <c r="AG246" s="28" t="str">
        <f t="array" ref="AG246">IF($I245="","",XLOOKUP($B246,Derived_Variables!$A:$A,Derived_Variables!$AF:$AF,""))</f>
        <v/>
      </c>
      <c r="AH246" s="28" t="str">
        <f t="array" ref="AH246">IF($I245="","",XLOOKUP($B246,Derived_Variables!$A:$A,Derived_Variables!$AG:$AG,""))</f>
        <v/>
      </c>
      <c r="AI246" s="28" t="str">
        <f t="array" ref="AI246">IF($I245="","",XLOOKUP($B246,Derived_Variables!$A:$A,Derived_Variables!$AC:$AC,"Medium"))</f>
        <v/>
      </c>
      <c r="AJ246" s="28" t="str">
        <f t="array" ref="AJ246">IF($I245="","",XLOOKUP($B246,Derived_Variables!$A:$A,Derived_Variables!$Y:$Y,FALSE))</f>
        <v/>
      </c>
      <c r="AK246" s="28" t="str">
        <f t="array" ref="AK246">IF($I245="","",XLOOKUP($B246,Derived_Variables!$A:$A,Derived_Variables!$AA:$AA,"Normal"))</f>
        <v/>
      </c>
      <c r="AL246" s="28" t="str">
        <f t="array" ref="AL246">IF($I245="","",XLOOKUP($B246,Derived_Variables!$A:$A,Derived_Variables!$AB:$AB,"Normal"))</f>
        <v/>
      </c>
      <c r="AM246" s="28" t="str">
        <f t="array" ref="AM246">IF($I246="","",IFS(C246="B",IF(OR(I246="NOT_READABLE",I246="BLURRY"),-AB246,0),C246="G",IFS(I246="RED_CLEARER",XLOOKUP("duochrome_red_step",Calibration!$B:$B,Calibration!$C:$C,-0.25),I246="GREEN_CLEARER",XLOOKUP("duochrome_green_step",Calibration!$B:$B,Calibration!$C:$C,0.25),I246="EQUAL",IF(XLOOKUP($B246,Derived_Variables!$A:$A,Derived_Variables!$S:$S,"Neutral")="Undercorrect",XLOOKUP("undercorrect_step",Calibration!$B:$B,Calibration!$C:$C,0.25),IF(XLOOKUP($B246,Derived_Variables!$A:$A,Derived_Variables!$S:$S,"Neutral")="Overcorrect",-XLOOKUP("overcorrect_step",Calibration!$B:$B,Calibration!$C:$C,0.25),0)),TRUE,0),C246="K",IF(I246="TOP_CLEARER",XLOOKUP("bino_balance_step",Calibration!$B:$B,Calibration!$C:$C,0.25),0),TRUE,0))</f>
        <v/>
      </c>
      <c r="AN246" s="28" t="str">
        <f t="shared" si="10"/>
        <v/>
      </c>
      <c r="AO246" s="28" t="str">
        <f t="shared" si="11"/>
        <v/>
      </c>
      <c r="AP246" s="28" t="str">
        <f t="array" ref="AP246">IF($I246="","",IFS(C246="D",IF(OR(I246="NOT_READABLE",I246="BLURRY"),-AB246,0),C246="J",IFS(I246="RED_CLEARER",XLOOKUP("duochrome_red_step",Calibration!$B:$B,Calibration!$C:$C,-0.25),I246="GREEN_CLEARER",XLOOKUP("duochrome_green_step",Calibration!$B:$B,Calibration!$C:$C,0.25),I246="EQUAL",IF(XLOOKUP($B246,Derived_Variables!$A:$A,Derived_Variables!$S:$S,"Neutral")="Undercorrect",XLOOKUP("undercorrect_step",Calibration!$B:$B,Calibration!$C:$C,0.25),IF(XLOOKUP($B246,Derived_Variables!$A:$A,Derived_Variables!$S:$S,"Neutral")="Overcorrect",-XLOOKUP("overcorrect_step",Calibration!$B:$B,Calibration!$C:$C,0.25),0)),TRUE,0),C246="K",IF(I246="BOTTOM_CLEARER",XLOOKUP("bino_balance_step",Calibration!$B:$B,Calibration!$C:$C,0.25),0),TRUE,0))</f>
        <v/>
      </c>
      <c r="AQ246" s="28" t="str">
        <f t="shared" si="12"/>
        <v/>
      </c>
      <c r="AR246" s="28" t="str">
        <f t="shared" si="13"/>
        <v/>
      </c>
      <c r="AS246" s="28" t="str">
        <f t="array" ref="AS246">IF($I246="","",IF(C246="P",IF(OR(I246="NOT_READABLE",I246="BLURRY"),XLOOKUP("near_add_step",Calibration!$B:$B,Calibration!$C:$C,0.25),0),IF(C246="R",IF(I246="NOT_CLEAR",XLOOKUP("near_add_step",Calibration!$B:$B,Calibration!$C:$C,0.25),0),0)))</f>
        <v/>
      </c>
      <c r="AT246" s="28" t="str">
        <f t="array" ref="AT246">IF($I246="","",IF(C246="Q",IF(OR(I246="NOT_READABLE",I246="BLURRY"),XLOOKUP("near_add_step",Calibration!$B:$B,Calibration!$C:$C,0.25),0),IF(C246="R",IF(I246="NOT_CLEAR",XLOOKUP("near_add_step",Calibration!$B:$B,Calibration!$C:$C,0.25),0),0)))</f>
        <v/>
      </c>
      <c r="AU246" s="28" t="str">
        <f t="array" ref="AU246">IF($I246="","",IF(G246="SNELLEN_FEET",IF(I246="READABLE",IFERROR(XLOOKUP(XLOOKUP(R246,Chart_Scale_Distance!B:B,Chart_Scale_Distance!A:A)+1,Chart_Scale_Distance!A:A,Chart_Scale_Distance!B:B),R246),R246),R246))</f>
        <v/>
      </c>
      <c r="AV246" s="28" t="str">
        <f t="array" ref="AV246">IF($I245="","",IFERROR(XLOOKUP(R246,Chart_Scale_Distance!$B:$B,Chart_Scale_Distance!$A:$A,""),""))</f>
        <v/>
      </c>
      <c r="AW246" s="28" t="str">
        <f t="array" ref="AW246">IF($I245="","",IFERROR(XLOOKUP(AA246,Chart_Scale_Distance!$B:$B,Chart_Scale_Distance!$A:$A,""),""))</f>
        <v/>
      </c>
      <c r="AX246" s="28" t="str">
        <f t="shared" si="14"/>
        <v/>
      </c>
      <c r="AY246" s="28" t="str">
        <f t="shared" si="15"/>
        <v/>
      </c>
      <c r="AZ246" s="28" t="str">
        <f t="shared" si="16"/>
        <v/>
      </c>
      <c r="BA246" s="28" t="str">
        <f t="shared" si="17"/>
        <v/>
      </c>
      <c r="BB246" s="28" t="str">
        <f t="shared" si="18"/>
        <v/>
      </c>
      <c r="BC246" s="28" t="str">
        <f t="array" ref="BC246">IF($I246="","",LET(
conf,AI246,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duoMax,XLOOKUP($B246,Derived_Variables!$A:$A,Derived_Variables!$AI:$AI,4),
axisTol,XLOOKUP($B246,Derived_Variables!$A:$A,Derived_Variables!$W:$W,1),
maxStart,XLOOKUP($B246,Derived_Variables!$A:$A,Derived_Variables!$U:$U,1.25),
maxAR,XLOOKUP($B246,Derived_Variables!$A:$A,Derived_Variables!$V:$V,3),
anom,XLOOKUP($B246,Derived_Variables!$A:$A,Derived_Variables!$Z:$Z,FALSE),
reStart,XLOOKUP($B246,Derived_Variables!$A:$A,Derived_Variables!$K:$K,0),
leStart,XLOOKUP($B246,Derived_Variables!$A:$A,Derived_Variables!$N:$N,0),
reAR,XLOOKUP($B246,AR_Input!$A:$A,AR_Input!$B:$B,reStart),
leAR,XLOOKUP($B246,AR_Input!$A:$A,AR_Input!$E:$E,leStart),
reEsc,AND(anom,OR(ABS((S246+AM246)-reStart)&gt;maxStart,ABS((S246+AM246)-reAR)&gt;maxAR)),
leEsc,AND(anom,OR(ABS((V246+AP246)-leStart)&gt;maxStart,ABS((V246+AP246)-leAR)&gt;maxAR)),
phaseMax,IFS(
 AK246="Fast",
   IFS(
     OR(C246="B",C246="D"),XLOOKUP("timeout_coarse_fast",Calibration!$B:$B,Calibration!$C:$C,24),
     OR(C246="E",C246="F",C246="H",C246="I"),XLOOKUP("timeout_jcc_fast",Calibration!$B:$B,Calibration!$C:$C,10),
     OR(C246="G",C246="J"),XLOOKUP("timeout_duochrome_fast",Calibration!$B:$B,Calibration!$C:$C,8),
     C246="K",XLOOKUP("timeout_bino_fast",Calibration!$B:$B,Calibration!$C:$C,10),
     OR(C246="P",C246="Q",C246="R"),XLOOKUP("timeout_near_fast",Calibration!$B:$B,Calibration!$C:$C,16),
     TRUE,XLOOKUP("timeout_coarse_fast",Calibration!$B:$B,Calibration!$C:$C,24)
   ),
 AK246="Normal",
   IFS(
     OR(C246="B",C246="D"),XLOOKUP("timeout_coarse_normal",Calibration!$B:$B,Calibration!$C:$C,36),
     OR(C246="E",C246="F",C246="H",C246="I"),XLOOKUP("timeout_jcc_normal",Calibration!$B:$B,Calibration!$C:$C,14),
     OR(C246="G",C246="J"),XLOOKUP("timeout_duochrome_normal",Calibration!$B:$B,Calibration!$C:$C,10),
     C246="K",XLOOKUP("timeout_bino_normal",Calibration!$B:$B,Calibration!$C:$C,14),
     OR(C246="P",C246="Q",C246="R"),XLOOKUP("timeout_near_normal",Calibration!$B:$B,Calibration!$C:$C,22),
     TRUE,XLOOKUP("timeout_coarse_normal",Calibration!$B:$B,Calibration!$C:$C,36)
   ),
 TRUE,
   IFS(
     OR(C246="B",C246="D"),XLOOKUP("timeout_coarse_slow",Calibration!$B:$B,Calibration!$C:$C,48),
     OR(C246="E",C246="F",C246="H",C246="I"),XLOOKUP("timeout_jcc_slow",Calibration!$B:$B,Calibration!$C:$C,18),
     OR(C246="G",C246="J"),XLOOKUP("timeout_duochrome_slow",Calibration!$B:$B,Calibration!$C:$C,12),
     C246="K",XLOOKUP("timeout_bino_slow",Calibration!$B:$B,Calibration!$C:$C,18),
     OR(C246="P",C246="Q",C246="R"),XLOOKUP("timeout_near_slow",Calibration!$B:$B,Calibration!$C:$C,28),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AJ246=TRUE,"ESCALATE",
C246="A",
IF(OR(I246="NOT_READABLE",I246="BLURRY",AND(R246="20_20_20",I246="READABLE")),"B","A"),
C246="B",
IF(reEsc,"ESCALATE",IF(AY246&gt;=phaseMax,"ESCALATE",IF(AND(AV246&gt;=AW246,I246="READABLE"),"E","B"))),
C246="E",
IF(AY246&gt;=phaseMax,"ESCALATE",IF(OR(I246="SAME",I246="CANT_TELL",AD246&lt;axisTol),"F","E")),
C246="F",
IF(AY246&gt;=phaseMax,"ESCALATE",IF(AX246&gt;=powerSameN,"G","F")),
C246="G",
IF(AY246&gt;=phaseMax,"ESCALATE",IF(OR(AX246&gt;=duoEqualN,BB246&gt;=duoMax),"D","G")),
C246="D",
IF(leEsc,"ESCALATE",IF(AY246&gt;=phaseMax,"ESCALATE",IF(AND(AV246&gt;=AW246,I246="READABLE"),"H","D"))),
C246="H",
IF(AY246&gt;=phaseMax,"ESCALATE",IF(OR(I246="SAME",I246="CANT_TELL",AD246&lt;axisTol),"I","H")),
C246="I",
IF(AY246&gt;=phaseMax,"ESCALATE",IF(AX246&gt;=powerSameN,"J","I")),
C246="J",
IF(AY246&gt;=phaseMax,"ESCALATE",IF(OR(AX246&gt;=duoEqualN,BB246&gt;=duoMax),"K","J")),
C246="K",
IF(AY246&gt;=phaseMax,"ESCALATE",IF(AX246&gt;=binoSameN,IF(XLOOKUP($B246,Derived_Variables!$A:$A,Derived_Variables!$AJ:$AJ,FALSE)=TRUE,"P","END"),"K")),
C246="P",
IF(AY246&gt;=phaseMax,"ESCALATE",IF(OR(I246="READABLE",I246="SAME"),"Q","P")),
C246="Q",
IF(AY246&gt;=phaseMax,"ESCALATE",IF(OR(I246="READABLE",I246="SAME"),"R","Q")),
C246="R",
IF(AY246&gt;=phaseMax,"ESCALATE",IF(OR(I246=nearTarget,I246="SAME"),"END","R")),
TRUE,"END"
)))</f>
        <v/>
      </c>
      <c r="BD246" s="28" t="b">
        <f t="shared" si="19"/>
        <v>0</v>
      </c>
    </row>
    <row r="247" ht="15.75" customHeight="1">
      <c r="A247" s="28">
        <f t="shared" si="3"/>
        <v>246</v>
      </c>
      <c r="B247" s="28">
        <f t="shared" si="4"/>
        <v>6</v>
      </c>
      <c r="C247" s="28" t="str">
        <f t="shared" si="5"/>
        <v/>
      </c>
      <c r="D247" s="28" t="str">
        <f t="array" ref="D247">IF($I246="","",XLOOKUP(C247,FSM_State_Map!A:A,FSM_State_Map!B:B,""))</f>
        <v/>
      </c>
      <c r="E247" s="28" t="str">
        <f t="array" ref="E247">IF($I246="","",XLOOKUP(C247,FSM_State_Map!A:A,FSM_State_Map!C:C,""))</f>
        <v/>
      </c>
      <c r="F247" s="28" t="str">
        <f t="array" ref="F247">IF($I246="","",XLOOKUP(E247,Phase_UI_Map!A:A,Phase_UI_Map!B:B,""))</f>
        <v/>
      </c>
      <c r="G247" s="28" t="str">
        <f t="array" ref="G247">IF($I246="","",XLOOKUP(E247,Phase_UI_Map!A:A,Phase_UI_Map!C:C,""))</f>
        <v/>
      </c>
      <c r="H247" s="28" t="str">
        <f t="array" ref="H247">IF($I246="","",XLOOKUP(E247,Phase_UI_Map!A:A,Phase_UI_Map!D:D,""))</f>
        <v/>
      </c>
      <c r="I247" s="29"/>
      <c r="J247" s="28" t="str">
        <f>IFERROR(__xludf.DUMMYFUNCTION("IF($I246="""","""",IFERROR(INDEX(FILTER(Response_Lists!$B:$B,Response_Lists!$A:$A=$H247),1),""""))"),"")</f>
        <v/>
      </c>
      <c r="K247" s="28" t="str">
        <f>IFERROR(__xludf.DUMMYFUNCTION("IF($I246="""","""",IFERROR(INDEX(FILTER(Response_Lists!$B:$B,Response_Lists!$A:$A=$H247),2),""""))"),"")</f>
        <v/>
      </c>
      <c r="L247" s="28" t="str">
        <f>IFERROR(__xludf.DUMMYFUNCTION("IF($I246="""","""",IFERROR(INDEX(FILTER(Response_Lists!$B:$B,Response_Lists!$A:$A=$H247),3),""""))"),"")</f>
        <v/>
      </c>
      <c r="M247" s="28" t="str">
        <f>IFERROR(__xludf.DUMMYFUNCTION("IF($I246="""","""",IFERROR(INDEX(FILTER(Response_Lists!$B:$B,Response_Lists!$A:$A=$H247),4),""""))"),"")</f>
        <v/>
      </c>
      <c r="N247" s="28" t="str">
        <f>IFERROR(__xludf.DUMMYFUNCTION("IF($I246="""","""",IFERROR(INDEX(FILTER(Response_Lists!$B:$B,Response_Lists!$A:$A=$H247),5),""""))"),"")</f>
        <v/>
      </c>
      <c r="O247" s="28" t="str">
        <f>IFERROR(__xludf.DUMMYFUNCTION("IF($I246="""","""",IFERROR(INDEX(FILTER(Response_Lists!$B:$B,Response_Lists!$A:$A=$H247),6),""""))"),"")</f>
        <v/>
      </c>
      <c r="P247" s="28" t="str">
        <f t="shared" si="6"/>
        <v/>
      </c>
      <c r="Q247" s="28" t="str">
        <f t="array" ref="Q247">IF($I246="","",XLOOKUP(C247,FSM_State_Map!A:A,FSM_State_Map!D:D,""))</f>
        <v/>
      </c>
      <c r="R247" s="28" t="str">
        <f t="shared" si="7"/>
        <v/>
      </c>
      <c r="S247" s="28" t="str">
        <f t="array" ref="S247">IF($I246="","",
IF(
  AND(C247="B",C246&lt;&gt;"B"),
  XLOOKUP($B247,Derived_Variables!$A:$A,Derived_Variables!$K:$K,0)
  + XLOOKUP($B247,Derived_Variables!$A:$A,Derived_Variables!$AE:$AE,0),
  S246+AM246
))</f>
        <v/>
      </c>
      <c r="T247" s="28" t="str">
        <f t="shared" ref="T247:U247" si="504">IF($I246="","",T246+AN246)</f>
        <v/>
      </c>
      <c r="U247" s="28" t="str">
        <f t="shared" si="504"/>
        <v/>
      </c>
      <c r="V247" s="28" t="str">
        <f t="array" ref="V247">IF($I246="","",
IF(
  AND(C247="D",C246&lt;&gt;"D"),
  XLOOKUP($B247,Derived_Variables!$A:$A,Derived_Variables!$N:$N,0)
  + XLOOKUP($B247,Derived_Variables!$A:$A,Derived_Variables!$AE:$AE,0),
  V246+AP246
))</f>
        <v/>
      </c>
      <c r="W247" s="28" t="str">
        <f t="shared" ref="W247:X247" si="505">IF($I246="","",W246+AQ246)</f>
        <v/>
      </c>
      <c r="X247" s="28" t="str">
        <f t="shared" si="505"/>
        <v/>
      </c>
      <c r="Y247" s="28" t="str">
        <f t="array" ref="Y247">IF($I246="","",IF(AND(C247="P",C246&lt;&gt;"P"),IFERROR(XLOOKUP($B247,Lenso_Input!$A:$A,Lenso_Input!$E:$E,0),0),Y246+AS246))</f>
        <v/>
      </c>
      <c r="Z247" s="28" t="str">
        <f t="array" ref="Z247">IF($I246="","",IF(AND(C247="Q",C246&lt;&gt;"Q"),IFERROR(XLOOKUP($B247,Lenso_Input!$A:$A,Lenso_Input!$I:$I,0),0),Z246+AT246))</f>
        <v/>
      </c>
      <c r="AA247" s="28" t="str">
        <f t="array" ref="AA247">IF($I246="","",IF(XLOOKUP($B247,Derived_Variables!$A:$A,Derived_Variables!$R:$R,"6/6_target")="6/6_target","20_20_20","40_30_25"))</f>
        <v/>
      </c>
      <c r="AB247" s="28" t="str">
        <f t="array" ref="AB247">IF($I246="","",XLOOKUP(LOWER(XLOOKUP($B247,Derived_Variables!$A:$A,Derived_Variables!$T:$T,"Standard"))&amp;"_sph_step",Calibration!$B:$B,Calibration!$C:$C,0.25))</f>
        <v/>
      </c>
      <c r="AC247" s="28" t="str">
        <f t="array" ref="AC247">IF($I246="","",XLOOKUP(LOWER(XLOOKUP($B247,Derived_Variables!$A:$A,Derived_Variables!$T:$T,"Standard"))&amp;"_cyl_step",Calibration!$B:$B,Calibration!$C:$C,0.25))</f>
        <v/>
      </c>
      <c r="AD247" s="28" t="str">
        <f t="array" ref="AD247">IF($I246="","",IF(OR(C247="E",C247="H"),LET(startStep,XLOOKUP("axis_start_step",Calibration!$B:$B,Calibration!$C:$C,5),step1,XLOOKUP("axis_reversal_step_1",Calibration!$B:$B,Calibration!$C:$C,3),step2,XLOOKUP("axis_reversal_step_2",Calibration!$B:$B,Calibration!$C:$C,1),IF(OR(C246&lt;&gt;C247,AZ247="",AZ247="SAME",AZ247="CANT_TELL",I247="",I247="SAME",I247="CANT_TELL"),startStep,IF(OR(AND(AZ247="BETTER_1",I247="BETTER_2"),AND(AZ247="BETTER_2",I247="BETTER_1")),IF(AD246&gt;step1,step1,step2),AD246))),0))</f>
        <v/>
      </c>
      <c r="AE247" s="28" t="str">
        <f t="array" ref="AE247">IF($I246="","",XLOOKUP($B247,Derived_Variables!$A:$A,Derived_Variables!$AD:$AD,"No_Fog"))</f>
        <v/>
      </c>
      <c r="AF247" s="28" t="str">
        <f t="array" ref="AF247">IF($I246="","",XLOOKUP($B247,Derived_Variables!$A:$A,Derived_Variables!$AE:$AE,0))</f>
        <v/>
      </c>
      <c r="AG247" s="28" t="str">
        <f t="array" ref="AG247">IF($I246="","",XLOOKUP($B247,Derived_Variables!$A:$A,Derived_Variables!$AF:$AF,""))</f>
        <v/>
      </c>
      <c r="AH247" s="28" t="str">
        <f t="array" ref="AH247">IF($I246="","",XLOOKUP($B247,Derived_Variables!$A:$A,Derived_Variables!$AG:$AG,""))</f>
        <v/>
      </c>
      <c r="AI247" s="28" t="str">
        <f t="array" ref="AI247">IF($I246="","",XLOOKUP($B247,Derived_Variables!$A:$A,Derived_Variables!$AC:$AC,"Medium"))</f>
        <v/>
      </c>
      <c r="AJ247" s="28" t="str">
        <f t="array" ref="AJ247">IF($I246="","",XLOOKUP($B247,Derived_Variables!$A:$A,Derived_Variables!$Y:$Y,FALSE))</f>
        <v/>
      </c>
      <c r="AK247" s="28" t="str">
        <f t="array" ref="AK247">IF($I246="","",XLOOKUP($B247,Derived_Variables!$A:$A,Derived_Variables!$AA:$AA,"Normal"))</f>
        <v/>
      </c>
      <c r="AL247" s="28" t="str">
        <f t="array" ref="AL247">IF($I246="","",XLOOKUP($B247,Derived_Variables!$A:$A,Derived_Variables!$AB:$AB,"Normal"))</f>
        <v/>
      </c>
      <c r="AM247" s="28" t="str">
        <f t="array" ref="AM247">IF($I247="","",IFS(C247="B",IF(OR(I247="NOT_READABLE",I247="BLURRY"),-AB247,0),C247="G",IFS(I247="RED_CLEARER",XLOOKUP("duochrome_red_step",Calibration!$B:$B,Calibration!$C:$C,-0.25),I247="GREEN_CLEARER",XLOOKUP("duochrome_green_step",Calibration!$B:$B,Calibration!$C:$C,0.25),I247="EQUAL",IF(XLOOKUP($B247,Derived_Variables!$A:$A,Derived_Variables!$S:$S,"Neutral")="Undercorrect",XLOOKUP("undercorrect_step",Calibration!$B:$B,Calibration!$C:$C,0.25),IF(XLOOKUP($B247,Derived_Variables!$A:$A,Derived_Variables!$S:$S,"Neutral")="Overcorrect",-XLOOKUP("overcorrect_step",Calibration!$B:$B,Calibration!$C:$C,0.25),0)),TRUE,0),C247="K",IF(I247="TOP_CLEARER",XLOOKUP("bino_balance_step",Calibration!$B:$B,Calibration!$C:$C,0.25),0),TRUE,0))</f>
        <v/>
      </c>
      <c r="AN247" s="28" t="str">
        <f t="shared" si="10"/>
        <v/>
      </c>
      <c r="AO247" s="28" t="str">
        <f t="shared" si="11"/>
        <v/>
      </c>
      <c r="AP247" s="28" t="str">
        <f t="array" ref="AP247">IF($I247="","",IFS(C247="D",IF(OR(I247="NOT_READABLE",I247="BLURRY"),-AB247,0),C247="J",IFS(I247="RED_CLEARER",XLOOKUP("duochrome_red_step",Calibration!$B:$B,Calibration!$C:$C,-0.25),I247="GREEN_CLEARER",XLOOKUP("duochrome_green_step",Calibration!$B:$B,Calibration!$C:$C,0.25),I247="EQUAL",IF(XLOOKUP($B247,Derived_Variables!$A:$A,Derived_Variables!$S:$S,"Neutral")="Undercorrect",XLOOKUP("undercorrect_step",Calibration!$B:$B,Calibration!$C:$C,0.25),IF(XLOOKUP($B247,Derived_Variables!$A:$A,Derived_Variables!$S:$S,"Neutral")="Overcorrect",-XLOOKUP("overcorrect_step",Calibration!$B:$B,Calibration!$C:$C,0.25),0)),TRUE,0),C247="K",IF(I247="BOTTOM_CLEARER",XLOOKUP("bino_balance_step",Calibration!$B:$B,Calibration!$C:$C,0.25),0),TRUE,0))</f>
        <v/>
      </c>
      <c r="AQ247" s="28" t="str">
        <f t="shared" si="12"/>
        <v/>
      </c>
      <c r="AR247" s="28" t="str">
        <f t="shared" si="13"/>
        <v/>
      </c>
      <c r="AS247" s="28" t="str">
        <f t="array" ref="AS247">IF($I247="","",IF(C247="P",IF(OR(I247="NOT_READABLE",I247="BLURRY"),XLOOKUP("near_add_step",Calibration!$B:$B,Calibration!$C:$C,0.25),0),IF(C247="R",IF(I247="NOT_CLEAR",XLOOKUP("near_add_step",Calibration!$B:$B,Calibration!$C:$C,0.25),0),0)))</f>
        <v/>
      </c>
      <c r="AT247" s="28" t="str">
        <f t="array" ref="AT247">IF($I247="","",IF(C247="Q",IF(OR(I247="NOT_READABLE",I247="BLURRY"),XLOOKUP("near_add_step",Calibration!$B:$B,Calibration!$C:$C,0.25),0),IF(C247="R",IF(I247="NOT_CLEAR",XLOOKUP("near_add_step",Calibration!$B:$B,Calibration!$C:$C,0.25),0),0)))</f>
        <v/>
      </c>
      <c r="AU247" s="28" t="str">
        <f t="array" ref="AU247">IF($I247="","",IF(G247="SNELLEN_FEET",IF(I247="READABLE",IFERROR(XLOOKUP(XLOOKUP(R247,Chart_Scale_Distance!B:B,Chart_Scale_Distance!A:A)+1,Chart_Scale_Distance!A:A,Chart_Scale_Distance!B:B),R247),R247),R247))</f>
        <v/>
      </c>
      <c r="AV247" s="28" t="str">
        <f t="array" ref="AV247">IF($I246="","",IFERROR(XLOOKUP(R247,Chart_Scale_Distance!$B:$B,Chart_Scale_Distance!$A:$A,""),""))</f>
        <v/>
      </c>
      <c r="AW247" s="28" t="str">
        <f t="array" ref="AW247">IF($I246="","",IFERROR(XLOOKUP(AA247,Chart_Scale_Distance!$B:$B,Chart_Scale_Distance!$A:$A,""),""))</f>
        <v/>
      </c>
      <c r="AX247" s="28" t="str">
        <f t="shared" si="14"/>
        <v/>
      </c>
      <c r="AY247" s="28" t="str">
        <f t="shared" si="15"/>
        <v/>
      </c>
      <c r="AZ247" s="28" t="str">
        <f t="shared" si="16"/>
        <v/>
      </c>
      <c r="BA247" s="28" t="str">
        <f t="shared" si="17"/>
        <v/>
      </c>
      <c r="BB247" s="28" t="str">
        <f t="shared" si="18"/>
        <v/>
      </c>
      <c r="BC247" s="28" t="str">
        <f t="array" ref="BC247">IF($I247="","",LET(
conf,AI247,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duoMax,XLOOKUP($B247,Derived_Variables!$A:$A,Derived_Variables!$AI:$AI,4),
axisTol,XLOOKUP($B247,Derived_Variables!$A:$A,Derived_Variables!$W:$W,1),
maxStart,XLOOKUP($B247,Derived_Variables!$A:$A,Derived_Variables!$U:$U,1.25),
maxAR,XLOOKUP($B247,Derived_Variables!$A:$A,Derived_Variables!$V:$V,3),
anom,XLOOKUP($B247,Derived_Variables!$A:$A,Derived_Variables!$Z:$Z,FALSE),
reStart,XLOOKUP($B247,Derived_Variables!$A:$A,Derived_Variables!$K:$K,0),
leStart,XLOOKUP($B247,Derived_Variables!$A:$A,Derived_Variables!$N:$N,0),
reAR,XLOOKUP($B247,AR_Input!$A:$A,AR_Input!$B:$B,reStart),
leAR,XLOOKUP($B247,AR_Input!$A:$A,AR_Input!$E:$E,leStart),
reEsc,AND(anom,OR(ABS((S247+AM247)-reStart)&gt;maxStart,ABS((S247+AM247)-reAR)&gt;maxAR)),
leEsc,AND(anom,OR(ABS((V247+AP247)-leStart)&gt;maxStart,ABS((V247+AP247)-leAR)&gt;maxAR)),
phaseMax,IFS(
 AK247="Fast",
   IFS(
     OR(C247="B",C247="D"),XLOOKUP("timeout_coarse_fast",Calibration!$B:$B,Calibration!$C:$C,24),
     OR(C247="E",C247="F",C247="H",C247="I"),XLOOKUP("timeout_jcc_fast",Calibration!$B:$B,Calibration!$C:$C,10),
     OR(C247="G",C247="J"),XLOOKUP("timeout_duochrome_fast",Calibration!$B:$B,Calibration!$C:$C,8),
     C247="K",XLOOKUP("timeout_bino_fast",Calibration!$B:$B,Calibration!$C:$C,10),
     OR(C247="P",C247="Q",C247="R"),XLOOKUP("timeout_near_fast",Calibration!$B:$B,Calibration!$C:$C,16),
     TRUE,XLOOKUP("timeout_coarse_fast",Calibration!$B:$B,Calibration!$C:$C,24)
   ),
 AK247="Normal",
   IFS(
     OR(C247="B",C247="D"),XLOOKUP("timeout_coarse_normal",Calibration!$B:$B,Calibration!$C:$C,36),
     OR(C247="E",C247="F",C247="H",C247="I"),XLOOKUP("timeout_jcc_normal",Calibration!$B:$B,Calibration!$C:$C,14),
     OR(C247="G",C247="J"),XLOOKUP("timeout_duochrome_normal",Calibration!$B:$B,Calibration!$C:$C,10),
     C247="K",XLOOKUP("timeout_bino_normal",Calibration!$B:$B,Calibration!$C:$C,14),
     OR(C247="P",C247="Q",C247="R"),XLOOKUP("timeout_near_normal",Calibration!$B:$B,Calibration!$C:$C,22),
     TRUE,XLOOKUP("timeout_coarse_normal",Calibration!$B:$B,Calibration!$C:$C,36)
   ),
 TRUE,
   IFS(
     OR(C247="B",C247="D"),XLOOKUP("timeout_coarse_slow",Calibration!$B:$B,Calibration!$C:$C,48),
     OR(C247="E",C247="F",C247="H",C247="I"),XLOOKUP("timeout_jcc_slow",Calibration!$B:$B,Calibration!$C:$C,18),
     OR(C247="G",C247="J"),XLOOKUP("timeout_duochrome_slow",Calibration!$B:$B,Calibration!$C:$C,12),
     C247="K",XLOOKUP("timeout_bino_slow",Calibration!$B:$B,Calibration!$C:$C,18),
     OR(C247="P",C247="Q",C247="R"),XLOOKUP("timeout_near_slow",Calibration!$B:$B,Calibration!$C:$C,28),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AJ247=TRUE,"ESCALATE",
C247="A",
IF(OR(I247="NOT_READABLE",I247="BLURRY",AND(R247="20_20_20",I247="READABLE")),"B","A"),
C247="B",
IF(reEsc,"ESCALATE",IF(AY247&gt;=phaseMax,"ESCALATE",IF(AND(AV247&gt;=AW247,I247="READABLE"),"E","B"))),
C247="E",
IF(AY247&gt;=phaseMax,"ESCALATE",IF(OR(I247="SAME",I247="CANT_TELL",AD247&lt;axisTol),"F","E")),
C247="F",
IF(AY247&gt;=phaseMax,"ESCALATE",IF(AX247&gt;=powerSameN,"G","F")),
C247="G",
IF(AY247&gt;=phaseMax,"ESCALATE",IF(OR(AX247&gt;=duoEqualN,BB247&gt;=duoMax),"D","G")),
C247="D",
IF(leEsc,"ESCALATE",IF(AY247&gt;=phaseMax,"ESCALATE",IF(AND(AV247&gt;=AW247,I247="READABLE"),"H","D"))),
C247="H",
IF(AY247&gt;=phaseMax,"ESCALATE",IF(OR(I247="SAME",I247="CANT_TELL",AD247&lt;axisTol),"I","H")),
C247="I",
IF(AY247&gt;=phaseMax,"ESCALATE",IF(AX247&gt;=powerSameN,"J","I")),
C247="J",
IF(AY247&gt;=phaseMax,"ESCALATE",IF(OR(AX247&gt;=duoEqualN,BB247&gt;=duoMax),"K","J")),
C247="K",
IF(AY247&gt;=phaseMax,"ESCALATE",IF(AX247&gt;=binoSameN,IF(XLOOKUP($B247,Derived_Variables!$A:$A,Derived_Variables!$AJ:$AJ,FALSE)=TRUE,"P","END"),"K")),
C247="P",
IF(AY247&gt;=phaseMax,"ESCALATE",IF(OR(I247="READABLE",I247="SAME"),"Q","P")),
C247="Q",
IF(AY247&gt;=phaseMax,"ESCALATE",IF(OR(I247="READABLE",I247="SAME"),"R","Q")),
C247="R",
IF(AY247&gt;=phaseMax,"ESCALATE",IF(OR(I247=nearTarget,I247="SAME"),"END","R")),
TRUE,"END"
)))</f>
        <v/>
      </c>
      <c r="BD247" s="28" t="b">
        <f t="shared" si="19"/>
        <v>0</v>
      </c>
    </row>
    <row r="248" ht="15.75" customHeight="1">
      <c r="A248" s="28">
        <f t="shared" si="3"/>
        <v>247</v>
      </c>
      <c r="B248" s="28">
        <f t="shared" si="4"/>
        <v>6</v>
      </c>
      <c r="C248" s="28" t="str">
        <f t="shared" si="5"/>
        <v/>
      </c>
      <c r="D248" s="28" t="str">
        <f t="array" ref="D248">IF($I247="","",XLOOKUP(C248,FSM_State_Map!A:A,FSM_State_Map!B:B,""))</f>
        <v/>
      </c>
      <c r="E248" s="28" t="str">
        <f t="array" ref="E248">IF($I247="","",XLOOKUP(C248,FSM_State_Map!A:A,FSM_State_Map!C:C,""))</f>
        <v/>
      </c>
      <c r="F248" s="28" t="str">
        <f t="array" ref="F248">IF($I247="","",XLOOKUP(E248,Phase_UI_Map!A:A,Phase_UI_Map!B:B,""))</f>
        <v/>
      </c>
      <c r="G248" s="28" t="str">
        <f t="array" ref="G248">IF($I247="","",XLOOKUP(E248,Phase_UI_Map!A:A,Phase_UI_Map!C:C,""))</f>
        <v/>
      </c>
      <c r="H248" s="28" t="str">
        <f t="array" ref="H248">IF($I247="","",XLOOKUP(E248,Phase_UI_Map!A:A,Phase_UI_Map!D:D,""))</f>
        <v/>
      </c>
      <c r="I248" s="29"/>
      <c r="J248" s="28" t="str">
        <f>IFERROR(__xludf.DUMMYFUNCTION("IF($I247="""","""",IFERROR(INDEX(FILTER(Response_Lists!$B:$B,Response_Lists!$A:$A=$H248),1),""""))"),"")</f>
        <v/>
      </c>
      <c r="K248" s="28" t="str">
        <f>IFERROR(__xludf.DUMMYFUNCTION("IF($I247="""","""",IFERROR(INDEX(FILTER(Response_Lists!$B:$B,Response_Lists!$A:$A=$H248),2),""""))"),"")</f>
        <v/>
      </c>
      <c r="L248" s="28" t="str">
        <f>IFERROR(__xludf.DUMMYFUNCTION("IF($I247="""","""",IFERROR(INDEX(FILTER(Response_Lists!$B:$B,Response_Lists!$A:$A=$H248),3),""""))"),"")</f>
        <v/>
      </c>
      <c r="M248" s="28" t="str">
        <f>IFERROR(__xludf.DUMMYFUNCTION("IF($I247="""","""",IFERROR(INDEX(FILTER(Response_Lists!$B:$B,Response_Lists!$A:$A=$H248),4),""""))"),"")</f>
        <v/>
      </c>
      <c r="N248" s="28" t="str">
        <f>IFERROR(__xludf.DUMMYFUNCTION("IF($I247="""","""",IFERROR(INDEX(FILTER(Response_Lists!$B:$B,Response_Lists!$A:$A=$H248),5),""""))"),"")</f>
        <v/>
      </c>
      <c r="O248" s="28" t="str">
        <f>IFERROR(__xludf.DUMMYFUNCTION("IF($I247="""","""",IFERROR(INDEX(FILTER(Response_Lists!$B:$B,Response_Lists!$A:$A=$H248),6),""""))"),"")</f>
        <v/>
      </c>
      <c r="P248" s="28" t="str">
        <f t="shared" si="6"/>
        <v/>
      </c>
      <c r="Q248" s="28" t="str">
        <f t="array" ref="Q248">IF($I247="","",XLOOKUP(C248,FSM_State_Map!A:A,FSM_State_Map!D:D,""))</f>
        <v/>
      </c>
      <c r="R248" s="28" t="str">
        <f t="shared" si="7"/>
        <v/>
      </c>
      <c r="S248" s="28" t="str">
        <f t="array" ref="S248">IF($I247="","",
IF(
  AND(C248="B",C247&lt;&gt;"B"),
  XLOOKUP($B248,Derived_Variables!$A:$A,Derived_Variables!$K:$K,0)
  + XLOOKUP($B248,Derived_Variables!$A:$A,Derived_Variables!$AE:$AE,0),
  S247+AM247
))</f>
        <v/>
      </c>
      <c r="T248" s="28" t="str">
        <f t="shared" ref="T248:U248" si="506">IF($I247="","",T247+AN247)</f>
        <v/>
      </c>
      <c r="U248" s="28" t="str">
        <f t="shared" si="506"/>
        <v/>
      </c>
      <c r="V248" s="28" t="str">
        <f t="array" ref="V248">IF($I247="","",
IF(
  AND(C248="D",C247&lt;&gt;"D"),
  XLOOKUP($B248,Derived_Variables!$A:$A,Derived_Variables!$N:$N,0)
  + XLOOKUP($B248,Derived_Variables!$A:$A,Derived_Variables!$AE:$AE,0),
  V247+AP247
))</f>
        <v/>
      </c>
      <c r="W248" s="28" t="str">
        <f t="shared" ref="W248:X248" si="507">IF($I247="","",W247+AQ247)</f>
        <v/>
      </c>
      <c r="X248" s="28" t="str">
        <f t="shared" si="507"/>
        <v/>
      </c>
      <c r="Y248" s="28" t="str">
        <f t="array" ref="Y248">IF($I247="","",IF(AND(C248="P",C247&lt;&gt;"P"),IFERROR(XLOOKUP($B248,Lenso_Input!$A:$A,Lenso_Input!$E:$E,0),0),Y247+AS247))</f>
        <v/>
      </c>
      <c r="Z248" s="28" t="str">
        <f t="array" ref="Z248">IF($I247="","",IF(AND(C248="Q",C247&lt;&gt;"Q"),IFERROR(XLOOKUP($B248,Lenso_Input!$A:$A,Lenso_Input!$I:$I,0),0),Z247+AT247))</f>
        <v/>
      </c>
      <c r="AA248" s="28" t="str">
        <f t="array" ref="AA248">IF($I247="","",IF(XLOOKUP($B248,Derived_Variables!$A:$A,Derived_Variables!$R:$R,"6/6_target")="6/6_target","20_20_20","40_30_25"))</f>
        <v/>
      </c>
      <c r="AB248" s="28" t="str">
        <f t="array" ref="AB248">IF($I247="","",XLOOKUP(LOWER(XLOOKUP($B248,Derived_Variables!$A:$A,Derived_Variables!$T:$T,"Standard"))&amp;"_sph_step",Calibration!$B:$B,Calibration!$C:$C,0.25))</f>
        <v/>
      </c>
      <c r="AC248" s="28" t="str">
        <f t="array" ref="AC248">IF($I247="","",XLOOKUP(LOWER(XLOOKUP($B248,Derived_Variables!$A:$A,Derived_Variables!$T:$T,"Standard"))&amp;"_cyl_step",Calibration!$B:$B,Calibration!$C:$C,0.25))</f>
        <v/>
      </c>
      <c r="AD248" s="28" t="str">
        <f t="array" ref="AD248">IF($I247="","",IF(OR(C248="E",C248="H"),LET(startStep,XLOOKUP("axis_start_step",Calibration!$B:$B,Calibration!$C:$C,5),step1,XLOOKUP("axis_reversal_step_1",Calibration!$B:$B,Calibration!$C:$C,3),step2,XLOOKUP("axis_reversal_step_2",Calibration!$B:$B,Calibration!$C:$C,1),IF(OR(C247&lt;&gt;C248,AZ248="",AZ248="SAME",AZ248="CANT_TELL",I248="",I248="SAME",I248="CANT_TELL"),startStep,IF(OR(AND(AZ248="BETTER_1",I248="BETTER_2"),AND(AZ248="BETTER_2",I248="BETTER_1")),IF(AD247&gt;step1,step1,step2),AD247))),0))</f>
        <v/>
      </c>
      <c r="AE248" s="28" t="str">
        <f t="array" ref="AE248">IF($I247="","",XLOOKUP($B248,Derived_Variables!$A:$A,Derived_Variables!$AD:$AD,"No_Fog"))</f>
        <v/>
      </c>
      <c r="AF248" s="28" t="str">
        <f t="array" ref="AF248">IF($I247="","",XLOOKUP($B248,Derived_Variables!$A:$A,Derived_Variables!$AE:$AE,0))</f>
        <v/>
      </c>
      <c r="AG248" s="28" t="str">
        <f t="array" ref="AG248">IF($I247="","",XLOOKUP($B248,Derived_Variables!$A:$A,Derived_Variables!$AF:$AF,""))</f>
        <v/>
      </c>
      <c r="AH248" s="28" t="str">
        <f t="array" ref="AH248">IF($I247="","",XLOOKUP($B248,Derived_Variables!$A:$A,Derived_Variables!$AG:$AG,""))</f>
        <v/>
      </c>
      <c r="AI248" s="28" t="str">
        <f t="array" ref="AI248">IF($I247="","",XLOOKUP($B248,Derived_Variables!$A:$A,Derived_Variables!$AC:$AC,"Medium"))</f>
        <v/>
      </c>
      <c r="AJ248" s="28" t="str">
        <f t="array" ref="AJ248">IF($I247="","",XLOOKUP($B248,Derived_Variables!$A:$A,Derived_Variables!$Y:$Y,FALSE))</f>
        <v/>
      </c>
      <c r="AK248" s="28" t="str">
        <f t="array" ref="AK248">IF($I247="","",XLOOKUP($B248,Derived_Variables!$A:$A,Derived_Variables!$AA:$AA,"Normal"))</f>
        <v/>
      </c>
      <c r="AL248" s="28" t="str">
        <f t="array" ref="AL248">IF($I247="","",XLOOKUP($B248,Derived_Variables!$A:$A,Derived_Variables!$AB:$AB,"Normal"))</f>
        <v/>
      </c>
      <c r="AM248" s="28" t="str">
        <f t="array" ref="AM248">IF($I248="","",IFS(C248="B",IF(OR(I248="NOT_READABLE",I248="BLURRY"),-AB248,0),C248="G",IFS(I248="RED_CLEARER",XLOOKUP("duochrome_red_step",Calibration!$B:$B,Calibration!$C:$C,-0.25),I248="GREEN_CLEARER",XLOOKUP("duochrome_green_step",Calibration!$B:$B,Calibration!$C:$C,0.25),I248="EQUAL",IF(XLOOKUP($B248,Derived_Variables!$A:$A,Derived_Variables!$S:$S,"Neutral")="Undercorrect",XLOOKUP("undercorrect_step",Calibration!$B:$B,Calibration!$C:$C,0.25),IF(XLOOKUP($B248,Derived_Variables!$A:$A,Derived_Variables!$S:$S,"Neutral")="Overcorrect",-XLOOKUP("overcorrect_step",Calibration!$B:$B,Calibration!$C:$C,0.25),0)),TRUE,0),C248="K",IF(I248="TOP_CLEARER",XLOOKUP("bino_balance_step",Calibration!$B:$B,Calibration!$C:$C,0.25),0),TRUE,0))</f>
        <v/>
      </c>
      <c r="AN248" s="28" t="str">
        <f t="shared" si="10"/>
        <v/>
      </c>
      <c r="AO248" s="28" t="str">
        <f t="shared" si="11"/>
        <v/>
      </c>
      <c r="AP248" s="28" t="str">
        <f t="array" ref="AP248">IF($I248="","",IFS(C248="D",IF(OR(I248="NOT_READABLE",I248="BLURRY"),-AB248,0),C248="J",IFS(I248="RED_CLEARER",XLOOKUP("duochrome_red_step",Calibration!$B:$B,Calibration!$C:$C,-0.25),I248="GREEN_CLEARER",XLOOKUP("duochrome_green_step",Calibration!$B:$B,Calibration!$C:$C,0.25),I248="EQUAL",IF(XLOOKUP($B248,Derived_Variables!$A:$A,Derived_Variables!$S:$S,"Neutral")="Undercorrect",XLOOKUP("undercorrect_step",Calibration!$B:$B,Calibration!$C:$C,0.25),IF(XLOOKUP($B248,Derived_Variables!$A:$A,Derived_Variables!$S:$S,"Neutral")="Overcorrect",-XLOOKUP("overcorrect_step",Calibration!$B:$B,Calibration!$C:$C,0.25),0)),TRUE,0),C248="K",IF(I248="BOTTOM_CLEARER",XLOOKUP("bino_balance_step",Calibration!$B:$B,Calibration!$C:$C,0.25),0),TRUE,0))</f>
        <v/>
      </c>
      <c r="AQ248" s="28" t="str">
        <f t="shared" si="12"/>
        <v/>
      </c>
      <c r="AR248" s="28" t="str">
        <f t="shared" si="13"/>
        <v/>
      </c>
      <c r="AS248" s="28" t="str">
        <f t="array" ref="AS248">IF($I248="","",IF(C248="P",IF(OR(I248="NOT_READABLE",I248="BLURRY"),XLOOKUP("near_add_step",Calibration!$B:$B,Calibration!$C:$C,0.25),0),IF(C248="R",IF(I248="NOT_CLEAR",XLOOKUP("near_add_step",Calibration!$B:$B,Calibration!$C:$C,0.25),0),0)))</f>
        <v/>
      </c>
      <c r="AT248" s="28" t="str">
        <f t="array" ref="AT248">IF($I248="","",IF(C248="Q",IF(OR(I248="NOT_READABLE",I248="BLURRY"),XLOOKUP("near_add_step",Calibration!$B:$B,Calibration!$C:$C,0.25),0),IF(C248="R",IF(I248="NOT_CLEAR",XLOOKUP("near_add_step",Calibration!$B:$B,Calibration!$C:$C,0.25),0),0)))</f>
        <v/>
      </c>
      <c r="AU248" s="28" t="str">
        <f t="array" ref="AU248">IF($I248="","",IF(G248="SNELLEN_FEET",IF(I248="READABLE",IFERROR(XLOOKUP(XLOOKUP(R248,Chart_Scale_Distance!B:B,Chart_Scale_Distance!A:A)+1,Chart_Scale_Distance!A:A,Chart_Scale_Distance!B:B),R248),R248),R248))</f>
        <v/>
      </c>
      <c r="AV248" s="28" t="str">
        <f t="array" ref="AV248">IF($I247="","",IFERROR(XLOOKUP(R248,Chart_Scale_Distance!$B:$B,Chart_Scale_Distance!$A:$A,""),""))</f>
        <v/>
      </c>
      <c r="AW248" s="28" t="str">
        <f t="array" ref="AW248">IF($I247="","",IFERROR(XLOOKUP(AA248,Chart_Scale_Distance!$B:$B,Chart_Scale_Distance!$A:$A,""),""))</f>
        <v/>
      </c>
      <c r="AX248" s="28" t="str">
        <f t="shared" si="14"/>
        <v/>
      </c>
      <c r="AY248" s="28" t="str">
        <f t="shared" si="15"/>
        <v/>
      </c>
      <c r="AZ248" s="28" t="str">
        <f t="shared" si="16"/>
        <v/>
      </c>
      <c r="BA248" s="28" t="str">
        <f t="shared" si="17"/>
        <v/>
      </c>
      <c r="BB248" s="28" t="str">
        <f t="shared" si="18"/>
        <v/>
      </c>
      <c r="BC248" s="28" t="str">
        <f t="array" ref="BC248">IF($I248="","",LET(
conf,AI248,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duoMax,XLOOKUP($B248,Derived_Variables!$A:$A,Derived_Variables!$AI:$AI,4),
axisTol,XLOOKUP($B248,Derived_Variables!$A:$A,Derived_Variables!$W:$W,1),
maxStart,XLOOKUP($B248,Derived_Variables!$A:$A,Derived_Variables!$U:$U,1.25),
maxAR,XLOOKUP($B248,Derived_Variables!$A:$A,Derived_Variables!$V:$V,3),
anom,XLOOKUP($B248,Derived_Variables!$A:$A,Derived_Variables!$Z:$Z,FALSE),
reStart,XLOOKUP($B248,Derived_Variables!$A:$A,Derived_Variables!$K:$K,0),
leStart,XLOOKUP($B248,Derived_Variables!$A:$A,Derived_Variables!$N:$N,0),
reAR,XLOOKUP($B248,AR_Input!$A:$A,AR_Input!$B:$B,reStart),
leAR,XLOOKUP($B248,AR_Input!$A:$A,AR_Input!$E:$E,leStart),
reEsc,AND(anom,OR(ABS((S248+AM248)-reStart)&gt;maxStart,ABS((S248+AM248)-reAR)&gt;maxAR)),
leEsc,AND(anom,OR(ABS((V248+AP248)-leStart)&gt;maxStart,ABS((V248+AP248)-leAR)&gt;maxAR)),
phaseMax,IFS(
 AK248="Fast",
   IFS(
     OR(C248="B",C248="D"),XLOOKUP("timeout_coarse_fast",Calibration!$B:$B,Calibration!$C:$C,24),
     OR(C248="E",C248="F",C248="H",C248="I"),XLOOKUP("timeout_jcc_fast",Calibration!$B:$B,Calibration!$C:$C,10),
     OR(C248="G",C248="J"),XLOOKUP("timeout_duochrome_fast",Calibration!$B:$B,Calibration!$C:$C,8),
     C248="K",XLOOKUP("timeout_bino_fast",Calibration!$B:$B,Calibration!$C:$C,10),
     OR(C248="P",C248="Q",C248="R"),XLOOKUP("timeout_near_fast",Calibration!$B:$B,Calibration!$C:$C,16),
     TRUE,XLOOKUP("timeout_coarse_fast",Calibration!$B:$B,Calibration!$C:$C,24)
   ),
 AK248="Normal",
   IFS(
     OR(C248="B",C248="D"),XLOOKUP("timeout_coarse_normal",Calibration!$B:$B,Calibration!$C:$C,36),
     OR(C248="E",C248="F",C248="H",C248="I"),XLOOKUP("timeout_jcc_normal",Calibration!$B:$B,Calibration!$C:$C,14),
     OR(C248="G",C248="J"),XLOOKUP("timeout_duochrome_normal",Calibration!$B:$B,Calibration!$C:$C,10),
     C248="K",XLOOKUP("timeout_bino_normal",Calibration!$B:$B,Calibration!$C:$C,14),
     OR(C248="P",C248="Q",C248="R"),XLOOKUP("timeout_near_normal",Calibration!$B:$B,Calibration!$C:$C,22),
     TRUE,XLOOKUP("timeout_coarse_normal",Calibration!$B:$B,Calibration!$C:$C,36)
   ),
 TRUE,
   IFS(
     OR(C248="B",C248="D"),XLOOKUP("timeout_coarse_slow",Calibration!$B:$B,Calibration!$C:$C,48),
     OR(C248="E",C248="F",C248="H",C248="I"),XLOOKUP("timeout_jcc_slow",Calibration!$B:$B,Calibration!$C:$C,18),
     OR(C248="G",C248="J"),XLOOKUP("timeout_duochrome_slow",Calibration!$B:$B,Calibration!$C:$C,12),
     C248="K",XLOOKUP("timeout_bino_slow",Calibration!$B:$B,Calibration!$C:$C,18),
     OR(C248="P",C248="Q",C248="R"),XLOOKUP("timeout_near_slow",Calibration!$B:$B,Calibration!$C:$C,28),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AJ248=TRUE,"ESCALATE",
C248="A",
IF(OR(I248="NOT_READABLE",I248="BLURRY",AND(R248="20_20_20",I248="READABLE")),"B","A"),
C248="B",
IF(reEsc,"ESCALATE",IF(AY248&gt;=phaseMax,"ESCALATE",IF(AND(AV248&gt;=AW248,I248="READABLE"),"E","B"))),
C248="E",
IF(AY248&gt;=phaseMax,"ESCALATE",IF(OR(I248="SAME",I248="CANT_TELL",AD248&lt;axisTol),"F","E")),
C248="F",
IF(AY248&gt;=phaseMax,"ESCALATE",IF(AX248&gt;=powerSameN,"G","F")),
C248="G",
IF(AY248&gt;=phaseMax,"ESCALATE",IF(OR(AX248&gt;=duoEqualN,BB248&gt;=duoMax),"D","G")),
C248="D",
IF(leEsc,"ESCALATE",IF(AY248&gt;=phaseMax,"ESCALATE",IF(AND(AV248&gt;=AW248,I248="READABLE"),"H","D"))),
C248="H",
IF(AY248&gt;=phaseMax,"ESCALATE",IF(OR(I248="SAME",I248="CANT_TELL",AD248&lt;axisTol),"I","H")),
C248="I",
IF(AY248&gt;=phaseMax,"ESCALATE",IF(AX248&gt;=powerSameN,"J","I")),
C248="J",
IF(AY248&gt;=phaseMax,"ESCALATE",IF(OR(AX248&gt;=duoEqualN,BB248&gt;=duoMax),"K","J")),
C248="K",
IF(AY248&gt;=phaseMax,"ESCALATE",IF(AX248&gt;=binoSameN,IF(XLOOKUP($B248,Derived_Variables!$A:$A,Derived_Variables!$AJ:$AJ,FALSE)=TRUE,"P","END"),"K")),
C248="P",
IF(AY248&gt;=phaseMax,"ESCALATE",IF(OR(I248="READABLE",I248="SAME"),"Q","P")),
C248="Q",
IF(AY248&gt;=phaseMax,"ESCALATE",IF(OR(I248="READABLE",I248="SAME"),"R","Q")),
C248="R",
IF(AY248&gt;=phaseMax,"ESCALATE",IF(OR(I248=nearTarget,I248="SAME"),"END","R")),
TRUE,"END"
)))</f>
        <v/>
      </c>
      <c r="BD248" s="28" t="b">
        <f t="shared" si="19"/>
        <v>0</v>
      </c>
    </row>
    <row r="249" ht="15.75" customHeight="1">
      <c r="A249" s="28">
        <f t="shared" si="3"/>
        <v>248</v>
      </c>
      <c r="B249" s="28">
        <f t="shared" si="4"/>
        <v>6</v>
      </c>
      <c r="C249" s="28" t="str">
        <f t="shared" si="5"/>
        <v/>
      </c>
      <c r="D249" s="28" t="str">
        <f t="array" ref="D249">IF($I248="","",XLOOKUP(C249,FSM_State_Map!A:A,FSM_State_Map!B:B,""))</f>
        <v/>
      </c>
      <c r="E249" s="28" t="str">
        <f t="array" ref="E249">IF($I248="","",XLOOKUP(C249,FSM_State_Map!A:A,FSM_State_Map!C:C,""))</f>
        <v/>
      </c>
      <c r="F249" s="28" t="str">
        <f t="array" ref="F249">IF($I248="","",XLOOKUP(E249,Phase_UI_Map!A:A,Phase_UI_Map!B:B,""))</f>
        <v/>
      </c>
      <c r="G249" s="28" t="str">
        <f t="array" ref="G249">IF($I248="","",XLOOKUP(E249,Phase_UI_Map!A:A,Phase_UI_Map!C:C,""))</f>
        <v/>
      </c>
      <c r="H249" s="28" t="str">
        <f t="array" ref="H249">IF($I248="","",XLOOKUP(E249,Phase_UI_Map!A:A,Phase_UI_Map!D:D,""))</f>
        <v/>
      </c>
      <c r="I249" s="29"/>
      <c r="J249" s="28" t="str">
        <f>IFERROR(__xludf.DUMMYFUNCTION("IF($I248="""","""",IFERROR(INDEX(FILTER(Response_Lists!$B:$B,Response_Lists!$A:$A=$H249),1),""""))"),"")</f>
        <v/>
      </c>
      <c r="K249" s="28" t="str">
        <f>IFERROR(__xludf.DUMMYFUNCTION("IF($I248="""","""",IFERROR(INDEX(FILTER(Response_Lists!$B:$B,Response_Lists!$A:$A=$H249),2),""""))"),"")</f>
        <v/>
      </c>
      <c r="L249" s="28" t="str">
        <f>IFERROR(__xludf.DUMMYFUNCTION("IF($I248="""","""",IFERROR(INDEX(FILTER(Response_Lists!$B:$B,Response_Lists!$A:$A=$H249),3),""""))"),"")</f>
        <v/>
      </c>
      <c r="M249" s="28" t="str">
        <f>IFERROR(__xludf.DUMMYFUNCTION("IF($I248="""","""",IFERROR(INDEX(FILTER(Response_Lists!$B:$B,Response_Lists!$A:$A=$H249),4),""""))"),"")</f>
        <v/>
      </c>
      <c r="N249" s="28" t="str">
        <f>IFERROR(__xludf.DUMMYFUNCTION("IF($I248="""","""",IFERROR(INDEX(FILTER(Response_Lists!$B:$B,Response_Lists!$A:$A=$H249),5),""""))"),"")</f>
        <v/>
      </c>
      <c r="O249" s="28" t="str">
        <f>IFERROR(__xludf.DUMMYFUNCTION("IF($I248="""","""",IFERROR(INDEX(FILTER(Response_Lists!$B:$B,Response_Lists!$A:$A=$H249),6),""""))"),"")</f>
        <v/>
      </c>
      <c r="P249" s="28" t="str">
        <f t="shared" si="6"/>
        <v/>
      </c>
      <c r="Q249" s="28" t="str">
        <f t="array" ref="Q249">IF($I248="","",XLOOKUP(C249,FSM_State_Map!A:A,FSM_State_Map!D:D,""))</f>
        <v/>
      </c>
      <c r="R249" s="28" t="str">
        <f t="shared" si="7"/>
        <v/>
      </c>
      <c r="S249" s="28" t="str">
        <f t="array" ref="S249">IF($I248="","",
IF(
  AND(C249="B",C248&lt;&gt;"B"),
  XLOOKUP($B249,Derived_Variables!$A:$A,Derived_Variables!$K:$K,0)
  + XLOOKUP($B249,Derived_Variables!$A:$A,Derived_Variables!$AE:$AE,0),
  S248+AM248
))</f>
        <v/>
      </c>
      <c r="T249" s="28" t="str">
        <f t="shared" ref="T249:U249" si="508">IF($I248="","",T248+AN248)</f>
        <v/>
      </c>
      <c r="U249" s="28" t="str">
        <f t="shared" si="508"/>
        <v/>
      </c>
      <c r="V249" s="28" t="str">
        <f t="array" ref="V249">IF($I248="","",
IF(
  AND(C249="D",C248&lt;&gt;"D"),
  XLOOKUP($B249,Derived_Variables!$A:$A,Derived_Variables!$N:$N,0)
  + XLOOKUP($B249,Derived_Variables!$A:$A,Derived_Variables!$AE:$AE,0),
  V248+AP248
))</f>
        <v/>
      </c>
      <c r="W249" s="28" t="str">
        <f t="shared" ref="W249:X249" si="509">IF($I248="","",W248+AQ248)</f>
        <v/>
      </c>
      <c r="X249" s="28" t="str">
        <f t="shared" si="509"/>
        <v/>
      </c>
      <c r="Y249" s="28" t="str">
        <f t="array" ref="Y249">IF($I248="","",IF(AND(C249="P",C248&lt;&gt;"P"),IFERROR(XLOOKUP($B249,Lenso_Input!$A:$A,Lenso_Input!$E:$E,0),0),Y248+AS248))</f>
        <v/>
      </c>
      <c r="Z249" s="28" t="str">
        <f t="array" ref="Z249">IF($I248="","",IF(AND(C249="Q",C248&lt;&gt;"Q"),IFERROR(XLOOKUP($B249,Lenso_Input!$A:$A,Lenso_Input!$I:$I,0),0),Z248+AT248))</f>
        <v/>
      </c>
      <c r="AA249" s="28" t="str">
        <f t="array" ref="AA249">IF($I248="","",IF(XLOOKUP($B249,Derived_Variables!$A:$A,Derived_Variables!$R:$R,"6/6_target")="6/6_target","20_20_20","40_30_25"))</f>
        <v/>
      </c>
      <c r="AB249" s="28" t="str">
        <f t="array" ref="AB249">IF($I248="","",XLOOKUP(LOWER(XLOOKUP($B249,Derived_Variables!$A:$A,Derived_Variables!$T:$T,"Standard"))&amp;"_sph_step",Calibration!$B:$B,Calibration!$C:$C,0.25))</f>
        <v/>
      </c>
      <c r="AC249" s="28" t="str">
        <f t="array" ref="AC249">IF($I248="","",XLOOKUP(LOWER(XLOOKUP($B249,Derived_Variables!$A:$A,Derived_Variables!$T:$T,"Standard"))&amp;"_cyl_step",Calibration!$B:$B,Calibration!$C:$C,0.25))</f>
        <v/>
      </c>
      <c r="AD249" s="28" t="str">
        <f t="array" ref="AD249">IF($I248="","",IF(OR(C249="E",C249="H"),LET(startStep,XLOOKUP("axis_start_step",Calibration!$B:$B,Calibration!$C:$C,5),step1,XLOOKUP("axis_reversal_step_1",Calibration!$B:$B,Calibration!$C:$C,3),step2,XLOOKUP("axis_reversal_step_2",Calibration!$B:$B,Calibration!$C:$C,1),IF(OR(C248&lt;&gt;C249,AZ249="",AZ249="SAME",AZ249="CANT_TELL",I249="",I249="SAME",I249="CANT_TELL"),startStep,IF(OR(AND(AZ249="BETTER_1",I249="BETTER_2"),AND(AZ249="BETTER_2",I249="BETTER_1")),IF(AD248&gt;step1,step1,step2),AD248))),0))</f>
        <v/>
      </c>
      <c r="AE249" s="28" t="str">
        <f t="array" ref="AE249">IF($I248="","",XLOOKUP($B249,Derived_Variables!$A:$A,Derived_Variables!$AD:$AD,"No_Fog"))</f>
        <v/>
      </c>
      <c r="AF249" s="28" t="str">
        <f t="array" ref="AF249">IF($I248="","",XLOOKUP($B249,Derived_Variables!$A:$A,Derived_Variables!$AE:$AE,0))</f>
        <v/>
      </c>
      <c r="AG249" s="28" t="str">
        <f t="array" ref="AG249">IF($I248="","",XLOOKUP($B249,Derived_Variables!$A:$A,Derived_Variables!$AF:$AF,""))</f>
        <v/>
      </c>
      <c r="AH249" s="28" t="str">
        <f t="array" ref="AH249">IF($I248="","",XLOOKUP($B249,Derived_Variables!$A:$A,Derived_Variables!$AG:$AG,""))</f>
        <v/>
      </c>
      <c r="AI249" s="28" t="str">
        <f t="array" ref="AI249">IF($I248="","",XLOOKUP($B249,Derived_Variables!$A:$A,Derived_Variables!$AC:$AC,"Medium"))</f>
        <v/>
      </c>
      <c r="AJ249" s="28" t="str">
        <f t="array" ref="AJ249">IF($I248="","",XLOOKUP($B249,Derived_Variables!$A:$A,Derived_Variables!$Y:$Y,FALSE))</f>
        <v/>
      </c>
      <c r="AK249" s="28" t="str">
        <f t="array" ref="AK249">IF($I248="","",XLOOKUP($B249,Derived_Variables!$A:$A,Derived_Variables!$AA:$AA,"Normal"))</f>
        <v/>
      </c>
      <c r="AL249" s="28" t="str">
        <f t="array" ref="AL249">IF($I248="","",XLOOKUP($B249,Derived_Variables!$A:$A,Derived_Variables!$AB:$AB,"Normal"))</f>
        <v/>
      </c>
      <c r="AM249" s="28" t="str">
        <f t="array" ref="AM249">IF($I249="","",IFS(C249="B",IF(OR(I249="NOT_READABLE",I249="BLURRY"),-AB249,0),C249="G",IFS(I249="RED_CLEARER",XLOOKUP("duochrome_red_step",Calibration!$B:$B,Calibration!$C:$C,-0.25),I249="GREEN_CLEARER",XLOOKUP("duochrome_green_step",Calibration!$B:$B,Calibration!$C:$C,0.25),I249="EQUAL",IF(XLOOKUP($B249,Derived_Variables!$A:$A,Derived_Variables!$S:$S,"Neutral")="Undercorrect",XLOOKUP("undercorrect_step",Calibration!$B:$B,Calibration!$C:$C,0.25),IF(XLOOKUP($B249,Derived_Variables!$A:$A,Derived_Variables!$S:$S,"Neutral")="Overcorrect",-XLOOKUP("overcorrect_step",Calibration!$B:$B,Calibration!$C:$C,0.25),0)),TRUE,0),C249="K",IF(I249="TOP_CLEARER",XLOOKUP("bino_balance_step",Calibration!$B:$B,Calibration!$C:$C,0.25),0),TRUE,0))</f>
        <v/>
      </c>
      <c r="AN249" s="28" t="str">
        <f t="shared" si="10"/>
        <v/>
      </c>
      <c r="AO249" s="28" t="str">
        <f t="shared" si="11"/>
        <v/>
      </c>
      <c r="AP249" s="28" t="str">
        <f t="array" ref="AP249">IF($I249="","",IFS(C249="D",IF(OR(I249="NOT_READABLE",I249="BLURRY"),-AB249,0),C249="J",IFS(I249="RED_CLEARER",XLOOKUP("duochrome_red_step",Calibration!$B:$B,Calibration!$C:$C,-0.25),I249="GREEN_CLEARER",XLOOKUP("duochrome_green_step",Calibration!$B:$B,Calibration!$C:$C,0.25),I249="EQUAL",IF(XLOOKUP($B249,Derived_Variables!$A:$A,Derived_Variables!$S:$S,"Neutral")="Undercorrect",XLOOKUP("undercorrect_step",Calibration!$B:$B,Calibration!$C:$C,0.25),IF(XLOOKUP($B249,Derived_Variables!$A:$A,Derived_Variables!$S:$S,"Neutral")="Overcorrect",-XLOOKUP("overcorrect_step",Calibration!$B:$B,Calibration!$C:$C,0.25),0)),TRUE,0),C249="K",IF(I249="BOTTOM_CLEARER",XLOOKUP("bino_balance_step",Calibration!$B:$B,Calibration!$C:$C,0.25),0),TRUE,0))</f>
        <v/>
      </c>
      <c r="AQ249" s="28" t="str">
        <f t="shared" si="12"/>
        <v/>
      </c>
      <c r="AR249" s="28" t="str">
        <f t="shared" si="13"/>
        <v/>
      </c>
      <c r="AS249" s="28" t="str">
        <f t="array" ref="AS249">IF($I249="","",IF(C249="P",IF(OR(I249="NOT_READABLE",I249="BLURRY"),XLOOKUP("near_add_step",Calibration!$B:$B,Calibration!$C:$C,0.25),0),IF(C249="R",IF(I249="NOT_CLEAR",XLOOKUP("near_add_step",Calibration!$B:$B,Calibration!$C:$C,0.25),0),0)))</f>
        <v/>
      </c>
      <c r="AT249" s="28" t="str">
        <f t="array" ref="AT249">IF($I249="","",IF(C249="Q",IF(OR(I249="NOT_READABLE",I249="BLURRY"),XLOOKUP("near_add_step",Calibration!$B:$B,Calibration!$C:$C,0.25),0),IF(C249="R",IF(I249="NOT_CLEAR",XLOOKUP("near_add_step",Calibration!$B:$B,Calibration!$C:$C,0.25),0),0)))</f>
        <v/>
      </c>
      <c r="AU249" s="28" t="str">
        <f t="array" ref="AU249">IF($I249="","",IF(G249="SNELLEN_FEET",IF(I249="READABLE",IFERROR(XLOOKUP(XLOOKUP(R249,Chart_Scale_Distance!B:B,Chart_Scale_Distance!A:A)+1,Chart_Scale_Distance!A:A,Chart_Scale_Distance!B:B),R249),R249),R249))</f>
        <v/>
      </c>
      <c r="AV249" s="28" t="str">
        <f t="array" ref="AV249">IF($I248="","",IFERROR(XLOOKUP(R249,Chart_Scale_Distance!$B:$B,Chart_Scale_Distance!$A:$A,""),""))</f>
        <v/>
      </c>
      <c r="AW249" s="28" t="str">
        <f t="array" ref="AW249">IF($I248="","",IFERROR(XLOOKUP(AA249,Chart_Scale_Distance!$B:$B,Chart_Scale_Distance!$A:$A,""),""))</f>
        <v/>
      </c>
      <c r="AX249" s="28" t="str">
        <f t="shared" si="14"/>
        <v/>
      </c>
      <c r="AY249" s="28" t="str">
        <f t="shared" si="15"/>
        <v/>
      </c>
      <c r="AZ249" s="28" t="str">
        <f t="shared" si="16"/>
        <v/>
      </c>
      <c r="BA249" s="28" t="str">
        <f t="shared" si="17"/>
        <v/>
      </c>
      <c r="BB249" s="28" t="str">
        <f t="shared" si="18"/>
        <v/>
      </c>
      <c r="BC249" s="28" t="str">
        <f t="array" ref="BC249">IF($I249="","",LET(
conf,AI249,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duoMax,XLOOKUP($B249,Derived_Variables!$A:$A,Derived_Variables!$AI:$AI,4),
axisTol,XLOOKUP($B249,Derived_Variables!$A:$A,Derived_Variables!$W:$W,1),
maxStart,XLOOKUP($B249,Derived_Variables!$A:$A,Derived_Variables!$U:$U,1.25),
maxAR,XLOOKUP($B249,Derived_Variables!$A:$A,Derived_Variables!$V:$V,3),
anom,XLOOKUP($B249,Derived_Variables!$A:$A,Derived_Variables!$Z:$Z,FALSE),
reStart,XLOOKUP($B249,Derived_Variables!$A:$A,Derived_Variables!$K:$K,0),
leStart,XLOOKUP($B249,Derived_Variables!$A:$A,Derived_Variables!$N:$N,0),
reAR,XLOOKUP($B249,AR_Input!$A:$A,AR_Input!$B:$B,reStart),
leAR,XLOOKUP($B249,AR_Input!$A:$A,AR_Input!$E:$E,leStart),
reEsc,AND(anom,OR(ABS((S249+AM249)-reStart)&gt;maxStart,ABS((S249+AM249)-reAR)&gt;maxAR)),
leEsc,AND(anom,OR(ABS((V249+AP249)-leStart)&gt;maxStart,ABS((V249+AP249)-leAR)&gt;maxAR)),
phaseMax,IFS(
 AK249="Fast",
   IFS(
     OR(C249="B",C249="D"),XLOOKUP("timeout_coarse_fast",Calibration!$B:$B,Calibration!$C:$C,24),
     OR(C249="E",C249="F",C249="H",C249="I"),XLOOKUP("timeout_jcc_fast",Calibration!$B:$B,Calibration!$C:$C,10),
     OR(C249="G",C249="J"),XLOOKUP("timeout_duochrome_fast",Calibration!$B:$B,Calibration!$C:$C,8),
     C249="K",XLOOKUP("timeout_bino_fast",Calibration!$B:$B,Calibration!$C:$C,10),
     OR(C249="P",C249="Q",C249="R"),XLOOKUP("timeout_near_fast",Calibration!$B:$B,Calibration!$C:$C,16),
     TRUE,XLOOKUP("timeout_coarse_fast",Calibration!$B:$B,Calibration!$C:$C,24)
   ),
 AK249="Normal",
   IFS(
     OR(C249="B",C249="D"),XLOOKUP("timeout_coarse_normal",Calibration!$B:$B,Calibration!$C:$C,36),
     OR(C249="E",C249="F",C249="H",C249="I"),XLOOKUP("timeout_jcc_normal",Calibration!$B:$B,Calibration!$C:$C,14),
     OR(C249="G",C249="J"),XLOOKUP("timeout_duochrome_normal",Calibration!$B:$B,Calibration!$C:$C,10),
     C249="K",XLOOKUP("timeout_bino_normal",Calibration!$B:$B,Calibration!$C:$C,14),
     OR(C249="P",C249="Q",C249="R"),XLOOKUP("timeout_near_normal",Calibration!$B:$B,Calibration!$C:$C,22),
     TRUE,XLOOKUP("timeout_coarse_normal",Calibration!$B:$B,Calibration!$C:$C,36)
   ),
 TRUE,
   IFS(
     OR(C249="B",C249="D"),XLOOKUP("timeout_coarse_slow",Calibration!$B:$B,Calibration!$C:$C,48),
     OR(C249="E",C249="F",C249="H",C249="I"),XLOOKUP("timeout_jcc_slow",Calibration!$B:$B,Calibration!$C:$C,18),
     OR(C249="G",C249="J"),XLOOKUP("timeout_duochrome_slow",Calibration!$B:$B,Calibration!$C:$C,12),
     C249="K",XLOOKUP("timeout_bino_slow",Calibration!$B:$B,Calibration!$C:$C,18),
     OR(C249="P",C249="Q",C249="R"),XLOOKUP("timeout_near_slow",Calibration!$B:$B,Calibration!$C:$C,28),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AJ249=TRUE,"ESCALATE",
C249="A",
IF(OR(I249="NOT_READABLE",I249="BLURRY",AND(R249="20_20_20",I249="READABLE")),"B","A"),
C249="B",
IF(reEsc,"ESCALATE",IF(AY249&gt;=phaseMax,"ESCALATE",IF(AND(AV249&gt;=AW249,I249="READABLE"),"E","B"))),
C249="E",
IF(AY249&gt;=phaseMax,"ESCALATE",IF(OR(I249="SAME",I249="CANT_TELL",AD249&lt;axisTol),"F","E")),
C249="F",
IF(AY249&gt;=phaseMax,"ESCALATE",IF(AX249&gt;=powerSameN,"G","F")),
C249="G",
IF(AY249&gt;=phaseMax,"ESCALATE",IF(OR(AX249&gt;=duoEqualN,BB249&gt;=duoMax),"D","G")),
C249="D",
IF(leEsc,"ESCALATE",IF(AY249&gt;=phaseMax,"ESCALATE",IF(AND(AV249&gt;=AW249,I249="READABLE"),"H","D"))),
C249="H",
IF(AY249&gt;=phaseMax,"ESCALATE",IF(OR(I249="SAME",I249="CANT_TELL",AD249&lt;axisTol),"I","H")),
C249="I",
IF(AY249&gt;=phaseMax,"ESCALATE",IF(AX249&gt;=powerSameN,"J","I")),
C249="J",
IF(AY249&gt;=phaseMax,"ESCALATE",IF(OR(AX249&gt;=duoEqualN,BB249&gt;=duoMax),"K","J")),
C249="K",
IF(AY249&gt;=phaseMax,"ESCALATE",IF(AX249&gt;=binoSameN,IF(XLOOKUP($B249,Derived_Variables!$A:$A,Derived_Variables!$AJ:$AJ,FALSE)=TRUE,"P","END"),"K")),
C249="P",
IF(AY249&gt;=phaseMax,"ESCALATE",IF(OR(I249="READABLE",I249="SAME"),"Q","P")),
C249="Q",
IF(AY249&gt;=phaseMax,"ESCALATE",IF(OR(I249="READABLE",I249="SAME"),"R","Q")),
C249="R",
IF(AY249&gt;=phaseMax,"ESCALATE",IF(OR(I249=nearTarget,I249="SAME"),"END","R")),
TRUE,"END"
)))</f>
        <v/>
      </c>
      <c r="BD249" s="28" t="b">
        <f t="shared" si="19"/>
        <v>0</v>
      </c>
    </row>
    <row r="250" ht="15.75" customHeight="1">
      <c r="A250" s="28">
        <f t="shared" si="3"/>
        <v>249</v>
      </c>
      <c r="B250" s="28">
        <f t="shared" si="4"/>
        <v>6</v>
      </c>
      <c r="C250" s="28" t="str">
        <f t="shared" si="5"/>
        <v/>
      </c>
      <c r="D250" s="28" t="str">
        <f t="array" ref="D250">IF($I249="","",XLOOKUP(C250,FSM_State_Map!A:A,FSM_State_Map!B:B,""))</f>
        <v/>
      </c>
      <c r="E250" s="28" t="str">
        <f t="array" ref="E250">IF($I249="","",XLOOKUP(C250,FSM_State_Map!A:A,FSM_State_Map!C:C,""))</f>
        <v/>
      </c>
      <c r="F250" s="28" t="str">
        <f t="array" ref="F250">IF($I249="","",XLOOKUP(E250,Phase_UI_Map!A:A,Phase_UI_Map!B:B,""))</f>
        <v/>
      </c>
      <c r="G250" s="28" t="str">
        <f t="array" ref="G250">IF($I249="","",XLOOKUP(E250,Phase_UI_Map!A:A,Phase_UI_Map!C:C,""))</f>
        <v/>
      </c>
      <c r="H250" s="28" t="str">
        <f t="array" ref="H250">IF($I249="","",XLOOKUP(E250,Phase_UI_Map!A:A,Phase_UI_Map!D:D,""))</f>
        <v/>
      </c>
      <c r="I250" s="29"/>
      <c r="J250" s="28" t="str">
        <f>IFERROR(__xludf.DUMMYFUNCTION("IF($I249="""","""",IFERROR(INDEX(FILTER(Response_Lists!$B:$B,Response_Lists!$A:$A=$H250),1),""""))"),"")</f>
        <v/>
      </c>
      <c r="K250" s="28" t="str">
        <f>IFERROR(__xludf.DUMMYFUNCTION("IF($I249="""","""",IFERROR(INDEX(FILTER(Response_Lists!$B:$B,Response_Lists!$A:$A=$H250),2),""""))"),"")</f>
        <v/>
      </c>
      <c r="L250" s="28" t="str">
        <f>IFERROR(__xludf.DUMMYFUNCTION("IF($I249="""","""",IFERROR(INDEX(FILTER(Response_Lists!$B:$B,Response_Lists!$A:$A=$H250),3),""""))"),"")</f>
        <v/>
      </c>
      <c r="M250" s="28" t="str">
        <f>IFERROR(__xludf.DUMMYFUNCTION("IF($I249="""","""",IFERROR(INDEX(FILTER(Response_Lists!$B:$B,Response_Lists!$A:$A=$H250),4),""""))"),"")</f>
        <v/>
      </c>
      <c r="N250" s="28" t="str">
        <f>IFERROR(__xludf.DUMMYFUNCTION("IF($I249="""","""",IFERROR(INDEX(FILTER(Response_Lists!$B:$B,Response_Lists!$A:$A=$H250),5),""""))"),"")</f>
        <v/>
      </c>
      <c r="O250" s="28" t="str">
        <f>IFERROR(__xludf.DUMMYFUNCTION("IF($I249="""","""",IFERROR(INDEX(FILTER(Response_Lists!$B:$B,Response_Lists!$A:$A=$H250),6),""""))"),"")</f>
        <v/>
      </c>
      <c r="P250" s="28" t="str">
        <f t="shared" si="6"/>
        <v/>
      </c>
      <c r="Q250" s="28" t="str">
        <f t="array" ref="Q250">IF($I249="","",XLOOKUP(C250,FSM_State_Map!A:A,FSM_State_Map!D:D,""))</f>
        <v/>
      </c>
      <c r="R250" s="28" t="str">
        <f t="shared" si="7"/>
        <v/>
      </c>
      <c r="S250" s="28" t="str">
        <f t="array" ref="S250">IF($I249="","",
IF(
  AND(C250="B",C249&lt;&gt;"B"),
  XLOOKUP($B250,Derived_Variables!$A:$A,Derived_Variables!$K:$K,0)
  + XLOOKUP($B250,Derived_Variables!$A:$A,Derived_Variables!$AE:$AE,0),
  S249+AM249
))</f>
        <v/>
      </c>
      <c r="T250" s="28" t="str">
        <f t="shared" ref="T250:U250" si="510">IF($I249="","",T249+AN249)</f>
        <v/>
      </c>
      <c r="U250" s="28" t="str">
        <f t="shared" si="510"/>
        <v/>
      </c>
      <c r="V250" s="28" t="str">
        <f t="array" ref="V250">IF($I249="","",
IF(
  AND(C250="D",C249&lt;&gt;"D"),
  XLOOKUP($B250,Derived_Variables!$A:$A,Derived_Variables!$N:$N,0)
  + XLOOKUP($B250,Derived_Variables!$A:$A,Derived_Variables!$AE:$AE,0),
  V249+AP249
))</f>
        <v/>
      </c>
      <c r="W250" s="28" t="str">
        <f t="shared" ref="W250:X250" si="511">IF($I249="","",W249+AQ249)</f>
        <v/>
      </c>
      <c r="X250" s="28" t="str">
        <f t="shared" si="511"/>
        <v/>
      </c>
      <c r="Y250" s="28" t="str">
        <f t="array" ref="Y250">IF($I249="","",IF(AND(C250="P",C249&lt;&gt;"P"),IFERROR(XLOOKUP($B250,Lenso_Input!$A:$A,Lenso_Input!$E:$E,0),0),Y249+AS249))</f>
        <v/>
      </c>
      <c r="Z250" s="28" t="str">
        <f t="array" ref="Z250">IF($I249="","",IF(AND(C250="Q",C249&lt;&gt;"Q"),IFERROR(XLOOKUP($B250,Lenso_Input!$A:$A,Lenso_Input!$I:$I,0),0),Z249+AT249))</f>
        <v/>
      </c>
      <c r="AA250" s="28" t="str">
        <f t="array" ref="AA250">IF($I249="","",IF(XLOOKUP($B250,Derived_Variables!$A:$A,Derived_Variables!$R:$R,"6/6_target")="6/6_target","20_20_20","40_30_25"))</f>
        <v/>
      </c>
      <c r="AB250" s="28" t="str">
        <f t="array" ref="AB250">IF($I249="","",XLOOKUP(LOWER(XLOOKUP($B250,Derived_Variables!$A:$A,Derived_Variables!$T:$T,"Standard"))&amp;"_sph_step",Calibration!$B:$B,Calibration!$C:$C,0.25))</f>
        <v/>
      </c>
      <c r="AC250" s="28" t="str">
        <f t="array" ref="AC250">IF($I249="","",XLOOKUP(LOWER(XLOOKUP($B250,Derived_Variables!$A:$A,Derived_Variables!$T:$T,"Standard"))&amp;"_cyl_step",Calibration!$B:$B,Calibration!$C:$C,0.25))</f>
        <v/>
      </c>
      <c r="AD250" s="28" t="str">
        <f t="array" ref="AD250">IF($I249="","",IF(OR(C250="E",C250="H"),LET(startStep,XLOOKUP("axis_start_step",Calibration!$B:$B,Calibration!$C:$C,5),step1,XLOOKUP("axis_reversal_step_1",Calibration!$B:$B,Calibration!$C:$C,3),step2,XLOOKUP("axis_reversal_step_2",Calibration!$B:$B,Calibration!$C:$C,1),IF(OR(C249&lt;&gt;C250,AZ250="",AZ250="SAME",AZ250="CANT_TELL",I250="",I250="SAME",I250="CANT_TELL"),startStep,IF(OR(AND(AZ250="BETTER_1",I250="BETTER_2"),AND(AZ250="BETTER_2",I250="BETTER_1")),IF(AD249&gt;step1,step1,step2),AD249))),0))</f>
        <v/>
      </c>
      <c r="AE250" s="28" t="str">
        <f t="array" ref="AE250">IF($I249="","",XLOOKUP($B250,Derived_Variables!$A:$A,Derived_Variables!$AD:$AD,"No_Fog"))</f>
        <v/>
      </c>
      <c r="AF250" s="28" t="str">
        <f t="array" ref="AF250">IF($I249="","",XLOOKUP($B250,Derived_Variables!$A:$A,Derived_Variables!$AE:$AE,0))</f>
        <v/>
      </c>
      <c r="AG250" s="28" t="str">
        <f t="array" ref="AG250">IF($I249="","",XLOOKUP($B250,Derived_Variables!$A:$A,Derived_Variables!$AF:$AF,""))</f>
        <v/>
      </c>
      <c r="AH250" s="28" t="str">
        <f t="array" ref="AH250">IF($I249="","",XLOOKUP($B250,Derived_Variables!$A:$A,Derived_Variables!$AG:$AG,""))</f>
        <v/>
      </c>
      <c r="AI250" s="28" t="str">
        <f t="array" ref="AI250">IF($I249="","",XLOOKUP($B250,Derived_Variables!$A:$A,Derived_Variables!$AC:$AC,"Medium"))</f>
        <v/>
      </c>
      <c r="AJ250" s="28" t="str">
        <f t="array" ref="AJ250">IF($I249="","",XLOOKUP($B250,Derived_Variables!$A:$A,Derived_Variables!$Y:$Y,FALSE))</f>
        <v/>
      </c>
      <c r="AK250" s="28" t="str">
        <f t="array" ref="AK250">IF($I249="","",XLOOKUP($B250,Derived_Variables!$A:$A,Derived_Variables!$AA:$AA,"Normal"))</f>
        <v/>
      </c>
      <c r="AL250" s="28" t="str">
        <f t="array" ref="AL250">IF($I249="","",XLOOKUP($B250,Derived_Variables!$A:$A,Derived_Variables!$AB:$AB,"Normal"))</f>
        <v/>
      </c>
      <c r="AM250" s="28" t="str">
        <f t="array" ref="AM250">IF($I250="","",IFS(C250="B",IF(OR(I250="NOT_READABLE",I250="BLURRY"),-AB250,0),C250="G",IFS(I250="RED_CLEARER",XLOOKUP("duochrome_red_step",Calibration!$B:$B,Calibration!$C:$C,-0.25),I250="GREEN_CLEARER",XLOOKUP("duochrome_green_step",Calibration!$B:$B,Calibration!$C:$C,0.25),I250="EQUAL",IF(XLOOKUP($B250,Derived_Variables!$A:$A,Derived_Variables!$S:$S,"Neutral")="Undercorrect",XLOOKUP("undercorrect_step",Calibration!$B:$B,Calibration!$C:$C,0.25),IF(XLOOKUP($B250,Derived_Variables!$A:$A,Derived_Variables!$S:$S,"Neutral")="Overcorrect",-XLOOKUP("overcorrect_step",Calibration!$B:$B,Calibration!$C:$C,0.25),0)),TRUE,0),C250="K",IF(I250="TOP_CLEARER",XLOOKUP("bino_balance_step",Calibration!$B:$B,Calibration!$C:$C,0.25),0),TRUE,0))</f>
        <v/>
      </c>
      <c r="AN250" s="28" t="str">
        <f t="shared" si="10"/>
        <v/>
      </c>
      <c r="AO250" s="28" t="str">
        <f t="shared" si="11"/>
        <v/>
      </c>
      <c r="AP250" s="28" t="str">
        <f t="array" ref="AP250">IF($I250="","",IFS(C250="D",IF(OR(I250="NOT_READABLE",I250="BLURRY"),-AB250,0),C250="J",IFS(I250="RED_CLEARER",XLOOKUP("duochrome_red_step",Calibration!$B:$B,Calibration!$C:$C,-0.25),I250="GREEN_CLEARER",XLOOKUP("duochrome_green_step",Calibration!$B:$B,Calibration!$C:$C,0.25),I250="EQUAL",IF(XLOOKUP($B250,Derived_Variables!$A:$A,Derived_Variables!$S:$S,"Neutral")="Undercorrect",XLOOKUP("undercorrect_step",Calibration!$B:$B,Calibration!$C:$C,0.25),IF(XLOOKUP($B250,Derived_Variables!$A:$A,Derived_Variables!$S:$S,"Neutral")="Overcorrect",-XLOOKUP("overcorrect_step",Calibration!$B:$B,Calibration!$C:$C,0.25),0)),TRUE,0),C250="K",IF(I250="BOTTOM_CLEARER",XLOOKUP("bino_balance_step",Calibration!$B:$B,Calibration!$C:$C,0.25),0),TRUE,0))</f>
        <v/>
      </c>
      <c r="AQ250" s="28" t="str">
        <f t="shared" si="12"/>
        <v/>
      </c>
      <c r="AR250" s="28" t="str">
        <f t="shared" si="13"/>
        <v/>
      </c>
      <c r="AS250" s="28" t="str">
        <f t="array" ref="AS250">IF($I250="","",IF(C250="P",IF(OR(I250="NOT_READABLE",I250="BLURRY"),XLOOKUP("near_add_step",Calibration!$B:$B,Calibration!$C:$C,0.25),0),IF(C250="R",IF(I250="NOT_CLEAR",XLOOKUP("near_add_step",Calibration!$B:$B,Calibration!$C:$C,0.25),0),0)))</f>
        <v/>
      </c>
      <c r="AT250" s="28" t="str">
        <f t="array" ref="AT250">IF($I250="","",IF(C250="Q",IF(OR(I250="NOT_READABLE",I250="BLURRY"),XLOOKUP("near_add_step",Calibration!$B:$B,Calibration!$C:$C,0.25),0),IF(C250="R",IF(I250="NOT_CLEAR",XLOOKUP("near_add_step",Calibration!$B:$B,Calibration!$C:$C,0.25),0),0)))</f>
        <v/>
      </c>
      <c r="AU250" s="28" t="str">
        <f t="array" ref="AU250">IF($I250="","",IF(G250="SNELLEN_FEET",IF(I250="READABLE",IFERROR(XLOOKUP(XLOOKUP(R250,Chart_Scale_Distance!B:B,Chart_Scale_Distance!A:A)+1,Chart_Scale_Distance!A:A,Chart_Scale_Distance!B:B),R250),R250),R250))</f>
        <v/>
      </c>
      <c r="AV250" s="28" t="str">
        <f t="array" ref="AV250">IF($I249="","",IFERROR(XLOOKUP(R250,Chart_Scale_Distance!$B:$B,Chart_Scale_Distance!$A:$A,""),""))</f>
        <v/>
      </c>
      <c r="AW250" s="28" t="str">
        <f t="array" ref="AW250">IF($I249="","",IFERROR(XLOOKUP(AA250,Chart_Scale_Distance!$B:$B,Chart_Scale_Distance!$A:$A,""),""))</f>
        <v/>
      </c>
      <c r="AX250" s="28" t="str">
        <f t="shared" si="14"/>
        <v/>
      </c>
      <c r="AY250" s="28" t="str">
        <f t="shared" si="15"/>
        <v/>
      </c>
      <c r="AZ250" s="28" t="str">
        <f t="shared" si="16"/>
        <v/>
      </c>
      <c r="BA250" s="28" t="str">
        <f t="shared" si="17"/>
        <v/>
      </c>
      <c r="BB250" s="28" t="str">
        <f t="shared" si="18"/>
        <v/>
      </c>
      <c r="BC250" s="28" t="str">
        <f t="array" ref="BC250">IF($I250="","",LET(
conf,AI250,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duoMax,XLOOKUP($B250,Derived_Variables!$A:$A,Derived_Variables!$AI:$AI,4),
axisTol,XLOOKUP($B250,Derived_Variables!$A:$A,Derived_Variables!$W:$W,1),
maxStart,XLOOKUP($B250,Derived_Variables!$A:$A,Derived_Variables!$U:$U,1.25),
maxAR,XLOOKUP($B250,Derived_Variables!$A:$A,Derived_Variables!$V:$V,3),
anom,XLOOKUP($B250,Derived_Variables!$A:$A,Derived_Variables!$Z:$Z,FALSE),
reStart,XLOOKUP($B250,Derived_Variables!$A:$A,Derived_Variables!$K:$K,0),
leStart,XLOOKUP($B250,Derived_Variables!$A:$A,Derived_Variables!$N:$N,0),
reAR,XLOOKUP($B250,AR_Input!$A:$A,AR_Input!$B:$B,reStart),
leAR,XLOOKUP($B250,AR_Input!$A:$A,AR_Input!$E:$E,leStart),
reEsc,AND(anom,OR(ABS((S250+AM250)-reStart)&gt;maxStart,ABS((S250+AM250)-reAR)&gt;maxAR)),
leEsc,AND(anom,OR(ABS((V250+AP250)-leStart)&gt;maxStart,ABS((V250+AP250)-leAR)&gt;maxAR)),
phaseMax,IFS(
 AK250="Fast",
   IFS(
     OR(C250="B",C250="D"),XLOOKUP("timeout_coarse_fast",Calibration!$B:$B,Calibration!$C:$C,24),
     OR(C250="E",C250="F",C250="H",C250="I"),XLOOKUP("timeout_jcc_fast",Calibration!$B:$B,Calibration!$C:$C,10),
     OR(C250="G",C250="J"),XLOOKUP("timeout_duochrome_fast",Calibration!$B:$B,Calibration!$C:$C,8),
     C250="K",XLOOKUP("timeout_bino_fast",Calibration!$B:$B,Calibration!$C:$C,10),
     OR(C250="P",C250="Q",C250="R"),XLOOKUP("timeout_near_fast",Calibration!$B:$B,Calibration!$C:$C,16),
     TRUE,XLOOKUP("timeout_coarse_fast",Calibration!$B:$B,Calibration!$C:$C,24)
   ),
 AK250="Normal",
   IFS(
     OR(C250="B",C250="D"),XLOOKUP("timeout_coarse_normal",Calibration!$B:$B,Calibration!$C:$C,36),
     OR(C250="E",C250="F",C250="H",C250="I"),XLOOKUP("timeout_jcc_normal",Calibration!$B:$B,Calibration!$C:$C,14),
     OR(C250="G",C250="J"),XLOOKUP("timeout_duochrome_normal",Calibration!$B:$B,Calibration!$C:$C,10),
     C250="K",XLOOKUP("timeout_bino_normal",Calibration!$B:$B,Calibration!$C:$C,14),
     OR(C250="P",C250="Q",C250="R"),XLOOKUP("timeout_near_normal",Calibration!$B:$B,Calibration!$C:$C,22),
     TRUE,XLOOKUP("timeout_coarse_normal",Calibration!$B:$B,Calibration!$C:$C,36)
   ),
 TRUE,
   IFS(
     OR(C250="B",C250="D"),XLOOKUP("timeout_coarse_slow",Calibration!$B:$B,Calibration!$C:$C,48),
     OR(C250="E",C250="F",C250="H",C250="I"),XLOOKUP("timeout_jcc_slow",Calibration!$B:$B,Calibration!$C:$C,18),
     OR(C250="G",C250="J"),XLOOKUP("timeout_duochrome_slow",Calibration!$B:$B,Calibration!$C:$C,12),
     C250="K",XLOOKUP("timeout_bino_slow",Calibration!$B:$B,Calibration!$C:$C,18),
     OR(C250="P",C250="Q",C250="R"),XLOOKUP("timeout_near_slow",Calibration!$B:$B,Calibration!$C:$C,28),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AJ250=TRUE,"ESCALATE",
C250="A",
IF(OR(I250="NOT_READABLE",I250="BLURRY",AND(R250="20_20_20",I250="READABLE")),"B","A"),
C250="B",
IF(reEsc,"ESCALATE",IF(AY250&gt;=phaseMax,"ESCALATE",IF(AND(AV250&gt;=AW250,I250="READABLE"),"E","B"))),
C250="E",
IF(AY250&gt;=phaseMax,"ESCALATE",IF(OR(I250="SAME",I250="CANT_TELL",AD250&lt;axisTol),"F","E")),
C250="F",
IF(AY250&gt;=phaseMax,"ESCALATE",IF(AX250&gt;=powerSameN,"G","F")),
C250="G",
IF(AY250&gt;=phaseMax,"ESCALATE",IF(OR(AX250&gt;=duoEqualN,BB250&gt;=duoMax),"D","G")),
C250="D",
IF(leEsc,"ESCALATE",IF(AY250&gt;=phaseMax,"ESCALATE",IF(AND(AV250&gt;=AW250,I250="READABLE"),"H","D"))),
C250="H",
IF(AY250&gt;=phaseMax,"ESCALATE",IF(OR(I250="SAME",I250="CANT_TELL",AD250&lt;axisTol),"I","H")),
C250="I",
IF(AY250&gt;=phaseMax,"ESCALATE",IF(AX250&gt;=powerSameN,"J","I")),
C250="J",
IF(AY250&gt;=phaseMax,"ESCALATE",IF(OR(AX250&gt;=duoEqualN,BB250&gt;=duoMax),"K","J")),
C250="K",
IF(AY250&gt;=phaseMax,"ESCALATE",IF(AX250&gt;=binoSameN,IF(XLOOKUP($B250,Derived_Variables!$A:$A,Derived_Variables!$AJ:$AJ,FALSE)=TRUE,"P","END"),"K")),
C250="P",
IF(AY250&gt;=phaseMax,"ESCALATE",IF(OR(I250="READABLE",I250="SAME"),"Q","P")),
C250="Q",
IF(AY250&gt;=phaseMax,"ESCALATE",IF(OR(I250="READABLE",I250="SAME"),"R","Q")),
C250="R",
IF(AY250&gt;=phaseMax,"ESCALATE",IF(OR(I250=nearTarget,I250="SAME"),"END","R")),
TRUE,"END"
)))</f>
        <v/>
      </c>
      <c r="BD250" s="28" t="b">
        <f t="shared" si="19"/>
        <v>0</v>
      </c>
    </row>
    <row r="251" ht="15.75" customHeight="1">
      <c r="A251" s="28">
        <f t="shared" si="3"/>
        <v>250</v>
      </c>
      <c r="B251" s="28">
        <f t="shared" si="4"/>
        <v>6</v>
      </c>
      <c r="C251" s="28" t="str">
        <f t="shared" si="5"/>
        <v/>
      </c>
      <c r="D251" s="28" t="str">
        <f t="array" ref="D251">IF($I250="","",XLOOKUP(C251,FSM_State_Map!A:A,FSM_State_Map!B:B,""))</f>
        <v/>
      </c>
      <c r="E251" s="28" t="str">
        <f t="array" ref="E251">IF($I250="","",XLOOKUP(C251,FSM_State_Map!A:A,FSM_State_Map!C:C,""))</f>
        <v/>
      </c>
      <c r="F251" s="28" t="str">
        <f t="array" ref="F251">IF($I250="","",XLOOKUP(E251,Phase_UI_Map!A:A,Phase_UI_Map!B:B,""))</f>
        <v/>
      </c>
      <c r="G251" s="28" t="str">
        <f t="array" ref="G251">IF($I250="","",XLOOKUP(E251,Phase_UI_Map!A:A,Phase_UI_Map!C:C,""))</f>
        <v/>
      </c>
      <c r="H251" s="28" t="str">
        <f t="array" ref="H251">IF($I250="","",XLOOKUP(E251,Phase_UI_Map!A:A,Phase_UI_Map!D:D,""))</f>
        <v/>
      </c>
      <c r="I251" s="29"/>
      <c r="J251" s="28" t="str">
        <f>IFERROR(__xludf.DUMMYFUNCTION("IF($I250="""","""",IFERROR(INDEX(FILTER(Response_Lists!$B:$B,Response_Lists!$A:$A=$H251),1),""""))"),"")</f>
        <v/>
      </c>
      <c r="K251" s="28" t="str">
        <f>IFERROR(__xludf.DUMMYFUNCTION("IF($I250="""","""",IFERROR(INDEX(FILTER(Response_Lists!$B:$B,Response_Lists!$A:$A=$H251),2),""""))"),"")</f>
        <v/>
      </c>
      <c r="L251" s="28" t="str">
        <f>IFERROR(__xludf.DUMMYFUNCTION("IF($I250="""","""",IFERROR(INDEX(FILTER(Response_Lists!$B:$B,Response_Lists!$A:$A=$H251),3),""""))"),"")</f>
        <v/>
      </c>
      <c r="M251" s="28" t="str">
        <f>IFERROR(__xludf.DUMMYFUNCTION("IF($I250="""","""",IFERROR(INDEX(FILTER(Response_Lists!$B:$B,Response_Lists!$A:$A=$H251),4),""""))"),"")</f>
        <v/>
      </c>
      <c r="N251" s="28" t="str">
        <f>IFERROR(__xludf.DUMMYFUNCTION("IF($I250="""","""",IFERROR(INDEX(FILTER(Response_Lists!$B:$B,Response_Lists!$A:$A=$H251),5),""""))"),"")</f>
        <v/>
      </c>
      <c r="O251" s="28" t="str">
        <f>IFERROR(__xludf.DUMMYFUNCTION("IF($I250="""","""",IFERROR(INDEX(FILTER(Response_Lists!$B:$B,Response_Lists!$A:$A=$H251),6),""""))"),"")</f>
        <v/>
      </c>
      <c r="P251" s="28" t="str">
        <f t="shared" si="6"/>
        <v/>
      </c>
      <c r="Q251" s="28" t="str">
        <f t="array" ref="Q251">IF($I250="","",XLOOKUP(C251,FSM_State_Map!A:A,FSM_State_Map!D:D,""))</f>
        <v/>
      </c>
      <c r="R251" s="28" t="str">
        <f t="shared" si="7"/>
        <v/>
      </c>
      <c r="S251" s="28" t="str">
        <f t="array" ref="S251">IF($I250="","",
IF(
  AND(C251="B",C250&lt;&gt;"B"),
  XLOOKUP($B251,Derived_Variables!$A:$A,Derived_Variables!$K:$K,0)
  + XLOOKUP($B251,Derived_Variables!$A:$A,Derived_Variables!$AE:$AE,0),
  S250+AM250
))</f>
        <v/>
      </c>
      <c r="T251" s="28" t="str">
        <f t="shared" ref="T251:U251" si="512">IF($I250="","",T250+AN250)</f>
        <v/>
      </c>
      <c r="U251" s="28" t="str">
        <f t="shared" si="512"/>
        <v/>
      </c>
      <c r="V251" s="28" t="str">
        <f t="array" ref="V251">IF($I250="","",
IF(
  AND(C251="D",C250&lt;&gt;"D"),
  XLOOKUP($B251,Derived_Variables!$A:$A,Derived_Variables!$N:$N,0)
  + XLOOKUP($B251,Derived_Variables!$A:$A,Derived_Variables!$AE:$AE,0),
  V250+AP250
))</f>
        <v/>
      </c>
      <c r="W251" s="28" t="str">
        <f t="shared" ref="W251:X251" si="513">IF($I250="","",W250+AQ250)</f>
        <v/>
      </c>
      <c r="X251" s="28" t="str">
        <f t="shared" si="513"/>
        <v/>
      </c>
      <c r="Y251" s="28" t="str">
        <f t="array" ref="Y251">IF($I250="","",IF(AND(C251="P",C250&lt;&gt;"P"),IFERROR(XLOOKUP($B251,Lenso_Input!$A:$A,Lenso_Input!$E:$E,0),0),Y250+AS250))</f>
        <v/>
      </c>
      <c r="Z251" s="28" t="str">
        <f t="array" ref="Z251">IF($I250="","",IF(AND(C251="Q",C250&lt;&gt;"Q"),IFERROR(XLOOKUP($B251,Lenso_Input!$A:$A,Lenso_Input!$I:$I,0),0),Z250+AT250))</f>
        <v/>
      </c>
      <c r="AA251" s="28" t="str">
        <f t="array" ref="AA251">IF($I250="","",IF(XLOOKUP($B251,Derived_Variables!$A:$A,Derived_Variables!$R:$R,"6/6_target")="6/6_target","20_20_20","40_30_25"))</f>
        <v/>
      </c>
      <c r="AB251" s="28" t="str">
        <f t="array" ref="AB251">IF($I250="","",XLOOKUP(LOWER(XLOOKUP($B251,Derived_Variables!$A:$A,Derived_Variables!$T:$T,"Standard"))&amp;"_sph_step",Calibration!$B:$B,Calibration!$C:$C,0.25))</f>
        <v/>
      </c>
      <c r="AC251" s="28" t="str">
        <f t="array" ref="AC251">IF($I250="","",XLOOKUP(LOWER(XLOOKUP($B251,Derived_Variables!$A:$A,Derived_Variables!$T:$T,"Standard"))&amp;"_cyl_step",Calibration!$B:$B,Calibration!$C:$C,0.25))</f>
        <v/>
      </c>
      <c r="AD251" s="28" t="str">
        <f t="array" ref="AD251">IF($I250="","",IF(OR(C251="E",C251="H"),LET(startStep,XLOOKUP("axis_start_step",Calibration!$B:$B,Calibration!$C:$C,5),step1,XLOOKUP("axis_reversal_step_1",Calibration!$B:$B,Calibration!$C:$C,3),step2,XLOOKUP("axis_reversal_step_2",Calibration!$B:$B,Calibration!$C:$C,1),IF(OR(C250&lt;&gt;C251,AZ251="",AZ251="SAME",AZ251="CANT_TELL",I251="",I251="SAME",I251="CANT_TELL"),startStep,IF(OR(AND(AZ251="BETTER_1",I251="BETTER_2"),AND(AZ251="BETTER_2",I251="BETTER_1")),IF(AD250&gt;step1,step1,step2),AD250))),0))</f>
        <v/>
      </c>
      <c r="AE251" s="28" t="str">
        <f t="array" ref="AE251">IF($I250="","",XLOOKUP($B251,Derived_Variables!$A:$A,Derived_Variables!$AD:$AD,"No_Fog"))</f>
        <v/>
      </c>
      <c r="AF251" s="28" t="str">
        <f t="array" ref="AF251">IF($I250="","",XLOOKUP($B251,Derived_Variables!$A:$A,Derived_Variables!$AE:$AE,0))</f>
        <v/>
      </c>
      <c r="AG251" s="28" t="str">
        <f t="array" ref="AG251">IF($I250="","",XLOOKUP($B251,Derived_Variables!$A:$A,Derived_Variables!$AF:$AF,""))</f>
        <v/>
      </c>
      <c r="AH251" s="28" t="str">
        <f t="array" ref="AH251">IF($I250="","",XLOOKUP($B251,Derived_Variables!$A:$A,Derived_Variables!$AG:$AG,""))</f>
        <v/>
      </c>
      <c r="AI251" s="28" t="str">
        <f t="array" ref="AI251">IF($I250="","",XLOOKUP($B251,Derived_Variables!$A:$A,Derived_Variables!$AC:$AC,"Medium"))</f>
        <v/>
      </c>
      <c r="AJ251" s="28" t="str">
        <f t="array" ref="AJ251">IF($I250="","",XLOOKUP($B251,Derived_Variables!$A:$A,Derived_Variables!$Y:$Y,FALSE))</f>
        <v/>
      </c>
      <c r="AK251" s="28" t="str">
        <f t="array" ref="AK251">IF($I250="","",XLOOKUP($B251,Derived_Variables!$A:$A,Derived_Variables!$AA:$AA,"Normal"))</f>
        <v/>
      </c>
      <c r="AL251" s="28" t="str">
        <f t="array" ref="AL251">IF($I250="","",XLOOKUP($B251,Derived_Variables!$A:$A,Derived_Variables!$AB:$AB,"Normal"))</f>
        <v/>
      </c>
      <c r="AM251" s="28" t="str">
        <f t="array" ref="AM251">IF($I251="","",IFS(C251="B",IF(OR(I251="NOT_READABLE",I251="BLURRY"),-AB251,0),C251="G",IFS(I251="RED_CLEARER",XLOOKUP("duochrome_red_step",Calibration!$B:$B,Calibration!$C:$C,-0.25),I251="GREEN_CLEARER",XLOOKUP("duochrome_green_step",Calibration!$B:$B,Calibration!$C:$C,0.25),I251="EQUAL",IF(XLOOKUP($B251,Derived_Variables!$A:$A,Derived_Variables!$S:$S,"Neutral")="Undercorrect",XLOOKUP("undercorrect_step",Calibration!$B:$B,Calibration!$C:$C,0.25),IF(XLOOKUP($B251,Derived_Variables!$A:$A,Derived_Variables!$S:$S,"Neutral")="Overcorrect",-XLOOKUP("overcorrect_step",Calibration!$B:$B,Calibration!$C:$C,0.25),0)),TRUE,0),C251="K",IF(I251="TOP_CLEARER",XLOOKUP("bino_balance_step",Calibration!$B:$B,Calibration!$C:$C,0.25),0),TRUE,0))</f>
        <v/>
      </c>
      <c r="AN251" s="28" t="str">
        <f t="shared" si="10"/>
        <v/>
      </c>
      <c r="AO251" s="28" t="str">
        <f t="shared" si="11"/>
        <v/>
      </c>
      <c r="AP251" s="28" t="str">
        <f t="array" ref="AP251">IF($I251="","",IFS(C251="D",IF(OR(I251="NOT_READABLE",I251="BLURRY"),-AB251,0),C251="J",IFS(I251="RED_CLEARER",XLOOKUP("duochrome_red_step",Calibration!$B:$B,Calibration!$C:$C,-0.25),I251="GREEN_CLEARER",XLOOKUP("duochrome_green_step",Calibration!$B:$B,Calibration!$C:$C,0.25),I251="EQUAL",IF(XLOOKUP($B251,Derived_Variables!$A:$A,Derived_Variables!$S:$S,"Neutral")="Undercorrect",XLOOKUP("undercorrect_step",Calibration!$B:$B,Calibration!$C:$C,0.25),IF(XLOOKUP($B251,Derived_Variables!$A:$A,Derived_Variables!$S:$S,"Neutral")="Overcorrect",-XLOOKUP("overcorrect_step",Calibration!$B:$B,Calibration!$C:$C,0.25),0)),TRUE,0),C251="K",IF(I251="BOTTOM_CLEARER",XLOOKUP("bino_balance_step",Calibration!$B:$B,Calibration!$C:$C,0.25),0),TRUE,0))</f>
        <v/>
      </c>
      <c r="AQ251" s="28" t="str">
        <f t="shared" si="12"/>
        <v/>
      </c>
      <c r="AR251" s="28" t="str">
        <f t="shared" si="13"/>
        <v/>
      </c>
      <c r="AS251" s="28" t="str">
        <f t="array" ref="AS251">IF($I251="","",IF(C251="P",IF(OR(I251="NOT_READABLE",I251="BLURRY"),XLOOKUP("near_add_step",Calibration!$B:$B,Calibration!$C:$C,0.25),0),IF(C251="R",IF(I251="NOT_CLEAR",XLOOKUP("near_add_step",Calibration!$B:$B,Calibration!$C:$C,0.25),0),0)))</f>
        <v/>
      </c>
      <c r="AT251" s="28" t="str">
        <f t="array" ref="AT251">IF($I251="","",IF(C251="Q",IF(OR(I251="NOT_READABLE",I251="BLURRY"),XLOOKUP("near_add_step",Calibration!$B:$B,Calibration!$C:$C,0.25),0),IF(C251="R",IF(I251="NOT_CLEAR",XLOOKUP("near_add_step",Calibration!$B:$B,Calibration!$C:$C,0.25),0),0)))</f>
        <v/>
      </c>
      <c r="AU251" s="28" t="str">
        <f t="array" ref="AU251">IF($I251="","",IF(G251="SNELLEN_FEET",IF(I251="READABLE",IFERROR(XLOOKUP(XLOOKUP(R251,Chart_Scale_Distance!B:B,Chart_Scale_Distance!A:A)+1,Chart_Scale_Distance!A:A,Chart_Scale_Distance!B:B),R251),R251),R251))</f>
        <v/>
      </c>
      <c r="AV251" s="28" t="str">
        <f t="array" ref="AV251">IF($I250="","",IFERROR(XLOOKUP(R251,Chart_Scale_Distance!$B:$B,Chart_Scale_Distance!$A:$A,""),""))</f>
        <v/>
      </c>
      <c r="AW251" s="28" t="str">
        <f t="array" ref="AW251">IF($I250="","",IFERROR(XLOOKUP(AA251,Chart_Scale_Distance!$B:$B,Chart_Scale_Distance!$A:$A,""),""))</f>
        <v/>
      </c>
      <c r="AX251" s="28" t="str">
        <f t="shared" si="14"/>
        <v/>
      </c>
      <c r="AY251" s="28" t="str">
        <f t="shared" si="15"/>
        <v/>
      </c>
      <c r="AZ251" s="28" t="str">
        <f t="shared" si="16"/>
        <v/>
      </c>
      <c r="BA251" s="28" t="str">
        <f t="shared" si="17"/>
        <v/>
      </c>
      <c r="BB251" s="28" t="str">
        <f t="shared" si="18"/>
        <v/>
      </c>
      <c r="BC251" s="28" t="str">
        <f t="array" ref="BC251">IF($I251="","",LET(
conf,AI251,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duoMax,XLOOKUP($B251,Derived_Variables!$A:$A,Derived_Variables!$AI:$AI,4),
axisTol,XLOOKUP($B251,Derived_Variables!$A:$A,Derived_Variables!$W:$W,1),
maxStart,XLOOKUP($B251,Derived_Variables!$A:$A,Derived_Variables!$U:$U,1.25),
maxAR,XLOOKUP($B251,Derived_Variables!$A:$A,Derived_Variables!$V:$V,3),
anom,XLOOKUP($B251,Derived_Variables!$A:$A,Derived_Variables!$Z:$Z,FALSE),
reStart,XLOOKUP($B251,Derived_Variables!$A:$A,Derived_Variables!$K:$K,0),
leStart,XLOOKUP($B251,Derived_Variables!$A:$A,Derived_Variables!$N:$N,0),
reAR,XLOOKUP($B251,AR_Input!$A:$A,AR_Input!$B:$B,reStart),
leAR,XLOOKUP($B251,AR_Input!$A:$A,AR_Input!$E:$E,leStart),
reEsc,AND(anom,OR(ABS((S251+AM251)-reStart)&gt;maxStart,ABS((S251+AM251)-reAR)&gt;maxAR)),
leEsc,AND(anom,OR(ABS((V251+AP251)-leStart)&gt;maxStart,ABS((V251+AP251)-leAR)&gt;maxAR)),
phaseMax,IFS(
 AK251="Fast",
   IFS(
     OR(C251="B",C251="D"),XLOOKUP("timeout_coarse_fast",Calibration!$B:$B,Calibration!$C:$C,24),
     OR(C251="E",C251="F",C251="H",C251="I"),XLOOKUP("timeout_jcc_fast",Calibration!$B:$B,Calibration!$C:$C,10),
     OR(C251="G",C251="J"),XLOOKUP("timeout_duochrome_fast",Calibration!$B:$B,Calibration!$C:$C,8),
     C251="K",XLOOKUP("timeout_bino_fast",Calibration!$B:$B,Calibration!$C:$C,10),
     OR(C251="P",C251="Q",C251="R"),XLOOKUP("timeout_near_fast",Calibration!$B:$B,Calibration!$C:$C,16),
     TRUE,XLOOKUP("timeout_coarse_fast",Calibration!$B:$B,Calibration!$C:$C,24)
   ),
 AK251="Normal",
   IFS(
     OR(C251="B",C251="D"),XLOOKUP("timeout_coarse_normal",Calibration!$B:$B,Calibration!$C:$C,36),
     OR(C251="E",C251="F",C251="H",C251="I"),XLOOKUP("timeout_jcc_normal",Calibration!$B:$B,Calibration!$C:$C,14),
     OR(C251="G",C251="J"),XLOOKUP("timeout_duochrome_normal",Calibration!$B:$B,Calibration!$C:$C,10),
     C251="K",XLOOKUP("timeout_bino_normal",Calibration!$B:$B,Calibration!$C:$C,14),
     OR(C251="P",C251="Q",C251="R"),XLOOKUP("timeout_near_normal",Calibration!$B:$B,Calibration!$C:$C,22),
     TRUE,XLOOKUP("timeout_coarse_normal",Calibration!$B:$B,Calibration!$C:$C,36)
   ),
 TRUE,
   IFS(
     OR(C251="B",C251="D"),XLOOKUP("timeout_coarse_slow",Calibration!$B:$B,Calibration!$C:$C,48),
     OR(C251="E",C251="F",C251="H",C251="I"),XLOOKUP("timeout_jcc_slow",Calibration!$B:$B,Calibration!$C:$C,18),
     OR(C251="G",C251="J"),XLOOKUP("timeout_duochrome_slow",Calibration!$B:$B,Calibration!$C:$C,12),
     C251="K",XLOOKUP("timeout_bino_slow",Calibration!$B:$B,Calibration!$C:$C,18),
     OR(C251="P",C251="Q",C251="R"),XLOOKUP("timeout_near_slow",Calibration!$B:$B,Calibration!$C:$C,28),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AJ251=TRUE,"ESCALATE",
C251="A",
IF(OR(I251="NOT_READABLE",I251="BLURRY",AND(R251="20_20_20",I251="READABLE")),"B","A"),
C251="B",
IF(reEsc,"ESCALATE",IF(AY251&gt;=phaseMax,"ESCALATE",IF(AND(AV251&gt;=AW251,I251="READABLE"),"E","B"))),
C251="E",
IF(AY251&gt;=phaseMax,"ESCALATE",IF(OR(I251="SAME",I251="CANT_TELL",AD251&lt;axisTol),"F","E")),
C251="F",
IF(AY251&gt;=phaseMax,"ESCALATE",IF(AX251&gt;=powerSameN,"G","F")),
C251="G",
IF(AY251&gt;=phaseMax,"ESCALATE",IF(OR(AX251&gt;=duoEqualN,BB251&gt;=duoMax),"D","G")),
C251="D",
IF(leEsc,"ESCALATE",IF(AY251&gt;=phaseMax,"ESCALATE",IF(AND(AV251&gt;=AW251,I251="READABLE"),"H","D"))),
C251="H",
IF(AY251&gt;=phaseMax,"ESCALATE",IF(OR(I251="SAME",I251="CANT_TELL",AD251&lt;axisTol),"I","H")),
C251="I",
IF(AY251&gt;=phaseMax,"ESCALATE",IF(AX251&gt;=powerSameN,"J","I")),
C251="J",
IF(AY251&gt;=phaseMax,"ESCALATE",IF(OR(AX251&gt;=duoEqualN,BB251&gt;=duoMax),"K","J")),
C251="K",
IF(AY251&gt;=phaseMax,"ESCALATE",IF(AX251&gt;=binoSameN,IF(XLOOKUP($B251,Derived_Variables!$A:$A,Derived_Variables!$AJ:$AJ,FALSE)=TRUE,"P","END"),"K")),
C251="P",
IF(AY251&gt;=phaseMax,"ESCALATE",IF(OR(I251="READABLE",I251="SAME"),"Q","P")),
C251="Q",
IF(AY251&gt;=phaseMax,"ESCALATE",IF(OR(I251="READABLE",I251="SAME"),"R","Q")),
C251="R",
IF(AY251&gt;=phaseMax,"ESCALATE",IF(OR(I251=nearTarget,I251="SAME"),"END","R")),
TRUE,"END"
)))</f>
        <v/>
      </c>
      <c r="BD251" s="28" t="b">
        <f t="shared" si="19"/>
        <v>0</v>
      </c>
    </row>
    <row r="252" ht="15.75" customHeight="1">
      <c r="A252" s="28">
        <f t="shared" si="3"/>
        <v>251</v>
      </c>
      <c r="B252" s="28">
        <f t="shared" si="4"/>
        <v>6</v>
      </c>
      <c r="C252" s="28" t="str">
        <f t="shared" si="5"/>
        <v/>
      </c>
      <c r="D252" s="28" t="str">
        <f t="array" ref="D252">IF($I251="","",XLOOKUP(C252,FSM_State_Map!A:A,FSM_State_Map!B:B,""))</f>
        <v/>
      </c>
      <c r="E252" s="28" t="str">
        <f t="array" ref="E252">IF($I251="","",XLOOKUP(C252,FSM_State_Map!A:A,FSM_State_Map!C:C,""))</f>
        <v/>
      </c>
      <c r="F252" s="28" t="str">
        <f t="array" ref="F252">IF($I251="","",XLOOKUP(E252,Phase_UI_Map!A:A,Phase_UI_Map!B:B,""))</f>
        <v/>
      </c>
      <c r="G252" s="28" t="str">
        <f t="array" ref="G252">IF($I251="","",XLOOKUP(E252,Phase_UI_Map!A:A,Phase_UI_Map!C:C,""))</f>
        <v/>
      </c>
      <c r="H252" s="28" t="str">
        <f t="array" ref="H252">IF($I251="","",XLOOKUP(E252,Phase_UI_Map!A:A,Phase_UI_Map!D:D,""))</f>
        <v/>
      </c>
      <c r="I252" s="29"/>
      <c r="J252" s="28" t="str">
        <f>IFERROR(__xludf.DUMMYFUNCTION("IF($I251="""","""",IFERROR(INDEX(FILTER(Response_Lists!$B:$B,Response_Lists!$A:$A=$H252),1),""""))"),"")</f>
        <v/>
      </c>
      <c r="K252" s="28" t="str">
        <f>IFERROR(__xludf.DUMMYFUNCTION("IF($I251="""","""",IFERROR(INDEX(FILTER(Response_Lists!$B:$B,Response_Lists!$A:$A=$H252),2),""""))"),"")</f>
        <v/>
      </c>
      <c r="L252" s="28" t="str">
        <f>IFERROR(__xludf.DUMMYFUNCTION("IF($I251="""","""",IFERROR(INDEX(FILTER(Response_Lists!$B:$B,Response_Lists!$A:$A=$H252),3),""""))"),"")</f>
        <v/>
      </c>
      <c r="M252" s="28" t="str">
        <f>IFERROR(__xludf.DUMMYFUNCTION("IF($I251="""","""",IFERROR(INDEX(FILTER(Response_Lists!$B:$B,Response_Lists!$A:$A=$H252),4),""""))"),"")</f>
        <v/>
      </c>
      <c r="N252" s="28" t="str">
        <f>IFERROR(__xludf.DUMMYFUNCTION("IF($I251="""","""",IFERROR(INDEX(FILTER(Response_Lists!$B:$B,Response_Lists!$A:$A=$H252),5),""""))"),"")</f>
        <v/>
      </c>
      <c r="O252" s="28" t="str">
        <f>IFERROR(__xludf.DUMMYFUNCTION("IF($I251="""","""",IFERROR(INDEX(FILTER(Response_Lists!$B:$B,Response_Lists!$A:$A=$H252),6),""""))"),"")</f>
        <v/>
      </c>
      <c r="P252" s="28" t="str">
        <f t="shared" si="6"/>
        <v/>
      </c>
      <c r="Q252" s="28" t="str">
        <f t="array" ref="Q252">IF($I251="","",XLOOKUP(C252,FSM_State_Map!A:A,FSM_State_Map!D:D,""))</f>
        <v/>
      </c>
      <c r="R252" s="28" t="str">
        <f t="shared" si="7"/>
        <v/>
      </c>
      <c r="S252" s="28" t="str">
        <f t="array" ref="S252">IF($I251="","",
IF(
  AND(C252="B",C251&lt;&gt;"B"),
  XLOOKUP($B252,Derived_Variables!$A:$A,Derived_Variables!$K:$K,0)
  + XLOOKUP($B252,Derived_Variables!$A:$A,Derived_Variables!$AE:$AE,0),
  S251+AM251
))</f>
        <v/>
      </c>
      <c r="T252" s="28" t="str">
        <f t="shared" ref="T252:U252" si="514">IF($I251="","",T251+AN251)</f>
        <v/>
      </c>
      <c r="U252" s="28" t="str">
        <f t="shared" si="514"/>
        <v/>
      </c>
      <c r="V252" s="28" t="str">
        <f t="array" ref="V252">IF($I251="","",
IF(
  AND(C252="D",C251&lt;&gt;"D"),
  XLOOKUP($B252,Derived_Variables!$A:$A,Derived_Variables!$N:$N,0)
  + XLOOKUP($B252,Derived_Variables!$A:$A,Derived_Variables!$AE:$AE,0),
  V251+AP251
))</f>
        <v/>
      </c>
      <c r="W252" s="28" t="str">
        <f t="shared" ref="W252:X252" si="515">IF($I251="","",W251+AQ251)</f>
        <v/>
      </c>
      <c r="X252" s="28" t="str">
        <f t="shared" si="515"/>
        <v/>
      </c>
      <c r="Y252" s="28" t="str">
        <f t="array" ref="Y252">IF($I251="","",IF(AND(C252="P",C251&lt;&gt;"P"),IFERROR(XLOOKUP($B252,Lenso_Input!$A:$A,Lenso_Input!$E:$E,0),0),Y251+AS251))</f>
        <v/>
      </c>
      <c r="Z252" s="28" t="str">
        <f t="array" ref="Z252">IF($I251="","",IF(AND(C252="Q",C251&lt;&gt;"Q"),IFERROR(XLOOKUP($B252,Lenso_Input!$A:$A,Lenso_Input!$I:$I,0),0),Z251+AT251))</f>
        <v/>
      </c>
      <c r="AA252" s="28" t="str">
        <f t="array" ref="AA252">IF($I251="","",IF(XLOOKUP($B252,Derived_Variables!$A:$A,Derived_Variables!$R:$R,"6/6_target")="6/6_target","20_20_20","40_30_25"))</f>
        <v/>
      </c>
      <c r="AB252" s="28" t="str">
        <f t="array" ref="AB252">IF($I251="","",XLOOKUP(LOWER(XLOOKUP($B252,Derived_Variables!$A:$A,Derived_Variables!$T:$T,"Standard"))&amp;"_sph_step",Calibration!$B:$B,Calibration!$C:$C,0.25))</f>
        <v/>
      </c>
      <c r="AC252" s="28" t="str">
        <f t="array" ref="AC252">IF($I251="","",XLOOKUP(LOWER(XLOOKUP($B252,Derived_Variables!$A:$A,Derived_Variables!$T:$T,"Standard"))&amp;"_cyl_step",Calibration!$B:$B,Calibration!$C:$C,0.25))</f>
        <v/>
      </c>
      <c r="AD252" s="28" t="str">
        <f t="array" ref="AD252">IF($I251="","",IF(OR(C252="E",C252="H"),LET(startStep,XLOOKUP("axis_start_step",Calibration!$B:$B,Calibration!$C:$C,5),step1,XLOOKUP("axis_reversal_step_1",Calibration!$B:$B,Calibration!$C:$C,3),step2,XLOOKUP("axis_reversal_step_2",Calibration!$B:$B,Calibration!$C:$C,1),IF(OR(C251&lt;&gt;C252,AZ252="",AZ252="SAME",AZ252="CANT_TELL",I252="",I252="SAME",I252="CANT_TELL"),startStep,IF(OR(AND(AZ252="BETTER_1",I252="BETTER_2"),AND(AZ252="BETTER_2",I252="BETTER_1")),IF(AD251&gt;step1,step1,step2),AD251))),0))</f>
        <v/>
      </c>
      <c r="AE252" s="28" t="str">
        <f t="array" ref="AE252">IF($I251="","",XLOOKUP($B252,Derived_Variables!$A:$A,Derived_Variables!$AD:$AD,"No_Fog"))</f>
        <v/>
      </c>
      <c r="AF252" s="28" t="str">
        <f t="array" ref="AF252">IF($I251="","",XLOOKUP($B252,Derived_Variables!$A:$A,Derived_Variables!$AE:$AE,0))</f>
        <v/>
      </c>
      <c r="AG252" s="28" t="str">
        <f t="array" ref="AG252">IF($I251="","",XLOOKUP($B252,Derived_Variables!$A:$A,Derived_Variables!$AF:$AF,""))</f>
        <v/>
      </c>
      <c r="AH252" s="28" t="str">
        <f t="array" ref="AH252">IF($I251="","",XLOOKUP($B252,Derived_Variables!$A:$A,Derived_Variables!$AG:$AG,""))</f>
        <v/>
      </c>
      <c r="AI252" s="28" t="str">
        <f t="array" ref="AI252">IF($I251="","",XLOOKUP($B252,Derived_Variables!$A:$A,Derived_Variables!$AC:$AC,"Medium"))</f>
        <v/>
      </c>
      <c r="AJ252" s="28" t="str">
        <f t="array" ref="AJ252">IF($I251="","",XLOOKUP($B252,Derived_Variables!$A:$A,Derived_Variables!$Y:$Y,FALSE))</f>
        <v/>
      </c>
      <c r="AK252" s="28" t="str">
        <f t="array" ref="AK252">IF($I251="","",XLOOKUP($B252,Derived_Variables!$A:$A,Derived_Variables!$AA:$AA,"Normal"))</f>
        <v/>
      </c>
      <c r="AL252" s="28" t="str">
        <f t="array" ref="AL252">IF($I251="","",XLOOKUP($B252,Derived_Variables!$A:$A,Derived_Variables!$AB:$AB,"Normal"))</f>
        <v/>
      </c>
      <c r="AM252" s="28" t="str">
        <f t="array" ref="AM252">IF($I252="","",IFS(C252="B",IF(OR(I252="NOT_READABLE",I252="BLURRY"),-AB252,0),C252="G",IFS(I252="RED_CLEARER",XLOOKUP("duochrome_red_step",Calibration!$B:$B,Calibration!$C:$C,-0.25),I252="GREEN_CLEARER",XLOOKUP("duochrome_green_step",Calibration!$B:$B,Calibration!$C:$C,0.25),I252="EQUAL",IF(XLOOKUP($B252,Derived_Variables!$A:$A,Derived_Variables!$S:$S,"Neutral")="Undercorrect",XLOOKUP("undercorrect_step",Calibration!$B:$B,Calibration!$C:$C,0.25),IF(XLOOKUP($B252,Derived_Variables!$A:$A,Derived_Variables!$S:$S,"Neutral")="Overcorrect",-XLOOKUP("overcorrect_step",Calibration!$B:$B,Calibration!$C:$C,0.25),0)),TRUE,0),C252="K",IF(I252="TOP_CLEARER",XLOOKUP("bino_balance_step",Calibration!$B:$B,Calibration!$C:$C,0.25),0),TRUE,0))</f>
        <v/>
      </c>
      <c r="AN252" s="28" t="str">
        <f t="shared" si="10"/>
        <v/>
      </c>
      <c r="AO252" s="28" t="str">
        <f t="shared" si="11"/>
        <v/>
      </c>
      <c r="AP252" s="28" t="str">
        <f t="array" ref="AP252">IF($I252="","",IFS(C252="D",IF(OR(I252="NOT_READABLE",I252="BLURRY"),-AB252,0),C252="J",IFS(I252="RED_CLEARER",XLOOKUP("duochrome_red_step",Calibration!$B:$B,Calibration!$C:$C,-0.25),I252="GREEN_CLEARER",XLOOKUP("duochrome_green_step",Calibration!$B:$B,Calibration!$C:$C,0.25),I252="EQUAL",IF(XLOOKUP($B252,Derived_Variables!$A:$A,Derived_Variables!$S:$S,"Neutral")="Undercorrect",XLOOKUP("undercorrect_step",Calibration!$B:$B,Calibration!$C:$C,0.25),IF(XLOOKUP($B252,Derived_Variables!$A:$A,Derived_Variables!$S:$S,"Neutral")="Overcorrect",-XLOOKUP("overcorrect_step",Calibration!$B:$B,Calibration!$C:$C,0.25),0)),TRUE,0),C252="K",IF(I252="BOTTOM_CLEARER",XLOOKUP("bino_balance_step",Calibration!$B:$B,Calibration!$C:$C,0.25),0),TRUE,0))</f>
        <v/>
      </c>
      <c r="AQ252" s="28" t="str">
        <f t="shared" si="12"/>
        <v/>
      </c>
      <c r="AR252" s="28" t="str">
        <f t="shared" si="13"/>
        <v/>
      </c>
      <c r="AS252" s="28" t="str">
        <f t="array" ref="AS252">IF($I252="","",IF(C252="P",IF(OR(I252="NOT_READABLE",I252="BLURRY"),XLOOKUP("near_add_step",Calibration!$B:$B,Calibration!$C:$C,0.25),0),IF(C252="R",IF(I252="NOT_CLEAR",XLOOKUP("near_add_step",Calibration!$B:$B,Calibration!$C:$C,0.25),0),0)))</f>
        <v/>
      </c>
      <c r="AT252" s="28" t="str">
        <f t="array" ref="AT252">IF($I252="","",IF(C252="Q",IF(OR(I252="NOT_READABLE",I252="BLURRY"),XLOOKUP("near_add_step",Calibration!$B:$B,Calibration!$C:$C,0.25),0),IF(C252="R",IF(I252="NOT_CLEAR",XLOOKUP("near_add_step",Calibration!$B:$B,Calibration!$C:$C,0.25),0),0)))</f>
        <v/>
      </c>
      <c r="AU252" s="28" t="str">
        <f t="array" ref="AU252">IF($I252="","",IF(G252="SNELLEN_FEET",IF(I252="READABLE",IFERROR(XLOOKUP(XLOOKUP(R252,Chart_Scale_Distance!B:B,Chart_Scale_Distance!A:A)+1,Chart_Scale_Distance!A:A,Chart_Scale_Distance!B:B),R252),R252),R252))</f>
        <v/>
      </c>
      <c r="AV252" s="28" t="str">
        <f t="array" ref="AV252">IF($I251="","",IFERROR(XLOOKUP(R252,Chart_Scale_Distance!$B:$B,Chart_Scale_Distance!$A:$A,""),""))</f>
        <v/>
      </c>
      <c r="AW252" s="28" t="str">
        <f t="array" ref="AW252">IF($I251="","",IFERROR(XLOOKUP(AA252,Chart_Scale_Distance!$B:$B,Chart_Scale_Distance!$A:$A,""),""))</f>
        <v/>
      </c>
      <c r="AX252" s="28" t="str">
        <f t="shared" si="14"/>
        <v/>
      </c>
      <c r="AY252" s="28" t="str">
        <f t="shared" si="15"/>
        <v/>
      </c>
      <c r="AZ252" s="28" t="str">
        <f t="shared" si="16"/>
        <v/>
      </c>
      <c r="BA252" s="28" t="str">
        <f t="shared" si="17"/>
        <v/>
      </c>
      <c r="BB252" s="28" t="str">
        <f t="shared" si="18"/>
        <v/>
      </c>
      <c r="BC252" s="28" t="str">
        <f t="array" ref="BC252">IF($I252="","",LET(
conf,AI252,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duoMax,XLOOKUP($B252,Derived_Variables!$A:$A,Derived_Variables!$AI:$AI,4),
axisTol,XLOOKUP($B252,Derived_Variables!$A:$A,Derived_Variables!$W:$W,1),
maxStart,XLOOKUP($B252,Derived_Variables!$A:$A,Derived_Variables!$U:$U,1.25),
maxAR,XLOOKUP($B252,Derived_Variables!$A:$A,Derived_Variables!$V:$V,3),
anom,XLOOKUP($B252,Derived_Variables!$A:$A,Derived_Variables!$Z:$Z,FALSE),
reStart,XLOOKUP($B252,Derived_Variables!$A:$A,Derived_Variables!$K:$K,0),
leStart,XLOOKUP($B252,Derived_Variables!$A:$A,Derived_Variables!$N:$N,0),
reAR,XLOOKUP($B252,AR_Input!$A:$A,AR_Input!$B:$B,reStart),
leAR,XLOOKUP($B252,AR_Input!$A:$A,AR_Input!$E:$E,leStart),
reEsc,AND(anom,OR(ABS((S252+AM252)-reStart)&gt;maxStart,ABS((S252+AM252)-reAR)&gt;maxAR)),
leEsc,AND(anom,OR(ABS((V252+AP252)-leStart)&gt;maxStart,ABS((V252+AP252)-leAR)&gt;maxAR)),
phaseMax,IFS(
 AK252="Fast",
   IFS(
     OR(C252="B",C252="D"),XLOOKUP("timeout_coarse_fast",Calibration!$B:$B,Calibration!$C:$C,24),
     OR(C252="E",C252="F",C252="H",C252="I"),XLOOKUP("timeout_jcc_fast",Calibration!$B:$B,Calibration!$C:$C,10),
     OR(C252="G",C252="J"),XLOOKUP("timeout_duochrome_fast",Calibration!$B:$B,Calibration!$C:$C,8),
     C252="K",XLOOKUP("timeout_bino_fast",Calibration!$B:$B,Calibration!$C:$C,10),
     OR(C252="P",C252="Q",C252="R"),XLOOKUP("timeout_near_fast",Calibration!$B:$B,Calibration!$C:$C,16),
     TRUE,XLOOKUP("timeout_coarse_fast",Calibration!$B:$B,Calibration!$C:$C,24)
   ),
 AK252="Normal",
   IFS(
     OR(C252="B",C252="D"),XLOOKUP("timeout_coarse_normal",Calibration!$B:$B,Calibration!$C:$C,36),
     OR(C252="E",C252="F",C252="H",C252="I"),XLOOKUP("timeout_jcc_normal",Calibration!$B:$B,Calibration!$C:$C,14),
     OR(C252="G",C252="J"),XLOOKUP("timeout_duochrome_normal",Calibration!$B:$B,Calibration!$C:$C,10),
     C252="K",XLOOKUP("timeout_bino_normal",Calibration!$B:$B,Calibration!$C:$C,14),
     OR(C252="P",C252="Q",C252="R"),XLOOKUP("timeout_near_normal",Calibration!$B:$B,Calibration!$C:$C,22),
     TRUE,XLOOKUP("timeout_coarse_normal",Calibration!$B:$B,Calibration!$C:$C,36)
   ),
 TRUE,
   IFS(
     OR(C252="B",C252="D"),XLOOKUP("timeout_coarse_slow",Calibration!$B:$B,Calibration!$C:$C,48),
     OR(C252="E",C252="F",C252="H",C252="I"),XLOOKUP("timeout_jcc_slow",Calibration!$B:$B,Calibration!$C:$C,18),
     OR(C252="G",C252="J"),XLOOKUP("timeout_duochrome_slow",Calibration!$B:$B,Calibration!$C:$C,12),
     C252="K",XLOOKUP("timeout_bino_slow",Calibration!$B:$B,Calibration!$C:$C,18),
     OR(C252="P",C252="Q",C252="R"),XLOOKUP("timeout_near_slow",Calibration!$B:$B,Calibration!$C:$C,28),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AJ252=TRUE,"ESCALATE",
C252="A",
IF(OR(I252="NOT_READABLE",I252="BLURRY",AND(R252="20_20_20",I252="READABLE")),"B","A"),
C252="B",
IF(reEsc,"ESCALATE",IF(AY252&gt;=phaseMax,"ESCALATE",IF(AND(AV252&gt;=AW252,I252="READABLE"),"E","B"))),
C252="E",
IF(AY252&gt;=phaseMax,"ESCALATE",IF(OR(I252="SAME",I252="CANT_TELL",AD252&lt;axisTol),"F","E")),
C252="F",
IF(AY252&gt;=phaseMax,"ESCALATE",IF(AX252&gt;=powerSameN,"G","F")),
C252="G",
IF(AY252&gt;=phaseMax,"ESCALATE",IF(OR(AX252&gt;=duoEqualN,BB252&gt;=duoMax),"D","G")),
C252="D",
IF(leEsc,"ESCALATE",IF(AY252&gt;=phaseMax,"ESCALATE",IF(AND(AV252&gt;=AW252,I252="READABLE"),"H","D"))),
C252="H",
IF(AY252&gt;=phaseMax,"ESCALATE",IF(OR(I252="SAME",I252="CANT_TELL",AD252&lt;axisTol),"I","H")),
C252="I",
IF(AY252&gt;=phaseMax,"ESCALATE",IF(AX252&gt;=powerSameN,"J","I")),
C252="J",
IF(AY252&gt;=phaseMax,"ESCALATE",IF(OR(AX252&gt;=duoEqualN,BB252&gt;=duoMax),"K","J")),
C252="K",
IF(AY252&gt;=phaseMax,"ESCALATE",IF(AX252&gt;=binoSameN,IF(XLOOKUP($B252,Derived_Variables!$A:$A,Derived_Variables!$AJ:$AJ,FALSE)=TRUE,"P","END"),"K")),
C252="P",
IF(AY252&gt;=phaseMax,"ESCALATE",IF(OR(I252="READABLE",I252="SAME"),"Q","P")),
C252="Q",
IF(AY252&gt;=phaseMax,"ESCALATE",IF(OR(I252="READABLE",I252="SAME"),"R","Q")),
C252="R",
IF(AY252&gt;=phaseMax,"ESCALATE",IF(OR(I252=nearTarget,I252="SAME"),"END","R")),
TRUE,"END"
)))</f>
        <v/>
      </c>
      <c r="BD252" s="28" t="b">
        <f t="shared" si="19"/>
        <v>0</v>
      </c>
    </row>
    <row r="253" ht="15.75" customHeight="1">
      <c r="A253" s="28">
        <f t="shared" si="3"/>
        <v>252</v>
      </c>
      <c r="B253" s="28">
        <f t="shared" si="4"/>
        <v>6</v>
      </c>
      <c r="C253" s="28" t="str">
        <f t="shared" si="5"/>
        <v/>
      </c>
      <c r="D253" s="28" t="str">
        <f t="array" ref="D253">IF($I252="","",XLOOKUP(C253,FSM_State_Map!A:A,FSM_State_Map!B:B,""))</f>
        <v/>
      </c>
      <c r="E253" s="28" t="str">
        <f t="array" ref="E253">IF($I252="","",XLOOKUP(C253,FSM_State_Map!A:A,FSM_State_Map!C:C,""))</f>
        <v/>
      </c>
      <c r="F253" s="28" t="str">
        <f t="array" ref="F253">IF($I252="","",XLOOKUP(E253,Phase_UI_Map!A:A,Phase_UI_Map!B:B,""))</f>
        <v/>
      </c>
      <c r="G253" s="28" t="str">
        <f t="array" ref="G253">IF($I252="","",XLOOKUP(E253,Phase_UI_Map!A:A,Phase_UI_Map!C:C,""))</f>
        <v/>
      </c>
      <c r="H253" s="28" t="str">
        <f t="array" ref="H253">IF($I252="","",XLOOKUP(E253,Phase_UI_Map!A:A,Phase_UI_Map!D:D,""))</f>
        <v/>
      </c>
      <c r="I253" s="29"/>
      <c r="J253" s="28" t="str">
        <f>IFERROR(__xludf.DUMMYFUNCTION("IF($I252="""","""",IFERROR(INDEX(FILTER(Response_Lists!$B:$B,Response_Lists!$A:$A=$H253),1),""""))"),"")</f>
        <v/>
      </c>
      <c r="K253" s="28" t="str">
        <f>IFERROR(__xludf.DUMMYFUNCTION("IF($I252="""","""",IFERROR(INDEX(FILTER(Response_Lists!$B:$B,Response_Lists!$A:$A=$H253),2),""""))"),"")</f>
        <v/>
      </c>
      <c r="L253" s="28" t="str">
        <f>IFERROR(__xludf.DUMMYFUNCTION("IF($I252="""","""",IFERROR(INDEX(FILTER(Response_Lists!$B:$B,Response_Lists!$A:$A=$H253),3),""""))"),"")</f>
        <v/>
      </c>
      <c r="M253" s="28" t="str">
        <f>IFERROR(__xludf.DUMMYFUNCTION("IF($I252="""","""",IFERROR(INDEX(FILTER(Response_Lists!$B:$B,Response_Lists!$A:$A=$H253),4),""""))"),"")</f>
        <v/>
      </c>
      <c r="N253" s="28" t="str">
        <f>IFERROR(__xludf.DUMMYFUNCTION("IF($I252="""","""",IFERROR(INDEX(FILTER(Response_Lists!$B:$B,Response_Lists!$A:$A=$H253),5),""""))"),"")</f>
        <v/>
      </c>
      <c r="O253" s="28" t="str">
        <f>IFERROR(__xludf.DUMMYFUNCTION("IF($I252="""","""",IFERROR(INDEX(FILTER(Response_Lists!$B:$B,Response_Lists!$A:$A=$H253),6),""""))"),"")</f>
        <v/>
      </c>
      <c r="P253" s="28" t="str">
        <f t="shared" si="6"/>
        <v/>
      </c>
      <c r="Q253" s="28" t="str">
        <f t="array" ref="Q253">IF($I252="","",XLOOKUP(C253,FSM_State_Map!A:A,FSM_State_Map!D:D,""))</f>
        <v/>
      </c>
      <c r="R253" s="28" t="str">
        <f t="shared" si="7"/>
        <v/>
      </c>
      <c r="S253" s="28" t="str">
        <f t="array" ref="S253">IF($I252="","",
IF(
  AND(C253="B",C252&lt;&gt;"B"),
  XLOOKUP($B253,Derived_Variables!$A:$A,Derived_Variables!$K:$K,0)
  + XLOOKUP($B253,Derived_Variables!$A:$A,Derived_Variables!$AE:$AE,0),
  S252+AM252
))</f>
        <v/>
      </c>
      <c r="T253" s="28" t="str">
        <f t="shared" ref="T253:U253" si="516">IF($I252="","",T252+AN252)</f>
        <v/>
      </c>
      <c r="U253" s="28" t="str">
        <f t="shared" si="516"/>
        <v/>
      </c>
      <c r="V253" s="28" t="str">
        <f t="array" ref="V253">IF($I252="","",
IF(
  AND(C253="D",C252&lt;&gt;"D"),
  XLOOKUP($B253,Derived_Variables!$A:$A,Derived_Variables!$N:$N,0)
  + XLOOKUP($B253,Derived_Variables!$A:$A,Derived_Variables!$AE:$AE,0),
  V252+AP252
))</f>
        <v/>
      </c>
      <c r="W253" s="28" t="str">
        <f t="shared" ref="W253:X253" si="517">IF($I252="","",W252+AQ252)</f>
        <v/>
      </c>
      <c r="X253" s="28" t="str">
        <f t="shared" si="517"/>
        <v/>
      </c>
      <c r="Y253" s="28" t="str">
        <f t="array" ref="Y253">IF($I252="","",IF(AND(C253="P",C252&lt;&gt;"P"),IFERROR(XLOOKUP($B253,Lenso_Input!$A:$A,Lenso_Input!$E:$E,0),0),Y252+AS252))</f>
        <v/>
      </c>
      <c r="Z253" s="28" t="str">
        <f t="array" ref="Z253">IF($I252="","",IF(AND(C253="Q",C252&lt;&gt;"Q"),IFERROR(XLOOKUP($B253,Lenso_Input!$A:$A,Lenso_Input!$I:$I,0),0),Z252+AT252))</f>
        <v/>
      </c>
      <c r="AA253" s="28" t="str">
        <f t="array" ref="AA253">IF($I252="","",IF(XLOOKUP($B253,Derived_Variables!$A:$A,Derived_Variables!$R:$R,"6/6_target")="6/6_target","20_20_20","40_30_25"))</f>
        <v/>
      </c>
      <c r="AB253" s="28" t="str">
        <f t="array" ref="AB253">IF($I252="","",XLOOKUP(LOWER(XLOOKUP($B253,Derived_Variables!$A:$A,Derived_Variables!$T:$T,"Standard"))&amp;"_sph_step",Calibration!$B:$B,Calibration!$C:$C,0.25))</f>
        <v/>
      </c>
      <c r="AC253" s="28" t="str">
        <f t="array" ref="AC253">IF($I252="","",XLOOKUP(LOWER(XLOOKUP($B253,Derived_Variables!$A:$A,Derived_Variables!$T:$T,"Standard"))&amp;"_cyl_step",Calibration!$B:$B,Calibration!$C:$C,0.25))</f>
        <v/>
      </c>
      <c r="AD253" s="28" t="str">
        <f t="array" ref="AD253">IF($I252="","",IF(OR(C253="E",C253="H"),LET(startStep,XLOOKUP("axis_start_step",Calibration!$B:$B,Calibration!$C:$C,5),step1,XLOOKUP("axis_reversal_step_1",Calibration!$B:$B,Calibration!$C:$C,3),step2,XLOOKUP("axis_reversal_step_2",Calibration!$B:$B,Calibration!$C:$C,1),IF(OR(C252&lt;&gt;C253,AZ253="",AZ253="SAME",AZ253="CANT_TELL",I253="",I253="SAME",I253="CANT_TELL"),startStep,IF(OR(AND(AZ253="BETTER_1",I253="BETTER_2"),AND(AZ253="BETTER_2",I253="BETTER_1")),IF(AD252&gt;step1,step1,step2),AD252))),0))</f>
        <v/>
      </c>
      <c r="AE253" s="28" t="str">
        <f t="array" ref="AE253">IF($I252="","",XLOOKUP($B253,Derived_Variables!$A:$A,Derived_Variables!$AD:$AD,"No_Fog"))</f>
        <v/>
      </c>
      <c r="AF253" s="28" t="str">
        <f t="array" ref="AF253">IF($I252="","",XLOOKUP($B253,Derived_Variables!$A:$A,Derived_Variables!$AE:$AE,0))</f>
        <v/>
      </c>
      <c r="AG253" s="28" t="str">
        <f t="array" ref="AG253">IF($I252="","",XLOOKUP($B253,Derived_Variables!$A:$A,Derived_Variables!$AF:$AF,""))</f>
        <v/>
      </c>
      <c r="AH253" s="28" t="str">
        <f t="array" ref="AH253">IF($I252="","",XLOOKUP($B253,Derived_Variables!$A:$A,Derived_Variables!$AG:$AG,""))</f>
        <v/>
      </c>
      <c r="AI253" s="28" t="str">
        <f t="array" ref="AI253">IF($I252="","",XLOOKUP($B253,Derived_Variables!$A:$A,Derived_Variables!$AC:$AC,"Medium"))</f>
        <v/>
      </c>
      <c r="AJ253" s="28" t="str">
        <f t="array" ref="AJ253">IF($I252="","",XLOOKUP($B253,Derived_Variables!$A:$A,Derived_Variables!$Y:$Y,FALSE))</f>
        <v/>
      </c>
      <c r="AK253" s="28" t="str">
        <f t="array" ref="AK253">IF($I252="","",XLOOKUP($B253,Derived_Variables!$A:$A,Derived_Variables!$AA:$AA,"Normal"))</f>
        <v/>
      </c>
      <c r="AL253" s="28" t="str">
        <f t="array" ref="AL253">IF($I252="","",XLOOKUP($B253,Derived_Variables!$A:$A,Derived_Variables!$AB:$AB,"Normal"))</f>
        <v/>
      </c>
      <c r="AM253" s="28" t="str">
        <f t="array" ref="AM253">IF($I253="","",IFS(C253="B",IF(OR(I253="NOT_READABLE",I253="BLURRY"),-AB253,0),C253="G",IFS(I253="RED_CLEARER",XLOOKUP("duochrome_red_step",Calibration!$B:$B,Calibration!$C:$C,-0.25),I253="GREEN_CLEARER",XLOOKUP("duochrome_green_step",Calibration!$B:$B,Calibration!$C:$C,0.25),I253="EQUAL",IF(XLOOKUP($B253,Derived_Variables!$A:$A,Derived_Variables!$S:$S,"Neutral")="Undercorrect",XLOOKUP("undercorrect_step",Calibration!$B:$B,Calibration!$C:$C,0.25),IF(XLOOKUP($B253,Derived_Variables!$A:$A,Derived_Variables!$S:$S,"Neutral")="Overcorrect",-XLOOKUP("overcorrect_step",Calibration!$B:$B,Calibration!$C:$C,0.25),0)),TRUE,0),C253="K",IF(I253="TOP_CLEARER",XLOOKUP("bino_balance_step",Calibration!$B:$B,Calibration!$C:$C,0.25),0),TRUE,0))</f>
        <v/>
      </c>
      <c r="AN253" s="28" t="str">
        <f t="shared" si="10"/>
        <v/>
      </c>
      <c r="AO253" s="28" t="str">
        <f t="shared" si="11"/>
        <v/>
      </c>
      <c r="AP253" s="28" t="str">
        <f t="array" ref="AP253">IF($I253="","",IFS(C253="D",IF(OR(I253="NOT_READABLE",I253="BLURRY"),-AB253,0),C253="J",IFS(I253="RED_CLEARER",XLOOKUP("duochrome_red_step",Calibration!$B:$B,Calibration!$C:$C,-0.25),I253="GREEN_CLEARER",XLOOKUP("duochrome_green_step",Calibration!$B:$B,Calibration!$C:$C,0.25),I253="EQUAL",IF(XLOOKUP($B253,Derived_Variables!$A:$A,Derived_Variables!$S:$S,"Neutral")="Undercorrect",XLOOKUP("undercorrect_step",Calibration!$B:$B,Calibration!$C:$C,0.25),IF(XLOOKUP($B253,Derived_Variables!$A:$A,Derived_Variables!$S:$S,"Neutral")="Overcorrect",-XLOOKUP("overcorrect_step",Calibration!$B:$B,Calibration!$C:$C,0.25),0)),TRUE,0),C253="K",IF(I253="BOTTOM_CLEARER",XLOOKUP("bino_balance_step",Calibration!$B:$B,Calibration!$C:$C,0.25),0),TRUE,0))</f>
        <v/>
      </c>
      <c r="AQ253" s="28" t="str">
        <f t="shared" si="12"/>
        <v/>
      </c>
      <c r="AR253" s="28" t="str">
        <f t="shared" si="13"/>
        <v/>
      </c>
      <c r="AS253" s="28" t="str">
        <f t="array" ref="AS253">IF($I253="","",IF(C253="P",IF(OR(I253="NOT_READABLE",I253="BLURRY"),XLOOKUP("near_add_step",Calibration!$B:$B,Calibration!$C:$C,0.25),0),IF(C253="R",IF(I253="NOT_CLEAR",XLOOKUP("near_add_step",Calibration!$B:$B,Calibration!$C:$C,0.25),0),0)))</f>
        <v/>
      </c>
      <c r="AT253" s="28" t="str">
        <f t="array" ref="AT253">IF($I253="","",IF(C253="Q",IF(OR(I253="NOT_READABLE",I253="BLURRY"),XLOOKUP("near_add_step",Calibration!$B:$B,Calibration!$C:$C,0.25),0),IF(C253="R",IF(I253="NOT_CLEAR",XLOOKUP("near_add_step",Calibration!$B:$B,Calibration!$C:$C,0.25),0),0)))</f>
        <v/>
      </c>
      <c r="AU253" s="28" t="str">
        <f t="array" ref="AU253">IF($I253="","",IF(G253="SNELLEN_FEET",IF(I253="READABLE",IFERROR(XLOOKUP(XLOOKUP(R253,Chart_Scale_Distance!B:B,Chart_Scale_Distance!A:A)+1,Chart_Scale_Distance!A:A,Chart_Scale_Distance!B:B),R253),R253),R253))</f>
        <v/>
      </c>
      <c r="AV253" s="28" t="str">
        <f t="array" ref="AV253">IF($I252="","",IFERROR(XLOOKUP(R253,Chart_Scale_Distance!$B:$B,Chart_Scale_Distance!$A:$A,""),""))</f>
        <v/>
      </c>
      <c r="AW253" s="28" t="str">
        <f t="array" ref="AW253">IF($I252="","",IFERROR(XLOOKUP(AA253,Chart_Scale_Distance!$B:$B,Chart_Scale_Distance!$A:$A,""),""))</f>
        <v/>
      </c>
      <c r="AX253" s="28" t="str">
        <f t="shared" si="14"/>
        <v/>
      </c>
      <c r="AY253" s="28" t="str">
        <f t="shared" si="15"/>
        <v/>
      </c>
      <c r="AZ253" s="28" t="str">
        <f t="shared" si="16"/>
        <v/>
      </c>
      <c r="BA253" s="28" t="str">
        <f t="shared" si="17"/>
        <v/>
      </c>
      <c r="BB253" s="28" t="str">
        <f t="shared" si="18"/>
        <v/>
      </c>
      <c r="BC253" s="28" t="str">
        <f t="array" ref="BC253">IF($I253="","",LET(
conf,AI253,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duoMax,XLOOKUP($B253,Derived_Variables!$A:$A,Derived_Variables!$AI:$AI,4),
axisTol,XLOOKUP($B253,Derived_Variables!$A:$A,Derived_Variables!$W:$W,1),
maxStart,XLOOKUP($B253,Derived_Variables!$A:$A,Derived_Variables!$U:$U,1.25),
maxAR,XLOOKUP($B253,Derived_Variables!$A:$A,Derived_Variables!$V:$V,3),
anom,XLOOKUP($B253,Derived_Variables!$A:$A,Derived_Variables!$Z:$Z,FALSE),
reStart,XLOOKUP($B253,Derived_Variables!$A:$A,Derived_Variables!$K:$K,0),
leStart,XLOOKUP($B253,Derived_Variables!$A:$A,Derived_Variables!$N:$N,0),
reAR,XLOOKUP($B253,AR_Input!$A:$A,AR_Input!$B:$B,reStart),
leAR,XLOOKUP($B253,AR_Input!$A:$A,AR_Input!$E:$E,leStart),
reEsc,AND(anom,OR(ABS((S253+AM253)-reStart)&gt;maxStart,ABS((S253+AM253)-reAR)&gt;maxAR)),
leEsc,AND(anom,OR(ABS((V253+AP253)-leStart)&gt;maxStart,ABS((V253+AP253)-leAR)&gt;maxAR)),
phaseMax,IFS(
 AK253="Fast",
   IFS(
     OR(C253="B",C253="D"),XLOOKUP("timeout_coarse_fast",Calibration!$B:$B,Calibration!$C:$C,24),
     OR(C253="E",C253="F",C253="H",C253="I"),XLOOKUP("timeout_jcc_fast",Calibration!$B:$B,Calibration!$C:$C,10),
     OR(C253="G",C253="J"),XLOOKUP("timeout_duochrome_fast",Calibration!$B:$B,Calibration!$C:$C,8),
     C253="K",XLOOKUP("timeout_bino_fast",Calibration!$B:$B,Calibration!$C:$C,10),
     OR(C253="P",C253="Q",C253="R"),XLOOKUP("timeout_near_fast",Calibration!$B:$B,Calibration!$C:$C,16),
     TRUE,XLOOKUP("timeout_coarse_fast",Calibration!$B:$B,Calibration!$C:$C,24)
   ),
 AK253="Normal",
   IFS(
     OR(C253="B",C253="D"),XLOOKUP("timeout_coarse_normal",Calibration!$B:$B,Calibration!$C:$C,36),
     OR(C253="E",C253="F",C253="H",C253="I"),XLOOKUP("timeout_jcc_normal",Calibration!$B:$B,Calibration!$C:$C,14),
     OR(C253="G",C253="J"),XLOOKUP("timeout_duochrome_normal",Calibration!$B:$B,Calibration!$C:$C,10),
     C253="K",XLOOKUP("timeout_bino_normal",Calibration!$B:$B,Calibration!$C:$C,14),
     OR(C253="P",C253="Q",C253="R"),XLOOKUP("timeout_near_normal",Calibration!$B:$B,Calibration!$C:$C,22),
     TRUE,XLOOKUP("timeout_coarse_normal",Calibration!$B:$B,Calibration!$C:$C,36)
   ),
 TRUE,
   IFS(
     OR(C253="B",C253="D"),XLOOKUP("timeout_coarse_slow",Calibration!$B:$B,Calibration!$C:$C,48),
     OR(C253="E",C253="F",C253="H",C253="I"),XLOOKUP("timeout_jcc_slow",Calibration!$B:$B,Calibration!$C:$C,18),
     OR(C253="G",C253="J"),XLOOKUP("timeout_duochrome_slow",Calibration!$B:$B,Calibration!$C:$C,12),
     C253="K",XLOOKUP("timeout_bino_slow",Calibration!$B:$B,Calibration!$C:$C,18),
     OR(C253="P",C253="Q",C253="R"),XLOOKUP("timeout_near_slow",Calibration!$B:$B,Calibration!$C:$C,28),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AJ253=TRUE,"ESCALATE",
C253="A",
IF(OR(I253="NOT_READABLE",I253="BLURRY",AND(R253="20_20_20",I253="READABLE")),"B","A"),
C253="B",
IF(reEsc,"ESCALATE",IF(AY253&gt;=phaseMax,"ESCALATE",IF(AND(AV253&gt;=AW253,I253="READABLE"),"E","B"))),
C253="E",
IF(AY253&gt;=phaseMax,"ESCALATE",IF(OR(I253="SAME",I253="CANT_TELL",AD253&lt;axisTol),"F","E")),
C253="F",
IF(AY253&gt;=phaseMax,"ESCALATE",IF(AX253&gt;=powerSameN,"G","F")),
C253="G",
IF(AY253&gt;=phaseMax,"ESCALATE",IF(OR(AX253&gt;=duoEqualN,BB253&gt;=duoMax),"D","G")),
C253="D",
IF(leEsc,"ESCALATE",IF(AY253&gt;=phaseMax,"ESCALATE",IF(AND(AV253&gt;=AW253,I253="READABLE"),"H","D"))),
C253="H",
IF(AY253&gt;=phaseMax,"ESCALATE",IF(OR(I253="SAME",I253="CANT_TELL",AD253&lt;axisTol),"I","H")),
C253="I",
IF(AY253&gt;=phaseMax,"ESCALATE",IF(AX253&gt;=powerSameN,"J","I")),
C253="J",
IF(AY253&gt;=phaseMax,"ESCALATE",IF(OR(AX253&gt;=duoEqualN,BB253&gt;=duoMax),"K","J")),
C253="K",
IF(AY253&gt;=phaseMax,"ESCALATE",IF(AX253&gt;=binoSameN,IF(XLOOKUP($B253,Derived_Variables!$A:$A,Derived_Variables!$AJ:$AJ,FALSE)=TRUE,"P","END"),"K")),
C253="P",
IF(AY253&gt;=phaseMax,"ESCALATE",IF(OR(I253="READABLE",I253="SAME"),"Q","P")),
C253="Q",
IF(AY253&gt;=phaseMax,"ESCALATE",IF(OR(I253="READABLE",I253="SAME"),"R","Q")),
C253="R",
IF(AY253&gt;=phaseMax,"ESCALATE",IF(OR(I253=nearTarget,I253="SAME"),"END","R")),
TRUE,"END"
)))</f>
        <v/>
      </c>
      <c r="BD253" s="28" t="b">
        <f t="shared" si="19"/>
        <v>0</v>
      </c>
    </row>
    <row r="254" ht="15.75" customHeight="1">
      <c r="A254" s="28">
        <f t="shared" si="3"/>
        <v>253</v>
      </c>
      <c r="B254" s="28">
        <f t="shared" si="4"/>
        <v>6</v>
      </c>
      <c r="C254" s="28" t="str">
        <f t="shared" si="5"/>
        <v/>
      </c>
      <c r="D254" s="28" t="str">
        <f t="array" ref="D254">IF($I253="","",XLOOKUP(C254,FSM_State_Map!A:A,FSM_State_Map!B:B,""))</f>
        <v/>
      </c>
      <c r="E254" s="28" t="str">
        <f t="array" ref="E254">IF($I253="","",XLOOKUP(C254,FSM_State_Map!A:A,FSM_State_Map!C:C,""))</f>
        <v/>
      </c>
      <c r="F254" s="28" t="str">
        <f t="array" ref="F254">IF($I253="","",XLOOKUP(E254,Phase_UI_Map!A:A,Phase_UI_Map!B:B,""))</f>
        <v/>
      </c>
      <c r="G254" s="28" t="str">
        <f t="array" ref="G254">IF($I253="","",XLOOKUP(E254,Phase_UI_Map!A:A,Phase_UI_Map!C:C,""))</f>
        <v/>
      </c>
      <c r="H254" s="28" t="str">
        <f t="array" ref="H254">IF($I253="","",XLOOKUP(E254,Phase_UI_Map!A:A,Phase_UI_Map!D:D,""))</f>
        <v/>
      </c>
      <c r="I254" s="29"/>
      <c r="J254" s="28" t="str">
        <f>IFERROR(__xludf.DUMMYFUNCTION("IF($I253="""","""",IFERROR(INDEX(FILTER(Response_Lists!$B:$B,Response_Lists!$A:$A=$H254),1),""""))"),"")</f>
        <v/>
      </c>
      <c r="K254" s="28" t="str">
        <f>IFERROR(__xludf.DUMMYFUNCTION("IF($I253="""","""",IFERROR(INDEX(FILTER(Response_Lists!$B:$B,Response_Lists!$A:$A=$H254),2),""""))"),"")</f>
        <v/>
      </c>
      <c r="L254" s="28" t="str">
        <f>IFERROR(__xludf.DUMMYFUNCTION("IF($I253="""","""",IFERROR(INDEX(FILTER(Response_Lists!$B:$B,Response_Lists!$A:$A=$H254),3),""""))"),"")</f>
        <v/>
      </c>
      <c r="M254" s="28" t="str">
        <f>IFERROR(__xludf.DUMMYFUNCTION("IF($I253="""","""",IFERROR(INDEX(FILTER(Response_Lists!$B:$B,Response_Lists!$A:$A=$H254),4),""""))"),"")</f>
        <v/>
      </c>
      <c r="N254" s="28" t="str">
        <f>IFERROR(__xludf.DUMMYFUNCTION("IF($I253="""","""",IFERROR(INDEX(FILTER(Response_Lists!$B:$B,Response_Lists!$A:$A=$H254),5),""""))"),"")</f>
        <v/>
      </c>
      <c r="O254" s="28" t="str">
        <f>IFERROR(__xludf.DUMMYFUNCTION("IF($I253="""","""",IFERROR(INDEX(FILTER(Response_Lists!$B:$B,Response_Lists!$A:$A=$H254),6),""""))"),"")</f>
        <v/>
      </c>
      <c r="P254" s="28" t="str">
        <f t="shared" si="6"/>
        <v/>
      </c>
      <c r="Q254" s="28" t="str">
        <f t="array" ref="Q254">IF($I253="","",XLOOKUP(C254,FSM_State_Map!A:A,FSM_State_Map!D:D,""))</f>
        <v/>
      </c>
      <c r="R254" s="28" t="str">
        <f t="shared" si="7"/>
        <v/>
      </c>
      <c r="S254" s="28" t="str">
        <f t="array" ref="S254">IF($I253="","",
IF(
  AND(C254="B",C253&lt;&gt;"B"),
  XLOOKUP($B254,Derived_Variables!$A:$A,Derived_Variables!$K:$K,0)
  + XLOOKUP($B254,Derived_Variables!$A:$A,Derived_Variables!$AE:$AE,0),
  S253+AM253
))</f>
        <v/>
      </c>
      <c r="T254" s="28" t="str">
        <f t="shared" ref="T254:U254" si="518">IF($I253="","",T253+AN253)</f>
        <v/>
      </c>
      <c r="U254" s="28" t="str">
        <f t="shared" si="518"/>
        <v/>
      </c>
      <c r="V254" s="28" t="str">
        <f t="array" ref="V254">IF($I253="","",
IF(
  AND(C254="D",C253&lt;&gt;"D"),
  XLOOKUP($B254,Derived_Variables!$A:$A,Derived_Variables!$N:$N,0)
  + XLOOKUP($B254,Derived_Variables!$A:$A,Derived_Variables!$AE:$AE,0),
  V253+AP253
))</f>
        <v/>
      </c>
      <c r="W254" s="28" t="str">
        <f t="shared" ref="W254:X254" si="519">IF($I253="","",W253+AQ253)</f>
        <v/>
      </c>
      <c r="X254" s="28" t="str">
        <f t="shared" si="519"/>
        <v/>
      </c>
      <c r="Y254" s="28" t="str">
        <f t="array" ref="Y254">IF($I253="","",IF(AND(C254="P",C253&lt;&gt;"P"),IFERROR(XLOOKUP($B254,Lenso_Input!$A:$A,Lenso_Input!$E:$E,0),0),Y253+AS253))</f>
        <v/>
      </c>
      <c r="Z254" s="28" t="str">
        <f t="array" ref="Z254">IF($I253="","",IF(AND(C254="Q",C253&lt;&gt;"Q"),IFERROR(XLOOKUP($B254,Lenso_Input!$A:$A,Lenso_Input!$I:$I,0),0),Z253+AT253))</f>
        <v/>
      </c>
      <c r="AA254" s="28" t="str">
        <f t="array" ref="AA254">IF($I253="","",IF(XLOOKUP($B254,Derived_Variables!$A:$A,Derived_Variables!$R:$R,"6/6_target")="6/6_target","20_20_20","40_30_25"))</f>
        <v/>
      </c>
      <c r="AB254" s="28" t="str">
        <f t="array" ref="AB254">IF($I253="","",XLOOKUP(LOWER(XLOOKUP($B254,Derived_Variables!$A:$A,Derived_Variables!$T:$T,"Standard"))&amp;"_sph_step",Calibration!$B:$B,Calibration!$C:$C,0.25))</f>
        <v/>
      </c>
      <c r="AC254" s="28" t="str">
        <f t="array" ref="AC254">IF($I253="","",XLOOKUP(LOWER(XLOOKUP($B254,Derived_Variables!$A:$A,Derived_Variables!$T:$T,"Standard"))&amp;"_cyl_step",Calibration!$B:$B,Calibration!$C:$C,0.25))</f>
        <v/>
      </c>
      <c r="AD254" s="28" t="str">
        <f t="array" ref="AD254">IF($I253="","",IF(OR(C254="E",C254="H"),LET(startStep,XLOOKUP("axis_start_step",Calibration!$B:$B,Calibration!$C:$C,5),step1,XLOOKUP("axis_reversal_step_1",Calibration!$B:$B,Calibration!$C:$C,3),step2,XLOOKUP("axis_reversal_step_2",Calibration!$B:$B,Calibration!$C:$C,1),IF(OR(C253&lt;&gt;C254,AZ254="",AZ254="SAME",AZ254="CANT_TELL",I254="",I254="SAME",I254="CANT_TELL"),startStep,IF(OR(AND(AZ254="BETTER_1",I254="BETTER_2"),AND(AZ254="BETTER_2",I254="BETTER_1")),IF(AD253&gt;step1,step1,step2),AD253))),0))</f>
        <v/>
      </c>
      <c r="AE254" s="28" t="str">
        <f t="array" ref="AE254">IF($I253="","",XLOOKUP($B254,Derived_Variables!$A:$A,Derived_Variables!$AD:$AD,"No_Fog"))</f>
        <v/>
      </c>
      <c r="AF254" s="28" t="str">
        <f t="array" ref="AF254">IF($I253="","",XLOOKUP($B254,Derived_Variables!$A:$A,Derived_Variables!$AE:$AE,0))</f>
        <v/>
      </c>
      <c r="AG254" s="28" t="str">
        <f t="array" ref="AG254">IF($I253="","",XLOOKUP($B254,Derived_Variables!$A:$A,Derived_Variables!$AF:$AF,""))</f>
        <v/>
      </c>
      <c r="AH254" s="28" t="str">
        <f t="array" ref="AH254">IF($I253="","",XLOOKUP($B254,Derived_Variables!$A:$A,Derived_Variables!$AG:$AG,""))</f>
        <v/>
      </c>
      <c r="AI254" s="28" t="str">
        <f t="array" ref="AI254">IF($I253="","",XLOOKUP($B254,Derived_Variables!$A:$A,Derived_Variables!$AC:$AC,"Medium"))</f>
        <v/>
      </c>
      <c r="AJ254" s="28" t="str">
        <f t="array" ref="AJ254">IF($I253="","",XLOOKUP($B254,Derived_Variables!$A:$A,Derived_Variables!$Y:$Y,FALSE))</f>
        <v/>
      </c>
      <c r="AK254" s="28" t="str">
        <f t="array" ref="AK254">IF($I253="","",XLOOKUP($B254,Derived_Variables!$A:$A,Derived_Variables!$AA:$AA,"Normal"))</f>
        <v/>
      </c>
      <c r="AL254" s="28" t="str">
        <f t="array" ref="AL254">IF($I253="","",XLOOKUP($B254,Derived_Variables!$A:$A,Derived_Variables!$AB:$AB,"Normal"))</f>
        <v/>
      </c>
      <c r="AM254" s="28" t="str">
        <f t="array" ref="AM254">IF($I254="","",IFS(C254="B",IF(OR(I254="NOT_READABLE",I254="BLURRY"),-AB254,0),C254="G",IFS(I254="RED_CLEARER",XLOOKUP("duochrome_red_step",Calibration!$B:$B,Calibration!$C:$C,-0.25),I254="GREEN_CLEARER",XLOOKUP("duochrome_green_step",Calibration!$B:$B,Calibration!$C:$C,0.25),I254="EQUAL",IF(XLOOKUP($B254,Derived_Variables!$A:$A,Derived_Variables!$S:$S,"Neutral")="Undercorrect",XLOOKUP("undercorrect_step",Calibration!$B:$B,Calibration!$C:$C,0.25),IF(XLOOKUP($B254,Derived_Variables!$A:$A,Derived_Variables!$S:$S,"Neutral")="Overcorrect",-XLOOKUP("overcorrect_step",Calibration!$B:$B,Calibration!$C:$C,0.25),0)),TRUE,0),C254="K",IF(I254="TOP_CLEARER",XLOOKUP("bino_balance_step",Calibration!$B:$B,Calibration!$C:$C,0.25),0),TRUE,0))</f>
        <v/>
      </c>
      <c r="AN254" s="28" t="str">
        <f t="shared" si="10"/>
        <v/>
      </c>
      <c r="AO254" s="28" t="str">
        <f t="shared" si="11"/>
        <v/>
      </c>
      <c r="AP254" s="28" t="str">
        <f t="array" ref="AP254">IF($I254="","",IFS(C254="D",IF(OR(I254="NOT_READABLE",I254="BLURRY"),-AB254,0),C254="J",IFS(I254="RED_CLEARER",XLOOKUP("duochrome_red_step",Calibration!$B:$B,Calibration!$C:$C,-0.25),I254="GREEN_CLEARER",XLOOKUP("duochrome_green_step",Calibration!$B:$B,Calibration!$C:$C,0.25),I254="EQUAL",IF(XLOOKUP($B254,Derived_Variables!$A:$A,Derived_Variables!$S:$S,"Neutral")="Undercorrect",XLOOKUP("undercorrect_step",Calibration!$B:$B,Calibration!$C:$C,0.25),IF(XLOOKUP($B254,Derived_Variables!$A:$A,Derived_Variables!$S:$S,"Neutral")="Overcorrect",-XLOOKUP("overcorrect_step",Calibration!$B:$B,Calibration!$C:$C,0.25),0)),TRUE,0),C254="K",IF(I254="BOTTOM_CLEARER",XLOOKUP("bino_balance_step",Calibration!$B:$B,Calibration!$C:$C,0.25),0),TRUE,0))</f>
        <v/>
      </c>
      <c r="AQ254" s="28" t="str">
        <f t="shared" si="12"/>
        <v/>
      </c>
      <c r="AR254" s="28" t="str">
        <f t="shared" si="13"/>
        <v/>
      </c>
      <c r="AS254" s="28" t="str">
        <f t="array" ref="AS254">IF($I254="","",IF(C254="P",IF(OR(I254="NOT_READABLE",I254="BLURRY"),XLOOKUP("near_add_step",Calibration!$B:$B,Calibration!$C:$C,0.25),0),IF(C254="R",IF(I254="NOT_CLEAR",XLOOKUP("near_add_step",Calibration!$B:$B,Calibration!$C:$C,0.25),0),0)))</f>
        <v/>
      </c>
      <c r="AT254" s="28" t="str">
        <f t="array" ref="AT254">IF($I254="","",IF(C254="Q",IF(OR(I254="NOT_READABLE",I254="BLURRY"),XLOOKUP("near_add_step",Calibration!$B:$B,Calibration!$C:$C,0.25),0),IF(C254="R",IF(I254="NOT_CLEAR",XLOOKUP("near_add_step",Calibration!$B:$B,Calibration!$C:$C,0.25),0),0)))</f>
        <v/>
      </c>
      <c r="AU254" s="28" t="str">
        <f t="array" ref="AU254">IF($I254="","",IF(G254="SNELLEN_FEET",IF(I254="READABLE",IFERROR(XLOOKUP(XLOOKUP(R254,Chart_Scale_Distance!B:B,Chart_Scale_Distance!A:A)+1,Chart_Scale_Distance!A:A,Chart_Scale_Distance!B:B),R254),R254),R254))</f>
        <v/>
      </c>
      <c r="AV254" s="28" t="str">
        <f t="array" ref="AV254">IF($I253="","",IFERROR(XLOOKUP(R254,Chart_Scale_Distance!$B:$B,Chart_Scale_Distance!$A:$A,""),""))</f>
        <v/>
      </c>
      <c r="AW254" s="28" t="str">
        <f t="array" ref="AW254">IF($I253="","",IFERROR(XLOOKUP(AA254,Chart_Scale_Distance!$B:$B,Chart_Scale_Distance!$A:$A,""),""))</f>
        <v/>
      </c>
      <c r="AX254" s="28" t="str">
        <f t="shared" si="14"/>
        <v/>
      </c>
      <c r="AY254" s="28" t="str">
        <f t="shared" si="15"/>
        <v/>
      </c>
      <c r="AZ254" s="28" t="str">
        <f t="shared" si="16"/>
        <v/>
      </c>
      <c r="BA254" s="28" t="str">
        <f t="shared" si="17"/>
        <v/>
      </c>
      <c r="BB254" s="28" t="str">
        <f t="shared" si="18"/>
        <v/>
      </c>
      <c r="BC254" s="28" t="str">
        <f t="array" ref="BC254">IF($I254="","",LET(
conf,AI254,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duoMax,XLOOKUP($B254,Derived_Variables!$A:$A,Derived_Variables!$AI:$AI,4),
axisTol,XLOOKUP($B254,Derived_Variables!$A:$A,Derived_Variables!$W:$W,1),
maxStart,XLOOKUP($B254,Derived_Variables!$A:$A,Derived_Variables!$U:$U,1.25),
maxAR,XLOOKUP($B254,Derived_Variables!$A:$A,Derived_Variables!$V:$V,3),
anom,XLOOKUP($B254,Derived_Variables!$A:$A,Derived_Variables!$Z:$Z,FALSE),
reStart,XLOOKUP($B254,Derived_Variables!$A:$A,Derived_Variables!$K:$K,0),
leStart,XLOOKUP($B254,Derived_Variables!$A:$A,Derived_Variables!$N:$N,0),
reAR,XLOOKUP($B254,AR_Input!$A:$A,AR_Input!$B:$B,reStart),
leAR,XLOOKUP($B254,AR_Input!$A:$A,AR_Input!$E:$E,leStart),
reEsc,AND(anom,OR(ABS((S254+AM254)-reStart)&gt;maxStart,ABS((S254+AM254)-reAR)&gt;maxAR)),
leEsc,AND(anom,OR(ABS((V254+AP254)-leStart)&gt;maxStart,ABS((V254+AP254)-leAR)&gt;maxAR)),
phaseMax,IFS(
 AK254="Fast",
   IFS(
     OR(C254="B",C254="D"),XLOOKUP("timeout_coarse_fast",Calibration!$B:$B,Calibration!$C:$C,24),
     OR(C254="E",C254="F",C254="H",C254="I"),XLOOKUP("timeout_jcc_fast",Calibration!$B:$B,Calibration!$C:$C,10),
     OR(C254="G",C254="J"),XLOOKUP("timeout_duochrome_fast",Calibration!$B:$B,Calibration!$C:$C,8),
     C254="K",XLOOKUP("timeout_bino_fast",Calibration!$B:$B,Calibration!$C:$C,10),
     OR(C254="P",C254="Q",C254="R"),XLOOKUP("timeout_near_fast",Calibration!$B:$B,Calibration!$C:$C,16),
     TRUE,XLOOKUP("timeout_coarse_fast",Calibration!$B:$B,Calibration!$C:$C,24)
   ),
 AK254="Normal",
   IFS(
     OR(C254="B",C254="D"),XLOOKUP("timeout_coarse_normal",Calibration!$B:$B,Calibration!$C:$C,36),
     OR(C254="E",C254="F",C254="H",C254="I"),XLOOKUP("timeout_jcc_normal",Calibration!$B:$B,Calibration!$C:$C,14),
     OR(C254="G",C254="J"),XLOOKUP("timeout_duochrome_normal",Calibration!$B:$B,Calibration!$C:$C,10),
     C254="K",XLOOKUP("timeout_bino_normal",Calibration!$B:$B,Calibration!$C:$C,14),
     OR(C254="P",C254="Q",C254="R"),XLOOKUP("timeout_near_normal",Calibration!$B:$B,Calibration!$C:$C,22),
     TRUE,XLOOKUP("timeout_coarse_normal",Calibration!$B:$B,Calibration!$C:$C,36)
   ),
 TRUE,
   IFS(
     OR(C254="B",C254="D"),XLOOKUP("timeout_coarse_slow",Calibration!$B:$B,Calibration!$C:$C,48),
     OR(C254="E",C254="F",C254="H",C254="I"),XLOOKUP("timeout_jcc_slow",Calibration!$B:$B,Calibration!$C:$C,18),
     OR(C254="G",C254="J"),XLOOKUP("timeout_duochrome_slow",Calibration!$B:$B,Calibration!$C:$C,12),
     C254="K",XLOOKUP("timeout_bino_slow",Calibration!$B:$B,Calibration!$C:$C,18),
     OR(C254="P",C254="Q",C254="R"),XLOOKUP("timeout_near_slow",Calibration!$B:$B,Calibration!$C:$C,28),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AJ254=TRUE,"ESCALATE",
C254="A",
IF(OR(I254="NOT_READABLE",I254="BLURRY",AND(R254="20_20_20",I254="READABLE")),"B","A"),
C254="B",
IF(reEsc,"ESCALATE",IF(AY254&gt;=phaseMax,"ESCALATE",IF(AND(AV254&gt;=AW254,I254="READABLE"),"E","B"))),
C254="E",
IF(AY254&gt;=phaseMax,"ESCALATE",IF(OR(I254="SAME",I254="CANT_TELL",AD254&lt;axisTol),"F","E")),
C254="F",
IF(AY254&gt;=phaseMax,"ESCALATE",IF(AX254&gt;=powerSameN,"G","F")),
C254="G",
IF(AY254&gt;=phaseMax,"ESCALATE",IF(OR(AX254&gt;=duoEqualN,BB254&gt;=duoMax),"D","G")),
C254="D",
IF(leEsc,"ESCALATE",IF(AY254&gt;=phaseMax,"ESCALATE",IF(AND(AV254&gt;=AW254,I254="READABLE"),"H","D"))),
C254="H",
IF(AY254&gt;=phaseMax,"ESCALATE",IF(OR(I254="SAME",I254="CANT_TELL",AD254&lt;axisTol),"I","H")),
C254="I",
IF(AY254&gt;=phaseMax,"ESCALATE",IF(AX254&gt;=powerSameN,"J","I")),
C254="J",
IF(AY254&gt;=phaseMax,"ESCALATE",IF(OR(AX254&gt;=duoEqualN,BB254&gt;=duoMax),"K","J")),
C254="K",
IF(AY254&gt;=phaseMax,"ESCALATE",IF(AX254&gt;=binoSameN,IF(XLOOKUP($B254,Derived_Variables!$A:$A,Derived_Variables!$AJ:$AJ,FALSE)=TRUE,"P","END"),"K")),
C254="P",
IF(AY254&gt;=phaseMax,"ESCALATE",IF(OR(I254="READABLE",I254="SAME"),"Q","P")),
C254="Q",
IF(AY254&gt;=phaseMax,"ESCALATE",IF(OR(I254="READABLE",I254="SAME"),"R","Q")),
C254="R",
IF(AY254&gt;=phaseMax,"ESCALATE",IF(OR(I254=nearTarget,I254="SAME"),"END","R")),
TRUE,"END"
)))</f>
        <v/>
      </c>
      <c r="BD254" s="28" t="b">
        <f t="shared" si="19"/>
        <v>0</v>
      </c>
    </row>
    <row r="255" ht="15.75" customHeight="1">
      <c r="A255" s="28">
        <f t="shared" si="3"/>
        <v>254</v>
      </c>
      <c r="B255" s="28">
        <f t="shared" si="4"/>
        <v>6</v>
      </c>
      <c r="C255" s="28" t="str">
        <f t="shared" si="5"/>
        <v/>
      </c>
      <c r="D255" s="28" t="str">
        <f t="array" ref="D255">IF($I254="","",XLOOKUP(C255,FSM_State_Map!A:A,FSM_State_Map!B:B,""))</f>
        <v/>
      </c>
      <c r="E255" s="28" t="str">
        <f t="array" ref="E255">IF($I254="","",XLOOKUP(C255,FSM_State_Map!A:A,FSM_State_Map!C:C,""))</f>
        <v/>
      </c>
      <c r="F255" s="28" t="str">
        <f t="array" ref="F255">IF($I254="","",XLOOKUP(E255,Phase_UI_Map!A:A,Phase_UI_Map!B:B,""))</f>
        <v/>
      </c>
      <c r="G255" s="28" t="str">
        <f t="array" ref="G255">IF($I254="","",XLOOKUP(E255,Phase_UI_Map!A:A,Phase_UI_Map!C:C,""))</f>
        <v/>
      </c>
      <c r="H255" s="28" t="str">
        <f t="array" ref="H255">IF($I254="","",XLOOKUP(E255,Phase_UI_Map!A:A,Phase_UI_Map!D:D,""))</f>
        <v/>
      </c>
      <c r="I255" s="29"/>
      <c r="J255" s="28" t="str">
        <f>IFERROR(__xludf.DUMMYFUNCTION("IF($I254="""","""",IFERROR(INDEX(FILTER(Response_Lists!$B:$B,Response_Lists!$A:$A=$H255),1),""""))"),"")</f>
        <v/>
      </c>
      <c r="K255" s="28" t="str">
        <f>IFERROR(__xludf.DUMMYFUNCTION("IF($I254="""","""",IFERROR(INDEX(FILTER(Response_Lists!$B:$B,Response_Lists!$A:$A=$H255),2),""""))"),"")</f>
        <v/>
      </c>
      <c r="L255" s="28" t="str">
        <f>IFERROR(__xludf.DUMMYFUNCTION("IF($I254="""","""",IFERROR(INDEX(FILTER(Response_Lists!$B:$B,Response_Lists!$A:$A=$H255),3),""""))"),"")</f>
        <v/>
      </c>
      <c r="M255" s="28" t="str">
        <f>IFERROR(__xludf.DUMMYFUNCTION("IF($I254="""","""",IFERROR(INDEX(FILTER(Response_Lists!$B:$B,Response_Lists!$A:$A=$H255),4),""""))"),"")</f>
        <v/>
      </c>
      <c r="N255" s="28" t="str">
        <f>IFERROR(__xludf.DUMMYFUNCTION("IF($I254="""","""",IFERROR(INDEX(FILTER(Response_Lists!$B:$B,Response_Lists!$A:$A=$H255),5),""""))"),"")</f>
        <v/>
      </c>
      <c r="O255" s="28" t="str">
        <f>IFERROR(__xludf.DUMMYFUNCTION("IF($I254="""","""",IFERROR(INDEX(FILTER(Response_Lists!$B:$B,Response_Lists!$A:$A=$H255),6),""""))"),"")</f>
        <v/>
      </c>
      <c r="P255" s="28" t="str">
        <f t="shared" si="6"/>
        <v/>
      </c>
      <c r="Q255" s="28" t="str">
        <f t="array" ref="Q255">IF($I254="","",XLOOKUP(C255,FSM_State_Map!A:A,FSM_State_Map!D:D,""))</f>
        <v/>
      </c>
      <c r="R255" s="28" t="str">
        <f t="shared" si="7"/>
        <v/>
      </c>
      <c r="S255" s="28" t="str">
        <f t="array" ref="S255">IF($I254="","",
IF(
  AND(C255="B",C254&lt;&gt;"B"),
  XLOOKUP($B255,Derived_Variables!$A:$A,Derived_Variables!$K:$K,0)
  + XLOOKUP($B255,Derived_Variables!$A:$A,Derived_Variables!$AE:$AE,0),
  S254+AM254
))</f>
        <v/>
      </c>
      <c r="T255" s="28" t="str">
        <f t="shared" ref="T255:U255" si="520">IF($I254="","",T254+AN254)</f>
        <v/>
      </c>
      <c r="U255" s="28" t="str">
        <f t="shared" si="520"/>
        <v/>
      </c>
      <c r="V255" s="28" t="str">
        <f t="array" ref="V255">IF($I254="","",
IF(
  AND(C255="D",C254&lt;&gt;"D"),
  XLOOKUP($B255,Derived_Variables!$A:$A,Derived_Variables!$N:$N,0)
  + XLOOKUP($B255,Derived_Variables!$A:$A,Derived_Variables!$AE:$AE,0),
  V254+AP254
))</f>
        <v/>
      </c>
      <c r="W255" s="28" t="str">
        <f t="shared" ref="W255:X255" si="521">IF($I254="","",W254+AQ254)</f>
        <v/>
      </c>
      <c r="X255" s="28" t="str">
        <f t="shared" si="521"/>
        <v/>
      </c>
      <c r="Y255" s="28" t="str">
        <f t="array" ref="Y255">IF($I254="","",IF(AND(C255="P",C254&lt;&gt;"P"),IFERROR(XLOOKUP($B255,Lenso_Input!$A:$A,Lenso_Input!$E:$E,0),0),Y254+AS254))</f>
        <v/>
      </c>
      <c r="Z255" s="28" t="str">
        <f t="array" ref="Z255">IF($I254="","",IF(AND(C255="Q",C254&lt;&gt;"Q"),IFERROR(XLOOKUP($B255,Lenso_Input!$A:$A,Lenso_Input!$I:$I,0),0),Z254+AT254))</f>
        <v/>
      </c>
      <c r="AA255" s="28" t="str">
        <f t="array" ref="AA255">IF($I254="","",IF(XLOOKUP($B255,Derived_Variables!$A:$A,Derived_Variables!$R:$R,"6/6_target")="6/6_target","20_20_20","40_30_25"))</f>
        <v/>
      </c>
      <c r="AB255" s="28" t="str">
        <f t="array" ref="AB255">IF($I254="","",XLOOKUP(LOWER(XLOOKUP($B255,Derived_Variables!$A:$A,Derived_Variables!$T:$T,"Standard"))&amp;"_sph_step",Calibration!$B:$B,Calibration!$C:$C,0.25))</f>
        <v/>
      </c>
      <c r="AC255" s="28" t="str">
        <f t="array" ref="AC255">IF($I254="","",XLOOKUP(LOWER(XLOOKUP($B255,Derived_Variables!$A:$A,Derived_Variables!$T:$T,"Standard"))&amp;"_cyl_step",Calibration!$B:$B,Calibration!$C:$C,0.25))</f>
        <v/>
      </c>
      <c r="AD255" s="28" t="str">
        <f t="array" ref="AD255">IF($I254="","",IF(OR(C255="E",C255="H"),LET(startStep,XLOOKUP("axis_start_step",Calibration!$B:$B,Calibration!$C:$C,5),step1,XLOOKUP("axis_reversal_step_1",Calibration!$B:$B,Calibration!$C:$C,3),step2,XLOOKUP("axis_reversal_step_2",Calibration!$B:$B,Calibration!$C:$C,1),IF(OR(C254&lt;&gt;C255,AZ255="",AZ255="SAME",AZ255="CANT_TELL",I255="",I255="SAME",I255="CANT_TELL"),startStep,IF(OR(AND(AZ255="BETTER_1",I255="BETTER_2"),AND(AZ255="BETTER_2",I255="BETTER_1")),IF(AD254&gt;step1,step1,step2),AD254))),0))</f>
        <v/>
      </c>
      <c r="AE255" s="28" t="str">
        <f t="array" ref="AE255">IF($I254="","",XLOOKUP($B255,Derived_Variables!$A:$A,Derived_Variables!$AD:$AD,"No_Fog"))</f>
        <v/>
      </c>
      <c r="AF255" s="28" t="str">
        <f t="array" ref="AF255">IF($I254="","",XLOOKUP($B255,Derived_Variables!$A:$A,Derived_Variables!$AE:$AE,0))</f>
        <v/>
      </c>
      <c r="AG255" s="28" t="str">
        <f t="array" ref="AG255">IF($I254="","",XLOOKUP($B255,Derived_Variables!$A:$A,Derived_Variables!$AF:$AF,""))</f>
        <v/>
      </c>
      <c r="AH255" s="28" t="str">
        <f t="array" ref="AH255">IF($I254="","",XLOOKUP($B255,Derived_Variables!$A:$A,Derived_Variables!$AG:$AG,""))</f>
        <v/>
      </c>
      <c r="AI255" s="28" t="str">
        <f t="array" ref="AI255">IF($I254="","",XLOOKUP($B255,Derived_Variables!$A:$A,Derived_Variables!$AC:$AC,"Medium"))</f>
        <v/>
      </c>
      <c r="AJ255" s="28" t="str">
        <f t="array" ref="AJ255">IF($I254="","",XLOOKUP($B255,Derived_Variables!$A:$A,Derived_Variables!$Y:$Y,FALSE))</f>
        <v/>
      </c>
      <c r="AK255" s="28" t="str">
        <f t="array" ref="AK255">IF($I254="","",XLOOKUP($B255,Derived_Variables!$A:$A,Derived_Variables!$AA:$AA,"Normal"))</f>
        <v/>
      </c>
      <c r="AL255" s="28" t="str">
        <f t="array" ref="AL255">IF($I254="","",XLOOKUP($B255,Derived_Variables!$A:$A,Derived_Variables!$AB:$AB,"Normal"))</f>
        <v/>
      </c>
      <c r="AM255" s="28" t="str">
        <f t="array" ref="AM255">IF($I255="","",IFS(C255="B",IF(OR(I255="NOT_READABLE",I255="BLURRY"),-AB255,0),C255="G",IFS(I255="RED_CLEARER",XLOOKUP("duochrome_red_step",Calibration!$B:$B,Calibration!$C:$C,-0.25),I255="GREEN_CLEARER",XLOOKUP("duochrome_green_step",Calibration!$B:$B,Calibration!$C:$C,0.25),I255="EQUAL",IF(XLOOKUP($B255,Derived_Variables!$A:$A,Derived_Variables!$S:$S,"Neutral")="Undercorrect",XLOOKUP("undercorrect_step",Calibration!$B:$B,Calibration!$C:$C,0.25),IF(XLOOKUP($B255,Derived_Variables!$A:$A,Derived_Variables!$S:$S,"Neutral")="Overcorrect",-XLOOKUP("overcorrect_step",Calibration!$B:$B,Calibration!$C:$C,0.25),0)),TRUE,0),C255="K",IF(I255="TOP_CLEARER",XLOOKUP("bino_balance_step",Calibration!$B:$B,Calibration!$C:$C,0.25),0),TRUE,0))</f>
        <v/>
      </c>
      <c r="AN255" s="28" t="str">
        <f t="shared" si="10"/>
        <v/>
      </c>
      <c r="AO255" s="28" t="str">
        <f t="shared" si="11"/>
        <v/>
      </c>
      <c r="AP255" s="28" t="str">
        <f t="array" ref="AP255">IF($I255="","",IFS(C255="D",IF(OR(I255="NOT_READABLE",I255="BLURRY"),-AB255,0),C255="J",IFS(I255="RED_CLEARER",XLOOKUP("duochrome_red_step",Calibration!$B:$B,Calibration!$C:$C,-0.25),I255="GREEN_CLEARER",XLOOKUP("duochrome_green_step",Calibration!$B:$B,Calibration!$C:$C,0.25),I255="EQUAL",IF(XLOOKUP($B255,Derived_Variables!$A:$A,Derived_Variables!$S:$S,"Neutral")="Undercorrect",XLOOKUP("undercorrect_step",Calibration!$B:$B,Calibration!$C:$C,0.25),IF(XLOOKUP($B255,Derived_Variables!$A:$A,Derived_Variables!$S:$S,"Neutral")="Overcorrect",-XLOOKUP("overcorrect_step",Calibration!$B:$B,Calibration!$C:$C,0.25),0)),TRUE,0),C255="K",IF(I255="BOTTOM_CLEARER",XLOOKUP("bino_balance_step",Calibration!$B:$B,Calibration!$C:$C,0.25),0),TRUE,0))</f>
        <v/>
      </c>
      <c r="AQ255" s="28" t="str">
        <f t="shared" si="12"/>
        <v/>
      </c>
      <c r="AR255" s="28" t="str">
        <f t="shared" si="13"/>
        <v/>
      </c>
      <c r="AS255" s="28" t="str">
        <f t="array" ref="AS255">IF($I255="","",IF(C255="P",IF(OR(I255="NOT_READABLE",I255="BLURRY"),XLOOKUP("near_add_step",Calibration!$B:$B,Calibration!$C:$C,0.25),0),IF(C255="R",IF(I255="NOT_CLEAR",XLOOKUP("near_add_step",Calibration!$B:$B,Calibration!$C:$C,0.25),0),0)))</f>
        <v/>
      </c>
      <c r="AT255" s="28" t="str">
        <f t="array" ref="AT255">IF($I255="","",IF(C255="Q",IF(OR(I255="NOT_READABLE",I255="BLURRY"),XLOOKUP("near_add_step",Calibration!$B:$B,Calibration!$C:$C,0.25),0),IF(C255="R",IF(I255="NOT_CLEAR",XLOOKUP("near_add_step",Calibration!$B:$B,Calibration!$C:$C,0.25),0),0)))</f>
        <v/>
      </c>
      <c r="AU255" s="28" t="str">
        <f t="array" ref="AU255">IF($I255="","",IF(G255="SNELLEN_FEET",IF(I255="READABLE",IFERROR(XLOOKUP(XLOOKUP(R255,Chart_Scale_Distance!B:B,Chart_Scale_Distance!A:A)+1,Chart_Scale_Distance!A:A,Chart_Scale_Distance!B:B),R255),R255),R255))</f>
        <v/>
      </c>
      <c r="AV255" s="28" t="str">
        <f t="array" ref="AV255">IF($I254="","",IFERROR(XLOOKUP(R255,Chart_Scale_Distance!$B:$B,Chart_Scale_Distance!$A:$A,""),""))</f>
        <v/>
      </c>
      <c r="AW255" s="28" t="str">
        <f t="array" ref="AW255">IF($I254="","",IFERROR(XLOOKUP(AA255,Chart_Scale_Distance!$B:$B,Chart_Scale_Distance!$A:$A,""),""))</f>
        <v/>
      </c>
      <c r="AX255" s="28" t="str">
        <f t="shared" si="14"/>
        <v/>
      </c>
      <c r="AY255" s="28" t="str">
        <f t="shared" si="15"/>
        <v/>
      </c>
      <c r="AZ255" s="28" t="str">
        <f t="shared" si="16"/>
        <v/>
      </c>
      <c r="BA255" s="28" t="str">
        <f t="shared" si="17"/>
        <v/>
      </c>
      <c r="BB255" s="28" t="str">
        <f t="shared" si="18"/>
        <v/>
      </c>
      <c r="BC255" s="28" t="str">
        <f t="array" ref="BC255">IF($I255="","",LET(
conf,AI255,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duoMax,XLOOKUP($B255,Derived_Variables!$A:$A,Derived_Variables!$AI:$AI,4),
axisTol,XLOOKUP($B255,Derived_Variables!$A:$A,Derived_Variables!$W:$W,1),
maxStart,XLOOKUP($B255,Derived_Variables!$A:$A,Derived_Variables!$U:$U,1.25),
maxAR,XLOOKUP($B255,Derived_Variables!$A:$A,Derived_Variables!$V:$V,3),
anom,XLOOKUP($B255,Derived_Variables!$A:$A,Derived_Variables!$Z:$Z,FALSE),
reStart,XLOOKUP($B255,Derived_Variables!$A:$A,Derived_Variables!$K:$K,0),
leStart,XLOOKUP($B255,Derived_Variables!$A:$A,Derived_Variables!$N:$N,0),
reAR,XLOOKUP($B255,AR_Input!$A:$A,AR_Input!$B:$B,reStart),
leAR,XLOOKUP($B255,AR_Input!$A:$A,AR_Input!$E:$E,leStart),
reEsc,AND(anom,OR(ABS((S255+AM255)-reStart)&gt;maxStart,ABS((S255+AM255)-reAR)&gt;maxAR)),
leEsc,AND(anom,OR(ABS((V255+AP255)-leStart)&gt;maxStart,ABS((V255+AP255)-leAR)&gt;maxAR)),
phaseMax,IFS(
 AK255="Fast",
   IFS(
     OR(C255="B",C255="D"),XLOOKUP("timeout_coarse_fast",Calibration!$B:$B,Calibration!$C:$C,24),
     OR(C255="E",C255="F",C255="H",C255="I"),XLOOKUP("timeout_jcc_fast",Calibration!$B:$B,Calibration!$C:$C,10),
     OR(C255="G",C255="J"),XLOOKUP("timeout_duochrome_fast",Calibration!$B:$B,Calibration!$C:$C,8),
     C255="K",XLOOKUP("timeout_bino_fast",Calibration!$B:$B,Calibration!$C:$C,10),
     OR(C255="P",C255="Q",C255="R"),XLOOKUP("timeout_near_fast",Calibration!$B:$B,Calibration!$C:$C,16),
     TRUE,XLOOKUP("timeout_coarse_fast",Calibration!$B:$B,Calibration!$C:$C,24)
   ),
 AK255="Normal",
   IFS(
     OR(C255="B",C255="D"),XLOOKUP("timeout_coarse_normal",Calibration!$B:$B,Calibration!$C:$C,36),
     OR(C255="E",C255="F",C255="H",C255="I"),XLOOKUP("timeout_jcc_normal",Calibration!$B:$B,Calibration!$C:$C,14),
     OR(C255="G",C255="J"),XLOOKUP("timeout_duochrome_normal",Calibration!$B:$B,Calibration!$C:$C,10),
     C255="K",XLOOKUP("timeout_bino_normal",Calibration!$B:$B,Calibration!$C:$C,14),
     OR(C255="P",C255="Q",C255="R"),XLOOKUP("timeout_near_normal",Calibration!$B:$B,Calibration!$C:$C,22),
     TRUE,XLOOKUP("timeout_coarse_normal",Calibration!$B:$B,Calibration!$C:$C,36)
   ),
 TRUE,
   IFS(
     OR(C255="B",C255="D"),XLOOKUP("timeout_coarse_slow",Calibration!$B:$B,Calibration!$C:$C,48),
     OR(C255="E",C255="F",C255="H",C255="I"),XLOOKUP("timeout_jcc_slow",Calibration!$B:$B,Calibration!$C:$C,18),
     OR(C255="G",C255="J"),XLOOKUP("timeout_duochrome_slow",Calibration!$B:$B,Calibration!$C:$C,12),
     C255="K",XLOOKUP("timeout_bino_slow",Calibration!$B:$B,Calibration!$C:$C,18),
     OR(C255="P",C255="Q",C255="R"),XLOOKUP("timeout_near_slow",Calibration!$B:$B,Calibration!$C:$C,28),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AJ255=TRUE,"ESCALATE",
C255="A",
IF(OR(I255="NOT_READABLE",I255="BLURRY",AND(R255="20_20_20",I255="READABLE")),"B","A"),
C255="B",
IF(reEsc,"ESCALATE",IF(AY255&gt;=phaseMax,"ESCALATE",IF(AND(AV255&gt;=AW255,I255="READABLE"),"E","B"))),
C255="E",
IF(AY255&gt;=phaseMax,"ESCALATE",IF(OR(I255="SAME",I255="CANT_TELL",AD255&lt;axisTol),"F","E")),
C255="F",
IF(AY255&gt;=phaseMax,"ESCALATE",IF(AX255&gt;=powerSameN,"G","F")),
C255="G",
IF(AY255&gt;=phaseMax,"ESCALATE",IF(OR(AX255&gt;=duoEqualN,BB255&gt;=duoMax),"D","G")),
C255="D",
IF(leEsc,"ESCALATE",IF(AY255&gt;=phaseMax,"ESCALATE",IF(AND(AV255&gt;=AW255,I255="READABLE"),"H","D"))),
C255="H",
IF(AY255&gt;=phaseMax,"ESCALATE",IF(OR(I255="SAME",I255="CANT_TELL",AD255&lt;axisTol),"I","H")),
C255="I",
IF(AY255&gt;=phaseMax,"ESCALATE",IF(AX255&gt;=powerSameN,"J","I")),
C255="J",
IF(AY255&gt;=phaseMax,"ESCALATE",IF(OR(AX255&gt;=duoEqualN,BB255&gt;=duoMax),"K","J")),
C255="K",
IF(AY255&gt;=phaseMax,"ESCALATE",IF(AX255&gt;=binoSameN,IF(XLOOKUP($B255,Derived_Variables!$A:$A,Derived_Variables!$AJ:$AJ,FALSE)=TRUE,"P","END"),"K")),
C255="P",
IF(AY255&gt;=phaseMax,"ESCALATE",IF(OR(I255="READABLE",I255="SAME"),"Q","P")),
C255="Q",
IF(AY255&gt;=phaseMax,"ESCALATE",IF(OR(I255="READABLE",I255="SAME"),"R","Q")),
C255="R",
IF(AY255&gt;=phaseMax,"ESCALATE",IF(OR(I255=nearTarget,I255="SAME"),"END","R")),
TRUE,"END"
)))</f>
        <v/>
      </c>
      <c r="BD255" s="28" t="b">
        <f t="shared" si="19"/>
        <v>0</v>
      </c>
    </row>
    <row r="256" ht="15.75" customHeight="1">
      <c r="A256" s="28">
        <f t="shared" si="3"/>
        <v>255</v>
      </c>
      <c r="B256" s="28">
        <f t="shared" si="4"/>
        <v>6</v>
      </c>
      <c r="C256" s="28" t="str">
        <f t="shared" si="5"/>
        <v/>
      </c>
      <c r="D256" s="28" t="str">
        <f t="array" ref="D256">IF($I255="","",XLOOKUP(C256,FSM_State_Map!A:A,FSM_State_Map!B:B,""))</f>
        <v/>
      </c>
      <c r="E256" s="28" t="str">
        <f t="array" ref="E256">IF($I255="","",XLOOKUP(C256,FSM_State_Map!A:A,FSM_State_Map!C:C,""))</f>
        <v/>
      </c>
      <c r="F256" s="28" t="str">
        <f t="array" ref="F256">IF($I255="","",XLOOKUP(E256,Phase_UI_Map!A:A,Phase_UI_Map!B:B,""))</f>
        <v/>
      </c>
      <c r="G256" s="28" t="str">
        <f t="array" ref="G256">IF($I255="","",XLOOKUP(E256,Phase_UI_Map!A:A,Phase_UI_Map!C:C,""))</f>
        <v/>
      </c>
      <c r="H256" s="28" t="str">
        <f t="array" ref="H256">IF($I255="","",XLOOKUP(E256,Phase_UI_Map!A:A,Phase_UI_Map!D:D,""))</f>
        <v/>
      </c>
      <c r="I256" s="29"/>
      <c r="J256" s="28" t="str">
        <f>IFERROR(__xludf.DUMMYFUNCTION("IF($I255="""","""",IFERROR(INDEX(FILTER(Response_Lists!$B:$B,Response_Lists!$A:$A=$H256),1),""""))"),"")</f>
        <v/>
      </c>
      <c r="K256" s="28" t="str">
        <f>IFERROR(__xludf.DUMMYFUNCTION("IF($I255="""","""",IFERROR(INDEX(FILTER(Response_Lists!$B:$B,Response_Lists!$A:$A=$H256),2),""""))"),"")</f>
        <v/>
      </c>
      <c r="L256" s="28" t="str">
        <f>IFERROR(__xludf.DUMMYFUNCTION("IF($I255="""","""",IFERROR(INDEX(FILTER(Response_Lists!$B:$B,Response_Lists!$A:$A=$H256),3),""""))"),"")</f>
        <v/>
      </c>
      <c r="M256" s="28" t="str">
        <f>IFERROR(__xludf.DUMMYFUNCTION("IF($I255="""","""",IFERROR(INDEX(FILTER(Response_Lists!$B:$B,Response_Lists!$A:$A=$H256),4),""""))"),"")</f>
        <v/>
      </c>
      <c r="N256" s="28" t="str">
        <f>IFERROR(__xludf.DUMMYFUNCTION("IF($I255="""","""",IFERROR(INDEX(FILTER(Response_Lists!$B:$B,Response_Lists!$A:$A=$H256),5),""""))"),"")</f>
        <v/>
      </c>
      <c r="O256" s="28" t="str">
        <f>IFERROR(__xludf.DUMMYFUNCTION("IF($I255="""","""",IFERROR(INDEX(FILTER(Response_Lists!$B:$B,Response_Lists!$A:$A=$H256),6),""""))"),"")</f>
        <v/>
      </c>
      <c r="P256" s="28" t="str">
        <f t="shared" si="6"/>
        <v/>
      </c>
      <c r="Q256" s="28" t="str">
        <f t="array" ref="Q256">IF($I255="","",XLOOKUP(C256,FSM_State_Map!A:A,FSM_State_Map!D:D,""))</f>
        <v/>
      </c>
      <c r="R256" s="28" t="str">
        <f t="shared" si="7"/>
        <v/>
      </c>
      <c r="S256" s="28" t="str">
        <f t="array" ref="S256">IF($I255="","",
IF(
  AND(C256="B",C255&lt;&gt;"B"),
  XLOOKUP($B256,Derived_Variables!$A:$A,Derived_Variables!$K:$K,0)
  + XLOOKUP($B256,Derived_Variables!$A:$A,Derived_Variables!$AE:$AE,0),
  S255+AM255
))</f>
        <v/>
      </c>
      <c r="T256" s="28" t="str">
        <f t="shared" ref="T256:U256" si="522">IF($I255="","",T255+AN255)</f>
        <v/>
      </c>
      <c r="U256" s="28" t="str">
        <f t="shared" si="522"/>
        <v/>
      </c>
      <c r="V256" s="28" t="str">
        <f t="array" ref="V256">IF($I255="","",
IF(
  AND(C256="D",C255&lt;&gt;"D"),
  XLOOKUP($B256,Derived_Variables!$A:$A,Derived_Variables!$N:$N,0)
  + XLOOKUP($B256,Derived_Variables!$A:$A,Derived_Variables!$AE:$AE,0),
  V255+AP255
))</f>
        <v/>
      </c>
      <c r="W256" s="28" t="str">
        <f t="shared" ref="W256:X256" si="523">IF($I255="","",W255+AQ255)</f>
        <v/>
      </c>
      <c r="X256" s="28" t="str">
        <f t="shared" si="523"/>
        <v/>
      </c>
      <c r="Y256" s="28" t="str">
        <f t="array" ref="Y256">IF($I255="","",IF(AND(C256="P",C255&lt;&gt;"P"),IFERROR(XLOOKUP($B256,Lenso_Input!$A:$A,Lenso_Input!$E:$E,0),0),Y255+AS255))</f>
        <v/>
      </c>
      <c r="Z256" s="28" t="str">
        <f t="array" ref="Z256">IF($I255="","",IF(AND(C256="Q",C255&lt;&gt;"Q"),IFERROR(XLOOKUP($B256,Lenso_Input!$A:$A,Lenso_Input!$I:$I,0),0),Z255+AT255))</f>
        <v/>
      </c>
      <c r="AA256" s="28" t="str">
        <f t="array" ref="AA256">IF($I255="","",IF(XLOOKUP($B256,Derived_Variables!$A:$A,Derived_Variables!$R:$R,"6/6_target")="6/6_target","20_20_20","40_30_25"))</f>
        <v/>
      </c>
      <c r="AB256" s="28" t="str">
        <f t="array" ref="AB256">IF($I255="","",XLOOKUP(LOWER(XLOOKUP($B256,Derived_Variables!$A:$A,Derived_Variables!$T:$T,"Standard"))&amp;"_sph_step",Calibration!$B:$B,Calibration!$C:$C,0.25))</f>
        <v/>
      </c>
      <c r="AC256" s="28" t="str">
        <f t="array" ref="AC256">IF($I255="","",XLOOKUP(LOWER(XLOOKUP($B256,Derived_Variables!$A:$A,Derived_Variables!$T:$T,"Standard"))&amp;"_cyl_step",Calibration!$B:$B,Calibration!$C:$C,0.25))</f>
        <v/>
      </c>
      <c r="AD256" s="28" t="str">
        <f t="array" ref="AD256">IF($I255="","",IF(OR(C256="E",C256="H"),LET(startStep,XLOOKUP("axis_start_step",Calibration!$B:$B,Calibration!$C:$C,5),step1,XLOOKUP("axis_reversal_step_1",Calibration!$B:$B,Calibration!$C:$C,3),step2,XLOOKUP("axis_reversal_step_2",Calibration!$B:$B,Calibration!$C:$C,1),IF(OR(C255&lt;&gt;C256,AZ256="",AZ256="SAME",AZ256="CANT_TELL",I256="",I256="SAME",I256="CANT_TELL"),startStep,IF(OR(AND(AZ256="BETTER_1",I256="BETTER_2"),AND(AZ256="BETTER_2",I256="BETTER_1")),IF(AD255&gt;step1,step1,step2),AD255))),0))</f>
        <v/>
      </c>
      <c r="AE256" s="28" t="str">
        <f t="array" ref="AE256">IF($I255="","",XLOOKUP($B256,Derived_Variables!$A:$A,Derived_Variables!$AD:$AD,"No_Fog"))</f>
        <v/>
      </c>
      <c r="AF256" s="28" t="str">
        <f t="array" ref="AF256">IF($I255="","",XLOOKUP($B256,Derived_Variables!$A:$A,Derived_Variables!$AE:$AE,0))</f>
        <v/>
      </c>
      <c r="AG256" s="28" t="str">
        <f t="array" ref="AG256">IF($I255="","",XLOOKUP($B256,Derived_Variables!$A:$A,Derived_Variables!$AF:$AF,""))</f>
        <v/>
      </c>
      <c r="AH256" s="28" t="str">
        <f t="array" ref="AH256">IF($I255="","",XLOOKUP($B256,Derived_Variables!$A:$A,Derived_Variables!$AG:$AG,""))</f>
        <v/>
      </c>
      <c r="AI256" s="28" t="str">
        <f t="array" ref="AI256">IF($I255="","",XLOOKUP($B256,Derived_Variables!$A:$A,Derived_Variables!$AC:$AC,"Medium"))</f>
        <v/>
      </c>
      <c r="AJ256" s="28" t="str">
        <f t="array" ref="AJ256">IF($I255="","",XLOOKUP($B256,Derived_Variables!$A:$A,Derived_Variables!$Y:$Y,FALSE))</f>
        <v/>
      </c>
      <c r="AK256" s="28" t="str">
        <f t="array" ref="AK256">IF($I255="","",XLOOKUP($B256,Derived_Variables!$A:$A,Derived_Variables!$AA:$AA,"Normal"))</f>
        <v/>
      </c>
      <c r="AL256" s="28" t="str">
        <f t="array" ref="AL256">IF($I255="","",XLOOKUP($B256,Derived_Variables!$A:$A,Derived_Variables!$AB:$AB,"Normal"))</f>
        <v/>
      </c>
      <c r="AM256" s="28" t="str">
        <f t="array" ref="AM256">IF($I256="","",IFS(C256="B",IF(OR(I256="NOT_READABLE",I256="BLURRY"),-AB256,0),C256="G",IFS(I256="RED_CLEARER",XLOOKUP("duochrome_red_step",Calibration!$B:$B,Calibration!$C:$C,-0.25),I256="GREEN_CLEARER",XLOOKUP("duochrome_green_step",Calibration!$B:$B,Calibration!$C:$C,0.25),I256="EQUAL",IF(XLOOKUP($B256,Derived_Variables!$A:$A,Derived_Variables!$S:$S,"Neutral")="Undercorrect",XLOOKUP("undercorrect_step",Calibration!$B:$B,Calibration!$C:$C,0.25),IF(XLOOKUP($B256,Derived_Variables!$A:$A,Derived_Variables!$S:$S,"Neutral")="Overcorrect",-XLOOKUP("overcorrect_step",Calibration!$B:$B,Calibration!$C:$C,0.25),0)),TRUE,0),C256="K",IF(I256="TOP_CLEARER",XLOOKUP("bino_balance_step",Calibration!$B:$B,Calibration!$C:$C,0.25),0),TRUE,0))</f>
        <v/>
      </c>
      <c r="AN256" s="28" t="str">
        <f t="shared" si="10"/>
        <v/>
      </c>
      <c r="AO256" s="28" t="str">
        <f t="shared" si="11"/>
        <v/>
      </c>
      <c r="AP256" s="28" t="str">
        <f t="array" ref="AP256">IF($I256="","",IFS(C256="D",IF(OR(I256="NOT_READABLE",I256="BLURRY"),-AB256,0),C256="J",IFS(I256="RED_CLEARER",XLOOKUP("duochrome_red_step",Calibration!$B:$B,Calibration!$C:$C,-0.25),I256="GREEN_CLEARER",XLOOKUP("duochrome_green_step",Calibration!$B:$B,Calibration!$C:$C,0.25),I256="EQUAL",IF(XLOOKUP($B256,Derived_Variables!$A:$A,Derived_Variables!$S:$S,"Neutral")="Undercorrect",XLOOKUP("undercorrect_step",Calibration!$B:$B,Calibration!$C:$C,0.25),IF(XLOOKUP($B256,Derived_Variables!$A:$A,Derived_Variables!$S:$S,"Neutral")="Overcorrect",-XLOOKUP("overcorrect_step",Calibration!$B:$B,Calibration!$C:$C,0.25),0)),TRUE,0),C256="K",IF(I256="BOTTOM_CLEARER",XLOOKUP("bino_balance_step",Calibration!$B:$B,Calibration!$C:$C,0.25),0),TRUE,0))</f>
        <v/>
      </c>
      <c r="AQ256" s="28" t="str">
        <f t="shared" si="12"/>
        <v/>
      </c>
      <c r="AR256" s="28" t="str">
        <f t="shared" si="13"/>
        <v/>
      </c>
      <c r="AS256" s="28" t="str">
        <f t="array" ref="AS256">IF($I256="","",IF(C256="P",IF(OR(I256="NOT_READABLE",I256="BLURRY"),XLOOKUP("near_add_step",Calibration!$B:$B,Calibration!$C:$C,0.25),0),IF(C256="R",IF(I256="NOT_CLEAR",XLOOKUP("near_add_step",Calibration!$B:$B,Calibration!$C:$C,0.25),0),0)))</f>
        <v/>
      </c>
      <c r="AT256" s="28" t="str">
        <f t="array" ref="AT256">IF($I256="","",IF(C256="Q",IF(OR(I256="NOT_READABLE",I256="BLURRY"),XLOOKUP("near_add_step",Calibration!$B:$B,Calibration!$C:$C,0.25),0),IF(C256="R",IF(I256="NOT_CLEAR",XLOOKUP("near_add_step",Calibration!$B:$B,Calibration!$C:$C,0.25),0),0)))</f>
        <v/>
      </c>
      <c r="AU256" s="28" t="str">
        <f t="array" ref="AU256">IF($I256="","",IF(G256="SNELLEN_FEET",IF(I256="READABLE",IFERROR(XLOOKUP(XLOOKUP(R256,Chart_Scale_Distance!B:B,Chart_Scale_Distance!A:A)+1,Chart_Scale_Distance!A:A,Chart_Scale_Distance!B:B),R256),R256),R256))</f>
        <v/>
      </c>
      <c r="AV256" s="28" t="str">
        <f t="array" ref="AV256">IF($I255="","",IFERROR(XLOOKUP(R256,Chart_Scale_Distance!$B:$B,Chart_Scale_Distance!$A:$A,""),""))</f>
        <v/>
      </c>
      <c r="AW256" s="28" t="str">
        <f t="array" ref="AW256">IF($I255="","",IFERROR(XLOOKUP(AA256,Chart_Scale_Distance!$B:$B,Chart_Scale_Distance!$A:$A,""),""))</f>
        <v/>
      </c>
      <c r="AX256" s="28" t="str">
        <f t="shared" si="14"/>
        <v/>
      </c>
      <c r="AY256" s="28" t="str">
        <f t="shared" si="15"/>
        <v/>
      </c>
      <c r="AZ256" s="28" t="str">
        <f t="shared" si="16"/>
        <v/>
      </c>
      <c r="BA256" s="28" t="str">
        <f t="shared" si="17"/>
        <v/>
      </c>
      <c r="BB256" s="28" t="str">
        <f t="shared" si="18"/>
        <v/>
      </c>
      <c r="BC256" s="28" t="str">
        <f t="array" ref="BC256">IF($I256="","",LET(
conf,AI256,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duoMax,XLOOKUP($B256,Derived_Variables!$A:$A,Derived_Variables!$AI:$AI,4),
axisTol,XLOOKUP($B256,Derived_Variables!$A:$A,Derived_Variables!$W:$W,1),
maxStart,XLOOKUP($B256,Derived_Variables!$A:$A,Derived_Variables!$U:$U,1.25),
maxAR,XLOOKUP($B256,Derived_Variables!$A:$A,Derived_Variables!$V:$V,3),
anom,XLOOKUP($B256,Derived_Variables!$A:$A,Derived_Variables!$Z:$Z,FALSE),
reStart,XLOOKUP($B256,Derived_Variables!$A:$A,Derived_Variables!$K:$K,0),
leStart,XLOOKUP($B256,Derived_Variables!$A:$A,Derived_Variables!$N:$N,0),
reAR,XLOOKUP($B256,AR_Input!$A:$A,AR_Input!$B:$B,reStart),
leAR,XLOOKUP($B256,AR_Input!$A:$A,AR_Input!$E:$E,leStart),
reEsc,AND(anom,OR(ABS((S256+AM256)-reStart)&gt;maxStart,ABS((S256+AM256)-reAR)&gt;maxAR)),
leEsc,AND(anom,OR(ABS((V256+AP256)-leStart)&gt;maxStart,ABS((V256+AP256)-leAR)&gt;maxAR)),
phaseMax,IFS(
 AK256="Fast",
   IFS(
     OR(C256="B",C256="D"),XLOOKUP("timeout_coarse_fast",Calibration!$B:$B,Calibration!$C:$C,24),
     OR(C256="E",C256="F",C256="H",C256="I"),XLOOKUP("timeout_jcc_fast",Calibration!$B:$B,Calibration!$C:$C,10),
     OR(C256="G",C256="J"),XLOOKUP("timeout_duochrome_fast",Calibration!$B:$B,Calibration!$C:$C,8),
     C256="K",XLOOKUP("timeout_bino_fast",Calibration!$B:$B,Calibration!$C:$C,10),
     OR(C256="P",C256="Q",C256="R"),XLOOKUP("timeout_near_fast",Calibration!$B:$B,Calibration!$C:$C,16),
     TRUE,XLOOKUP("timeout_coarse_fast",Calibration!$B:$B,Calibration!$C:$C,24)
   ),
 AK256="Normal",
   IFS(
     OR(C256="B",C256="D"),XLOOKUP("timeout_coarse_normal",Calibration!$B:$B,Calibration!$C:$C,36),
     OR(C256="E",C256="F",C256="H",C256="I"),XLOOKUP("timeout_jcc_normal",Calibration!$B:$B,Calibration!$C:$C,14),
     OR(C256="G",C256="J"),XLOOKUP("timeout_duochrome_normal",Calibration!$B:$B,Calibration!$C:$C,10),
     C256="K",XLOOKUP("timeout_bino_normal",Calibration!$B:$B,Calibration!$C:$C,14),
     OR(C256="P",C256="Q",C256="R"),XLOOKUP("timeout_near_normal",Calibration!$B:$B,Calibration!$C:$C,22),
     TRUE,XLOOKUP("timeout_coarse_normal",Calibration!$B:$B,Calibration!$C:$C,36)
   ),
 TRUE,
   IFS(
     OR(C256="B",C256="D"),XLOOKUP("timeout_coarse_slow",Calibration!$B:$B,Calibration!$C:$C,48),
     OR(C256="E",C256="F",C256="H",C256="I"),XLOOKUP("timeout_jcc_slow",Calibration!$B:$B,Calibration!$C:$C,18),
     OR(C256="G",C256="J"),XLOOKUP("timeout_duochrome_slow",Calibration!$B:$B,Calibration!$C:$C,12),
     C256="K",XLOOKUP("timeout_bino_slow",Calibration!$B:$B,Calibration!$C:$C,18),
     OR(C256="P",C256="Q",C256="R"),XLOOKUP("timeout_near_slow",Calibration!$B:$B,Calibration!$C:$C,28),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AJ256=TRUE,"ESCALATE",
C256="A",
IF(OR(I256="NOT_READABLE",I256="BLURRY",AND(R256="20_20_20",I256="READABLE")),"B","A"),
C256="B",
IF(reEsc,"ESCALATE",IF(AY256&gt;=phaseMax,"ESCALATE",IF(AND(AV256&gt;=AW256,I256="READABLE"),"E","B"))),
C256="E",
IF(AY256&gt;=phaseMax,"ESCALATE",IF(OR(I256="SAME",I256="CANT_TELL",AD256&lt;axisTol),"F","E")),
C256="F",
IF(AY256&gt;=phaseMax,"ESCALATE",IF(AX256&gt;=powerSameN,"G","F")),
C256="G",
IF(AY256&gt;=phaseMax,"ESCALATE",IF(OR(AX256&gt;=duoEqualN,BB256&gt;=duoMax),"D","G")),
C256="D",
IF(leEsc,"ESCALATE",IF(AY256&gt;=phaseMax,"ESCALATE",IF(AND(AV256&gt;=AW256,I256="READABLE"),"H","D"))),
C256="H",
IF(AY256&gt;=phaseMax,"ESCALATE",IF(OR(I256="SAME",I256="CANT_TELL",AD256&lt;axisTol),"I","H")),
C256="I",
IF(AY256&gt;=phaseMax,"ESCALATE",IF(AX256&gt;=powerSameN,"J","I")),
C256="J",
IF(AY256&gt;=phaseMax,"ESCALATE",IF(OR(AX256&gt;=duoEqualN,BB256&gt;=duoMax),"K","J")),
C256="K",
IF(AY256&gt;=phaseMax,"ESCALATE",IF(AX256&gt;=binoSameN,IF(XLOOKUP($B256,Derived_Variables!$A:$A,Derived_Variables!$AJ:$AJ,FALSE)=TRUE,"P","END"),"K")),
C256="P",
IF(AY256&gt;=phaseMax,"ESCALATE",IF(OR(I256="READABLE",I256="SAME"),"Q","P")),
C256="Q",
IF(AY256&gt;=phaseMax,"ESCALATE",IF(OR(I256="READABLE",I256="SAME"),"R","Q")),
C256="R",
IF(AY256&gt;=phaseMax,"ESCALATE",IF(OR(I256=nearTarget,I256="SAME"),"END","R")),
TRUE,"END"
)))</f>
        <v/>
      </c>
      <c r="BD256" s="28" t="b">
        <f t="shared" si="19"/>
        <v>0</v>
      </c>
    </row>
    <row r="257" ht="15.75" customHeight="1">
      <c r="A257" s="28">
        <f t="shared" si="3"/>
        <v>256</v>
      </c>
      <c r="B257" s="28">
        <f t="shared" si="4"/>
        <v>6</v>
      </c>
      <c r="C257" s="28" t="str">
        <f t="shared" si="5"/>
        <v/>
      </c>
      <c r="D257" s="28" t="str">
        <f t="array" ref="D257">IF($I256="","",XLOOKUP(C257,FSM_State_Map!A:A,FSM_State_Map!B:B,""))</f>
        <v/>
      </c>
      <c r="E257" s="28" t="str">
        <f t="array" ref="E257">IF($I256="","",XLOOKUP(C257,FSM_State_Map!A:A,FSM_State_Map!C:C,""))</f>
        <v/>
      </c>
      <c r="F257" s="28" t="str">
        <f t="array" ref="F257">IF($I256="","",XLOOKUP(E257,Phase_UI_Map!A:A,Phase_UI_Map!B:B,""))</f>
        <v/>
      </c>
      <c r="G257" s="28" t="str">
        <f t="array" ref="G257">IF($I256="","",XLOOKUP(E257,Phase_UI_Map!A:A,Phase_UI_Map!C:C,""))</f>
        <v/>
      </c>
      <c r="H257" s="28" t="str">
        <f t="array" ref="H257">IF($I256="","",XLOOKUP(E257,Phase_UI_Map!A:A,Phase_UI_Map!D:D,""))</f>
        <v/>
      </c>
      <c r="I257" s="29"/>
      <c r="J257" s="28" t="str">
        <f>IFERROR(__xludf.DUMMYFUNCTION("IF($I256="""","""",IFERROR(INDEX(FILTER(Response_Lists!$B:$B,Response_Lists!$A:$A=$H257),1),""""))"),"")</f>
        <v/>
      </c>
      <c r="K257" s="28" t="str">
        <f>IFERROR(__xludf.DUMMYFUNCTION("IF($I256="""","""",IFERROR(INDEX(FILTER(Response_Lists!$B:$B,Response_Lists!$A:$A=$H257),2),""""))"),"")</f>
        <v/>
      </c>
      <c r="L257" s="28" t="str">
        <f>IFERROR(__xludf.DUMMYFUNCTION("IF($I256="""","""",IFERROR(INDEX(FILTER(Response_Lists!$B:$B,Response_Lists!$A:$A=$H257),3),""""))"),"")</f>
        <v/>
      </c>
      <c r="M257" s="28" t="str">
        <f>IFERROR(__xludf.DUMMYFUNCTION("IF($I256="""","""",IFERROR(INDEX(FILTER(Response_Lists!$B:$B,Response_Lists!$A:$A=$H257),4),""""))"),"")</f>
        <v/>
      </c>
      <c r="N257" s="28" t="str">
        <f>IFERROR(__xludf.DUMMYFUNCTION("IF($I256="""","""",IFERROR(INDEX(FILTER(Response_Lists!$B:$B,Response_Lists!$A:$A=$H257),5),""""))"),"")</f>
        <v/>
      </c>
      <c r="O257" s="28" t="str">
        <f>IFERROR(__xludf.DUMMYFUNCTION("IF($I256="""","""",IFERROR(INDEX(FILTER(Response_Lists!$B:$B,Response_Lists!$A:$A=$H257),6),""""))"),"")</f>
        <v/>
      </c>
      <c r="P257" s="28" t="str">
        <f t="shared" si="6"/>
        <v/>
      </c>
      <c r="Q257" s="28" t="str">
        <f t="array" ref="Q257">IF($I256="","",XLOOKUP(C257,FSM_State_Map!A:A,FSM_State_Map!D:D,""))</f>
        <v/>
      </c>
      <c r="R257" s="28" t="str">
        <f t="shared" si="7"/>
        <v/>
      </c>
      <c r="S257" s="28" t="str">
        <f t="array" ref="S257">IF($I256="","",
IF(
  AND(C257="B",C256&lt;&gt;"B"),
  XLOOKUP($B257,Derived_Variables!$A:$A,Derived_Variables!$K:$K,0)
  + XLOOKUP($B257,Derived_Variables!$A:$A,Derived_Variables!$AE:$AE,0),
  S256+AM256
))</f>
        <v/>
      </c>
      <c r="T257" s="28" t="str">
        <f t="shared" ref="T257:U257" si="524">IF($I256="","",T256+AN256)</f>
        <v/>
      </c>
      <c r="U257" s="28" t="str">
        <f t="shared" si="524"/>
        <v/>
      </c>
      <c r="V257" s="28" t="str">
        <f t="array" ref="V257">IF($I256="","",
IF(
  AND(C257="D",C256&lt;&gt;"D"),
  XLOOKUP($B257,Derived_Variables!$A:$A,Derived_Variables!$N:$N,0)
  + XLOOKUP($B257,Derived_Variables!$A:$A,Derived_Variables!$AE:$AE,0),
  V256+AP256
))</f>
        <v/>
      </c>
      <c r="W257" s="28" t="str">
        <f t="shared" ref="W257:X257" si="525">IF($I256="","",W256+AQ256)</f>
        <v/>
      </c>
      <c r="X257" s="28" t="str">
        <f t="shared" si="525"/>
        <v/>
      </c>
      <c r="Y257" s="28" t="str">
        <f t="array" ref="Y257">IF($I256="","",IF(AND(C257="P",C256&lt;&gt;"P"),IFERROR(XLOOKUP($B257,Lenso_Input!$A:$A,Lenso_Input!$E:$E,0),0),Y256+AS256))</f>
        <v/>
      </c>
      <c r="Z257" s="28" t="str">
        <f t="array" ref="Z257">IF($I256="","",IF(AND(C257="Q",C256&lt;&gt;"Q"),IFERROR(XLOOKUP($B257,Lenso_Input!$A:$A,Lenso_Input!$I:$I,0),0),Z256+AT256))</f>
        <v/>
      </c>
      <c r="AA257" s="28" t="str">
        <f t="array" ref="AA257">IF($I256="","",IF(XLOOKUP($B257,Derived_Variables!$A:$A,Derived_Variables!$R:$R,"6/6_target")="6/6_target","20_20_20","40_30_25"))</f>
        <v/>
      </c>
      <c r="AB257" s="28" t="str">
        <f t="array" ref="AB257">IF($I256="","",XLOOKUP(LOWER(XLOOKUP($B257,Derived_Variables!$A:$A,Derived_Variables!$T:$T,"Standard"))&amp;"_sph_step",Calibration!$B:$B,Calibration!$C:$C,0.25))</f>
        <v/>
      </c>
      <c r="AC257" s="28" t="str">
        <f t="array" ref="AC257">IF($I256="","",XLOOKUP(LOWER(XLOOKUP($B257,Derived_Variables!$A:$A,Derived_Variables!$T:$T,"Standard"))&amp;"_cyl_step",Calibration!$B:$B,Calibration!$C:$C,0.25))</f>
        <v/>
      </c>
      <c r="AD257" s="28" t="str">
        <f t="array" ref="AD257">IF($I256="","",IF(OR(C257="E",C257="H"),LET(startStep,XLOOKUP("axis_start_step",Calibration!$B:$B,Calibration!$C:$C,5),step1,XLOOKUP("axis_reversal_step_1",Calibration!$B:$B,Calibration!$C:$C,3),step2,XLOOKUP("axis_reversal_step_2",Calibration!$B:$B,Calibration!$C:$C,1),IF(OR(C256&lt;&gt;C257,AZ257="",AZ257="SAME",AZ257="CANT_TELL",I257="",I257="SAME",I257="CANT_TELL"),startStep,IF(OR(AND(AZ257="BETTER_1",I257="BETTER_2"),AND(AZ257="BETTER_2",I257="BETTER_1")),IF(AD256&gt;step1,step1,step2),AD256))),0))</f>
        <v/>
      </c>
      <c r="AE257" s="28" t="str">
        <f t="array" ref="AE257">IF($I256="","",XLOOKUP($B257,Derived_Variables!$A:$A,Derived_Variables!$AD:$AD,"No_Fog"))</f>
        <v/>
      </c>
      <c r="AF257" s="28" t="str">
        <f t="array" ref="AF257">IF($I256="","",XLOOKUP($B257,Derived_Variables!$A:$A,Derived_Variables!$AE:$AE,0))</f>
        <v/>
      </c>
      <c r="AG257" s="28" t="str">
        <f t="array" ref="AG257">IF($I256="","",XLOOKUP($B257,Derived_Variables!$A:$A,Derived_Variables!$AF:$AF,""))</f>
        <v/>
      </c>
      <c r="AH257" s="28" t="str">
        <f t="array" ref="AH257">IF($I256="","",XLOOKUP($B257,Derived_Variables!$A:$A,Derived_Variables!$AG:$AG,""))</f>
        <v/>
      </c>
      <c r="AI257" s="28" t="str">
        <f t="array" ref="AI257">IF($I256="","",XLOOKUP($B257,Derived_Variables!$A:$A,Derived_Variables!$AC:$AC,"Medium"))</f>
        <v/>
      </c>
      <c r="AJ257" s="28" t="str">
        <f t="array" ref="AJ257">IF($I256="","",XLOOKUP($B257,Derived_Variables!$A:$A,Derived_Variables!$Y:$Y,FALSE))</f>
        <v/>
      </c>
      <c r="AK257" s="28" t="str">
        <f t="array" ref="AK257">IF($I256="","",XLOOKUP($B257,Derived_Variables!$A:$A,Derived_Variables!$AA:$AA,"Normal"))</f>
        <v/>
      </c>
      <c r="AL257" s="28" t="str">
        <f t="array" ref="AL257">IF($I256="","",XLOOKUP($B257,Derived_Variables!$A:$A,Derived_Variables!$AB:$AB,"Normal"))</f>
        <v/>
      </c>
      <c r="AM257" s="28" t="str">
        <f t="array" ref="AM257">IF($I257="","",IFS(C257="B",IF(OR(I257="NOT_READABLE",I257="BLURRY"),-AB257,0),C257="G",IFS(I257="RED_CLEARER",XLOOKUP("duochrome_red_step",Calibration!$B:$B,Calibration!$C:$C,-0.25),I257="GREEN_CLEARER",XLOOKUP("duochrome_green_step",Calibration!$B:$B,Calibration!$C:$C,0.25),I257="EQUAL",IF(XLOOKUP($B257,Derived_Variables!$A:$A,Derived_Variables!$S:$S,"Neutral")="Undercorrect",XLOOKUP("undercorrect_step",Calibration!$B:$B,Calibration!$C:$C,0.25),IF(XLOOKUP($B257,Derived_Variables!$A:$A,Derived_Variables!$S:$S,"Neutral")="Overcorrect",-XLOOKUP("overcorrect_step",Calibration!$B:$B,Calibration!$C:$C,0.25),0)),TRUE,0),C257="K",IF(I257="TOP_CLEARER",XLOOKUP("bino_balance_step",Calibration!$B:$B,Calibration!$C:$C,0.25),0),TRUE,0))</f>
        <v/>
      </c>
      <c r="AN257" s="28" t="str">
        <f t="shared" si="10"/>
        <v/>
      </c>
      <c r="AO257" s="28" t="str">
        <f t="shared" si="11"/>
        <v/>
      </c>
      <c r="AP257" s="28" t="str">
        <f t="array" ref="AP257">IF($I257="","",IFS(C257="D",IF(OR(I257="NOT_READABLE",I257="BLURRY"),-AB257,0),C257="J",IFS(I257="RED_CLEARER",XLOOKUP("duochrome_red_step",Calibration!$B:$B,Calibration!$C:$C,-0.25),I257="GREEN_CLEARER",XLOOKUP("duochrome_green_step",Calibration!$B:$B,Calibration!$C:$C,0.25),I257="EQUAL",IF(XLOOKUP($B257,Derived_Variables!$A:$A,Derived_Variables!$S:$S,"Neutral")="Undercorrect",XLOOKUP("undercorrect_step",Calibration!$B:$B,Calibration!$C:$C,0.25),IF(XLOOKUP($B257,Derived_Variables!$A:$A,Derived_Variables!$S:$S,"Neutral")="Overcorrect",-XLOOKUP("overcorrect_step",Calibration!$B:$B,Calibration!$C:$C,0.25),0)),TRUE,0),C257="K",IF(I257="BOTTOM_CLEARER",XLOOKUP("bino_balance_step",Calibration!$B:$B,Calibration!$C:$C,0.25),0),TRUE,0))</f>
        <v/>
      </c>
      <c r="AQ257" s="28" t="str">
        <f t="shared" si="12"/>
        <v/>
      </c>
      <c r="AR257" s="28" t="str">
        <f t="shared" si="13"/>
        <v/>
      </c>
      <c r="AS257" s="28" t="str">
        <f t="array" ref="AS257">IF($I257="","",IF(C257="P",IF(OR(I257="NOT_READABLE",I257="BLURRY"),XLOOKUP("near_add_step",Calibration!$B:$B,Calibration!$C:$C,0.25),0),IF(C257="R",IF(I257="NOT_CLEAR",XLOOKUP("near_add_step",Calibration!$B:$B,Calibration!$C:$C,0.25),0),0)))</f>
        <v/>
      </c>
      <c r="AT257" s="28" t="str">
        <f t="array" ref="AT257">IF($I257="","",IF(C257="Q",IF(OR(I257="NOT_READABLE",I257="BLURRY"),XLOOKUP("near_add_step",Calibration!$B:$B,Calibration!$C:$C,0.25),0),IF(C257="R",IF(I257="NOT_CLEAR",XLOOKUP("near_add_step",Calibration!$B:$B,Calibration!$C:$C,0.25),0),0)))</f>
        <v/>
      </c>
      <c r="AU257" s="28" t="str">
        <f t="array" ref="AU257">IF($I257="","",IF(G257="SNELLEN_FEET",IF(I257="READABLE",IFERROR(XLOOKUP(XLOOKUP(R257,Chart_Scale_Distance!B:B,Chart_Scale_Distance!A:A)+1,Chart_Scale_Distance!A:A,Chart_Scale_Distance!B:B),R257),R257),R257))</f>
        <v/>
      </c>
      <c r="AV257" s="28" t="str">
        <f t="array" ref="AV257">IF($I256="","",IFERROR(XLOOKUP(R257,Chart_Scale_Distance!$B:$B,Chart_Scale_Distance!$A:$A,""),""))</f>
        <v/>
      </c>
      <c r="AW257" s="28" t="str">
        <f t="array" ref="AW257">IF($I256="","",IFERROR(XLOOKUP(AA257,Chart_Scale_Distance!$B:$B,Chart_Scale_Distance!$A:$A,""),""))</f>
        <v/>
      </c>
      <c r="AX257" s="28" t="str">
        <f t="shared" si="14"/>
        <v/>
      </c>
      <c r="AY257" s="28" t="str">
        <f t="shared" si="15"/>
        <v/>
      </c>
      <c r="AZ257" s="28" t="str">
        <f t="shared" si="16"/>
        <v/>
      </c>
      <c r="BA257" s="28" t="str">
        <f t="shared" si="17"/>
        <v/>
      </c>
      <c r="BB257" s="28" t="str">
        <f t="shared" si="18"/>
        <v/>
      </c>
      <c r="BC257" s="28" t="str">
        <f t="array" ref="BC257">IF($I257="","",LET(
conf,AI257,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duoMax,XLOOKUP($B257,Derived_Variables!$A:$A,Derived_Variables!$AI:$AI,4),
axisTol,XLOOKUP($B257,Derived_Variables!$A:$A,Derived_Variables!$W:$W,1),
maxStart,XLOOKUP($B257,Derived_Variables!$A:$A,Derived_Variables!$U:$U,1.25),
maxAR,XLOOKUP($B257,Derived_Variables!$A:$A,Derived_Variables!$V:$V,3),
anom,XLOOKUP($B257,Derived_Variables!$A:$A,Derived_Variables!$Z:$Z,FALSE),
reStart,XLOOKUP($B257,Derived_Variables!$A:$A,Derived_Variables!$K:$K,0),
leStart,XLOOKUP($B257,Derived_Variables!$A:$A,Derived_Variables!$N:$N,0),
reAR,XLOOKUP($B257,AR_Input!$A:$A,AR_Input!$B:$B,reStart),
leAR,XLOOKUP($B257,AR_Input!$A:$A,AR_Input!$E:$E,leStart),
reEsc,AND(anom,OR(ABS((S257+AM257)-reStart)&gt;maxStart,ABS((S257+AM257)-reAR)&gt;maxAR)),
leEsc,AND(anom,OR(ABS((V257+AP257)-leStart)&gt;maxStart,ABS((V257+AP257)-leAR)&gt;maxAR)),
phaseMax,IFS(
 AK257="Fast",
   IFS(
     OR(C257="B",C257="D"),XLOOKUP("timeout_coarse_fast",Calibration!$B:$B,Calibration!$C:$C,24),
     OR(C257="E",C257="F",C257="H",C257="I"),XLOOKUP("timeout_jcc_fast",Calibration!$B:$B,Calibration!$C:$C,10),
     OR(C257="G",C257="J"),XLOOKUP("timeout_duochrome_fast",Calibration!$B:$B,Calibration!$C:$C,8),
     C257="K",XLOOKUP("timeout_bino_fast",Calibration!$B:$B,Calibration!$C:$C,10),
     OR(C257="P",C257="Q",C257="R"),XLOOKUP("timeout_near_fast",Calibration!$B:$B,Calibration!$C:$C,16),
     TRUE,XLOOKUP("timeout_coarse_fast",Calibration!$B:$B,Calibration!$C:$C,24)
   ),
 AK257="Normal",
   IFS(
     OR(C257="B",C257="D"),XLOOKUP("timeout_coarse_normal",Calibration!$B:$B,Calibration!$C:$C,36),
     OR(C257="E",C257="F",C257="H",C257="I"),XLOOKUP("timeout_jcc_normal",Calibration!$B:$B,Calibration!$C:$C,14),
     OR(C257="G",C257="J"),XLOOKUP("timeout_duochrome_normal",Calibration!$B:$B,Calibration!$C:$C,10),
     C257="K",XLOOKUP("timeout_bino_normal",Calibration!$B:$B,Calibration!$C:$C,14),
     OR(C257="P",C257="Q",C257="R"),XLOOKUP("timeout_near_normal",Calibration!$B:$B,Calibration!$C:$C,22),
     TRUE,XLOOKUP("timeout_coarse_normal",Calibration!$B:$B,Calibration!$C:$C,36)
   ),
 TRUE,
   IFS(
     OR(C257="B",C257="D"),XLOOKUP("timeout_coarse_slow",Calibration!$B:$B,Calibration!$C:$C,48),
     OR(C257="E",C257="F",C257="H",C257="I"),XLOOKUP("timeout_jcc_slow",Calibration!$B:$B,Calibration!$C:$C,18),
     OR(C257="G",C257="J"),XLOOKUP("timeout_duochrome_slow",Calibration!$B:$B,Calibration!$C:$C,12),
     C257="K",XLOOKUP("timeout_bino_slow",Calibration!$B:$B,Calibration!$C:$C,18),
     OR(C257="P",C257="Q",C257="R"),XLOOKUP("timeout_near_slow",Calibration!$B:$B,Calibration!$C:$C,28),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AJ257=TRUE,"ESCALATE",
C257="A",
IF(OR(I257="NOT_READABLE",I257="BLURRY",AND(R257="20_20_20",I257="READABLE")),"B","A"),
C257="B",
IF(reEsc,"ESCALATE",IF(AY257&gt;=phaseMax,"ESCALATE",IF(AND(AV257&gt;=AW257,I257="READABLE"),"E","B"))),
C257="E",
IF(AY257&gt;=phaseMax,"ESCALATE",IF(OR(I257="SAME",I257="CANT_TELL",AD257&lt;axisTol),"F","E")),
C257="F",
IF(AY257&gt;=phaseMax,"ESCALATE",IF(AX257&gt;=powerSameN,"G","F")),
C257="G",
IF(AY257&gt;=phaseMax,"ESCALATE",IF(OR(AX257&gt;=duoEqualN,BB257&gt;=duoMax),"D","G")),
C257="D",
IF(leEsc,"ESCALATE",IF(AY257&gt;=phaseMax,"ESCALATE",IF(AND(AV257&gt;=AW257,I257="READABLE"),"H","D"))),
C257="H",
IF(AY257&gt;=phaseMax,"ESCALATE",IF(OR(I257="SAME",I257="CANT_TELL",AD257&lt;axisTol),"I","H")),
C257="I",
IF(AY257&gt;=phaseMax,"ESCALATE",IF(AX257&gt;=powerSameN,"J","I")),
C257="J",
IF(AY257&gt;=phaseMax,"ESCALATE",IF(OR(AX257&gt;=duoEqualN,BB257&gt;=duoMax),"K","J")),
C257="K",
IF(AY257&gt;=phaseMax,"ESCALATE",IF(AX257&gt;=binoSameN,IF(XLOOKUP($B257,Derived_Variables!$A:$A,Derived_Variables!$AJ:$AJ,FALSE)=TRUE,"P","END"),"K")),
C257="P",
IF(AY257&gt;=phaseMax,"ESCALATE",IF(OR(I257="READABLE",I257="SAME"),"Q","P")),
C257="Q",
IF(AY257&gt;=phaseMax,"ESCALATE",IF(OR(I257="READABLE",I257="SAME"),"R","Q")),
C257="R",
IF(AY257&gt;=phaseMax,"ESCALATE",IF(OR(I257=nearTarget,I257="SAME"),"END","R")),
TRUE,"END"
)))</f>
        <v/>
      </c>
      <c r="BD257" s="28" t="b">
        <f t="shared" si="19"/>
        <v>0</v>
      </c>
    </row>
    <row r="258" ht="15.75" customHeight="1">
      <c r="A258" s="28">
        <f t="shared" si="3"/>
        <v>257</v>
      </c>
      <c r="B258" s="28">
        <f t="shared" si="4"/>
        <v>6</v>
      </c>
      <c r="C258" s="28" t="str">
        <f t="shared" si="5"/>
        <v/>
      </c>
      <c r="D258" s="28" t="str">
        <f t="array" ref="D258">IF($I257="","",XLOOKUP(C258,FSM_State_Map!A:A,FSM_State_Map!B:B,""))</f>
        <v/>
      </c>
      <c r="E258" s="28" t="str">
        <f t="array" ref="E258">IF($I257="","",XLOOKUP(C258,FSM_State_Map!A:A,FSM_State_Map!C:C,""))</f>
        <v/>
      </c>
      <c r="F258" s="28" t="str">
        <f t="array" ref="F258">IF($I257="","",XLOOKUP(E258,Phase_UI_Map!A:A,Phase_UI_Map!B:B,""))</f>
        <v/>
      </c>
      <c r="G258" s="28" t="str">
        <f t="array" ref="G258">IF($I257="","",XLOOKUP(E258,Phase_UI_Map!A:A,Phase_UI_Map!C:C,""))</f>
        <v/>
      </c>
      <c r="H258" s="28" t="str">
        <f t="array" ref="H258">IF($I257="","",XLOOKUP(E258,Phase_UI_Map!A:A,Phase_UI_Map!D:D,""))</f>
        <v/>
      </c>
      <c r="I258" s="29"/>
      <c r="J258" s="28" t="str">
        <f>IFERROR(__xludf.DUMMYFUNCTION("IF($I257="""","""",IFERROR(INDEX(FILTER(Response_Lists!$B:$B,Response_Lists!$A:$A=$H258),1),""""))"),"")</f>
        <v/>
      </c>
      <c r="K258" s="28" t="str">
        <f>IFERROR(__xludf.DUMMYFUNCTION("IF($I257="""","""",IFERROR(INDEX(FILTER(Response_Lists!$B:$B,Response_Lists!$A:$A=$H258),2),""""))"),"")</f>
        <v/>
      </c>
      <c r="L258" s="28" t="str">
        <f>IFERROR(__xludf.DUMMYFUNCTION("IF($I257="""","""",IFERROR(INDEX(FILTER(Response_Lists!$B:$B,Response_Lists!$A:$A=$H258),3),""""))"),"")</f>
        <v/>
      </c>
      <c r="M258" s="28" t="str">
        <f>IFERROR(__xludf.DUMMYFUNCTION("IF($I257="""","""",IFERROR(INDEX(FILTER(Response_Lists!$B:$B,Response_Lists!$A:$A=$H258),4),""""))"),"")</f>
        <v/>
      </c>
      <c r="N258" s="28" t="str">
        <f>IFERROR(__xludf.DUMMYFUNCTION("IF($I257="""","""",IFERROR(INDEX(FILTER(Response_Lists!$B:$B,Response_Lists!$A:$A=$H258),5),""""))"),"")</f>
        <v/>
      </c>
      <c r="O258" s="28" t="str">
        <f>IFERROR(__xludf.DUMMYFUNCTION("IF($I257="""","""",IFERROR(INDEX(FILTER(Response_Lists!$B:$B,Response_Lists!$A:$A=$H258),6),""""))"),"")</f>
        <v/>
      </c>
      <c r="P258" s="28" t="str">
        <f t="shared" si="6"/>
        <v/>
      </c>
      <c r="Q258" s="28" t="str">
        <f t="array" ref="Q258">IF($I257="","",XLOOKUP(C258,FSM_State_Map!A:A,FSM_State_Map!D:D,""))</f>
        <v/>
      </c>
      <c r="R258" s="28" t="str">
        <f t="shared" si="7"/>
        <v/>
      </c>
      <c r="S258" s="28" t="str">
        <f t="array" ref="S258">IF($I257="","",
IF(
  AND(C258="B",C257&lt;&gt;"B"),
  XLOOKUP($B258,Derived_Variables!$A:$A,Derived_Variables!$K:$K,0)
  + XLOOKUP($B258,Derived_Variables!$A:$A,Derived_Variables!$AE:$AE,0),
  S257+AM257
))</f>
        <v/>
      </c>
      <c r="T258" s="28" t="str">
        <f t="shared" ref="T258:U258" si="526">IF($I257="","",T257+AN257)</f>
        <v/>
      </c>
      <c r="U258" s="28" t="str">
        <f t="shared" si="526"/>
        <v/>
      </c>
      <c r="V258" s="28" t="str">
        <f t="array" ref="V258">IF($I257="","",
IF(
  AND(C258="D",C257&lt;&gt;"D"),
  XLOOKUP($B258,Derived_Variables!$A:$A,Derived_Variables!$N:$N,0)
  + XLOOKUP($B258,Derived_Variables!$A:$A,Derived_Variables!$AE:$AE,0),
  V257+AP257
))</f>
        <v/>
      </c>
      <c r="W258" s="28" t="str">
        <f t="shared" ref="W258:X258" si="527">IF($I257="","",W257+AQ257)</f>
        <v/>
      </c>
      <c r="X258" s="28" t="str">
        <f t="shared" si="527"/>
        <v/>
      </c>
      <c r="Y258" s="28" t="str">
        <f t="array" ref="Y258">IF($I257="","",IF(AND(C258="P",C257&lt;&gt;"P"),IFERROR(XLOOKUP($B258,Lenso_Input!$A:$A,Lenso_Input!$E:$E,0),0),Y257+AS257))</f>
        <v/>
      </c>
      <c r="Z258" s="28" t="str">
        <f t="array" ref="Z258">IF($I257="","",IF(AND(C258="Q",C257&lt;&gt;"Q"),IFERROR(XLOOKUP($B258,Lenso_Input!$A:$A,Lenso_Input!$I:$I,0),0),Z257+AT257))</f>
        <v/>
      </c>
      <c r="AA258" s="28" t="str">
        <f t="array" ref="AA258">IF($I257="","",IF(XLOOKUP($B258,Derived_Variables!$A:$A,Derived_Variables!$R:$R,"6/6_target")="6/6_target","20_20_20","40_30_25"))</f>
        <v/>
      </c>
      <c r="AB258" s="28" t="str">
        <f t="array" ref="AB258">IF($I257="","",XLOOKUP(LOWER(XLOOKUP($B258,Derived_Variables!$A:$A,Derived_Variables!$T:$T,"Standard"))&amp;"_sph_step",Calibration!$B:$B,Calibration!$C:$C,0.25))</f>
        <v/>
      </c>
      <c r="AC258" s="28" t="str">
        <f t="array" ref="AC258">IF($I257="","",XLOOKUP(LOWER(XLOOKUP($B258,Derived_Variables!$A:$A,Derived_Variables!$T:$T,"Standard"))&amp;"_cyl_step",Calibration!$B:$B,Calibration!$C:$C,0.25))</f>
        <v/>
      </c>
      <c r="AD258" s="28" t="str">
        <f t="array" ref="AD258">IF($I257="","",IF(OR(C258="E",C258="H"),LET(startStep,XLOOKUP("axis_start_step",Calibration!$B:$B,Calibration!$C:$C,5),step1,XLOOKUP("axis_reversal_step_1",Calibration!$B:$B,Calibration!$C:$C,3),step2,XLOOKUP("axis_reversal_step_2",Calibration!$B:$B,Calibration!$C:$C,1),IF(OR(C257&lt;&gt;C258,AZ258="",AZ258="SAME",AZ258="CANT_TELL",I258="",I258="SAME",I258="CANT_TELL"),startStep,IF(OR(AND(AZ258="BETTER_1",I258="BETTER_2"),AND(AZ258="BETTER_2",I258="BETTER_1")),IF(AD257&gt;step1,step1,step2),AD257))),0))</f>
        <v/>
      </c>
      <c r="AE258" s="28" t="str">
        <f t="array" ref="AE258">IF($I257="","",XLOOKUP($B258,Derived_Variables!$A:$A,Derived_Variables!$AD:$AD,"No_Fog"))</f>
        <v/>
      </c>
      <c r="AF258" s="28" t="str">
        <f t="array" ref="AF258">IF($I257="","",XLOOKUP($B258,Derived_Variables!$A:$A,Derived_Variables!$AE:$AE,0))</f>
        <v/>
      </c>
      <c r="AG258" s="28" t="str">
        <f t="array" ref="AG258">IF($I257="","",XLOOKUP($B258,Derived_Variables!$A:$A,Derived_Variables!$AF:$AF,""))</f>
        <v/>
      </c>
      <c r="AH258" s="28" t="str">
        <f t="array" ref="AH258">IF($I257="","",XLOOKUP($B258,Derived_Variables!$A:$A,Derived_Variables!$AG:$AG,""))</f>
        <v/>
      </c>
      <c r="AI258" s="28" t="str">
        <f t="array" ref="AI258">IF($I257="","",XLOOKUP($B258,Derived_Variables!$A:$A,Derived_Variables!$AC:$AC,"Medium"))</f>
        <v/>
      </c>
      <c r="AJ258" s="28" t="str">
        <f t="array" ref="AJ258">IF($I257="","",XLOOKUP($B258,Derived_Variables!$A:$A,Derived_Variables!$Y:$Y,FALSE))</f>
        <v/>
      </c>
      <c r="AK258" s="28" t="str">
        <f t="array" ref="AK258">IF($I257="","",XLOOKUP($B258,Derived_Variables!$A:$A,Derived_Variables!$AA:$AA,"Normal"))</f>
        <v/>
      </c>
      <c r="AL258" s="28" t="str">
        <f t="array" ref="AL258">IF($I257="","",XLOOKUP($B258,Derived_Variables!$A:$A,Derived_Variables!$AB:$AB,"Normal"))</f>
        <v/>
      </c>
      <c r="AM258" s="28" t="str">
        <f t="array" ref="AM258">IF($I258="","",IFS(C258="B",IF(OR(I258="NOT_READABLE",I258="BLURRY"),-AB258,0),C258="G",IFS(I258="RED_CLEARER",XLOOKUP("duochrome_red_step",Calibration!$B:$B,Calibration!$C:$C,-0.25),I258="GREEN_CLEARER",XLOOKUP("duochrome_green_step",Calibration!$B:$B,Calibration!$C:$C,0.25),I258="EQUAL",IF(XLOOKUP($B258,Derived_Variables!$A:$A,Derived_Variables!$S:$S,"Neutral")="Undercorrect",XLOOKUP("undercorrect_step",Calibration!$B:$B,Calibration!$C:$C,0.25),IF(XLOOKUP($B258,Derived_Variables!$A:$A,Derived_Variables!$S:$S,"Neutral")="Overcorrect",-XLOOKUP("overcorrect_step",Calibration!$B:$B,Calibration!$C:$C,0.25),0)),TRUE,0),C258="K",IF(I258="TOP_CLEARER",XLOOKUP("bino_balance_step",Calibration!$B:$B,Calibration!$C:$C,0.25),0),TRUE,0))</f>
        <v/>
      </c>
      <c r="AN258" s="28" t="str">
        <f t="shared" si="10"/>
        <v/>
      </c>
      <c r="AO258" s="28" t="str">
        <f t="shared" si="11"/>
        <v/>
      </c>
      <c r="AP258" s="28" t="str">
        <f t="array" ref="AP258">IF($I258="","",IFS(C258="D",IF(OR(I258="NOT_READABLE",I258="BLURRY"),-AB258,0),C258="J",IFS(I258="RED_CLEARER",XLOOKUP("duochrome_red_step",Calibration!$B:$B,Calibration!$C:$C,-0.25),I258="GREEN_CLEARER",XLOOKUP("duochrome_green_step",Calibration!$B:$B,Calibration!$C:$C,0.25),I258="EQUAL",IF(XLOOKUP($B258,Derived_Variables!$A:$A,Derived_Variables!$S:$S,"Neutral")="Undercorrect",XLOOKUP("undercorrect_step",Calibration!$B:$B,Calibration!$C:$C,0.25),IF(XLOOKUP($B258,Derived_Variables!$A:$A,Derived_Variables!$S:$S,"Neutral")="Overcorrect",-XLOOKUP("overcorrect_step",Calibration!$B:$B,Calibration!$C:$C,0.25),0)),TRUE,0),C258="K",IF(I258="BOTTOM_CLEARER",XLOOKUP("bino_balance_step",Calibration!$B:$B,Calibration!$C:$C,0.25),0),TRUE,0))</f>
        <v/>
      </c>
      <c r="AQ258" s="28" t="str">
        <f t="shared" si="12"/>
        <v/>
      </c>
      <c r="AR258" s="28" t="str">
        <f t="shared" si="13"/>
        <v/>
      </c>
      <c r="AS258" s="28" t="str">
        <f t="array" ref="AS258">IF($I258="","",IF(C258="P",IF(OR(I258="NOT_READABLE",I258="BLURRY"),XLOOKUP("near_add_step",Calibration!$B:$B,Calibration!$C:$C,0.25),0),IF(C258="R",IF(I258="NOT_CLEAR",XLOOKUP("near_add_step",Calibration!$B:$B,Calibration!$C:$C,0.25),0),0)))</f>
        <v/>
      </c>
      <c r="AT258" s="28" t="str">
        <f t="array" ref="AT258">IF($I258="","",IF(C258="Q",IF(OR(I258="NOT_READABLE",I258="BLURRY"),XLOOKUP("near_add_step",Calibration!$B:$B,Calibration!$C:$C,0.25),0),IF(C258="R",IF(I258="NOT_CLEAR",XLOOKUP("near_add_step",Calibration!$B:$B,Calibration!$C:$C,0.25),0),0)))</f>
        <v/>
      </c>
      <c r="AU258" s="28" t="str">
        <f t="array" ref="AU258">IF($I258="","",IF(G258="SNELLEN_FEET",IF(I258="READABLE",IFERROR(XLOOKUP(XLOOKUP(R258,Chart_Scale_Distance!B:B,Chart_Scale_Distance!A:A)+1,Chart_Scale_Distance!A:A,Chart_Scale_Distance!B:B),R258),R258),R258))</f>
        <v/>
      </c>
      <c r="AV258" s="28" t="str">
        <f t="array" ref="AV258">IF($I257="","",IFERROR(XLOOKUP(R258,Chart_Scale_Distance!$B:$B,Chart_Scale_Distance!$A:$A,""),""))</f>
        <v/>
      </c>
      <c r="AW258" s="28" t="str">
        <f t="array" ref="AW258">IF($I257="","",IFERROR(XLOOKUP(AA258,Chart_Scale_Distance!$B:$B,Chart_Scale_Distance!$A:$A,""),""))</f>
        <v/>
      </c>
      <c r="AX258" s="28" t="str">
        <f t="shared" si="14"/>
        <v/>
      </c>
      <c r="AY258" s="28" t="str">
        <f t="shared" si="15"/>
        <v/>
      </c>
      <c r="AZ258" s="28" t="str">
        <f t="shared" si="16"/>
        <v/>
      </c>
      <c r="BA258" s="28" t="str">
        <f t="shared" si="17"/>
        <v/>
      </c>
      <c r="BB258" s="28" t="str">
        <f t="shared" si="18"/>
        <v/>
      </c>
      <c r="BC258" s="28" t="str">
        <f t="array" ref="BC258">IF($I258="","",LET(
conf,AI258,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duoMax,XLOOKUP($B258,Derived_Variables!$A:$A,Derived_Variables!$AI:$AI,4),
axisTol,XLOOKUP($B258,Derived_Variables!$A:$A,Derived_Variables!$W:$W,1),
maxStart,XLOOKUP($B258,Derived_Variables!$A:$A,Derived_Variables!$U:$U,1.25),
maxAR,XLOOKUP($B258,Derived_Variables!$A:$A,Derived_Variables!$V:$V,3),
anom,XLOOKUP($B258,Derived_Variables!$A:$A,Derived_Variables!$Z:$Z,FALSE),
reStart,XLOOKUP($B258,Derived_Variables!$A:$A,Derived_Variables!$K:$K,0),
leStart,XLOOKUP($B258,Derived_Variables!$A:$A,Derived_Variables!$N:$N,0),
reAR,XLOOKUP($B258,AR_Input!$A:$A,AR_Input!$B:$B,reStart),
leAR,XLOOKUP($B258,AR_Input!$A:$A,AR_Input!$E:$E,leStart),
reEsc,AND(anom,OR(ABS((S258+AM258)-reStart)&gt;maxStart,ABS((S258+AM258)-reAR)&gt;maxAR)),
leEsc,AND(anom,OR(ABS((V258+AP258)-leStart)&gt;maxStart,ABS((V258+AP258)-leAR)&gt;maxAR)),
phaseMax,IFS(
 AK258="Fast",
   IFS(
     OR(C258="B",C258="D"),XLOOKUP("timeout_coarse_fast",Calibration!$B:$B,Calibration!$C:$C,24),
     OR(C258="E",C258="F",C258="H",C258="I"),XLOOKUP("timeout_jcc_fast",Calibration!$B:$B,Calibration!$C:$C,10),
     OR(C258="G",C258="J"),XLOOKUP("timeout_duochrome_fast",Calibration!$B:$B,Calibration!$C:$C,8),
     C258="K",XLOOKUP("timeout_bino_fast",Calibration!$B:$B,Calibration!$C:$C,10),
     OR(C258="P",C258="Q",C258="R"),XLOOKUP("timeout_near_fast",Calibration!$B:$B,Calibration!$C:$C,16),
     TRUE,XLOOKUP("timeout_coarse_fast",Calibration!$B:$B,Calibration!$C:$C,24)
   ),
 AK258="Normal",
   IFS(
     OR(C258="B",C258="D"),XLOOKUP("timeout_coarse_normal",Calibration!$B:$B,Calibration!$C:$C,36),
     OR(C258="E",C258="F",C258="H",C258="I"),XLOOKUP("timeout_jcc_normal",Calibration!$B:$B,Calibration!$C:$C,14),
     OR(C258="G",C258="J"),XLOOKUP("timeout_duochrome_normal",Calibration!$B:$B,Calibration!$C:$C,10),
     C258="K",XLOOKUP("timeout_bino_normal",Calibration!$B:$B,Calibration!$C:$C,14),
     OR(C258="P",C258="Q",C258="R"),XLOOKUP("timeout_near_normal",Calibration!$B:$B,Calibration!$C:$C,22),
     TRUE,XLOOKUP("timeout_coarse_normal",Calibration!$B:$B,Calibration!$C:$C,36)
   ),
 TRUE,
   IFS(
     OR(C258="B",C258="D"),XLOOKUP("timeout_coarse_slow",Calibration!$B:$B,Calibration!$C:$C,48),
     OR(C258="E",C258="F",C258="H",C258="I"),XLOOKUP("timeout_jcc_slow",Calibration!$B:$B,Calibration!$C:$C,18),
     OR(C258="G",C258="J"),XLOOKUP("timeout_duochrome_slow",Calibration!$B:$B,Calibration!$C:$C,12),
     C258="K",XLOOKUP("timeout_bino_slow",Calibration!$B:$B,Calibration!$C:$C,18),
     OR(C258="P",C258="Q",C258="R"),XLOOKUP("timeout_near_slow",Calibration!$B:$B,Calibration!$C:$C,28),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AJ258=TRUE,"ESCALATE",
C258="A",
IF(OR(I258="NOT_READABLE",I258="BLURRY",AND(R258="20_20_20",I258="READABLE")),"B","A"),
C258="B",
IF(reEsc,"ESCALATE",IF(AY258&gt;=phaseMax,"ESCALATE",IF(AND(AV258&gt;=AW258,I258="READABLE"),"E","B"))),
C258="E",
IF(AY258&gt;=phaseMax,"ESCALATE",IF(OR(I258="SAME",I258="CANT_TELL",AD258&lt;axisTol),"F","E")),
C258="F",
IF(AY258&gt;=phaseMax,"ESCALATE",IF(AX258&gt;=powerSameN,"G","F")),
C258="G",
IF(AY258&gt;=phaseMax,"ESCALATE",IF(OR(AX258&gt;=duoEqualN,BB258&gt;=duoMax),"D","G")),
C258="D",
IF(leEsc,"ESCALATE",IF(AY258&gt;=phaseMax,"ESCALATE",IF(AND(AV258&gt;=AW258,I258="READABLE"),"H","D"))),
C258="H",
IF(AY258&gt;=phaseMax,"ESCALATE",IF(OR(I258="SAME",I258="CANT_TELL",AD258&lt;axisTol),"I","H")),
C258="I",
IF(AY258&gt;=phaseMax,"ESCALATE",IF(AX258&gt;=powerSameN,"J","I")),
C258="J",
IF(AY258&gt;=phaseMax,"ESCALATE",IF(OR(AX258&gt;=duoEqualN,BB258&gt;=duoMax),"K","J")),
C258="K",
IF(AY258&gt;=phaseMax,"ESCALATE",IF(AX258&gt;=binoSameN,IF(XLOOKUP($B258,Derived_Variables!$A:$A,Derived_Variables!$AJ:$AJ,FALSE)=TRUE,"P","END"),"K")),
C258="P",
IF(AY258&gt;=phaseMax,"ESCALATE",IF(OR(I258="READABLE",I258="SAME"),"Q","P")),
C258="Q",
IF(AY258&gt;=phaseMax,"ESCALATE",IF(OR(I258="READABLE",I258="SAME"),"R","Q")),
C258="R",
IF(AY258&gt;=phaseMax,"ESCALATE",IF(OR(I258=nearTarget,I258="SAME"),"END","R")),
TRUE,"END"
)))</f>
        <v/>
      </c>
      <c r="BD258" s="28" t="b">
        <f t="shared" si="19"/>
        <v>0</v>
      </c>
    </row>
    <row r="259" ht="15.75" customHeight="1">
      <c r="A259" s="28">
        <f t="shared" si="3"/>
        <v>258</v>
      </c>
      <c r="B259" s="28">
        <f t="shared" si="4"/>
        <v>6</v>
      </c>
      <c r="C259" s="28" t="str">
        <f t="shared" si="5"/>
        <v/>
      </c>
      <c r="D259" s="28" t="str">
        <f t="array" ref="D259">IF($I258="","",XLOOKUP(C259,FSM_State_Map!A:A,FSM_State_Map!B:B,""))</f>
        <v/>
      </c>
      <c r="E259" s="28" t="str">
        <f t="array" ref="E259">IF($I258="","",XLOOKUP(C259,FSM_State_Map!A:A,FSM_State_Map!C:C,""))</f>
        <v/>
      </c>
      <c r="F259" s="28" t="str">
        <f t="array" ref="F259">IF($I258="","",XLOOKUP(E259,Phase_UI_Map!A:A,Phase_UI_Map!B:B,""))</f>
        <v/>
      </c>
      <c r="G259" s="28" t="str">
        <f t="array" ref="G259">IF($I258="","",XLOOKUP(E259,Phase_UI_Map!A:A,Phase_UI_Map!C:C,""))</f>
        <v/>
      </c>
      <c r="H259" s="28" t="str">
        <f t="array" ref="H259">IF($I258="","",XLOOKUP(E259,Phase_UI_Map!A:A,Phase_UI_Map!D:D,""))</f>
        <v/>
      </c>
      <c r="I259" s="29"/>
      <c r="J259" s="28" t="str">
        <f>IFERROR(__xludf.DUMMYFUNCTION("IF($I258="""","""",IFERROR(INDEX(FILTER(Response_Lists!$B:$B,Response_Lists!$A:$A=$H259),1),""""))"),"")</f>
        <v/>
      </c>
      <c r="K259" s="28" t="str">
        <f>IFERROR(__xludf.DUMMYFUNCTION("IF($I258="""","""",IFERROR(INDEX(FILTER(Response_Lists!$B:$B,Response_Lists!$A:$A=$H259),2),""""))"),"")</f>
        <v/>
      </c>
      <c r="L259" s="28" t="str">
        <f>IFERROR(__xludf.DUMMYFUNCTION("IF($I258="""","""",IFERROR(INDEX(FILTER(Response_Lists!$B:$B,Response_Lists!$A:$A=$H259),3),""""))"),"")</f>
        <v/>
      </c>
      <c r="M259" s="28" t="str">
        <f>IFERROR(__xludf.DUMMYFUNCTION("IF($I258="""","""",IFERROR(INDEX(FILTER(Response_Lists!$B:$B,Response_Lists!$A:$A=$H259),4),""""))"),"")</f>
        <v/>
      </c>
      <c r="N259" s="28" t="str">
        <f>IFERROR(__xludf.DUMMYFUNCTION("IF($I258="""","""",IFERROR(INDEX(FILTER(Response_Lists!$B:$B,Response_Lists!$A:$A=$H259),5),""""))"),"")</f>
        <v/>
      </c>
      <c r="O259" s="28" t="str">
        <f>IFERROR(__xludf.DUMMYFUNCTION("IF($I258="""","""",IFERROR(INDEX(FILTER(Response_Lists!$B:$B,Response_Lists!$A:$A=$H259),6),""""))"),"")</f>
        <v/>
      </c>
      <c r="P259" s="28" t="str">
        <f t="shared" si="6"/>
        <v/>
      </c>
      <c r="Q259" s="28" t="str">
        <f t="array" ref="Q259">IF($I258="","",XLOOKUP(C259,FSM_State_Map!A:A,FSM_State_Map!D:D,""))</f>
        <v/>
      </c>
      <c r="R259" s="28" t="str">
        <f t="shared" si="7"/>
        <v/>
      </c>
      <c r="S259" s="28" t="str">
        <f t="array" ref="S259">IF($I258="","",
IF(
  AND(C259="B",C258&lt;&gt;"B"),
  XLOOKUP($B259,Derived_Variables!$A:$A,Derived_Variables!$K:$K,0)
  + XLOOKUP($B259,Derived_Variables!$A:$A,Derived_Variables!$AE:$AE,0),
  S258+AM258
))</f>
        <v/>
      </c>
      <c r="T259" s="28" t="str">
        <f t="shared" ref="T259:U259" si="528">IF($I258="","",T258+AN258)</f>
        <v/>
      </c>
      <c r="U259" s="28" t="str">
        <f t="shared" si="528"/>
        <v/>
      </c>
      <c r="V259" s="28" t="str">
        <f t="array" ref="V259">IF($I258="","",
IF(
  AND(C259="D",C258&lt;&gt;"D"),
  XLOOKUP($B259,Derived_Variables!$A:$A,Derived_Variables!$N:$N,0)
  + XLOOKUP($B259,Derived_Variables!$A:$A,Derived_Variables!$AE:$AE,0),
  V258+AP258
))</f>
        <v/>
      </c>
      <c r="W259" s="28" t="str">
        <f t="shared" ref="W259:X259" si="529">IF($I258="","",W258+AQ258)</f>
        <v/>
      </c>
      <c r="X259" s="28" t="str">
        <f t="shared" si="529"/>
        <v/>
      </c>
      <c r="Y259" s="28" t="str">
        <f t="array" ref="Y259">IF($I258="","",IF(AND(C259="P",C258&lt;&gt;"P"),IFERROR(XLOOKUP($B259,Lenso_Input!$A:$A,Lenso_Input!$E:$E,0),0),Y258+AS258))</f>
        <v/>
      </c>
      <c r="Z259" s="28" t="str">
        <f t="array" ref="Z259">IF($I258="","",IF(AND(C259="Q",C258&lt;&gt;"Q"),IFERROR(XLOOKUP($B259,Lenso_Input!$A:$A,Lenso_Input!$I:$I,0),0),Z258+AT258))</f>
        <v/>
      </c>
      <c r="AA259" s="28" t="str">
        <f t="array" ref="AA259">IF($I258="","",IF(XLOOKUP($B259,Derived_Variables!$A:$A,Derived_Variables!$R:$R,"6/6_target")="6/6_target","20_20_20","40_30_25"))</f>
        <v/>
      </c>
      <c r="AB259" s="28" t="str">
        <f t="array" ref="AB259">IF($I258="","",XLOOKUP(LOWER(XLOOKUP($B259,Derived_Variables!$A:$A,Derived_Variables!$T:$T,"Standard"))&amp;"_sph_step",Calibration!$B:$B,Calibration!$C:$C,0.25))</f>
        <v/>
      </c>
      <c r="AC259" s="28" t="str">
        <f t="array" ref="AC259">IF($I258="","",XLOOKUP(LOWER(XLOOKUP($B259,Derived_Variables!$A:$A,Derived_Variables!$T:$T,"Standard"))&amp;"_cyl_step",Calibration!$B:$B,Calibration!$C:$C,0.25))</f>
        <v/>
      </c>
      <c r="AD259" s="28" t="str">
        <f t="array" ref="AD259">IF($I258="","",IF(OR(C259="E",C259="H"),LET(startStep,XLOOKUP("axis_start_step",Calibration!$B:$B,Calibration!$C:$C,5),step1,XLOOKUP("axis_reversal_step_1",Calibration!$B:$B,Calibration!$C:$C,3),step2,XLOOKUP("axis_reversal_step_2",Calibration!$B:$B,Calibration!$C:$C,1),IF(OR(C258&lt;&gt;C259,AZ259="",AZ259="SAME",AZ259="CANT_TELL",I259="",I259="SAME",I259="CANT_TELL"),startStep,IF(OR(AND(AZ259="BETTER_1",I259="BETTER_2"),AND(AZ259="BETTER_2",I259="BETTER_1")),IF(AD258&gt;step1,step1,step2),AD258))),0))</f>
        <v/>
      </c>
      <c r="AE259" s="28" t="str">
        <f t="array" ref="AE259">IF($I258="","",XLOOKUP($B259,Derived_Variables!$A:$A,Derived_Variables!$AD:$AD,"No_Fog"))</f>
        <v/>
      </c>
      <c r="AF259" s="28" t="str">
        <f t="array" ref="AF259">IF($I258="","",XLOOKUP($B259,Derived_Variables!$A:$A,Derived_Variables!$AE:$AE,0))</f>
        <v/>
      </c>
      <c r="AG259" s="28" t="str">
        <f t="array" ref="AG259">IF($I258="","",XLOOKUP($B259,Derived_Variables!$A:$A,Derived_Variables!$AF:$AF,""))</f>
        <v/>
      </c>
      <c r="AH259" s="28" t="str">
        <f t="array" ref="AH259">IF($I258="","",XLOOKUP($B259,Derived_Variables!$A:$A,Derived_Variables!$AG:$AG,""))</f>
        <v/>
      </c>
      <c r="AI259" s="28" t="str">
        <f t="array" ref="AI259">IF($I258="","",XLOOKUP($B259,Derived_Variables!$A:$A,Derived_Variables!$AC:$AC,"Medium"))</f>
        <v/>
      </c>
      <c r="AJ259" s="28" t="str">
        <f t="array" ref="AJ259">IF($I258="","",XLOOKUP($B259,Derived_Variables!$A:$A,Derived_Variables!$Y:$Y,FALSE))</f>
        <v/>
      </c>
      <c r="AK259" s="28" t="str">
        <f t="array" ref="AK259">IF($I258="","",XLOOKUP($B259,Derived_Variables!$A:$A,Derived_Variables!$AA:$AA,"Normal"))</f>
        <v/>
      </c>
      <c r="AL259" s="28" t="str">
        <f t="array" ref="AL259">IF($I258="","",XLOOKUP($B259,Derived_Variables!$A:$A,Derived_Variables!$AB:$AB,"Normal"))</f>
        <v/>
      </c>
      <c r="AM259" s="28" t="str">
        <f t="array" ref="AM259">IF($I259="","",IFS(C259="B",IF(OR(I259="NOT_READABLE",I259="BLURRY"),-AB259,0),C259="G",IFS(I259="RED_CLEARER",XLOOKUP("duochrome_red_step",Calibration!$B:$B,Calibration!$C:$C,-0.25),I259="GREEN_CLEARER",XLOOKUP("duochrome_green_step",Calibration!$B:$B,Calibration!$C:$C,0.25),I259="EQUAL",IF(XLOOKUP($B259,Derived_Variables!$A:$A,Derived_Variables!$S:$S,"Neutral")="Undercorrect",XLOOKUP("undercorrect_step",Calibration!$B:$B,Calibration!$C:$C,0.25),IF(XLOOKUP($B259,Derived_Variables!$A:$A,Derived_Variables!$S:$S,"Neutral")="Overcorrect",-XLOOKUP("overcorrect_step",Calibration!$B:$B,Calibration!$C:$C,0.25),0)),TRUE,0),C259="K",IF(I259="TOP_CLEARER",XLOOKUP("bino_balance_step",Calibration!$B:$B,Calibration!$C:$C,0.25),0),TRUE,0))</f>
        <v/>
      </c>
      <c r="AN259" s="28" t="str">
        <f t="shared" si="10"/>
        <v/>
      </c>
      <c r="AO259" s="28" t="str">
        <f t="shared" si="11"/>
        <v/>
      </c>
      <c r="AP259" s="28" t="str">
        <f t="array" ref="AP259">IF($I259="","",IFS(C259="D",IF(OR(I259="NOT_READABLE",I259="BLURRY"),-AB259,0),C259="J",IFS(I259="RED_CLEARER",XLOOKUP("duochrome_red_step",Calibration!$B:$B,Calibration!$C:$C,-0.25),I259="GREEN_CLEARER",XLOOKUP("duochrome_green_step",Calibration!$B:$B,Calibration!$C:$C,0.25),I259="EQUAL",IF(XLOOKUP($B259,Derived_Variables!$A:$A,Derived_Variables!$S:$S,"Neutral")="Undercorrect",XLOOKUP("undercorrect_step",Calibration!$B:$B,Calibration!$C:$C,0.25),IF(XLOOKUP($B259,Derived_Variables!$A:$A,Derived_Variables!$S:$S,"Neutral")="Overcorrect",-XLOOKUP("overcorrect_step",Calibration!$B:$B,Calibration!$C:$C,0.25),0)),TRUE,0),C259="K",IF(I259="BOTTOM_CLEARER",XLOOKUP("bino_balance_step",Calibration!$B:$B,Calibration!$C:$C,0.25),0),TRUE,0))</f>
        <v/>
      </c>
      <c r="AQ259" s="28" t="str">
        <f t="shared" si="12"/>
        <v/>
      </c>
      <c r="AR259" s="28" t="str">
        <f t="shared" si="13"/>
        <v/>
      </c>
      <c r="AS259" s="28" t="str">
        <f t="array" ref="AS259">IF($I259="","",IF(C259="P",IF(OR(I259="NOT_READABLE",I259="BLURRY"),XLOOKUP("near_add_step",Calibration!$B:$B,Calibration!$C:$C,0.25),0),IF(C259="R",IF(I259="NOT_CLEAR",XLOOKUP("near_add_step",Calibration!$B:$B,Calibration!$C:$C,0.25),0),0)))</f>
        <v/>
      </c>
      <c r="AT259" s="28" t="str">
        <f t="array" ref="AT259">IF($I259="","",IF(C259="Q",IF(OR(I259="NOT_READABLE",I259="BLURRY"),XLOOKUP("near_add_step",Calibration!$B:$B,Calibration!$C:$C,0.25),0),IF(C259="R",IF(I259="NOT_CLEAR",XLOOKUP("near_add_step",Calibration!$B:$B,Calibration!$C:$C,0.25),0),0)))</f>
        <v/>
      </c>
      <c r="AU259" s="28" t="str">
        <f t="array" ref="AU259">IF($I259="","",IF(G259="SNELLEN_FEET",IF(I259="READABLE",IFERROR(XLOOKUP(XLOOKUP(R259,Chart_Scale_Distance!B:B,Chart_Scale_Distance!A:A)+1,Chart_Scale_Distance!A:A,Chart_Scale_Distance!B:B),R259),R259),R259))</f>
        <v/>
      </c>
      <c r="AV259" s="28" t="str">
        <f t="array" ref="AV259">IF($I258="","",IFERROR(XLOOKUP(R259,Chart_Scale_Distance!$B:$B,Chart_Scale_Distance!$A:$A,""),""))</f>
        <v/>
      </c>
      <c r="AW259" s="28" t="str">
        <f t="array" ref="AW259">IF($I258="","",IFERROR(XLOOKUP(AA259,Chart_Scale_Distance!$B:$B,Chart_Scale_Distance!$A:$A,""),""))</f>
        <v/>
      </c>
      <c r="AX259" s="28" t="str">
        <f t="shared" si="14"/>
        <v/>
      </c>
      <c r="AY259" s="28" t="str">
        <f t="shared" si="15"/>
        <v/>
      </c>
      <c r="AZ259" s="28" t="str">
        <f t="shared" si="16"/>
        <v/>
      </c>
      <c r="BA259" s="28" t="str">
        <f t="shared" si="17"/>
        <v/>
      </c>
      <c r="BB259" s="28" t="str">
        <f t="shared" si="18"/>
        <v/>
      </c>
      <c r="BC259" s="28" t="str">
        <f t="array" ref="BC259">IF($I259="","",LET(
conf,AI259,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duoMax,XLOOKUP($B259,Derived_Variables!$A:$A,Derived_Variables!$AI:$AI,4),
axisTol,XLOOKUP($B259,Derived_Variables!$A:$A,Derived_Variables!$W:$W,1),
maxStart,XLOOKUP($B259,Derived_Variables!$A:$A,Derived_Variables!$U:$U,1.25),
maxAR,XLOOKUP($B259,Derived_Variables!$A:$A,Derived_Variables!$V:$V,3),
anom,XLOOKUP($B259,Derived_Variables!$A:$A,Derived_Variables!$Z:$Z,FALSE),
reStart,XLOOKUP($B259,Derived_Variables!$A:$A,Derived_Variables!$K:$K,0),
leStart,XLOOKUP($B259,Derived_Variables!$A:$A,Derived_Variables!$N:$N,0),
reAR,XLOOKUP($B259,AR_Input!$A:$A,AR_Input!$B:$B,reStart),
leAR,XLOOKUP($B259,AR_Input!$A:$A,AR_Input!$E:$E,leStart),
reEsc,AND(anom,OR(ABS((S259+AM259)-reStart)&gt;maxStart,ABS((S259+AM259)-reAR)&gt;maxAR)),
leEsc,AND(anom,OR(ABS((V259+AP259)-leStart)&gt;maxStart,ABS((V259+AP259)-leAR)&gt;maxAR)),
phaseMax,IFS(
 AK259="Fast",
   IFS(
     OR(C259="B",C259="D"),XLOOKUP("timeout_coarse_fast",Calibration!$B:$B,Calibration!$C:$C,24),
     OR(C259="E",C259="F",C259="H",C259="I"),XLOOKUP("timeout_jcc_fast",Calibration!$B:$B,Calibration!$C:$C,10),
     OR(C259="G",C259="J"),XLOOKUP("timeout_duochrome_fast",Calibration!$B:$B,Calibration!$C:$C,8),
     C259="K",XLOOKUP("timeout_bino_fast",Calibration!$B:$B,Calibration!$C:$C,10),
     OR(C259="P",C259="Q",C259="R"),XLOOKUP("timeout_near_fast",Calibration!$B:$B,Calibration!$C:$C,16),
     TRUE,XLOOKUP("timeout_coarse_fast",Calibration!$B:$B,Calibration!$C:$C,24)
   ),
 AK259="Normal",
   IFS(
     OR(C259="B",C259="D"),XLOOKUP("timeout_coarse_normal",Calibration!$B:$B,Calibration!$C:$C,36),
     OR(C259="E",C259="F",C259="H",C259="I"),XLOOKUP("timeout_jcc_normal",Calibration!$B:$B,Calibration!$C:$C,14),
     OR(C259="G",C259="J"),XLOOKUP("timeout_duochrome_normal",Calibration!$B:$B,Calibration!$C:$C,10),
     C259="K",XLOOKUP("timeout_bino_normal",Calibration!$B:$B,Calibration!$C:$C,14),
     OR(C259="P",C259="Q",C259="R"),XLOOKUP("timeout_near_normal",Calibration!$B:$B,Calibration!$C:$C,22),
     TRUE,XLOOKUP("timeout_coarse_normal",Calibration!$B:$B,Calibration!$C:$C,36)
   ),
 TRUE,
   IFS(
     OR(C259="B",C259="D"),XLOOKUP("timeout_coarse_slow",Calibration!$B:$B,Calibration!$C:$C,48),
     OR(C259="E",C259="F",C259="H",C259="I"),XLOOKUP("timeout_jcc_slow",Calibration!$B:$B,Calibration!$C:$C,18),
     OR(C259="G",C259="J"),XLOOKUP("timeout_duochrome_slow",Calibration!$B:$B,Calibration!$C:$C,12),
     C259="K",XLOOKUP("timeout_bino_slow",Calibration!$B:$B,Calibration!$C:$C,18),
     OR(C259="P",C259="Q",C259="R"),XLOOKUP("timeout_near_slow",Calibration!$B:$B,Calibration!$C:$C,28),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AJ259=TRUE,"ESCALATE",
C259="A",
IF(OR(I259="NOT_READABLE",I259="BLURRY",AND(R259="20_20_20",I259="READABLE")),"B","A"),
C259="B",
IF(reEsc,"ESCALATE",IF(AY259&gt;=phaseMax,"ESCALATE",IF(AND(AV259&gt;=AW259,I259="READABLE"),"E","B"))),
C259="E",
IF(AY259&gt;=phaseMax,"ESCALATE",IF(OR(I259="SAME",I259="CANT_TELL",AD259&lt;axisTol),"F","E")),
C259="F",
IF(AY259&gt;=phaseMax,"ESCALATE",IF(AX259&gt;=powerSameN,"G","F")),
C259="G",
IF(AY259&gt;=phaseMax,"ESCALATE",IF(OR(AX259&gt;=duoEqualN,BB259&gt;=duoMax),"D","G")),
C259="D",
IF(leEsc,"ESCALATE",IF(AY259&gt;=phaseMax,"ESCALATE",IF(AND(AV259&gt;=AW259,I259="READABLE"),"H","D"))),
C259="H",
IF(AY259&gt;=phaseMax,"ESCALATE",IF(OR(I259="SAME",I259="CANT_TELL",AD259&lt;axisTol),"I","H")),
C259="I",
IF(AY259&gt;=phaseMax,"ESCALATE",IF(AX259&gt;=powerSameN,"J","I")),
C259="J",
IF(AY259&gt;=phaseMax,"ESCALATE",IF(OR(AX259&gt;=duoEqualN,BB259&gt;=duoMax),"K","J")),
C259="K",
IF(AY259&gt;=phaseMax,"ESCALATE",IF(AX259&gt;=binoSameN,IF(XLOOKUP($B259,Derived_Variables!$A:$A,Derived_Variables!$AJ:$AJ,FALSE)=TRUE,"P","END"),"K")),
C259="P",
IF(AY259&gt;=phaseMax,"ESCALATE",IF(OR(I259="READABLE",I259="SAME"),"Q","P")),
C259="Q",
IF(AY259&gt;=phaseMax,"ESCALATE",IF(OR(I259="READABLE",I259="SAME"),"R","Q")),
C259="R",
IF(AY259&gt;=phaseMax,"ESCALATE",IF(OR(I259=nearTarget,I259="SAME"),"END","R")),
TRUE,"END"
)))</f>
        <v/>
      </c>
      <c r="BD259" s="28" t="b">
        <f t="shared" si="19"/>
        <v>0</v>
      </c>
    </row>
    <row r="260" ht="15.75" customHeight="1">
      <c r="A260" s="28">
        <f t="shared" si="3"/>
        <v>259</v>
      </c>
      <c r="B260" s="28">
        <f t="shared" si="4"/>
        <v>6</v>
      </c>
      <c r="C260" s="28" t="str">
        <f t="shared" si="5"/>
        <v/>
      </c>
      <c r="D260" s="28" t="str">
        <f t="array" ref="D260">IF($I259="","",XLOOKUP(C260,FSM_State_Map!A:A,FSM_State_Map!B:B,""))</f>
        <v/>
      </c>
      <c r="E260" s="28" t="str">
        <f t="array" ref="E260">IF($I259="","",XLOOKUP(C260,FSM_State_Map!A:A,FSM_State_Map!C:C,""))</f>
        <v/>
      </c>
      <c r="F260" s="28" t="str">
        <f t="array" ref="F260">IF($I259="","",XLOOKUP(E260,Phase_UI_Map!A:A,Phase_UI_Map!B:B,""))</f>
        <v/>
      </c>
      <c r="G260" s="28" t="str">
        <f t="array" ref="G260">IF($I259="","",XLOOKUP(E260,Phase_UI_Map!A:A,Phase_UI_Map!C:C,""))</f>
        <v/>
      </c>
      <c r="H260" s="28" t="str">
        <f t="array" ref="H260">IF($I259="","",XLOOKUP(E260,Phase_UI_Map!A:A,Phase_UI_Map!D:D,""))</f>
        <v/>
      </c>
      <c r="I260" s="29"/>
      <c r="J260" s="28" t="str">
        <f>IFERROR(__xludf.DUMMYFUNCTION("IF($I259="""","""",IFERROR(INDEX(FILTER(Response_Lists!$B:$B,Response_Lists!$A:$A=$H260),1),""""))"),"")</f>
        <v/>
      </c>
      <c r="K260" s="28" t="str">
        <f>IFERROR(__xludf.DUMMYFUNCTION("IF($I259="""","""",IFERROR(INDEX(FILTER(Response_Lists!$B:$B,Response_Lists!$A:$A=$H260),2),""""))"),"")</f>
        <v/>
      </c>
      <c r="L260" s="28" t="str">
        <f>IFERROR(__xludf.DUMMYFUNCTION("IF($I259="""","""",IFERROR(INDEX(FILTER(Response_Lists!$B:$B,Response_Lists!$A:$A=$H260),3),""""))"),"")</f>
        <v/>
      </c>
      <c r="M260" s="28" t="str">
        <f>IFERROR(__xludf.DUMMYFUNCTION("IF($I259="""","""",IFERROR(INDEX(FILTER(Response_Lists!$B:$B,Response_Lists!$A:$A=$H260),4),""""))"),"")</f>
        <v/>
      </c>
      <c r="N260" s="28" t="str">
        <f>IFERROR(__xludf.DUMMYFUNCTION("IF($I259="""","""",IFERROR(INDEX(FILTER(Response_Lists!$B:$B,Response_Lists!$A:$A=$H260),5),""""))"),"")</f>
        <v/>
      </c>
      <c r="O260" s="28" t="str">
        <f>IFERROR(__xludf.DUMMYFUNCTION("IF($I259="""","""",IFERROR(INDEX(FILTER(Response_Lists!$B:$B,Response_Lists!$A:$A=$H260),6),""""))"),"")</f>
        <v/>
      </c>
      <c r="P260" s="28" t="str">
        <f t="shared" si="6"/>
        <v/>
      </c>
      <c r="Q260" s="28" t="str">
        <f t="array" ref="Q260">IF($I259="","",XLOOKUP(C260,FSM_State_Map!A:A,FSM_State_Map!D:D,""))</f>
        <v/>
      </c>
      <c r="R260" s="28" t="str">
        <f t="shared" si="7"/>
        <v/>
      </c>
      <c r="S260" s="28" t="str">
        <f t="array" ref="S260">IF($I259="","",
IF(
  AND(C260="B",C259&lt;&gt;"B"),
  XLOOKUP($B260,Derived_Variables!$A:$A,Derived_Variables!$K:$K,0)
  + XLOOKUP($B260,Derived_Variables!$A:$A,Derived_Variables!$AE:$AE,0),
  S259+AM259
))</f>
        <v/>
      </c>
      <c r="T260" s="28" t="str">
        <f t="shared" ref="T260:U260" si="530">IF($I259="","",T259+AN259)</f>
        <v/>
      </c>
      <c r="U260" s="28" t="str">
        <f t="shared" si="530"/>
        <v/>
      </c>
      <c r="V260" s="28" t="str">
        <f t="array" ref="V260">IF($I259="","",
IF(
  AND(C260="D",C259&lt;&gt;"D"),
  XLOOKUP($B260,Derived_Variables!$A:$A,Derived_Variables!$N:$N,0)
  + XLOOKUP($B260,Derived_Variables!$A:$A,Derived_Variables!$AE:$AE,0),
  V259+AP259
))</f>
        <v/>
      </c>
      <c r="W260" s="28" t="str">
        <f t="shared" ref="W260:X260" si="531">IF($I259="","",W259+AQ259)</f>
        <v/>
      </c>
      <c r="X260" s="28" t="str">
        <f t="shared" si="531"/>
        <v/>
      </c>
      <c r="Y260" s="28" t="str">
        <f t="array" ref="Y260">IF($I259="","",IF(AND(C260="P",C259&lt;&gt;"P"),IFERROR(XLOOKUP($B260,Lenso_Input!$A:$A,Lenso_Input!$E:$E,0),0),Y259+AS259))</f>
        <v/>
      </c>
      <c r="Z260" s="28" t="str">
        <f t="array" ref="Z260">IF($I259="","",IF(AND(C260="Q",C259&lt;&gt;"Q"),IFERROR(XLOOKUP($B260,Lenso_Input!$A:$A,Lenso_Input!$I:$I,0),0),Z259+AT259))</f>
        <v/>
      </c>
      <c r="AA260" s="28" t="str">
        <f t="array" ref="AA260">IF($I259="","",IF(XLOOKUP($B260,Derived_Variables!$A:$A,Derived_Variables!$R:$R,"6/6_target")="6/6_target","20_20_20","40_30_25"))</f>
        <v/>
      </c>
      <c r="AB260" s="28" t="str">
        <f t="array" ref="AB260">IF($I259="","",XLOOKUP(LOWER(XLOOKUP($B260,Derived_Variables!$A:$A,Derived_Variables!$T:$T,"Standard"))&amp;"_sph_step",Calibration!$B:$B,Calibration!$C:$C,0.25))</f>
        <v/>
      </c>
      <c r="AC260" s="28" t="str">
        <f t="array" ref="AC260">IF($I259="","",XLOOKUP(LOWER(XLOOKUP($B260,Derived_Variables!$A:$A,Derived_Variables!$T:$T,"Standard"))&amp;"_cyl_step",Calibration!$B:$B,Calibration!$C:$C,0.25))</f>
        <v/>
      </c>
      <c r="AD260" s="28" t="str">
        <f t="array" ref="AD260">IF($I259="","",IF(OR(C260="E",C260="H"),LET(startStep,XLOOKUP("axis_start_step",Calibration!$B:$B,Calibration!$C:$C,5),step1,XLOOKUP("axis_reversal_step_1",Calibration!$B:$B,Calibration!$C:$C,3),step2,XLOOKUP("axis_reversal_step_2",Calibration!$B:$B,Calibration!$C:$C,1),IF(OR(C259&lt;&gt;C260,AZ260="",AZ260="SAME",AZ260="CANT_TELL",I260="",I260="SAME",I260="CANT_TELL"),startStep,IF(OR(AND(AZ260="BETTER_1",I260="BETTER_2"),AND(AZ260="BETTER_2",I260="BETTER_1")),IF(AD259&gt;step1,step1,step2),AD259))),0))</f>
        <v/>
      </c>
      <c r="AE260" s="28" t="str">
        <f t="array" ref="AE260">IF($I259="","",XLOOKUP($B260,Derived_Variables!$A:$A,Derived_Variables!$AD:$AD,"No_Fog"))</f>
        <v/>
      </c>
      <c r="AF260" s="28" t="str">
        <f t="array" ref="AF260">IF($I259="","",XLOOKUP($B260,Derived_Variables!$A:$A,Derived_Variables!$AE:$AE,0))</f>
        <v/>
      </c>
      <c r="AG260" s="28" t="str">
        <f t="array" ref="AG260">IF($I259="","",XLOOKUP($B260,Derived_Variables!$A:$A,Derived_Variables!$AF:$AF,""))</f>
        <v/>
      </c>
      <c r="AH260" s="28" t="str">
        <f t="array" ref="AH260">IF($I259="","",XLOOKUP($B260,Derived_Variables!$A:$A,Derived_Variables!$AG:$AG,""))</f>
        <v/>
      </c>
      <c r="AI260" s="28" t="str">
        <f t="array" ref="AI260">IF($I259="","",XLOOKUP($B260,Derived_Variables!$A:$A,Derived_Variables!$AC:$AC,"Medium"))</f>
        <v/>
      </c>
      <c r="AJ260" s="28" t="str">
        <f t="array" ref="AJ260">IF($I259="","",XLOOKUP($B260,Derived_Variables!$A:$A,Derived_Variables!$Y:$Y,FALSE))</f>
        <v/>
      </c>
      <c r="AK260" s="28" t="str">
        <f t="array" ref="AK260">IF($I259="","",XLOOKUP($B260,Derived_Variables!$A:$A,Derived_Variables!$AA:$AA,"Normal"))</f>
        <v/>
      </c>
      <c r="AL260" s="28" t="str">
        <f t="array" ref="AL260">IF($I259="","",XLOOKUP($B260,Derived_Variables!$A:$A,Derived_Variables!$AB:$AB,"Normal"))</f>
        <v/>
      </c>
      <c r="AM260" s="28" t="str">
        <f t="array" ref="AM260">IF($I260="","",IFS(C260="B",IF(OR(I260="NOT_READABLE",I260="BLURRY"),-AB260,0),C260="G",IFS(I260="RED_CLEARER",XLOOKUP("duochrome_red_step",Calibration!$B:$B,Calibration!$C:$C,-0.25),I260="GREEN_CLEARER",XLOOKUP("duochrome_green_step",Calibration!$B:$B,Calibration!$C:$C,0.25),I260="EQUAL",IF(XLOOKUP($B260,Derived_Variables!$A:$A,Derived_Variables!$S:$S,"Neutral")="Undercorrect",XLOOKUP("undercorrect_step",Calibration!$B:$B,Calibration!$C:$C,0.25),IF(XLOOKUP($B260,Derived_Variables!$A:$A,Derived_Variables!$S:$S,"Neutral")="Overcorrect",-XLOOKUP("overcorrect_step",Calibration!$B:$B,Calibration!$C:$C,0.25),0)),TRUE,0),C260="K",IF(I260="TOP_CLEARER",XLOOKUP("bino_balance_step",Calibration!$B:$B,Calibration!$C:$C,0.25),0),TRUE,0))</f>
        <v/>
      </c>
      <c r="AN260" s="28" t="str">
        <f t="shared" si="10"/>
        <v/>
      </c>
      <c r="AO260" s="28" t="str">
        <f t="shared" si="11"/>
        <v/>
      </c>
      <c r="AP260" s="28" t="str">
        <f t="array" ref="AP260">IF($I260="","",IFS(C260="D",IF(OR(I260="NOT_READABLE",I260="BLURRY"),-AB260,0),C260="J",IFS(I260="RED_CLEARER",XLOOKUP("duochrome_red_step",Calibration!$B:$B,Calibration!$C:$C,-0.25),I260="GREEN_CLEARER",XLOOKUP("duochrome_green_step",Calibration!$B:$B,Calibration!$C:$C,0.25),I260="EQUAL",IF(XLOOKUP($B260,Derived_Variables!$A:$A,Derived_Variables!$S:$S,"Neutral")="Undercorrect",XLOOKUP("undercorrect_step",Calibration!$B:$B,Calibration!$C:$C,0.25),IF(XLOOKUP($B260,Derived_Variables!$A:$A,Derived_Variables!$S:$S,"Neutral")="Overcorrect",-XLOOKUP("overcorrect_step",Calibration!$B:$B,Calibration!$C:$C,0.25),0)),TRUE,0),C260="K",IF(I260="BOTTOM_CLEARER",XLOOKUP("bino_balance_step",Calibration!$B:$B,Calibration!$C:$C,0.25),0),TRUE,0))</f>
        <v/>
      </c>
      <c r="AQ260" s="28" t="str">
        <f t="shared" si="12"/>
        <v/>
      </c>
      <c r="AR260" s="28" t="str">
        <f t="shared" si="13"/>
        <v/>
      </c>
      <c r="AS260" s="28" t="str">
        <f t="array" ref="AS260">IF($I260="","",IF(C260="P",IF(OR(I260="NOT_READABLE",I260="BLURRY"),XLOOKUP("near_add_step",Calibration!$B:$B,Calibration!$C:$C,0.25),0),IF(C260="R",IF(I260="NOT_CLEAR",XLOOKUP("near_add_step",Calibration!$B:$B,Calibration!$C:$C,0.25),0),0)))</f>
        <v/>
      </c>
      <c r="AT260" s="28" t="str">
        <f t="array" ref="AT260">IF($I260="","",IF(C260="Q",IF(OR(I260="NOT_READABLE",I260="BLURRY"),XLOOKUP("near_add_step",Calibration!$B:$B,Calibration!$C:$C,0.25),0),IF(C260="R",IF(I260="NOT_CLEAR",XLOOKUP("near_add_step",Calibration!$B:$B,Calibration!$C:$C,0.25),0),0)))</f>
        <v/>
      </c>
      <c r="AU260" s="28" t="str">
        <f t="array" ref="AU260">IF($I260="","",IF(G260="SNELLEN_FEET",IF(I260="READABLE",IFERROR(XLOOKUP(XLOOKUP(R260,Chart_Scale_Distance!B:B,Chart_Scale_Distance!A:A)+1,Chart_Scale_Distance!A:A,Chart_Scale_Distance!B:B),R260),R260),R260))</f>
        <v/>
      </c>
      <c r="AV260" s="28" t="str">
        <f t="array" ref="AV260">IF($I259="","",IFERROR(XLOOKUP(R260,Chart_Scale_Distance!$B:$B,Chart_Scale_Distance!$A:$A,""),""))</f>
        <v/>
      </c>
      <c r="AW260" s="28" t="str">
        <f t="array" ref="AW260">IF($I259="","",IFERROR(XLOOKUP(AA260,Chart_Scale_Distance!$B:$B,Chart_Scale_Distance!$A:$A,""),""))</f>
        <v/>
      </c>
      <c r="AX260" s="28" t="str">
        <f t="shared" si="14"/>
        <v/>
      </c>
      <c r="AY260" s="28" t="str">
        <f t="shared" si="15"/>
        <v/>
      </c>
      <c r="AZ260" s="28" t="str">
        <f t="shared" si="16"/>
        <v/>
      </c>
      <c r="BA260" s="28" t="str">
        <f t="shared" si="17"/>
        <v/>
      </c>
      <c r="BB260" s="28" t="str">
        <f t="shared" si="18"/>
        <v/>
      </c>
      <c r="BC260" s="28" t="str">
        <f t="array" ref="BC260">IF($I260="","",LET(
conf,AI260,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duoMax,XLOOKUP($B260,Derived_Variables!$A:$A,Derived_Variables!$AI:$AI,4),
axisTol,XLOOKUP($B260,Derived_Variables!$A:$A,Derived_Variables!$W:$W,1),
maxStart,XLOOKUP($B260,Derived_Variables!$A:$A,Derived_Variables!$U:$U,1.25),
maxAR,XLOOKUP($B260,Derived_Variables!$A:$A,Derived_Variables!$V:$V,3),
anom,XLOOKUP($B260,Derived_Variables!$A:$A,Derived_Variables!$Z:$Z,FALSE),
reStart,XLOOKUP($B260,Derived_Variables!$A:$A,Derived_Variables!$K:$K,0),
leStart,XLOOKUP($B260,Derived_Variables!$A:$A,Derived_Variables!$N:$N,0),
reAR,XLOOKUP($B260,AR_Input!$A:$A,AR_Input!$B:$B,reStart),
leAR,XLOOKUP($B260,AR_Input!$A:$A,AR_Input!$E:$E,leStart),
reEsc,AND(anom,OR(ABS((S260+AM260)-reStart)&gt;maxStart,ABS((S260+AM260)-reAR)&gt;maxAR)),
leEsc,AND(anom,OR(ABS((V260+AP260)-leStart)&gt;maxStart,ABS((V260+AP260)-leAR)&gt;maxAR)),
phaseMax,IFS(
 AK260="Fast",
   IFS(
     OR(C260="B",C260="D"),XLOOKUP("timeout_coarse_fast",Calibration!$B:$B,Calibration!$C:$C,24),
     OR(C260="E",C260="F",C260="H",C260="I"),XLOOKUP("timeout_jcc_fast",Calibration!$B:$B,Calibration!$C:$C,10),
     OR(C260="G",C260="J"),XLOOKUP("timeout_duochrome_fast",Calibration!$B:$B,Calibration!$C:$C,8),
     C260="K",XLOOKUP("timeout_bino_fast",Calibration!$B:$B,Calibration!$C:$C,10),
     OR(C260="P",C260="Q",C260="R"),XLOOKUP("timeout_near_fast",Calibration!$B:$B,Calibration!$C:$C,16),
     TRUE,XLOOKUP("timeout_coarse_fast",Calibration!$B:$B,Calibration!$C:$C,24)
   ),
 AK260="Normal",
   IFS(
     OR(C260="B",C260="D"),XLOOKUP("timeout_coarse_normal",Calibration!$B:$B,Calibration!$C:$C,36),
     OR(C260="E",C260="F",C260="H",C260="I"),XLOOKUP("timeout_jcc_normal",Calibration!$B:$B,Calibration!$C:$C,14),
     OR(C260="G",C260="J"),XLOOKUP("timeout_duochrome_normal",Calibration!$B:$B,Calibration!$C:$C,10),
     C260="K",XLOOKUP("timeout_bino_normal",Calibration!$B:$B,Calibration!$C:$C,14),
     OR(C260="P",C260="Q",C260="R"),XLOOKUP("timeout_near_normal",Calibration!$B:$B,Calibration!$C:$C,22),
     TRUE,XLOOKUP("timeout_coarse_normal",Calibration!$B:$B,Calibration!$C:$C,36)
   ),
 TRUE,
   IFS(
     OR(C260="B",C260="D"),XLOOKUP("timeout_coarse_slow",Calibration!$B:$B,Calibration!$C:$C,48),
     OR(C260="E",C260="F",C260="H",C260="I"),XLOOKUP("timeout_jcc_slow",Calibration!$B:$B,Calibration!$C:$C,18),
     OR(C260="G",C260="J"),XLOOKUP("timeout_duochrome_slow",Calibration!$B:$B,Calibration!$C:$C,12),
     C260="K",XLOOKUP("timeout_bino_slow",Calibration!$B:$B,Calibration!$C:$C,18),
     OR(C260="P",C260="Q",C260="R"),XLOOKUP("timeout_near_slow",Calibration!$B:$B,Calibration!$C:$C,28),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AJ260=TRUE,"ESCALATE",
C260="A",
IF(OR(I260="NOT_READABLE",I260="BLURRY",AND(R260="20_20_20",I260="READABLE")),"B","A"),
C260="B",
IF(reEsc,"ESCALATE",IF(AY260&gt;=phaseMax,"ESCALATE",IF(AND(AV260&gt;=AW260,I260="READABLE"),"E","B"))),
C260="E",
IF(AY260&gt;=phaseMax,"ESCALATE",IF(OR(I260="SAME",I260="CANT_TELL",AD260&lt;axisTol),"F","E")),
C260="F",
IF(AY260&gt;=phaseMax,"ESCALATE",IF(AX260&gt;=powerSameN,"G","F")),
C260="G",
IF(AY260&gt;=phaseMax,"ESCALATE",IF(OR(AX260&gt;=duoEqualN,BB260&gt;=duoMax),"D","G")),
C260="D",
IF(leEsc,"ESCALATE",IF(AY260&gt;=phaseMax,"ESCALATE",IF(AND(AV260&gt;=AW260,I260="READABLE"),"H","D"))),
C260="H",
IF(AY260&gt;=phaseMax,"ESCALATE",IF(OR(I260="SAME",I260="CANT_TELL",AD260&lt;axisTol),"I","H")),
C260="I",
IF(AY260&gt;=phaseMax,"ESCALATE",IF(AX260&gt;=powerSameN,"J","I")),
C260="J",
IF(AY260&gt;=phaseMax,"ESCALATE",IF(OR(AX260&gt;=duoEqualN,BB260&gt;=duoMax),"K","J")),
C260="K",
IF(AY260&gt;=phaseMax,"ESCALATE",IF(AX260&gt;=binoSameN,IF(XLOOKUP($B260,Derived_Variables!$A:$A,Derived_Variables!$AJ:$AJ,FALSE)=TRUE,"P","END"),"K")),
C260="P",
IF(AY260&gt;=phaseMax,"ESCALATE",IF(OR(I260="READABLE",I260="SAME"),"Q","P")),
C260="Q",
IF(AY260&gt;=phaseMax,"ESCALATE",IF(OR(I260="READABLE",I260="SAME"),"R","Q")),
C260="R",
IF(AY260&gt;=phaseMax,"ESCALATE",IF(OR(I260=nearTarget,I260="SAME"),"END","R")),
TRUE,"END"
)))</f>
        <v/>
      </c>
      <c r="BD260" s="28" t="b">
        <f t="shared" si="19"/>
        <v>0</v>
      </c>
    </row>
    <row r="261" ht="15.75" customHeight="1">
      <c r="A261" s="28">
        <f t="shared" si="3"/>
        <v>260</v>
      </c>
      <c r="B261" s="28">
        <f t="shared" si="4"/>
        <v>6</v>
      </c>
      <c r="C261" s="28" t="str">
        <f t="shared" si="5"/>
        <v/>
      </c>
      <c r="D261" s="28" t="str">
        <f t="array" ref="D261">IF($I260="","",XLOOKUP(C261,FSM_State_Map!A:A,FSM_State_Map!B:B,""))</f>
        <v/>
      </c>
      <c r="E261" s="28" t="str">
        <f t="array" ref="E261">IF($I260="","",XLOOKUP(C261,FSM_State_Map!A:A,FSM_State_Map!C:C,""))</f>
        <v/>
      </c>
      <c r="F261" s="28" t="str">
        <f t="array" ref="F261">IF($I260="","",XLOOKUP(E261,Phase_UI_Map!A:A,Phase_UI_Map!B:B,""))</f>
        <v/>
      </c>
      <c r="G261" s="28" t="str">
        <f t="array" ref="G261">IF($I260="","",XLOOKUP(E261,Phase_UI_Map!A:A,Phase_UI_Map!C:C,""))</f>
        <v/>
      </c>
      <c r="H261" s="28" t="str">
        <f t="array" ref="H261">IF($I260="","",XLOOKUP(E261,Phase_UI_Map!A:A,Phase_UI_Map!D:D,""))</f>
        <v/>
      </c>
      <c r="I261" s="29"/>
      <c r="J261" s="28" t="str">
        <f>IFERROR(__xludf.DUMMYFUNCTION("IF($I260="""","""",IFERROR(INDEX(FILTER(Response_Lists!$B:$B,Response_Lists!$A:$A=$H261),1),""""))"),"")</f>
        <v/>
      </c>
      <c r="K261" s="28" t="str">
        <f>IFERROR(__xludf.DUMMYFUNCTION("IF($I260="""","""",IFERROR(INDEX(FILTER(Response_Lists!$B:$B,Response_Lists!$A:$A=$H261),2),""""))"),"")</f>
        <v/>
      </c>
      <c r="L261" s="28" t="str">
        <f>IFERROR(__xludf.DUMMYFUNCTION("IF($I260="""","""",IFERROR(INDEX(FILTER(Response_Lists!$B:$B,Response_Lists!$A:$A=$H261),3),""""))"),"")</f>
        <v/>
      </c>
      <c r="M261" s="28" t="str">
        <f>IFERROR(__xludf.DUMMYFUNCTION("IF($I260="""","""",IFERROR(INDEX(FILTER(Response_Lists!$B:$B,Response_Lists!$A:$A=$H261),4),""""))"),"")</f>
        <v/>
      </c>
      <c r="N261" s="28" t="str">
        <f>IFERROR(__xludf.DUMMYFUNCTION("IF($I260="""","""",IFERROR(INDEX(FILTER(Response_Lists!$B:$B,Response_Lists!$A:$A=$H261),5),""""))"),"")</f>
        <v/>
      </c>
      <c r="O261" s="28" t="str">
        <f>IFERROR(__xludf.DUMMYFUNCTION("IF($I260="""","""",IFERROR(INDEX(FILTER(Response_Lists!$B:$B,Response_Lists!$A:$A=$H261),6),""""))"),"")</f>
        <v/>
      </c>
      <c r="P261" s="28" t="str">
        <f t="shared" si="6"/>
        <v/>
      </c>
      <c r="Q261" s="28" t="str">
        <f t="array" ref="Q261">IF($I260="","",XLOOKUP(C261,FSM_State_Map!A:A,FSM_State_Map!D:D,""))</f>
        <v/>
      </c>
      <c r="R261" s="28" t="str">
        <f t="shared" si="7"/>
        <v/>
      </c>
      <c r="S261" s="28" t="str">
        <f t="array" ref="S261">IF($I260="","",
IF(
  AND(C261="B",C260&lt;&gt;"B"),
  XLOOKUP($B261,Derived_Variables!$A:$A,Derived_Variables!$K:$K,0)
  + XLOOKUP($B261,Derived_Variables!$A:$A,Derived_Variables!$AE:$AE,0),
  S260+AM260
))</f>
        <v/>
      </c>
      <c r="T261" s="28" t="str">
        <f t="shared" ref="T261:U261" si="532">IF($I260="","",T260+AN260)</f>
        <v/>
      </c>
      <c r="U261" s="28" t="str">
        <f t="shared" si="532"/>
        <v/>
      </c>
      <c r="V261" s="28" t="str">
        <f t="array" ref="V261">IF($I260="","",
IF(
  AND(C261="D",C260&lt;&gt;"D"),
  XLOOKUP($B261,Derived_Variables!$A:$A,Derived_Variables!$N:$N,0)
  + XLOOKUP($B261,Derived_Variables!$A:$A,Derived_Variables!$AE:$AE,0),
  V260+AP260
))</f>
        <v/>
      </c>
      <c r="W261" s="28" t="str">
        <f t="shared" ref="W261:X261" si="533">IF($I260="","",W260+AQ260)</f>
        <v/>
      </c>
      <c r="X261" s="28" t="str">
        <f t="shared" si="533"/>
        <v/>
      </c>
      <c r="Y261" s="28" t="str">
        <f t="array" ref="Y261">IF($I260="","",IF(AND(C261="P",C260&lt;&gt;"P"),IFERROR(XLOOKUP($B261,Lenso_Input!$A:$A,Lenso_Input!$E:$E,0),0),Y260+AS260))</f>
        <v/>
      </c>
      <c r="Z261" s="28" t="str">
        <f t="array" ref="Z261">IF($I260="","",IF(AND(C261="Q",C260&lt;&gt;"Q"),IFERROR(XLOOKUP($B261,Lenso_Input!$A:$A,Lenso_Input!$I:$I,0),0),Z260+AT260))</f>
        <v/>
      </c>
      <c r="AA261" s="28" t="str">
        <f t="array" ref="AA261">IF($I260="","",IF(XLOOKUP($B261,Derived_Variables!$A:$A,Derived_Variables!$R:$R,"6/6_target")="6/6_target","20_20_20","40_30_25"))</f>
        <v/>
      </c>
      <c r="AB261" s="28" t="str">
        <f t="array" ref="AB261">IF($I260="","",XLOOKUP(LOWER(XLOOKUP($B261,Derived_Variables!$A:$A,Derived_Variables!$T:$T,"Standard"))&amp;"_sph_step",Calibration!$B:$B,Calibration!$C:$C,0.25))</f>
        <v/>
      </c>
      <c r="AC261" s="28" t="str">
        <f t="array" ref="AC261">IF($I260="","",XLOOKUP(LOWER(XLOOKUP($B261,Derived_Variables!$A:$A,Derived_Variables!$T:$T,"Standard"))&amp;"_cyl_step",Calibration!$B:$B,Calibration!$C:$C,0.25))</f>
        <v/>
      </c>
      <c r="AD261" s="28" t="str">
        <f t="array" ref="AD261">IF($I260="","",IF(OR(C261="E",C261="H"),LET(startStep,XLOOKUP("axis_start_step",Calibration!$B:$B,Calibration!$C:$C,5),step1,XLOOKUP("axis_reversal_step_1",Calibration!$B:$B,Calibration!$C:$C,3),step2,XLOOKUP("axis_reversal_step_2",Calibration!$B:$B,Calibration!$C:$C,1),IF(OR(C260&lt;&gt;C261,AZ261="",AZ261="SAME",AZ261="CANT_TELL",I261="",I261="SAME",I261="CANT_TELL"),startStep,IF(OR(AND(AZ261="BETTER_1",I261="BETTER_2"),AND(AZ261="BETTER_2",I261="BETTER_1")),IF(AD260&gt;step1,step1,step2),AD260))),0))</f>
        <v/>
      </c>
      <c r="AE261" s="28" t="str">
        <f t="array" ref="AE261">IF($I260="","",XLOOKUP($B261,Derived_Variables!$A:$A,Derived_Variables!$AD:$AD,"No_Fog"))</f>
        <v/>
      </c>
      <c r="AF261" s="28" t="str">
        <f t="array" ref="AF261">IF($I260="","",XLOOKUP($B261,Derived_Variables!$A:$A,Derived_Variables!$AE:$AE,0))</f>
        <v/>
      </c>
      <c r="AG261" s="28" t="str">
        <f t="array" ref="AG261">IF($I260="","",XLOOKUP($B261,Derived_Variables!$A:$A,Derived_Variables!$AF:$AF,""))</f>
        <v/>
      </c>
      <c r="AH261" s="28" t="str">
        <f t="array" ref="AH261">IF($I260="","",XLOOKUP($B261,Derived_Variables!$A:$A,Derived_Variables!$AG:$AG,""))</f>
        <v/>
      </c>
      <c r="AI261" s="28" t="str">
        <f t="array" ref="AI261">IF($I260="","",XLOOKUP($B261,Derived_Variables!$A:$A,Derived_Variables!$AC:$AC,"Medium"))</f>
        <v/>
      </c>
      <c r="AJ261" s="28" t="str">
        <f t="array" ref="AJ261">IF($I260="","",XLOOKUP($B261,Derived_Variables!$A:$A,Derived_Variables!$Y:$Y,FALSE))</f>
        <v/>
      </c>
      <c r="AK261" s="28" t="str">
        <f t="array" ref="AK261">IF($I260="","",XLOOKUP($B261,Derived_Variables!$A:$A,Derived_Variables!$AA:$AA,"Normal"))</f>
        <v/>
      </c>
      <c r="AL261" s="28" t="str">
        <f t="array" ref="AL261">IF($I260="","",XLOOKUP($B261,Derived_Variables!$A:$A,Derived_Variables!$AB:$AB,"Normal"))</f>
        <v/>
      </c>
      <c r="AM261" s="28" t="str">
        <f t="array" ref="AM261">IF($I261="","",IFS(C261="B",IF(OR(I261="NOT_READABLE",I261="BLURRY"),-AB261,0),C261="G",IFS(I261="RED_CLEARER",XLOOKUP("duochrome_red_step",Calibration!$B:$B,Calibration!$C:$C,-0.25),I261="GREEN_CLEARER",XLOOKUP("duochrome_green_step",Calibration!$B:$B,Calibration!$C:$C,0.25),I261="EQUAL",IF(XLOOKUP($B261,Derived_Variables!$A:$A,Derived_Variables!$S:$S,"Neutral")="Undercorrect",XLOOKUP("undercorrect_step",Calibration!$B:$B,Calibration!$C:$C,0.25),IF(XLOOKUP($B261,Derived_Variables!$A:$A,Derived_Variables!$S:$S,"Neutral")="Overcorrect",-XLOOKUP("overcorrect_step",Calibration!$B:$B,Calibration!$C:$C,0.25),0)),TRUE,0),C261="K",IF(I261="TOP_CLEARER",XLOOKUP("bino_balance_step",Calibration!$B:$B,Calibration!$C:$C,0.25),0),TRUE,0))</f>
        <v/>
      </c>
      <c r="AN261" s="28" t="str">
        <f t="shared" si="10"/>
        <v/>
      </c>
      <c r="AO261" s="28" t="str">
        <f t="shared" si="11"/>
        <v/>
      </c>
      <c r="AP261" s="28" t="str">
        <f t="array" ref="AP261">IF($I261="","",IFS(C261="D",IF(OR(I261="NOT_READABLE",I261="BLURRY"),-AB261,0),C261="J",IFS(I261="RED_CLEARER",XLOOKUP("duochrome_red_step",Calibration!$B:$B,Calibration!$C:$C,-0.25),I261="GREEN_CLEARER",XLOOKUP("duochrome_green_step",Calibration!$B:$B,Calibration!$C:$C,0.25),I261="EQUAL",IF(XLOOKUP($B261,Derived_Variables!$A:$A,Derived_Variables!$S:$S,"Neutral")="Undercorrect",XLOOKUP("undercorrect_step",Calibration!$B:$B,Calibration!$C:$C,0.25),IF(XLOOKUP($B261,Derived_Variables!$A:$A,Derived_Variables!$S:$S,"Neutral")="Overcorrect",-XLOOKUP("overcorrect_step",Calibration!$B:$B,Calibration!$C:$C,0.25),0)),TRUE,0),C261="K",IF(I261="BOTTOM_CLEARER",XLOOKUP("bino_balance_step",Calibration!$B:$B,Calibration!$C:$C,0.25),0),TRUE,0))</f>
        <v/>
      </c>
      <c r="AQ261" s="28" t="str">
        <f t="shared" si="12"/>
        <v/>
      </c>
      <c r="AR261" s="28" t="str">
        <f t="shared" si="13"/>
        <v/>
      </c>
      <c r="AS261" s="28" t="str">
        <f t="array" ref="AS261">IF($I261="","",IF(C261="P",IF(OR(I261="NOT_READABLE",I261="BLURRY"),XLOOKUP("near_add_step",Calibration!$B:$B,Calibration!$C:$C,0.25),0),IF(C261="R",IF(I261="NOT_CLEAR",XLOOKUP("near_add_step",Calibration!$B:$B,Calibration!$C:$C,0.25),0),0)))</f>
        <v/>
      </c>
      <c r="AT261" s="28" t="str">
        <f t="array" ref="AT261">IF($I261="","",IF(C261="Q",IF(OR(I261="NOT_READABLE",I261="BLURRY"),XLOOKUP("near_add_step",Calibration!$B:$B,Calibration!$C:$C,0.25),0),IF(C261="R",IF(I261="NOT_CLEAR",XLOOKUP("near_add_step",Calibration!$B:$B,Calibration!$C:$C,0.25),0),0)))</f>
        <v/>
      </c>
      <c r="AU261" s="28" t="str">
        <f t="array" ref="AU261">IF($I261="","",IF(G261="SNELLEN_FEET",IF(I261="READABLE",IFERROR(XLOOKUP(XLOOKUP(R261,Chart_Scale_Distance!B:B,Chart_Scale_Distance!A:A)+1,Chart_Scale_Distance!A:A,Chart_Scale_Distance!B:B),R261),R261),R261))</f>
        <v/>
      </c>
      <c r="AV261" s="28" t="str">
        <f t="array" ref="AV261">IF($I260="","",IFERROR(XLOOKUP(R261,Chart_Scale_Distance!$B:$B,Chart_Scale_Distance!$A:$A,""),""))</f>
        <v/>
      </c>
      <c r="AW261" s="28" t="str">
        <f t="array" ref="AW261">IF($I260="","",IFERROR(XLOOKUP(AA261,Chart_Scale_Distance!$B:$B,Chart_Scale_Distance!$A:$A,""),""))</f>
        <v/>
      </c>
      <c r="AX261" s="28" t="str">
        <f t="shared" si="14"/>
        <v/>
      </c>
      <c r="AY261" s="28" t="str">
        <f t="shared" si="15"/>
        <v/>
      </c>
      <c r="AZ261" s="28" t="str">
        <f t="shared" si="16"/>
        <v/>
      </c>
      <c r="BA261" s="28" t="str">
        <f t="shared" si="17"/>
        <v/>
      </c>
      <c r="BB261" s="28" t="str">
        <f t="shared" si="18"/>
        <v/>
      </c>
      <c r="BC261" s="28" t="str">
        <f t="array" ref="BC261">IF($I261="","",LET(
conf,AI261,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duoMax,XLOOKUP($B261,Derived_Variables!$A:$A,Derived_Variables!$AI:$AI,4),
axisTol,XLOOKUP($B261,Derived_Variables!$A:$A,Derived_Variables!$W:$W,1),
maxStart,XLOOKUP($B261,Derived_Variables!$A:$A,Derived_Variables!$U:$U,1.25),
maxAR,XLOOKUP($B261,Derived_Variables!$A:$A,Derived_Variables!$V:$V,3),
anom,XLOOKUP($B261,Derived_Variables!$A:$A,Derived_Variables!$Z:$Z,FALSE),
reStart,XLOOKUP($B261,Derived_Variables!$A:$A,Derived_Variables!$K:$K,0),
leStart,XLOOKUP($B261,Derived_Variables!$A:$A,Derived_Variables!$N:$N,0),
reAR,XLOOKUP($B261,AR_Input!$A:$A,AR_Input!$B:$B,reStart),
leAR,XLOOKUP($B261,AR_Input!$A:$A,AR_Input!$E:$E,leStart),
reEsc,AND(anom,OR(ABS((S261+AM261)-reStart)&gt;maxStart,ABS((S261+AM261)-reAR)&gt;maxAR)),
leEsc,AND(anom,OR(ABS((V261+AP261)-leStart)&gt;maxStart,ABS((V261+AP261)-leAR)&gt;maxAR)),
phaseMax,IFS(
 AK261="Fast",
   IFS(
     OR(C261="B",C261="D"),XLOOKUP("timeout_coarse_fast",Calibration!$B:$B,Calibration!$C:$C,24),
     OR(C261="E",C261="F",C261="H",C261="I"),XLOOKUP("timeout_jcc_fast",Calibration!$B:$B,Calibration!$C:$C,10),
     OR(C261="G",C261="J"),XLOOKUP("timeout_duochrome_fast",Calibration!$B:$B,Calibration!$C:$C,8),
     C261="K",XLOOKUP("timeout_bino_fast",Calibration!$B:$B,Calibration!$C:$C,10),
     OR(C261="P",C261="Q",C261="R"),XLOOKUP("timeout_near_fast",Calibration!$B:$B,Calibration!$C:$C,16),
     TRUE,XLOOKUP("timeout_coarse_fast",Calibration!$B:$B,Calibration!$C:$C,24)
   ),
 AK261="Normal",
   IFS(
     OR(C261="B",C261="D"),XLOOKUP("timeout_coarse_normal",Calibration!$B:$B,Calibration!$C:$C,36),
     OR(C261="E",C261="F",C261="H",C261="I"),XLOOKUP("timeout_jcc_normal",Calibration!$B:$B,Calibration!$C:$C,14),
     OR(C261="G",C261="J"),XLOOKUP("timeout_duochrome_normal",Calibration!$B:$B,Calibration!$C:$C,10),
     C261="K",XLOOKUP("timeout_bino_normal",Calibration!$B:$B,Calibration!$C:$C,14),
     OR(C261="P",C261="Q",C261="R"),XLOOKUP("timeout_near_normal",Calibration!$B:$B,Calibration!$C:$C,22),
     TRUE,XLOOKUP("timeout_coarse_normal",Calibration!$B:$B,Calibration!$C:$C,36)
   ),
 TRUE,
   IFS(
     OR(C261="B",C261="D"),XLOOKUP("timeout_coarse_slow",Calibration!$B:$B,Calibration!$C:$C,48),
     OR(C261="E",C261="F",C261="H",C261="I"),XLOOKUP("timeout_jcc_slow",Calibration!$B:$B,Calibration!$C:$C,18),
     OR(C261="G",C261="J"),XLOOKUP("timeout_duochrome_slow",Calibration!$B:$B,Calibration!$C:$C,12),
     C261="K",XLOOKUP("timeout_bino_slow",Calibration!$B:$B,Calibration!$C:$C,18),
     OR(C261="P",C261="Q",C261="R"),XLOOKUP("timeout_near_slow",Calibration!$B:$B,Calibration!$C:$C,28),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AJ261=TRUE,"ESCALATE",
C261="A",
IF(OR(I261="NOT_READABLE",I261="BLURRY",AND(R261="20_20_20",I261="READABLE")),"B","A"),
C261="B",
IF(reEsc,"ESCALATE",IF(AY261&gt;=phaseMax,"ESCALATE",IF(AND(AV261&gt;=AW261,I261="READABLE"),"E","B"))),
C261="E",
IF(AY261&gt;=phaseMax,"ESCALATE",IF(OR(I261="SAME",I261="CANT_TELL",AD261&lt;axisTol),"F","E")),
C261="F",
IF(AY261&gt;=phaseMax,"ESCALATE",IF(AX261&gt;=powerSameN,"G","F")),
C261="G",
IF(AY261&gt;=phaseMax,"ESCALATE",IF(OR(AX261&gt;=duoEqualN,BB261&gt;=duoMax),"D","G")),
C261="D",
IF(leEsc,"ESCALATE",IF(AY261&gt;=phaseMax,"ESCALATE",IF(AND(AV261&gt;=AW261,I261="READABLE"),"H","D"))),
C261="H",
IF(AY261&gt;=phaseMax,"ESCALATE",IF(OR(I261="SAME",I261="CANT_TELL",AD261&lt;axisTol),"I","H")),
C261="I",
IF(AY261&gt;=phaseMax,"ESCALATE",IF(AX261&gt;=powerSameN,"J","I")),
C261="J",
IF(AY261&gt;=phaseMax,"ESCALATE",IF(OR(AX261&gt;=duoEqualN,BB261&gt;=duoMax),"K","J")),
C261="K",
IF(AY261&gt;=phaseMax,"ESCALATE",IF(AX261&gt;=binoSameN,IF(XLOOKUP($B261,Derived_Variables!$A:$A,Derived_Variables!$AJ:$AJ,FALSE)=TRUE,"P","END"),"K")),
C261="P",
IF(AY261&gt;=phaseMax,"ESCALATE",IF(OR(I261="READABLE",I261="SAME"),"Q","P")),
C261="Q",
IF(AY261&gt;=phaseMax,"ESCALATE",IF(OR(I261="READABLE",I261="SAME"),"R","Q")),
C261="R",
IF(AY261&gt;=phaseMax,"ESCALATE",IF(OR(I261=nearTarget,I261="SAME"),"END","R")),
TRUE,"END"
)))</f>
        <v/>
      </c>
      <c r="BD261" s="28" t="b">
        <f t="shared" si="19"/>
        <v>0</v>
      </c>
    </row>
    <row r="262" ht="15.75" customHeight="1">
      <c r="A262" s="28">
        <f t="shared" si="3"/>
        <v>261</v>
      </c>
      <c r="B262" s="28">
        <f t="shared" si="4"/>
        <v>6</v>
      </c>
      <c r="C262" s="28" t="str">
        <f t="shared" si="5"/>
        <v/>
      </c>
      <c r="D262" s="28" t="str">
        <f t="array" ref="D262">IF($I261="","",XLOOKUP(C262,FSM_State_Map!A:A,FSM_State_Map!B:B,""))</f>
        <v/>
      </c>
      <c r="E262" s="28" t="str">
        <f t="array" ref="E262">IF($I261="","",XLOOKUP(C262,FSM_State_Map!A:A,FSM_State_Map!C:C,""))</f>
        <v/>
      </c>
      <c r="F262" s="28" t="str">
        <f t="array" ref="F262">IF($I261="","",XLOOKUP(E262,Phase_UI_Map!A:A,Phase_UI_Map!B:B,""))</f>
        <v/>
      </c>
      <c r="G262" s="28" t="str">
        <f t="array" ref="G262">IF($I261="","",XLOOKUP(E262,Phase_UI_Map!A:A,Phase_UI_Map!C:C,""))</f>
        <v/>
      </c>
      <c r="H262" s="28" t="str">
        <f t="array" ref="H262">IF($I261="","",XLOOKUP(E262,Phase_UI_Map!A:A,Phase_UI_Map!D:D,""))</f>
        <v/>
      </c>
      <c r="I262" s="29"/>
      <c r="J262" s="28" t="str">
        <f>IFERROR(__xludf.DUMMYFUNCTION("IF($I261="""","""",IFERROR(INDEX(FILTER(Response_Lists!$B:$B,Response_Lists!$A:$A=$H262),1),""""))"),"")</f>
        <v/>
      </c>
      <c r="K262" s="28" t="str">
        <f>IFERROR(__xludf.DUMMYFUNCTION("IF($I261="""","""",IFERROR(INDEX(FILTER(Response_Lists!$B:$B,Response_Lists!$A:$A=$H262),2),""""))"),"")</f>
        <v/>
      </c>
      <c r="L262" s="28" t="str">
        <f>IFERROR(__xludf.DUMMYFUNCTION("IF($I261="""","""",IFERROR(INDEX(FILTER(Response_Lists!$B:$B,Response_Lists!$A:$A=$H262),3),""""))"),"")</f>
        <v/>
      </c>
      <c r="M262" s="28" t="str">
        <f>IFERROR(__xludf.DUMMYFUNCTION("IF($I261="""","""",IFERROR(INDEX(FILTER(Response_Lists!$B:$B,Response_Lists!$A:$A=$H262),4),""""))"),"")</f>
        <v/>
      </c>
      <c r="N262" s="28" t="str">
        <f>IFERROR(__xludf.DUMMYFUNCTION("IF($I261="""","""",IFERROR(INDEX(FILTER(Response_Lists!$B:$B,Response_Lists!$A:$A=$H262),5),""""))"),"")</f>
        <v/>
      </c>
      <c r="O262" s="28" t="str">
        <f>IFERROR(__xludf.DUMMYFUNCTION("IF($I261="""","""",IFERROR(INDEX(FILTER(Response_Lists!$B:$B,Response_Lists!$A:$A=$H262),6),""""))"),"")</f>
        <v/>
      </c>
      <c r="P262" s="28" t="str">
        <f t="shared" si="6"/>
        <v/>
      </c>
      <c r="Q262" s="28" t="str">
        <f t="array" ref="Q262">IF($I261="","",XLOOKUP(C262,FSM_State_Map!A:A,FSM_State_Map!D:D,""))</f>
        <v/>
      </c>
      <c r="R262" s="28" t="str">
        <f t="shared" si="7"/>
        <v/>
      </c>
      <c r="S262" s="28" t="str">
        <f t="array" ref="S262">IF($I261="","",
IF(
  AND(C262="B",C261&lt;&gt;"B"),
  XLOOKUP($B262,Derived_Variables!$A:$A,Derived_Variables!$K:$K,0)
  + XLOOKUP($B262,Derived_Variables!$A:$A,Derived_Variables!$AE:$AE,0),
  S261+AM261
))</f>
        <v/>
      </c>
      <c r="T262" s="28" t="str">
        <f t="shared" ref="T262:U262" si="534">IF($I261="","",T261+AN261)</f>
        <v/>
      </c>
      <c r="U262" s="28" t="str">
        <f t="shared" si="534"/>
        <v/>
      </c>
      <c r="V262" s="28" t="str">
        <f t="array" ref="V262">IF($I261="","",
IF(
  AND(C262="D",C261&lt;&gt;"D"),
  XLOOKUP($B262,Derived_Variables!$A:$A,Derived_Variables!$N:$N,0)
  + XLOOKUP($B262,Derived_Variables!$A:$A,Derived_Variables!$AE:$AE,0),
  V261+AP261
))</f>
        <v/>
      </c>
      <c r="W262" s="28" t="str">
        <f t="shared" ref="W262:X262" si="535">IF($I261="","",W261+AQ261)</f>
        <v/>
      </c>
      <c r="X262" s="28" t="str">
        <f t="shared" si="535"/>
        <v/>
      </c>
      <c r="Y262" s="28" t="str">
        <f t="array" ref="Y262">IF($I261="","",IF(AND(C262="P",C261&lt;&gt;"P"),IFERROR(XLOOKUP($B262,Lenso_Input!$A:$A,Lenso_Input!$E:$E,0),0),Y261+AS261))</f>
        <v/>
      </c>
      <c r="Z262" s="28" t="str">
        <f t="array" ref="Z262">IF($I261="","",IF(AND(C262="Q",C261&lt;&gt;"Q"),IFERROR(XLOOKUP($B262,Lenso_Input!$A:$A,Lenso_Input!$I:$I,0),0),Z261+AT261))</f>
        <v/>
      </c>
      <c r="AA262" s="28" t="str">
        <f t="array" ref="AA262">IF($I261="","",IF(XLOOKUP($B262,Derived_Variables!$A:$A,Derived_Variables!$R:$R,"6/6_target")="6/6_target","20_20_20","40_30_25"))</f>
        <v/>
      </c>
      <c r="AB262" s="28" t="str">
        <f t="array" ref="AB262">IF($I261="","",XLOOKUP(LOWER(XLOOKUP($B262,Derived_Variables!$A:$A,Derived_Variables!$T:$T,"Standard"))&amp;"_sph_step",Calibration!$B:$B,Calibration!$C:$C,0.25))</f>
        <v/>
      </c>
      <c r="AC262" s="28" t="str">
        <f t="array" ref="AC262">IF($I261="","",XLOOKUP(LOWER(XLOOKUP($B262,Derived_Variables!$A:$A,Derived_Variables!$T:$T,"Standard"))&amp;"_cyl_step",Calibration!$B:$B,Calibration!$C:$C,0.25))</f>
        <v/>
      </c>
      <c r="AD262" s="28" t="str">
        <f t="array" ref="AD262">IF($I261="","",IF(OR(C262="E",C262="H"),LET(startStep,XLOOKUP("axis_start_step",Calibration!$B:$B,Calibration!$C:$C,5),step1,XLOOKUP("axis_reversal_step_1",Calibration!$B:$B,Calibration!$C:$C,3),step2,XLOOKUP("axis_reversal_step_2",Calibration!$B:$B,Calibration!$C:$C,1),IF(OR(C261&lt;&gt;C262,AZ262="",AZ262="SAME",AZ262="CANT_TELL",I262="",I262="SAME",I262="CANT_TELL"),startStep,IF(OR(AND(AZ262="BETTER_1",I262="BETTER_2"),AND(AZ262="BETTER_2",I262="BETTER_1")),IF(AD261&gt;step1,step1,step2),AD261))),0))</f>
        <v/>
      </c>
      <c r="AE262" s="28" t="str">
        <f t="array" ref="AE262">IF($I261="","",XLOOKUP($B262,Derived_Variables!$A:$A,Derived_Variables!$AD:$AD,"No_Fog"))</f>
        <v/>
      </c>
      <c r="AF262" s="28" t="str">
        <f t="array" ref="AF262">IF($I261="","",XLOOKUP($B262,Derived_Variables!$A:$A,Derived_Variables!$AE:$AE,0))</f>
        <v/>
      </c>
      <c r="AG262" s="28" t="str">
        <f t="array" ref="AG262">IF($I261="","",XLOOKUP($B262,Derived_Variables!$A:$A,Derived_Variables!$AF:$AF,""))</f>
        <v/>
      </c>
      <c r="AH262" s="28" t="str">
        <f t="array" ref="AH262">IF($I261="","",XLOOKUP($B262,Derived_Variables!$A:$A,Derived_Variables!$AG:$AG,""))</f>
        <v/>
      </c>
      <c r="AI262" s="28" t="str">
        <f t="array" ref="AI262">IF($I261="","",XLOOKUP($B262,Derived_Variables!$A:$A,Derived_Variables!$AC:$AC,"Medium"))</f>
        <v/>
      </c>
      <c r="AJ262" s="28" t="str">
        <f t="array" ref="AJ262">IF($I261="","",XLOOKUP($B262,Derived_Variables!$A:$A,Derived_Variables!$Y:$Y,FALSE))</f>
        <v/>
      </c>
      <c r="AK262" s="28" t="str">
        <f t="array" ref="AK262">IF($I261="","",XLOOKUP($B262,Derived_Variables!$A:$A,Derived_Variables!$AA:$AA,"Normal"))</f>
        <v/>
      </c>
      <c r="AL262" s="28" t="str">
        <f t="array" ref="AL262">IF($I261="","",XLOOKUP($B262,Derived_Variables!$A:$A,Derived_Variables!$AB:$AB,"Normal"))</f>
        <v/>
      </c>
      <c r="AM262" s="28" t="str">
        <f t="array" ref="AM262">IF($I262="","",IFS(C262="B",IF(OR(I262="NOT_READABLE",I262="BLURRY"),-AB262,0),C262="G",IFS(I262="RED_CLEARER",XLOOKUP("duochrome_red_step",Calibration!$B:$B,Calibration!$C:$C,-0.25),I262="GREEN_CLEARER",XLOOKUP("duochrome_green_step",Calibration!$B:$B,Calibration!$C:$C,0.25),I262="EQUAL",IF(XLOOKUP($B262,Derived_Variables!$A:$A,Derived_Variables!$S:$S,"Neutral")="Undercorrect",XLOOKUP("undercorrect_step",Calibration!$B:$B,Calibration!$C:$C,0.25),IF(XLOOKUP($B262,Derived_Variables!$A:$A,Derived_Variables!$S:$S,"Neutral")="Overcorrect",-XLOOKUP("overcorrect_step",Calibration!$B:$B,Calibration!$C:$C,0.25),0)),TRUE,0),C262="K",IF(I262="TOP_CLEARER",XLOOKUP("bino_balance_step",Calibration!$B:$B,Calibration!$C:$C,0.25),0),TRUE,0))</f>
        <v/>
      </c>
      <c r="AN262" s="28" t="str">
        <f t="shared" si="10"/>
        <v/>
      </c>
      <c r="AO262" s="28" t="str">
        <f t="shared" si="11"/>
        <v/>
      </c>
      <c r="AP262" s="28" t="str">
        <f t="array" ref="AP262">IF($I262="","",IFS(C262="D",IF(OR(I262="NOT_READABLE",I262="BLURRY"),-AB262,0),C262="J",IFS(I262="RED_CLEARER",XLOOKUP("duochrome_red_step",Calibration!$B:$B,Calibration!$C:$C,-0.25),I262="GREEN_CLEARER",XLOOKUP("duochrome_green_step",Calibration!$B:$B,Calibration!$C:$C,0.25),I262="EQUAL",IF(XLOOKUP($B262,Derived_Variables!$A:$A,Derived_Variables!$S:$S,"Neutral")="Undercorrect",XLOOKUP("undercorrect_step",Calibration!$B:$B,Calibration!$C:$C,0.25),IF(XLOOKUP($B262,Derived_Variables!$A:$A,Derived_Variables!$S:$S,"Neutral")="Overcorrect",-XLOOKUP("overcorrect_step",Calibration!$B:$B,Calibration!$C:$C,0.25),0)),TRUE,0),C262="K",IF(I262="BOTTOM_CLEARER",XLOOKUP("bino_balance_step",Calibration!$B:$B,Calibration!$C:$C,0.25),0),TRUE,0))</f>
        <v/>
      </c>
      <c r="AQ262" s="28" t="str">
        <f t="shared" si="12"/>
        <v/>
      </c>
      <c r="AR262" s="28" t="str">
        <f t="shared" si="13"/>
        <v/>
      </c>
      <c r="AS262" s="28" t="str">
        <f t="array" ref="AS262">IF($I262="","",IF(C262="P",IF(OR(I262="NOT_READABLE",I262="BLURRY"),XLOOKUP("near_add_step",Calibration!$B:$B,Calibration!$C:$C,0.25),0),IF(C262="R",IF(I262="NOT_CLEAR",XLOOKUP("near_add_step",Calibration!$B:$B,Calibration!$C:$C,0.25),0),0)))</f>
        <v/>
      </c>
      <c r="AT262" s="28" t="str">
        <f t="array" ref="AT262">IF($I262="","",IF(C262="Q",IF(OR(I262="NOT_READABLE",I262="BLURRY"),XLOOKUP("near_add_step",Calibration!$B:$B,Calibration!$C:$C,0.25),0),IF(C262="R",IF(I262="NOT_CLEAR",XLOOKUP("near_add_step",Calibration!$B:$B,Calibration!$C:$C,0.25),0),0)))</f>
        <v/>
      </c>
      <c r="AU262" s="28" t="str">
        <f t="array" ref="AU262">IF($I262="","",IF(G262="SNELLEN_FEET",IF(I262="READABLE",IFERROR(XLOOKUP(XLOOKUP(R262,Chart_Scale_Distance!B:B,Chart_Scale_Distance!A:A)+1,Chart_Scale_Distance!A:A,Chart_Scale_Distance!B:B),R262),R262),R262))</f>
        <v/>
      </c>
      <c r="AV262" s="28" t="str">
        <f t="array" ref="AV262">IF($I261="","",IFERROR(XLOOKUP(R262,Chart_Scale_Distance!$B:$B,Chart_Scale_Distance!$A:$A,""),""))</f>
        <v/>
      </c>
      <c r="AW262" s="28" t="str">
        <f t="array" ref="AW262">IF($I261="","",IFERROR(XLOOKUP(AA262,Chart_Scale_Distance!$B:$B,Chart_Scale_Distance!$A:$A,""),""))</f>
        <v/>
      </c>
      <c r="AX262" s="28" t="str">
        <f t="shared" si="14"/>
        <v/>
      </c>
      <c r="AY262" s="28" t="str">
        <f t="shared" si="15"/>
        <v/>
      </c>
      <c r="AZ262" s="28" t="str">
        <f t="shared" si="16"/>
        <v/>
      </c>
      <c r="BA262" s="28" t="str">
        <f t="shared" si="17"/>
        <v/>
      </c>
      <c r="BB262" s="28" t="str">
        <f t="shared" si="18"/>
        <v/>
      </c>
      <c r="BC262" s="28" t="str">
        <f t="array" ref="BC262">IF($I262="","",LET(
conf,AI262,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duoMax,XLOOKUP($B262,Derived_Variables!$A:$A,Derived_Variables!$AI:$AI,4),
axisTol,XLOOKUP($B262,Derived_Variables!$A:$A,Derived_Variables!$W:$W,1),
maxStart,XLOOKUP($B262,Derived_Variables!$A:$A,Derived_Variables!$U:$U,1.25),
maxAR,XLOOKUP($B262,Derived_Variables!$A:$A,Derived_Variables!$V:$V,3),
anom,XLOOKUP($B262,Derived_Variables!$A:$A,Derived_Variables!$Z:$Z,FALSE),
reStart,XLOOKUP($B262,Derived_Variables!$A:$A,Derived_Variables!$K:$K,0),
leStart,XLOOKUP($B262,Derived_Variables!$A:$A,Derived_Variables!$N:$N,0),
reAR,XLOOKUP($B262,AR_Input!$A:$A,AR_Input!$B:$B,reStart),
leAR,XLOOKUP($B262,AR_Input!$A:$A,AR_Input!$E:$E,leStart),
reEsc,AND(anom,OR(ABS((S262+AM262)-reStart)&gt;maxStart,ABS((S262+AM262)-reAR)&gt;maxAR)),
leEsc,AND(anom,OR(ABS((V262+AP262)-leStart)&gt;maxStart,ABS((V262+AP262)-leAR)&gt;maxAR)),
phaseMax,IFS(
 AK262="Fast",
   IFS(
     OR(C262="B",C262="D"),XLOOKUP("timeout_coarse_fast",Calibration!$B:$B,Calibration!$C:$C,24),
     OR(C262="E",C262="F",C262="H",C262="I"),XLOOKUP("timeout_jcc_fast",Calibration!$B:$B,Calibration!$C:$C,10),
     OR(C262="G",C262="J"),XLOOKUP("timeout_duochrome_fast",Calibration!$B:$B,Calibration!$C:$C,8),
     C262="K",XLOOKUP("timeout_bino_fast",Calibration!$B:$B,Calibration!$C:$C,10),
     OR(C262="P",C262="Q",C262="R"),XLOOKUP("timeout_near_fast",Calibration!$B:$B,Calibration!$C:$C,16),
     TRUE,XLOOKUP("timeout_coarse_fast",Calibration!$B:$B,Calibration!$C:$C,24)
   ),
 AK262="Normal",
   IFS(
     OR(C262="B",C262="D"),XLOOKUP("timeout_coarse_normal",Calibration!$B:$B,Calibration!$C:$C,36),
     OR(C262="E",C262="F",C262="H",C262="I"),XLOOKUP("timeout_jcc_normal",Calibration!$B:$B,Calibration!$C:$C,14),
     OR(C262="G",C262="J"),XLOOKUP("timeout_duochrome_normal",Calibration!$B:$B,Calibration!$C:$C,10),
     C262="K",XLOOKUP("timeout_bino_normal",Calibration!$B:$B,Calibration!$C:$C,14),
     OR(C262="P",C262="Q",C262="R"),XLOOKUP("timeout_near_normal",Calibration!$B:$B,Calibration!$C:$C,22),
     TRUE,XLOOKUP("timeout_coarse_normal",Calibration!$B:$B,Calibration!$C:$C,36)
   ),
 TRUE,
   IFS(
     OR(C262="B",C262="D"),XLOOKUP("timeout_coarse_slow",Calibration!$B:$B,Calibration!$C:$C,48),
     OR(C262="E",C262="F",C262="H",C262="I"),XLOOKUP("timeout_jcc_slow",Calibration!$B:$B,Calibration!$C:$C,18),
     OR(C262="G",C262="J"),XLOOKUP("timeout_duochrome_slow",Calibration!$B:$B,Calibration!$C:$C,12),
     C262="K",XLOOKUP("timeout_bino_slow",Calibration!$B:$B,Calibration!$C:$C,18),
     OR(C262="P",C262="Q",C262="R"),XLOOKUP("timeout_near_slow",Calibration!$B:$B,Calibration!$C:$C,28),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AJ262=TRUE,"ESCALATE",
C262="A",
IF(OR(I262="NOT_READABLE",I262="BLURRY",AND(R262="20_20_20",I262="READABLE")),"B","A"),
C262="B",
IF(reEsc,"ESCALATE",IF(AY262&gt;=phaseMax,"ESCALATE",IF(AND(AV262&gt;=AW262,I262="READABLE"),"E","B"))),
C262="E",
IF(AY262&gt;=phaseMax,"ESCALATE",IF(OR(I262="SAME",I262="CANT_TELL",AD262&lt;axisTol),"F","E")),
C262="F",
IF(AY262&gt;=phaseMax,"ESCALATE",IF(AX262&gt;=powerSameN,"G","F")),
C262="G",
IF(AY262&gt;=phaseMax,"ESCALATE",IF(OR(AX262&gt;=duoEqualN,BB262&gt;=duoMax),"D","G")),
C262="D",
IF(leEsc,"ESCALATE",IF(AY262&gt;=phaseMax,"ESCALATE",IF(AND(AV262&gt;=AW262,I262="READABLE"),"H","D"))),
C262="H",
IF(AY262&gt;=phaseMax,"ESCALATE",IF(OR(I262="SAME",I262="CANT_TELL",AD262&lt;axisTol),"I","H")),
C262="I",
IF(AY262&gt;=phaseMax,"ESCALATE",IF(AX262&gt;=powerSameN,"J","I")),
C262="J",
IF(AY262&gt;=phaseMax,"ESCALATE",IF(OR(AX262&gt;=duoEqualN,BB262&gt;=duoMax),"K","J")),
C262="K",
IF(AY262&gt;=phaseMax,"ESCALATE",IF(AX262&gt;=binoSameN,IF(XLOOKUP($B262,Derived_Variables!$A:$A,Derived_Variables!$AJ:$AJ,FALSE)=TRUE,"P","END"),"K")),
C262="P",
IF(AY262&gt;=phaseMax,"ESCALATE",IF(OR(I262="READABLE",I262="SAME"),"Q","P")),
C262="Q",
IF(AY262&gt;=phaseMax,"ESCALATE",IF(OR(I262="READABLE",I262="SAME"),"R","Q")),
C262="R",
IF(AY262&gt;=phaseMax,"ESCALATE",IF(OR(I262=nearTarget,I262="SAME"),"END","R")),
TRUE,"END"
)))</f>
        <v/>
      </c>
      <c r="BD262" s="28" t="b">
        <f t="shared" si="19"/>
        <v>0</v>
      </c>
    </row>
    <row r="263" ht="15.75" customHeight="1">
      <c r="A263" s="28">
        <f t="shared" si="3"/>
        <v>262</v>
      </c>
      <c r="B263" s="28">
        <f t="shared" si="4"/>
        <v>6</v>
      </c>
      <c r="C263" s="28" t="str">
        <f t="shared" si="5"/>
        <v/>
      </c>
      <c r="D263" s="28" t="str">
        <f t="array" ref="D263">IF($I262="","",XLOOKUP(C263,FSM_State_Map!A:A,FSM_State_Map!B:B,""))</f>
        <v/>
      </c>
      <c r="E263" s="28" t="str">
        <f t="array" ref="E263">IF($I262="","",XLOOKUP(C263,FSM_State_Map!A:A,FSM_State_Map!C:C,""))</f>
        <v/>
      </c>
      <c r="F263" s="28" t="str">
        <f t="array" ref="F263">IF($I262="","",XLOOKUP(E263,Phase_UI_Map!A:A,Phase_UI_Map!B:B,""))</f>
        <v/>
      </c>
      <c r="G263" s="28" t="str">
        <f t="array" ref="G263">IF($I262="","",XLOOKUP(E263,Phase_UI_Map!A:A,Phase_UI_Map!C:C,""))</f>
        <v/>
      </c>
      <c r="H263" s="28" t="str">
        <f t="array" ref="H263">IF($I262="","",XLOOKUP(E263,Phase_UI_Map!A:A,Phase_UI_Map!D:D,""))</f>
        <v/>
      </c>
      <c r="I263" s="29"/>
      <c r="J263" s="28" t="str">
        <f>IFERROR(__xludf.DUMMYFUNCTION("IF($I262="""","""",IFERROR(INDEX(FILTER(Response_Lists!$B:$B,Response_Lists!$A:$A=$H263),1),""""))"),"")</f>
        <v/>
      </c>
      <c r="K263" s="28" t="str">
        <f>IFERROR(__xludf.DUMMYFUNCTION("IF($I262="""","""",IFERROR(INDEX(FILTER(Response_Lists!$B:$B,Response_Lists!$A:$A=$H263),2),""""))"),"")</f>
        <v/>
      </c>
      <c r="L263" s="28" t="str">
        <f>IFERROR(__xludf.DUMMYFUNCTION("IF($I262="""","""",IFERROR(INDEX(FILTER(Response_Lists!$B:$B,Response_Lists!$A:$A=$H263),3),""""))"),"")</f>
        <v/>
      </c>
      <c r="M263" s="28" t="str">
        <f>IFERROR(__xludf.DUMMYFUNCTION("IF($I262="""","""",IFERROR(INDEX(FILTER(Response_Lists!$B:$B,Response_Lists!$A:$A=$H263),4),""""))"),"")</f>
        <v/>
      </c>
      <c r="N263" s="28" t="str">
        <f>IFERROR(__xludf.DUMMYFUNCTION("IF($I262="""","""",IFERROR(INDEX(FILTER(Response_Lists!$B:$B,Response_Lists!$A:$A=$H263),5),""""))"),"")</f>
        <v/>
      </c>
      <c r="O263" s="28" t="str">
        <f>IFERROR(__xludf.DUMMYFUNCTION("IF($I262="""","""",IFERROR(INDEX(FILTER(Response_Lists!$B:$B,Response_Lists!$A:$A=$H263),6),""""))"),"")</f>
        <v/>
      </c>
      <c r="P263" s="28" t="str">
        <f t="shared" si="6"/>
        <v/>
      </c>
      <c r="Q263" s="28" t="str">
        <f t="array" ref="Q263">IF($I262="","",XLOOKUP(C263,FSM_State_Map!A:A,FSM_State_Map!D:D,""))</f>
        <v/>
      </c>
      <c r="R263" s="28" t="str">
        <f t="shared" si="7"/>
        <v/>
      </c>
      <c r="S263" s="28" t="str">
        <f t="array" ref="S263">IF($I262="","",
IF(
  AND(C263="B",C262&lt;&gt;"B"),
  XLOOKUP($B263,Derived_Variables!$A:$A,Derived_Variables!$K:$K,0)
  + XLOOKUP($B263,Derived_Variables!$A:$A,Derived_Variables!$AE:$AE,0),
  S262+AM262
))</f>
        <v/>
      </c>
      <c r="T263" s="28" t="str">
        <f t="shared" ref="T263:U263" si="536">IF($I262="","",T262+AN262)</f>
        <v/>
      </c>
      <c r="U263" s="28" t="str">
        <f t="shared" si="536"/>
        <v/>
      </c>
      <c r="V263" s="28" t="str">
        <f t="array" ref="V263">IF($I262="","",
IF(
  AND(C263="D",C262&lt;&gt;"D"),
  XLOOKUP($B263,Derived_Variables!$A:$A,Derived_Variables!$N:$N,0)
  + XLOOKUP($B263,Derived_Variables!$A:$A,Derived_Variables!$AE:$AE,0),
  V262+AP262
))</f>
        <v/>
      </c>
      <c r="W263" s="28" t="str">
        <f t="shared" ref="W263:X263" si="537">IF($I262="","",W262+AQ262)</f>
        <v/>
      </c>
      <c r="X263" s="28" t="str">
        <f t="shared" si="537"/>
        <v/>
      </c>
      <c r="Y263" s="28" t="str">
        <f t="array" ref="Y263">IF($I262="","",IF(AND(C263="P",C262&lt;&gt;"P"),IFERROR(XLOOKUP($B263,Lenso_Input!$A:$A,Lenso_Input!$E:$E,0),0),Y262+AS262))</f>
        <v/>
      </c>
      <c r="Z263" s="28" t="str">
        <f t="array" ref="Z263">IF($I262="","",IF(AND(C263="Q",C262&lt;&gt;"Q"),IFERROR(XLOOKUP($B263,Lenso_Input!$A:$A,Lenso_Input!$I:$I,0),0),Z262+AT262))</f>
        <v/>
      </c>
      <c r="AA263" s="28" t="str">
        <f t="array" ref="AA263">IF($I262="","",IF(XLOOKUP($B263,Derived_Variables!$A:$A,Derived_Variables!$R:$R,"6/6_target")="6/6_target","20_20_20","40_30_25"))</f>
        <v/>
      </c>
      <c r="AB263" s="28" t="str">
        <f t="array" ref="AB263">IF($I262="","",XLOOKUP(LOWER(XLOOKUP($B263,Derived_Variables!$A:$A,Derived_Variables!$T:$T,"Standard"))&amp;"_sph_step",Calibration!$B:$B,Calibration!$C:$C,0.25))</f>
        <v/>
      </c>
      <c r="AC263" s="28" t="str">
        <f t="array" ref="AC263">IF($I262="","",XLOOKUP(LOWER(XLOOKUP($B263,Derived_Variables!$A:$A,Derived_Variables!$T:$T,"Standard"))&amp;"_cyl_step",Calibration!$B:$B,Calibration!$C:$C,0.25))</f>
        <v/>
      </c>
      <c r="AD263" s="28" t="str">
        <f t="array" ref="AD263">IF($I262="","",IF(OR(C263="E",C263="H"),LET(startStep,XLOOKUP("axis_start_step",Calibration!$B:$B,Calibration!$C:$C,5),step1,XLOOKUP("axis_reversal_step_1",Calibration!$B:$B,Calibration!$C:$C,3),step2,XLOOKUP("axis_reversal_step_2",Calibration!$B:$B,Calibration!$C:$C,1),IF(OR(C262&lt;&gt;C263,AZ263="",AZ263="SAME",AZ263="CANT_TELL",I263="",I263="SAME",I263="CANT_TELL"),startStep,IF(OR(AND(AZ263="BETTER_1",I263="BETTER_2"),AND(AZ263="BETTER_2",I263="BETTER_1")),IF(AD262&gt;step1,step1,step2),AD262))),0))</f>
        <v/>
      </c>
      <c r="AE263" s="28" t="str">
        <f t="array" ref="AE263">IF($I262="","",XLOOKUP($B263,Derived_Variables!$A:$A,Derived_Variables!$AD:$AD,"No_Fog"))</f>
        <v/>
      </c>
      <c r="AF263" s="28" t="str">
        <f t="array" ref="AF263">IF($I262="","",XLOOKUP($B263,Derived_Variables!$A:$A,Derived_Variables!$AE:$AE,0))</f>
        <v/>
      </c>
      <c r="AG263" s="28" t="str">
        <f t="array" ref="AG263">IF($I262="","",XLOOKUP($B263,Derived_Variables!$A:$A,Derived_Variables!$AF:$AF,""))</f>
        <v/>
      </c>
      <c r="AH263" s="28" t="str">
        <f t="array" ref="AH263">IF($I262="","",XLOOKUP($B263,Derived_Variables!$A:$A,Derived_Variables!$AG:$AG,""))</f>
        <v/>
      </c>
      <c r="AI263" s="28" t="str">
        <f t="array" ref="AI263">IF($I262="","",XLOOKUP($B263,Derived_Variables!$A:$A,Derived_Variables!$AC:$AC,"Medium"))</f>
        <v/>
      </c>
      <c r="AJ263" s="28" t="str">
        <f t="array" ref="AJ263">IF($I262="","",XLOOKUP($B263,Derived_Variables!$A:$A,Derived_Variables!$Y:$Y,FALSE))</f>
        <v/>
      </c>
      <c r="AK263" s="28" t="str">
        <f t="array" ref="AK263">IF($I262="","",XLOOKUP($B263,Derived_Variables!$A:$A,Derived_Variables!$AA:$AA,"Normal"))</f>
        <v/>
      </c>
      <c r="AL263" s="28" t="str">
        <f t="array" ref="AL263">IF($I262="","",XLOOKUP($B263,Derived_Variables!$A:$A,Derived_Variables!$AB:$AB,"Normal"))</f>
        <v/>
      </c>
      <c r="AM263" s="28" t="str">
        <f t="array" ref="AM263">IF($I263="","",IFS(C263="B",IF(OR(I263="NOT_READABLE",I263="BLURRY"),-AB263,0),C263="G",IFS(I263="RED_CLEARER",XLOOKUP("duochrome_red_step",Calibration!$B:$B,Calibration!$C:$C,-0.25),I263="GREEN_CLEARER",XLOOKUP("duochrome_green_step",Calibration!$B:$B,Calibration!$C:$C,0.25),I263="EQUAL",IF(XLOOKUP($B263,Derived_Variables!$A:$A,Derived_Variables!$S:$S,"Neutral")="Undercorrect",XLOOKUP("undercorrect_step",Calibration!$B:$B,Calibration!$C:$C,0.25),IF(XLOOKUP($B263,Derived_Variables!$A:$A,Derived_Variables!$S:$S,"Neutral")="Overcorrect",-XLOOKUP("overcorrect_step",Calibration!$B:$B,Calibration!$C:$C,0.25),0)),TRUE,0),C263="K",IF(I263="TOP_CLEARER",XLOOKUP("bino_balance_step",Calibration!$B:$B,Calibration!$C:$C,0.25),0),TRUE,0))</f>
        <v/>
      </c>
      <c r="AN263" s="28" t="str">
        <f t="shared" si="10"/>
        <v/>
      </c>
      <c r="AO263" s="28" t="str">
        <f t="shared" si="11"/>
        <v/>
      </c>
      <c r="AP263" s="28" t="str">
        <f t="array" ref="AP263">IF($I263="","",IFS(C263="D",IF(OR(I263="NOT_READABLE",I263="BLURRY"),-AB263,0),C263="J",IFS(I263="RED_CLEARER",XLOOKUP("duochrome_red_step",Calibration!$B:$B,Calibration!$C:$C,-0.25),I263="GREEN_CLEARER",XLOOKUP("duochrome_green_step",Calibration!$B:$B,Calibration!$C:$C,0.25),I263="EQUAL",IF(XLOOKUP($B263,Derived_Variables!$A:$A,Derived_Variables!$S:$S,"Neutral")="Undercorrect",XLOOKUP("undercorrect_step",Calibration!$B:$B,Calibration!$C:$C,0.25),IF(XLOOKUP($B263,Derived_Variables!$A:$A,Derived_Variables!$S:$S,"Neutral")="Overcorrect",-XLOOKUP("overcorrect_step",Calibration!$B:$B,Calibration!$C:$C,0.25),0)),TRUE,0),C263="K",IF(I263="BOTTOM_CLEARER",XLOOKUP("bino_balance_step",Calibration!$B:$B,Calibration!$C:$C,0.25),0),TRUE,0))</f>
        <v/>
      </c>
      <c r="AQ263" s="28" t="str">
        <f t="shared" si="12"/>
        <v/>
      </c>
      <c r="AR263" s="28" t="str">
        <f t="shared" si="13"/>
        <v/>
      </c>
      <c r="AS263" s="28" t="str">
        <f t="array" ref="AS263">IF($I263="","",IF(C263="P",IF(OR(I263="NOT_READABLE",I263="BLURRY"),XLOOKUP("near_add_step",Calibration!$B:$B,Calibration!$C:$C,0.25),0),IF(C263="R",IF(I263="NOT_CLEAR",XLOOKUP("near_add_step",Calibration!$B:$B,Calibration!$C:$C,0.25),0),0)))</f>
        <v/>
      </c>
      <c r="AT263" s="28" t="str">
        <f t="array" ref="AT263">IF($I263="","",IF(C263="Q",IF(OR(I263="NOT_READABLE",I263="BLURRY"),XLOOKUP("near_add_step",Calibration!$B:$B,Calibration!$C:$C,0.25),0),IF(C263="R",IF(I263="NOT_CLEAR",XLOOKUP("near_add_step",Calibration!$B:$B,Calibration!$C:$C,0.25),0),0)))</f>
        <v/>
      </c>
      <c r="AU263" s="28" t="str">
        <f t="array" ref="AU263">IF($I263="","",IF(G263="SNELLEN_FEET",IF(I263="READABLE",IFERROR(XLOOKUP(XLOOKUP(R263,Chart_Scale_Distance!B:B,Chart_Scale_Distance!A:A)+1,Chart_Scale_Distance!A:A,Chart_Scale_Distance!B:B),R263),R263),R263))</f>
        <v/>
      </c>
      <c r="AV263" s="28" t="str">
        <f t="array" ref="AV263">IF($I262="","",IFERROR(XLOOKUP(R263,Chart_Scale_Distance!$B:$B,Chart_Scale_Distance!$A:$A,""),""))</f>
        <v/>
      </c>
      <c r="AW263" s="28" t="str">
        <f t="array" ref="AW263">IF($I262="","",IFERROR(XLOOKUP(AA263,Chart_Scale_Distance!$B:$B,Chart_Scale_Distance!$A:$A,""),""))</f>
        <v/>
      </c>
      <c r="AX263" s="28" t="str">
        <f t="shared" si="14"/>
        <v/>
      </c>
      <c r="AY263" s="28" t="str">
        <f t="shared" si="15"/>
        <v/>
      </c>
      <c r="AZ263" s="28" t="str">
        <f t="shared" si="16"/>
        <v/>
      </c>
      <c r="BA263" s="28" t="str">
        <f t="shared" si="17"/>
        <v/>
      </c>
      <c r="BB263" s="28" t="str">
        <f t="shared" si="18"/>
        <v/>
      </c>
      <c r="BC263" s="28" t="str">
        <f t="array" ref="BC263">IF($I263="","",LET(
conf,AI263,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duoMax,XLOOKUP($B263,Derived_Variables!$A:$A,Derived_Variables!$AI:$AI,4),
axisTol,XLOOKUP($B263,Derived_Variables!$A:$A,Derived_Variables!$W:$W,1),
maxStart,XLOOKUP($B263,Derived_Variables!$A:$A,Derived_Variables!$U:$U,1.25),
maxAR,XLOOKUP($B263,Derived_Variables!$A:$A,Derived_Variables!$V:$V,3),
anom,XLOOKUP($B263,Derived_Variables!$A:$A,Derived_Variables!$Z:$Z,FALSE),
reStart,XLOOKUP($B263,Derived_Variables!$A:$A,Derived_Variables!$K:$K,0),
leStart,XLOOKUP($B263,Derived_Variables!$A:$A,Derived_Variables!$N:$N,0),
reAR,XLOOKUP($B263,AR_Input!$A:$A,AR_Input!$B:$B,reStart),
leAR,XLOOKUP($B263,AR_Input!$A:$A,AR_Input!$E:$E,leStart),
reEsc,AND(anom,OR(ABS((S263+AM263)-reStart)&gt;maxStart,ABS((S263+AM263)-reAR)&gt;maxAR)),
leEsc,AND(anom,OR(ABS((V263+AP263)-leStart)&gt;maxStart,ABS((V263+AP263)-leAR)&gt;maxAR)),
phaseMax,IFS(
 AK263="Fast",
   IFS(
     OR(C263="B",C263="D"),XLOOKUP("timeout_coarse_fast",Calibration!$B:$B,Calibration!$C:$C,24),
     OR(C263="E",C263="F",C263="H",C263="I"),XLOOKUP("timeout_jcc_fast",Calibration!$B:$B,Calibration!$C:$C,10),
     OR(C263="G",C263="J"),XLOOKUP("timeout_duochrome_fast",Calibration!$B:$B,Calibration!$C:$C,8),
     C263="K",XLOOKUP("timeout_bino_fast",Calibration!$B:$B,Calibration!$C:$C,10),
     OR(C263="P",C263="Q",C263="R"),XLOOKUP("timeout_near_fast",Calibration!$B:$B,Calibration!$C:$C,16),
     TRUE,XLOOKUP("timeout_coarse_fast",Calibration!$B:$B,Calibration!$C:$C,24)
   ),
 AK263="Normal",
   IFS(
     OR(C263="B",C263="D"),XLOOKUP("timeout_coarse_normal",Calibration!$B:$B,Calibration!$C:$C,36),
     OR(C263="E",C263="F",C263="H",C263="I"),XLOOKUP("timeout_jcc_normal",Calibration!$B:$B,Calibration!$C:$C,14),
     OR(C263="G",C263="J"),XLOOKUP("timeout_duochrome_normal",Calibration!$B:$B,Calibration!$C:$C,10),
     C263="K",XLOOKUP("timeout_bino_normal",Calibration!$B:$B,Calibration!$C:$C,14),
     OR(C263="P",C263="Q",C263="R"),XLOOKUP("timeout_near_normal",Calibration!$B:$B,Calibration!$C:$C,22),
     TRUE,XLOOKUP("timeout_coarse_normal",Calibration!$B:$B,Calibration!$C:$C,36)
   ),
 TRUE,
   IFS(
     OR(C263="B",C263="D"),XLOOKUP("timeout_coarse_slow",Calibration!$B:$B,Calibration!$C:$C,48),
     OR(C263="E",C263="F",C263="H",C263="I"),XLOOKUP("timeout_jcc_slow",Calibration!$B:$B,Calibration!$C:$C,18),
     OR(C263="G",C263="J"),XLOOKUP("timeout_duochrome_slow",Calibration!$B:$B,Calibration!$C:$C,12),
     C263="K",XLOOKUP("timeout_bino_slow",Calibration!$B:$B,Calibration!$C:$C,18),
     OR(C263="P",C263="Q",C263="R"),XLOOKUP("timeout_near_slow",Calibration!$B:$B,Calibration!$C:$C,28),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AJ263=TRUE,"ESCALATE",
C263="A",
IF(OR(I263="NOT_READABLE",I263="BLURRY",AND(R263="20_20_20",I263="READABLE")),"B","A"),
C263="B",
IF(reEsc,"ESCALATE",IF(AY263&gt;=phaseMax,"ESCALATE",IF(AND(AV263&gt;=AW263,I263="READABLE"),"E","B"))),
C263="E",
IF(AY263&gt;=phaseMax,"ESCALATE",IF(OR(I263="SAME",I263="CANT_TELL",AD263&lt;axisTol),"F","E")),
C263="F",
IF(AY263&gt;=phaseMax,"ESCALATE",IF(AX263&gt;=powerSameN,"G","F")),
C263="G",
IF(AY263&gt;=phaseMax,"ESCALATE",IF(OR(AX263&gt;=duoEqualN,BB263&gt;=duoMax),"D","G")),
C263="D",
IF(leEsc,"ESCALATE",IF(AY263&gt;=phaseMax,"ESCALATE",IF(AND(AV263&gt;=AW263,I263="READABLE"),"H","D"))),
C263="H",
IF(AY263&gt;=phaseMax,"ESCALATE",IF(OR(I263="SAME",I263="CANT_TELL",AD263&lt;axisTol),"I","H")),
C263="I",
IF(AY263&gt;=phaseMax,"ESCALATE",IF(AX263&gt;=powerSameN,"J","I")),
C263="J",
IF(AY263&gt;=phaseMax,"ESCALATE",IF(OR(AX263&gt;=duoEqualN,BB263&gt;=duoMax),"K","J")),
C263="K",
IF(AY263&gt;=phaseMax,"ESCALATE",IF(AX263&gt;=binoSameN,IF(XLOOKUP($B263,Derived_Variables!$A:$A,Derived_Variables!$AJ:$AJ,FALSE)=TRUE,"P","END"),"K")),
C263="P",
IF(AY263&gt;=phaseMax,"ESCALATE",IF(OR(I263="READABLE",I263="SAME"),"Q","P")),
C263="Q",
IF(AY263&gt;=phaseMax,"ESCALATE",IF(OR(I263="READABLE",I263="SAME"),"R","Q")),
C263="R",
IF(AY263&gt;=phaseMax,"ESCALATE",IF(OR(I263=nearTarget,I263="SAME"),"END","R")),
TRUE,"END"
)))</f>
        <v/>
      </c>
      <c r="BD263" s="28" t="b">
        <f t="shared" si="19"/>
        <v>0</v>
      </c>
    </row>
    <row r="264" ht="15.75" customHeight="1">
      <c r="A264" s="28">
        <f t="shared" si="3"/>
        <v>263</v>
      </c>
      <c r="B264" s="28">
        <f t="shared" si="4"/>
        <v>6</v>
      </c>
      <c r="C264" s="28" t="str">
        <f t="shared" si="5"/>
        <v/>
      </c>
      <c r="D264" s="28" t="str">
        <f t="array" ref="D264">IF($I263="","",XLOOKUP(C264,FSM_State_Map!A:A,FSM_State_Map!B:B,""))</f>
        <v/>
      </c>
      <c r="E264" s="28" t="str">
        <f t="array" ref="E264">IF($I263="","",XLOOKUP(C264,FSM_State_Map!A:A,FSM_State_Map!C:C,""))</f>
        <v/>
      </c>
      <c r="F264" s="28" t="str">
        <f t="array" ref="F264">IF($I263="","",XLOOKUP(E264,Phase_UI_Map!A:A,Phase_UI_Map!B:B,""))</f>
        <v/>
      </c>
      <c r="G264" s="28" t="str">
        <f t="array" ref="G264">IF($I263="","",XLOOKUP(E264,Phase_UI_Map!A:A,Phase_UI_Map!C:C,""))</f>
        <v/>
      </c>
      <c r="H264" s="28" t="str">
        <f t="array" ref="H264">IF($I263="","",XLOOKUP(E264,Phase_UI_Map!A:A,Phase_UI_Map!D:D,""))</f>
        <v/>
      </c>
      <c r="I264" s="29"/>
      <c r="J264" s="28" t="str">
        <f>IFERROR(__xludf.DUMMYFUNCTION("IF($I263="""","""",IFERROR(INDEX(FILTER(Response_Lists!$B:$B,Response_Lists!$A:$A=$H264),1),""""))"),"")</f>
        <v/>
      </c>
      <c r="K264" s="28" t="str">
        <f>IFERROR(__xludf.DUMMYFUNCTION("IF($I263="""","""",IFERROR(INDEX(FILTER(Response_Lists!$B:$B,Response_Lists!$A:$A=$H264),2),""""))"),"")</f>
        <v/>
      </c>
      <c r="L264" s="28" t="str">
        <f>IFERROR(__xludf.DUMMYFUNCTION("IF($I263="""","""",IFERROR(INDEX(FILTER(Response_Lists!$B:$B,Response_Lists!$A:$A=$H264),3),""""))"),"")</f>
        <v/>
      </c>
      <c r="M264" s="28" t="str">
        <f>IFERROR(__xludf.DUMMYFUNCTION("IF($I263="""","""",IFERROR(INDEX(FILTER(Response_Lists!$B:$B,Response_Lists!$A:$A=$H264),4),""""))"),"")</f>
        <v/>
      </c>
      <c r="N264" s="28" t="str">
        <f>IFERROR(__xludf.DUMMYFUNCTION("IF($I263="""","""",IFERROR(INDEX(FILTER(Response_Lists!$B:$B,Response_Lists!$A:$A=$H264),5),""""))"),"")</f>
        <v/>
      </c>
      <c r="O264" s="28" t="str">
        <f>IFERROR(__xludf.DUMMYFUNCTION("IF($I263="""","""",IFERROR(INDEX(FILTER(Response_Lists!$B:$B,Response_Lists!$A:$A=$H264),6),""""))"),"")</f>
        <v/>
      </c>
      <c r="P264" s="28" t="str">
        <f t="shared" si="6"/>
        <v/>
      </c>
      <c r="Q264" s="28" t="str">
        <f t="array" ref="Q264">IF($I263="","",XLOOKUP(C264,FSM_State_Map!A:A,FSM_State_Map!D:D,""))</f>
        <v/>
      </c>
      <c r="R264" s="28" t="str">
        <f t="shared" si="7"/>
        <v/>
      </c>
      <c r="S264" s="28" t="str">
        <f t="array" ref="S264">IF($I263="","",
IF(
  AND(C264="B",C263&lt;&gt;"B"),
  XLOOKUP($B264,Derived_Variables!$A:$A,Derived_Variables!$K:$K,0)
  + XLOOKUP($B264,Derived_Variables!$A:$A,Derived_Variables!$AE:$AE,0),
  S263+AM263
))</f>
        <v/>
      </c>
      <c r="T264" s="28" t="str">
        <f t="shared" ref="T264:U264" si="538">IF($I263="","",T263+AN263)</f>
        <v/>
      </c>
      <c r="U264" s="28" t="str">
        <f t="shared" si="538"/>
        <v/>
      </c>
      <c r="V264" s="28" t="str">
        <f t="array" ref="V264">IF($I263="","",
IF(
  AND(C264="D",C263&lt;&gt;"D"),
  XLOOKUP($B264,Derived_Variables!$A:$A,Derived_Variables!$N:$N,0)
  + XLOOKUP($B264,Derived_Variables!$A:$A,Derived_Variables!$AE:$AE,0),
  V263+AP263
))</f>
        <v/>
      </c>
      <c r="W264" s="28" t="str">
        <f t="shared" ref="W264:X264" si="539">IF($I263="","",W263+AQ263)</f>
        <v/>
      </c>
      <c r="X264" s="28" t="str">
        <f t="shared" si="539"/>
        <v/>
      </c>
      <c r="Y264" s="28" t="str">
        <f t="array" ref="Y264">IF($I263="","",IF(AND(C264="P",C263&lt;&gt;"P"),IFERROR(XLOOKUP($B264,Lenso_Input!$A:$A,Lenso_Input!$E:$E,0),0),Y263+AS263))</f>
        <v/>
      </c>
      <c r="Z264" s="28" t="str">
        <f t="array" ref="Z264">IF($I263="","",IF(AND(C264="Q",C263&lt;&gt;"Q"),IFERROR(XLOOKUP($B264,Lenso_Input!$A:$A,Lenso_Input!$I:$I,0),0),Z263+AT263))</f>
        <v/>
      </c>
      <c r="AA264" s="28" t="str">
        <f t="array" ref="AA264">IF($I263="","",IF(XLOOKUP($B264,Derived_Variables!$A:$A,Derived_Variables!$R:$R,"6/6_target")="6/6_target","20_20_20","40_30_25"))</f>
        <v/>
      </c>
      <c r="AB264" s="28" t="str">
        <f t="array" ref="AB264">IF($I263="","",XLOOKUP(LOWER(XLOOKUP($B264,Derived_Variables!$A:$A,Derived_Variables!$T:$T,"Standard"))&amp;"_sph_step",Calibration!$B:$B,Calibration!$C:$C,0.25))</f>
        <v/>
      </c>
      <c r="AC264" s="28" t="str">
        <f t="array" ref="AC264">IF($I263="","",XLOOKUP(LOWER(XLOOKUP($B264,Derived_Variables!$A:$A,Derived_Variables!$T:$T,"Standard"))&amp;"_cyl_step",Calibration!$B:$B,Calibration!$C:$C,0.25))</f>
        <v/>
      </c>
      <c r="AD264" s="28" t="str">
        <f t="array" ref="AD264">IF($I263="","",IF(OR(C264="E",C264="H"),LET(startStep,XLOOKUP("axis_start_step",Calibration!$B:$B,Calibration!$C:$C,5),step1,XLOOKUP("axis_reversal_step_1",Calibration!$B:$B,Calibration!$C:$C,3),step2,XLOOKUP("axis_reversal_step_2",Calibration!$B:$B,Calibration!$C:$C,1),IF(OR(C263&lt;&gt;C264,AZ264="",AZ264="SAME",AZ264="CANT_TELL",I264="",I264="SAME",I264="CANT_TELL"),startStep,IF(OR(AND(AZ264="BETTER_1",I264="BETTER_2"),AND(AZ264="BETTER_2",I264="BETTER_1")),IF(AD263&gt;step1,step1,step2),AD263))),0))</f>
        <v/>
      </c>
      <c r="AE264" s="28" t="str">
        <f t="array" ref="AE264">IF($I263="","",XLOOKUP($B264,Derived_Variables!$A:$A,Derived_Variables!$AD:$AD,"No_Fog"))</f>
        <v/>
      </c>
      <c r="AF264" s="28" t="str">
        <f t="array" ref="AF264">IF($I263="","",XLOOKUP($B264,Derived_Variables!$A:$A,Derived_Variables!$AE:$AE,0))</f>
        <v/>
      </c>
      <c r="AG264" s="28" t="str">
        <f t="array" ref="AG264">IF($I263="","",XLOOKUP($B264,Derived_Variables!$A:$A,Derived_Variables!$AF:$AF,""))</f>
        <v/>
      </c>
      <c r="AH264" s="28" t="str">
        <f t="array" ref="AH264">IF($I263="","",XLOOKUP($B264,Derived_Variables!$A:$A,Derived_Variables!$AG:$AG,""))</f>
        <v/>
      </c>
      <c r="AI264" s="28" t="str">
        <f t="array" ref="AI264">IF($I263="","",XLOOKUP($B264,Derived_Variables!$A:$A,Derived_Variables!$AC:$AC,"Medium"))</f>
        <v/>
      </c>
      <c r="AJ264" s="28" t="str">
        <f t="array" ref="AJ264">IF($I263="","",XLOOKUP($B264,Derived_Variables!$A:$A,Derived_Variables!$Y:$Y,FALSE))</f>
        <v/>
      </c>
      <c r="AK264" s="28" t="str">
        <f t="array" ref="AK264">IF($I263="","",XLOOKUP($B264,Derived_Variables!$A:$A,Derived_Variables!$AA:$AA,"Normal"))</f>
        <v/>
      </c>
      <c r="AL264" s="28" t="str">
        <f t="array" ref="AL264">IF($I263="","",XLOOKUP($B264,Derived_Variables!$A:$A,Derived_Variables!$AB:$AB,"Normal"))</f>
        <v/>
      </c>
      <c r="AM264" s="28" t="str">
        <f t="array" ref="AM264">IF($I264="","",IFS(C264="B",IF(OR(I264="NOT_READABLE",I264="BLURRY"),-AB264,0),C264="G",IFS(I264="RED_CLEARER",XLOOKUP("duochrome_red_step",Calibration!$B:$B,Calibration!$C:$C,-0.25),I264="GREEN_CLEARER",XLOOKUP("duochrome_green_step",Calibration!$B:$B,Calibration!$C:$C,0.25),I264="EQUAL",IF(XLOOKUP($B264,Derived_Variables!$A:$A,Derived_Variables!$S:$S,"Neutral")="Undercorrect",XLOOKUP("undercorrect_step",Calibration!$B:$B,Calibration!$C:$C,0.25),IF(XLOOKUP($B264,Derived_Variables!$A:$A,Derived_Variables!$S:$S,"Neutral")="Overcorrect",-XLOOKUP("overcorrect_step",Calibration!$B:$B,Calibration!$C:$C,0.25),0)),TRUE,0),C264="K",IF(I264="TOP_CLEARER",XLOOKUP("bino_balance_step",Calibration!$B:$B,Calibration!$C:$C,0.25),0),TRUE,0))</f>
        <v/>
      </c>
      <c r="AN264" s="28" t="str">
        <f t="shared" si="10"/>
        <v/>
      </c>
      <c r="AO264" s="28" t="str">
        <f t="shared" si="11"/>
        <v/>
      </c>
      <c r="AP264" s="28" t="str">
        <f t="array" ref="AP264">IF($I264="","",IFS(C264="D",IF(OR(I264="NOT_READABLE",I264="BLURRY"),-AB264,0),C264="J",IFS(I264="RED_CLEARER",XLOOKUP("duochrome_red_step",Calibration!$B:$B,Calibration!$C:$C,-0.25),I264="GREEN_CLEARER",XLOOKUP("duochrome_green_step",Calibration!$B:$B,Calibration!$C:$C,0.25),I264="EQUAL",IF(XLOOKUP($B264,Derived_Variables!$A:$A,Derived_Variables!$S:$S,"Neutral")="Undercorrect",XLOOKUP("undercorrect_step",Calibration!$B:$B,Calibration!$C:$C,0.25),IF(XLOOKUP($B264,Derived_Variables!$A:$A,Derived_Variables!$S:$S,"Neutral")="Overcorrect",-XLOOKUP("overcorrect_step",Calibration!$B:$B,Calibration!$C:$C,0.25),0)),TRUE,0),C264="K",IF(I264="BOTTOM_CLEARER",XLOOKUP("bino_balance_step",Calibration!$B:$B,Calibration!$C:$C,0.25),0),TRUE,0))</f>
        <v/>
      </c>
      <c r="AQ264" s="28" t="str">
        <f t="shared" si="12"/>
        <v/>
      </c>
      <c r="AR264" s="28" t="str">
        <f t="shared" si="13"/>
        <v/>
      </c>
      <c r="AS264" s="28" t="str">
        <f t="array" ref="AS264">IF($I264="","",IF(C264="P",IF(OR(I264="NOT_READABLE",I264="BLURRY"),XLOOKUP("near_add_step",Calibration!$B:$B,Calibration!$C:$C,0.25),0),IF(C264="R",IF(I264="NOT_CLEAR",XLOOKUP("near_add_step",Calibration!$B:$B,Calibration!$C:$C,0.25),0),0)))</f>
        <v/>
      </c>
      <c r="AT264" s="28" t="str">
        <f t="array" ref="AT264">IF($I264="","",IF(C264="Q",IF(OR(I264="NOT_READABLE",I264="BLURRY"),XLOOKUP("near_add_step",Calibration!$B:$B,Calibration!$C:$C,0.25),0),IF(C264="R",IF(I264="NOT_CLEAR",XLOOKUP("near_add_step",Calibration!$B:$B,Calibration!$C:$C,0.25),0),0)))</f>
        <v/>
      </c>
      <c r="AU264" s="28" t="str">
        <f t="array" ref="AU264">IF($I264="","",IF(G264="SNELLEN_FEET",IF(I264="READABLE",IFERROR(XLOOKUP(XLOOKUP(R264,Chart_Scale_Distance!B:B,Chart_Scale_Distance!A:A)+1,Chart_Scale_Distance!A:A,Chart_Scale_Distance!B:B),R264),R264),R264))</f>
        <v/>
      </c>
      <c r="AV264" s="28" t="str">
        <f t="array" ref="AV264">IF($I263="","",IFERROR(XLOOKUP(R264,Chart_Scale_Distance!$B:$B,Chart_Scale_Distance!$A:$A,""),""))</f>
        <v/>
      </c>
      <c r="AW264" s="28" t="str">
        <f t="array" ref="AW264">IF($I263="","",IFERROR(XLOOKUP(AA264,Chart_Scale_Distance!$B:$B,Chart_Scale_Distance!$A:$A,""),""))</f>
        <v/>
      </c>
      <c r="AX264" s="28" t="str">
        <f t="shared" si="14"/>
        <v/>
      </c>
      <c r="AY264" s="28" t="str">
        <f t="shared" si="15"/>
        <v/>
      </c>
      <c r="AZ264" s="28" t="str">
        <f t="shared" si="16"/>
        <v/>
      </c>
      <c r="BA264" s="28" t="str">
        <f t="shared" si="17"/>
        <v/>
      </c>
      <c r="BB264" s="28" t="str">
        <f t="shared" si="18"/>
        <v/>
      </c>
      <c r="BC264" s="28" t="str">
        <f t="array" ref="BC264">IF($I264="","",LET(
conf,AI264,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duoMax,XLOOKUP($B264,Derived_Variables!$A:$A,Derived_Variables!$AI:$AI,4),
axisTol,XLOOKUP($B264,Derived_Variables!$A:$A,Derived_Variables!$W:$W,1),
maxStart,XLOOKUP($B264,Derived_Variables!$A:$A,Derived_Variables!$U:$U,1.25),
maxAR,XLOOKUP($B264,Derived_Variables!$A:$A,Derived_Variables!$V:$V,3),
anom,XLOOKUP($B264,Derived_Variables!$A:$A,Derived_Variables!$Z:$Z,FALSE),
reStart,XLOOKUP($B264,Derived_Variables!$A:$A,Derived_Variables!$K:$K,0),
leStart,XLOOKUP($B264,Derived_Variables!$A:$A,Derived_Variables!$N:$N,0),
reAR,XLOOKUP($B264,AR_Input!$A:$A,AR_Input!$B:$B,reStart),
leAR,XLOOKUP($B264,AR_Input!$A:$A,AR_Input!$E:$E,leStart),
reEsc,AND(anom,OR(ABS((S264+AM264)-reStart)&gt;maxStart,ABS((S264+AM264)-reAR)&gt;maxAR)),
leEsc,AND(anom,OR(ABS((V264+AP264)-leStart)&gt;maxStart,ABS((V264+AP264)-leAR)&gt;maxAR)),
phaseMax,IFS(
 AK264="Fast",
   IFS(
     OR(C264="B",C264="D"),XLOOKUP("timeout_coarse_fast",Calibration!$B:$B,Calibration!$C:$C,24),
     OR(C264="E",C264="F",C264="H",C264="I"),XLOOKUP("timeout_jcc_fast",Calibration!$B:$B,Calibration!$C:$C,10),
     OR(C264="G",C264="J"),XLOOKUP("timeout_duochrome_fast",Calibration!$B:$B,Calibration!$C:$C,8),
     C264="K",XLOOKUP("timeout_bino_fast",Calibration!$B:$B,Calibration!$C:$C,10),
     OR(C264="P",C264="Q",C264="R"),XLOOKUP("timeout_near_fast",Calibration!$B:$B,Calibration!$C:$C,16),
     TRUE,XLOOKUP("timeout_coarse_fast",Calibration!$B:$B,Calibration!$C:$C,24)
   ),
 AK264="Normal",
   IFS(
     OR(C264="B",C264="D"),XLOOKUP("timeout_coarse_normal",Calibration!$B:$B,Calibration!$C:$C,36),
     OR(C264="E",C264="F",C264="H",C264="I"),XLOOKUP("timeout_jcc_normal",Calibration!$B:$B,Calibration!$C:$C,14),
     OR(C264="G",C264="J"),XLOOKUP("timeout_duochrome_normal",Calibration!$B:$B,Calibration!$C:$C,10),
     C264="K",XLOOKUP("timeout_bino_normal",Calibration!$B:$B,Calibration!$C:$C,14),
     OR(C264="P",C264="Q",C264="R"),XLOOKUP("timeout_near_normal",Calibration!$B:$B,Calibration!$C:$C,22),
     TRUE,XLOOKUP("timeout_coarse_normal",Calibration!$B:$B,Calibration!$C:$C,36)
   ),
 TRUE,
   IFS(
     OR(C264="B",C264="D"),XLOOKUP("timeout_coarse_slow",Calibration!$B:$B,Calibration!$C:$C,48),
     OR(C264="E",C264="F",C264="H",C264="I"),XLOOKUP("timeout_jcc_slow",Calibration!$B:$B,Calibration!$C:$C,18),
     OR(C264="G",C264="J"),XLOOKUP("timeout_duochrome_slow",Calibration!$B:$B,Calibration!$C:$C,12),
     C264="K",XLOOKUP("timeout_bino_slow",Calibration!$B:$B,Calibration!$C:$C,18),
     OR(C264="P",C264="Q",C264="R"),XLOOKUP("timeout_near_slow",Calibration!$B:$B,Calibration!$C:$C,28),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AJ264=TRUE,"ESCALATE",
C264="A",
IF(OR(I264="NOT_READABLE",I264="BLURRY",AND(R264="20_20_20",I264="READABLE")),"B","A"),
C264="B",
IF(reEsc,"ESCALATE",IF(AY264&gt;=phaseMax,"ESCALATE",IF(AND(AV264&gt;=AW264,I264="READABLE"),"E","B"))),
C264="E",
IF(AY264&gt;=phaseMax,"ESCALATE",IF(OR(I264="SAME",I264="CANT_TELL",AD264&lt;axisTol),"F","E")),
C264="F",
IF(AY264&gt;=phaseMax,"ESCALATE",IF(AX264&gt;=powerSameN,"G","F")),
C264="G",
IF(AY264&gt;=phaseMax,"ESCALATE",IF(OR(AX264&gt;=duoEqualN,BB264&gt;=duoMax),"D","G")),
C264="D",
IF(leEsc,"ESCALATE",IF(AY264&gt;=phaseMax,"ESCALATE",IF(AND(AV264&gt;=AW264,I264="READABLE"),"H","D"))),
C264="H",
IF(AY264&gt;=phaseMax,"ESCALATE",IF(OR(I264="SAME",I264="CANT_TELL",AD264&lt;axisTol),"I","H")),
C264="I",
IF(AY264&gt;=phaseMax,"ESCALATE",IF(AX264&gt;=powerSameN,"J","I")),
C264="J",
IF(AY264&gt;=phaseMax,"ESCALATE",IF(OR(AX264&gt;=duoEqualN,BB264&gt;=duoMax),"K","J")),
C264="K",
IF(AY264&gt;=phaseMax,"ESCALATE",IF(AX264&gt;=binoSameN,IF(XLOOKUP($B264,Derived_Variables!$A:$A,Derived_Variables!$AJ:$AJ,FALSE)=TRUE,"P","END"),"K")),
C264="P",
IF(AY264&gt;=phaseMax,"ESCALATE",IF(OR(I264="READABLE",I264="SAME"),"Q","P")),
C264="Q",
IF(AY264&gt;=phaseMax,"ESCALATE",IF(OR(I264="READABLE",I264="SAME"),"R","Q")),
C264="R",
IF(AY264&gt;=phaseMax,"ESCALATE",IF(OR(I264=nearTarget,I264="SAME"),"END","R")),
TRUE,"END"
)))</f>
        <v/>
      </c>
      <c r="BD264" s="28" t="b">
        <f t="shared" si="19"/>
        <v>0</v>
      </c>
    </row>
    <row r="265" ht="15.75" customHeight="1">
      <c r="A265" s="28">
        <f t="shared" si="3"/>
        <v>264</v>
      </c>
      <c r="B265" s="28">
        <f t="shared" si="4"/>
        <v>6</v>
      </c>
      <c r="C265" s="28" t="str">
        <f t="shared" si="5"/>
        <v/>
      </c>
      <c r="D265" s="28" t="str">
        <f t="array" ref="D265">IF($I264="","",XLOOKUP(C265,FSM_State_Map!A:A,FSM_State_Map!B:B,""))</f>
        <v/>
      </c>
      <c r="E265" s="28" t="str">
        <f t="array" ref="E265">IF($I264="","",XLOOKUP(C265,FSM_State_Map!A:A,FSM_State_Map!C:C,""))</f>
        <v/>
      </c>
      <c r="F265" s="28" t="str">
        <f t="array" ref="F265">IF($I264="","",XLOOKUP(E265,Phase_UI_Map!A:A,Phase_UI_Map!B:B,""))</f>
        <v/>
      </c>
      <c r="G265" s="28" t="str">
        <f t="array" ref="G265">IF($I264="","",XLOOKUP(E265,Phase_UI_Map!A:A,Phase_UI_Map!C:C,""))</f>
        <v/>
      </c>
      <c r="H265" s="28" t="str">
        <f t="array" ref="H265">IF($I264="","",XLOOKUP(E265,Phase_UI_Map!A:A,Phase_UI_Map!D:D,""))</f>
        <v/>
      </c>
      <c r="I265" s="29"/>
      <c r="J265" s="28" t="str">
        <f>IFERROR(__xludf.DUMMYFUNCTION("IF($I264="""","""",IFERROR(INDEX(FILTER(Response_Lists!$B:$B,Response_Lists!$A:$A=$H265),1),""""))"),"")</f>
        <v/>
      </c>
      <c r="K265" s="28" t="str">
        <f>IFERROR(__xludf.DUMMYFUNCTION("IF($I264="""","""",IFERROR(INDEX(FILTER(Response_Lists!$B:$B,Response_Lists!$A:$A=$H265),2),""""))"),"")</f>
        <v/>
      </c>
      <c r="L265" s="28" t="str">
        <f>IFERROR(__xludf.DUMMYFUNCTION("IF($I264="""","""",IFERROR(INDEX(FILTER(Response_Lists!$B:$B,Response_Lists!$A:$A=$H265),3),""""))"),"")</f>
        <v/>
      </c>
      <c r="M265" s="28" t="str">
        <f>IFERROR(__xludf.DUMMYFUNCTION("IF($I264="""","""",IFERROR(INDEX(FILTER(Response_Lists!$B:$B,Response_Lists!$A:$A=$H265),4),""""))"),"")</f>
        <v/>
      </c>
      <c r="N265" s="28" t="str">
        <f>IFERROR(__xludf.DUMMYFUNCTION("IF($I264="""","""",IFERROR(INDEX(FILTER(Response_Lists!$B:$B,Response_Lists!$A:$A=$H265),5),""""))"),"")</f>
        <v/>
      </c>
      <c r="O265" s="28" t="str">
        <f>IFERROR(__xludf.DUMMYFUNCTION("IF($I264="""","""",IFERROR(INDEX(FILTER(Response_Lists!$B:$B,Response_Lists!$A:$A=$H265),6),""""))"),"")</f>
        <v/>
      </c>
      <c r="P265" s="28" t="str">
        <f t="shared" si="6"/>
        <v/>
      </c>
      <c r="Q265" s="28" t="str">
        <f t="array" ref="Q265">IF($I264="","",XLOOKUP(C265,FSM_State_Map!A:A,FSM_State_Map!D:D,""))</f>
        <v/>
      </c>
      <c r="R265" s="28" t="str">
        <f t="shared" si="7"/>
        <v/>
      </c>
      <c r="S265" s="28" t="str">
        <f t="array" ref="S265">IF($I264="","",
IF(
  AND(C265="B",C264&lt;&gt;"B"),
  XLOOKUP($B265,Derived_Variables!$A:$A,Derived_Variables!$K:$K,0)
  + XLOOKUP($B265,Derived_Variables!$A:$A,Derived_Variables!$AE:$AE,0),
  S264+AM264
))</f>
        <v/>
      </c>
      <c r="T265" s="28" t="str">
        <f t="shared" ref="T265:U265" si="540">IF($I264="","",T264+AN264)</f>
        <v/>
      </c>
      <c r="U265" s="28" t="str">
        <f t="shared" si="540"/>
        <v/>
      </c>
      <c r="V265" s="28" t="str">
        <f t="array" ref="V265">IF($I264="","",
IF(
  AND(C265="D",C264&lt;&gt;"D"),
  XLOOKUP($B265,Derived_Variables!$A:$A,Derived_Variables!$N:$N,0)
  + XLOOKUP($B265,Derived_Variables!$A:$A,Derived_Variables!$AE:$AE,0),
  V264+AP264
))</f>
        <v/>
      </c>
      <c r="W265" s="28" t="str">
        <f t="shared" ref="W265:X265" si="541">IF($I264="","",W264+AQ264)</f>
        <v/>
      </c>
      <c r="X265" s="28" t="str">
        <f t="shared" si="541"/>
        <v/>
      </c>
      <c r="Y265" s="28" t="str">
        <f t="array" ref="Y265">IF($I264="","",IF(AND(C265="P",C264&lt;&gt;"P"),IFERROR(XLOOKUP($B265,Lenso_Input!$A:$A,Lenso_Input!$E:$E,0),0),Y264+AS264))</f>
        <v/>
      </c>
      <c r="Z265" s="28" t="str">
        <f t="array" ref="Z265">IF($I264="","",IF(AND(C265="Q",C264&lt;&gt;"Q"),IFERROR(XLOOKUP($B265,Lenso_Input!$A:$A,Lenso_Input!$I:$I,0),0),Z264+AT264))</f>
        <v/>
      </c>
      <c r="AA265" s="28" t="str">
        <f t="array" ref="AA265">IF($I264="","",IF(XLOOKUP($B265,Derived_Variables!$A:$A,Derived_Variables!$R:$R,"6/6_target")="6/6_target","20_20_20","40_30_25"))</f>
        <v/>
      </c>
      <c r="AB265" s="28" t="str">
        <f t="array" ref="AB265">IF($I264="","",XLOOKUP(LOWER(XLOOKUP($B265,Derived_Variables!$A:$A,Derived_Variables!$T:$T,"Standard"))&amp;"_sph_step",Calibration!$B:$B,Calibration!$C:$C,0.25))</f>
        <v/>
      </c>
      <c r="AC265" s="28" t="str">
        <f t="array" ref="AC265">IF($I264="","",XLOOKUP(LOWER(XLOOKUP($B265,Derived_Variables!$A:$A,Derived_Variables!$T:$T,"Standard"))&amp;"_cyl_step",Calibration!$B:$B,Calibration!$C:$C,0.25))</f>
        <v/>
      </c>
      <c r="AD265" s="28" t="str">
        <f t="array" ref="AD265">IF($I264="","",IF(OR(C265="E",C265="H"),LET(startStep,XLOOKUP("axis_start_step",Calibration!$B:$B,Calibration!$C:$C,5),step1,XLOOKUP("axis_reversal_step_1",Calibration!$B:$B,Calibration!$C:$C,3),step2,XLOOKUP("axis_reversal_step_2",Calibration!$B:$B,Calibration!$C:$C,1),IF(OR(C264&lt;&gt;C265,AZ265="",AZ265="SAME",AZ265="CANT_TELL",I265="",I265="SAME",I265="CANT_TELL"),startStep,IF(OR(AND(AZ265="BETTER_1",I265="BETTER_2"),AND(AZ265="BETTER_2",I265="BETTER_1")),IF(AD264&gt;step1,step1,step2),AD264))),0))</f>
        <v/>
      </c>
      <c r="AE265" s="28" t="str">
        <f t="array" ref="AE265">IF($I264="","",XLOOKUP($B265,Derived_Variables!$A:$A,Derived_Variables!$AD:$AD,"No_Fog"))</f>
        <v/>
      </c>
      <c r="AF265" s="28" t="str">
        <f t="array" ref="AF265">IF($I264="","",XLOOKUP($B265,Derived_Variables!$A:$A,Derived_Variables!$AE:$AE,0))</f>
        <v/>
      </c>
      <c r="AG265" s="28" t="str">
        <f t="array" ref="AG265">IF($I264="","",XLOOKUP($B265,Derived_Variables!$A:$A,Derived_Variables!$AF:$AF,""))</f>
        <v/>
      </c>
      <c r="AH265" s="28" t="str">
        <f t="array" ref="AH265">IF($I264="","",XLOOKUP($B265,Derived_Variables!$A:$A,Derived_Variables!$AG:$AG,""))</f>
        <v/>
      </c>
      <c r="AI265" s="28" t="str">
        <f t="array" ref="AI265">IF($I264="","",XLOOKUP($B265,Derived_Variables!$A:$A,Derived_Variables!$AC:$AC,"Medium"))</f>
        <v/>
      </c>
      <c r="AJ265" s="28" t="str">
        <f t="array" ref="AJ265">IF($I264="","",XLOOKUP($B265,Derived_Variables!$A:$A,Derived_Variables!$Y:$Y,FALSE))</f>
        <v/>
      </c>
      <c r="AK265" s="28" t="str">
        <f t="array" ref="AK265">IF($I264="","",XLOOKUP($B265,Derived_Variables!$A:$A,Derived_Variables!$AA:$AA,"Normal"))</f>
        <v/>
      </c>
      <c r="AL265" s="28" t="str">
        <f t="array" ref="AL265">IF($I264="","",XLOOKUP($B265,Derived_Variables!$A:$A,Derived_Variables!$AB:$AB,"Normal"))</f>
        <v/>
      </c>
      <c r="AM265" s="28" t="str">
        <f t="array" ref="AM265">IF($I265="","",IFS(C265="B",IF(OR(I265="NOT_READABLE",I265="BLURRY"),-AB265,0),C265="G",IFS(I265="RED_CLEARER",XLOOKUP("duochrome_red_step",Calibration!$B:$B,Calibration!$C:$C,-0.25),I265="GREEN_CLEARER",XLOOKUP("duochrome_green_step",Calibration!$B:$B,Calibration!$C:$C,0.25),I265="EQUAL",IF(XLOOKUP($B265,Derived_Variables!$A:$A,Derived_Variables!$S:$S,"Neutral")="Undercorrect",XLOOKUP("undercorrect_step",Calibration!$B:$B,Calibration!$C:$C,0.25),IF(XLOOKUP($B265,Derived_Variables!$A:$A,Derived_Variables!$S:$S,"Neutral")="Overcorrect",-XLOOKUP("overcorrect_step",Calibration!$B:$B,Calibration!$C:$C,0.25),0)),TRUE,0),C265="K",IF(I265="TOP_CLEARER",XLOOKUP("bino_balance_step",Calibration!$B:$B,Calibration!$C:$C,0.25),0),TRUE,0))</f>
        <v/>
      </c>
      <c r="AN265" s="28" t="str">
        <f t="shared" si="10"/>
        <v/>
      </c>
      <c r="AO265" s="28" t="str">
        <f t="shared" si="11"/>
        <v/>
      </c>
      <c r="AP265" s="28" t="str">
        <f t="array" ref="AP265">IF($I265="","",IFS(C265="D",IF(OR(I265="NOT_READABLE",I265="BLURRY"),-AB265,0),C265="J",IFS(I265="RED_CLEARER",XLOOKUP("duochrome_red_step",Calibration!$B:$B,Calibration!$C:$C,-0.25),I265="GREEN_CLEARER",XLOOKUP("duochrome_green_step",Calibration!$B:$B,Calibration!$C:$C,0.25),I265="EQUAL",IF(XLOOKUP($B265,Derived_Variables!$A:$A,Derived_Variables!$S:$S,"Neutral")="Undercorrect",XLOOKUP("undercorrect_step",Calibration!$B:$B,Calibration!$C:$C,0.25),IF(XLOOKUP($B265,Derived_Variables!$A:$A,Derived_Variables!$S:$S,"Neutral")="Overcorrect",-XLOOKUP("overcorrect_step",Calibration!$B:$B,Calibration!$C:$C,0.25),0)),TRUE,0),C265="K",IF(I265="BOTTOM_CLEARER",XLOOKUP("bino_balance_step",Calibration!$B:$B,Calibration!$C:$C,0.25),0),TRUE,0))</f>
        <v/>
      </c>
      <c r="AQ265" s="28" t="str">
        <f t="shared" si="12"/>
        <v/>
      </c>
      <c r="AR265" s="28" t="str">
        <f t="shared" si="13"/>
        <v/>
      </c>
      <c r="AS265" s="28" t="str">
        <f t="array" ref="AS265">IF($I265="","",IF(C265="P",IF(OR(I265="NOT_READABLE",I265="BLURRY"),XLOOKUP("near_add_step",Calibration!$B:$B,Calibration!$C:$C,0.25),0),IF(C265="R",IF(I265="NOT_CLEAR",XLOOKUP("near_add_step",Calibration!$B:$B,Calibration!$C:$C,0.25),0),0)))</f>
        <v/>
      </c>
      <c r="AT265" s="28" t="str">
        <f t="array" ref="AT265">IF($I265="","",IF(C265="Q",IF(OR(I265="NOT_READABLE",I265="BLURRY"),XLOOKUP("near_add_step",Calibration!$B:$B,Calibration!$C:$C,0.25),0),IF(C265="R",IF(I265="NOT_CLEAR",XLOOKUP("near_add_step",Calibration!$B:$B,Calibration!$C:$C,0.25),0),0)))</f>
        <v/>
      </c>
      <c r="AU265" s="28" t="str">
        <f t="array" ref="AU265">IF($I265="","",IF(G265="SNELLEN_FEET",IF(I265="READABLE",IFERROR(XLOOKUP(XLOOKUP(R265,Chart_Scale_Distance!B:B,Chart_Scale_Distance!A:A)+1,Chart_Scale_Distance!A:A,Chart_Scale_Distance!B:B),R265),R265),R265))</f>
        <v/>
      </c>
      <c r="AV265" s="28" t="str">
        <f t="array" ref="AV265">IF($I264="","",IFERROR(XLOOKUP(R265,Chart_Scale_Distance!$B:$B,Chart_Scale_Distance!$A:$A,""),""))</f>
        <v/>
      </c>
      <c r="AW265" s="28" t="str">
        <f t="array" ref="AW265">IF($I264="","",IFERROR(XLOOKUP(AA265,Chart_Scale_Distance!$B:$B,Chart_Scale_Distance!$A:$A,""),""))</f>
        <v/>
      </c>
      <c r="AX265" s="28" t="str">
        <f t="shared" si="14"/>
        <v/>
      </c>
      <c r="AY265" s="28" t="str">
        <f t="shared" si="15"/>
        <v/>
      </c>
      <c r="AZ265" s="28" t="str">
        <f t="shared" si="16"/>
        <v/>
      </c>
      <c r="BA265" s="28" t="str">
        <f t="shared" si="17"/>
        <v/>
      </c>
      <c r="BB265" s="28" t="str">
        <f t="shared" si="18"/>
        <v/>
      </c>
      <c r="BC265" s="28" t="str">
        <f t="array" ref="BC265">IF($I265="","",LET(
conf,AI265,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duoMax,XLOOKUP($B265,Derived_Variables!$A:$A,Derived_Variables!$AI:$AI,4),
axisTol,XLOOKUP($B265,Derived_Variables!$A:$A,Derived_Variables!$W:$W,1),
maxStart,XLOOKUP($B265,Derived_Variables!$A:$A,Derived_Variables!$U:$U,1.25),
maxAR,XLOOKUP($B265,Derived_Variables!$A:$A,Derived_Variables!$V:$V,3),
anom,XLOOKUP($B265,Derived_Variables!$A:$A,Derived_Variables!$Z:$Z,FALSE),
reStart,XLOOKUP($B265,Derived_Variables!$A:$A,Derived_Variables!$K:$K,0),
leStart,XLOOKUP($B265,Derived_Variables!$A:$A,Derived_Variables!$N:$N,0),
reAR,XLOOKUP($B265,AR_Input!$A:$A,AR_Input!$B:$B,reStart),
leAR,XLOOKUP($B265,AR_Input!$A:$A,AR_Input!$E:$E,leStart),
reEsc,AND(anom,OR(ABS((S265+AM265)-reStart)&gt;maxStart,ABS((S265+AM265)-reAR)&gt;maxAR)),
leEsc,AND(anom,OR(ABS((V265+AP265)-leStart)&gt;maxStart,ABS((V265+AP265)-leAR)&gt;maxAR)),
phaseMax,IFS(
 AK265="Fast",
   IFS(
     OR(C265="B",C265="D"),XLOOKUP("timeout_coarse_fast",Calibration!$B:$B,Calibration!$C:$C,24),
     OR(C265="E",C265="F",C265="H",C265="I"),XLOOKUP("timeout_jcc_fast",Calibration!$B:$B,Calibration!$C:$C,10),
     OR(C265="G",C265="J"),XLOOKUP("timeout_duochrome_fast",Calibration!$B:$B,Calibration!$C:$C,8),
     C265="K",XLOOKUP("timeout_bino_fast",Calibration!$B:$B,Calibration!$C:$C,10),
     OR(C265="P",C265="Q",C265="R"),XLOOKUP("timeout_near_fast",Calibration!$B:$B,Calibration!$C:$C,16),
     TRUE,XLOOKUP("timeout_coarse_fast",Calibration!$B:$B,Calibration!$C:$C,24)
   ),
 AK265="Normal",
   IFS(
     OR(C265="B",C265="D"),XLOOKUP("timeout_coarse_normal",Calibration!$B:$B,Calibration!$C:$C,36),
     OR(C265="E",C265="F",C265="H",C265="I"),XLOOKUP("timeout_jcc_normal",Calibration!$B:$B,Calibration!$C:$C,14),
     OR(C265="G",C265="J"),XLOOKUP("timeout_duochrome_normal",Calibration!$B:$B,Calibration!$C:$C,10),
     C265="K",XLOOKUP("timeout_bino_normal",Calibration!$B:$B,Calibration!$C:$C,14),
     OR(C265="P",C265="Q",C265="R"),XLOOKUP("timeout_near_normal",Calibration!$B:$B,Calibration!$C:$C,22),
     TRUE,XLOOKUP("timeout_coarse_normal",Calibration!$B:$B,Calibration!$C:$C,36)
   ),
 TRUE,
   IFS(
     OR(C265="B",C265="D"),XLOOKUP("timeout_coarse_slow",Calibration!$B:$B,Calibration!$C:$C,48),
     OR(C265="E",C265="F",C265="H",C265="I"),XLOOKUP("timeout_jcc_slow",Calibration!$B:$B,Calibration!$C:$C,18),
     OR(C265="G",C265="J"),XLOOKUP("timeout_duochrome_slow",Calibration!$B:$B,Calibration!$C:$C,12),
     C265="K",XLOOKUP("timeout_bino_slow",Calibration!$B:$B,Calibration!$C:$C,18),
     OR(C265="P",C265="Q",C265="R"),XLOOKUP("timeout_near_slow",Calibration!$B:$B,Calibration!$C:$C,28),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AJ265=TRUE,"ESCALATE",
C265="A",
IF(OR(I265="NOT_READABLE",I265="BLURRY",AND(R265="20_20_20",I265="READABLE")),"B","A"),
C265="B",
IF(reEsc,"ESCALATE",IF(AY265&gt;=phaseMax,"ESCALATE",IF(AND(AV265&gt;=AW265,I265="READABLE"),"E","B"))),
C265="E",
IF(AY265&gt;=phaseMax,"ESCALATE",IF(OR(I265="SAME",I265="CANT_TELL",AD265&lt;axisTol),"F","E")),
C265="F",
IF(AY265&gt;=phaseMax,"ESCALATE",IF(AX265&gt;=powerSameN,"G","F")),
C265="G",
IF(AY265&gt;=phaseMax,"ESCALATE",IF(OR(AX265&gt;=duoEqualN,BB265&gt;=duoMax),"D","G")),
C265="D",
IF(leEsc,"ESCALATE",IF(AY265&gt;=phaseMax,"ESCALATE",IF(AND(AV265&gt;=AW265,I265="READABLE"),"H","D"))),
C265="H",
IF(AY265&gt;=phaseMax,"ESCALATE",IF(OR(I265="SAME",I265="CANT_TELL",AD265&lt;axisTol),"I","H")),
C265="I",
IF(AY265&gt;=phaseMax,"ESCALATE",IF(AX265&gt;=powerSameN,"J","I")),
C265="J",
IF(AY265&gt;=phaseMax,"ESCALATE",IF(OR(AX265&gt;=duoEqualN,BB265&gt;=duoMax),"K","J")),
C265="K",
IF(AY265&gt;=phaseMax,"ESCALATE",IF(AX265&gt;=binoSameN,IF(XLOOKUP($B265,Derived_Variables!$A:$A,Derived_Variables!$AJ:$AJ,FALSE)=TRUE,"P","END"),"K")),
C265="P",
IF(AY265&gt;=phaseMax,"ESCALATE",IF(OR(I265="READABLE",I265="SAME"),"Q","P")),
C265="Q",
IF(AY265&gt;=phaseMax,"ESCALATE",IF(OR(I265="READABLE",I265="SAME"),"R","Q")),
C265="R",
IF(AY265&gt;=phaseMax,"ESCALATE",IF(OR(I265=nearTarget,I265="SAME"),"END","R")),
TRUE,"END"
)))</f>
        <v/>
      </c>
      <c r="BD265" s="28" t="b">
        <f t="shared" si="19"/>
        <v>0</v>
      </c>
    </row>
    <row r="266" ht="15.75" customHeight="1">
      <c r="A266" s="28">
        <f t="shared" si="3"/>
        <v>265</v>
      </c>
      <c r="B266" s="28">
        <f t="shared" si="4"/>
        <v>6</v>
      </c>
      <c r="C266" s="28" t="str">
        <f t="shared" si="5"/>
        <v/>
      </c>
      <c r="D266" s="28" t="str">
        <f t="array" ref="D266">IF($I265="","",XLOOKUP(C266,FSM_State_Map!A:A,FSM_State_Map!B:B,""))</f>
        <v/>
      </c>
      <c r="E266" s="28" t="str">
        <f t="array" ref="E266">IF($I265="","",XLOOKUP(C266,FSM_State_Map!A:A,FSM_State_Map!C:C,""))</f>
        <v/>
      </c>
      <c r="F266" s="28" t="str">
        <f t="array" ref="F266">IF($I265="","",XLOOKUP(E266,Phase_UI_Map!A:A,Phase_UI_Map!B:B,""))</f>
        <v/>
      </c>
      <c r="G266" s="28" t="str">
        <f t="array" ref="G266">IF($I265="","",XLOOKUP(E266,Phase_UI_Map!A:A,Phase_UI_Map!C:C,""))</f>
        <v/>
      </c>
      <c r="H266" s="28" t="str">
        <f t="array" ref="H266">IF($I265="","",XLOOKUP(E266,Phase_UI_Map!A:A,Phase_UI_Map!D:D,""))</f>
        <v/>
      </c>
      <c r="I266" s="29"/>
      <c r="J266" s="28" t="str">
        <f>IFERROR(__xludf.DUMMYFUNCTION("IF($I265="""","""",IFERROR(INDEX(FILTER(Response_Lists!$B:$B,Response_Lists!$A:$A=$H266),1),""""))"),"")</f>
        <v/>
      </c>
      <c r="K266" s="28" t="str">
        <f>IFERROR(__xludf.DUMMYFUNCTION("IF($I265="""","""",IFERROR(INDEX(FILTER(Response_Lists!$B:$B,Response_Lists!$A:$A=$H266),2),""""))"),"")</f>
        <v/>
      </c>
      <c r="L266" s="28" t="str">
        <f>IFERROR(__xludf.DUMMYFUNCTION("IF($I265="""","""",IFERROR(INDEX(FILTER(Response_Lists!$B:$B,Response_Lists!$A:$A=$H266),3),""""))"),"")</f>
        <v/>
      </c>
      <c r="M266" s="28" t="str">
        <f>IFERROR(__xludf.DUMMYFUNCTION("IF($I265="""","""",IFERROR(INDEX(FILTER(Response_Lists!$B:$B,Response_Lists!$A:$A=$H266),4),""""))"),"")</f>
        <v/>
      </c>
      <c r="N266" s="28" t="str">
        <f>IFERROR(__xludf.DUMMYFUNCTION("IF($I265="""","""",IFERROR(INDEX(FILTER(Response_Lists!$B:$B,Response_Lists!$A:$A=$H266),5),""""))"),"")</f>
        <v/>
      </c>
      <c r="O266" s="28" t="str">
        <f>IFERROR(__xludf.DUMMYFUNCTION("IF($I265="""","""",IFERROR(INDEX(FILTER(Response_Lists!$B:$B,Response_Lists!$A:$A=$H266),6),""""))"),"")</f>
        <v/>
      </c>
      <c r="P266" s="28" t="str">
        <f t="shared" si="6"/>
        <v/>
      </c>
      <c r="Q266" s="28" t="str">
        <f t="array" ref="Q266">IF($I265="","",XLOOKUP(C266,FSM_State_Map!A:A,FSM_State_Map!D:D,""))</f>
        <v/>
      </c>
      <c r="R266" s="28" t="str">
        <f t="shared" si="7"/>
        <v/>
      </c>
      <c r="S266" s="28" t="str">
        <f t="array" ref="S266">IF($I265="","",
IF(
  AND(C266="B",C265&lt;&gt;"B"),
  XLOOKUP($B266,Derived_Variables!$A:$A,Derived_Variables!$K:$K,0)
  + XLOOKUP($B266,Derived_Variables!$A:$A,Derived_Variables!$AE:$AE,0),
  S265+AM265
))</f>
        <v/>
      </c>
      <c r="T266" s="28" t="str">
        <f t="shared" ref="T266:U266" si="542">IF($I265="","",T265+AN265)</f>
        <v/>
      </c>
      <c r="U266" s="28" t="str">
        <f t="shared" si="542"/>
        <v/>
      </c>
      <c r="V266" s="28" t="str">
        <f t="array" ref="V266">IF($I265="","",
IF(
  AND(C266="D",C265&lt;&gt;"D"),
  XLOOKUP($B266,Derived_Variables!$A:$A,Derived_Variables!$N:$N,0)
  + XLOOKUP($B266,Derived_Variables!$A:$A,Derived_Variables!$AE:$AE,0),
  V265+AP265
))</f>
        <v/>
      </c>
      <c r="W266" s="28" t="str">
        <f t="shared" ref="W266:X266" si="543">IF($I265="","",W265+AQ265)</f>
        <v/>
      </c>
      <c r="X266" s="28" t="str">
        <f t="shared" si="543"/>
        <v/>
      </c>
      <c r="Y266" s="28" t="str">
        <f t="array" ref="Y266">IF($I265="","",IF(AND(C266="P",C265&lt;&gt;"P"),IFERROR(XLOOKUP($B266,Lenso_Input!$A:$A,Lenso_Input!$E:$E,0),0),Y265+AS265))</f>
        <v/>
      </c>
      <c r="Z266" s="28" t="str">
        <f t="array" ref="Z266">IF($I265="","",IF(AND(C266="Q",C265&lt;&gt;"Q"),IFERROR(XLOOKUP($B266,Lenso_Input!$A:$A,Lenso_Input!$I:$I,0),0),Z265+AT265))</f>
        <v/>
      </c>
      <c r="AA266" s="28" t="str">
        <f t="array" ref="AA266">IF($I265="","",IF(XLOOKUP($B266,Derived_Variables!$A:$A,Derived_Variables!$R:$R,"6/6_target")="6/6_target","20_20_20","40_30_25"))</f>
        <v/>
      </c>
      <c r="AB266" s="28" t="str">
        <f t="array" ref="AB266">IF($I265="","",XLOOKUP(LOWER(XLOOKUP($B266,Derived_Variables!$A:$A,Derived_Variables!$T:$T,"Standard"))&amp;"_sph_step",Calibration!$B:$B,Calibration!$C:$C,0.25))</f>
        <v/>
      </c>
      <c r="AC266" s="28" t="str">
        <f t="array" ref="AC266">IF($I265="","",XLOOKUP(LOWER(XLOOKUP($B266,Derived_Variables!$A:$A,Derived_Variables!$T:$T,"Standard"))&amp;"_cyl_step",Calibration!$B:$B,Calibration!$C:$C,0.25))</f>
        <v/>
      </c>
      <c r="AD266" s="28" t="str">
        <f t="array" ref="AD266">IF($I265="","",IF(OR(C266="E",C266="H"),LET(startStep,XLOOKUP("axis_start_step",Calibration!$B:$B,Calibration!$C:$C,5),step1,XLOOKUP("axis_reversal_step_1",Calibration!$B:$B,Calibration!$C:$C,3),step2,XLOOKUP("axis_reversal_step_2",Calibration!$B:$B,Calibration!$C:$C,1),IF(OR(C265&lt;&gt;C266,AZ266="",AZ266="SAME",AZ266="CANT_TELL",I266="",I266="SAME",I266="CANT_TELL"),startStep,IF(OR(AND(AZ266="BETTER_1",I266="BETTER_2"),AND(AZ266="BETTER_2",I266="BETTER_1")),IF(AD265&gt;step1,step1,step2),AD265))),0))</f>
        <v/>
      </c>
      <c r="AE266" s="28" t="str">
        <f t="array" ref="AE266">IF($I265="","",XLOOKUP($B266,Derived_Variables!$A:$A,Derived_Variables!$AD:$AD,"No_Fog"))</f>
        <v/>
      </c>
      <c r="AF266" s="28" t="str">
        <f t="array" ref="AF266">IF($I265="","",XLOOKUP($B266,Derived_Variables!$A:$A,Derived_Variables!$AE:$AE,0))</f>
        <v/>
      </c>
      <c r="AG266" s="28" t="str">
        <f t="array" ref="AG266">IF($I265="","",XLOOKUP($B266,Derived_Variables!$A:$A,Derived_Variables!$AF:$AF,""))</f>
        <v/>
      </c>
      <c r="AH266" s="28" t="str">
        <f t="array" ref="AH266">IF($I265="","",XLOOKUP($B266,Derived_Variables!$A:$A,Derived_Variables!$AG:$AG,""))</f>
        <v/>
      </c>
      <c r="AI266" s="28" t="str">
        <f t="array" ref="AI266">IF($I265="","",XLOOKUP($B266,Derived_Variables!$A:$A,Derived_Variables!$AC:$AC,"Medium"))</f>
        <v/>
      </c>
      <c r="AJ266" s="28" t="str">
        <f t="array" ref="AJ266">IF($I265="","",XLOOKUP($B266,Derived_Variables!$A:$A,Derived_Variables!$Y:$Y,FALSE))</f>
        <v/>
      </c>
      <c r="AK266" s="28" t="str">
        <f t="array" ref="AK266">IF($I265="","",XLOOKUP($B266,Derived_Variables!$A:$A,Derived_Variables!$AA:$AA,"Normal"))</f>
        <v/>
      </c>
      <c r="AL266" s="28" t="str">
        <f t="array" ref="AL266">IF($I265="","",XLOOKUP($B266,Derived_Variables!$A:$A,Derived_Variables!$AB:$AB,"Normal"))</f>
        <v/>
      </c>
      <c r="AM266" s="28" t="str">
        <f t="array" ref="AM266">IF($I266="","",IFS(C266="B",IF(OR(I266="NOT_READABLE",I266="BLURRY"),-AB266,0),C266="G",IFS(I266="RED_CLEARER",XLOOKUP("duochrome_red_step",Calibration!$B:$B,Calibration!$C:$C,-0.25),I266="GREEN_CLEARER",XLOOKUP("duochrome_green_step",Calibration!$B:$B,Calibration!$C:$C,0.25),I266="EQUAL",IF(XLOOKUP($B266,Derived_Variables!$A:$A,Derived_Variables!$S:$S,"Neutral")="Undercorrect",XLOOKUP("undercorrect_step",Calibration!$B:$B,Calibration!$C:$C,0.25),IF(XLOOKUP($B266,Derived_Variables!$A:$A,Derived_Variables!$S:$S,"Neutral")="Overcorrect",-XLOOKUP("overcorrect_step",Calibration!$B:$B,Calibration!$C:$C,0.25),0)),TRUE,0),C266="K",IF(I266="TOP_CLEARER",XLOOKUP("bino_balance_step",Calibration!$B:$B,Calibration!$C:$C,0.25),0),TRUE,0))</f>
        <v/>
      </c>
      <c r="AN266" s="28" t="str">
        <f t="shared" si="10"/>
        <v/>
      </c>
      <c r="AO266" s="28" t="str">
        <f t="shared" si="11"/>
        <v/>
      </c>
      <c r="AP266" s="28" t="str">
        <f t="array" ref="AP266">IF($I266="","",IFS(C266="D",IF(OR(I266="NOT_READABLE",I266="BLURRY"),-AB266,0),C266="J",IFS(I266="RED_CLEARER",XLOOKUP("duochrome_red_step",Calibration!$B:$B,Calibration!$C:$C,-0.25),I266="GREEN_CLEARER",XLOOKUP("duochrome_green_step",Calibration!$B:$B,Calibration!$C:$C,0.25),I266="EQUAL",IF(XLOOKUP($B266,Derived_Variables!$A:$A,Derived_Variables!$S:$S,"Neutral")="Undercorrect",XLOOKUP("undercorrect_step",Calibration!$B:$B,Calibration!$C:$C,0.25),IF(XLOOKUP($B266,Derived_Variables!$A:$A,Derived_Variables!$S:$S,"Neutral")="Overcorrect",-XLOOKUP("overcorrect_step",Calibration!$B:$B,Calibration!$C:$C,0.25),0)),TRUE,0),C266="K",IF(I266="BOTTOM_CLEARER",XLOOKUP("bino_balance_step",Calibration!$B:$B,Calibration!$C:$C,0.25),0),TRUE,0))</f>
        <v/>
      </c>
      <c r="AQ266" s="28" t="str">
        <f t="shared" si="12"/>
        <v/>
      </c>
      <c r="AR266" s="28" t="str">
        <f t="shared" si="13"/>
        <v/>
      </c>
      <c r="AS266" s="28" t="str">
        <f t="array" ref="AS266">IF($I266="","",IF(C266="P",IF(OR(I266="NOT_READABLE",I266="BLURRY"),XLOOKUP("near_add_step",Calibration!$B:$B,Calibration!$C:$C,0.25),0),IF(C266="R",IF(I266="NOT_CLEAR",XLOOKUP("near_add_step",Calibration!$B:$B,Calibration!$C:$C,0.25),0),0)))</f>
        <v/>
      </c>
      <c r="AT266" s="28" t="str">
        <f t="array" ref="AT266">IF($I266="","",IF(C266="Q",IF(OR(I266="NOT_READABLE",I266="BLURRY"),XLOOKUP("near_add_step",Calibration!$B:$B,Calibration!$C:$C,0.25),0),IF(C266="R",IF(I266="NOT_CLEAR",XLOOKUP("near_add_step",Calibration!$B:$B,Calibration!$C:$C,0.25),0),0)))</f>
        <v/>
      </c>
      <c r="AU266" s="28" t="str">
        <f t="array" ref="AU266">IF($I266="","",IF(G266="SNELLEN_FEET",IF(I266="READABLE",IFERROR(XLOOKUP(XLOOKUP(R266,Chart_Scale_Distance!B:B,Chart_Scale_Distance!A:A)+1,Chart_Scale_Distance!A:A,Chart_Scale_Distance!B:B),R266),R266),R266))</f>
        <v/>
      </c>
      <c r="AV266" s="28" t="str">
        <f t="array" ref="AV266">IF($I265="","",IFERROR(XLOOKUP(R266,Chart_Scale_Distance!$B:$B,Chart_Scale_Distance!$A:$A,""),""))</f>
        <v/>
      </c>
      <c r="AW266" s="28" t="str">
        <f t="array" ref="AW266">IF($I265="","",IFERROR(XLOOKUP(AA266,Chart_Scale_Distance!$B:$B,Chart_Scale_Distance!$A:$A,""),""))</f>
        <v/>
      </c>
      <c r="AX266" s="28" t="str">
        <f t="shared" si="14"/>
        <v/>
      </c>
      <c r="AY266" s="28" t="str">
        <f t="shared" si="15"/>
        <v/>
      </c>
      <c r="AZ266" s="28" t="str">
        <f t="shared" si="16"/>
        <v/>
      </c>
      <c r="BA266" s="28" t="str">
        <f t="shared" si="17"/>
        <v/>
      </c>
      <c r="BB266" s="28" t="str">
        <f t="shared" si="18"/>
        <v/>
      </c>
      <c r="BC266" s="28" t="str">
        <f t="array" ref="BC266">IF($I266="","",LET(
conf,AI266,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duoMax,XLOOKUP($B266,Derived_Variables!$A:$A,Derived_Variables!$AI:$AI,4),
axisTol,XLOOKUP($B266,Derived_Variables!$A:$A,Derived_Variables!$W:$W,1),
maxStart,XLOOKUP($B266,Derived_Variables!$A:$A,Derived_Variables!$U:$U,1.25),
maxAR,XLOOKUP($B266,Derived_Variables!$A:$A,Derived_Variables!$V:$V,3),
anom,XLOOKUP($B266,Derived_Variables!$A:$A,Derived_Variables!$Z:$Z,FALSE),
reStart,XLOOKUP($B266,Derived_Variables!$A:$A,Derived_Variables!$K:$K,0),
leStart,XLOOKUP($B266,Derived_Variables!$A:$A,Derived_Variables!$N:$N,0),
reAR,XLOOKUP($B266,AR_Input!$A:$A,AR_Input!$B:$B,reStart),
leAR,XLOOKUP($B266,AR_Input!$A:$A,AR_Input!$E:$E,leStart),
reEsc,AND(anom,OR(ABS((S266+AM266)-reStart)&gt;maxStart,ABS((S266+AM266)-reAR)&gt;maxAR)),
leEsc,AND(anom,OR(ABS((V266+AP266)-leStart)&gt;maxStart,ABS((V266+AP266)-leAR)&gt;maxAR)),
phaseMax,IFS(
 AK266="Fast",
   IFS(
     OR(C266="B",C266="D"),XLOOKUP("timeout_coarse_fast",Calibration!$B:$B,Calibration!$C:$C,24),
     OR(C266="E",C266="F",C266="H",C266="I"),XLOOKUP("timeout_jcc_fast",Calibration!$B:$B,Calibration!$C:$C,10),
     OR(C266="G",C266="J"),XLOOKUP("timeout_duochrome_fast",Calibration!$B:$B,Calibration!$C:$C,8),
     C266="K",XLOOKUP("timeout_bino_fast",Calibration!$B:$B,Calibration!$C:$C,10),
     OR(C266="P",C266="Q",C266="R"),XLOOKUP("timeout_near_fast",Calibration!$B:$B,Calibration!$C:$C,16),
     TRUE,XLOOKUP("timeout_coarse_fast",Calibration!$B:$B,Calibration!$C:$C,24)
   ),
 AK266="Normal",
   IFS(
     OR(C266="B",C266="D"),XLOOKUP("timeout_coarse_normal",Calibration!$B:$B,Calibration!$C:$C,36),
     OR(C266="E",C266="F",C266="H",C266="I"),XLOOKUP("timeout_jcc_normal",Calibration!$B:$B,Calibration!$C:$C,14),
     OR(C266="G",C266="J"),XLOOKUP("timeout_duochrome_normal",Calibration!$B:$B,Calibration!$C:$C,10),
     C266="K",XLOOKUP("timeout_bino_normal",Calibration!$B:$B,Calibration!$C:$C,14),
     OR(C266="P",C266="Q",C266="R"),XLOOKUP("timeout_near_normal",Calibration!$B:$B,Calibration!$C:$C,22),
     TRUE,XLOOKUP("timeout_coarse_normal",Calibration!$B:$B,Calibration!$C:$C,36)
   ),
 TRUE,
   IFS(
     OR(C266="B",C266="D"),XLOOKUP("timeout_coarse_slow",Calibration!$B:$B,Calibration!$C:$C,48),
     OR(C266="E",C266="F",C266="H",C266="I"),XLOOKUP("timeout_jcc_slow",Calibration!$B:$B,Calibration!$C:$C,18),
     OR(C266="G",C266="J"),XLOOKUP("timeout_duochrome_slow",Calibration!$B:$B,Calibration!$C:$C,12),
     C266="K",XLOOKUP("timeout_bino_slow",Calibration!$B:$B,Calibration!$C:$C,18),
     OR(C266="P",C266="Q",C266="R"),XLOOKUP("timeout_near_slow",Calibration!$B:$B,Calibration!$C:$C,28),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AJ266=TRUE,"ESCALATE",
C266="A",
IF(OR(I266="NOT_READABLE",I266="BLURRY",AND(R266="20_20_20",I266="READABLE")),"B","A"),
C266="B",
IF(reEsc,"ESCALATE",IF(AY266&gt;=phaseMax,"ESCALATE",IF(AND(AV266&gt;=AW266,I266="READABLE"),"E","B"))),
C266="E",
IF(AY266&gt;=phaseMax,"ESCALATE",IF(OR(I266="SAME",I266="CANT_TELL",AD266&lt;axisTol),"F","E")),
C266="F",
IF(AY266&gt;=phaseMax,"ESCALATE",IF(AX266&gt;=powerSameN,"G","F")),
C266="G",
IF(AY266&gt;=phaseMax,"ESCALATE",IF(OR(AX266&gt;=duoEqualN,BB266&gt;=duoMax),"D","G")),
C266="D",
IF(leEsc,"ESCALATE",IF(AY266&gt;=phaseMax,"ESCALATE",IF(AND(AV266&gt;=AW266,I266="READABLE"),"H","D"))),
C266="H",
IF(AY266&gt;=phaseMax,"ESCALATE",IF(OR(I266="SAME",I266="CANT_TELL",AD266&lt;axisTol),"I","H")),
C266="I",
IF(AY266&gt;=phaseMax,"ESCALATE",IF(AX266&gt;=powerSameN,"J","I")),
C266="J",
IF(AY266&gt;=phaseMax,"ESCALATE",IF(OR(AX266&gt;=duoEqualN,BB266&gt;=duoMax),"K","J")),
C266="K",
IF(AY266&gt;=phaseMax,"ESCALATE",IF(AX266&gt;=binoSameN,IF(XLOOKUP($B266,Derived_Variables!$A:$A,Derived_Variables!$AJ:$AJ,FALSE)=TRUE,"P","END"),"K")),
C266="P",
IF(AY266&gt;=phaseMax,"ESCALATE",IF(OR(I266="READABLE",I266="SAME"),"Q","P")),
C266="Q",
IF(AY266&gt;=phaseMax,"ESCALATE",IF(OR(I266="READABLE",I266="SAME"),"R","Q")),
C266="R",
IF(AY266&gt;=phaseMax,"ESCALATE",IF(OR(I266=nearTarget,I266="SAME"),"END","R")),
TRUE,"END"
)))</f>
        <v/>
      </c>
      <c r="BD266" s="28" t="b">
        <f t="shared" si="19"/>
        <v>0</v>
      </c>
    </row>
    <row r="267" ht="15.75" customHeight="1">
      <c r="A267" s="28">
        <f t="shared" si="3"/>
        <v>266</v>
      </c>
      <c r="B267" s="28">
        <f t="shared" si="4"/>
        <v>6</v>
      </c>
      <c r="C267" s="28" t="str">
        <f t="shared" si="5"/>
        <v/>
      </c>
      <c r="D267" s="28" t="str">
        <f t="array" ref="D267">IF($I266="","",XLOOKUP(C267,FSM_State_Map!A:A,FSM_State_Map!B:B,""))</f>
        <v/>
      </c>
      <c r="E267" s="28" t="str">
        <f t="array" ref="E267">IF($I266="","",XLOOKUP(C267,FSM_State_Map!A:A,FSM_State_Map!C:C,""))</f>
        <v/>
      </c>
      <c r="F267" s="28" t="str">
        <f t="array" ref="F267">IF($I266="","",XLOOKUP(E267,Phase_UI_Map!A:A,Phase_UI_Map!B:B,""))</f>
        <v/>
      </c>
      <c r="G267" s="28" t="str">
        <f t="array" ref="G267">IF($I266="","",XLOOKUP(E267,Phase_UI_Map!A:A,Phase_UI_Map!C:C,""))</f>
        <v/>
      </c>
      <c r="H267" s="28" t="str">
        <f t="array" ref="H267">IF($I266="","",XLOOKUP(E267,Phase_UI_Map!A:A,Phase_UI_Map!D:D,""))</f>
        <v/>
      </c>
      <c r="I267" s="29"/>
      <c r="J267" s="28" t="str">
        <f>IFERROR(__xludf.DUMMYFUNCTION("IF($I266="""","""",IFERROR(INDEX(FILTER(Response_Lists!$B:$B,Response_Lists!$A:$A=$H267),1),""""))"),"")</f>
        <v/>
      </c>
      <c r="K267" s="28" t="str">
        <f>IFERROR(__xludf.DUMMYFUNCTION("IF($I266="""","""",IFERROR(INDEX(FILTER(Response_Lists!$B:$B,Response_Lists!$A:$A=$H267),2),""""))"),"")</f>
        <v/>
      </c>
      <c r="L267" s="28" t="str">
        <f>IFERROR(__xludf.DUMMYFUNCTION("IF($I266="""","""",IFERROR(INDEX(FILTER(Response_Lists!$B:$B,Response_Lists!$A:$A=$H267),3),""""))"),"")</f>
        <v/>
      </c>
      <c r="M267" s="28" t="str">
        <f>IFERROR(__xludf.DUMMYFUNCTION("IF($I266="""","""",IFERROR(INDEX(FILTER(Response_Lists!$B:$B,Response_Lists!$A:$A=$H267),4),""""))"),"")</f>
        <v/>
      </c>
      <c r="N267" s="28" t="str">
        <f>IFERROR(__xludf.DUMMYFUNCTION("IF($I266="""","""",IFERROR(INDEX(FILTER(Response_Lists!$B:$B,Response_Lists!$A:$A=$H267),5),""""))"),"")</f>
        <v/>
      </c>
      <c r="O267" s="28" t="str">
        <f>IFERROR(__xludf.DUMMYFUNCTION("IF($I266="""","""",IFERROR(INDEX(FILTER(Response_Lists!$B:$B,Response_Lists!$A:$A=$H267),6),""""))"),"")</f>
        <v/>
      </c>
      <c r="P267" s="28" t="str">
        <f t="shared" si="6"/>
        <v/>
      </c>
      <c r="Q267" s="28" t="str">
        <f t="array" ref="Q267">IF($I266="","",XLOOKUP(C267,FSM_State_Map!A:A,FSM_State_Map!D:D,""))</f>
        <v/>
      </c>
      <c r="R267" s="28" t="str">
        <f t="shared" si="7"/>
        <v/>
      </c>
      <c r="S267" s="28" t="str">
        <f t="array" ref="S267">IF($I266="","",
IF(
  AND(C267="B",C266&lt;&gt;"B"),
  XLOOKUP($B267,Derived_Variables!$A:$A,Derived_Variables!$K:$K,0)
  + XLOOKUP($B267,Derived_Variables!$A:$A,Derived_Variables!$AE:$AE,0),
  S266+AM266
))</f>
        <v/>
      </c>
      <c r="T267" s="28" t="str">
        <f t="shared" ref="T267:U267" si="544">IF($I266="","",T266+AN266)</f>
        <v/>
      </c>
      <c r="U267" s="28" t="str">
        <f t="shared" si="544"/>
        <v/>
      </c>
      <c r="V267" s="28" t="str">
        <f t="array" ref="V267">IF($I266="","",
IF(
  AND(C267="D",C266&lt;&gt;"D"),
  XLOOKUP($B267,Derived_Variables!$A:$A,Derived_Variables!$N:$N,0)
  + XLOOKUP($B267,Derived_Variables!$A:$A,Derived_Variables!$AE:$AE,0),
  V266+AP266
))</f>
        <v/>
      </c>
      <c r="W267" s="28" t="str">
        <f t="shared" ref="W267:X267" si="545">IF($I266="","",W266+AQ266)</f>
        <v/>
      </c>
      <c r="X267" s="28" t="str">
        <f t="shared" si="545"/>
        <v/>
      </c>
      <c r="Y267" s="28" t="str">
        <f t="array" ref="Y267">IF($I266="","",IF(AND(C267="P",C266&lt;&gt;"P"),IFERROR(XLOOKUP($B267,Lenso_Input!$A:$A,Lenso_Input!$E:$E,0),0),Y266+AS266))</f>
        <v/>
      </c>
      <c r="Z267" s="28" t="str">
        <f t="array" ref="Z267">IF($I266="","",IF(AND(C267="Q",C266&lt;&gt;"Q"),IFERROR(XLOOKUP($B267,Lenso_Input!$A:$A,Lenso_Input!$I:$I,0),0),Z266+AT266))</f>
        <v/>
      </c>
      <c r="AA267" s="28" t="str">
        <f t="array" ref="AA267">IF($I266="","",IF(XLOOKUP($B267,Derived_Variables!$A:$A,Derived_Variables!$R:$R,"6/6_target")="6/6_target","20_20_20","40_30_25"))</f>
        <v/>
      </c>
      <c r="AB267" s="28" t="str">
        <f t="array" ref="AB267">IF($I266="","",XLOOKUP(LOWER(XLOOKUP($B267,Derived_Variables!$A:$A,Derived_Variables!$T:$T,"Standard"))&amp;"_sph_step",Calibration!$B:$B,Calibration!$C:$C,0.25))</f>
        <v/>
      </c>
      <c r="AC267" s="28" t="str">
        <f t="array" ref="AC267">IF($I266="","",XLOOKUP(LOWER(XLOOKUP($B267,Derived_Variables!$A:$A,Derived_Variables!$T:$T,"Standard"))&amp;"_cyl_step",Calibration!$B:$B,Calibration!$C:$C,0.25))</f>
        <v/>
      </c>
      <c r="AD267" s="28" t="str">
        <f t="array" ref="AD267">IF($I266="","",IF(OR(C267="E",C267="H"),LET(startStep,XLOOKUP("axis_start_step",Calibration!$B:$B,Calibration!$C:$C,5),step1,XLOOKUP("axis_reversal_step_1",Calibration!$B:$B,Calibration!$C:$C,3),step2,XLOOKUP("axis_reversal_step_2",Calibration!$B:$B,Calibration!$C:$C,1),IF(OR(C266&lt;&gt;C267,AZ267="",AZ267="SAME",AZ267="CANT_TELL",I267="",I267="SAME",I267="CANT_TELL"),startStep,IF(OR(AND(AZ267="BETTER_1",I267="BETTER_2"),AND(AZ267="BETTER_2",I267="BETTER_1")),IF(AD266&gt;step1,step1,step2),AD266))),0))</f>
        <v/>
      </c>
      <c r="AE267" s="28" t="str">
        <f t="array" ref="AE267">IF($I266="","",XLOOKUP($B267,Derived_Variables!$A:$A,Derived_Variables!$AD:$AD,"No_Fog"))</f>
        <v/>
      </c>
      <c r="AF267" s="28" t="str">
        <f t="array" ref="AF267">IF($I266="","",XLOOKUP($B267,Derived_Variables!$A:$A,Derived_Variables!$AE:$AE,0))</f>
        <v/>
      </c>
      <c r="AG267" s="28" t="str">
        <f t="array" ref="AG267">IF($I266="","",XLOOKUP($B267,Derived_Variables!$A:$A,Derived_Variables!$AF:$AF,""))</f>
        <v/>
      </c>
      <c r="AH267" s="28" t="str">
        <f t="array" ref="AH267">IF($I266="","",XLOOKUP($B267,Derived_Variables!$A:$A,Derived_Variables!$AG:$AG,""))</f>
        <v/>
      </c>
      <c r="AI267" s="28" t="str">
        <f t="array" ref="AI267">IF($I266="","",XLOOKUP($B267,Derived_Variables!$A:$A,Derived_Variables!$AC:$AC,"Medium"))</f>
        <v/>
      </c>
      <c r="AJ267" s="28" t="str">
        <f t="array" ref="AJ267">IF($I266="","",XLOOKUP($B267,Derived_Variables!$A:$A,Derived_Variables!$Y:$Y,FALSE))</f>
        <v/>
      </c>
      <c r="AK267" s="28" t="str">
        <f t="array" ref="AK267">IF($I266="","",XLOOKUP($B267,Derived_Variables!$A:$A,Derived_Variables!$AA:$AA,"Normal"))</f>
        <v/>
      </c>
      <c r="AL267" s="28" t="str">
        <f t="array" ref="AL267">IF($I266="","",XLOOKUP($B267,Derived_Variables!$A:$A,Derived_Variables!$AB:$AB,"Normal"))</f>
        <v/>
      </c>
      <c r="AM267" s="28" t="str">
        <f t="array" ref="AM267">IF($I267="","",IFS(C267="B",IF(OR(I267="NOT_READABLE",I267="BLURRY"),-AB267,0),C267="G",IFS(I267="RED_CLEARER",XLOOKUP("duochrome_red_step",Calibration!$B:$B,Calibration!$C:$C,-0.25),I267="GREEN_CLEARER",XLOOKUP("duochrome_green_step",Calibration!$B:$B,Calibration!$C:$C,0.25),I267="EQUAL",IF(XLOOKUP($B267,Derived_Variables!$A:$A,Derived_Variables!$S:$S,"Neutral")="Undercorrect",XLOOKUP("undercorrect_step",Calibration!$B:$B,Calibration!$C:$C,0.25),IF(XLOOKUP($B267,Derived_Variables!$A:$A,Derived_Variables!$S:$S,"Neutral")="Overcorrect",-XLOOKUP("overcorrect_step",Calibration!$B:$B,Calibration!$C:$C,0.25),0)),TRUE,0),C267="K",IF(I267="TOP_CLEARER",XLOOKUP("bino_balance_step",Calibration!$B:$B,Calibration!$C:$C,0.25),0),TRUE,0))</f>
        <v/>
      </c>
      <c r="AN267" s="28" t="str">
        <f t="shared" si="10"/>
        <v/>
      </c>
      <c r="AO267" s="28" t="str">
        <f t="shared" si="11"/>
        <v/>
      </c>
      <c r="AP267" s="28" t="str">
        <f t="array" ref="AP267">IF($I267="","",IFS(C267="D",IF(OR(I267="NOT_READABLE",I267="BLURRY"),-AB267,0),C267="J",IFS(I267="RED_CLEARER",XLOOKUP("duochrome_red_step",Calibration!$B:$B,Calibration!$C:$C,-0.25),I267="GREEN_CLEARER",XLOOKUP("duochrome_green_step",Calibration!$B:$B,Calibration!$C:$C,0.25),I267="EQUAL",IF(XLOOKUP($B267,Derived_Variables!$A:$A,Derived_Variables!$S:$S,"Neutral")="Undercorrect",XLOOKUP("undercorrect_step",Calibration!$B:$B,Calibration!$C:$C,0.25),IF(XLOOKUP($B267,Derived_Variables!$A:$A,Derived_Variables!$S:$S,"Neutral")="Overcorrect",-XLOOKUP("overcorrect_step",Calibration!$B:$B,Calibration!$C:$C,0.25),0)),TRUE,0),C267="K",IF(I267="BOTTOM_CLEARER",XLOOKUP("bino_balance_step",Calibration!$B:$B,Calibration!$C:$C,0.25),0),TRUE,0))</f>
        <v/>
      </c>
      <c r="AQ267" s="28" t="str">
        <f t="shared" si="12"/>
        <v/>
      </c>
      <c r="AR267" s="28" t="str">
        <f t="shared" si="13"/>
        <v/>
      </c>
      <c r="AS267" s="28" t="str">
        <f t="array" ref="AS267">IF($I267="","",IF(C267="P",IF(OR(I267="NOT_READABLE",I267="BLURRY"),XLOOKUP("near_add_step",Calibration!$B:$B,Calibration!$C:$C,0.25),0),IF(C267="R",IF(I267="NOT_CLEAR",XLOOKUP("near_add_step",Calibration!$B:$B,Calibration!$C:$C,0.25),0),0)))</f>
        <v/>
      </c>
      <c r="AT267" s="28" t="str">
        <f t="array" ref="AT267">IF($I267="","",IF(C267="Q",IF(OR(I267="NOT_READABLE",I267="BLURRY"),XLOOKUP("near_add_step",Calibration!$B:$B,Calibration!$C:$C,0.25),0),IF(C267="R",IF(I267="NOT_CLEAR",XLOOKUP("near_add_step",Calibration!$B:$B,Calibration!$C:$C,0.25),0),0)))</f>
        <v/>
      </c>
      <c r="AU267" s="28" t="str">
        <f t="array" ref="AU267">IF($I267="","",IF(G267="SNELLEN_FEET",IF(I267="READABLE",IFERROR(XLOOKUP(XLOOKUP(R267,Chart_Scale_Distance!B:B,Chart_Scale_Distance!A:A)+1,Chart_Scale_Distance!A:A,Chart_Scale_Distance!B:B),R267),R267),R267))</f>
        <v/>
      </c>
      <c r="AV267" s="28" t="str">
        <f t="array" ref="AV267">IF($I266="","",IFERROR(XLOOKUP(R267,Chart_Scale_Distance!$B:$B,Chart_Scale_Distance!$A:$A,""),""))</f>
        <v/>
      </c>
      <c r="AW267" s="28" t="str">
        <f t="array" ref="AW267">IF($I266="","",IFERROR(XLOOKUP(AA267,Chart_Scale_Distance!$B:$B,Chart_Scale_Distance!$A:$A,""),""))</f>
        <v/>
      </c>
      <c r="AX267" s="28" t="str">
        <f t="shared" si="14"/>
        <v/>
      </c>
      <c r="AY267" s="28" t="str">
        <f t="shared" si="15"/>
        <v/>
      </c>
      <c r="AZ267" s="28" t="str">
        <f t="shared" si="16"/>
        <v/>
      </c>
      <c r="BA267" s="28" t="str">
        <f t="shared" si="17"/>
        <v/>
      </c>
      <c r="BB267" s="28" t="str">
        <f t="shared" si="18"/>
        <v/>
      </c>
      <c r="BC267" s="28" t="str">
        <f t="array" ref="BC267">IF($I267="","",LET(
conf,AI267,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duoMax,XLOOKUP($B267,Derived_Variables!$A:$A,Derived_Variables!$AI:$AI,4),
axisTol,XLOOKUP($B267,Derived_Variables!$A:$A,Derived_Variables!$W:$W,1),
maxStart,XLOOKUP($B267,Derived_Variables!$A:$A,Derived_Variables!$U:$U,1.25),
maxAR,XLOOKUP($B267,Derived_Variables!$A:$A,Derived_Variables!$V:$V,3),
anom,XLOOKUP($B267,Derived_Variables!$A:$A,Derived_Variables!$Z:$Z,FALSE),
reStart,XLOOKUP($B267,Derived_Variables!$A:$A,Derived_Variables!$K:$K,0),
leStart,XLOOKUP($B267,Derived_Variables!$A:$A,Derived_Variables!$N:$N,0),
reAR,XLOOKUP($B267,AR_Input!$A:$A,AR_Input!$B:$B,reStart),
leAR,XLOOKUP($B267,AR_Input!$A:$A,AR_Input!$E:$E,leStart),
reEsc,AND(anom,OR(ABS((S267+AM267)-reStart)&gt;maxStart,ABS((S267+AM267)-reAR)&gt;maxAR)),
leEsc,AND(anom,OR(ABS((V267+AP267)-leStart)&gt;maxStart,ABS((V267+AP267)-leAR)&gt;maxAR)),
phaseMax,IFS(
 AK267="Fast",
   IFS(
     OR(C267="B",C267="D"),XLOOKUP("timeout_coarse_fast",Calibration!$B:$B,Calibration!$C:$C,24),
     OR(C267="E",C267="F",C267="H",C267="I"),XLOOKUP("timeout_jcc_fast",Calibration!$B:$B,Calibration!$C:$C,10),
     OR(C267="G",C267="J"),XLOOKUP("timeout_duochrome_fast",Calibration!$B:$B,Calibration!$C:$C,8),
     C267="K",XLOOKUP("timeout_bino_fast",Calibration!$B:$B,Calibration!$C:$C,10),
     OR(C267="P",C267="Q",C267="R"),XLOOKUP("timeout_near_fast",Calibration!$B:$B,Calibration!$C:$C,16),
     TRUE,XLOOKUP("timeout_coarse_fast",Calibration!$B:$B,Calibration!$C:$C,24)
   ),
 AK267="Normal",
   IFS(
     OR(C267="B",C267="D"),XLOOKUP("timeout_coarse_normal",Calibration!$B:$B,Calibration!$C:$C,36),
     OR(C267="E",C267="F",C267="H",C267="I"),XLOOKUP("timeout_jcc_normal",Calibration!$B:$B,Calibration!$C:$C,14),
     OR(C267="G",C267="J"),XLOOKUP("timeout_duochrome_normal",Calibration!$B:$B,Calibration!$C:$C,10),
     C267="K",XLOOKUP("timeout_bino_normal",Calibration!$B:$B,Calibration!$C:$C,14),
     OR(C267="P",C267="Q",C267="R"),XLOOKUP("timeout_near_normal",Calibration!$B:$B,Calibration!$C:$C,22),
     TRUE,XLOOKUP("timeout_coarse_normal",Calibration!$B:$B,Calibration!$C:$C,36)
   ),
 TRUE,
   IFS(
     OR(C267="B",C267="D"),XLOOKUP("timeout_coarse_slow",Calibration!$B:$B,Calibration!$C:$C,48),
     OR(C267="E",C267="F",C267="H",C267="I"),XLOOKUP("timeout_jcc_slow",Calibration!$B:$B,Calibration!$C:$C,18),
     OR(C267="G",C267="J"),XLOOKUP("timeout_duochrome_slow",Calibration!$B:$B,Calibration!$C:$C,12),
     C267="K",XLOOKUP("timeout_bino_slow",Calibration!$B:$B,Calibration!$C:$C,18),
     OR(C267="P",C267="Q",C267="R"),XLOOKUP("timeout_near_slow",Calibration!$B:$B,Calibration!$C:$C,28),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AJ267=TRUE,"ESCALATE",
C267="A",
IF(OR(I267="NOT_READABLE",I267="BLURRY",AND(R267="20_20_20",I267="READABLE")),"B","A"),
C267="B",
IF(reEsc,"ESCALATE",IF(AY267&gt;=phaseMax,"ESCALATE",IF(AND(AV267&gt;=AW267,I267="READABLE"),"E","B"))),
C267="E",
IF(AY267&gt;=phaseMax,"ESCALATE",IF(OR(I267="SAME",I267="CANT_TELL",AD267&lt;axisTol),"F","E")),
C267="F",
IF(AY267&gt;=phaseMax,"ESCALATE",IF(AX267&gt;=powerSameN,"G","F")),
C267="G",
IF(AY267&gt;=phaseMax,"ESCALATE",IF(OR(AX267&gt;=duoEqualN,BB267&gt;=duoMax),"D","G")),
C267="D",
IF(leEsc,"ESCALATE",IF(AY267&gt;=phaseMax,"ESCALATE",IF(AND(AV267&gt;=AW267,I267="READABLE"),"H","D"))),
C267="H",
IF(AY267&gt;=phaseMax,"ESCALATE",IF(OR(I267="SAME",I267="CANT_TELL",AD267&lt;axisTol),"I","H")),
C267="I",
IF(AY267&gt;=phaseMax,"ESCALATE",IF(AX267&gt;=powerSameN,"J","I")),
C267="J",
IF(AY267&gt;=phaseMax,"ESCALATE",IF(OR(AX267&gt;=duoEqualN,BB267&gt;=duoMax),"K","J")),
C267="K",
IF(AY267&gt;=phaseMax,"ESCALATE",IF(AX267&gt;=binoSameN,IF(XLOOKUP($B267,Derived_Variables!$A:$A,Derived_Variables!$AJ:$AJ,FALSE)=TRUE,"P","END"),"K")),
C267="P",
IF(AY267&gt;=phaseMax,"ESCALATE",IF(OR(I267="READABLE",I267="SAME"),"Q","P")),
C267="Q",
IF(AY267&gt;=phaseMax,"ESCALATE",IF(OR(I267="READABLE",I267="SAME"),"R","Q")),
C267="R",
IF(AY267&gt;=phaseMax,"ESCALATE",IF(OR(I267=nearTarget,I267="SAME"),"END","R")),
TRUE,"END"
)))</f>
        <v/>
      </c>
      <c r="BD267" s="28" t="b">
        <f t="shared" si="19"/>
        <v>0</v>
      </c>
    </row>
    <row r="268" ht="15.75" customHeight="1">
      <c r="A268" s="28">
        <f t="shared" si="3"/>
        <v>267</v>
      </c>
      <c r="B268" s="28">
        <f t="shared" si="4"/>
        <v>6</v>
      </c>
      <c r="C268" s="28" t="str">
        <f t="shared" si="5"/>
        <v/>
      </c>
      <c r="D268" s="28" t="str">
        <f t="array" ref="D268">IF($I267="","",XLOOKUP(C268,FSM_State_Map!A:A,FSM_State_Map!B:B,""))</f>
        <v/>
      </c>
      <c r="E268" s="28" t="str">
        <f t="array" ref="E268">IF($I267="","",XLOOKUP(C268,FSM_State_Map!A:A,FSM_State_Map!C:C,""))</f>
        <v/>
      </c>
      <c r="F268" s="28" t="str">
        <f t="array" ref="F268">IF($I267="","",XLOOKUP(E268,Phase_UI_Map!A:A,Phase_UI_Map!B:B,""))</f>
        <v/>
      </c>
      <c r="G268" s="28" t="str">
        <f t="array" ref="G268">IF($I267="","",XLOOKUP(E268,Phase_UI_Map!A:A,Phase_UI_Map!C:C,""))</f>
        <v/>
      </c>
      <c r="H268" s="28" t="str">
        <f t="array" ref="H268">IF($I267="","",XLOOKUP(E268,Phase_UI_Map!A:A,Phase_UI_Map!D:D,""))</f>
        <v/>
      </c>
      <c r="I268" s="29"/>
      <c r="J268" s="28" t="str">
        <f>IFERROR(__xludf.DUMMYFUNCTION("IF($I267="""","""",IFERROR(INDEX(FILTER(Response_Lists!$B:$B,Response_Lists!$A:$A=$H268),1),""""))"),"")</f>
        <v/>
      </c>
      <c r="K268" s="28" t="str">
        <f>IFERROR(__xludf.DUMMYFUNCTION("IF($I267="""","""",IFERROR(INDEX(FILTER(Response_Lists!$B:$B,Response_Lists!$A:$A=$H268),2),""""))"),"")</f>
        <v/>
      </c>
      <c r="L268" s="28" t="str">
        <f>IFERROR(__xludf.DUMMYFUNCTION("IF($I267="""","""",IFERROR(INDEX(FILTER(Response_Lists!$B:$B,Response_Lists!$A:$A=$H268),3),""""))"),"")</f>
        <v/>
      </c>
      <c r="M268" s="28" t="str">
        <f>IFERROR(__xludf.DUMMYFUNCTION("IF($I267="""","""",IFERROR(INDEX(FILTER(Response_Lists!$B:$B,Response_Lists!$A:$A=$H268),4),""""))"),"")</f>
        <v/>
      </c>
      <c r="N268" s="28" t="str">
        <f>IFERROR(__xludf.DUMMYFUNCTION("IF($I267="""","""",IFERROR(INDEX(FILTER(Response_Lists!$B:$B,Response_Lists!$A:$A=$H268),5),""""))"),"")</f>
        <v/>
      </c>
      <c r="O268" s="28" t="str">
        <f>IFERROR(__xludf.DUMMYFUNCTION("IF($I267="""","""",IFERROR(INDEX(FILTER(Response_Lists!$B:$B,Response_Lists!$A:$A=$H268),6),""""))"),"")</f>
        <v/>
      </c>
      <c r="P268" s="28" t="str">
        <f t="shared" si="6"/>
        <v/>
      </c>
      <c r="Q268" s="28" t="str">
        <f t="array" ref="Q268">IF($I267="","",XLOOKUP(C268,FSM_State_Map!A:A,FSM_State_Map!D:D,""))</f>
        <v/>
      </c>
      <c r="R268" s="28" t="str">
        <f t="shared" si="7"/>
        <v/>
      </c>
      <c r="S268" s="28" t="str">
        <f t="array" ref="S268">IF($I267="","",
IF(
  AND(C268="B",C267&lt;&gt;"B"),
  XLOOKUP($B268,Derived_Variables!$A:$A,Derived_Variables!$K:$K,0)
  + XLOOKUP($B268,Derived_Variables!$A:$A,Derived_Variables!$AE:$AE,0),
  S267+AM267
))</f>
        <v/>
      </c>
      <c r="T268" s="28" t="str">
        <f t="shared" ref="T268:U268" si="546">IF($I267="","",T267+AN267)</f>
        <v/>
      </c>
      <c r="U268" s="28" t="str">
        <f t="shared" si="546"/>
        <v/>
      </c>
      <c r="V268" s="28" t="str">
        <f t="array" ref="V268">IF($I267="","",
IF(
  AND(C268="D",C267&lt;&gt;"D"),
  XLOOKUP($B268,Derived_Variables!$A:$A,Derived_Variables!$N:$N,0)
  + XLOOKUP($B268,Derived_Variables!$A:$A,Derived_Variables!$AE:$AE,0),
  V267+AP267
))</f>
        <v/>
      </c>
      <c r="W268" s="28" t="str">
        <f t="shared" ref="W268:X268" si="547">IF($I267="","",W267+AQ267)</f>
        <v/>
      </c>
      <c r="X268" s="28" t="str">
        <f t="shared" si="547"/>
        <v/>
      </c>
      <c r="Y268" s="28" t="str">
        <f t="array" ref="Y268">IF($I267="","",IF(AND(C268="P",C267&lt;&gt;"P"),IFERROR(XLOOKUP($B268,Lenso_Input!$A:$A,Lenso_Input!$E:$E,0),0),Y267+AS267))</f>
        <v/>
      </c>
      <c r="Z268" s="28" t="str">
        <f t="array" ref="Z268">IF($I267="","",IF(AND(C268="Q",C267&lt;&gt;"Q"),IFERROR(XLOOKUP($B268,Lenso_Input!$A:$A,Lenso_Input!$I:$I,0),0),Z267+AT267))</f>
        <v/>
      </c>
      <c r="AA268" s="28" t="str">
        <f t="array" ref="AA268">IF($I267="","",IF(XLOOKUP($B268,Derived_Variables!$A:$A,Derived_Variables!$R:$R,"6/6_target")="6/6_target","20_20_20","40_30_25"))</f>
        <v/>
      </c>
      <c r="AB268" s="28" t="str">
        <f t="array" ref="AB268">IF($I267="","",XLOOKUP(LOWER(XLOOKUP($B268,Derived_Variables!$A:$A,Derived_Variables!$T:$T,"Standard"))&amp;"_sph_step",Calibration!$B:$B,Calibration!$C:$C,0.25))</f>
        <v/>
      </c>
      <c r="AC268" s="28" t="str">
        <f t="array" ref="AC268">IF($I267="","",XLOOKUP(LOWER(XLOOKUP($B268,Derived_Variables!$A:$A,Derived_Variables!$T:$T,"Standard"))&amp;"_cyl_step",Calibration!$B:$B,Calibration!$C:$C,0.25))</f>
        <v/>
      </c>
      <c r="AD268" s="28" t="str">
        <f t="array" ref="AD268">IF($I267="","",IF(OR(C268="E",C268="H"),LET(startStep,XLOOKUP("axis_start_step",Calibration!$B:$B,Calibration!$C:$C,5),step1,XLOOKUP("axis_reversal_step_1",Calibration!$B:$B,Calibration!$C:$C,3),step2,XLOOKUP("axis_reversal_step_2",Calibration!$B:$B,Calibration!$C:$C,1),IF(OR(C267&lt;&gt;C268,AZ268="",AZ268="SAME",AZ268="CANT_TELL",I268="",I268="SAME",I268="CANT_TELL"),startStep,IF(OR(AND(AZ268="BETTER_1",I268="BETTER_2"),AND(AZ268="BETTER_2",I268="BETTER_1")),IF(AD267&gt;step1,step1,step2),AD267))),0))</f>
        <v/>
      </c>
      <c r="AE268" s="28" t="str">
        <f t="array" ref="AE268">IF($I267="","",XLOOKUP($B268,Derived_Variables!$A:$A,Derived_Variables!$AD:$AD,"No_Fog"))</f>
        <v/>
      </c>
      <c r="AF268" s="28" t="str">
        <f t="array" ref="AF268">IF($I267="","",XLOOKUP($B268,Derived_Variables!$A:$A,Derived_Variables!$AE:$AE,0))</f>
        <v/>
      </c>
      <c r="AG268" s="28" t="str">
        <f t="array" ref="AG268">IF($I267="","",XLOOKUP($B268,Derived_Variables!$A:$A,Derived_Variables!$AF:$AF,""))</f>
        <v/>
      </c>
      <c r="AH268" s="28" t="str">
        <f t="array" ref="AH268">IF($I267="","",XLOOKUP($B268,Derived_Variables!$A:$A,Derived_Variables!$AG:$AG,""))</f>
        <v/>
      </c>
      <c r="AI268" s="28" t="str">
        <f t="array" ref="AI268">IF($I267="","",XLOOKUP($B268,Derived_Variables!$A:$A,Derived_Variables!$AC:$AC,"Medium"))</f>
        <v/>
      </c>
      <c r="AJ268" s="28" t="str">
        <f t="array" ref="AJ268">IF($I267="","",XLOOKUP($B268,Derived_Variables!$A:$A,Derived_Variables!$Y:$Y,FALSE))</f>
        <v/>
      </c>
      <c r="AK268" s="28" t="str">
        <f t="array" ref="AK268">IF($I267="","",XLOOKUP($B268,Derived_Variables!$A:$A,Derived_Variables!$AA:$AA,"Normal"))</f>
        <v/>
      </c>
      <c r="AL268" s="28" t="str">
        <f t="array" ref="AL268">IF($I267="","",XLOOKUP($B268,Derived_Variables!$A:$A,Derived_Variables!$AB:$AB,"Normal"))</f>
        <v/>
      </c>
      <c r="AM268" s="28" t="str">
        <f t="array" ref="AM268">IF($I268="","",IFS(C268="B",IF(OR(I268="NOT_READABLE",I268="BLURRY"),-AB268,0),C268="G",IFS(I268="RED_CLEARER",XLOOKUP("duochrome_red_step",Calibration!$B:$B,Calibration!$C:$C,-0.25),I268="GREEN_CLEARER",XLOOKUP("duochrome_green_step",Calibration!$B:$B,Calibration!$C:$C,0.25),I268="EQUAL",IF(XLOOKUP($B268,Derived_Variables!$A:$A,Derived_Variables!$S:$S,"Neutral")="Undercorrect",XLOOKUP("undercorrect_step",Calibration!$B:$B,Calibration!$C:$C,0.25),IF(XLOOKUP($B268,Derived_Variables!$A:$A,Derived_Variables!$S:$S,"Neutral")="Overcorrect",-XLOOKUP("overcorrect_step",Calibration!$B:$B,Calibration!$C:$C,0.25),0)),TRUE,0),C268="K",IF(I268="TOP_CLEARER",XLOOKUP("bino_balance_step",Calibration!$B:$B,Calibration!$C:$C,0.25),0),TRUE,0))</f>
        <v/>
      </c>
      <c r="AN268" s="28" t="str">
        <f t="shared" si="10"/>
        <v/>
      </c>
      <c r="AO268" s="28" t="str">
        <f t="shared" si="11"/>
        <v/>
      </c>
      <c r="AP268" s="28" t="str">
        <f t="array" ref="AP268">IF($I268="","",IFS(C268="D",IF(OR(I268="NOT_READABLE",I268="BLURRY"),-AB268,0),C268="J",IFS(I268="RED_CLEARER",XLOOKUP("duochrome_red_step",Calibration!$B:$B,Calibration!$C:$C,-0.25),I268="GREEN_CLEARER",XLOOKUP("duochrome_green_step",Calibration!$B:$B,Calibration!$C:$C,0.25),I268="EQUAL",IF(XLOOKUP($B268,Derived_Variables!$A:$A,Derived_Variables!$S:$S,"Neutral")="Undercorrect",XLOOKUP("undercorrect_step",Calibration!$B:$B,Calibration!$C:$C,0.25),IF(XLOOKUP($B268,Derived_Variables!$A:$A,Derived_Variables!$S:$S,"Neutral")="Overcorrect",-XLOOKUP("overcorrect_step",Calibration!$B:$B,Calibration!$C:$C,0.25),0)),TRUE,0),C268="K",IF(I268="BOTTOM_CLEARER",XLOOKUP("bino_balance_step",Calibration!$B:$B,Calibration!$C:$C,0.25),0),TRUE,0))</f>
        <v/>
      </c>
      <c r="AQ268" s="28" t="str">
        <f t="shared" si="12"/>
        <v/>
      </c>
      <c r="AR268" s="28" t="str">
        <f t="shared" si="13"/>
        <v/>
      </c>
      <c r="AS268" s="28" t="str">
        <f t="array" ref="AS268">IF($I268="","",IF(C268="P",IF(OR(I268="NOT_READABLE",I268="BLURRY"),XLOOKUP("near_add_step",Calibration!$B:$B,Calibration!$C:$C,0.25),0),IF(C268="R",IF(I268="NOT_CLEAR",XLOOKUP("near_add_step",Calibration!$B:$B,Calibration!$C:$C,0.25),0),0)))</f>
        <v/>
      </c>
      <c r="AT268" s="28" t="str">
        <f t="array" ref="AT268">IF($I268="","",IF(C268="Q",IF(OR(I268="NOT_READABLE",I268="BLURRY"),XLOOKUP("near_add_step",Calibration!$B:$B,Calibration!$C:$C,0.25),0),IF(C268="R",IF(I268="NOT_CLEAR",XLOOKUP("near_add_step",Calibration!$B:$B,Calibration!$C:$C,0.25),0),0)))</f>
        <v/>
      </c>
      <c r="AU268" s="28" t="str">
        <f t="array" ref="AU268">IF($I268="","",IF(G268="SNELLEN_FEET",IF(I268="READABLE",IFERROR(XLOOKUP(XLOOKUP(R268,Chart_Scale_Distance!B:B,Chart_Scale_Distance!A:A)+1,Chart_Scale_Distance!A:A,Chart_Scale_Distance!B:B),R268),R268),R268))</f>
        <v/>
      </c>
      <c r="AV268" s="28" t="str">
        <f t="array" ref="AV268">IF($I267="","",IFERROR(XLOOKUP(R268,Chart_Scale_Distance!$B:$B,Chart_Scale_Distance!$A:$A,""),""))</f>
        <v/>
      </c>
      <c r="AW268" s="28" t="str">
        <f t="array" ref="AW268">IF($I267="","",IFERROR(XLOOKUP(AA268,Chart_Scale_Distance!$B:$B,Chart_Scale_Distance!$A:$A,""),""))</f>
        <v/>
      </c>
      <c r="AX268" s="28" t="str">
        <f t="shared" si="14"/>
        <v/>
      </c>
      <c r="AY268" s="28" t="str">
        <f t="shared" si="15"/>
        <v/>
      </c>
      <c r="AZ268" s="28" t="str">
        <f t="shared" si="16"/>
        <v/>
      </c>
      <c r="BA268" s="28" t="str">
        <f t="shared" si="17"/>
        <v/>
      </c>
      <c r="BB268" s="28" t="str">
        <f t="shared" si="18"/>
        <v/>
      </c>
      <c r="BC268" s="28" t="str">
        <f t="array" ref="BC268">IF($I268="","",LET(
conf,AI268,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duoMax,XLOOKUP($B268,Derived_Variables!$A:$A,Derived_Variables!$AI:$AI,4),
axisTol,XLOOKUP($B268,Derived_Variables!$A:$A,Derived_Variables!$W:$W,1),
maxStart,XLOOKUP($B268,Derived_Variables!$A:$A,Derived_Variables!$U:$U,1.25),
maxAR,XLOOKUP($B268,Derived_Variables!$A:$A,Derived_Variables!$V:$V,3),
anom,XLOOKUP($B268,Derived_Variables!$A:$A,Derived_Variables!$Z:$Z,FALSE),
reStart,XLOOKUP($B268,Derived_Variables!$A:$A,Derived_Variables!$K:$K,0),
leStart,XLOOKUP($B268,Derived_Variables!$A:$A,Derived_Variables!$N:$N,0),
reAR,XLOOKUP($B268,AR_Input!$A:$A,AR_Input!$B:$B,reStart),
leAR,XLOOKUP($B268,AR_Input!$A:$A,AR_Input!$E:$E,leStart),
reEsc,AND(anom,OR(ABS((S268+AM268)-reStart)&gt;maxStart,ABS((S268+AM268)-reAR)&gt;maxAR)),
leEsc,AND(anom,OR(ABS((V268+AP268)-leStart)&gt;maxStart,ABS((V268+AP268)-leAR)&gt;maxAR)),
phaseMax,IFS(
 AK268="Fast",
   IFS(
     OR(C268="B",C268="D"),XLOOKUP("timeout_coarse_fast",Calibration!$B:$B,Calibration!$C:$C,24),
     OR(C268="E",C268="F",C268="H",C268="I"),XLOOKUP("timeout_jcc_fast",Calibration!$B:$B,Calibration!$C:$C,10),
     OR(C268="G",C268="J"),XLOOKUP("timeout_duochrome_fast",Calibration!$B:$B,Calibration!$C:$C,8),
     C268="K",XLOOKUP("timeout_bino_fast",Calibration!$B:$B,Calibration!$C:$C,10),
     OR(C268="P",C268="Q",C268="R"),XLOOKUP("timeout_near_fast",Calibration!$B:$B,Calibration!$C:$C,16),
     TRUE,XLOOKUP("timeout_coarse_fast",Calibration!$B:$B,Calibration!$C:$C,24)
   ),
 AK268="Normal",
   IFS(
     OR(C268="B",C268="D"),XLOOKUP("timeout_coarse_normal",Calibration!$B:$B,Calibration!$C:$C,36),
     OR(C268="E",C268="F",C268="H",C268="I"),XLOOKUP("timeout_jcc_normal",Calibration!$B:$B,Calibration!$C:$C,14),
     OR(C268="G",C268="J"),XLOOKUP("timeout_duochrome_normal",Calibration!$B:$B,Calibration!$C:$C,10),
     C268="K",XLOOKUP("timeout_bino_normal",Calibration!$B:$B,Calibration!$C:$C,14),
     OR(C268="P",C268="Q",C268="R"),XLOOKUP("timeout_near_normal",Calibration!$B:$B,Calibration!$C:$C,22),
     TRUE,XLOOKUP("timeout_coarse_normal",Calibration!$B:$B,Calibration!$C:$C,36)
   ),
 TRUE,
   IFS(
     OR(C268="B",C268="D"),XLOOKUP("timeout_coarse_slow",Calibration!$B:$B,Calibration!$C:$C,48),
     OR(C268="E",C268="F",C268="H",C268="I"),XLOOKUP("timeout_jcc_slow",Calibration!$B:$B,Calibration!$C:$C,18),
     OR(C268="G",C268="J"),XLOOKUP("timeout_duochrome_slow",Calibration!$B:$B,Calibration!$C:$C,12),
     C268="K",XLOOKUP("timeout_bino_slow",Calibration!$B:$B,Calibration!$C:$C,18),
     OR(C268="P",C268="Q",C268="R"),XLOOKUP("timeout_near_slow",Calibration!$B:$B,Calibration!$C:$C,28),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AJ268=TRUE,"ESCALATE",
C268="A",
IF(OR(I268="NOT_READABLE",I268="BLURRY",AND(R268="20_20_20",I268="READABLE")),"B","A"),
C268="B",
IF(reEsc,"ESCALATE",IF(AY268&gt;=phaseMax,"ESCALATE",IF(AND(AV268&gt;=AW268,I268="READABLE"),"E","B"))),
C268="E",
IF(AY268&gt;=phaseMax,"ESCALATE",IF(OR(I268="SAME",I268="CANT_TELL",AD268&lt;axisTol),"F","E")),
C268="F",
IF(AY268&gt;=phaseMax,"ESCALATE",IF(AX268&gt;=powerSameN,"G","F")),
C268="G",
IF(AY268&gt;=phaseMax,"ESCALATE",IF(OR(AX268&gt;=duoEqualN,BB268&gt;=duoMax),"D","G")),
C268="D",
IF(leEsc,"ESCALATE",IF(AY268&gt;=phaseMax,"ESCALATE",IF(AND(AV268&gt;=AW268,I268="READABLE"),"H","D"))),
C268="H",
IF(AY268&gt;=phaseMax,"ESCALATE",IF(OR(I268="SAME",I268="CANT_TELL",AD268&lt;axisTol),"I","H")),
C268="I",
IF(AY268&gt;=phaseMax,"ESCALATE",IF(AX268&gt;=powerSameN,"J","I")),
C268="J",
IF(AY268&gt;=phaseMax,"ESCALATE",IF(OR(AX268&gt;=duoEqualN,BB268&gt;=duoMax),"K","J")),
C268="K",
IF(AY268&gt;=phaseMax,"ESCALATE",IF(AX268&gt;=binoSameN,IF(XLOOKUP($B268,Derived_Variables!$A:$A,Derived_Variables!$AJ:$AJ,FALSE)=TRUE,"P","END"),"K")),
C268="P",
IF(AY268&gt;=phaseMax,"ESCALATE",IF(OR(I268="READABLE",I268="SAME"),"Q","P")),
C268="Q",
IF(AY268&gt;=phaseMax,"ESCALATE",IF(OR(I268="READABLE",I268="SAME"),"R","Q")),
C268="R",
IF(AY268&gt;=phaseMax,"ESCALATE",IF(OR(I268=nearTarget,I268="SAME"),"END","R")),
TRUE,"END"
)))</f>
        <v/>
      </c>
      <c r="BD268" s="28" t="b">
        <f t="shared" si="19"/>
        <v>0</v>
      </c>
    </row>
    <row r="269" ht="15.75" customHeight="1">
      <c r="A269" s="28">
        <f t="shared" si="3"/>
        <v>268</v>
      </c>
      <c r="B269" s="28">
        <f t="shared" si="4"/>
        <v>6</v>
      </c>
      <c r="C269" s="28" t="str">
        <f t="shared" si="5"/>
        <v/>
      </c>
      <c r="D269" s="28" t="str">
        <f t="array" ref="D269">IF($I268="","",XLOOKUP(C269,FSM_State_Map!A:A,FSM_State_Map!B:B,""))</f>
        <v/>
      </c>
      <c r="E269" s="28" t="str">
        <f t="array" ref="E269">IF($I268="","",XLOOKUP(C269,FSM_State_Map!A:A,FSM_State_Map!C:C,""))</f>
        <v/>
      </c>
      <c r="F269" s="28" t="str">
        <f t="array" ref="F269">IF($I268="","",XLOOKUP(E269,Phase_UI_Map!A:A,Phase_UI_Map!B:B,""))</f>
        <v/>
      </c>
      <c r="G269" s="28" t="str">
        <f t="array" ref="G269">IF($I268="","",XLOOKUP(E269,Phase_UI_Map!A:A,Phase_UI_Map!C:C,""))</f>
        <v/>
      </c>
      <c r="H269" s="28" t="str">
        <f t="array" ref="H269">IF($I268="","",XLOOKUP(E269,Phase_UI_Map!A:A,Phase_UI_Map!D:D,""))</f>
        <v/>
      </c>
      <c r="I269" s="29"/>
      <c r="J269" s="28" t="str">
        <f>IFERROR(__xludf.DUMMYFUNCTION("IF($I268="""","""",IFERROR(INDEX(FILTER(Response_Lists!$B:$B,Response_Lists!$A:$A=$H269),1),""""))"),"")</f>
        <v/>
      </c>
      <c r="K269" s="28" t="str">
        <f>IFERROR(__xludf.DUMMYFUNCTION("IF($I268="""","""",IFERROR(INDEX(FILTER(Response_Lists!$B:$B,Response_Lists!$A:$A=$H269),2),""""))"),"")</f>
        <v/>
      </c>
      <c r="L269" s="28" t="str">
        <f>IFERROR(__xludf.DUMMYFUNCTION("IF($I268="""","""",IFERROR(INDEX(FILTER(Response_Lists!$B:$B,Response_Lists!$A:$A=$H269),3),""""))"),"")</f>
        <v/>
      </c>
      <c r="M269" s="28" t="str">
        <f>IFERROR(__xludf.DUMMYFUNCTION("IF($I268="""","""",IFERROR(INDEX(FILTER(Response_Lists!$B:$B,Response_Lists!$A:$A=$H269),4),""""))"),"")</f>
        <v/>
      </c>
      <c r="N269" s="28" t="str">
        <f>IFERROR(__xludf.DUMMYFUNCTION("IF($I268="""","""",IFERROR(INDEX(FILTER(Response_Lists!$B:$B,Response_Lists!$A:$A=$H269),5),""""))"),"")</f>
        <v/>
      </c>
      <c r="O269" s="28" t="str">
        <f>IFERROR(__xludf.DUMMYFUNCTION("IF($I268="""","""",IFERROR(INDEX(FILTER(Response_Lists!$B:$B,Response_Lists!$A:$A=$H269),6),""""))"),"")</f>
        <v/>
      </c>
      <c r="P269" s="28" t="str">
        <f t="shared" si="6"/>
        <v/>
      </c>
      <c r="Q269" s="28" t="str">
        <f t="array" ref="Q269">IF($I268="","",XLOOKUP(C269,FSM_State_Map!A:A,FSM_State_Map!D:D,""))</f>
        <v/>
      </c>
      <c r="R269" s="28" t="str">
        <f t="shared" si="7"/>
        <v/>
      </c>
      <c r="S269" s="28" t="str">
        <f t="array" ref="S269">IF($I268="","",
IF(
  AND(C269="B",C268&lt;&gt;"B"),
  XLOOKUP($B269,Derived_Variables!$A:$A,Derived_Variables!$K:$K,0)
  + XLOOKUP($B269,Derived_Variables!$A:$A,Derived_Variables!$AE:$AE,0),
  S268+AM268
))</f>
        <v/>
      </c>
      <c r="T269" s="28" t="str">
        <f t="shared" ref="T269:U269" si="548">IF($I268="","",T268+AN268)</f>
        <v/>
      </c>
      <c r="U269" s="28" t="str">
        <f t="shared" si="548"/>
        <v/>
      </c>
      <c r="V269" s="28" t="str">
        <f t="array" ref="V269">IF($I268="","",
IF(
  AND(C269="D",C268&lt;&gt;"D"),
  XLOOKUP($B269,Derived_Variables!$A:$A,Derived_Variables!$N:$N,0)
  + XLOOKUP($B269,Derived_Variables!$A:$A,Derived_Variables!$AE:$AE,0),
  V268+AP268
))</f>
        <v/>
      </c>
      <c r="W269" s="28" t="str">
        <f t="shared" ref="W269:X269" si="549">IF($I268="","",W268+AQ268)</f>
        <v/>
      </c>
      <c r="X269" s="28" t="str">
        <f t="shared" si="549"/>
        <v/>
      </c>
      <c r="Y269" s="28" t="str">
        <f t="array" ref="Y269">IF($I268="","",IF(AND(C269="P",C268&lt;&gt;"P"),IFERROR(XLOOKUP($B269,Lenso_Input!$A:$A,Lenso_Input!$E:$E,0),0),Y268+AS268))</f>
        <v/>
      </c>
      <c r="Z269" s="28" t="str">
        <f t="array" ref="Z269">IF($I268="","",IF(AND(C269="Q",C268&lt;&gt;"Q"),IFERROR(XLOOKUP($B269,Lenso_Input!$A:$A,Lenso_Input!$I:$I,0),0),Z268+AT268))</f>
        <v/>
      </c>
      <c r="AA269" s="28" t="str">
        <f t="array" ref="AA269">IF($I268="","",IF(XLOOKUP($B269,Derived_Variables!$A:$A,Derived_Variables!$R:$R,"6/6_target")="6/6_target","20_20_20","40_30_25"))</f>
        <v/>
      </c>
      <c r="AB269" s="28" t="str">
        <f t="array" ref="AB269">IF($I268="","",XLOOKUP(LOWER(XLOOKUP($B269,Derived_Variables!$A:$A,Derived_Variables!$T:$T,"Standard"))&amp;"_sph_step",Calibration!$B:$B,Calibration!$C:$C,0.25))</f>
        <v/>
      </c>
      <c r="AC269" s="28" t="str">
        <f t="array" ref="AC269">IF($I268="","",XLOOKUP(LOWER(XLOOKUP($B269,Derived_Variables!$A:$A,Derived_Variables!$T:$T,"Standard"))&amp;"_cyl_step",Calibration!$B:$B,Calibration!$C:$C,0.25))</f>
        <v/>
      </c>
      <c r="AD269" s="28" t="str">
        <f t="array" ref="AD269">IF($I268="","",IF(OR(C269="E",C269="H"),LET(startStep,XLOOKUP("axis_start_step",Calibration!$B:$B,Calibration!$C:$C,5),step1,XLOOKUP("axis_reversal_step_1",Calibration!$B:$B,Calibration!$C:$C,3),step2,XLOOKUP("axis_reversal_step_2",Calibration!$B:$B,Calibration!$C:$C,1),IF(OR(C268&lt;&gt;C269,AZ269="",AZ269="SAME",AZ269="CANT_TELL",I269="",I269="SAME",I269="CANT_TELL"),startStep,IF(OR(AND(AZ269="BETTER_1",I269="BETTER_2"),AND(AZ269="BETTER_2",I269="BETTER_1")),IF(AD268&gt;step1,step1,step2),AD268))),0))</f>
        <v/>
      </c>
      <c r="AE269" s="28" t="str">
        <f t="array" ref="AE269">IF($I268="","",XLOOKUP($B269,Derived_Variables!$A:$A,Derived_Variables!$AD:$AD,"No_Fog"))</f>
        <v/>
      </c>
      <c r="AF269" s="28" t="str">
        <f t="array" ref="AF269">IF($I268="","",XLOOKUP($B269,Derived_Variables!$A:$A,Derived_Variables!$AE:$AE,0))</f>
        <v/>
      </c>
      <c r="AG269" s="28" t="str">
        <f t="array" ref="AG269">IF($I268="","",XLOOKUP($B269,Derived_Variables!$A:$A,Derived_Variables!$AF:$AF,""))</f>
        <v/>
      </c>
      <c r="AH269" s="28" t="str">
        <f t="array" ref="AH269">IF($I268="","",XLOOKUP($B269,Derived_Variables!$A:$A,Derived_Variables!$AG:$AG,""))</f>
        <v/>
      </c>
      <c r="AI269" s="28" t="str">
        <f t="array" ref="AI269">IF($I268="","",XLOOKUP($B269,Derived_Variables!$A:$A,Derived_Variables!$AC:$AC,"Medium"))</f>
        <v/>
      </c>
      <c r="AJ269" s="28" t="str">
        <f t="array" ref="AJ269">IF($I268="","",XLOOKUP($B269,Derived_Variables!$A:$A,Derived_Variables!$Y:$Y,FALSE))</f>
        <v/>
      </c>
      <c r="AK269" s="28" t="str">
        <f t="array" ref="AK269">IF($I268="","",XLOOKUP($B269,Derived_Variables!$A:$A,Derived_Variables!$AA:$AA,"Normal"))</f>
        <v/>
      </c>
      <c r="AL269" s="28" t="str">
        <f t="array" ref="AL269">IF($I268="","",XLOOKUP($B269,Derived_Variables!$A:$A,Derived_Variables!$AB:$AB,"Normal"))</f>
        <v/>
      </c>
      <c r="AM269" s="28" t="str">
        <f t="array" ref="AM269">IF($I269="","",IFS(C269="B",IF(OR(I269="NOT_READABLE",I269="BLURRY"),-AB269,0),C269="G",IFS(I269="RED_CLEARER",XLOOKUP("duochrome_red_step",Calibration!$B:$B,Calibration!$C:$C,-0.25),I269="GREEN_CLEARER",XLOOKUP("duochrome_green_step",Calibration!$B:$B,Calibration!$C:$C,0.25),I269="EQUAL",IF(XLOOKUP($B269,Derived_Variables!$A:$A,Derived_Variables!$S:$S,"Neutral")="Undercorrect",XLOOKUP("undercorrect_step",Calibration!$B:$B,Calibration!$C:$C,0.25),IF(XLOOKUP($B269,Derived_Variables!$A:$A,Derived_Variables!$S:$S,"Neutral")="Overcorrect",-XLOOKUP("overcorrect_step",Calibration!$B:$B,Calibration!$C:$C,0.25),0)),TRUE,0),C269="K",IF(I269="TOP_CLEARER",XLOOKUP("bino_balance_step",Calibration!$B:$B,Calibration!$C:$C,0.25),0),TRUE,0))</f>
        <v/>
      </c>
      <c r="AN269" s="28" t="str">
        <f t="shared" si="10"/>
        <v/>
      </c>
      <c r="AO269" s="28" t="str">
        <f t="shared" si="11"/>
        <v/>
      </c>
      <c r="AP269" s="28" t="str">
        <f t="array" ref="AP269">IF($I269="","",IFS(C269="D",IF(OR(I269="NOT_READABLE",I269="BLURRY"),-AB269,0),C269="J",IFS(I269="RED_CLEARER",XLOOKUP("duochrome_red_step",Calibration!$B:$B,Calibration!$C:$C,-0.25),I269="GREEN_CLEARER",XLOOKUP("duochrome_green_step",Calibration!$B:$B,Calibration!$C:$C,0.25),I269="EQUAL",IF(XLOOKUP($B269,Derived_Variables!$A:$A,Derived_Variables!$S:$S,"Neutral")="Undercorrect",XLOOKUP("undercorrect_step",Calibration!$B:$B,Calibration!$C:$C,0.25),IF(XLOOKUP($B269,Derived_Variables!$A:$A,Derived_Variables!$S:$S,"Neutral")="Overcorrect",-XLOOKUP("overcorrect_step",Calibration!$B:$B,Calibration!$C:$C,0.25),0)),TRUE,0),C269="K",IF(I269="BOTTOM_CLEARER",XLOOKUP("bino_balance_step",Calibration!$B:$B,Calibration!$C:$C,0.25),0),TRUE,0))</f>
        <v/>
      </c>
      <c r="AQ269" s="28" t="str">
        <f t="shared" si="12"/>
        <v/>
      </c>
      <c r="AR269" s="28" t="str">
        <f t="shared" si="13"/>
        <v/>
      </c>
      <c r="AS269" s="28" t="str">
        <f t="array" ref="AS269">IF($I269="","",IF(C269="P",IF(OR(I269="NOT_READABLE",I269="BLURRY"),XLOOKUP("near_add_step",Calibration!$B:$B,Calibration!$C:$C,0.25),0),IF(C269="R",IF(I269="NOT_CLEAR",XLOOKUP("near_add_step",Calibration!$B:$B,Calibration!$C:$C,0.25),0),0)))</f>
        <v/>
      </c>
      <c r="AT269" s="28" t="str">
        <f t="array" ref="AT269">IF($I269="","",IF(C269="Q",IF(OR(I269="NOT_READABLE",I269="BLURRY"),XLOOKUP("near_add_step",Calibration!$B:$B,Calibration!$C:$C,0.25),0),IF(C269="R",IF(I269="NOT_CLEAR",XLOOKUP("near_add_step",Calibration!$B:$B,Calibration!$C:$C,0.25),0),0)))</f>
        <v/>
      </c>
      <c r="AU269" s="28" t="str">
        <f t="array" ref="AU269">IF($I269="","",IF(G269="SNELLEN_FEET",IF(I269="READABLE",IFERROR(XLOOKUP(XLOOKUP(R269,Chart_Scale_Distance!B:B,Chart_Scale_Distance!A:A)+1,Chart_Scale_Distance!A:A,Chart_Scale_Distance!B:B),R269),R269),R269))</f>
        <v/>
      </c>
      <c r="AV269" s="28" t="str">
        <f t="array" ref="AV269">IF($I268="","",IFERROR(XLOOKUP(R269,Chart_Scale_Distance!$B:$B,Chart_Scale_Distance!$A:$A,""),""))</f>
        <v/>
      </c>
      <c r="AW269" s="28" t="str">
        <f t="array" ref="AW269">IF($I268="","",IFERROR(XLOOKUP(AA269,Chart_Scale_Distance!$B:$B,Chart_Scale_Distance!$A:$A,""),""))</f>
        <v/>
      </c>
      <c r="AX269" s="28" t="str">
        <f t="shared" si="14"/>
        <v/>
      </c>
      <c r="AY269" s="28" t="str">
        <f t="shared" si="15"/>
        <v/>
      </c>
      <c r="AZ269" s="28" t="str">
        <f t="shared" si="16"/>
        <v/>
      </c>
      <c r="BA269" s="28" t="str">
        <f t="shared" si="17"/>
        <v/>
      </c>
      <c r="BB269" s="28" t="str">
        <f t="shared" si="18"/>
        <v/>
      </c>
      <c r="BC269" s="28" t="str">
        <f t="array" ref="BC269">IF($I269="","",LET(
conf,AI269,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duoMax,XLOOKUP($B269,Derived_Variables!$A:$A,Derived_Variables!$AI:$AI,4),
axisTol,XLOOKUP($B269,Derived_Variables!$A:$A,Derived_Variables!$W:$W,1),
maxStart,XLOOKUP($B269,Derived_Variables!$A:$A,Derived_Variables!$U:$U,1.25),
maxAR,XLOOKUP($B269,Derived_Variables!$A:$A,Derived_Variables!$V:$V,3),
anom,XLOOKUP($B269,Derived_Variables!$A:$A,Derived_Variables!$Z:$Z,FALSE),
reStart,XLOOKUP($B269,Derived_Variables!$A:$A,Derived_Variables!$K:$K,0),
leStart,XLOOKUP($B269,Derived_Variables!$A:$A,Derived_Variables!$N:$N,0),
reAR,XLOOKUP($B269,AR_Input!$A:$A,AR_Input!$B:$B,reStart),
leAR,XLOOKUP($B269,AR_Input!$A:$A,AR_Input!$E:$E,leStart),
reEsc,AND(anom,OR(ABS((S269+AM269)-reStart)&gt;maxStart,ABS((S269+AM269)-reAR)&gt;maxAR)),
leEsc,AND(anom,OR(ABS((V269+AP269)-leStart)&gt;maxStart,ABS((V269+AP269)-leAR)&gt;maxAR)),
phaseMax,IFS(
 AK269="Fast",
   IFS(
     OR(C269="B",C269="D"),XLOOKUP("timeout_coarse_fast",Calibration!$B:$B,Calibration!$C:$C,24),
     OR(C269="E",C269="F",C269="H",C269="I"),XLOOKUP("timeout_jcc_fast",Calibration!$B:$B,Calibration!$C:$C,10),
     OR(C269="G",C269="J"),XLOOKUP("timeout_duochrome_fast",Calibration!$B:$B,Calibration!$C:$C,8),
     C269="K",XLOOKUP("timeout_bino_fast",Calibration!$B:$B,Calibration!$C:$C,10),
     OR(C269="P",C269="Q",C269="R"),XLOOKUP("timeout_near_fast",Calibration!$B:$B,Calibration!$C:$C,16),
     TRUE,XLOOKUP("timeout_coarse_fast",Calibration!$B:$B,Calibration!$C:$C,24)
   ),
 AK269="Normal",
   IFS(
     OR(C269="B",C269="D"),XLOOKUP("timeout_coarse_normal",Calibration!$B:$B,Calibration!$C:$C,36),
     OR(C269="E",C269="F",C269="H",C269="I"),XLOOKUP("timeout_jcc_normal",Calibration!$B:$B,Calibration!$C:$C,14),
     OR(C269="G",C269="J"),XLOOKUP("timeout_duochrome_normal",Calibration!$B:$B,Calibration!$C:$C,10),
     C269="K",XLOOKUP("timeout_bino_normal",Calibration!$B:$B,Calibration!$C:$C,14),
     OR(C269="P",C269="Q",C269="R"),XLOOKUP("timeout_near_normal",Calibration!$B:$B,Calibration!$C:$C,22),
     TRUE,XLOOKUP("timeout_coarse_normal",Calibration!$B:$B,Calibration!$C:$C,36)
   ),
 TRUE,
   IFS(
     OR(C269="B",C269="D"),XLOOKUP("timeout_coarse_slow",Calibration!$B:$B,Calibration!$C:$C,48),
     OR(C269="E",C269="F",C269="H",C269="I"),XLOOKUP("timeout_jcc_slow",Calibration!$B:$B,Calibration!$C:$C,18),
     OR(C269="G",C269="J"),XLOOKUP("timeout_duochrome_slow",Calibration!$B:$B,Calibration!$C:$C,12),
     C269="K",XLOOKUP("timeout_bino_slow",Calibration!$B:$B,Calibration!$C:$C,18),
     OR(C269="P",C269="Q",C269="R"),XLOOKUP("timeout_near_slow",Calibration!$B:$B,Calibration!$C:$C,28),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AJ269=TRUE,"ESCALATE",
C269="A",
IF(OR(I269="NOT_READABLE",I269="BLURRY",AND(R269="20_20_20",I269="READABLE")),"B","A"),
C269="B",
IF(reEsc,"ESCALATE",IF(AY269&gt;=phaseMax,"ESCALATE",IF(AND(AV269&gt;=AW269,I269="READABLE"),"E","B"))),
C269="E",
IF(AY269&gt;=phaseMax,"ESCALATE",IF(OR(I269="SAME",I269="CANT_TELL",AD269&lt;axisTol),"F","E")),
C269="F",
IF(AY269&gt;=phaseMax,"ESCALATE",IF(AX269&gt;=powerSameN,"G","F")),
C269="G",
IF(AY269&gt;=phaseMax,"ESCALATE",IF(OR(AX269&gt;=duoEqualN,BB269&gt;=duoMax),"D","G")),
C269="D",
IF(leEsc,"ESCALATE",IF(AY269&gt;=phaseMax,"ESCALATE",IF(AND(AV269&gt;=AW269,I269="READABLE"),"H","D"))),
C269="H",
IF(AY269&gt;=phaseMax,"ESCALATE",IF(OR(I269="SAME",I269="CANT_TELL",AD269&lt;axisTol),"I","H")),
C269="I",
IF(AY269&gt;=phaseMax,"ESCALATE",IF(AX269&gt;=powerSameN,"J","I")),
C269="J",
IF(AY269&gt;=phaseMax,"ESCALATE",IF(OR(AX269&gt;=duoEqualN,BB269&gt;=duoMax),"K","J")),
C269="K",
IF(AY269&gt;=phaseMax,"ESCALATE",IF(AX269&gt;=binoSameN,IF(XLOOKUP($B269,Derived_Variables!$A:$A,Derived_Variables!$AJ:$AJ,FALSE)=TRUE,"P","END"),"K")),
C269="P",
IF(AY269&gt;=phaseMax,"ESCALATE",IF(OR(I269="READABLE",I269="SAME"),"Q","P")),
C269="Q",
IF(AY269&gt;=phaseMax,"ESCALATE",IF(OR(I269="READABLE",I269="SAME"),"R","Q")),
C269="R",
IF(AY269&gt;=phaseMax,"ESCALATE",IF(OR(I269=nearTarget,I269="SAME"),"END","R")),
TRUE,"END"
)))</f>
        <v/>
      </c>
      <c r="BD269" s="28" t="b">
        <f t="shared" si="19"/>
        <v>0</v>
      </c>
    </row>
    <row r="270" ht="15.75" customHeight="1">
      <c r="A270" s="28">
        <f t="shared" si="3"/>
        <v>269</v>
      </c>
      <c r="B270" s="28">
        <f t="shared" si="4"/>
        <v>6</v>
      </c>
      <c r="C270" s="28" t="str">
        <f t="shared" si="5"/>
        <v/>
      </c>
      <c r="D270" s="28" t="str">
        <f t="array" ref="D270">IF($I269="","",XLOOKUP(C270,FSM_State_Map!A:A,FSM_State_Map!B:B,""))</f>
        <v/>
      </c>
      <c r="E270" s="28" t="str">
        <f t="array" ref="E270">IF($I269="","",XLOOKUP(C270,FSM_State_Map!A:A,FSM_State_Map!C:C,""))</f>
        <v/>
      </c>
      <c r="F270" s="28" t="str">
        <f t="array" ref="F270">IF($I269="","",XLOOKUP(E270,Phase_UI_Map!A:A,Phase_UI_Map!B:B,""))</f>
        <v/>
      </c>
      <c r="G270" s="28" t="str">
        <f t="array" ref="G270">IF($I269="","",XLOOKUP(E270,Phase_UI_Map!A:A,Phase_UI_Map!C:C,""))</f>
        <v/>
      </c>
      <c r="H270" s="28" t="str">
        <f t="array" ref="H270">IF($I269="","",XLOOKUP(E270,Phase_UI_Map!A:A,Phase_UI_Map!D:D,""))</f>
        <v/>
      </c>
      <c r="I270" s="29"/>
      <c r="J270" s="28" t="str">
        <f>IFERROR(__xludf.DUMMYFUNCTION("IF($I269="""","""",IFERROR(INDEX(FILTER(Response_Lists!$B:$B,Response_Lists!$A:$A=$H270),1),""""))"),"")</f>
        <v/>
      </c>
      <c r="K270" s="28" t="str">
        <f>IFERROR(__xludf.DUMMYFUNCTION("IF($I269="""","""",IFERROR(INDEX(FILTER(Response_Lists!$B:$B,Response_Lists!$A:$A=$H270),2),""""))"),"")</f>
        <v/>
      </c>
      <c r="L270" s="28" t="str">
        <f>IFERROR(__xludf.DUMMYFUNCTION("IF($I269="""","""",IFERROR(INDEX(FILTER(Response_Lists!$B:$B,Response_Lists!$A:$A=$H270),3),""""))"),"")</f>
        <v/>
      </c>
      <c r="M270" s="28" t="str">
        <f>IFERROR(__xludf.DUMMYFUNCTION("IF($I269="""","""",IFERROR(INDEX(FILTER(Response_Lists!$B:$B,Response_Lists!$A:$A=$H270),4),""""))"),"")</f>
        <v/>
      </c>
      <c r="N270" s="28" t="str">
        <f>IFERROR(__xludf.DUMMYFUNCTION("IF($I269="""","""",IFERROR(INDEX(FILTER(Response_Lists!$B:$B,Response_Lists!$A:$A=$H270),5),""""))"),"")</f>
        <v/>
      </c>
      <c r="O270" s="28" t="str">
        <f>IFERROR(__xludf.DUMMYFUNCTION("IF($I269="""","""",IFERROR(INDEX(FILTER(Response_Lists!$B:$B,Response_Lists!$A:$A=$H270),6),""""))"),"")</f>
        <v/>
      </c>
      <c r="P270" s="28" t="str">
        <f t="shared" si="6"/>
        <v/>
      </c>
      <c r="Q270" s="28" t="str">
        <f t="array" ref="Q270">IF($I269="","",XLOOKUP(C270,FSM_State_Map!A:A,FSM_State_Map!D:D,""))</f>
        <v/>
      </c>
      <c r="R270" s="28" t="str">
        <f t="shared" si="7"/>
        <v/>
      </c>
      <c r="S270" s="28" t="str">
        <f t="array" ref="S270">IF($I269="","",
IF(
  AND(C270="B",C269&lt;&gt;"B"),
  XLOOKUP($B270,Derived_Variables!$A:$A,Derived_Variables!$K:$K,0)
  + XLOOKUP($B270,Derived_Variables!$A:$A,Derived_Variables!$AE:$AE,0),
  S269+AM269
))</f>
        <v/>
      </c>
      <c r="T270" s="28" t="str">
        <f t="shared" ref="T270:U270" si="550">IF($I269="","",T269+AN269)</f>
        <v/>
      </c>
      <c r="U270" s="28" t="str">
        <f t="shared" si="550"/>
        <v/>
      </c>
      <c r="V270" s="28" t="str">
        <f t="array" ref="V270">IF($I269="","",
IF(
  AND(C270="D",C269&lt;&gt;"D"),
  XLOOKUP($B270,Derived_Variables!$A:$A,Derived_Variables!$N:$N,0)
  + XLOOKUP($B270,Derived_Variables!$A:$A,Derived_Variables!$AE:$AE,0),
  V269+AP269
))</f>
        <v/>
      </c>
      <c r="W270" s="28" t="str">
        <f t="shared" ref="W270:X270" si="551">IF($I269="","",W269+AQ269)</f>
        <v/>
      </c>
      <c r="X270" s="28" t="str">
        <f t="shared" si="551"/>
        <v/>
      </c>
      <c r="Y270" s="28" t="str">
        <f t="array" ref="Y270">IF($I269="","",IF(AND(C270="P",C269&lt;&gt;"P"),IFERROR(XLOOKUP($B270,Lenso_Input!$A:$A,Lenso_Input!$E:$E,0),0),Y269+AS269))</f>
        <v/>
      </c>
      <c r="Z270" s="28" t="str">
        <f t="array" ref="Z270">IF($I269="","",IF(AND(C270="Q",C269&lt;&gt;"Q"),IFERROR(XLOOKUP($B270,Lenso_Input!$A:$A,Lenso_Input!$I:$I,0),0),Z269+AT269))</f>
        <v/>
      </c>
      <c r="AA270" s="28" t="str">
        <f t="array" ref="AA270">IF($I269="","",IF(XLOOKUP($B270,Derived_Variables!$A:$A,Derived_Variables!$R:$R,"6/6_target")="6/6_target","20_20_20","40_30_25"))</f>
        <v/>
      </c>
      <c r="AB270" s="28" t="str">
        <f t="array" ref="AB270">IF($I269="","",XLOOKUP(LOWER(XLOOKUP($B270,Derived_Variables!$A:$A,Derived_Variables!$T:$T,"Standard"))&amp;"_sph_step",Calibration!$B:$B,Calibration!$C:$C,0.25))</f>
        <v/>
      </c>
      <c r="AC270" s="28" t="str">
        <f t="array" ref="AC270">IF($I269="","",XLOOKUP(LOWER(XLOOKUP($B270,Derived_Variables!$A:$A,Derived_Variables!$T:$T,"Standard"))&amp;"_cyl_step",Calibration!$B:$B,Calibration!$C:$C,0.25))</f>
        <v/>
      </c>
      <c r="AD270" s="28" t="str">
        <f t="array" ref="AD270">IF($I269="","",IF(OR(C270="E",C270="H"),LET(startStep,XLOOKUP("axis_start_step",Calibration!$B:$B,Calibration!$C:$C,5),step1,XLOOKUP("axis_reversal_step_1",Calibration!$B:$B,Calibration!$C:$C,3),step2,XLOOKUP("axis_reversal_step_2",Calibration!$B:$B,Calibration!$C:$C,1),IF(OR(C269&lt;&gt;C270,AZ270="",AZ270="SAME",AZ270="CANT_TELL",I270="",I270="SAME",I270="CANT_TELL"),startStep,IF(OR(AND(AZ270="BETTER_1",I270="BETTER_2"),AND(AZ270="BETTER_2",I270="BETTER_1")),IF(AD269&gt;step1,step1,step2),AD269))),0))</f>
        <v/>
      </c>
      <c r="AE270" s="28" t="str">
        <f t="array" ref="AE270">IF($I269="","",XLOOKUP($B270,Derived_Variables!$A:$A,Derived_Variables!$AD:$AD,"No_Fog"))</f>
        <v/>
      </c>
      <c r="AF270" s="28" t="str">
        <f t="array" ref="AF270">IF($I269="","",XLOOKUP($B270,Derived_Variables!$A:$A,Derived_Variables!$AE:$AE,0))</f>
        <v/>
      </c>
      <c r="AG270" s="28" t="str">
        <f t="array" ref="AG270">IF($I269="","",XLOOKUP($B270,Derived_Variables!$A:$A,Derived_Variables!$AF:$AF,""))</f>
        <v/>
      </c>
      <c r="AH270" s="28" t="str">
        <f t="array" ref="AH270">IF($I269="","",XLOOKUP($B270,Derived_Variables!$A:$A,Derived_Variables!$AG:$AG,""))</f>
        <v/>
      </c>
      <c r="AI270" s="28" t="str">
        <f t="array" ref="AI270">IF($I269="","",XLOOKUP($B270,Derived_Variables!$A:$A,Derived_Variables!$AC:$AC,"Medium"))</f>
        <v/>
      </c>
      <c r="AJ270" s="28" t="str">
        <f t="array" ref="AJ270">IF($I269="","",XLOOKUP($B270,Derived_Variables!$A:$A,Derived_Variables!$Y:$Y,FALSE))</f>
        <v/>
      </c>
      <c r="AK270" s="28" t="str">
        <f t="array" ref="AK270">IF($I269="","",XLOOKUP($B270,Derived_Variables!$A:$A,Derived_Variables!$AA:$AA,"Normal"))</f>
        <v/>
      </c>
      <c r="AL270" s="28" t="str">
        <f t="array" ref="AL270">IF($I269="","",XLOOKUP($B270,Derived_Variables!$A:$A,Derived_Variables!$AB:$AB,"Normal"))</f>
        <v/>
      </c>
      <c r="AM270" s="28" t="str">
        <f t="array" ref="AM270">IF($I270="","",IFS(C270="B",IF(OR(I270="NOT_READABLE",I270="BLURRY"),-AB270,0),C270="G",IFS(I270="RED_CLEARER",XLOOKUP("duochrome_red_step",Calibration!$B:$B,Calibration!$C:$C,-0.25),I270="GREEN_CLEARER",XLOOKUP("duochrome_green_step",Calibration!$B:$B,Calibration!$C:$C,0.25),I270="EQUAL",IF(XLOOKUP($B270,Derived_Variables!$A:$A,Derived_Variables!$S:$S,"Neutral")="Undercorrect",XLOOKUP("undercorrect_step",Calibration!$B:$B,Calibration!$C:$C,0.25),IF(XLOOKUP($B270,Derived_Variables!$A:$A,Derived_Variables!$S:$S,"Neutral")="Overcorrect",-XLOOKUP("overcorrect_step",Calibration!$B:$B,Calibration!$C:$C,0.25),0)),TRUE,0),C270="K",IF(I270="TOP_CLEARER",XLOOKUP("bino_balance_step",Calibration!$B:$B,Calibration!$C:$C,0.25),0),TRUE,0))</f>
        <v/>
      </c>
      <c r="AN270" s="28" t="str">
        <f t="shared" si="10"/>
        <v/>
      </c>
      <c r="AO270" s="28" t="str">
        <f t="shared" si="11"/>
        <v/>
      </c>
      <c r="AP270" s="28" t="str">
        <f t="array" ref="AP270">IF($I270="","",IFS(C270="D",IF(OR(I270="NOT_READABLE",I270="BLURRY"),-AB270,0),C270="J",IFS(I270="RED_CLEARER",XLOOKUP("duochrome_red_step",Calibration!$B:$B,Calibration!$C:$C,-0.25),I270="GREEN_CLEARER",XLOOKUP("duochrome_green_step",Calibration!$B:$B,Calibration!$C:$C,0.25),I270="EQUAL",IF(XLOOKUP($B270,Derived_Variables!$A:$A,Derived_Variables!$S:$S,"Neutral")="Undercorrect",XLOOKUP("undercorrect_step",Calibration!$B:$B,Calibration!$C:$C,0.25),IF(XLOOKUP($B270,Derived_Variables!$A:$A,Derived_Variables!$S:$S,"Neutral")="Overcorrect",-XLOOKUP("overcorrect_step",Calibration!$B:$B,Calibration!$C:$C,0.25),0)),TRUE,0),C270="K",IF(I270="BOTTOM_CLEARER",XLOOKUP("bino_balance_step",Calibration!$B:$B,Calibration!$C:$C,0.25),0),TRUE,0))</f>
        <v/>
      </c>
      <c r="AQ270" s="28" t="str">
        <f t="shared" si="12"/>
        <v/>
      </c>
      <c r="AR270" s="28" t="str">
        <f t="shared" si="13"/>
        <v/>
      </c>
      <c r="AS270" s="28" t="str">
        <f t="array" ref="AS270">IF($I270="","",IF(C270="P",IF(OR(I270="NOT_READABLE",I270="BLURRY"),XLOOKUP("near_add_step",Calibration!$B:$B,Calibration!$C:$C,0.25),0),IF(C270="R",IF(I270="NOT_CLEAR",XLOOKUP("near_add_step",Calibration!$B:$B,Calibration!$C:$C,0.25),0),0)))</f>
        <v/>
      </c>
      <c r="AT270" s="28" t="str">
        <f t="array" ref="AT270">IF($I270="","",IF(C270="Q",IF(OR(I270="NOT_READABLE",I270="BLURRY"),XLOOKUP("near_add_step",Calibration!$B:$B,Calibration!$C:$C,0.25),0),IF(C270="R",IF(I270="NOT_CLEAR",XLOOKUP("near_add_step",Calibration!$B:$B,Calibration!$C:$C,0.25),0),0)))</f>
        <v/>
      </c>
      <c r="AU270" s="28" t="str">
        <f t="array" ref="AU270">IF($I270="","",IF(G270="SNELLEN_FEET",IF(I270="READABLE",IFERROR(XLOOKUP(XLOOKUP(R270,Chart_Scale_Distance!B:B,Chart_Scale_Distance!A:A)+1,Chart_Scale_Distance!A:A,Chart_Scale_Distance!B:B),R270),R270),R270))</f>
        <v/>
      </c>
      <c r="AV270" s="28" t="str">
        <f t="array" ref="AV270">IF($I269="","",IFERROR(XLOOKUP(R270,Chart_Scale_Distance!$B:$B,Chart_Scale_Distance!$A:$A,""),""))</f>
        <v/>
      </c>
      <c r="AW270" s="28" t="str">
        <f t="array" ref="AW270">IF($I269="","",IFERROR(XLOOKUP(AA270,Chart_Scale_Distance!$B:$B,Chart_Scale_Distance!$A:$A,""),""))</f>
        <v/>
      </c>
      <c r="AX270" s="28" t="str">
        <f t="shared" si="14"/>
        <v/>
      </c>
      <c r="AY270" s="28" t="str">
        <f t="shared" si="15"/>
        <v/>
      </c>
      <c r="AZ270" s="28" t="str">
        <f t="shared" si="16"/>
        <v/>
      </c>
      <c r="BA270" s="28" t="str">
        <f t="shared" si="17"/>
        <v/>
      </c>
      <c r="BB270" s="28" t="str">
        <f t="shared" si="18"/>
        <v/>
      </c>
      <c r="BC270" s="28" t="str">
        <f t="array" ref="BC270">IF($I270="","",LET(
conf,AI270,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duoMax,XLOOKUP($B270,Derived_Variables!$A:$A,Derived_Variables!$AI:$AI,4),
axisTol,XLOOKUP($B270,Derived_Variables!$A:$A,Derived_Variables!$W:$W,1),
maxStart,XLOOKUP($B270,Derived_Variables!$A:$A,Derived_Variables!$U:$U,1.25),
maxAR,XLOOKUP($B270,Derived_Variables!$A:$A,Derived_Variables!$V:$V,3),
anom,XLOOKUP($B270,Derived_Variables!$A:$A,Derived_Variables!$Z:$Z,FALSE),
reStart,XLOOKUP($B270,Derived_Variables!$A:$A,Derived_Variables!$K:$K,0),
leStart,XLOOKUP($B270,Derived_Variables!$A:$A,Derived_Variables!$N:$N,0),
reAR,XLOOKUP($B270,AR_Input!$A:$A,AR_Input!$B:$B,reStart),
leAR,XLOOKUP($B270,AR_Input!$A:$A,AR_Input!$E:$E,leStart),
reEsc,AND(anom,OR(ABS((S270+AM270)-reStart)&gt;maxStart,ABS((S270+AM270)-reAR)&gt;maxAR)),
leEsc,AND(anom,OR(ABS((V270+AP270)-leStart)&gt;maxStart,ABS((V270+AP270)-leAR)&gt;maxAR)),
phaseMax,IFS(
 AK270="Fast",
   IFS(
     OR(C270="B",C270="D"),XLOOKUP("timeout_coarse_fast",Calibration!$B:$B,Calibration!$C:$C,24),
     OR(C270="E",C270="F",C270="H",C270="I"),XLOOKUP("timeout_jcc_fast",Calibration!$B:$B,Calibration!$C:$C,10),
     OR(C270="G",C270="J"),XLOOKUP("timeout_duochrome_fast",Calibration!$B:$B,Calibration!$C:$C,8),
     C270="K",XLOOKUP("timeout_bino_fast",Calibration!$B:$B,Calibration!$C:$C,10),
     OR(C270="P",C270="Q",C270="R"),XLOOKUP("timeout_near_fast",Calibration!$B:$B,Calibration!$C:$C,16),
     TRUE,XLOOKUP("timeout_coarse_fast",Calibration!$B:$B,Calibration!$C:$C,24)
   ),
 AK270="Normal",
   IFS(
     OR(C270="B",C270="D"),XLOOKUP("timeout_coarse_normal",Calibration!$B:$B,Calibration!$C:$C,36),
     OR(C270="E",C270="F",C270="H",C270="I"),XLOOKUP("timeout_jcc_normal",Calibration!$B:$B,Calibration!$C:$C,14),
     OR(C270="G",C270="J"),XLOOKUP("timeout_duochrome_normal",Calibration!$B:$B,Calibration!$C:$C,10),
     C270="K",XLOOKUP("timeout_bino_normal",Calibration!$B:$B,Calibration!$C:$C,14),
     OR(C270="P",C270="Q",C270="R"),XLOOKUP("timeout_near_normal",Calibration!$B:$B,Calibration!$C:$C,22),
     TRUE,XLOOKUP("timeout_coarse_normal",Calibration!$B:$B,Calibration!$C:$C,36)
   ),
 TRUE,
   IFS(
     OR(C270="B",C270="D"),XLOOKUP("timeout_coarse_slow",Calibration!$B:$B,Calibration!$C:$C,48),
     OR(C270="E",C270="F",C270="H",C270="I"),XLOOKUP("timeout_jcc_slow",Calibration!$B:$B,Calibration!$C:$C,18),
     OR(C270="G",C270="J"),XLOOKUP("timeout_duochrome_slow",Calibration!$B:$B,Calibration!$C:$C,12),
     C270="K",XLOOKUP("timeout_bino_slow",Calibration!$B:$B,Calibration!$C:$C,18),
     OR(C270="P",C270="Q",C270="R"),XLOOKUP("timeout_near_slow",Calibration!$B:$B,Calibration!$C:$C,28),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AJ270=TRUE,"ESCALATE",
C270="A",
IF(OR(I270="NOT_READABLE",I270="BLURRY",AND(R270="20_20_20",I270="READABLE")),"B","A"),
C270="B",
IF(reEsc,"ESCALATE",IF(AY270&gt;=phaseMax,"ESCALATE",IF(AND(AV270&gt;=AW270,I270="READABLE"),"E","B"))),
C270="E",
IF(AY270&gt;=phaseMax,"ESCALATE",IF(OR(I270="SAME",I270="CANT_TELL",AD270&lt;axisTol),"F","E")),
C270="F",
IF(AY270&gt;=phaseMax,"ESCALATE",IF(AX270&gt;=powerSameN,"G","F")),
C270="G",
IF(AY270&gt;=phaseMax,"ESCALATE",IF(OR(AX270&gt;=duoEqualN,BB270&gt;=duoMax),"D","G")),
C270="D",
IF(leEsc,"ESCALATE",IF(AY270&gt;=phaseMax,"ESCALATE",IF(AND(AV270&gt;=AW270,I270="READABLE"),"H","D"))),
C270="H",
IF(AY270&gt;=phaseMax,"ESCALATE",IF(OR(I270="SAME",I270="CANT_TELL",AD270&lt;axisTol),"I","H")),
C270="I",
IF(AY270&gt;=phaseMax,"ESCALATE",IF(AX270&gt;=powerSameN,"J","I")),
C270="J",
IF(AY270&gt;=phaseMax,"ESCALATE",IF(OR(AX270&gt;=duoEqualN,BB270&gt;=duoMax),"K","J")),
C270="K",
IF(AY270&gt;=phaseMax,"ESCALATE",IF(AX270&gt;=binoSameN,IF(XLOOKUP($B270,Derived_Variables!$A:$A,Derived_Variables!$AJ:$AJ,FALSE)=TRUE,"P","END"),"K")),
C270="P",
IF(AY270&gt;=phaseMax,"ESCALATE",IF(OR(I270="READABLE",I270="SAME"),"Q","P")),
C270="Q",
IF(AY270&gt;=phaseMax,"ESCALATE",IF(OR(I270="READABLE",I270="SAME"),"R","Q")),
C270="R",
IF(AY270&gt;=phaseMax,"ESCALATE",IF(OR(I270=nearTarget,I270="SAME"),"END","R")),
TRUE,"END"
)))</f>
        <v/>
      </c>
      <c r="BD270" s="28" t="b">
        <f t="shared" si="19"/>
        <v>0</v>
      </c>
    </row>
    <row r="271" ht="15.75" customHeight="1">
      <c r="A271" s="28">
        <f t="shared" si="3"/>
        <v>270</v>
      </c>
      <c r="B271" s="28">
        <f t="shared" si="4"/>
        <v>6</v>
      </c>
      <c r="C271" s="28" t="str">
        <f t="shared" si="5"/>
        <v/>
      </c>
      <c r="D271" s="28" t="str">
        <f t="array" ref="D271">IF($I270="","",XLOOKUP(C271,FSM_State_Map!A:A,FSM_State_Map!B:B,""))</f>
        <v/>
      </c>
      <c r="E271" s="28" t="str">
        <f t="array" ref="E271">IF($I270="","",XLOOKUP(C271,FSM_State_Map!A:A,FSM_State_Map!C:C,""))</f>
        <v/>
      </c>
      <c r="F271" s="28" t="str">
        <f t="array" ref="F271">IF($I270="","",XLOOKUP(E271,Phase_UI_Map!A:A,Phase_UI_Map!B:B,""))</f>
        <v/>
      </c>
      <c r="G271" s="28" t="str">
        <f t="array" ref="G271">IF($I270="","",XLOOKUP(E271,Phase_UI_Map!A:A,Phase_UI_Map!C:C,""))</f>
        <v/>
      </c>
      <c r="H271" s="28" t="str">
        <f t="array" ref="H271">IF($I270="","",XLOOKUP(E271,Phase_UI_Map!A:A,Phase_UI_Map!D:D,""))</f>
        <v/>
      </c>
      <c r="I271" s="29"/>
      <c r="J271" s="28" t="str">
        <f>IFERROR(__xludf.DUMMYFUNCTION("IF($I270="""","""",IFERROR(INDEX(FILTER(Response_Lists!$B:$B,Response_Lists!$A:$A=$H271),1),""""))"),"")</f>
        <v/>
      </c>
      <c r="K271" s="28" t="str">
        <f>IFERROR(__xludf.DUMMYFUNCTION("IF($I270="""","""",IFERROR(INDEX(FILTER(Response_Lists!$B:$B,Response_Lists!$A:$A=$H271),2),""""))"),"")</f>
        <v/>
      </c>
      <c r="L271" s="28" t="str">
        <f>IFERROR(__xludf.DUMMYFUNCTION("IF($I270="""","""",IFERROR(INDEX(FILTER(Response_Lists!$B:$B,Response_Lists!$A:$A=$H271),3),""""))"),"")</f>
        <v/>
      </c>
      <c r="M271" s="28" t="str">
        <f>IFERROR(__xludf.DUMMYFUNCTION("IF($I270="""","""",IFERROR(INDEX(FILTER(Response_Lists!$B:$B,Response_Lists!$A:$A=$H271),4),""""))"),"")</f>
        <v/>
      </c>
      <c r="N271" s="28" t="str">
        <f>IFERROR(__xludf.DUMMYFUNCTION("IF($I270="""","""",IFERROR(INDEX(FILTER(Response_Lists!$B:$B,Response_Lists!$A:$A=$H271),5),""""))"),"")</f>
        <v/>
      </c>
      <c r="O271" s="28" t="str">
        <f>IFERROR(__xludf.DUMMYFUNCTION("IF($I270="""","""",IFERROR(INDEX(FILTER(Response_Lists!$B:$B,Response_Lists!$A:$A=$H271),6),""""))"),"")</f>
        <v/>
      </c>
      <c r="P271" s="28" t="str">
        <f t="shared" si="6"/>
        <v/>
      </c>
      <c r="Q271" s="28" t="str">
        <f t="array" ref="Q271">IF($I270="","",XLOOKUP(C271,FSM_State_Map!A:A,FSM_State_Map!D:D,""))</f>
        <v/>
      </c>
      <c r="R271" s="28" t="str">
        <f t="shared" si="7"/>
        <v/>
      </c>
      <c r="S271" s="28" t="str">
        <f t="array" ref="S271">IF($I270="","",
IF(
  AND(C271="B",C270&lt;&gt;"B"),
  XLOOKUP($B271,Derived_Variables!$A:$A,Derived_Variables!$K:$K,0)
  + XLOOKUP($B271,Derived_Variables!$A:$A,Derived_Variables!$AE:$AE,0),
  S270+AM270
))</f>
        <v/>
      </c>
      <c r="T271" s="28" t="str">
        <f t="shared" ref="T271:U271" si="552">IF($I270="","",T270+AN270)</f>
        <v/>
      </c>
      <c r="U271" s="28" t="str">
        <f t="shared" si="552"/>
        <v/>
      </c>
      <c r="V271" s="28" t="str">
        <f t="array" ref="V271">IF($I270="","",
IF(
  AND(C271="D",C270&lt;&gt;"D"),
  XLOOKUP($B271,Derived_Variables!$A:$A,Derived_Variables!$N:$N,0)
  + XLOOKUP($B271,Derived_Variables!$A:$A,Derived_Variables!$AE:$AE,0),
  V270+AP270
))</f>
        <v/>
      </c>
      <c r="W271" s="28" t="str">
        <f t="shared" ref="W271:X271" si="553">IF($I270="","",W270+AQ270)</f>
        <v/>
      </c>
      <c r="X271" s="28" t="str">
        <f t="shared" si="553"/>
        <v/>
      </c>
      <c r="Y271" s="28" t="str">
        <f t="array" ref="Y271">IF($I270="","",IF(AND(C271="P",C270&lt;&gt;"P"),IFERROR(XLOOKUP($B271,Lenso_Input!$A:$A,Lenso_Input!$E:$E,0),0),Y270+AS270))</f>
        <v/>
      </c>
      <c r="Z271" s="28" t="str">
        <f t="array" ref="Z271">IF($I270="","",IF(AND(C271="Q",C270&lt;&gt;"Q"),IFERROR(XLOOKUP($B271,Lenso_Input!$A:$A,Lenso_Input!$I:$I,0),0),Z270+AT270))</f>
        <v/>
      </c>
      <c r="AA271" s="28" t="str">
        <f t="array" ref="AA271">IF($I270="","",IF(XLOOKUP($B271,Derived_Variables!$A:$A,Derived_Variables!$R:$R,"6/6_target")="6/6_target","20_20_20","40_30_25"))</f>
        <v/>
      </c>
      <c r="AB271" s="28" t="str">
        <f t="array" ref="AB271">IF($I270="","",XLOOKUP(LOWER(XLOOKUP($B271,Derived_Variables!$A:$A,Derived_Variables!$T:$T,"Standard"))&amp;"_sph_step",Calibration!$B:$B,Calibration!$C:$C,0.25))</f>
        <v/>
      </c>
      <c r="AC271" s="28" t="str">
        <f t="array" ref="AC271">IF($I270="","",XLOOKUP(LOWER(XLOOKUP($B271,Derived_Variables!$A:$A,Derived_Variables!$T:$T,"Standard"))&amp;"_cyl_step",Calibration!$B:$B,Calibration!$C:$C,0.25))</f>
        <v/>
      </c>
      <c r="AD271" s="28" t="str">
        <f t="array" ref="AD271">IF($I270="","",IF(OR(C271="E",C271="H"),LET(startStep,XLOOKUP("axis_start_step",Calibration!$B:$B,Calibration!$C:$C,5),step1,XLOOKUP("axis_reversal_step_1",Calibration!$B:$B,Calibration!$C:$C,3),step2,XLOOKUP("axis_reversal_step_2",Calibration!$B:$B,Calibration!$C:$C,1),IF(OR(C270&lt;&gt;C271,AZ271="",AZ271="SAME",AZ271="CANT_TELL",I271="",I271="SAME",I271="CANT_TELL"),startStep,IF(OR(AND(AZ271="BETTER_1",I271="BETTER_2"),AND(AZ271="BETTER_2",I271="BETTER_1")),IF(AD270&gt;step1,step1,step2),AD270))),0))</f>
        <v/>
      </c>
      <c r="AE271" s="28" t="str">
        <f t="array" ref="AE271">IF($I270="","",XLOOKUP($B271,Derived_Variables!$A:$A,Derived_Variables!$AD:$AD,"No_Fog"))</f>
        <v/>
      </c>
      <c r="AF271" s="28" t="str">
        <f t="array" ref="AF271">IF($I270="","",XLOOKUP($B271,Derived_Variables!$A:$A,Derived_Variables!$AE:$AE,0))</f>
        <v/>
      </c>
      <c r="AG271" s="28" t="str">
        <f t="array" ref="AG271">IF($I270="","",XLOOKUP($B271,Derived_Variables!$A:$A,Derived_Variables!$AF:$AF,""))</f>
        <v/>
      </c>
      <c r="AH271" s="28" t="str">
        <f t="array" ref="AH271">IF($I270="","",XLOOKUP($B271,Derived_Variables!$A:$A,Derived_Variables!$AG:$AG,""))</f>
        <v/>
      </c>
      <c r="AI271" s="28" t="str">
        <f t="array" ref="AI271">IF($I270="","",XLOOKUP($B271,Derived_Variables!$A:$A,Derived_Variables!$AC:$AC,"Medium"))</f>
        <v/>
      </c>
      <c r="AJ271" s="28" t="str">
        <f t="array" ref="AJ271">IF($I270="","",XLOOKUP($B271,Derived_Variables!$A:$A,Derived_Variables!$Y:$Y,FALSE))</f>
        <v/>
      </c>
      <c r="AK271" s="28" t="str">
        <f t="array" ref="AK271">IF($I270="","",XLOOKUP($B271,Derived_Variables!$A:$A,Derived_Variables!$AA:$AA,"Normal"))</f>
        <v/>
      </c>
      <c r="AL271" s="28" t="str">
        <f t="array" ref="AL271">IF($I270="","",XLOOKUP($B271,Derived_Variables!$A:$A,Derived_Variables!$AB:$AB,"Normal"))</f>
        <v/>
      </c>
      <c r="AM271" s="28" t="str">
        <f t="array" ref="AM271">IF($I271="","",IFS(C271="B",IF(OR(I271="NOT_READABLE",I271="BLURRY"),-AB271,0),C271="G",IFS(I271="RED_CLEARER",XLOOKUP("duochrome_red_step",Calibration!$B:$B,Calibration!$C:$C,-0.25),I271="GREEN_CLEARER",XLOOKUP("duochrome_green_step",Calibration!$B:$B,Calibration!$C:$C,0.25),I271="EQUAL",IF(XLOOKUP($B271,Derived_Variables!$A:$A,Derived_Variables!$S:$S,"Neutral")="Undercorrect",XLOOKUP("undercorrect_step",Calibration!$B:$B,Calibration!$C:$C,0.25),IF(XLOOKUP($B271,Derived_Variables!$A:$A,Derived_Variables!$S:$S,"Neutral")="Overcorrect",-XLOOKUP("overcorrect_step",Calibration!$B:$B,Calibration!$C:$C,0.25),0)),TRUE,0),C271="K",IF(I271="TOP_CLEARER",XLOOKUP("bino_balance_step",Calibration!$B:$B,Calibration!$C:$C,0.25),0),TRUE,0))</f>
        <v/>
      </c>
      <c r="AN271" s="28" t="str">
        <f t="shared" si="10"/>
        <v/>
      </c>
      <c r="AO271" s="28" t="str">
        <f t="shared" si="11"/>
        <v/>
      </c>
      <c r="AP271" s="28" t="str">
        <f t="array" ref="AP271">IF($I271="","",IFS(C271="D",IF(OR(I271="NOT_READABLE",I271="BLURRY"),-AB271,0),C271="J",IFS(I271="RED_CLEARER",XLOOKUP("duochrome_red_step",Calibration!$B:$B,Calibration!$C:$C,-0.25),I271="GREEN_CLEARER",XLOOKUP("duochrome_green_step",Calibration!$B:$B,Calibration!$C:$C,0.25),I271="EQUAL",IF(XLOOKUP($B271,Derived_Variables!$A:$A,Derived_Variables!$S:$S,"Neutral")="Undercorrect",XLOOKUP("undercorrect_step",Calibration!$B:$B,Calibration!$C:$C,0.25),IF(XLOOKUP($B271,Derived_Variables!$A:$A,Derived_Variables!$S:$S,"Neutral")="Overcorrect",-XLOOKUP("overcorrect_step",Calibration!$B:$B,Calibration!$C:$C,0.25),0)),TRUE,0),C271="K",IF(I271="BOTTOM_CLEARER",XLOOKUP("bino_balance_step",Calibration!$B:$B,Calibration!$C:$C,0.25),0),TRUE,0))</f>
        <v/>
      </c>
      <c r="AQ271" s="28" t="str">
        <f t="shared" si="12"/>
        <v/>
      </c>
      <c r="AR271" s="28" t="str">
        <f t="shared" si="13"/>
        <v/>
      </c>
      <c r="AS271" s="28" t="str">
        <f t="array" ref="AS271">IF($I271="","",IF(C271="P",IF(OR(I271="NOT_READABLE",I271="BLURRY"),XLOOKUP("near_add_step",Calibration!$B:$B,Calibration!$C:$C,0.25),0),IF(C271="R",IF(I271="NOT_CLEAR",XLOOKUP("near_add_step",Calibration!$B:$B,Calibration!$C:$C,0.25),0),0)))</f>
        <v/>
      </c>
      <c r="AT271" s="28" t="str">
        <f t="array" ref="AT271">IF($I271="","",IF(C271="Q",IF(OR(I271="NOT_READABLE",I271="BLURRY"),XLOOKUP("near_add_step",Calibration!$B:$B,Calibration!$C:$C,0.25),0),IF(C271="R",IF(I271="NOT_CLEAR",XLOOKUP("near_add_step",Calibration!$B:$B,Calibration!$C:$C,0.25),0),0)))</f>
        <v/>
      </c>
      <c r="AU271" s="28" t="str">
        <f t="array" ref="AU271">IF($I271="","",IF(G271="SNELLEN_FEET",IF(I271="READABLE",IFERROR(XLOOKUP(XLOOKUP(R271,Chart_Scale_Distance!B:B,Chart_Scale_Distance!A:A)+1,Chart_Scale_Distance!A:A,Chart_Scale_Distance!B:B),R271),R271),R271))</f>
        <v/>
      </c>
      <c r="AV271" s="28" t="str">
        <f t="array" ref="AV271">IF($I270="","",IFERROR(XLOOKUP(R271,Chart_Scale_Distance!$B:$B,Chart_Scale_Distance!$A:$A,""),""))</f>
        <v/>
      </c>
      <c r="AW271" s="28" t="str">
        <f t="array" ref="AW271">IF($I270="","",IFERROR(XLOOKUP(AA271,Chart_Scale_Distance!$B:$B,Chart_Scale_Distance!$A:$A,""),""))</f>
        <v/>
      </c>
      <c r="AX271" s="28" t="str">
        <f t="shared" si="14"/>
        <v/>
      </c>
      <c r="AY271" s="28" t="str">
        <f t="shared" si="15"/>
        <v/>
      </c>
      <c r="AZ271" s="28" t="str">
        <f t="shared" si="16"/>
        <v/>
      </c>
      <c r="BA271" s="28" t="str">
        <f t="shared" si="17"/>
        <v/>
      </c>
      <c r="BB271" s="28" t="str">
        <f t="shared" si="18"/>
        <v/>
      </c>
      <c r="BC271" s="28" t="str">
        <f t="array" ref="BC271">IF($I271="","",LET(
conf,AI271,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duoMax,XLOOKUP($B271,Derived_Variables!$A:$A,Derived_Variables!$AI:$AI,4),
axisTol,XLOOKUP($B271,Derived_Variables!$A:$A,Derived_Variables!$W:$W,1),
maxStart,XLOOKUP($B271,Derived_Variables!$A:$A,Derived_Variables!$U:$U,1.25),
maxAR,XLOOKUP($B271,Derived_Variables!$A:$A,Derived_Variables!$V:$V,3),
anom,XLOOKUP($B271,Derived_Variables!$A:$A,Derived_Variables!$Z:$Z,FALSE),
reStart,XLOOKUP($B271,Derived_Variables!$A:$A,Derived_Variables!$K:$K,0),
leStart,XLOOKUP($B271,Derived_Variables!$A:$A,Derived_Variables!$N:$N,0),
reAR,XLOOKUP($B271,AR_Input!$A:$A,AR_Input!$B:$B,reStart),
leAR,XLOOKUP($B271,AR_Input!$A:$A,AR_Input!$E:$E,leStart),
reEsc,AND(anom,OR(ABS((S271+AM271)-reStart)&gt;maxStart,ABS((S271+AM271)-reAR)&gt;maxAR)),
leEsc,AND(anom,OR(ABS((V271+AP271)-leStart)&gt;maxStart,ABS((V271+AP271)-leAR)&gt;maxAR)),
phaseMax,IFS(
 AK271="Fast",
   IFS(
     OR(C271="B",C271="D"),XLOOKUP("timeout_coarse_fast",Calibration!$B:$B,Calibration!$C:$C,24),
     OR(C271="E",C271="F",C271="H",C271="I"),XLOOKUP("timeout_jcc_fast",Calibration!$B:$B,Calibration!$C:$C,10),
     OR(C271="G",C271="J"),XLOOKUP("timeout_duochrome_fast",Calibration!$B:$B,Calibration!$C:$C,8),
     C271="K",XLOOKUP("timeout_bino_fast",Calibration!$B:$B,Calibration!$C:$C,10),
     OR(C271="P",C271="Q",C271="R"),XLOOKUP("timeout_near_fast",Calibration!$B:$B,Calibration!$C:$C,16),
     TRUE,XLOOKUP("timeout_coarse_fast",Calibration!$B:$B,Calibration!$C:$C,24)
   ),
 AK271="Normal",
   IFS(
     OR(C271="B",C271="D"),XLOOKUP("timeout_coarse_normal",Calibration!$B:$B,Calibration!$C:$C,36),
     OR(C271="E",C271="F",C271="H",C271="I"),XLOOKUP("timeout_jcc_normal",Calibration!$B:$B,Calibration!$C:$C,14),
     OR(C271="G",C271="J"),XLOOKUP("timeout_duochrome_normal",Calibration!$B:$B,Calibration!$C:$C,10),
     C271="K",XLOOKUP("timeout_bino_normal",Calibration!$B:$B,Calibration!$C:$C,14),
     OR(C271="P",C271="Q",C271="R"),XLOOKUP("timeout_near_normal",Calibration!$B:$B,Calibration!$C:$C,22),
     TRUE,XLOOKUP("timeout_coarse_normal",Calibration!$B:$B,Calibration!$C:$C,36)
   ),
 TRUE,
   IFS(
     OR(C271="B",C271="D"),XLOOKUP("timeout_coarse_slow",Calibration!$B:$B,Calibration!$C:$C,48),
     OR(C271="E",C271="F",C271="H",C271="I"),XLOOKUP("timeout_jcc_slow",Calibration!$B:$B,Calibration!$C:$C,18),
     OR(C271="G",C271="J"),XLOOKUP("timeout_duochrome_slow",Calibration!$B:$B,Calibration!$C:$C,12),
     C271="K",XLOOKUP("timeout_bino_slow",Calibration!$B:$B,Calibration!$C:$C,18),
     OR(C271="P",C271="Q",C271="R"),XLOOKUP("timeout_near_slow",Calibration!$B:$B,Calibration!$C:$C,28),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AJ271=TRUE,"ESCALATE",
C271="A",
IF(OR(I271="NOT_READABLE",I271="BLURRY",AND(R271="20_20_20",I271="READABLE")),"B","A"),
C271="B",
IF(reEsc,"ESCALATE",IF(AY271&gt;=phaseMax,"ESCALATE",IF(AND(AV271&gt;=AW271,I271="READABLE"),"E","B"))),
C271="E",
IF(AY271&gt;=phaseMax,"ESCALATE",IF(OR(I271="SAME",I271="CANT_TELL",AD271&lt;axisTol),"F","E")),
C271="F",
IF(AY271&gt;=phaseMax,"ESCALATE",IF(AX271&gt;=powerSameN,"G","F")),
C271="G",
IF(AY271&gt;=phaseMax,"ESCALATE",IF(OR(AX271&gt;=duoEqualN,BB271&gt;=duoMax),"D","G")),
C271="D",
IF(leEsc,"ESCALATE",IF(AY271&gt;=phaseMax,"ESCALATE",IF(AND(AV271&gt;=AW271,I271="READABLE"),"H","D"))),
C271="H",
IF(AY271&gt;=phaseMax,"ESCALATE",IF(OR(I271="SAME",I271="CANT_TELL",AD271&lt;axisTol),"I","H")),
C271="I",
IF(AY271&gt;=phaseMax,"ESCALATE",IF(AX271&gt;=powerSameN,"J","I")),
C271="J",
IF(AY271&gt;=phaseMax,"ESCALATE",IF(OR(AX271&gt;=duoEqualN,BB271&gt;=duoMax),"K","J")),
C271="K",
IF(AY271&gt;=phaseMax,"ESCALATE",IF(AX271&gt;=binoSameN,IF(XLOOKUP($B271,Derived_Variables!$A:$A,Derived_Variables!$AJ:$AJ,FALSE)=TRUE,"P","END"),"K")),
C271="P",
IF(AY271&gt;=phaseMax,"ESCALATE",IF(OR(I271="READABLE",I271="SAME"),"Q","P")),
C271="Q",
IF(AY271&gt;=phaseMax,"ESCALATE",IF(OR(I271="READABLE",I271="SAME"),"R","Q")),
C271="R",
IF(AY271&gt;=phaseMax,"ESCALATE",IF(OR(I271=nearTarget,I271="SAME"),"END","R")),
TRUE,"END"
)))</f>
        <v/>
      </c>
      <c r="BD271" s="28" t="b">
        <f t="shared" si="19"/>
        <v>0</v>
      </c>
    </row>
    <row r="272" ht="15.75" customHeight="1">
      <c r="A272" s="28">
        <f t="shared" si="3"/>
        <v>271</v>
      </c>
      <c r="B272" s="28">
        <f t="shared" si="4"/>
        <v>6</v>
      </c>
      <c r="C272" s="28" t="str">
        <f t="shared" si="5"/>
        <v/>
      </c>
      <c r="D272" s="28" t="str">
        <f t="array" ref="D272">IF($I271="","",XLOOKUP(C272,FSM_State_Map!A:A,FSM_State_Map!B:B,""))</f>
        <v/>
      </c>
      <c r="E272" s="28" t="str">
        <f t="array" ref="E272">IF($I271="","",XLOOKUP(C272,FSM_State_Map!A:A,FSM_State_Map!C:C,""))</f>
        <v/>
      </c>
      <c r="F272" s="28" t="str">
        <f t="array" ref="F272">IF($I271="","",XLOOKUP(E272,Phase_UI_Map!A:A,Phase_UI_Map!B:B,""))</f>
        <v/>
      </c>
      <c r="G272" s="28" t="str">
        <f t="array" ref="G272">IF($I271="","",XLOOKUP(E272,Phase_UI_Map!A:A,Phase_UI_Map!C:C,""))</f>
        <v/>
      </c>
      <c r="H272" s="28" t="str">
        <f t="array" ref="H272">IF($I271="","",XLOOKUP(E272,Phase_UI_Map!A:A,Phase_UI_Map!D:D,""))</f>
        <v/>
      </c>
      <c r="I272" s="29"/>
      <c r="J272" s="28" t="str">
        <f>IFERROR(__xludf.DUMMYFUNCTION("IF($I271="""","""",IFERROR(INDEX(FILTER(Response_Lists!$B:$B,Response_Lists!$A:$A=$H272),1),""""))"),"")</f>
        <v/>
      </c>
      <c r="K272" s="28" t="str">
        <f>IFERROR(__xludf.DUMMYFUNCTION("IF($I271="""","""",IFERROR(INDEX(FILTER(Response_Lists!$B:$B,Response_Lists!$A:$A=$H272),2),""""))"),"")</f>
        <v/>
      </c>
      <c r="L272" s="28" t="str">
        <f>IFERROR(__xludf.DUMMYFUNCTION("IF($I271="""","""",IFERROR(INDEX(FILTER(Response_Lists!$B:$B,Response_Lists!$A:$A=$H272),3),""""))"),"")</f>
        <v/>
      </c>
      <c r="M272" s="28" t="str">
        <f>IFERROR(__xludf.DUMMYFUNCTION("IF($I271="""","""",IFERROR(INDEX(FILTER(Response_Lists!$B:$B,Response_Lists!$A:$A=$H272),4),""""))"),"")</f>
        <v/>
      </c>
      <c r="N272" s="28" t="str">
        <f>IFERROR(__xludf.DUMMYFUNCTION("IF($I271="""","""",IFERROR(INDEX(FILTER(Response_Lists!$B:$B,Response_Lists!$A:$A=$H272),5),""""))"),"")</f>
        <v/>
      </c>
      <c r="O272" s="28" t="str">
        <f>IFERROR(__xludf.DUMMYFUNCTION("IF($I271="""","""",IFERROR(INDEX(FILTER(Response_Lists!$B:$B,Response_Lists!$A:$A=$H272),6),""""))"),"")</f>
        <v/>
      </c>
      <c r="P272" s="28" t="str">
        <f t="shared" si="6"/>
        <v/>
      </c>
      <c r="Q272" s="28" t="str">
        <f t="array" ref="Q272">IF($I271="","",XLOOKUP(C272,FSM_State_Map!A:A,FSM_State_Map!D:D,""))</f>
        <v/>
      </c>
      <c r="R272" s="28" t="str">
        <f t="shared" si="7"/>
        <v/>
      </c>
      <c r="S272" s="28" t="str">
        <f t="array" ref="S272">IF($I271="","",
IF(
  AND(C272="B",C271&lt;&gt;"B"),
  XLOOKUP($B272,Derived_Variables!$A:$A,Derived_Variables!$K:$K,0)
  + XLOOKUP($B272,Derived_Variables!$A:$A,Derived_Variables!$AE:$AE,0),
  S271+AM271
))</f>
        <v/>
      </c>
      <c r="T272" s="28" t="str">
        <f t="shared" ref="T272:U272" si="554">IF($I271="","",T271+AN271)</f>
        <v/>
      </c>
      <c r="U272" s="28" t="str">
        <f t="shared" si="554"/>
        <v/>
      </c>
      <c r="V272" s="28" t="str">
        <f t="array" ref="V272">IF($I271="","",
IF(
  AND(C272="D",C271&lt;&gt;"D"),
  XLOOKUP($B272,Derived_Variables!$A:$A,Derived_Variables!$N:$N,0)
  + XLOOKUP($B272,Derived_Variables!$A:$A,Derived_Variables!$AE:$AE,0),
  V271+AP271
))</f>
        <v/>
      </c>
      <c r="W272" s="28" t="str">
        <f t="shared" ref="W272:X272" si="555">IF($I271="","",W271+AQ271)</f>
        <v/>
      </c>
      <c r="X272" s="28" t="str">
        <f t="shared" si="555"/>
        <v/>
      </c>
      <c r="Y272" s="28" t="str">
        <f t="array" ref="Y272">IF($I271="","",IF(AND(C272="P",C271&lt;&gt;"P"),IFERROR(XLOOKUP($B272,Lenso_Input!$A:$A,Lenso_Input!$E:$E,0),0),Y271+AS271))</f>
        <v/>
      </c>
      <c r="Z272" s="28" t="str">
        <f t="array" ref="Z272">IF($I271="","",IF(AND(C272="Q",C271&lt;&gt;"Q"),IFERROR(XLOOKUP($B272,Lenso_Input!$A:$A,Lenso_Input!$I:$I,0),0),Z271+AT271))</f>
        <v/>
      </c>
      <c r="AA272" s="28" t="str">
        <f t="array" ref="AA272">IF($I271="","",IF(XLOOKUP($B272,Derived_Variables!$A:$A,Derived_Variables!$R:$R,"6/6_target")="6/6_target","20_20_20","40_30_25"))</f>
        <v/>
      </c>
      <c r="AB272" s="28" t="str">
        <f t="array" ref="AB272">IF($I271="","",XLOOKUP(LOWER(XLOOKUP($B272,Derived_Variables!$A:$A,Derived_Variables!$T:$T,"Standard"))&amp;"_sph_step",Calibration!$B:$B,Calibration!$C:$C,0.25))</f>
        <v/>
      </c>
      <c r="AC272" s="28" t="str">
        <f t="array" ref="AC272">IF($I271="","",XLOOKUP(LOWER(XLOOKUP($B272,Derived_Variables!$A:$A,Derived_Variables!$T:$T,"Standard"))&amp;"_cyl_step",Calibration!$B:$B,Calibration!$C:$C,0.25))</f>
        <v/>
      </c>
      <c r="AD272" s="28" t="str">
        <f t="array" ref="AD272">IF($I271="","",IF(OR(C272="E",C272="H"),LET(startStep,XLOOKUP("axis_start_step",Calibration!$B:$B,Calibration!$C:$C,5),step1,XLOOKUP("axis_reversal_step_1",Calibration!$B:$B,Calibration!$C:$C,3),step2,XLOOKUP("axis_reversal_step_2",Calibration!$B:$B,Calibration!$C:$C,1),IF(OR(C271&lt;&gt;C272,AZ272="",AZ272="SAME",AZ272="CANT_TELL",I272="",I272="SAME",I272="CANT_TELL"),startStep,IF(OR(AND(AZ272="BETTER_1",I272="BETTER_2"),AND(AZ272="BETTER_2",I272="BETTER_1")),IF(AD271&gt;step1,step1,step2),AD271))),0))</f>
        <v/>
      </c>
      <c r="AE272" s="28" t="str">
        <f t="array" ref="AE272">IF($I271="","",XLOOKUP($B272,Derived_Variables!$A:$A,Derived_Variables!$AD:$AD,"No_Fog"))</f>
        <v/>
      </c>
      <c r="AF272" s="28" t="str">
        <f t="array" ref="AF272">IF($I271="","",XLOOKUP($B272,Derived_Variables!$A:$A,Derived_Variables!$AE:$AE,0))</f>
        <v/>
      </c>
      <c r="AG272" s="28" t="str">
        <f t="array" ref="AG272">IF($I271="","",XLOOKUP($B272,Derived_Variables!$A:$A,Derived_Variables!$AF:$AF,""))</f>
        <v/>
      </c>
      <c r="AH272" s="28" t="str">
        <f t="array" ref="AH272">IF($I271="","",XLOOKUP($B272,Derived_Variables!$A:$A,Derived_Variables!$AG:$AG,""))</f>
        <v/>
      </c>
      <c r="AI272" s="28" t="str">
        <f t="array" ref="AI272">IF($I271="","",XLOOKUP($B272,Derived_Variables!$A:$A,Derived_Variables!$AC:$AC,"Medium"))</f>
        <v/>
      </c>
      <c r="AJ272" s="28" t="str">
        <f t="array" ref="AJ272">IF($I271="","",XLOOKUP($B272,Derived_Variables!$A:$A,Derived_Variables!$Y:$Y,FALSE))</f>
        <v/>
      </c>
      <c r="AK272" s="28" t="str">
        <f t="array" ref="AK272">IF($I271="","",XLOOKUP($B272,Derived_Variables!$A:$A,Derived_Variables!$AA:$AA,"Normal"))</f>
        <v/>
      </c>
      <c r="AL272" s="28" t="str">
        <f t="array" ref="AL272">IF($I271="","",XLOOKUP($B272,Derived_Variables!$A:$A,Derived_Variables!$AB:$AB,"Normal"))</f>
        <v/>
      </c>
      <c r="AM272" s="28" t="str">
        <f t="array" ref="AM272">IF($I272="","",IFS(C272="B",IF(OR(I272="NOT_READABLE",I272="BLURRY"),-AB272,0),C272="G",IFS(I272="RED_CLEARER",XLOOKUP("duochrome_red_step",Calibration!$B:$B,Calibration!$C:$C,-0.25),I272="GREEN_CLEARER",XLOOKUP("duochrome_green_step",Calibration!$B:$B,Calibration!$C:$C,0.25),I272="EQUAL",IF(XLOOKUP($B272,Derived_Variables!$A:$A,Derived_Variables!$S:$S,"Neutral")="Undercorrect",XLOOKUP("undercorrect_step",Calibration!$B:$B,Calibration!$C:$C,0.25),IF(XLOOKUP($B272,Derived_Variables!$A:$A,Derived_Variables!$S:$S,"Neutral")="Overcorrect",-XLOOKUP("overcorrect_step",Calibration!$B:$B,Calibration!$C:$C,0.25),0)),TRUE,0),C272="K",IF(I272="TOP_CLEARER",XLOOKUP("bino_balance_step",Calibration!$B:$B,Calibration!$C:$C,0.25),0),TRUE,0))</f>
        <v/>
      </c>
      <c r="AN272" s="28" t="str">
        <f t="shared" si="10"/>
        <v/>
      </c>
      <c r="AO272" s="28" t="str">
        <f t="shared" si="11"/>
        <v/>
      </c>
      <c r="AP272" s="28" t="str">
        <f t="array" ref="AP272">IF($I272="","",IFS(C272="D",IF(OR(I272="NOT_READABLE",I272="BLURRY"),-AB272,0),C272="J",IFS(I272="RED_CLEARER",XLOOKUP("duochrome_red_step",Calibration!$B:$B,Calibration!$C:$C,-0.25),I272="GREEN_CLEARER",XLOOKUP("duochrome_green_step",Calibration!$B:$B,Calibration!$C:$C,0.25),I272="EQUAL",IF(XLOOKUP($B272,Derived_Variables!$A:$A,Derived_Variables!$S:$S,"Neutral")="Undercorrect",XLOOKUP("undercorrect_step",Calibration!$B:$B,Calibration!$C:$C,0.25),IF(XLOOKUP($B272,Derived_Variables!$A:$A,Derived_Variables!$S:$S,"Neutral")="Overcorrect",-XLOOKUP("overcorrect_step",Calibration!$B:$B,Calibration!$C:$C,0.25),0)),TRUE,0),C272="K",IF(I272="BOTTOM_CLEARER",XLOOKUP("bino_balance_step",Calibration!$B:$B,Calibration!$C:$C,0.25),0),TRUE,0))</f>
        <v/>
      </c>
      <c r="AQ272" s="28" t="str">
        <f t="shared" si="12"/>
        <v/>
      </c>
      <c r="AR272" s="28" t="str">
        <f t="shared" si="13"/>
        <v/>
      </c>
      <c r="AS272" s="28" t="str">
        <f t="array" ref="AS272">IF($I272="","",IF(C272="P",IF(OR(I272="NOT_READABLE",I272="BLURRY"),XLOOKUP("near_add_step",Calibration!$B:$B,Calibration!$C:$C,0.25),0),IF(C272="R",IF(I272="NOT_CLEAR",XLOOKUP("near_add_step",Calibration!$B:$B,Calibration!$C:$C,0.25),0),0)))</f>
        <v/>
      </c>
      <c r="AT272" s="28" t="str">
        <f t="array" ref="AT272">IF($I272="","",IF(C272="Q",IF(OR(I272="NOT_READABLE",I272="BLURRY"),XLOOKUP("near_add_step",Calibration!$B:$B,Calibration!$C:$C,0.25),0),IF(C272="R",IF(I272="NOT_CLEAR",XLOOKUP("near_add_step",Calibration!$B:$B,Calibration!$C:$C,0.25),0),0)))</f>
        <v/>
      </c>
      <c r="AU272" s="28" t="str">
        <f t="array" ref="AU272">IF($I272="","",IF(G272="SNELLEN_FEET",IF(I272="READABLE",IFERROR(XLOOKUP(XLOOKUP(R272,Chart_Scale_Distance!B:B,Chart_Scale_Distance!A:A)+1,Chart_Scale_Distance!A:A,Chart_Scale_Distance!B:B),R272),R272),R272))</f>
        <v/>
      </c>
      <c r="AV272" s="28" t="str">
        <f t="array" ref="AV272">IF($I271="","",IFERROR(XLOOKUP(R272,Chart_Scale_Distance!$B:$B,Chart_Scale_Distance!$A:$A,""),""))</f>
        <v/>
      </c>
      <c r="AW272" s="28" t="str">
        <f t="array" ref="AW272">IF($I271="","",IFERROR(XLOOKUP(AA272,Chart_Scale_Distance!$B:$B,Chart_Scale_Distance!$A:$A,""),""))</f>
        <v/>
      </c>
      <c r="AX272" s="28" t="str">
        <f t="shared" si="14"/>
        <v/>
      </c>
      <c r="AY272" s="28" t="str">
        <f t="shared" si="15"/>
        <v/>
      </c>
      <c r="AZ272" s="28" t="str">
        <f t="shared" si="16"/>
        <v/>
      </c>
      <c r="BA272" s="28" t="str">
        <f t="shared" si="17"/>
        <v/>
      </c>
      <c r="BB272" s="28" t="str">
        <f t="shared" si="18"/>
        <v/>
      </c>
      <c r="BC272" s="28" t="str">
        <f t="array" ref="BC272">IF($I272="","",LET(
conf,AI272,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duoMax,XLOOKUP($B272,Derived_Variables!$A:$A,Derived_Variables!$AI:$AI,4),
axisTol,XLOOKUP($B272,Derived_Variables!$A:$A,Derived_Variables!$W:$W,1),
maxStart,XLOOKUP($B272,Derived_Variables!$A:$A,Derived_Variables!$U:$U,1.25),
maxAR,XLOOKUP($B272,Derived_Variables!$A:$A,Derived_Variables!$V:$V,3),
anom,XLOOKUP($B272,Derived_Variables!$A:$A,Derived_Variables!$Z:$Z,FALSE),
reStart,XLOOKUP($B272,Derived_Variables!$A:$A,Derived_Variables!$K:$K,0),
leStart,XLOOKUP($B272,Derived_Variables!$A:$A,Derived_Variables!$N:$N,0),
reAR,XLOOKUP($B272,AR_Input!$A:$A,AR_Input!$B:$B,reStart),
leAR,XLOOKUP($B272,AR_Input!$A:$A,AR_Input!$E:$E,leStart),
reEsc,AND(anom,OR(ABS((S272+AM272)-reStart)&gt;maxStart,ABS((S272+AM272)-reAR)&gt;maxAR)),
leEsc,AND(anom,OR(ABS((V272+AP272)-leStart)&gt;maxStart,ABS((V272+AP272)-leAR)&gt;maxAR)),
phaseMax,IFS(
 AK272="Fast",
   IFS(
     OR(C272="B",C272="D"),XLOOKUP("timeout_coarse_fast",Calibration!$B:$B,Calibration!$C:$C,24),
     OR(C272="E",C272="F",C272="H",C272="I"),XLOOKUP("timeout_jcc_fast",Calibration!$B:$B,Calibration!$C:$C,10),
     OR(C272="G",C272="J"),XLOOKUP("timeout_duochrome_fast",Calibration!$B:$B,Calibration!$C:$C,8),
     C272="K",XLOOKUP("timeout_bino_fast",Calibration!$B:$B,Calibration!$C:$C,10),
     OR(C272="P",C272="Q",C272="R"),XLOOKUP("timeout_near_fast",Calibration!$B:$B,Calibration!$C:$C,16),
     TRUE,XLOOKUP("timeout_coarse_fast",Calibration!$B:$B,Calibration!$C:$C,24)
   ),
 AK272="Normal",
   IFS(
     OR(C272="B",C272="D"),XLOOKUP("timeout_coarse_normal",Calibration!$B:$B,Calibration!$C:$C,36),
     OR(C272="E",C272="F",C272="H",C272="I"),XLOOKUP("timeout_jcc_normal",Calibration!$B:$B,Calibration!$C:$C,14),
     OR(C272="G",C272="J"),XLOOKUP("timeout_duochrome_normal",Calibration!$B:$B,Calibration!$C:$C,10),
     C272="K",XLOOKUP("timeout_bino_normal",Calibration!$B:$B,Calibration!$C:$C,14),
     OR(C272="P",C272="Q",C272="R"),XLOOKUP("timeout_near_normal",Calibration!$B:$B,Calibration!$C:$C,22),
     TRUE,XLOOKUP("timeout_coarse_normal",Calibration!$B:$B,Calibration!$C:$C,36)
   ),
 TRUE,
   IFS(
     OR(C272="B",C272="D"),XLOOKUP("timeout_coarse_slow",Calibration!$B:$B,Calibration!$C:$C,48),
     OR(C272="E",C272="F",C272="H",C272="I"),XLOOKUP("timeout_jcc_slow",Calibration!$B:$B,Calibration!$C:$C,18),
     OR(C272="G",C272="J"),XLOOKUP("timeout_duochrome_slow",Calibration!$B:$B,Calibration!$C:$C,12),
     C272="K",XLOOKUP("timeout_bino_slow",Calibration!$B:$B,Calibration!$C:$C,18),
     OR(C272="P",C272="Q",C272="R"),XLOOKUP("timeout_near_slow",Calibration!$B:$B,Calibration!$C:$C,28),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AJ272=TRUE,"ESCALATE",
C272="A",
IF(OR(I272="NOT_READABLE",I272="BLURRY",AND(R272="20_20_20",I272="READABLE")),"B","A"),
C272="B",
IF(reEsc,"ESCALATE",IF(AY272&gt;=phaseMax,"ESCALATE",IF(AND(AV272&gt;=AW272,I272="READABLE"),"E","B"))),
C272="E",
IF(AY272&gt;=phaseMax,"ESCALATE",IF(OR(I272="SAME",I272="CANT_TELL",AD272&lt;axisTol),"F","E")),
C272="F",
IF(AY272&gt;=phaseMax,"ESCALATE",IF(AX272&gt;=powerSameN,"G","F")),
C272="G",
IF(AY272&gt;=phaseMax,"ESCALATE",IF(OR(AX272&gt;=duoEqualN,BB272&gt;=duoMax),"D","G")),
C272="D",
IF(leEsc,"ESCALATE",IF(AY272&gt;=phaseMax,"ESCALATE",IF(AND(AV272&gt;=AW272,I272="READABLE"),"H","D"))),
C272="H",
IF(AY272&gt;=phaseMax,"ESCALATE",IF(OR(I272="SAME",I272="CANT_TELL",AD272&lt;axisTol),"I","H")),
C272="I",
IF(AY272&gt;=phaseMax,"ESCALATE",IF(AX272&gt;=powerSameN,"J","I")),
C272="J",
IF(AY272&gt;=phaseMax,"ESCALATE",IF(OR(AX272&gt;=duoEqualN,BB272&gt;=duoMax),"K","J")),
C272="K",
IF(AY272&gt;=phaseMax,"ESCALATE",IF(AX272&gt;=binoSameN,IF(XLOOKUP($B272,Derived_Variables!$A:$A,Derived_Variables!$AJ:$AJ,FALSE)=TRUE,"P","END"),"K")),
C272="P",
IF(AY272&gt;=phaseMax,"ESCALATE",IF(OR(I272="READABLE",I272="SAME"),"Q","P")),
C272="Q",
IF(AY272&gt;=phaseMax,"ESCALATE",IF(OR(I272="READABLE",I272="SAME"),"R","Q")),
C272="R",
IF(AY272&gt;=phaseMax,"ESCALATE",IF(OR(I272=nearTarget,I272="SAME"),"END","R")),
TRUE,"END"
)))</f>
        <v/>
      </c>
      <c r="BD272" s="28" t="b">
        <f t="shared" si="19"/>
        <v>0</v>
      </c>
    </row>
    <row r="273" ht="15.75" customHeight="1">
      <c r="A273" s="28">
        <f t="shared" si="3"/>
        <v>272</v>
      </c>
      <c r="B273" s="28">
        <f t="shared" si="4"/>
        <v>6</v>
      </c>
      <c r="C273" s="28" t="str">
        <f t="shared" si="5"/>
        <v/>
      </c>
      <c r="D273" s="28" t="str">
        <f t="array" ref="D273">IF($I272="","",XLOOKUP(C273,FSM_State_Map!A:A,FSM_State_Map!B:B,""))</f>
        <v/>
      </c>
      <c r="E273" s="28" t="str">
        <f t="array" ref="E273">IF($I272="","",XLOOKUP(C273,FSM_State_Map!A:A,FSM_State_Map!C:C,""))</f>
        <v/>
      </c>
      <c r="F273" s="28" t="str">
        <f t="array" ref="F273">IF($I272="","",XLOOKUP(E273,Phase_UI_Map!A:A,Phase_UI_Map!B:B,""))</f>
        <v/>
      </c>
      <c r="G273" s="28" t="str">
        <f t="array" ref="G273">IF($I272="","",XLOOKUP(E273,Phase_UI_Map!A:A,Phase_UI_Map!C:C,""))</f>
        <v/>
      </c>
      <c r="H273" s="28" t="str">
        <f t="array" ref="H273">IF($I272="","",XLOOKUP(E273,Phase_UI_Map!A:A,Phase_UI_Map!D:D,""))</f>
        <v/>
      </c>
      <c r="I273" s="29"/>
      <c r="J273" s="28" t="str">
        <f>IFERROR(__xludf.DUMMYFUNCTION("IF($I272="""","""",IFERROR(INDEX(FILTER(Response_Lists!$B:$B,Response_Lists!$A:$A=$H273),1),""""))"),"")</f>
        <v/>
      </c>
      <c r="K273" s="28" t="str">
        <f>IFERROR(__xludf.DUMMYFUNCTION("IF($I272="""","""",IFERROR(INDEX(FILTER(Response_Lists!$B:$B,Response_Lists!$A:$A=$H273),2),""""))"),"")</f>
        <v/>
      </c>
      <c r="L273" s="28" t="str">
        <f>IFERROR(__xludf.DUMMYFUNCTION("IF($I272="""","""",IFERROR(INDEX(FILTER(Response_Lists!$B:$B,Response_Lists!$A:$A=$H273),3),""""))"),"")</f>
        <v/>
      </c>
      <c r="M273" s="28" t="str">
        <f>IFERROR(__xludf.DUMMYFUNCTION("IF($I272="""","""",IFERROR(INDEX(FILTER(Response_Lists!$B:$B,Response_Lists!$A:$A=$H273),4),""""))"),"")</f>
        <v/>
      </c>
      <c r="N273" s="28" t="str">
        <f>IFERROR(__xludf.DUMMYFUNCTION("IF($I272="""","""",IFERROR(INDEX(FILTER(Response_Lists!$B:$B,Response_Lists!$A:$A=$H273),5),""""))"),"")</f>
        <v/>
      </c>
      <c r="O273" s="28" t="str">
        <f>IFERROR(__xludf.DUMMYFUNCTION("IF($I272="""","""",IFERROR(INDEX(FILTER(Response_Lists!$B:$B,Response_Lists!$A:$A=$H273),6),""""))"),"")</f>
        <v/>
      </c>
      <c r="P273" s="28" t="str">
        <f t="shared" si="6"/>
        <v/>
      </c>
      <c r="Q273" s="28" t="str">
        <f t="array" ref="Q273">IF($I272="","",XLOOKUP(C273,FSM_State_Map!A:A,FSM_State_Map!D:D,""))</f>
        <v/>
      </c>
      <c r="R273" s="28" t="str">
        <f t="shared" si="7"/>
        <v/>
      </c>
      <c r="S273" s="28" t="str">
        <f t="array" ref="S273">IF($I272="","",
IF(
  AND(C273="B",C272&lt;&gt;"B"),
  XLOOKUP($B273,Derived_Variables!$A:$A,Derived_Variables!$K:$K,0)
  + XLOOKUP($B273,Derived_Variables!$A:$A,Derived_Variables!$AE:$AE,0),
  S272+AM272
))</f>
        <v/>
      </c>
      <c r="T273" s="28" t="str">
        <f t="shared" ref="T273:U273" si="556">IF($I272="","",T272+AN272)</f>
        <v/>
      </c>
      <c r="U273" s="28" t="str">
        <f t="shared" si="556"/>
        <v/>
      </c>
      <c r="V273" s="28" t="str">
        <f t="array" ref="V273">IF($I272="","",
IF(
  AND(C273="D",C272&lt;&gt;"D"),
  XLOOKUP($B273,Derived_Variables!$A:$A,Derived_Variables!$N:$N,0)
  + XLOOKUP($B273,Derived_Variables!$A:$A,Derived_Variables!$AE:$AE,0),
  V272+AP272
))</f>
        <v/>
      </c>
      <c r="W273" s="28" t="str">
        <f t="shared" ref="W273:X273" si="557">IF($I272="","",W272+AQ272)</f>
        <v/>
      </c>
      <c r="X273" s="28" t="str">
        <f t="shared" si="557"/>
        <v/>
      </c>
      <c r="Y273" s="28" t="str">
        <f t="array" ref="Y273">IF($I272="","",IF(AND(C273="P",C272&lt;&gt;"P"),IFERROR(XLOOKUP($B273,Lenso_Input!$A:$A,Lenso_Input!$E:$E,0),0),Y272+AS272))</f>
        <v/>
      </c>
      <c r="Z273" s="28" t="str">
        <f t="array" ref="Z273">IF($I272="","",IF(AND(C273="Q",C272&lt;&gt;"Q"),IFERROR(XLOOKUP($B273,Lenso_Input!$A:$A,Lenso_Input!$I:$I,0),0),Z272+AT272))</f>
        <v/>
      </c>
      <c r="AA273" s="28" t="str">
        <f t="array" ref="AA273">IF($I272="","",IF(XLOOKUP($B273,Derived_Variables!$A:$A,Derived_Variables!$R:$R,"6/6_target")="6/6_target","20_20_20","40_30_25"))</f>
        <v/>
      </c>
      <c r="AB273" s="28" t="str">
        <f t="array" ref="AB273">IF($I272="","",XLOOKUP(LOWER(XLOOKUP($B273,Derived_Variables!$A:$A,Derived_Variables!$T:$T,"Standard"))&amp;"_sph_step",Calibration!$B:$B,Calibration!$C:$C,0.25))</f>
        <v/>
      </c>
      <c r="AC273" s="28" t="str">
        <f t="array" ref="AC273">IF($I272="","",XLOOKUP(LOWER(XLOOKUP($B273,Derived_Variables!$A:$A,Derived_Variables!$T:$T,"Standard"))&amp;"_cyl_step",Calibration!$B:$B,Calibration!$C:$C,0.25))</f>
        <v/>
      </c>
      <c r="AD273" s="28" t="str">
        <f t="array" ref="AD273">IF($I272="","",IF(OR(C273="E",C273="H"),LET(startStep,XLOOKUP("axis_start_step",Calibration!$B:$B,Calibration!$C:$C,5),step1,XLOOKUP("axis_reversal_step_1",Calibration!$B:$B,Calibration!$C:$C,3),step2,XLOOKUP("axis_reversal_step_2",Calibration!$B:$B,Calibration!$C:$C,1),IF(OR(C272&lt;&gt;C273,AZ273="",AZ273="SAME",AZ273="CANT_TELL",I273="",I273="SAME",I273="CANT_TELL"),startStep,IF(OR(AND(AZ273="BETTER_1",I273="BETTER_2"),AND(AZ273="BETTER_2",I273="BETTER_1")),IF(AD272&gt;step1,step1,step2),AD272))),0))</f>
        <v/>
      </c>
      <c r="AE273" s="28" t="str">
        <f t="array" ref="AE273">IF($I272="","",XLOOKUP($B273,Derived_Variables!$A:$A,Derived_Variables!$AD:$AD,"No_Fog"))</f>
        <v/>
      </c>
      <c r="AF273" s="28" t="str">
        <f t="array" ref="AF273">IF($I272="","",XLOOKUP($B273,Derived_Variables!$A:$A,Derived_Variables!$AE:$AE,0))</f>
        <v/>
      </c>
      <c r="AG273" s="28" t="str">
        <f t="array" ref="AG273">IF($I272="","",XLOOKUP($B273,Derived_Variables!$A:$A,Derived_Variables!$AF:$AF,""))</f>
        <v/>
      </c>
      <c r="AH273" s="28" t="str">
        <f t="array" ref="AH273">IF($I272="","",XLOOKUP($B273,Derived_Variables!$A:$A,Derived_Variables!$AG:$AG,""))</f>
        <v/>
      </c>
      <c r="AI273" s="28" t="str">
        <f t="array" ref="AI273">IF($I272="","",XLOOKUP($B273,Derived_Variables!$A:$A,Derived_Variables!$AC:$AC,"Medium"))</f>
        <v/>
      </c>
      <c r="AJ273" s="28" t="str">
        <f t="array" ref="AJ273">IF($I272="","",XLOOKUP($B273,Derived_Variables!$A:$A,Derived_Variables!$Y:$Y,FALSE))</f>
        <v/>
      </c>
      <c r="AK273" s="28" t="str">
        <f t="array" ref="AK273">IF($I272="","",XLOOKUP($B273,Derived_Variables!$A:$A,Derived_Variables!$AA:$AA,"Normal"))</f>
        <v/>
      </c>
      <c r="AL273" s="28" t="str">
        <f t="array" ref="AL273">IF($I272="","",XLOOKUP($B273,Derived_Variables!$A:$A,Derived_Variables!$AB:$AB,"Normal"))</f>
        <v/>
      </c>
      <c r="AM273" s="28" t="str">
        <f t="array" ref="AM273">IF($I273="","",IFS(C273="B",IF(OR(I273="NOT_READABLE",I273="BLURRY"),-AB273,0),C273="G",IFS(I273="RED_CLEARER",XLOOKUP("duochrome_red_step",Calibration!$B:$B,Calibration!$C:$C,-0.25),I273="GREEN_CLEARER",XLOOKUP("duochrome_green_step",Calibration!$B:$B,Calibration!$C:$C,0.25),I273="EQUAL",IF(XLOOKUP($B273,Derived_Variables!$A:$A,Derived_Variables!$S:$S,"Neutral")="Undercorrect",XLOOKUP("undercorrect_step",Calibration!$B:$B,Calibration!$C:$C,0.25),IF(XLOOKUP($B273,Derived_Variables!$A:$A,Derived_Variables!$S:$S,"Neutral")="Overcorrect",-XLOOKUP("overcorrect_step",Calibration!$B:$B,Calibration!$C:$C,0.25),0)),TRUE,0),C273="K",IF(I273="TOP_CLEARER",XLOOKUP("bino_balance_step",Calibration!$B:$B,Calibration!$C:$C,0.25),0),TRUE,0))</f>
        <v/>
      </c>
      <c r="AN273" s="28" t="str">
        <f t="shared" si="10"/>
        <v/>
      </c>
      <c r="AO273" s="28" t="str">
        <f t="shared" si="11"/>
        <v/>
      </c>
      <c r="AP273" s="28" t="str">
        <f t="array" ref="AP273">IF($I273="","",IFS(C273="D",IF(OR(I273="NOT_READABLE",I273="BLURRY"),-AB273,0),C273="J",IFS(I273="RED_CLEARER",XLOOKUP("duochrome_red_step",Calibration!$B:$B,Calibration!$C:$C,-0.25),I273="GREEN_CLEARER",XLOOKUP("duochrome_green_step",Calibration!$B:$B,Calibration!$C:$C,0.25),I273="EQUAL",IF(XLOOKUP($B273,Derived_Variables!$A:$A,Derived_Variables!$S:$S,"Neutral")="Undercorrect",XLOOKUP("undercorrect_step",Calibration!$B:$B,Calibration!$C:$C,0.25),IF(XLOOKUP($B273,Derived_Variables!$A:$A,Derived_Variables!$S:$S,"Neutral")="Overcorrect",-XLOOKUP("overcorrect_step",Calibration!$B:$B,Calibration!$C:$C,0.25),0)),TRUE,0),C273="K",IF(I273="BOTTOM_CLEARER",XLOOKUP("bino_balance_step",Calibration!$B:$B,Calibration!$C:$C,0.25),0),TRUE,0))</f>
        <v/>
      </c>
      <c r="AQ273" s="28" t="str">
        <f t="shared" si="12"/>
        <v/>
      </c>
      <c r="AR273" s="28" t="str">
        <f t="shared" si="13"/>
        <v/>
      </c>
      <c r="AS273" s="28" t="str">
        <f t="array" ref="AS273">IF($I273="","",IF(C273="P",IF(OR(I273="NOT_READABLE",I273="BLURRY"),XLOOKUP("near_add_step",Calibration!$B:$B,Calibration!$C:$C,0.25),0),IF(C273="R",IF(I273="NOT_CLEAR",XLOOKUP("near_add_step",Calibration!$B:$B,Calibration!$C:$C,0.25),0),0)))</f>
        <v/>
      </c>
      <c r="AT273" s="28" t="str">
        <f t="array" ref="AT273">IF($I273="","",IF(C273="Q",IF(OR(I273="NOT_READABLE",I273="BLURRY"),XLOOKUP("near_add_step",Calibration!$B:$B,Calibration!$C:$C,0.25),0),IF(C273="R",IF(I273="NOT_CLEAR",XLOOKUP("near_add_step",Calibration!$B:$B,Calibration!$C:$C,0.25),0),0)))</f>
        <v/>
      </c>
      <c r="AU273" s="28" t="str">
        <f t="array" ref="AU273">IF($I273="","",IF(G273="SNELLEN_FEET",IF(I273="READABLE",IFERROR(XLOOKUP(XLOOKUP(R273,Chart_Scale_Distance!B:B,Chart_Scale_Distance!A:A)+1,Chart_Scale_Distance!A:A,Chart_Scale_Distance!B:B),R273),R273),R273))</f>
        <v/>
      </c>
      <c r="AV273" s="28" t="str">
        <f t="array" ref="AV273">IF($I272="","",IFERROR(XLOOKUP(R273,Chart_Scale_Distance!$B:$B,Chart_Scale_Distance!$A:$A,""),""))</f>
        <v/>
      </c>
      <c r="AW273" s="28" t="str">
        <f t="array" ref="AW273">IF($I272="","",IFERROR(XLOOKUP(AA273,Chart_Scale_Distance!$B:$B,Chart_Scale_Distance!$A:$A,""),""))</f>
        <v/>
      </c>
      <c r="AX273" s="28" t="str">
        <f t="shared" si="14"/>
        <v/>
      </c>
      <c r="AY273" s="28" t="str">
        <f t="shared" si="15"/>
        <v/>
      </c>
      <c r="AZ273" s="28" t="str">
        <f t="shared" si="16"/>
        <v/>
      </c>
      <c r="BA273" s="28" t="str">
        <f t="shared" si="17"/>
        <v/>
      </c>
      <c r="BB273" s="28" t="str">
        <f t="shared" si="18"/>
        <v/>
      </c>
      <c r="BC273" s="28" t="str">
        <f t="array" ref="BC273">IF($I273="","",LET(
conf,AI273,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duoMax,XLOOKUP($B273,Derived_Variables!$A:$A,Derived_Variables!$AI:$AI,4),
axisTol,XLOOKUP($B273,Derived_Variables!$A:$A,Derived_Variables!$W:$W,1),
maxStart,XLOOKUP($B273,Derived_Variables!$A:$A,Derived_Variables!$U:$U,1.25),
maxAR,XLOOKUP($B273,Derived_Variables!$A:$A,Derived_Variables!$V:$V,3),
anom,XLOOKUP($B273,Derived_Variables!$A:$A,Derived_Variables!$Z:$Z,FALSE),
reStart,XLOOKUP($B273,Derived_Variables!$A:$A,Derived_Variables!$K:$K,0),
leStart,XLOOKUP($B273,Derived_Variables!$A:$A,Derived_Variables!$N:$N,0),
reAR,XLOOKUP($B273,AR_Input!$A:$A,AR_Input!$B:$B,reStart),
leAR,XLOOKUP($B273,AR_Input!$A:$A,AR_Input!$E:$E,leStart),
reEsc,AND(anom,OR(ABS((S273+AM273)-reStart)&gt;maxStart,ABS((S273+AM273)-reAR)&gt;maxAR)),
leEsc,AND(anom,OR(ABS((V273+AP273)-leStart)&gt;maxStart,ABS((V273+AP273)-leAR)&gt;maxAR)),
phaseMax,IFS(
 AK273="Fast",
   IFS(
     OR(C273="B",C273="D"),XLOOKUP("timeout_coarse_fast",Calibration!$B:$B,Calibration!$C:$C,24),
     OR(C273="E",C273="F",C273="H",C273="I"),XLOOKUP("timeout_jcc_fast",Calibration!$B:$B,Calibration!$C:$C,10),
     OR(C273="G",C273="J"),XLOOKUP("timeout_duochrome_fast",Calibration!$B:$B,Calibration!$C:$C,8),
     C273="K",XLOOKUP("timeout_bino_fast",Calibration!$B:$B,Calibration!$C:$C,10),
     OR(C273="P",C273="Q",C273="R"),XLOOKUP("timeout_near_fast",Calibration!$B:$B,Calibration!$C:$C,16),
     TRUE,XLOOKUP("timeout_coarse_fast",Calibration!$B:$B,Calibration!$C:$C,24)
   ),
 AK273="Normal",
   IFS(
     OR(C273="B",C273="D"),XLOOKUP("timeout_coarse_normal",Calibration!$B:$B,Calibration!$C:$C,36),
     OR(C273="E",C273="F",C273="H",C273="I"),XLOOKUP("timeout_jcc_normal",Calibration!$B:$B,Calibration!$C:$C,14),
     OR(C273="G",C273="J"),XLOOKUP("timeout_duochrome_normal",Calibration!$B:$B,Calibration!$C:$C,10),
     C273="K",XLOOKUP("timeout_bino_normal",Calibration!$B:$B,Calibration!$C:$C,14),
     OR(C273="P",C273="Q",C273="R"),XLOOKUP("timeout_near_normal",Calibration!$B:$B,Calibration!$C:$C,22),
     TRUE,XLOOKUP("timeout_coarse_normal",Calibration!$B:$B,Calibration!$C:$C,36)
   ),
 TRUE,
   IFS(
     OR(C273="B",C273="D"),XLOOKUP("timeout_coarse_slow",Calibration!$B:$B,Calibration!$C:$C,48),
     OR(C273="E",C273="F",C273="H",C273="I"),XLOOKUP("timeout_jcc_slow",Calibration!$B:$B,Calibration!$C:$C,18),
     OR(C273="G",C273="J"),XLOOKUP("timeout_duochrome_slow",Calibration!$B:$B,Calibration!$C:$C,12),
     C273="K",XLOOKUP("timeout_bino_slow",Calibration!$B:$B,Calibration!$C:$C,18),
     OR(C273="P",C273="Q",C273="R"),XLOOKUP("timeout_near_slow",Calibration!$B:$B,Calibration!$C:$C,28),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AJ273=TRUE,"ESCALATE",
C273="A",
IF(OR(I273="NOT_READABLE",I273="BLURRY",AND(R273="20_20_20",I273="READABLE")),"B","A"),
C273="B",
IF(reEsc,"ESCALATE",IF(AY273&gt;=phaseMax,"ESCALATE",IF(AND(AV273&gt;=AW273,I273="READABLE"),"E","B"))),
C273="E",
IF(AY273&gt;=phaseMax,"ESCALATE",IF(OR(I273="SAME",I273="CANT_TELL",AD273&lt;axisTol),"F","E")),
C273="F",
IF(AY273&gt;=phaseMax,"ESCALATE",IF(AX273&gt;=powerSameN,"G","F")),
C273="G",
IF(AY273&gt;=phaseMax,"ESCALATE",IF(OR(AX273&gt;=duoEqualN,BB273&gt;=duoMax),"D","G")),
C273="D",
IF(leEsc,"ESCALATE",IF(AY273&gt;=phaseMax,"ESCALATE",IF(AND(AV273&gt;=AW273,I273="READABLE"),"H","D"))),
C273="H",
IF(AY273&gt;=phaseMax,"ESCALATE",IF(OR(I273="SAME",I273="CANT_TELL",AD273&lt;axisTol),"I","H")),
C273="I",
IF(AY273&gt;=phaseMax,"ESCALATE",IF(AX273&gt;=powerSameN,"J","I")),
C273="J",
IF(AY273&gt;=phaseMax,"ESCALATE",IF(OR(AX273&gt;=duoEqualN,BB273&gt;=duoMax),"K","J")),
C273="K",
IF(AY273&gt;=phaseMax,"ESCALATE",IF(AX273&gt;=binoSameN,IF(XLOOKUP($B273,Derived_Variables!$A:$A,Derived_Variables!$AJ:$AJ,FALSE)=TRUE,"P","END"),"K")),
C273="P",
IF(AY273&gt;=phaseMax,"ESCALATE",IF(OR(I273="READABLE",I273="SAME"),"Q","P")),
C273="Q",
IF(AY273&gt;=phaseMax,"ESCALATE",IF(OR(I273="READABLE",I273="SAME"),"R","Q")),
C273="R",
IF(AY273&gt;=phaseMax,"ESCALATE",IF(OR(I273=nearTarget,I273="SAME"),"END","R")),
TRUE,"END"
)))</f>
        <v/>
      </c>
      <c r="BD273" s="28" t="b">
        <f t="shared" si="19"/>
        <v>0</v>
      </c>
    </row>
    <row r="274" ht="15.75" customHeight="1">
      <c r="A274" s="28">
        <f t="shared" si="3"/>
        <v>273</v>
      </c>
      <c r="B274" s="28">
        <f t="shared" si="4"/>
        <v>6</v>
      </c>
      <c r="C274" s="28" t="str">
        <f t="shared" si="5"/>
        <v/>
      </c>
      <c r="D274" s="28" t="str">
        <f t="array" ref="D274">IF($I273="","",XLOOKUP(C274,FSM_State_Map!A:A,FSM_State_Map!B:B,""))</f>
        <v/>
      </c>
      <c r="E274" s="28" t="str">
        <f t="array" ref="E274">IF($I273="","",XLOOKUP(C274,FSM_State_Map!A:A,FSM_State_Map!C:C,""))</f>
        <v/>
      </c>
      <c r="F274" s="28" t="str">
        <f t="array" ref="F274">IF($I273="","",XLOOKUP(E274,Phase_UI_Map!A:A,Phase_UI_Map!B:B,""))</f>
        <v/>
      </c>
      <c r="G274" s="28" t="str">
        <f t="array" ref="G274">IF($I273="","",XLOOKUP(E274,Phase_UI_Map!A:A,Phase_UI_Map!C:C,""))</f>
        <v/>
      </c>
      <c r="H274" s="28" t="str">
        <f t="array" ref="H274">IF($I273="","",XLOOKUP(E274,Phase_UI_Map!A:A,Phase_UI_Map!D:D,""))</f>
        <v/>
      </c>
      <c r="I274" s="29"/>
      <c r="J274" s="28" t="str">
        <f>IFERROR(__xludf.DUMMYFUNCTION("IF($I273="""","""",IFERROR(INDEX(FILTER(Response_Lists!$B:$B,Response_Lists!$A:$A=$H274),1),""""))"),"")</f>
        <v/>
      </c>
      <c r="K274" s="28" t="str">
        <f>IFERROR(__xludf.DUMMYFUNCTION("IF($I273="""","""",IFERROR(INDEX(FILTER(Response_Lists!$B:$B,Response_Lists!$A:$A=$H274),2),""""))"),"")</f>
        <v/>
      </c>
      <c r="L274" s="28" t="str">
        <f>IFERROR(__xludf.DUMMYFUNCTION("IF($I273="""","""",IFERROR(INDEX(FILTER(Response_Lists!$B:$B,Response_Lists!$A:$A=$H274),3),""""))"),"")</f>
        <v/>
      </c>
      <c r="M274" s="28" t="str">
        <f>IFERROR(__xludf.DUMMYFUNCTION("IF($I273="""","""",IFERROR(INDEX(FILTER(Response_Lists!$B:$B,Response_Lists!$A:$A=$H274),4),""""))"),"")</f>
        <v/>
      </c>
      <c r="N274" s="28" t="str">
        <f>IFERROR(__xludf.DUMMYFUNCTION("IF($I273="""","""",IFERROR(INDEX(FILTER(Response_Lists!$B:$B,Response_Lists!$A:$A=$H274),5),""""))"),"")</f>
        <v/>
      </c>
      <c r="O274" s="28" t="str">
        <f>IFERROR(__xludf.DUMMYFUNCTION("IF($I273="""","""",IFERROR(INDEX(FILTER(Response_Lists!$B:$B,Response_Lists!$A:$A=$H274),6),""""))"),"")</f>
        <v/>
      </c>
      <c r="P274" s="28" t="str">
        <f t="shared" si="6"/>
        <v/>
      </c>
      <c r="Q274" s="28" t="str">
        <f t="array" ref="Q274">IF($I273="","",XLOOKUP(C274,FSM_State_Map!A:A,FSM_State_Map!D:D,""))</f>
        <v/>
      </c>
      <c r="R274" s="28" t="str">
        <f t="shared" si="7"/>
        <v/>
      </c>
      <c r="S274" s="28" t="str">
        <f t="array" ref="S274">IF($I273="","",
IF(
  AND(C274="B",C273&lt;&gt;"B"),
  XLOOKUP($B274,Derived_Variables!$A:$A,Derived_Variables!$K:$K,0)
  + XLOOKUP($B274,Derived_Variables!$A:$A,Derived_Variables!$AE:$AE,0),
  S273+AM273
))</f>
        <v/>
      </c>
      <c r="T274" s="28" t="str">
        <f t="shared" ref="T274:U274" si="558">IF($I273="","",T273+AN273)</f>
        <v/>
      </c>
      <c r="U274" s="28" t="str">
        <f t="shared" si="558"/>
        <v/>
      </c>
      <c r="V274" s="28" t="str">
        <f t="array" ref="V274">IF($I273="","",
IF(
  AND(C274="D",C273&lt;&gt;"D"),
  XLOOKUP($B274,Derived_Variables!$A:$A,Derived_Variables!$N:$N,0)
  + XLOOKUP($B274,Derived_Variables!$A:$A,Derived_Variables!$AE:$AE,0),
  V273+AP273
))</f>
        <v/>
      </c>
      <c r="W274" s="28" t="str">
        <f t="shared" ref="W274:X274" si="559">IF($I273="","",W273+AQ273)</f>
        <v/>
      </c>
      <c r="X274" s="28" t="str">
        <f t="shared" si="559"/>
        <v/>
      </c>
      <c r="Y274" s="28" t="str">
        <f t="array" ref="Y274">IF($I273="","",IF(AND(C274="P",C273&lt;&gt;"P"),IFERROR(XLOOKUP($B274,Lenso_Input!$A:$A,Lenso_Input!$E:$E,0),0),Y273+AS273))</f>
        <v/>
      </c>
      <c r="Z274" s="28" t="str">
        <f t="array" ref="Z274">IF($I273="","",IF(AND(C274="Q",C273&lt;&gt;"Q"),IFERROR(XLOOKUP($B274,Lenso_Input!$A:$A,Lenso_Input!$I:$I,0),0),Z273+AT273))</f>
        <v/>
      </c>
      <c r="AA274" s="28" t="str">
        <f t="array" ref="AA274">IF($I273="","",IF(XLOOKUP($B274,Derived_Variables!$A:$A,Derived_Variables!$R:$R,"6/6_target")="6/6_target","20_20_20","40_30_25"))</f>
        <v/>
      </c>
      <c r="AB274" s="28" t="str">
        <f t="array" ref="AB274">IF($I273="","",XLOOKUP(LOWER(XLOOKUP($B274,Derived_Variables!$A:$A,Derived_Variables!$T:$T,"Standard"))&amp;"_sph_step",Calibration!$B:$B,Calibration!$C:$C,0.25))</f>
        <v/>
      </c>
      <c r="AC274" s="28" t="str">
        <f t="array" ref="AC274">IF($I273="","",XLOOKUP(LOWER(XLOOKUP($B274,Derived_Variables!$A:$A,Derived_Variables!$T:$T,"Standard"))&amp;"_cyl_step",Calibration!$B:$B,Calibration!$C:$C,0.25))</f>
        <v/>
      </c>
      <c r="AD274" s="28" t="str">
        <f t="array" ref="AD274">IF($I273="","",IF(OR(C274="E",C274="H"),LET(startStep,XLOOKUP("axis_start_step",Calibration!$B:$B,Calibration!$C:$C,5),step1,XLOOKUP("axis_reversal_step_1",Calibration!$B:$B,Calibration!$C:$C,3),step2,XLOOKUP("axis_reversal_step_2",Calibration!$B:$B,Calibration!$C:$C,1),IF(OR(C273&lt;&gt;C274,AZ274="",AZ274="SAME",AZ274="CANT_TELL",I274="",I274="SAME",I274="CANT_TELL"),startStep,IF(OR(AND(AZ274="BETTER_1",I274="BETTER_2"),AND(AZ274="BETTER_2",I274="BETTER_1")),IF(AD273&gt;step1,step1,step2),AD273))),0))</f>
        <v/>
      </c>
      <c r="AE274" s="28" t="str">
        <f t="array" ref="AE274">IF($I273="","",XLOOKUP($B274,Derived_Variables!$A:$A,Derived_Variables!$AD:$AD,"No_Fog"))</f>
        <v/>
      </c>
      <c r="AF274" s="28" t="str">
        <f t="array" ref="AF274">IF($I273="","",XLOOKUP($B274,Derived_Variables!$A:$A,Derived_Variables!$AE:$AE,0))</f>
        <v/>
      </c>
      <c r="AG274" s="28" t="str">
        <f t="array" ref="AG274">IF($I273="","",XLOOKUP($B274,Derived_Variables!$A:$A,Derived_Variables!$AF:$AF,""))</f>
        <v/>
      </c>
      <c r="AH274" s="28" t="str">
        <f t="array" ref="AH274">IF($I273="","",XLOOKUP($B274,Derived_Variables!$A:$A,Derived_Variables!$AG:$AG,""))</f>
        <v/>
      </c>
      <c r="AI274" s="28" t="str">
        <f t="array" ref="AI274">IF($I273="","",XLOOKUP($B274,Derived_Variables!$A:$A,Derived_Variables!$AC:$AC,"Medium"))</f>
        <v/>
      </c>
      <c r="AJ274" s="28" t="str">
        <f t="array" ref="AJ274">IF($I273="","",XLOOKUP($B274,Derived_Variables!$A:$A,Derived_Variables!$Y:$Y,FALSE))</f>
        <v/>
      </c>
      <c r="AK274" s="28" t="str">
        <f t="array" ref="AK274">IF($I273="","",XLOOKUP($B274,Derived_Variables!$A:$A,Derived_Variables!$AA:$AA,"Normal"))</f>
        <v/>
      </c>
      <c r="AL274" s="28" t="str">
        <f t="array" ref="AL274">IF($I273="","",XLOOKUP($B274,Derived_Variables!$A:$A,Derived_Variables!$AB:$AB,"Normal"))</f>
        <v/>
      </c>
      <c r="AM274" s="28" t="str">
        <f t="array" ref="AM274">IF($I274="","",IFS(C274="B",IF(OR(I274="NOT_READABLE",I274="BLURRY"),-AB274,0),C274="G",IFS(I274="RED_CLEARER",XLOOKUP("duochrome_red_step",Calibration!$B:$B,Calibration!$C:$C,-0.25),I274="GREEN_CLEARER",XLOOKUP("duochrome_green_step",Calibration!$B:$B,Calibration!$C:$C,0.25),I274="EQUAL",IF(XLOOKUP($B274,Derived_Variables!$A:$A,Derived_Variables!$S:$S,"Neutral")="Undercorrect",XLOOKUP("undercorrect_step",Calibration!$B:$B,Calibration!$C:$C,0.25),IF(XLOOKUP($B274,Derived_Variables!$A:$A,Derived_Variables!$S:$S,"Neutral")="Overcorrect",-XLOOKUP("overcorrect_step",Calibration!$B:$B,Calibration!$C:$C,0.25),0)),TRUE,0),C274="K",IF(I274="TOP_CLEARER",XLOOKUP("bino_balance_step",Calibration!$B:$B,Calibration!$C:$C,0.25),0),TRUE,0))</f>
        <v/>
      </c>
      <c r="AN274" s="28" t="str">
        <f t="shared" si="10"/>
        <v/>
      </c>
      <c r="AO274" s="28" t="str">
        <f t="shared" si="11"/>
        <v/>
      </c>
      <c r="AP274" s="28" t="str">
        <f t="array" ref="AP274">IF($I274="","",IFS(C274="D",IF(OR(I274="NOT_READABLE",I274="BLURRY"),-AB274,0),C274="J",IFS(I274="RED_CLEARER",XLOOKUP("duochrome_red_step",Calibration!$B:$B,Calibration!$C:$C,-0.25),I274="GREEN_CLEARER",XLOOKUP("duochrome_green_step",Calibration!$B:$B,Calibration!$C:$C,0.25),I274="EQUAL",IF(XLOOKUP($B274,Derived_Variables!$A:$A,Derived_Variables!$S:$S,"Neutral")="Undercorrect",XLOOKUP("undercorrect_step",Calibration!$B:$B,Calibration!$C:$C,0.25),IF(XLOOKUP($B274,Derived_Variables!$A:$A,Derived_Variables!$S:$S,"Neutral")="Overcorrect",-XLOOKUP("overcorrect_step",Calibration!$B:$B,Calibration!$C:$C,0.25),0)),TRUE,0),C274="K",IF(I274="BOTTOM_CLEARER",XLOOKUP("bino_balance_step",Calibration!$B:$B,Calibration!$C:$C,0.25),0),TRUE,0))</f>
        <v/>
      </c>
      <c r="AQ274" s="28" t="str">
        <f t="shared" si="12"/>
        <v/>
      </c>
      <c r="AR274" s="28" t="str">
        <f t="shared" si="13"/>
        <v/>
      </c>
      <c r="AS274" s="28" t="str">
        <f t="array" ref="AS274">IF($I274="","",IF(C274="P",IF(OR(I274="NOT_READABLE",I274="BLURRY"),XLOOKUP("near_add_step",Calibration!$B:$B,Calibration!$C:$C,0.25),0),IF(C274="R",IF(I274="NOT_CLEAR",XLOOKUP("near_add_step",Calibration!$B:$B,Calibration!$C:$C,0.25),0),0)))</f>
        <v/>
      </c>
      <c r="AT274" s="28" t="str">
        <f t="array" ref="AT274">IF($I274="","",IF(C274="Q",IF(OR(I274="NOT_READABLE",I274="BLURRY"),XLOOKUP("near_add_step",Calibration!$B:$B,Calibration!$C:$C,0.25),0),IF(C274="R",IF(I274="NOT_CLEAR",XLOOKUP("near_add_step",Calibration!$B:$B,Calibration!$C:$C,0.25),0),0)))</f>
        <v/>
      </c>
      <c r="AU274" s="28" t="str">
        <f t="array" ref="AU274">IF($I274="","",IF(G274="SNELLEN_FEET",IF(I274="READABLE",IFERROR(XLOOKUP(XLOOKUP(R274,Chart_Scale_Distance!B:B,Chart_Scale_Distance!A:A)+1,Chart_Scale_Distance!A:A,Chart_Scale_Distance!B:B),R274),R274),R274))</f>
        <v/>
      </c>
      <c r="AV274" s="28" t="str">
        <f t="array" ref="AV274">IF($I273="","",IFERROR(XLOOKUP(R274,Chart_Scale_Distance!$B:$B,Chart_Scale_Distance!$A:$A,""),""))</f>
        <v/>
      </c>
      <c r="AW274" s="28" t="str">
        <f t="array" ref="AW274">IF($I273="","",IFERROR(XLOOKUP(AA274,Chart_Scale_Distance!$B:$B,Chart_Scale_Distance!$A:$A,""),""))</f>
        <v/>
      </c>
      <c r="AX274" s="28" t="str">
        <f t="shared" si="14"/>
        <v/>
      </c>
      <c r="AY274" s="28" t="str">
        <f t="shared" si="15"/>
        <v/>
      </c>
      <c r="AZ274" s="28" t="str">
        <f t="shared" si="16"/>
        <v/>
      </c>
      <c r="BA274" s="28" t="str">
        <f t="shared" si="17"/>
        <v/>
      </c>
      <c r="BB274" s="28" t="str">
        <f t="shared" si="18"/>
        <v/>
      </c>
      <c r="BC274" s="28" t="str">
        <f t="array" ref="BC274">IF($I274="","",LET(
conf,AI274,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duoMax,XLOOKUP($B274,Derived_Variables!$A:$A,Derived_Variables!$AI:$AI,4),
axisTol,XLOOKUP($B274,Derived_Variables!$A:$A,Derived_Variables!$W:$W,1),
maxStart,XLOOKUP($B274,Derived_Variables!$A:$A,Derived_Variables!$U:$U,1.25),
maxAR,XLOOKUP($B274,Derived_Variables!$A:$A,Derived_Variables!$V:$V,3),
anom,XLOOKUP($B274,Derived_Variables!$A:$A,Derived_Variables!$Z:$Z,FALSE),
reStart,XLOOKUP($B274,Derived_Variables!$A:$A,Derived_Variables!$K:$K,0),
leStart,XLOOKUP($B274,Derived_Variables!$A:$A,Derived_Variables!$N:$N,0),
reAR,XLOOKUP($B274,AR_Input!$A:$A,AR_Input!$B:$B,reStart),
leAR,XLOOKUP($B274,AR_Input!$A:$A,AR_Input!$E:$E,leStart),
reEsc,AND(anom,OR(ABS((S274+AM274)-reStart)&gt;maxStart,ABS((S274+AM274)-reAR)&gt;maxAR)),
leEsc,AND(anom,OR(ABS((V274+AP274)-leStart)&gt;maxStart,ABS((V274+AP274)-leAR)&gt;maxAR)),
phaseMax,IFS(
 AK274="Fast",
   IFS(
     OR(C274="B",C274="D"),XLOOKUP("timeout_coarse_fast",Calibration!$B:$B,Calibration!$C:$C,24),
     OR(C274="E",C274="F",C274="H",C274="I"),XLOOKUP("timeout_jcc_fast",Calibration!$B:$B,Calibration!$C:$C,10),
     OR(C274="G",C274="J"),XLOOKUP("timeout_duochrome_fast",Calibration!$B:$B,Calibration!$C:$C,8),
     C274="K",XLOOKUP("timeout_bino_fast",Calibration!$B:$B,Calibration!$C:$C,10),
     OR(C274="P",C274="Q",C274="R"),XLOOKUP("timeout_near_fast",Calibration!$B:$B,Calibration!$C:$C,16),
     TRUE,XLOOKUP("timeout_coarse_fast",Calibration!$B:$B,Calibration!$C:$C,24)
   ),
 AK274="Normal",
   IFS(
     OR(C274="B",C274="D"),XLOOKUP("timeout_coarse_normal",Calibration!$B:$B,Calibration!$C:$C,36),
     OR(C274="E",C274="F",C274="H",C274="I"),XLOOKUP("timeout_jcc_normal",Calibration!$B:$B,Calibration!$C:$C,14),
     OR(C274="G",C274="J"),XLOOKUP("timeout_duochrome_normal",Calibration!$B:$B,Calibration!$C:$C,10),
     C274="K",XLOOKUP("timeout_bino_normal",Calibration!$B:$B,Calibration!$C:$C,14),
     OR(C274="P",C274="Q",C274="R"),XLOOKUP("timeout_near_normal",Calibration!$B:$B,Calibration!$C:$C,22),
     TRUE,XLOOKUP("timeout_coarse_normal",Calibration!$B:$B,Calibration!$C:$C,36)
   ),
 TRUE,
   IFS(
     OR(C274="B",C274="D"),XLOOKUP("timeout_coarse_slow",Calibration!$B:$B,Calibration!$C:$C,48),
     OR(C274="E",C274="F",C274="H",C274="I"),XLOOKUP("timeout_jcc_slow",Calibration!$B:$B,Calibration!$C:$C,18),
     OR(C274="G",C274="J"),XLOOKUP("timeout_duochrome_slow",Calibration!$B:$B,Calibration!$C:$C,12),
     C274="K",XLOOKUP("timeout_bino_slow",Calibration!$B:$B,Calibration!$C:$C,18),
     OR(C274="P",C274="Q",C274="R"),XLOOKUP("timeout_near_slow",Calibration!$B:$B,Calibration!$C:$C,28),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AJ274=TRUE,"ESCALATE",
C274="A",
IF(OR(I274="NOT_READABLE",I274="BLURRY",AND(R274="20_20_20",I274="READABLE")),"B","A"),
C274="B",
IF(reEsc,"ESCALATE",IF(AY274&gt;=phaseMax,"ESCALATE",IF(AND(AV274&gt;=AW274,I274="READABLE"),"E","B"))),
C274="E",
IF(AY274&gt;=phaseMax,"ESCALATE",IF(OR(I274="SAME",I274="CANT_TELL",AD274&lt;axisTol),"F","E")),
C274="F",
IF(AY274&gt;=phaseMax,"ESCALATE",IF(AX274&gt;=powerSameN,"G","F")),
C274="G",
IF(AY274&gt;=phaseMax,"ESCALATE",IF(OR(AX274&gt;=duoEqualN,BB274&gt;=duoMax),"D","G")),
C274="D",
IF(leEsc,"ESCALATE",IF(AY274&gt;=phaseMax,"ESCALATE",IF(AND(AV274&gt;=AW274,I274="READABLE"),"H","D"))),
C274="H",
IF(AY274&gt;=phaseMax,"ESCALATE",IF(OR(I274="SAME",I274="CANT_TELL",AD274&lt;axisTol),"I","H")),
C274="I",
IF(AY274&gt;=phaseMax,"ESCALATE",IF(AX274&gt;=powerSameN,"J","I")),
C274="J",
IF(AY274&gt;=phaseMax,"ESCALATE",IF(OR(AX274&gt;=duoEqualN,BB274&gt;=duoMax),"K","J")),
C274="K",
IF(AY274&gt;=phaseMax,"ESCALATE",IF(AX274&gt;=binoSameN,IF(XLOOKUP($B274,Derived_Variables!$A:$A,Derived_Variables!$AJ:$AJ,FALSE)=TRUE,"P","END"),"K")),
C274="P",
IF(AY274&gt;=phaseMax,"ESCALATE",IF(OR(I274="READABLE",I274="SAME"),"Q","P")),
C274="Q",
IF(AY274&gt;=phaseMax,"ESCALATE",IF(OR(I274="READABLE",I274="SAME"),"R","Q")),
C274="R",
IF(AY274&gt;=phaseMax,"ESCALATE",IF(OR(I274=nearTarget,I274="SAME"),"END","R")),
TRUE,"END"
)))</f>
        <v/>
      </c>
      <c r="BD274" s="28" t="b">
        <f t="shared" si="19"/>
        <v>0</v>
      </c>
    </row>
    <row r="275" ht="15.75" customHeight="1">
      <c r="A275" s="28">
        <f t="shared" si="3"/>
        <v>274</v>
      </c>
      <c r="B275" s="28">
        <f t="shared" si="4"/>
        <v>6</v>
      </c>
      <c r="C275" s="28" t="str">
        <f t="shared" si="5"/>
        <v/>
      </c>
      <c r="D275" s="28" t="str">
        <f t="array" ref="D275">IF($I274="","",XLOOKUP(C275,FSM_State_Map!A:A,FSM_State_Map!B:B,""))</f>
        <v/>
      </c>
      <c r="E275" s="28" t="str">
        <f t="array" ref="E275">IF($I274="","",XLOOKUP(C275,FSM_State_Map!A:A,FSM_State_Map!C:C,""))</f>
        <v/>
      </c>
      <c r="F275" s="28" t="str">
        <f t="array" ref="F275">IF($I274="","",XLOOKUP(E275,Phase_UI_Map!A:A,Phase_UI_Map!B:B,""))</f>
        <v/>
      </c>
      <c r="G275" s="28" t="str">
        <f t="array" ref="G275">IF($I274="","",XLOOKUP(E275,Phase_UI_Map!A:A,Phase_UI_Map!C:C,""))</f>
        <v/>
      </c>
      <c r="H275" s="28" t="str">
        <f t="array" ref="H275">IF($I274="","",XLOOKUP(E275,Phase_UI_Map!A:A,Phase_UI_Map!D:D,""))</f>
        <v/>
      </c>
      <c r="I275" s="29"/>
      <c r="J275" s="28" t="str">
        <f>IFERROR(__xludf.DUMMYFUNCTION("IF($I274="""","""",IFERROR(INDEX(FILTER(Response_Lists!$B:$B,Response_Lists!$A:$A=$H275),1),""""))"),"")</f>
        <v/>
      </c>
      <c r="K275" s="28" t="str">
        <f>IFERROR(__xludf.DUMMYFUNCTION("IF($I274="""","""",IFERROR(INDEX(FILTER(Response_Lists!$B:$B,Response_Lists!$A:$A=$H275),2),""""))"),"")</f>
        <v/>
      </c>
      <c r="L275" s="28" t="str">
        <f>IFERROR(__xludf.DUMMYFUNCTION("IF($I274="""","""",IFERROR(INDEX(FILTER(Response_Lists!$B:$B,Response_Lists!$A:$A=$H275),3),""""))"),"")</f>
        <v/>
      </c>
      <c r="M275" s="28" t="str">
        <f>IFERROR(__xludf.DUMMYFUNCTION("IF($I274="""","""",IFERROR(INDEX(FILTER(Response_Lists!$B:$B,Response_Lists!$A:$A=$H275),4),""""))"),"")</f>
        <v/>
      </c>
      <c r="N275" s="28" t="str">
        <f>IFERROR(__xludf.DUMMYFUNCTION("IF($I274="""","""",IFERROR(INDEX(FILTER(Response_Lists!$B:$B,Response_Lists!$A:$A=$H275),5),""""))"),"")</f>
        <v/>
      </c>
      <c r="O275" s="28" t="str">
        <f>IFERROR(__xludf.DUMMYFUNCTION("IF($I274="""","""",IFERROR(INDEX(FILTER(Response_Lists!$B:$B,Response_Lists!$A:$A=$H275),6),""""))"),"")</f>
        <v/>
      </c>
      <c r="P275" s="28" t="str">
        <f t="shared" si="6"/>
        <v/>
      </c>
      <c r="Q275" s="28" t="str">
        <f t="array" ref="Q275">IF($I274="","",XLOOKUP(C275,FSM_State_Map!A:A,FSM_State_Map!D:D,""))</f>
        <v/>
      </c>
      <c r="R275" s="28" t="str">
        <f t="shared" si="7"/>
        <v/>
      </c>
      <c r="S275" s="28" t="str">
        <f t="array" ref="S275">IF($I274="","",
IF(
  AND(C275="B",C274&lt;&gt;"B"),
  XLOOKUP($B275,Derived_Variables!$A:$A,Derived_Variables!$K:$K,0)
  + XLOOKUP($B275,Derived_Variables!$A:$A,Derived_Variables!$AE:$AE,0),
  S274+AM274
))</f>
        <v/>
      </c>
      <c r="T275" s="28" t="str">
        <f t="shared" ref="T275:U275" si="560">IF($I274="","",T274+AN274)</f>
        <v/>
      </c>
      <c r="U275" s="28" t="str">
        <f t="shared" si="560"/>
        <v/>
      </c>
      <c r="V275" s="28" t="str">
        <f t="array" ref="V275">IF($I274="","",
IF(
  AND(C275="D",C274&lt;&gt;"D"),
  XLOOKUP($B275,Derived_Variables!$A:$A,Derived_Variables!$N:$N,0)
  + XLOOKUP($B275,Derived_Variables!$A:$A,Derived_Variables!$AE:$AE,0),
  V274+AP274
))</f>
        <v/>
      </c>
      <c r="W275" s="28" t="str">
        <f t="shared" ref="W275:X275" si="561">IF($I274="","",W274+AQ274)</f>
        <v/>
      </c>
      <c r="X275" s="28" t="str">
        <f t="shared" si="561"/>
        <v/>
      </c>
      <c r="Y275" s="28" t="str">
        <f t="array" ref="Y275">IF($I274="","",IF(AND(C275="P",C274&lt;&gt;"P"),IFERROR(XLOOKUP($B275,Lenso_Input!$A:$A,Lenso_Input!$E:$E,0),0),Y274+AS274))</f>
        <v/>
      </c>
      <c r="Z275" s="28" t="str">
        <f t="array" ref="Z275">IF($I274="","",IF(AND(C275="Q",C274&lt;&gt;"Q"),IFERROR(XLOOKUP($B275,Lenso_Input!$A:$A,Lenso_Input!$I:$I,0),0),Z274+AT274))</f>
        <v/>
      </c>
      <c r="AA275" s="28" t="str">
        <f t="array" ref="AA275">IF($I274="","",IF(XLOOKUP($B275,Derived_Variables!$A:$A,Derived_Variables!$R:$R,"6/6_target")="6/6_target","20_20_20","40_30_25"))</f>
        <v/>
      </c>
      <c r="AB275" s="28" t="str">
        <f t="array" ref="AB275">IF($I274="","",XLOOKUP(LOWER(XLOOKUP($B275,Derived_Variables!$A:$A,Derived_Variables!$T:$T,"Standard"))&amp;"_sph_step",Calibration!$B:$B,Calibration!$C:$C,0.25))</f>
        <v/>
      </c>
      <c r="AC275" s="28" t="str">
        <f t="array" ref="AC275">IF($I274="","",XLOOKUP(LOWER(XLOOKUP($B275,Derived_Variables!$A:$A,Derived_Variables!$T:$T,"Standard"))&amp;"_cyl_step",Calibration!$B:$B,Calibration!$C:$C,0.25))</f>
        <v/>
      </c>
      <c r="AD275" s="28" t="str">
        <f t="array" ref="AD275">IF($I274="","",IF(OR(C275="E",C275="H"),LET(startStep,XLOOKUP("axis_start_step",Calibration!$B:$B,Calibration!$C:$C,5),step1,XLOOKUP("axis_reversal_step_1",Calibration!$B:$B,Calibration!$C:$C,3),step2,XLOOKUP("axis_reversal_step_2",Calibration!$B:$B,Calibration!$C:$C,1),IF(OR(C274&lt;&gt;C275,AZ275="",AZ275="SAME",AZ275="CANT_TELL",I275="",I275="SAME",I275="CANT_TELL"),startStep,IF(OR(AND(AZ275="BETTER_1",I275="BETTER_2"),AND(AZ275="BETTER_2",I275="BETTER_1")),IF(AD274&gt;step1,step1,step2),AD274))),0))</f>
        <v/>
      </c>
      <c r="AE275" s="28" t="str">
        <f t="array" ref="AE275">IF($I274="","",XLOOKUP($B275,Derived_Variables!$A:$A,Derived_Variables!$AD:$AD,"No_Fog"))</f>
        <v/>
      </c>
      <c r="AF275" s="28" t="str">
        <f t="array" ref="AF275">IF($I274="","",XLOOKUP($B275,Derived_Variables!$A:$A,Derived_Variables!$AE:$AE,0))</f>
        <v/>
      </c>
      <c r="AG275" s="28" t="str">
        <f t="array" ref="AG275">IF($I274="","",XLOOKUP($B275,Derived_Variables!$A:$A,Derived_Variables!$AF:$AF,""))</f>
        <v/>
      </c>
      <c r="AH275" s="28" t="str">
        <f t="array" ref="AH275">IF($I274="","",XLOOKUP($B275,Derived_Variables!$A:$A,Derived_Variables!$AG:$AG,""))</f>
        <v/>
      </c>
      <c r="AI275" s="28" t="str">
        <f t="array" ref="AI275">IF($I274="","",XLOOKUP($B275,Derived_Variables!$A:$A,Derived_Variables!$AC:$AC,"Medium"))</f>
        <v/>
      </c>
      <c r="AJ275" s="28" t="str">
        <f t="array" ref="AJ275">IF($I274="","",XLOOKUP($B275,Derived_Variables!$A:$A,Derived_Variables!$Y:$Y,FALSE))</f>
        <v/>
      </c>
      <c r="AK275" s="28" t="str">
        <f t="array" ref="AK275">IF($I274="","",XLOOKUP($B275,Derived_Variables!$A:$A,Derived_Variables!$AA:$AA,"Normal"))</f>
        <v/>
      </c>
      <c r="AL275" s="28" t="str">
        <f t="array" ref="AL275">IF($I274="","",XLOOKUP($B275,Derived_Variables!$A:$A,Derived_Variables!$AB:$AB,"Normal"))</f>
        <v/>
      </c>
      <c r="AM275" s="28" t="str">
        <f t="array" ref="AM275">IF($I275="","",IFS(C275="B",IF(OR(I275="NOT_READABLE",I275="BLURRY"),-AB275,0),C275="G",IFS(I275="RED_CLEARER",XLOOKUP("duochrome_red_step",Calibration!$B:$B,Calibration!$C:$C,-0.25),I275="GREEN_CLEARER",XLOOKUP("duochrome_green_step",Calibration!$B:$B,Calibration!$C:$C,0.25),I275="EQUAL",IF(XLOOKUP($B275,Derived_Variables!$A:$A,Derived_Variables!$S:$S,"Neutral")="Undercorrect",XLOOKUP("undercorrect_step",Calibration!$B:$B,Calibration!$C:$C,0.25),IF(XLOOKUP($B275,Derived_Variables!$A:$A,Derived_Variables!$S:$S,"Neutral")="Overcorrect",-XLOOKUP("overcorrect_step",Calibration!$B:$B,Calibration!$C:$C,0.25),0)),TRUE,0),C275="K",IF(I275="TOP_CLEARER",XLOOKUP("bino_balance_step",Calibration!$B:$B,Calibration!$C:$C,0.25),0),TRUE,0))</f>
        <v/>
      </c>
      <c r="AN275" s="28" t="str">
        <f t="shared" si="10"/>
        <v/>
      </c>
      <c r="AO275" s="28" t="str">
        <f t="shared" si="11"/>
        <v/>
      </c>
      <c r="AP275" s="28" t="str">
        <f t="array" ref="AP275">IF($I275="","",IFS(C275="D",IF(OR(I275="NOT_READABLE",I275="BLURRY"),-AB275,0),C275="J",IFS(I275="RED_CLEARER",XLOOKUP("duochrome_red_step",Calibration!$B:$B,Calibration!$C:$C,-0.25),I275="GREEN_CLEARER",XLOOKUP("duochrome_green_step",Calibration!$B:$B,Calibration!$C:$C,0.25),I275="EQUAL",IF(XLOOKUP($B275,Derived_Variables!$A:$A,Derived_Variables!$S:$S,"Neutral")="Undercorrect",XLOOKUP("undercorrect_step",Calibration!$B:$B,Calibration!$C:$C,0.25),IF(XLOOKUP($B275,Derived_Variables!$A:$A,Derived_Variables!$S:$S,"Neutral")="Overcorrect",-XLOOKUP("overcorrect_step",Calibration!$B:$B,Calibration!$C:$C,0.25),0)),TRUE,0),C275="K",IF(I275="BOTTOM_CLEARER",XLOOKUP("bino_balance_step",Calibration!$B:$B,Calibration!$C:$C,0.25),0),TRUE,0))</f>
        <v/>
      </c>
      <c r="AQ275" s="28" t="str">
        <f t="shared" si="12"/>
        <v/>
      </c>
      <c r="AR275" s="28" t="str">
        <f t="shared" si="13"/>
        <v/>
      </c>
      <c r="AS275" s="28" t="str">
        <f t="array" ref="AS275">IF($I275="","",IF(C275="P",IF(OR(I275="NOT_READABLE",I275="BLURRY"),XLOOKUP("near_add_step",Calibration!$B:$B,Calibration!$C:$C,0.25),0),IF(C275="R",IF(I275="NOT_CLEAR",XLOOKUP("near_add_step",Calibration!$B:$B,Calibration!$C:$C,0.25),0),0)))</f>
        <v/>
      </c>
      <c r="AT275" s="28" t="str">
        <f t="array" ref="AT275">IF($I275="","",IF(C275="Q",IF(OR(I275="NOT_READABLE",I275="BLURRY"),XLOOKUP("near_add_step",Calibration!$B:$B,Calibration!$C:$C,0.25),0),IF(C275="R",IF(I275="NOT_CLEAR",XLOOKUP("near_add_step",Calibration!$B:$B,Calibration!$C:$C,0.25),0),0)))</f>
        <v/>
      </c>
      <c r="AU275" s="28" t="str">
        <f t="array" ref="AU275">IF($I275="","",IF(G275="SNELLEN_FEET",IF(I275="READABLE",IFERROR(XLOOKUP(XLOOKUP(R275,Chart_Scale_Distance!B:B,Chart_Scale_Distance!A:A)+1,Chart_Scale_Distance!A:A,Chart_Scale_Distance!B:B),R275),R275),R275))</f>
        <v/>
      </c>
      <c r="AV275" s="28" t="str">
        <f t="array" ref="AV275">IF($I274="","",IFERROR(XLOOKUP(R275,Chart_Scale_Distance!$B:$B,Chart_Scale_Distance!$A:$A,""),""))</f>
        <v/>
      </c>
      <c r="AW275" s="28" t="str">
        <f t="array" ref="AW275">IF($I274="","",IFERROR(XLOOKUP(AA275,Chart_Scale_Distance!$B:$B,Chart_Scale_Distance!$A:$A,""),""))</f>
        <v/>
      </c>
      <c r="AX275" s="28" t="str">
        <f t="shared" si="14"/>
        <v/>
      </c>
      <c r="AY275" s="28" t="str">
        <f t="shared" si="15"/>
        <v/>
      </c>
      <c r="AZ275" s="28" t="str">
        <f t="shared" si="16"/>
        <v/>
      </c>
      <c r="BA275" s="28" t="str">
        <f t="shared" si="17"/>
        <v/>
      </c>
      <c r="BB275" s="28" t="str">
        <f t="shared" si="18"/>
        <v/>
      </c>
      <c r="BC275" s="28" t="str">
        <f t="array" ref="BC275">IF($I275="","",LET(
conf,AI275,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duoMax,XLOOKUP($B275,Derived_Variables!$A:$A,Derived_Variables!$AI:$AI,4),
axisTol,XLOOKUP($B275,Derived_Variables!$A:$A,Derived_Variables!$W:$W,1),
maxStart,XLOOKUP($B275,Derived_Variables!$A:$A,Derived_Variables!$U:$U,1.25),
maxAR,XLOOKUP($B275,Derived_Variables!$A:$A,Derived_Variables!$V:$V,3),
anom,XLOOKUP($B275,Derived_Variables!$A:$A,Derived_Variables!$Z:$Z,FALSE),
reStart,XLOOKUP($B275,Derived_Variables!$A:$A,Derived_Variables!$K:$K,0),
leStart,XLOOKUP($B275,Derived_Variables!$A:$A,Derived_Variables!$N:$N,0),
reAR,XLOOKUP($B275,AR_Input!$A:$A,AR_Input!$B:$B,reStart),
leAR,XLOOKUP($B275,AR_Input!$A:$A,AR_Input!$E:$E,leStart),
reEsc,AND(anom,OR(ABS((S275+AM275)-reStart)&gt;maxStart,ABS((S275+AM275)-reAR)&gt;maxAR)),
leEsc,AND(anom,OR(ABS((V275+AP275)-leStart)&gt;maxStart,ABS((V275+AP275)-leAR)&gt;maxAR)),
phaseMax,IFS(
 AK275="Fast",
   IFS(
     OR(C275="B",C275="D"),XLOOKUP("timeout_coarse_fast",Calibration!$B:$B,Calibration!$C:$C,24),
     OR(C275="E",C275="F",C275="H",C275="I"),XLOOKUP("timeout_jcc_fast",Calibration!$B:$B,Calibration!$C:$C,10),
     OR(C275="G",C275="J"),XLOOKUP("timeout_duochrome_fast",Calibration!$B:$B,Calibration!$C:$C,8),
     C275="K",XLOOKUP("timeout_bino_fast",Calibration!$B:$B,Calibration!$C:$C,10),
     OR(C275="P",C275="Q",C275="R"),XLOOKUP("timeout_near_fast",Calibration!$B:$B,Calibration!$C:$C,16),
     TRUE,XLOOKUP("timeout_coarse_fast",Calibration!$B:$B,Calibration!$C:$C,24)
   ),
 AK275="Normal",
   IFS(
     OR(C275="B",C275="D"),XLOOKUP("timeout_coarse_normal",Calibration!$B:$B,Calibration!$C:$C,36),
     OR(C275="E",C275="F",C275="H",C275="I"),XLOOKUP("timeout_jcc_normal",Calibration!$B:$B,Calibration!$C:$C,14),
     OR(C275="G",C275="J"),XLOOKUP("timeout_duochrome_normal",Calibration!$B:$B,Calibration!$C:$C,10),
     C275="K",XLOOKUP("timeout_bino_normal",Calibration!$B:$B,Calibration!$C:$C,14),
     OR(C275="P",C275="Q",C275="R"),XLOOKUP("timeout_near_normal",Calibration!$B:$B,Calibration!$C:$C,22),
     TRUE,XLOOKUP("timeout_coarse_normal",Calibration!$B:$B,Calibration!$C:$C,36)
   ),
 TRUE,
   IFS(
     OR(C275="B",C275="D"),XLOOKUP("timeout_coarse_slow",Calibration!$B:$B,Calibration!$C:$C,48),
     OR(C275="E",C275="F",C275="H",C275="I"),XLOOKUP("timeout_jcc_slow",Calibration!$B:$B,Calibration!$C:$C,18),
     OR(C275="G",C275="J"),XLOOKUP("timeout_duochrome_slow",Calibration!$B:$B,Calibration!$C:$C,12),
     C275="K",XLOOKUP("timeout_bino_slow",Calibration!$B:$B,Calibration!$C:$C,18),
     OR(C275="P",C275="Q",C275="R"),XLOOKUP("timeout_near_slow",Calibration!$B:$B,Calibration!$C:$C,28),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AJ275=TRUE,"ESCALATE",
C275="A",
IF(OR(I275="NOT_READABLE",I275="BLURRY",AND(R275="20_20_20",I275="READABLE")),"B","A"),
C275="B",
IF(reEsc,"ESCALATE",IF(AY275&gt;=phaseMax,"ESCALATE",IF(AND(AV275&gt;=AW275,I275="READABLE"),"E","B"))),
C275="E",
IF(AY275&gt;=phaseMax,"ESCALATE",IF(OR(I275="SAME",I275="CANT_TELL",AD275&lt;axisTol),"F","E")),
C275="F",
IF(AY275&gt;=phaseMax,"ESCALATE",IF(AX275&gt;=powerSameN,"G","F")),
C275="G",
IF(AY275&gt;=phaseMax,"ESCALATE",IF(OR(AX275&gt;=duoEqualN,BB275&gt;=duoMax),"D","G")),
C275="D",
IF(leEsc,"ESCALATE",IF(AY275&gt;=phaseMax,"ESCALATE",IF(AND(AV275&gt;=AW275,I275="READABLE"),"H","D"))),
C275="H",
IF(AY275&gt;=phaseMax,"ESCALATE",IF(OR(I275="SAME",I275="CANT_TELL",AD275&lt;axisTol),"I","H")),
C275="I",
IF(AY275&gt;=phaseMax,"ESCALATE",IF(AX275&gt;=powerSameN,"J","I")),
C275="J",
IF(AY275&gt;=phaseMax,"ESCALATE",IF(OR(AX275&gt;=duoEqualN,BB275&gt;=duoMax),"K","J")),
C275="K",
IF(AY275&gt;=phaseMax,"ESCALATE",IF(AX275&gt;=binoSameN,IF(XLOOKUP($B275,Derived_Variables!$A:$A,Derived_Variables!$AJ:$AJ,FALSE)=TRUE,"P","END"),"K")),
C275="P",
IF(AY275&gt;=phaseMax,"ESCALATE",IF(OR(I275="READABLE",I275="SAME"),"Q","P")),
C275="Q",
IF(AY275&gt;=phaseMax,"ESCALATE",IF(OR(I275="READABLE",I275="SAME"),"R","Q")),
C275="R",
IF(AY275&gt;=phaseMax,"ESCALATE",IF(OR(I275=nearTarget,I275="SAME"),"END","R")),
TRUE,"END"
)))</f>
        <v/>
      </c>
      <c r="BD275" s="28" t="b">
        <f t="shared" si="19"/>
        <v>0</v>
      </c>
    </row>
    <row r="276" ht="15.75" customHeight="1">
      <c r="A276" s="28">
        <f t="shared" si="3"/>
        <v>275</v>
      </c>
      <c r="B276" s="28">
        <f t="shared" si="4"/>
        <v>6</v>
      </c>
      <c r="C276" s="28" t="str">
        <f t="shared" si="5"/>
        <v/>
      </c>
      <c r="D276" s="28" t="str">
        <f t="array" ref="D276">IF($I275="","",XLOOKUP(C276,FSM_State_Map!A:A,FSM_State_Map!B:B,""))</f>
        <v/>
      </c>
      <c r="E276" s="28" t="str">
        <f t="array" ref="E276">IF($I275="","",XLOOKUP(C276,FSM_State_Map!A:A,FSM_State_Map!C:C,""))</f>
        <v/>
      </c>
      <c r="F276" s="28" t="str">
        <f t="array" ref="F276">IF($I275="","",XLOOKUP(E276,Phase_UI_Map!A:A,Phase_UI_Map!B:B,""))</f>
        <v/>
      </c>
      <c r="G276" s="28" t="str">
        <f t="array" ref="G276">IF($I275="","",XLOOKUP(E276,Phase_UI_Map!A:A,Phase_UI_Map!C:C,""))</f>
        <v/>
      </c>
      <c r="H276" s="28" t="str">
        <f t="array" ref="H276">IF($I275="","",XLOOKUP(E276,Phase_UI_Map!A:A,Phase_UI_Map!D:D,""))</f>
        <v/>
      </c>
      <c r="I276" s="29"/>
      <c r="J276" s="28" t="str">
        <f>IFERROR(__xludf.DUMMYFUNCTION("IF($I275="""","""",IFERROR(INDEX(FILTER(Response_Lists!$B:$B,Response_Lists!$A:$A=$H276),1),""""))"),"")</f>
        <v/>
      </c>
      <c r="K276" s="28" t="str">
        <f>IFERROR(__xludf.DUMMYFUNCTION("IF($I275="""","""",IFERROR(INDEX(FILTER(Response_Lists!$B:$B,Response_Lists!$A:$A=$H276),2),""""))"),"")</f>
        <v/>
      </c>
      <c r="L276" s="28" t="str">
        <f>IFERROR(__xludf.DUMMYFUNCTION("IF($I275="""","""",IFERROR(INDEX(FILTER(Response_Lists!$B:$B,Response_Lists!$A:$A=$H276),3),""""))"),"")</f>
        <v/>
      </c>
      <c r="M276" s="28" t="str">
        <f>IFERROR(__xludf.DUMMYFUNCTION("IF($I275="""","""",IFERROR(INDEX(FILTER(Response_Lists!$B:$B,Response_Lists!$A:$A=$H276),4),""""))"),"")</f>
        <v/>
      </c>
      <c r="N276" s="28" t="str">
        <f>IFERROR(__xludf.DUMMYFUNCTION("IF($I275="""","""",IFERROR(INDEX(FILTER(Response_Lists!$B:$B,Response_Lists!$A:$A=$H276),5),""""))"),"")</f>
        <v/>
      </c>
      <c r="O276" s="28" t="str">
        <f>IFERROR(__xludf.DUMMYFUNCTION("IF($I275="""","""",IFERROR(INDEX(FILTER(Response_Lists!$B:$B,Response_Lists!$A:$A=$H276),6),""""))"),"")</f>
        <v/>
      </c>
      <c r="P276" s="28" t="str">
        <f t="shared" si="6"/>
        <v/>
      </c>
      <c r="Q276" s="28" t="str">
        <f t="array" ref="Q276">IF($I275="","",XLOOKUP(C276,FSM_State_Map!A:A,FSM_State_Map!D:D,""))</f>
        <v/>
      </c>
      <c r="R276" s="28" t="str">
        <f t="shared" si="7"/>
        <v/>
      </c>
      <c r="S276" s="28" t="str">
        <f t="array" ref="S276">IF($I275="","",
IF(
  AND(C276="B",C275&lt;&gt;"B"),
  XLOOKUP($B276,Derived_Variables!$A:$A,Derived_Variables!$K:$K,0)
  + XLOOKUP($B276,Derived_Variables!$A:$A,Derived_Variables!$AE:$AE,0),
  S275+AM275
))</f>
        <v/>
      </c>
      <c r="T276" s="28" t="str">
        <f t="shared" ref="T276:U276" si="562">IF($I275="","",T275+AN275)</f>
        <v/>
      </c>
      <c r="U276" s="28" t="str">
        <f t="shared" si="562"/>
        <v/>
      </c>
      <c r="V276" s="28" t="str">
        <f t="array" ref="V276">IF($I275="","",
IF(
  AND(C276="D",C275&lt;&gt;"D"),
  XLOOKUP($B276,Derived_Variables!$A:$A,Derived_Variables!$N:$N,0)
  + XLOOKUP($B276,Derived_Variables!$A:$A,Derived_Variables!$AE:$AE,0),
  V275+AP275
))</f>
        <v/>
      </c>
      <c r="W276" s="28" t="str">
        <f t="shared" ref="W276:X276" si="563">IF($I275="","",W275+AQ275)</f>
        <v/>
      </c>
      <c r="X276" s="28" t="str">
        <f t="shared" si="563"/>
        <v/>
      </c>
      <c r="Y276" s="28" t="str">
        <f t="array" ref="Y276">IF($I275="","",IF(AND(C276="P",C275&lt;&gt;"P"),IFERROR(XLOOKUP($B276,Lenso_Input!$A:$A,Lenso_Input!$E:$E,0),0),Y275+AS275))</f>
        <v/>
      </c>
      <c r="Z276" s="28" t="str">
        <f t="array" ref="Z276">IF($I275="","",IF(AND(C276="Q",C275&lt;&gt;"Q"),IFERROR(XLOOKUP($B276,Lenso_Input!$A:$A,Lenso_Input!$I:$I,0),0),Z275+AT275))</f>
        <v/>
      </c>
      <c r="AA276" s="28" t="str">
        <f t="array" ref="AA276">IF($I275="","",IF(XLOOKUP($B276,Derived_Variables!$A:$A,Derived_Variables!$R:$R,"6/6_target")="6/6_target","20_20_20","40_30_25"))</f>
        <v/>
      </c>
      <c r="AB276" s="28" t="str">
        <f t="array" ref="AB276">IF($I275="","",XLOOKUP(LOWER(XLOOKUP($B276,Derived_Variables!$A:$A,Derived_Variables!$T:$T,"Standard"))&amp;"_sph_step",Calibration!$B:$B,Calibration!$C:$C,0.25))</f>
        <v/>
      </c>
      <c r="AC276" s="28" t="str">
        <f t="array" ref="AC276">IF($I275="","",XLOOKUP(LOWER(XLOOKUP($B276,Derived_Variables!$A:$A,Derived_Variables!$T:$T,"Standard"))&amp;"_cyl_step",Calibration!$B:$B,Calibration!$C:$C,0.25))</f>
        <v/>
      </c>
      <c r="AD276" s="28" t="str">
        <f t="array" ref="AD276">IF($I275="","",IF(OR(C276="E",C276="H"),LET(startStep,XLOOKUP("axis_start_step",Calibration!$B:$B,Calibration!$C:$C,5),step1,XLOOKUP("axis_reversal_step_1",Calibration!$B:$B,Calibration!$C:$C,3),step2,XLOOKUP("axis_reversal_step_2",Calibration!$B:$B,Calibration!$C:$C,1),IF(OR(C275&lt;&gt;C276,AZ276="",AZ276="SAME",AZ276="CANT_TELL",I276="",I276="SAME",I276="CANT_TELL"),startStep,IF(OR(AND(AZ276="BETTER_1",I276="BETTER_2"),AND(AZ276="BETTER_2",I276="BETTER_1")),IF(AD275&gt;step1,step1,step2),AD275))),0))</f>
        <v/>
      </c>
      <c r="AE276" s="28" t="str">
        <f t="array" ref="AE276">IF($I275="","",XLOOKUP($B276,Derived_Variables!$A:$A,Derived_Variables!$AD:$AD,"No_Fog"))</f>
        <v/>
      </c>
      <c r="AF276" s="28" t="str">
        <f t="array" ref="AF276">IF($I275="","",XLOOKUP($B276,Derived_Variables!$A:$A,Derived_Variables!$AE:$AE,0))</f>
        <v/>
      </c>
      <c r="AG276" s="28" t="str">
        <f t="array" ref="AG276">IF($I275="","",XLOOKUP($B276,Derived_Variables!$A:$A,Derived_Variables!$AF:$AF,""))</f>
        <v/>
      </c>
      <c r="AH276" s="28" t="str">
        <f t="array" ref="AH276">IF($I275="","",XLOOKUP($B276,Derived_Variables!$A:$A,Derived_Variables!$AG:$AG,""))</f>
        <v/>
      </c>
      <c r="AI276" s="28" t="str">
        <f t="array" ref="AI276">IF($I275="","",XLOOKUP($B276,Derived_Variables!$A:$A,Derived_Variables!$AC:$AC,"Medium"))</f>
        <v/>
      </c>
      <c r="AJ276" s="28" t="str">
        <f t="array" ref="AJ276">IF($I275="","",XLOOKUP($B276,Derived_Variables!$A:$A,Derived_Variables!$Y:$Y,FALSE))</f>
        <v/>
      </c>
      <c r="AK276" s="28" t="str">
        <f t="array" ref="AK276">IF($I275="","",XLOOKUP($B276,Derived_Variables!$A:$A,Derived_Variables!$AA:$AA,"Normal"))</f>
        <v/>
      </c>
      <c r="AL276" s="28" t="str">
        <f t="array" ref="AL276">IF($I275="","",XLOOKUP($B276,Derived_Variables!$A:$A,Derived_Variables!$AB:$AB,"Normal"))</f>
        <v/>
      </c>
      <c r="AM276" s="28" t="str">
        <f t="array" ref="AM276">IF($I276="","",IFS(C276="B",IF(OR(I276="NOT_READABLE",I276="BLURRY"),-AB276,0),C276="G",IFS(I276="RED_CLEARER",XLOOKUP("duochrome_red_step",Calibration!$B:$B,Calibration!$C:$C,-0.25),I276="GREEN_CLEARER",XLOOKUP("duochrome_green_step",Calibration!$B:$B,Calibration!$C:$C,0.25),I276="EQUAL",IF(XLOOKUP($B276,Derived_Variables!$A:$A,Derived_Variables!$S:$S,"Neutral")="Undercorrect",XLOOKUP("undercorrect_step",Calibration!$B:$B,Calibration!$C:$C,0.25),IF(XLOOKUP($B276,Derived_Variables!$A:$A,Derived_Variables!$S:$S,"Neutral")="Overcorrect",-XLOOKUP("overcorrect_step",Calibration!$B:$B,Calibration!$C:$C,0.25),0)),TRUE,0),C276="K",IF(I276="TOP_CLEARER",XLOOKUP("bino_balance_step",Calibration!$B:$B,Calibration!$C:$C,0.25),0),TRUE,0))</f>
        <v/>
      </c>
      <c r="AN276" s="28" t="str">
        <f t="shared" si="10"/>
        <v/>
      </c>
      <c r="AO276" s="28" t="str">
        <f t="shared" si="11"/>
        <v/>
      </c>
      <c r="AP276" s="28" t="str">
        <f t="array" ref="AP276">IF($I276="","",IFS(C276="D",IF(OR(I276="NOT_READABLE",I276="BLURRY"),-AB276,0),C276="J",IFS(I276="RED_CLEARER",XLOOKUP("duochrome_red_step",Calibration!$B:$B,Calibration!$C:$C,-0.25),I276="GREEN_CLEARER",XLOOKUP("duochrome_green_step",Calibration!$B:$B,Calibration!$C:$C,0.25),I276="EQUAL",IF(XLOOKUP($B276,Derived_Variables!$A:$A,Derived_Variables!$S:$S,"Neutral")="Undercorrect",XLOOKUP("undercorrect_step",Calibration!$B:$B,Calibration!$C:$C,0.25),IF(XLOOKUP($B276,Derived_Variables!$A:$A,Derived_Variables!$S:$S,"Neutral")="Overcorrect",-XLOOKUP("overcorrect_step",Calibration!$B:$B,Calibration!$C:$C,0.25),0)),TRUE,0),C276="K",IF(I276="BOTTOM_CLEARER",XLOOKUP("bino_balance_step",Calibration!$B:$B,Calibration!$C:$C,0.25),0),TRUE,0))</f>
        <v/>
      </c>
      <c r="AQ276" s="28" t="str">
        <f t="shared" si="12"/>
        <v/>
      </c>
      <c r="AR276" s="28" t="str">
        <f t="shared" si="13"/>
        <v/>
      </c>
      <c r="AS276" s="28" t="str">
        <f t="array" ref="AS276">IF($I276="","",IF(C276="P",IF(OR(I276="NOT_READABLE",I276="BLURRY"),XLOOKUP("near_add_step",Calibration!$B:$B,Calibration!$C:$C,0.25),0),IF(C276="R",IF(I276="NOT_CLEAR",XLOOKUP("near_add_step",Calibration!$B:$B,Calibration!$C:$C,0.25),0),0)))</f>
        <v/>
      </c>
      <c r="AT276" s="28" t="str">
        <f t="array" ref="AT276">IF($I276="","",IF(C276="Q",IF(OR(I276="NOT_READABLE",I276="BLURRY"),XLOOKUP("near_add_step",Calibration!$B:$B,Calibration!$C:$C,0.25),0),IF(C276="R",IF(I276="NOT_CLEAR",XLOOKUP("near_add_step",Calibration!$B:$B,Calibration!$C:$C,0.25),0),0)))</f>
        <v/>
      </c>
      <c r="AU276" s="28" t="str">
        <f t="array" ref="AU276">IF($I276="","",IF(G276="SNELLEN_FEET",IF(I276="READABLE",IFERROR(XLOOKUP(XLOOKUP(R276,Chart_Scale_Distance!B:B,Chart_Scale_Distance!A:A)+1,Chart_Scale_Distance!A:A,Chart_Scale_Distance!B:B),R276),R276),R276))</f>
        <v/>
      </c>
      <c r="AV276" s="28" t="str">
        <f t="array" ref="AV276">IF($I275="","",IFERROR(XLOOKUP(R276,Chart_Scale_Distance!$B:$B,Chart_Scale_Distance!$A:$A,""),""))</f>
        <v/>
      </c>
      <c r="AW276" s="28" t="str">
        <f t="array" ref="AW276">IF($I275="","",IFERROR(XLOOKUP(AA276,Chart_Scale_Distance!$B:$B,Chart_Scale_Distance!$A:$A,""),""))</f>
        <v/>
      </c>
      <c r="AX276" s="28" t="str">
        <f t="shared" si="14"/>
        <v/>
      </c>
      <c r="AY276" s="28" t="str">
        <f t="shared" si="15"/>
        <v/>
      </c>
      <c r="AZ276" s="28" t="str">
        <f t="shared" si="16"/>
        <v/>
      </c>
      <c r="BA276" s="28" t="str">
        <f t="shared" si="17"/>
        <v/>
      </c>
      <c r="BB276" s="28" t="str">
        <f t="shared" si="18"/>
        <v/>
      </c>
      <c r="BC276" s="28" t="str">
        <f t="array" ref="BC276">IF($I276="","",LET(
conf,AI276,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duoMax,XLOOKUP($B276,Derived_Variables!$A:$A,Derived_Variables!$AI:$AI,4),
axisTol,XLOOKUP($B276,Derived_Variables!$A:$A,Derived_Variables!$W:$W,1),
maxStart,XLOOKUP($B276,Derived_Variables!$A:$A,Derived_Variables!$U:$U,1.25),
maxAR,XLOOKUP($B276,Derived_Variables!$A:$A,Derived_Variables!$V:$V,3),
anom,XLOOKUP($B276,Derived_Variables!$A:$A,Derived_Variables!$Z:$Z,FALSE),
reStart,XLOOKUP($B276,Derived_Variables!$A:$A,Derived_Variables!$K:$K,0),
leStart,XLOOKUP($B276,Derived_Variables!$A:$A,Derived_Variables!$N:$N,0),
reAR,XLOOKUP($B276,AR_Input!$A:$A,AR_Input!$B:$B,reStart),
leAR,XLOOKUP($B276,AR_Input!$A:$A,AR_Input!$E:$E,leStart),
reEsc,AND(anom,OR(ABS((S276+AM276)-reStart)&gt;maxStart,ABS((S276+AM276)-reAR)&gt;maxAR)),
leEsc,AND(anom,OR(ABS((V276+AP276)-leStart)&gt;maxStart,ABS((V276+AP276)-leAR)&gt;maxAR)),
phaseMax,IFS(
 AK276="Fast",
   IFS(
     OR(C276="B",C276="D"),XLOOKUP("timeout_coarse_fast",Calibration!$B:$B,Calibration!$C:$C,24),
     OR(C276="E",C276="F",C276="H",C276="I"),XLOOKUP("timeout_jcc_fast",Calibration!$B:$B,Calibration!$C:$C,10),
     OR(C276="G",C276="J"),XLOOKUP("timeout_duochrome_fast",Calibration!$B:$B,Calibration!$C:$C,8),
     C276="K",XLOOKUP("timeout_bino_fast",Calibration!$B:$B,Calibration!$C:$C,10),
     OR(C276="P",C276="Q",C276="R"),XLOOKUP("timeout_near_fast",Calibration!$B:$B,Calibration!$C:$C,16),
     TRUE,XLOOKUP("timeout_coarse_fast",Calibration!$B:$B,Calibration!$C:$C,24)
   ),
 AK276="Normal",
   IFS(
     OR(C276="B",C276="D"),XLOOKUP("timeout_coarse_normal",Calibration!$B:$B,Calibration!$C:$C,36),
     OR(C276="E",C276="F",C276="H",C276="I"),XLOOKUP("timeout_jcc_normal",Calibration!$B:$B,Calibration!$C:$C,14),
     OR(C276="G",C276="J"),XLOOKUP("timeout_duochrome_normal",Calibration!$B:$B,Calibration!$C:$C,10),
     C276="K",XLOOKUP("timeout_bino_normal",Calibration!$B:$B,Calibration!$C:$C,14),
     OR(C276="P",C276="Q",C276="R"),XLOOKUP("timeout_near_normal",Calibration!$B:$B,Calibration!$C:$C,22),
     TRUE,XLOOKUP("timeout_coarse_normal",Calibration!$B:$B,Calibration!$C:$C,36)
   ),
 TRUE,
   IFS(
     OR(C276="B",C276="D"),XLOOKUP("timeout_coarse_slow",Calibration!$B:$B,Calibration!$C:$C,48),
     OR(C276="E",C276="F",C276="H",C276="I"),XLOOKUP("timeout_jcc_slow",Calibration!$B:$B,Calibration!$C:$C,18),
     OR(C276="G",C276="J"),XLOOKUP("timeout_duochrome_slow",Calibration!$B:$B,Calibration!$C:$C,12),
     C276="K",XLOOKUP("timeout_bino_slow",Calibration!$B:$B,Calibration!$C:$C,18),
     OR(C276="P",C276="Q",C276="R"),XLOOKUP("timeout_near_slow",Calibration!$B:$B,Calibration!$C:$C,28),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AJ276=TRUE,"ESCALATE",
C276="A",
IF(OR(I276="NOT_READABLE",I276="BLURRY",AND(R276="20_20_20",I276="READABLE")),"B","A"),
C276="B",
IF(reEsc,"ESCALATE",IF(AY276&gt;=phaseMax,"ESCALATE",IF(AND(AV276&gt;=AW276,I276="READABLE"),"E","B"))),
C276="E",
IF(AY276&gt;=phaseMax,"ESCALATE",IF(OR(I276="SAME",I276="CANT_TELL",AD276&lt;axisTol),"F","E")),
C276="F",
IF(AY276&gt;=phaseMax,"ESCALATE",IF(AX276&gt;=powerSameN,"G","F")),
C276="G",
IF(AY276&gt;=phaseMax,"ESCALATE",IF(OR(AX276&gt;=duoEqualN,BB276&gt;=duoMax),"D","G")),
C276="D",
IF(leEsc,"ESCALATE",IF(AY276&gt;=phaseMax,"ESCALATE",IF(AND(AV276&gt;=AW276,I276="READABLE"),"H","D"))),
C276="H",
IF(AY276&gt;=phaseMax,"ESCALATE",IF(OR(I276="SAME",I276="CANT_TELL",AD276&lt;axisTol),"I","H")),
C276="I",
IF(AY276&gt;=phaseMax,"ESCALATE",IF(AX276&gt;=powerSameN,"J","I")),
C276="J",
IF(AY276&gt;=phaseMax,"ESCALATE",IF(OR(AX276&gt;=duoEqualN,BB276&gt;=duoMax),"K","J")),
C276="K",
IF(AY276&gt;=phaseMax,"ESCALATE",IF(AX276&gt;=binoSameN,IF(XLOOKUP($B276,Derived_Variables!$A:$A,Derived_Variables!$AJ:$AJ,FALSE)=TRUE,"P","END"),"K")),
C276="P",
IF(AY276&gt;=phaseMax,"ESCALATE",IF(OR(I276="READABLE",I276="SAME"),"Q","P")),
C276="Q",
IF(AY276&gt;=phaseMax,"ESCALATE",IF(OR(I276="READABLE",I276="SAME"),"R","Q")),
C276="R",
IF(AY276&gt;=phaseMax,"ESCALATE",IF(OR(I276=nearTarget,I276="SAME"),"END","R")),
TRUE,"END"
)))</f>
        <v/>
      </c>
      <c r="BD276" s="28" t="b">
        <f t="shared" si="19"/>
        <v>0</v>
      </c>
    </row>
    <row r="277" ht="15.75" customHeight="1">
      <c r="A277" s="28">
        <f t="shared" si="3"/>
        <v>276</v>
      </c>
      <c r="B277" s="28">
        <f t="shared" si="4"/>
        <v>6</v>
      </c>
      <c r="C277" s="28" t="str">
        <f t="shared" si="5"/>
        <v/>
      </c>
      <c r="D277" s="28" t="str">
        <f t="array" ref="D277">IF($I276="","",XLOOKUP(C277,FSM_State_Map!A:A,FSM_State_Map!B:B,""))</f>
        <v/>
      </c>
      <c r="E277" s="28" t="str">
        <f t="array" ref="E277">IF($I276="","",XLOOKUP(C277,FSM_State_Map!A:A,FSM_State_Map!C:C,""))</f>
        <v/>
      </c>
      <c r="F277" s="28" t="str">
        <f t="array" ref="F277">IF($I276="","",XLOOKUP(E277,Phase_UI_Map!A:A,Phase_UI_Map!B:B,""))</f>
        <v/>
      </c>
      <c r="G277" s="28" t="str">
        <f t="array" ref="G277">IF($I276="","",XLOOKUP(E277,Phase_UI_Map!A:A,Phase_UI_Map!C:C,""))</f>
        <v/>
      </c>
      <c r="H277" s="28" t="str">
        <f t="array" ref="H277">IF($I276="","",XLOOKUP(E277,Phase_UI_Map!A:A,Phase_UI_Map!D:D,""))</f>
        <v/>
      </c>
      <c r="I277" s="29"/>
      <c r="J277" s="28" t="str">
        <f>IFERROR(__xludf.DUMMYFUNCTION("IF($I276="""","""",IFERROR(INDEX(FILTER(Response_Lists!$B:$B,Response_Lists!$A:$A=$H277),1),""""))"),"")</f>
        <v/>
      </c>
      <c r="K277" s="28" t="str">
        <f>IFERROR(__xludf.DUMMYFUNCTION("IF($I276="""","""",IFERROR(INDEX(FILTER(Response_Lists!$B:$B,Response_Lists!$A:$A=$H277),2),""""))"),"")</f>
        <v/>
      </c>
      <c r="L277" s="28" t="str">
        <f>IFERROR(__xludf.DUMMYFUNCTION("IF($I276="""","""",IFERROR(INDEX(FILTER(Response_Lists!$B:$B,Response_Lists!$A:$A=$H277),3),""""))"),"")</f>
        <v/>
      </c>
      <c r="M277" s="28" t="str">
        <f>IFERROR(__xludf.DUMMYFUNCTION("IF($I276="""","""",IFERROR(INDEX(FILTER(Response_Lists!$B:$B,Response_Lists!$A:$A=$H277),4),""""))"),"")</f>
        <v/>
      </c>
      <c r="N277" s="28" t="str">
        <f>IFERROR(__xludf.DUMMYFUNCTION("IF($I276="""","""",IFERROR(INDEX(FILTER(Response_Lists!$B:$B,Response_Lists!$A:$A=$H277),5),""""))"),"")</f>
        <v/>
      </c>
      <c r="O277" s="28" t="str">
        <f>IFERROR(__xludf.DUMMYFUNCTION("IF($I276="""","""",IFERROR(INDEX(FILTER(Response_Lists!$B:$B,Response_Lists!$A:$A=$H277),6),""""))"),"")</f>
        <v/>
      </c>
      <c r="P277" s="28" t="str">
        <f t="shared" si="6"/>
        <v/>
      </c>
      <c r="Q277" s="28" t="str">
        <f t="array" ref="Q277">IF($I276="","",XLOOKUP(C277,FSM_State_Map!A:A,FSM_State_Map!D:D,""))</f>
        <v/>
      </c>
      <c r="R277" s="28" t="str">
        <f t="shared" si="7"/>
        <v/>
      </c>
      <c r="S277" s="28" t="str">
        <f t="array" ref="S277">IF($I276="","",
IF(
  AND(C277="B",C276&lt;&gt;"B"),
  XLOOKUP($B277,Derived_Variables!$A:$A,Derived_Variables!$K:$K,0)
  + XLOOKUP($B277,Derived_Variables!$A:$A,Derived_Variables!$AE:$AE,0),
  S276+AM276
))</f>
        <v/>
      </c>
      <c r="T277" s="28" t="str">
        <f t="shared" ref="T277:U277" si="564">IF($I276="","",T276+AN276)</f>
        <v/>
      </c>
      <c r="U277" s="28" t="str">
        <f t="shared" si="564"/>
        <v/>
      </c>
      <c r="V277" s="28" t="str">
        <f t="array" ref="V277">IF($I276="","",
IF(
  AND(C277="D",C276&lt;&gt;"D"),
  XLOOKUP($B277,Derived_Variables!$A:$A,Derived_Variables!$N:$N,0)
  + XLOOKUP($B277,Derived_Variables!$A:$A,Derived_Variables!$AE:$AE,0),
  V276+AP276
))</f>
        <v/>
      </c>
      <c r="W277" s="28" t="str">
        <f t="shared" ref="W277:X277" si="565">IF($I276="","",W276+AQ276)</f>
        <v/>
      </c>
      <c r="X277" s="28" t="str">
        <f t="shared" si="565"/>
        <v/>
      </c>
      <c r="Y277" s="28" t="str">
        <f t="array" ref="Y277">IF($I276="","",IF(AND(C277="P",C276&lt;&gt;"P"),IFERROR(XLOOKUP($B277,Lenso_Input!$A:$A,Lenso_Input!$E:$E,0),0),Y276+AS276))</f>
        <v/>
      </c>
      <c r="Z277" s="28" t="str">
        <f t="array" ref="Z277">IF($I276="","",IF(AND(C277="Q",C276&lt;&gt;"Q"),IFERROR(XLOOKUP($B277,Lenso_Input!$A:$A,Lenso_Input!$I:$I,0),0),Z276+AT276))</f>
        <v/>
      </c>
      <c r="AA277" s="28" t="str">
        <f t="array" ref="AA277">IF($I276="","",IF(XLOOKUP($B277,Derived_Variables!$A:$A,Derived_Variables!$R:$R,"6/6_target")="6/6_target","20_20_20","40_30_25"))</f>
        <v/>
      </c>
      <c r="AB277" s="28" t="str">
        <f t="array" ref="AB277">IF($I276="","",XLOOKUP(LOWER(XLOOKUP($B277,Derived_Variables!$A:$A,Derived_Variables!$T:$T,"Standard"))&amp;"_sph_step",Calibration!$B:$B,Calibration!$C:$C,0.25))</f>
        <v/>
      </c>
      <c r="AC277" s="28" t="str">
        <f t="array" ref="AC277">IF($I276="","",XLOOKUP(LOWER(XLOOKUP($B277,Derived_Variables!$A:$A,Derived_Variables!$T:$T,"Standard"))&amp;"_cyl_step",Calibration!$B:$B,Calibration!$C:$C,0.25))</f>
        <v/>
      </c>
      <c r="AD277" s="28" t="str">
        <f t="array" ref="AD277">IF($I276="","",IF(OR(C277="E",C277="H"),LET(startStep,XLOOKUP("axis_start_step",Calibration!$B:$B,Calibration!$C:$C,5),step1,XLOOKUP("axis_reversal_step_1",Calibration!$B:$B,Calibration!$C:$C,3),step2,XLOOKUP("axis_reversal_step_2",Calibration!$B:$B,Calibration!$C:$C,1),IF(OR(C276&lt;&gt;C277,AZ277="",AZ277="SAME",AZ277="CANT_TELL",I277="",I277="SAME",I277="CANT_TELL"),startStep,IF(OR(AND(AZ277="BETTER_1",I277="BETTER_2"),AND(AZ277="BETTER_2",I277="BETTER_1")),IF(AD276&gt;step1,step1,step2),AD276))),0))</f>
        <v/>
      </c>
      <c r="AE277" s="28" t="str">
        <f t="array" ref="AE277">IF($I276="","",XLOOKUP($B277,Derived_Variables!$A:$A,Derived_Variables!$AD:$AD,"No_Fog"))</f>
        <v/>
      </c>
      <c r="AF277" s="28" t="str">
        <f t="array" ref="AF277">IF($I276="","",XLOOKUP($B277,Derived_Variables!$A:$A,Derived_Variables!$AE:$AE,0))</f>
        <v/>
      </c>
      <c r="AG277" s="28" t="str">
        <f t="array" ref="AG277">IF($I276="","",XLOOKUP($B277,Derived_Variables!$A:$A,Derived_Variables!$AF:$AF,""))</f>
        <v/>
      </c>
      <c r="AH277" s="28" t="str">
        <f t="array" ref="AH277">IF($I276="","",XLOOKUP($B277,Derived_Variables!$A:$A,Derived_Variables!$AG:$AG,""))</f>
        <v/>
      </c>
      <c r="AI277" s="28" t="str">
        <f t="array" ref="AI277">IF($I276="","",XLOOKUP($B277,Derived_Variables!$A:$A,Derived_Variables!$AC:$AC,"Medium"))</f>
        <v/>
      </c>
      <c r="AJ277" s="28" t="str">
        <f t="array" ref="AJ277">IF($I276="","",XLOOKUP($B277,Derived_Variables!$A:$A,Derived_Variables!$Y:$Y,FALSE))</f>
        <v/>
      </c>
      <c r="AK277" s="28" t="str">
        <f t="array" ref="AK277">IF($I276="","",XLOOKUP($B277,Derived_Variables!$A:$A,Derived_Variables!$AA:$AA,"Normal"))</f>
        <v/>
      </c>
      <c r="AL277" s="28" t="str">
        <f t="array" ref="AL277">IF($I276="","",XLOOKUP($B277,Derived_Variables!$A:$A,Derived_Variables!$AB:$AB,"Normal"))</f>
        <v/>
      </c>
      <c r="AM277" s="28" t="str">
        <f t="array" ref="AM277">IF($I277="","",IFS(C277="B",IF(OR(I277="NOT_READABLE",I277="BLURRY"),-AB277,0),C277="G",IFS(I277="RED_CLEARER",XLOOKUP("duochrome_red_step",Calibration!$B:$B,Calibration!$C:$C,-0.25),I277="GREEN_CLEARER",XLOOKUP("duochrome_green_step",Calibration!$B:$B,Calibration!$C:$C,0.25),I277="EQUAL",IF(XLOOKUP($B277,Derived_Variables!$A:$A,Derived_Variables!$S:$S,"Neutral")="Undercorrect",XLOOKUP("undercorrect_step",Calibration!$B:$B,Calibration!$C:$C,0.25),IF(XLOOKUP($B277,Derived_Variables!$A:$A,Derived_Variables!$S:$S,"Neutral")="Overcorrect",-XLOOKUP("overcorrect_step",Calibration!$B:$B,Calibration!$C:$C,0.25),0)),TRUE,0),C277="K",IF(I277="TOP_CLEARER",XLOOKUP("bino_balance_step",Calibration!$B:$B,Calibration!$C:$C,0.25),0),TRUE,0))</f>
        <v/>
      </c>
      <c r="AN277" s="28" t="str">
        <f t="shared" si="10"/>
        <v/>
      </c>
      <c r="AO277" s="28" t="str">
        <f t="shared" si="11"/>
        <v/>
      </c>
      <c r="AP277" s="28" t="str">
        <f t="array" ref="AP277">IF($I277="","",IFS(C277="D",IF(OR(I277="NOT_READABLE",I277="BLURRY"),-AB277,0),C277="J",IFS(I277="RED_CLEARER",XLOOKUP("duochrome_red_step",Calibration!$B:$B,Calibration!$C:$C,-0.25),I277="GREEN_CLEARER",XLOOKUP("duochrome_green_step",Calibration!$B:$B,Calibration!$C:$C,0.25),I277="EQUAL",IF(XLOOKUP($B277,Derived_Variables!$A:$A,Derived_Variables!$S:$S,"Neutral")="Undercorrect",XLOOKUP("undercorrect_step",Calibration!$B:$B,Calibration!$C:$C,0.25),IF(XLOOKUP($B277,Derived_Variables!$A:$A,Derived_Variables!$S:$S,"Neutral")="Overcorrect",-XLOOKUP("overcorrect_step",Calibration!$B:$B,Calibration!$C:$C,0.25),0)),TRUE,0),C277="K",IF(I277="BOTTOM_CLEARER",XLOOKUP("bino_balance_step",Calibration!$B:$B,Calibration!$C:$C,0.25),0),TRUE,0))</f>
        <v/>
      </c>
      <c r="AQ277" s="28" t="str">
        <f t="shared" si="12"/>
        <v/>
      </c>
      <c r="AR277" s="28" t="str">
        <f t="shared" si="13"/>
        <v/>
      </c>
      <c r="AS277" s="28" t="str">
        <f t="array" ref="AS277">IF($I277="","",IF(C277="P",IF(OR(I277="NOT_READABLE",I277="BLURRY"),XLOOKUP("near_add_step",Calibration!$B:$B,Calibration!$C:$C,0.25),0),IF(C277="R",IF(I277="NOT_CLEAR",XLOOKUP("near_add_step",Calibration!$B:$B,Calibration!$C:$C,0.25),0),0)))</f>
        <v/>
      </c>
      <c r="AT277" s="28" t="str">
        <f t="array" ref="AT277">IF($I277="","",IF(C277="Q",IF(OR(I277="NOT_READABLE",I277="BLURRY"),XLOOKUP("near_add_step",Calibration!$B:$B,Calibration!$C:$C,0.25),0),IF(C277="R",IF(I277="NOT_CLEAR",XLOOKUP("near_add_step",Calibration!$B:$B,Calibration!$C:$C,0.25),0),0)))</f>
        <v/>
      </c>
      <c r="AU277" s="28" t="str">
        <f t="array" ref="AU277">IF($I277="","",IF(G277="SNELLEN_FEET",IF(I277="READABLE",IFERROR(XLOOKUP(XLOOKUP(R277,Chart_Scale_Distance!B:B,Chart_Scale_Distance!A:A)+1,Chart_Scale_Distance!A:A,Chart_Scale_Distance!B:B),R277),R277),R277))</f>
        <v/>
      </c>
      <c r="AV277" s="28" t="str">
        <f t="array" ref="AV277">IF($I276="","",IFERROR(XLOOKUP(R277,Chart_Scale_Distance!$B:$B,Chart_Scale_Distance!$A:$A,""),""))</f>
        <v/>
      </c>
      <c r="AW277" s="28" t="str">
        <f t="array" ref="AW277">IF($I276="","",IFERROR(XLOOKUP(AA277,Chart_Scale_Distance!$B:$B,Chart_Scale_Distance!$A:$A,""),""))</f>
        <v/>
      </c>
      <c r="AX277" s="28" t="str">
        <f t="shared" si="14"/>
        <v/>
      </c>
      <c r="AY277" s="28" t="str">
        <f t="shared" si="15"/>
        <v/>
      </c>
      <c r="AZ277" s="28" t="str">
        <f t="shared" si="16"/>
        <v/>
      </c>
      <c r="BA277" s="28" t="str">
        <f t="shared" si="17"/>
        <v/>
      </c>
      <c r="BB277" s="28" t="str">
        <f t="shared" si="18"/>
        <v/>
      </c>
      <c r="BC277" s="28" t="str">
        <f t="array" ref="BC277">IF($I277="","",LET(
conf,AI277,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duoMax,XLOOKUP($B277,Derived_Variables!$A:$A,Derived_Variables!$AI:$AI,4),
axisTol,XLOOKUP($B277,Derived_Variables!$A:$A,Derived_Variables!$W:$W,1),
maxStart,XLOOKUP($B277,Derived_Variables!$A:$A,Derived_Variables!$U:$U,1.25),
maxAR,XLOOKUP($B277,Derived_Variables!$A:$A,Derived_Variables!$V:$V,3),
anom,XLOOKUP($B277,Derived_Variables!$A:$A,Derived_Variables!$Z:$Z,FALSE),
reStart,XLOOKUP($B277,Derived_Variables!$A:$A,Derived_Variables!$K:$K,0),
leStart,XLOOKUP($B277,Derived_Variables!$A:$A,Derived_Variables!$N:$N,0),
reAR,XLOOKUP($B277,AR_Input!$A:$A,AR_Input!$B:$B,reStart),
leAR,XLOOKUP($B277,AR_Input!$A:$A,AR_Input!$E:$E,leStart),
reEsc,AND(anom,OR(ABS((S277+AM277)-reStart)&gt;maxStart,ABS((S277+AM277)-reAR)&gt;maxAR)),
leEsc,AND(anom,OR(ABS((V277+AP277)-leStart)&gt;maxStart,ABS((V277+AP277)-leAR)&gt;maxAR)),
phaseMax,IFS(
 AK277="Fast",
   IFS(
     OR(C277="B",C277="D"),XLOOKUP("timeout_coarse_fast",Calibration!$B:$B,Calibration!$C:$C,24),
     OR(C277="E",C277="F",C277="H",C277="I"),XLOOKUP("timeout_jcc_fast",Calibration!$B:$B,Calibration!$C:$C,10),
     OR(C277="G",C277="J"),XLOOKUP("timeout_duochrome_fast",Calibration!$B:$B,Calibration!$C:$C,8),
     C277="K",XLOOKUP("timeout_bino_fast",Calibration!$B:$B,Calibration!$C:$C,10),
     OR(C277="P",C277="Q",C277="R"),XLOOKUP("timeout_near_fast",Calibration!$B:$B,Calibration!$C:$C,16),
     TRUE,XLOOKUP("timeout_coarse_fast",Calibration!$B:$B,Calibration!$C:$C,24)
   ),
 AK277="Normal",
   IFS(
     OR(C277="B",C277="D"),XLOOKUP("timeout_coarse_normal",Calibration!$B:$B,Calibration!$C:$C,36),
     OR(C277="E",C277="F",C277="H",C277="I"),XLOOKUP("timeout_jcc_normal",Calibration!$B:$B,Calibration!$C:$C,14),
     OR(C277="G",C277="J"),XLOOKUP("timeout_duochrome_normal",Calibration!$B:$B,Calibration!$C:$C,10),
     C277="K",XLOOKUP("timeout_bino_normal",Calibration!$B:$B,Calibration!$C:$C,14),
     OR(C277="P",C277="Q",C277="R"),XLOOKUP("timeout_near_normal",Calibration!$B:$B,Calibration!$C:$C,22),
     TRUE,XLOOKUP("timeout_coarse_normal",Calibration!$B:$B,Calibration!$C:$C,36)
   ),
 TRUE,
   IFS(
     OR(C277="B",C277="D"),XLOOKUP("timeout_coarse_slow",Calibration!$B:$B,Calibration!$C:$C,48),
     OR(C277="E",C277="F",C277="H",C277="I"),XLOOKUP("timeout_jcc_slow",Calibration!$B:$B,Calibration!$C:$C,18),
     OR(C277="G",C277="J"),XLOOKUP("timeout_duochrome_slow",Calibration!$B:$B,Calibration!$C:$C,12),
     C277="K",XLOOKUP("timeout_bino_slow",Calibration!$B:$B,Calibration!$C:$C,18),
     OR(C277="P",C277="Q",C277="R"),XLOOKUP("timeout_near_slow",Calibration!$B:$B,Calibration!$C:$C,28),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AJ277=TRUE,"ESCALATE",
C277="A",
IF(OR(I277="NOT_READABLE",I277="BLURRY",AND(R277="20_20_20",I277="READABLE")),"B","A"),
C277="B",
IF(reEsc,"ESCALATE",IF(AY277&gt;=phaseMax,"ESCALATE",IF(AND(AV277&gt;=AW277,I277="READABLE"),"E","B"))),
C277="E",
IF(AY277&gt;=phaseMax,"ESCALATE",IF(OR(I277="SAME",I277="CANT_TELL",AD277&lt;axisTol),"F","E")),
C277="F",
IF(AY277&gt;=phaseMax,"ESCALATE",IF(AX277&gt;=powerSameN,"G","F")),
C277="G",
IF(AY277&gt;=phaseMax,"ESCALATE",IF(OR(AX277&gt;=duoEqualN,BB277&gt;=duoMax),"D","G")),
C277="D",
IF(leEsc,"ESCALATE",IF(AY277&gt;=phaseMax,"ESCALATE",IF(AND(AV277&gt;=AW277,I277="READABLE"),"H","D"))),
C277="H",
IF(AY277&gt;=phaseMax,"ESCALATE",IF(OR(I277="SAME",I277="CANT_TELL",AD277&lt;axisTol),"I","H")),
C277="I",
IF(AY277&gt;=phaseMax,"ESCALATE",IF(AX277&gt;=powerSameN,"J","I")),
C277="J",
IF(AY277&gt;=phaseMax,"ESCALATE",IF(OR(AX277&gt;=duoEqualN,BB277&gt;=duoMax),"K","J")),
C277="K",
IF(AY277&gt;=phaseMax,"ESCALATE",IF(AX277&gt;=binoSameN,IF(XLOOKUP($B277,Derived_Variables!$A:$A,Derived_Variables!$AJ:$AJ,FALSE)=TRUE,"P","END"),"K")),
C277="P",
IF(AY277&gt;=phaseMax,"ESCALATE",IF(OR(I277="READABLE",I277="SAME"),"Q","P")),
C277="Q",
IF(AY277&gt;=phaseMax,"ESCALATE",IF(OR(I277="READABLE",I277="SAME"),"R","Q")),
C277="R",
IF(AY277&gt;=phaseMax,"ESCALATE",IF(OR(I277=nearTarget,I277="SAME"),"END","R")),
TRUE,"END"
)))</f>
        <v/>
      </c>
      <c r="BD277" s="28" t="b">
        <f t="shared" si="19"/>
        <v>0</v>
      </c>
    </row>
    <row r="278" ht="15.75" customHeight="1">
      <c r="A278" s="28">
        <f t="shared" si="3"/>
        <v>277</v>
      </c>
      <c r="B278" s="28">
        <f t="shared" si="4"/>
        <v>6</v>
      </c>
      <c r="C278" s="28" t="str">
        <f t="shared" si="5"/>
        <v/>
      </c>
      <c r="D278" s="28" t="str">
        <f t="array" ref="D278">IF($I277="","",XLOOKUP(C278,FSM_State_Map!A:A,FSM_State_Map!B:B,""))</f>
        <v/>
      </c>
      <c r="E278" s="28" t="str">
        <f t="array" ref="E278">IF($I277="","",XLOOKUP(C278,FSM_State_Map!A:A,FSM_State_Map!C:C,""))</f>
        <v/>
      </c>
      <c r="F278" s="28" t="str">
        <f t="array" ref="F278">IF($I277="","",XLOOKUP(E278,Phase_UI_Map!A:A,Phase_UI_Map!B:B,""))</f>
        <v/>
      </c>
      <c r="G278" s="28" t="str">
        <f t="array" ref="G278">IF($I277="","",XLOOKUP(E278,Phase_UI_Map!A:A,Phase_UI_Map!C:C,""))</f>
        <v/>
      </c>
      <c r="H278" s="28" t="str">
        <f t="array" ref="H278">IF($I277="","",XLOOKUP(E278,Phase_UI_Map!A:A,Phase_UI_Map!D:D,""))</f>
        <v/>
      </c>
      <c r="I278" s="29"/>
      <c r="J278" s="28" t="str">
        <f>IFERROR(__xludf.DUMMYFUNCTION("IF($I277="""","""",IFERROR(INDEX(FILTER(Response_Lists!$B:$B,Response_Lists!$A:$A=$H278),1),""""))"),"")</f>
        <v/>
      </c>
      <c r="K278" s="28" t="str">
        <f>IFERROR(__xludf.DUMMYFUNCTION("IF($I277="""","""",IFERROR(INDEX(FILTER(Response_Lists!$B:$B,Response_Lists!$A:$A=$H278),2),""""))"),"")</f>
        <v/>
      </c>
      <c r="L278" s="28" t="str">
        <f>IFERROR(__xludf.DUMMYFUNCTION("IF($I277="""","""",IFERROR(INDEX(FILTER(Response_Lists!$B:$B,Response_Lists!$A:$A=$H278),3),""""))"),"")</f>
        <v/>
      </c>
      <c r="M278" s="28" t="str">
        <f>IFERROR(__xludf.DUMMYFUNCTION("IF($I277="""","""",IFERROR(INDEX(FILTER(Response_Lists!$B:$B,Response_Lists!$A:$A=$H278),4),""""))"),"")</f>
        <v/>
      </c>
      <c r="N278" s="28" t="str">
        <f>IFERROR(__xludf.DUMMYFUNCTION("IF($I277="""","""",IFERROR(INDEX(FILTER(Response_Lists!$B:$B,Response_Lists!$A:$A=$H278),5),""""))"),"")</f>
        <v/>
      </c>
      <c r="O278" s="28" t="str">
        <f>IFERROR(__xludf.DUMMYFUNCTION("IF($I277="""","""",IFERROR(INDEX(FILTER(Response_Lists!$B:$B,Response_Lists!$A:$A=$H278),6),""""))"),"")</f>
        <v/>
      </c>
      <c r="P278" s="28" t="str">
        <f t="shared" si="6"/>
        <v/>
      </c>
      <c r="Q278" s="28" t="str">
        <f t="array" ref="Q278">IF($I277="","",XLOOKUP(C278,FSM_State_Map!A:A,FSM_State_Map!D:D,""))</f>
        <v/>
      </c>
      <c r="R278" s="28" t="str">
        <f t="shared" si="7"/>
        <v/>
      </c>
      <c r="S278" s="28" t="str">
        <f t="array" ref="S278">IF($I277="","",
IF(
  AND(C278="B",C277&lt;&gt;"B"),
  XLOOKUP($B278,Derived_Variables!$A:$A,Derived_Variables!$K:$K,0)
  + XLOOKUP($B278,Derived_Variables!$A:$A,Derived_Variables!$AE:$AE,0),
  S277+AM277
))</f>
        <v/>
      </c>
      <c r="T278" s="28" t="str">
        <f t="shared" ref="T278:U278" si="566">IF($I277="","",T277+AN277)</f>
        <v/>
      </c>
      <c r="U278" s="28" t="str">
        <f t="shared" si="566"/>
        <v/>
      </c>
      <c r="V278" s="28" t="str">
        <f t="array" ref="V278">IF($I277="","",
IF(
  AND(C278="D",C277&lt;&gt;"D"),
  XLOOKUP($B278,Derived_Variables!$A:$A,Derived_Variables!$N:$N,0)
  + XLOOKUP($B278,Derived_Variables!$A:$A,Derived_Variables!$AE:$AE,0),
  V277+AP277
))</f>
        <v/>
      </c>
      <c r="W278" s="28" t="str">
        <f t="shared" ref="W278:X278" si="567">IF($I277="","",W277+AQ277)</f>
        <v/>
      </c>
      <c r="X278" s="28" t="str">
        <f t="shared" si="567"/>
        <v/>
      </c>
      <c r="Y278" s="28" t="str">
        <f t="array" ref="Y278">IF($I277="","",IF(AND(C278="P",C277&lt;&gt;"P"),IFERROR(XLOOKUP($B278,Lenso_Input!$A:$A,Lenso_Input!$E:$E,0),0),Y277+AS277))</f>
        <v/>
      </c>
      <c r="Z278" s="28" t="str">
        <f t="array" ref="Z278">IF($I277="","",IF(AND(C278="Q",C277&lt;&gt;"Q"),IFERROR(XLOOKUP($B278,Lenso_Input!$A:$A,Lenso_Input!$I:$I,0),0),Z277+AT277))</f>
        <v/>
      </c>
      <c r="AA278" s="28" t="str">
        <f t="array" ref="AA278">IF($I277="","",IF(XLOOKUP($B278,Derived_Variables!$A:$A,Derived_Variables!$R:$R,"6/6_target")="6/6_target","20_20_20","40_30_25"))</f>
        <v/>
      </c>
      <c r="AB278" s="28" t="str">
        <f t="array" ref="AB278">IF($I277="","",XLOOKUP(LOWER(XLOOKUP($B278,Derived_Variables!$A:$A,Derived_Variables!$T:$T,"Standard"))&amp;"_sph_step",Calibration!$B:$B,Calibration!$C:$C,0.25))</f>
        <v/>
      </c>
      <c r="AC278" s="28" t="str">
        <f t="array" ref="AC278">IF($I277="","",XLOOKUP(LOWER(XLOOKUP($B278,Derived_Variables!$A:$A,Derived_Variables!$T:$T,"Standard"))&amp;"_cyl_step",Calibration!$B:$B,Calibration!$C:$C,0.25))</f>
        <v/>
      </c>
      <c r="AD278" s="28" t="str">
        <f t="array" ref="AD278">IF($I277="","",IF(OR(C278="E",C278="H"),LET(startStep,XLOOKUP("axis_start_step",Calibration!$B:$B,Calibration!$C:$C,5),step1,XLOOKUP("axis_reversal_step_1",Calibration!$B:$B,Calibration!$C:$C,3),step2,XLOOKUP("axis_reversal_step_2",Calibration!$B:$B,Calibration!$C:$C,1),IF(OR(C277&lt;&gt;C278,AZ278="",AZ278="SAME",AZ278="CANT_TELL",I278="",I278="SAME",I278="CANT_TELL"),startStep,IF(OR(AND(AZ278="BETTER_1",I278="BETTER_2"),AND(AZ278="BETTER_2",I278="BETTER_1")),IF(AD277&gt;step1,step1,step2),AD277))),0))</f>
        <v/>
      </c>
      <c r="AE278" s="28" t="str">
        <f t="array" ref="AE278">IF($I277="","",XLOOKUP($B278,Derived_Variables!$A:$A,Derived_Variables!$AD:$AD,"No_Fog"))</f>
        <v/>
      </c>
      <c r="AF278" s="28" t="str">
        <f t="array" ref="AF278">IF($I277="","",XLOOKUP($B278,Derived_Variables!$A:$A,Derived_Variables!$AE:$AE,0))</f>
        <v/>
      </c>
      <c r="AG278" s="28" t="str">
        <f t="array" ref="AG278">IF($I277="","",XLOOKUP($B278,Derived_Variables!$A:$A,Derived_Variables!$AF:$AF,""))</f>
        <v/>
      </c>
      <c r="AH278" s="28" t="str">
        <f t="array" ref="AH278">IF($I277="","",XLOOKUP($B278,Derived_Variables!$A:$A,Derived_Variables!$AG:$AG,""))</f>
        <v/>
      </c>
      <c r="AI278" s="28" t="str">
        <f t="array" ref="AI278">IF($I277="","",XLOOKUP($B278,Derived_Variables!$A:$A,Derived_Variables!$AC:$AC,"Medium"))</f>
        <v/>
      </c>
      <c r="AJ278" s="28" t="str">
        <f t="array" ref="AJ278">IF($I277="","",XLOOKUP($B278,Derived_Variables!$A:$A,Derived_Variables!$Y:$Y,FALSE))</f>
        <v/>
      </c>
      <c r="AK278" s="28" t="str">
        <f t="array" ref="AK278">IF($I277="","",XLOOKUP($B278,Derived_Variables!$A:$A,Derived_Variables!$AA:$AA,"Normal"))</f>
        <v/>
      </c>
      <c r="AL278" s="28" t="str">
        <f t="array" ref="AL278">IF($I277="","",XLOOKUP($B278,Derived_Variables!$A:$A,Derived_Variables!$AB:$AB,"Normal"))</f>
        <v/>
      </c>
      <c r="AM278" s="28" t="str">
        <f t="array" ref="AM278">IF($I278="","",IFS(C278="B",IF(OR(I278="NOT_READABLE",I278="BLURRY"),-AB278,0),C278="G",IFS(I278="RED_CLEARER",XLOOKUP("duochrome_red_step",Calibration!$B:$B,Calibration!$C:$C,-0.25),I278="GREEN_CLEARER",XLOOKUP("duochrome_green_step",Calibration!$B:$B,Calibration!$C:$C,0.25),I278="EQUAL",IF(XLOOKUP($B278,Derived_Variables!$A:$A,Derived_Variables!$S:$S,"Neutral")="Undercorrect",XLOOKUP("undercorrect_step",Calibration!$B:$B,Calibration!$C:$C,0.25),IF(XLOOKUP($B278,Derived_Variables!$A:$A,Derived_Variables!$S:$S,"Neutral")="Overcorrect",-XLOOKUP("overcorrect_step",Calibration!$B:$B,Calibration!$C:$C,0.25),0)),TRUE,0),C278="K",IF(I278="TOP_CLEARER",XLOOKUP("bino_balance_step",Calibration!$B:$B,Calibration!$C:$C,0.25),0),TRUE,0))</f>
        <v/>
      </c>
      <c r="AN278" s="28" t="str">
        <f t="shared" si="10"/>
        <v/>
      </c>
      <c r="AO278" s="28" t="str">
        <f t="shared" si="11"/>
        <v/>
      </c>
      <c r="AP278" s="28" t="str">
        <f t="array" ref="AP278">IF($I278="","",IFS(C278="D",IF(OR(I278="NOT_READABLE",I278="BLURRY"),-AB278,0),C278="J",IFS(I278="RED_CLEARER",XLOOKUP("duochrome_red_step",Calibration!$B:$B,Calibration!$C:$C,-0.25),I278="GREEN_CLEARER",XLOOKUP("duochrome_green_step",Calibration!$B:$B,Calibration!$C:$C,0.25),I278="EQUAL",IF(XLOOKUP($B278,Derived_Variables!$A:$A,Derived_Variables!$S:$S,"Neutral")="Undercorrect",XLOOKUP("undercorrect_step",Calibration!$B:$B,Calibration!$C:$C,0.25),IF(XLOOKUP($B278,Derived_Variables!$A:$A,Derived_Variables!$S:$S,"Neutral")="Overcorrect",-XLOOKUP("overcorrect_step",Calibration!$B:$B,Calibration!$C:$C,0.25),0)),TRUE,0),C278="K",IF(I278="BOTTOM_CLEARER",XLOOKUP("bino_balance_step",Calibration!$B:$B,Calibration!$C:$C,0.25),0),TRUE,0))</f>
        <v/>
      </c>
      <c r="AQ278" s="28" t="str">
        <f t="shared" si="12"/>
        <v/>
      </c>
      <c r="AR278" s="28" t="str">
        <f t="shared" si="13"/>
        <v/>
      </c>
      <c r="AS278" s="28" t="str">
        <f t="array" ref="AS278">IF($I278="","",IF(C278="P",IF(OR(I278="NOT_READABLE",I278="BLURRY"),XLOOKUP("near_add_step",Calibration!$B:$B,Calibration!$C:$C,0.25),0),IF(C278="R",IF(I278="NOT_CLEAR",XLOOKUP("near_add_step",Calibration!$B:$B,Calibration!$C:$C,0.25),0),0)))</f>
        <v/>
      </c>
      <c r="AT278" s="28" t="str">
        <f t="array" ref="AT278">IF($I278="","",IF(C278="Q",IF(OR(I278="NOT_READABLE",I278="BLURRY"),XLOOKUP("near_add_step",Calibration!$B:$B,Calibration!$C:$C,0.25),0),IF(C278="R",IF(I278="NOT_CLEAR",XLOOKUP("near_add_step",Calibration!$B:$B,Calibration!$C:$C,0.25),0),0)))</f>
        <v/>
      </c>
      <c r="AU278" s="28" t="str">
        <f t="array" ref="AU278">IF($I278="","",IF(G278="SNELLEN_FEET",IF(I278="READABLE",IFERROR(XLOOKUP(XLOOKUP(R278,Chart_Scale_Distance!B:B,Chart_Scale_Distance!A:A)+1,Chart_Scale_Distance!A:A,Chart_Scale_Distance!B:B),R278),R278),R278))</f>
        <v/>
      </c>
      <c r="AV278" s="28" t="str">
        <f t="array" ref="AV278">IF($I277="","",IFERROR(XLOOKUP(R278,Chart_Scale_Distance!$B:$B,Chart_Scale_Distance!$A:$A,""),""))</f>
        <v/>
      </c>
      <c r="AW278" s="28" t="str">
        <f t="array" ref="AW278">IF($I277="","",IFERROR(XLOOKUP(AA278,Chart_Scale_Distance!$B:$B,Chart_Scale_Distance!$A:$A,""),""))</f>
        <v/>
      </c>
      <c r="AX278" s="28" t="str">
        <f t="shared" si="14"/>
        <v/>
      </c>
      <c r="AY278" s="28" t="str">
        <f t="shared" si="15"/>
        <v/>
      </c>
      <c r="AZ278" s="28" t="str">
        <f t="shared" si="16"/>
        <v/>
      </c>
      <c r="BA278" s="28" t="str">
        <f t="shared" si="17"/>
        <v/>
      </c>
      <c r="BB278" s="28" t="str">
        <f t="shared" si="18"/>
        <v/>
      </c>
      <c r="BC278" s="28" t="str">
        <f t="array" ref="BC278">IF($I278="","",LET(
conf,AI278,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duoMax,XLOOKUP($B278,Derived_Variables!$A:$A,Derived_Variables!$AI:$AI,4),
axisTol,XLOOKUP($B278,Derived_Variables!$A:$A,Derived_Variables!$W:$W,1),
maxStart,XLOOKUP($B278,Derived_Variables!$A:$A,Derived_Variables!$U:$U,1.25),
maxAR,XLOOKUP($B278,Derived_Variables!$A:$A,Derived_Variables!$V:$V,3),
anom,XLOOKUP($B278,Derived_Variables!$A:$A,Derived_Variables!$Z:$Z,FALSE),
reStart,XLOOKUP($B278,Derived_Variables!$A:$A,Derived_Variables!$K:$K,0),
leStart,XLOOKUP($B278,Derived_Variables!$A:$A,Derived_Variables!$N:$N,0),
reAR,XLOOKUP($B278,AR_Input!$A:$A,AR_Input!$B:$B,reStart),
leAR,XLOOKUP($B278,AR_Input!$A:$A,AR_Input!$E:$E,leStart),
reEsc,AND(anom,OR(ABS((S278+AM278)-reStart)&gt;maxStart,ABS((S278+AM278)-reAR)&gt;maxAR)),
leEsc,AND(anom,OR(ABS((V278+AP278)-leStart)&gt;maxStart,ABS((V278+AP278)-leAR)&gt;maxAR)),
phaseMax,IFS(
 AK278="Fast",
   IFS(
     OR(C278="B",C278="D"),XLOOKUP("timeout_coarse_fast",Calibration!$B:$B,Calibration!$C:$C,24),
     OR(C278="E",C278="F",C278="H",C278="I"),XLOOKUP("timeout_jcc_fast",Calibration!$B:$B,Calibration!$C:$C,10),
     OR(C278="G",C278="J"),XLOOKUP("timeout_duochrome_fast",Calibration!$B:$B,Calibration!$C:$C,8),
     C278="K",XLOOKUP("timeout_bino_fast",Calibration!$B:$B,Calibration!$C:$C,10),
     OR(C278="P",C278="Q",C278="R"),XLOOKUP("timeout_near_fast",Calibration!$B:$B,Calibration!$C:$C,16),
     TRUE,XLOOKUP("timeout_coarse_fast",Calibration!$B:$B,Calibration!$C:$C,24)
   ),
 AK278="Normal",
   IFS(
     OR(C278="B",C278="D"),XLOOKUP("timeout_coarse_normal",Calibration!$B:$B,Calibration!$C:$C,36),
     OR(C278="E",C278="F",C278="H",C278="I"),XLOOKUP("timeout_jcc_normal",Calibration!$B:$B,Calibration!$C:$C,14),
     OR(C278="G",C278="J"),XLOOKUP("timeout_duochrome_normal",Calibration!$B:$B,Calibration!$C:$C,10),
     C278="K",XLOOKUP("timeout_bino_normal",Calibration!$B:$B,Calibration!$C:$C,14),
     OR(C278="P",C278="Q",C278="R"),XLOOKUP("timeout_near_normal",Calibration!$B:$B,Calibration!$C:$C,22),
     TRUE,XLOOKUP("timeout_coarse_normal",Calibration!$B:$B,Calibration!$C:$C,36)
   ),
 TRUE,
   IFS(
     OR(C278="B",C278="D"),XLOOKUP("timeout_coarse_slow",Calibration!$B:$B,Calibration!$C:$C,48),
     OR(C278="E",C278="F",C278="H",C278="I"),XLOOKUP("timeout_jcc_slow",Calibration!$B:$B,Calibration!$C:$C,18),
     OR(C278="G",C278="J"),XLOOKUP("timeout_duochrome_slow",Calibration!$B:$B,Calibration!$C:$C,12),
     C278="K",XLOOKUP("timeout_bino_slow",Calibration!$B:$B,Calibration!$C:$C,18),
     OR(C278="P",C278="Q",C278="R"),XLOOKUP("timeout_near_slow",Calibration!$B:$B,Calibration!$C:$C,28),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AJ278=TRUE,"ESCALATE",
C278="A",
IF(OR(I278="NOT_READABLE",I278="BLURRY",AND(R278="20_20_20",I278="READABLE")),"B","A"),
C278="B",
IF(reEsc,"ESCALATE",IF(AY278&gt;=phaseMax,"ESCALATE",IF(AND(AV278&gt;=AW278,I278="READABLE"),"E","B"))),
C278="E",
IF(AY278&gt;=phaseMax,"ESCALATE",IF(OR(I278="SAME",I278="CANT_TELL",AD278&lt;axisTol),"F","E")),
C278="F",
IF(AY278&gt;=phaseMax,"ESCALATE",IF(AX278&gt;=powerSameN,"G","F")),
C278="G",
IF(AY278&gt;=phaseMax,"ESCALATE",IF(OR(AX278&gt;=duoEqualN,BB278&gt;=duoMax),"D","G")),
C278="D",
IF(leEsc,"ESCALATE",IF(AY278&gt;=phaseMax,"ESCALATE",IF(AND(AV278&gt;=AW278,I278="READABLE"),"H","D"))),
C278="H",
IF(AY278&gt;=phaseMax,"ESCALATE",IF(OR(I278="SAME",I278="CANT_TELL",AD278&lt;axisTol),"I","H")),
C278="I",
IF(AY278&gt;=phaseMax,"ESCALATE",IF(AX278&gt;=powerSameN,"J","I")),
C278="J",
IF(AY278&gt;=phaseMax,"ESCALATE",IF(OR(AX278&gt;=duoEqualN,BB278&gt;=duoMax),"K","J")),
C278="K",
IF(AY278&gt;=phaseMax,"ESCALATE",IF(AX278&gt;=binoSameN,IF(XLOOKUP($B278,Derived_Variables!$A:$A,Derived_Variables!$AJ:$AJ,FALSE)=TRUE,"P","END"),"K")),
C278="P",
IF(AY278&gt;=phaseMax,"ESCALATE",IF(OR(I278="READABLE",I278="SAME"),"Q","P")),
C278="Q",
IF(AY278&gt;=phaseMax,"ESCALATE",IF(OR(I278="READABLE",I278="SAME"),"R","Q")),
C278="R",
IF(AY278&gt;=phaseMax,"ESCALATE",IF(OR(I278=nearTarget,I278="SAME"),"END","R")),
TRUE,"END"
)))</f>
        <v/>
      </c>
      <c r="BD278" s="28" t="b">
        <f t="shared" si="19"/>
        <v>0</v>
      </c>
    </row>
    <row r="279" ht="15.75" customHeight="1">
      <c r="A279" s="28">
        <f t="shared" si="3"/>
        <v>278</v>
      </c>
      <c r="B279" s="28">
        <f t="shared" si="4"/>
        <v>6</v>
      </c>
      <c r="C279" s="28" t="str">
        <f t="shared" si="5"/>
        <v/>
      </c>
      <c r="D279" s="28" t="str">
        <f t="array" ref="D279">IF($I278="","",XLOOKUP(C279,FSM_State_Map!A:A,FSM_State_Map!B:B,""))</f>
        <v/>
      </c>
      <c r="E279" s="28" t="str">
        <f t="array" ref="E279">IF($I278="","",XLOOKUP(C279,FSM_State_Map!A:A,FSM_State_Map!C:C,""))</f>
        <v/>
      </c>
      <c r="F279" s="28" t="str">
        <f t="array" ref="F279">IF($I278="","",XLOOKUP(E279,Phase_UI_Map!A:A,Phase_UI_Map!B:B,""))</f>
        <v/>
      </c>
      <c r="G279" s="28" t="str">
        <f t="array" ref="G279">IF($I278="","",XLOOKUP(E279,Phase_UI_Map!A:A,Phase_UI_Map!C:C,""))</f>
        <v/>
      </c>
      <c r="H279" s="28" t="str">
        <f t="array" ref="H279">IF($I278="","",XLOOKUP(E279,Phase_UI_Map!A:A,Phase_UI_Map!D:D,""))</f>
        <v/>
      </c>
      <c r="I279" s="29"/>
      <c r="J279" s="28" t="str">
        <f>IFERROR(__xludf.DUMMYFUNCTION("IF($I278="""","""",IFERROR(INDEX(FILTER(Response_Lists!$B:$B,Response_Lists!$A:$A=$H279),1),""""))"),"")</f>
        <v/>
      </c>
      <c r="K279" s="28" t="str">
        <f>IFERROR(__xludf.DUMMYFUNCTION("IF($I278="""","""",IFERROR(INDEX(FILTER(Response_Lists!$B:$B,Response_Lists!$A:$A=$H279),2),""""))"),"")</f>
        <v/>
      </c>
      <c r="L279" s="28" t="str">
        <f>IFERROR(__xludf.DUMMYFUNCTION("IF($I278="""","""",IFERROR(INDEX(FILTER(Response_Lists!$B:$B,Response_Lists!$A:$A=$H279),3),""""))"),"")</f>
        <v/>
      </c>
      <c r="M279" s="28" t="str">
        <f>IFERROR(__xludf.DUMMYFUNCTION("IF($I278="""","""",IFERROR(INDEX(FILTER(Response_Lists!$B:$B,Response_Lists!$A:$A=$H279),4),""""))"),"")</f>
        <v/>
      </c>
      <c r="N279" s="28" t="str">
        <f>IFERROR(__xludf.DUMMYFUNCTION("IF($I278="""","""",IFERROR(INDEX(FILTER(Response_Lists!$B:$B,Response_Lists!$A:$A=$H279),5),""""))"),"")</f>
        <v/>
      </c>
      <c r="O279" s="28" t="str">
        <f>IFERROR(__xludf.DUMMYFUNCTION("IF($I278="""","""",IFERROR(INDEX(FILTER(Response_Lists!$B:$B,Response_Lists!$A:$A=$H279),6),""""))"),"")</f>
        <v/>
      </c>
      <c r="P279" s="28" t="str">
        <f t="shared" si="6"/>
        <v/>
      </c>
      <c r="Q279" s="28" t="str">
        <f t="array" ref="Q279">IF($I278="","",XLOOKUP(C279,FSM_State_Map!A:A,FSM_State_Map!D:D,""))</f>
        <v/>
      </c>
      <c r="R279" s="28" t="str">
        <f t="shared" si="7"/>
        <v/>
      </c>
      <c r="S279" s="28" t="str">
        <f t="array" ref="S279">IF($I278="","",
IF(
  AND(C279="B",C278&lt;&gt;"B"),
  XLOOKUP($B279,Derived_Variables!$A:$A,Derived_Variables!$K:$K,0)
  + XLOOKUP($B279,Derived_Variables!$A:$A,Derived_Variables!$AE:$AE,0),
  S278+AM278
))</f>
        <v/>
      </c>
      <c r="T279" s="28" t="str">
        <f t="shared" ref="T279:U279" si="568">IF($I278="","",T278+AN278)</f>
        <v/>
      </c>
      <c r="U279" s="28" t="str">
        <f t="shared" si="568"/>
        <v/>
      </c>
      <c r="V279" s="28" t="str">
        <f t="array" ref="V279">IF($I278="","",
IF(
  AND(C279="D",C278&lt;&gt;"D"),
  XLOOKUP($B279,Derived_Variables!$A:$A,Derived_Variables!$N:$N,0)
  + XLOOKUP($B279,Derived_Variables!$A:$A,Derived_Variables!$AE:$AE,0),
  V278+AP278
))</f>
        <v/>
      </c>
      <c r="W279" s="28" t="str">
        <f t="shared" ref="W279:X279" si="569">IF($I278="","",W278+AQ278)</f>
        <v/>
      </c>
      <c r="X279" s="28" t="str">
        <f t="shared" si="569"/>
        <v/>
      </c>
      <c r="Y279" s="28" t="str">
        <f t="array" ref="Y279">IF($I278="","",IF(AND(C279="P",C278&lt;&gt;"P"),IFERROR(XLOOKUP($B279,Lenso_Input!$A:$A,Lenso_Input!$E:$E,0),0),Y278+AS278))</f>
        <v/>
      </c>
      <c r="Z279" s="28" t="str">
        <f t="array" ref="Z279">IF($I278="","",IF(AND(C279="Q",C278&lt;&gt;"Q"),IFERROR(XLOOKUP($B279,Lenso_Input!$A:$A,Lenso_Input!$I:$I,0),0),Z278+AT278))</f>
        <v/>
      </c>
      <c r="AA279" s="28" t="str">
        <f t="array" ref="AA279">IF($I278="","",IF(XLOOKUP($B279,Derived_Variables!$A:$A,Derived_Variables!$R:$R,"6/6_target")="6/6_target","20_20_20","40_30_25"))</f>
        <v/>
      </c>
      <c r="AB279" s="28" t="str">
        <f t="array" ref="AB279">IF($I278="","",XLOOKUP(LOWER(XLOOKUP($B279,Derived_Variables!$A:$A,Derived_Variables!$T:$T,"Standard"))&amp;"_sph_step",Calibration!$B:$B,Calibration!$C:$C,0.25))</f>
        <v/>
      </c>
      <c r="AC279" s="28" t="str">
        <f t="array" ref="AC279">IF($I278="","",XLOOKUP(LOWER(XLOOKUP($B279,Derived_Variables!$A:$A,Derived_Variables!$T:$T,"Standard"))&amp;"_cyl_step",Calibration!$B:$B,Calibration!$C:$C,0.25))</f>
        <v/>
      </c>
      <c r="AD279" s="28" t="str">
        <f t="array" ref="AD279">IF($I278="","",IF(OR(C279="E",C279="H"),LET(startStep,XLOOKUP("axis_start_step",Calibration!$B:$B,Calibration!$C:$C,5),step1,XLOOKUP("axis_reversal_step_1",Calibration!$B:$B,Calibration!$C:$C,3),step2,XLOOKUP("axis_reversal_step_2",Calibration!$B:$B,Calibration!$C:$C,1),IF(OR(C278&lt;&gt;C279,AZ279="",AZ279="SAME",AZ279="CANT_TELL",I279="",I279="SAME",I279="CANT_TELL"),startStep,IF(OR(AND(AZ279="BETTER_1",I279="BETTER_2"),AND(AZ279="BETTER_2",I279="BETTER_1")),IF(AD278&gt;step1,step1,step2),AD278))),0))</f>
        <v/>
      </c>
      <c r="AE279" s="28" t="str">
        <f t="array" ref="AE279">IF($I278="","",XLOOKUP($B279,Derived_Variables!$A:$A,Derived_Variables!$AD:$AD,"No_Fog"))</f>
        <v/>
      </c>
      <c r="AF279" s="28" t="str">
        <f t="array" ref="AF279">IF($I278="","",XLOOKUP($B279,Derived_Variables!$A:$A,Derived_Variables!$AE:$AE,0))</f>
        <v/>
      </c>
      <c r="AG279" s="28" t="str">
        <f t="array" ref="AG279">IF($I278="","",XLOOKUP($B279,Derived_Variables!$A:$A,Derived_Variables!$AF:$AF,""))</f>
        <v/>
      </c>
      <c r="AH279" s="28" t="str">
        <f t="array" ref="AH279">IF($I278="","",XLOOKUP($B279,Derived_Variables!$A:$A,Derived_Variables!$AG:$AG,""))</f>
        <v/>
      </c>
      <c r="AI279" s="28" t="str">
        <f t="array" ref="AI279">IF($I278="","",XLOOKUP($B279,Derived_Variables!$A:$A,Derived_Variables!$AC:$AC,"Medium"))</f>
        <v/>
      </c>
      <c r="AJ279" s="28" t="str">
        <f t="array" ref="AJ279">IF($I278="","",XLOOKUP($B279,Derived_Variables!$A:$A,Derived_Variables!$Y:$Y,FALSE))</f>
        <v/>
      </c>
      <c r="AK279" s="28" t="str">
        <f t="array" ref="AK279">IF($I278="","",XLOOKUP($B279,Derived_Variables!$A:$A,Derived_Variables!$AA:$AA,"Normal"))</f>
        <v/>
      </c>
      <c r="AL279" s="28" t="str">
        <f t="array" ref="AL279">IF($I278="","",XLOOKUP($B279,Derived_Variables!$A:$A,Derived_Variables!$AB:$AB,"Normal"))</f>
        <v/>
      </c>
      <c r="AM279" s="28" t="str">
        <f t="array" ref="AM279">IF($I279="","",IFS(C279="B",IF(OR(I279="NOT_READABLE",I279="BLURRY"),-AB279,0),C279="G",IFS(I279="RED_CLEARER",XLOOKUP("duochrome_red_step",Calibration!$B:$B,Calibration!$C:$C,-0.25),I279="GREEN_CLEARER",XLOOKUP("duochrome_green_step",Calibration!$B:$B,Calibration!$C:$C,0.25),I279="EQUAL",IF(XLOOKUP($B279,Derived_Variables!$A:$A,Derived_Variables!$S:$S,"Neutral")="Undercorrect",XLOOKUP("undercorrect_step",Calibration!$B:$B,Calibration!$C:$C,0.25),IF(XLOOKUP($B279,Derived_Variables!$A:$A,Derived_Variables!$S:$S,"Neutral")="Overcorrect",-XLOOKUP("overcorrect_step",Calibration!$B:$B,Calibration!$C:$C,0.25),0)),TRUE,0),C279="K",IF(I279="TOP_CLEARER",XLOOKUP("bino_balance_step",Calibration!$B:$B,Calibration!$C:$C,0.25),0),TRUE,0))</f>
        <v/>
      </c>
      <c r="AN279" s="28" t="str">
        <f t="shared" si="10"/>
        <v/>
      </c>
      <c r="AO279" s="28" t="str">
        <f t="shared" si="11"/>
        <v/>
      </c>
      <c r="AP279" s="28" t="str">
        <f t="array" ref="AP279">IF($I279="","",IFS(C279="D",IF(OR(I279="NOT_READABLE",I279="BLURRY"),-AB279,0),C279="J",IFS(I279="RED_CLEARER",XLOOKUP("duochrome_red_step",Calibration!$B:$B,Calibration!$C:$C,-0.25),I279="GREEN_CLEARER",XLOOKUP("duochrome_green_step",Calibration!$B:$B,Calibration!$C:$C,0.25),I279="EQUAL",IF(XLOOKUP($B279,Derived_Variables!$A:$A,Derived_Variables!$S:$S,"Neutral")="Undercorrect",XLOOKUP("undercorrect_step",Calibration!$B:$B,Calibration!$C:$C,0.25),IF(XLOOKUP($B279,Derived_Variables!$A:$A,Derived_Variables!$S:$S,"Neutral")="Overcorrect",-XLOOKUP("overcorrect_step",Calibration!$B:$B,Calibration!$C:$C,0.25),0)),TRUE,0),C279="K",IF(I279="BOTTOM_CLEARER",XLOOKUP("bino_balance_step",Calibration!$B:$B,Calibration!$C:$C,0.25),0),TRUE,0))</f>
        <v/>
      </c>
      <c r="AQ279" s="28" t="str">
        <f t="shared" si="12"/>
        <v/>
      </c>
      <c r="AR279" s="28" t="str">
        <f t="shared" si="13"/>
        <v/>
      </c>
      <c r="AS279" s="28" t="str">
        <f t="array" ref="AS279">IF($I279="","",IF(C279="P",IF(OR(I279="NOT_READABLE",I279="BLURRY"),XLOOKUP("near_add_step",Calibration!$B:$B,Calibration!$C:$C,0.25),0),IF(C279="R",IF(I279="NOT_CLEAR",XLOOKUP("near_add_step",Calibration!$B:$B,Calibration!$C:$C,0.25),0),0)))</f>
        <v/>
      </c>
      <c r="AT279" s="28" t="str">
        <f t="array" ref="AT279">IF($I279="","",IF(C279="Q",IF(OR(I279="NOT_READABLE",I279="BLURRY"),XLOOKUP("near_add_step",Calibration!$B:$B,Calibration!$C:$C,0.25),0),IF(C279="R",IF(I279="NOT_CLEAR",XLOOKUP("near_add_step",Calibration!$B:$B,Calibration!$C:$C,0.25),0),0)))</f>
        <v/>
      </c>
      <c r="AU279" s="28" t="str">
        <f t="array" ref="AU279">IF($I279="","",IF(G279="SNELLEN_FEET",IF(I279="READABLE",IFERROR(XLOOKUP(XLOOKUP(R279,Chart_Scale_Distance!B:B,Chart_Scale_Distance!A:A)+1,Chart_Scale_Distance!A:A,Chart_Scale_Distance!B:B),R279),R279),R279))</f>
        <v/>
      </c>
      <c r="AV279" s="28" t="str">
        <f t="array" ref="AV279">IF($I278="","",IFERROR(XLOOKUP(R279,Chart_Scale_Distance!$B:$B,Chart_Scale_Distance!$A:$A,""),""))</f>
        <v/>
      </c>
      <c r="AW279" s="28" t="str">
        <f t="array" ref="AW279">IF($I278="","",IFERROR(XLOOKUP(AA279,Chart_Scale_Distance!$B:$B,Chart_Scale_Distance!$A:$A,""),""))</f>
        <v/>
      </c>
      <c r="AX279" s="28" t="str">
        <f t="shared" si="14"/>
        <v/>
      </c>
      <c r="AY279" s="28" t="str">
        <f t="shared" si="15"/>
        <v/>
      </c>
      <c r="AZ279" s="28" t="str">
        <f t="shared" si="16"/>
        <v/>
      </c>
      <c r="BA279" s="28" t="str">
        <f t="shared" si="17"/>
        <v/>
      </c>
      <c r="BB279" s="28" t="str">
        <f t="shared" si="18"/>
        <v/>
      </c>
      <c r="BC279" s="28" t="str">
        <f t="array" ref="BC279">IF($I279="","",LET(
conf,AI279,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duoMax,XLOOKUP($B279,Derived_Variables!$A:$A,Derived_Variables!$AI:$AI,4),
axisTol,XLOOKUP($B279,Derived_Variables!$A:$A,Derived_Variables!$W:$W,1),
maxStart,XLOOKUP($B279,Derived_Variables!$A:$A,Derived_Variables!$U:$U,1.25),
maxAR,XLOOKUP($B279,Derived_Variables!$A:$A,Derived_Variables!$V:$V,3),
anom,XLOOKUP($B279,Derived_Variables!$A:$A,Derived_Variables!$Z:$Z,FALSE),
reStart,XLOOKUP($B279,Derived_Variables!$A:$A,Derived_Variables!$K:$K,0),
leStart,XLOOKUP($B279,Derived_Variables!$A:$A,Derived_Variables!$N:$N,0),
reAR,XLOOKUP($B279,AR_Input!$A:$A,AR_Input!$B:$B,reStart),
leAR,XLOOKUP($B279,AR_Input!$A:$A,AR_Input!$E:$E,leStart),
reEsc,AND(anom,OR(ABS((S279+AM279)-reStart)&gt;maxStart,ABS((S279+AM279)-reAR)&gt;maxAR)),
leEsc,AND(anom,OR(ABS((V279+AP279)-leStart)&gt;maxStart,ABS((V279+AP279)-leAR)&gt;maxAR)),
phaseMax,IFS(
 AK279="Fast",
   IFS(
     OR(C279="B",C279="D"),XLOOKUP("timeout_coarse_fast",Calibration!$B:$B,Calibration!$C:$C,24),
     OR(C279="E",C279="F",C279="H",C279="I"),XLOOKUP("timeout_jcc_fast",Calibration!$B:$B,Calibration!$C:$C,10),
     OR(C279="G",C279="J"),XLOOKUP("timeout_duochrome_fast",Calibration!$B:$B,Calibration!$C:$C,8),
     C279="K",XLOOKUP("timeout_bino_fast",Calibration!$B:$B,Calibration!$C:$C,10),
     OR(C279="P",C279="Q",C279="R"),XLOOKUP("timeout_near_fast",Calibration!$B:$B,Calibration!$C:$C,16),
     TRUE,XLOOKUP("timeout_coarse_fast",Calibration!$B:$B,Calibration!$C:$C,24)
   ),
 AK279="Normal",
   IFS(
     OR(C279="B",C279="D"),XLOOKUP("timeout_coarse_normal",Calibration!$B:$B,Calibration!$C:$C,36),
     OR(C279="E",C279="F",C279="H",C279="I"),XLOOKUP("timeout_jcc_normal",Calibration!$B:$B,Calibration!$C:$C,14),
     OR(C279="G",C279="J"),XLOOKUP("timeout_duochrome_normal",Calibration!$B:$B,Calibration!$C:$C,10),
     C279="K",XLOOKUP("timeout_bino_normal",Calibration!$B:$B,Calibration!$C:$C,14),
     OR(C279="P",C279="Q",C279="R"),XLOOKUP("timeout_near_normal",Calibration!$B:$B,Calibration!$C:$C,22),
     TRUE,XLOOKUP("timeout_coarse_normal",Calibration!$B:$B,Calibration!$C:$C,36)
   ),
 TRUE,
   IFS(
     OR(C279="B",C279="D"),XLOOKUP("timeout_coarse_slow",Calibration!$B:$B,Calibration!$C:$C,48),
     OR(C279="E",C279="F",C279="H",C279="I"),XLOOKUP("timeout_jcc_slow",Calibration!$B:$B,Calibration!$C:$C,18),
     OR(C279="G",C279="J"),XLOOKUP("timeout_duochrome_slow",Calibration!$B:$B,Calibration!$C:$C,12),
     C279="K",XLOOKUP("timeout_bino_slow",Calibration!$B:$B,Calibration!$C:$C,18),
     OR(C279="P",C279="Q",C279="R"),XLOOKUP("timeout_near_slow",Calibration!$B:$B,Calibration!$C:$C,28),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AJ279=TRUE,"ESCALATE",
C279="A",
IF(OR(I279="NOT_READABLE",I279="BLURRY",AND(R279="20_20_20",I279="READABLE")),"B","A"),
C279="B",
IF(reEsc,"ESCALATE",IF(AY279&gt;=phaseMax,"ESCALATE",IF(AND(AV279&gt;=AW279,I279="READABLE"),"E","B"))),
C279="E",
IF(AY279&gt;=phaseMax,"ESCALATE",IF(OR(I279="SAME",I279="CANT_TELL",AD279&lt;axisTol),"F","E")),
C279="F",
IF(AY279&gt;=phaseMax,"ESCALATE",IF(AX279&gt;=powerSameN,"G","F")),
C279="G",
IF(AY279&gt;=phaseMax,"ESCALATE",IF(OR(AX279&gt;=duoEqualN,BB279&gt;=duoMax),"D","G")),
C279="D",
IF(leEsc,"ESCALATE",IF(AY279&gt;=phaseMax,"ESCALATE",IF(AND(AV279&gt;=AW279,I279="READABLE"),"H","D"))),
C279="H",
IF(AY279&gt;=phaseMax,"ESCALATE",IF(OR(I279="SAME",I279="CANT_TELL",AD279&lt;axisTol),"I","H")),
C279="I",
IF(AY279&gt;=phaseMax,"ESCALATE",IF(AX279&gt;=powerSameN,"J","I")),
C279="J",
IF(AY279&gt;=phaseMax,"ESCALATE",IF(OR(AX279&gt;=duoEqualN,BB279&gt;=duoMax),"K","J")),
C279="K",
IF(AY279&gt;=phaseMax,"ESCALATE",IF(AX279&gt;=binoSameN,IF(XLOOKUP($B279,Derived_Variables!$A:$A,Derived_Variables!$AJ:$AJ,FALSE)=TRUE,"P","END"),"K")),
C279="P",
IF(AY279&gt;=phaseMax,"ESCALATE",IF(OR(I279="READABLE",I279="SAME"),"Q","P")),
C279="Q",
IF(AY279&gt;=phaseMax,"ESCALATE",IF(OR(I279="READABLE",I279="SAME"),"R","Q")),
C279="R",
IF(AY279&gt;=phaseMax,"ESCALATE",IF(OR(I279=nearTarget,I279="SAME"),"END","R")),
TRUE,"END"
)))</f>
        <v/>
      </c>
      <c r="BD279" s="28" t="b">
        <f t="shared" si="19"/>
        <v>0</v>
      </c>
    </row>
    <row r="280" ht="15.75" customHeight="1">
      <c r="A280" s="28">
        <f t="shared" si="3"/>
        <v>279</v>
      </c>
      <c r="B280" s="28">
        <f t="shared" si="4"/>
        <v>6</v>
      </c>
      <c r="C280" s="28" t="str">
        <f t="shared" si="5"/>
        <v/>
      </c>
      <c r="D280" s="28" t="str">
        <f t="array" ref="D280">IF($I279="","",XLOOKUP(C280,FSM_State_Map!A:A,FSM_State_Map!B:B,""))</f>
        <v/>
      </c>
      <c r="E280" s="28" t="str">
        <f t="array" ref="E280">IF($I279="","",XLOOKUP(C280,FSM_State_Map!A:A,FSM_State_Map!C:C,""))</f>
        <v/>
      </c>
      <c r="F280" s="28" t="str">
        <f t="array" ref="F280">IF($I279="","",XLOOKUP(E280,Phase_UI_Map!A:A,Phase_UI_Map!B:B,""))</f>
        <v/>
      </c>
      <c r="G280" s="28" t="str">
        <f t="array" ref="G280">IF($I279="","",XLOOKUP(E280,Phase_UI_Map!A:A,Phase_UI_Map!C:C,""))</f>
        <v/>
      </c>
      <c r="H280" s="28" t="str">
        <f t="array" ref="H280">IF($I279="","",XLOOKUP(E280,Phase_UI_Map!A:A,Phase_UI_Map!D:D,""))</f>
        <v/>
      </c>
      <c r="I280" s="29"/>
      <c r="J280" s="28" t="str">
        <f>IFERROR(__xludf.DUMMYFUNCTION("IF($I279="""","""",IFERROR(INDEX(FILTER(Response_Lists!$B:$B,Response_Lists!$A:$A=$H280),1),""""))"),"")</f>
        <v/>
      </c>
      <c r="K280" s="28" t="str">
        <f>IFERROR(__xludf.DUMMYFUNCTION("IF($I279="""","""",IFERROR(INDEX(FILTER(Response_Lists!$B:$B,Response_Lists!$A:$A=$H280),2),""""))"),"")</f>
        <v/>
      </c>
      <c r="L280" s="28" t="str">
        <f>IFERROR(__xludf.DUMMYFUNCTION("IF($I279="""","""",IFERROR(INDEX(FILTER(Response_Lists!$B:$B,Response_Lists!$A:$A=$H280),3),""""))"),"")</f>
        <v/>
      </c>
      <c r="M280" s="28" t="str">
        <f>IFERROR(__xludf.DUMMYFUNCTION("IF($I279="""","""",IFERROR(INDEX(FILTER(Response_Lists!$B:$B,Response_Lists!$A:$A=$H280),4),""""))"),"")</f>
        <v/>
      </c>
      <c r="N280" s="28" t="str">
        <f>IFERROR(__xludf.DUMMYFUNCTION("IF($I279="""","""",IFERROR(INDEX(FILTER(Response_Lists!$B:$B,Response_Lists!$A:$A=$H280),5),""""))"),"")</f>
        <v/>
      </c>
      <c r="O280" s="28" t="str">
        <f>IFERROR(__xludf.DUMMYFUNCTION("IF($I279="""","""",IFERROR(INDEX(FILTER(Response_Lists!$B:$B,Response_Lists!$A:$A=$H280),6),""""))"),"")</f>
        <v/>
      </c>
      <c r="P280" s="28" t="str">
        <f t="shared" si="6"/>
        <v/>
      </c>
      <c r="Q280" s="28" t="str">
        <f t="array" ref="Q280">IF($I279="","",XLOOKUP(C280,FSM_State_Map!A:A,FSM_State_Map!D:D,""))</f>
        <v/>
      </c>
      <c r="R280" s="28" t="str">
        <f t="shared" si="7"/>
        <v/>
      </c>
      <c r="S280" s="28" t="str">
        <f t="array" ref="S280">IF($I279="","",
IF(
  AND(C280="B",C279&lt;&gt;"B"),
  XLOOKUP($B280,Derived_Variables!$A:$A,Derived_Variables!$K:$K,0)
  + XLOOKUP($B280,Derived_Variables!$A:$A,Derived_Variables!$AE:$AE,0),
  S279+AM279
))</f>
        <v/>
      </c>
      <c r="T280" s="28" t="str">
        <f t="shared" ref="T280:U280" si="570">IF($I279="","",T279+AN279)</f>
        <v/>
      </c>
      <c r="U280" s="28" t="str">
        <f t="shared" si="570"/>
        <v/>
      </c>
      <c r="V280" s="28" t="str">
        <f t="array" ref="V280">IF($I279="","",
IF(
  AND(C280="D",C279&lt;&gt;"D"),
  XLOOKUP($B280,Derived_Variables!$A:$A,Derived_Variables!$N:$N,0)
  + XLOOKUP($B280,Derived_Variables!$A:$A,Derived_Variables!$AE:$AE,0),
  V279+AP279
))</f>
        <v/>
      </c>
      <c r="W280" s="28" t="str">
        <f t="shared" ref="W280:X280" si="571">IF($I279="","",W279+AQ279)</f>
        <v/>
      </c>
      <c r="X280" s="28" t="str">
        <f t="shared" si="571"/>
        <v/>
      </c>
      <c r="Y280" s="28" t="str">
        <f t="array" ref="Y280">IF($I279="","",IF(AND(C280="P",C279&lt;&gt;"P"),IFERROR(XLOOKUP($B280,Lenso_Input!$A:$A,Lenso_Input!$E:$E,0),0),Y279+AS279))</f>
        <v/>
      </c>
      <c r="Z280" s="28" t="str">
        <f t="array" ref="Z280">IF($I279="","",IF(AND(C280="Q",C279&lt;&gt;"Q"),IFERROR(XLOOKUP($B280,Lenso_Input!$A:$A,Lenso_Input!$I:$I,0),0),Z279+AT279))</f>
        <v/>
      </c>
      <c r="AA280" s="28" t="str">
        <f t="array" ref="AA280">IF($I279="","",IF(XLOOKUP($B280,Derived_Variables!$A:$A,Derived_Variables!$R:$R,"6/6_target")="6/6_target","20_20_20","40_30_25"))</f>
        <v/>
      </c>
      <c r="AB280" s="28" t="str">
        <f t="array" ref="AB280">IF($I279="","",XLOOKUP(LOWER(XLOOKUP($B280,Derived_Variables!$A:$A,Derived_Variables!$T:$T,"Standard"))&amp;"_sph_step",Calibration!$B:$B,Calibration!$C:$C,0.25))</f>
        <v/>
      </c>
      <c r="AC280" s="28" t="str">
        <f t="array" ref="AC280">IF($I279="","",XLOOKUP(LOWER(XLOOKUP($B280,Derived_Variables!$A:$A,Derived_Variables!$T:$T,"Standard"))&amp;"_cyl_step",Calibration!$B:$B,Calibration!$C:$C,0.25))</f>
        <v/>
      </c>
      <c r="AD280" s="28" t="str">
        <f t="array" ref="AD280">IF($I279="","",IF(OR(C280="E",C280="H"),LET(startStep,XLOOKUP("axis_start_step",Calibration!$B:$B,Calibration!$C:$C,5),step1,XLOOKUP("axis_reversal_step_1",Calibration!$B:$B,Calibration!$C:$C,3),step2,XLOOKUP("axis_reversal_step_2",Calibration!$B:$B,Calibration!$C:$C,1),IF(OR(C279&lt;&gt;C280,AZ280="",AZ280="SAME",AZ280="CANT_TELL",I280="",I280="SAME",I280="CANT_TELL"),startStep,IF(OR(AND(AZ280="BETTER_1",I280="BETTER_2"),AND(AZ280="BETTER_2",I280="BETTER_1")),IF(AD279&gt;step1,step1,step2),AD279))),0))</f>
        <v/>
      </c>
      <c r="AE280" s="28" t="str">
        <f t="array" ref="AE280">IF($I279="","",XLOOKUP($B280,Derived_Variables!$A:$A,Derived_Variables!$AD:$AD,"No_Fog"))</f>
        <v/>
      </c>
      <c r="AF280" s="28" t="str">
        <f t="array" ref="AF280">IF($I279="","",XLOOKUP($B280,Derived_Variables!$A:$A,Derived_Variables!$AE:$AE,0))</f>
        <v/>
      </c>
      <c r="AG280" s="28" t="str">
        <f t="array" ref="AG280">IF($I279="","",XLOOKUP($B280,Derived_Variables!$A:$A,Derived_Variables!$AF:$AF,""))</f>
        <v/>
      </c>
      <c r="AH280" s="28" t="str">
        <f t="array" ref="AH280">IF($I279="","",XLOOKUP($B280,Derived_Variables!$A:$A,Derived_Variables!$AG:$AG,""))</f>
        <v/>
      </c>
      <c r="AI280" s="28" t="str">
        <f t="array" ref="AI280">IF($I279="","",XLOOKUP($B280,Derived_Variables!$A:$A,Derived_Variables!$AC:$AC,"Medium"))</f>
        <v/>
      </c>
      <c r="AJ280" s="28" t="str">
        <f t="array" ref="AJ280">IF($I279="","",XLOOKUP($B280,Derived_Variables!$A:$A,Derived_Variables!$Y:$Y,FALSE))</f>
        <v/>
      </c>
      <c r="AK280" s="28" t="str">
        <f t="array" ref="AK280">IF($I279="","",XLOOKUP($B280,Derived_Variables!$A:$A,Derived_Variables!$AA:$AA,"Normal"))</f>
        <v/>
      </c>
      <c r="AL280" s="28" t="str">
        <f t="array" ref="AL280">IF($I279="","",XLOOKUP($B280,Derived_Variables!$A:$A,Derived_Variables!$AB:$AB,"Normal"))</f>
        <v/>
      </c>
      <c r="AM280" s="28" t="str">
        <f t="array" ref="AM280">IF($I280="","",IFS(C280="B",IF(OR(I280="NOT_READABLE",I280="BLURRY"),-AB280,0),C280="G",IFS(I280="RED_CLEARER",XLOOKUP("duochrome_red_step",Calibration!$B:$B,Calibration!$C:$C,-0.25),I280="GREEN_CLEARER",XLOOKUP("duochrome_green_step",Calibration!$B:$B,Calibration!$C:$C,0.25),I280="EQUAL",IF(XLOOKUP($B280,Derived_Variables!$A:$A,Derived_Variables!$S:$S,"Neutral")="Undercorrect",XLOOKUP("undercorrect_step",Calibration!$B:$B,Calibration!$C:$C,0.25),IF(XLOOKUP($B280,Derived_Variables!$A:$A,Derived_Variables!$S:$S,"Neutral")="Overcorrect",-XLOOKUP("overcorrect_step",Calibration!$B:$B,Calibration!$C:$C,0.25),0)),TRUE,0),C280="K",IF(I280="TOP_CLEARER",XLOOKUP("bino_balance_step",Calibration!$B:$B,Calibration!$C:$C,0.25),0),TRUE,0))</f>
        <v/>
      </c>
      <c r="AN280" s="28" t="str">
        <f t="shared" si="10"/>
        <v/>
      </c>
      <c r="AO280" s="28" t="str">
        <f t="shared" si="11"/>
        <v/>
      </c>
      <c r="AP280" s="28" t="str">
        <f t="array" ref="AP280">IF($I280="","",IFS(C280="D",IF(OR(I280="NOT_READABLE",I280="BLURRY"),-AB280,0),C280="J",IFS(I280="RED_CLEARER",XLOOKUP("duochrome_red_step",Calibration!$B:$B,Calibration!$C:$C,-0.25),I280="GREEN_CLEARER",XLOOKUP("duochrome_green_step",Calibration!$B:$B,Calibration!$C:$C,0.25),I280="EQUAL",IF(XLOOKUP($B280,Derived_Variables!$A:$A,Derived_Variables!$S:$S,"Neutral")="Undercorrect",XLOOKUP("undercorrect_step",Calibration!$B:$B,Calibration!$C:$C,0.25),IF(XLOOKUP($B280,Derived_Variables!$A:$A,Derived_Variables!$S:$S,"Neutral")="Overcorrect",-XLOOKUP("overcorrect_step",Calibration!$B:$B,Calibration!$C:$C,0.25),0)),TRUE,0),C280="K",IF(I280="BOTTOM_CLEARER",XLOOKUP("bino_balance_step",Calibration!$B:$B,Calibration!$C:$C,0.25),0),TRUE,0))</f>
        <v/>
      </c>
      <c r="AQ280" s="28" t="str">
        <f t="shared" si="12"/>
        <v/>
      </c>
      <c r="AR280" s="28" t="str">
        <f t="shared" si="13"/>
        <v/>
      </c>
      <c r="AS280" s="28" t="str">
        <f t="array" ref="AS280">IF($I280="","",IF(C280="P",IF(OR(I280="NOT_READABLE",I280="BLURRY"),XLOOKUP("near_add_step",Calibration!$B:$B,Calibration!$C:$C,0.25),0),IF(C280="R",IF(I280="NOT_CLEAR",XLOOKUP("near_add_step",Calibration!$B:$B,Calibration!$C:$C,0.25),0),0)))</f>
        <v/>
      </c>
      <c r="AT280" s="28" t="str">
        <f t="array" ref="AT280">IF($I280="","",IF(C280="Q",IF(OR(I280="NOT_READABLE",I280="BLURRY"),XLOOKUP("near_add_step",Calibration!$B:$B,Calibration!$C:$C,0.25),0),IF(C280="R",IF(I280="NOT_CLEAR",XLOOKUP("near_add_step",Calibration!$B:$B,Calibration!$C:$C,0.25),0),0)))</f>
        <v/>
      </c>
      <c r="AU280" s="28" t="str">
        <f t="array" ref="AU280">IF($I280="","",IF(G280="SNELLEN_FEET",IF(I280="READABLE",IFERROR(XLOOKUP(XLOOKUP(R280,Chart_Scale_Distance!B:B,Chart_Scale_Distance!A:A)+1,Chart_Scale_Distance!A:A,Chart_Scale_Distance!B:B),R280),R280),R280))</f>
        <v/>
      </c>
      <c r="AV280" s="28" t="str">
        <f t="array" ref="AV280">IF($I279="","",IFERROR(XLOOKUP(R280,Chart_Scale_Distance!$B:$B,Chart_Scale_Distance!$A:$A,""),""))</f>
        <v/>
      </c>
      <c r="AW280" s="28" t="str">
        <f t="array" ref="AW280">IF($I279="","",IFERROR(XLOOKUP(AA280,Chart_Scale_Distance!$B:$B,Chart_Scale_Distance!$A:$A,""),""))</f>
        <v/>
      </c>
      <c r="AX280" s="28" t="str">
        <f t="shared" si="14"/>
        <v/>
      </c>
      <c r="AY280" s="28" t="str">
        <f t="shared" si="15"/>
        <v/>
      </c>
      <c r="AZ280" s="28" t="str">
        <f t="shared" si="16"/>
        <v/>
      </c>
      <c r="BA280" s="28" t="str">
        <f t="shared" si="17"/>
        <v/>
      </c>
      <c r="BB280" s="28" t="str">
        <f t="shared" si="18"/>
        <v/>
      </c>
      <c r="BC280" s="28" t="str">
        <f t="array" ref="BC280">IF($I280="","",LET(
conf,AI280,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duoMax,XLOOKUP($B280,Derived_Variables!$A:$A,Derived_Variables!$AI:$AI,4),
axisTol,XLOOKUP($B280,Derived_Variables!$A:$A,Derived_Variables!$W:$W,1),
maxStart,XLOOKUP($B280,Derived_Variables!$A:$A,Derived_Variables!$U:$U,1.25),
maxAR,XLOOKUP($B280,Derived_Variables!$A:$A,Derived_Variables!$V:$V,3),
anom,XLOOKUP($B280,Derived_Variables!$A:$A,Derived_Variables!$Z:$Z,FALSE),
reStart,XLOOKUP($B280,Derived_Variables!$A:$A,Derived_Variables!$K:$K,0),
leStart,XLOOKUP($B280,Derived_Variables!$A:$A,Derived_Variables!$N:$N,0),
reAR,XLOOKUP($B280,AR_Input!$A:$A,AR_Input!$B:$B,reStart),
leAR,XLOOKUP($B280,AR_Input!$A:$A,AR_Input!$E:$E,leStart),
reEsc,AND(anom,OR(ABS((S280+AM280)-reStart)&gt;maxStart,ABS((S280+AM280)-reAR)&gt;maxAR)),
leEsc,AND(anom,OR(ABS((V280+AP280)-leStart)&gt;maxStart,ABS((V280+AP280)-leAR)&gt;maxAR)),
phaseMax,IFS(
 AK280="Fast",
   IFS(
     OR(C280="B",C280="D"),XLOOKUP("timeout_coarse_fast",Calibration!$B:$B,Calibration!$C:$C,24),
     OR(C280="E",C280="F",C280="H",C280="I"),XLOOKUP("timeout_jcc_fast",Calibration!$B:$B,Calibration!$C:$C,10),
     OR(C280="G",C280="J"),XLOOKUP("timeout_duochrome_fast",Calibration!$B:$B,Calibration!$C:$C,8),
     C280="K",XLOOKUP("timeout_bino_fast",Calibration!$B:$B,Calibration!$C:$C,10),
     OR(C280="P",C280="Q",C280="R"),XLOOKUP("timeout_near_fast",Calibration!$B:$B,Calibration!$C:$C,16),
     TRUE,XLOOKUP("timeout_coarse_fast",Calibration!$B:$B,Calibration!$C:$C,24)
   ),
 AK280="Normal",
   IFS(
     OR(C280="B",C280="D"),XLOOKUP("timeout_coarse_normal",Calibration!$B:$B,Calibration!$C:$C,36),
     OR(C280="E",C280="F",C280="H",C280="I"),XLOOKUP("timeout_jcc_normal",Calibration!$B:$B,Calibration!$C:$C,14),
     OR(C280="G",C280="J"),XLOOKUP("timeout_duochrome_normal",Calibration!$B:$B,Calibration!$C:$C,10),
     C280="K",XLOOKUP("timeout_bino_normal",Calibration!$B:$B,Calibration!$C:$C,14),
     OR(C280="P",C280="Q",C280="R"),XLOOKUP("timeout_near_normal",Calibration!$B:$B,Calibration!$C:$C,22),
     TRUE,XLOOKUP("timeout_coarse_normal",Calibration!$B:$B,Calibration!$C:$C,36)
   ),
 TRUE,
   IFS(
     OR(C280="B",C280="D"),XLOOKUP("timeout_coarse_slow",Calibration!$B:$B,Calibration!$C:$C,48),
     OR(C280="E",C280="F",C280="H",C280="I"),XLOOKUP("timeout_jcc_slow",Calibration!$B:$B,Calibration!$C:$C,18),
     OR(C280="G",C280="J"),XLOOKUP("timeout_duochrome_slow",Calibration!$B:$B,Calibration!$C:$C,12),
     C280="K",XLOOKUP("timeout_bino_slow",Calibration!$B:$B,Calibration!$C:$C,18),
     OR(C280="P",C280="Q",C280="R"),XLOOKUP("timeout_near_slow",Calibration!$B:$B,Calibration!$C:$C,28),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AJ280=TRUE,"ESCALATE",
C280="A",
IF(OR(I280="NOT_READABLE",I280="BLURRY",AND(R280="20_20_20",I280="READABLE")),"B","A"),
C280="B",
IF(reEsc,"ESCALATE",IF(AY280&gt;=phaseMax,"ESCALATE",IF(AND(AV280&gt;=AW280,I280="READABLE"),"E","B"))),
C280="E",
IF(AY280&gt;=phaseMax,"ESCALATE",IF(OR(I280="SAME",I280="CANT_TELL",AD280&lt;axisTol),"F","E")),
C280="F",
IF(AY280&gt;=phaseMax,"ESCALATE",IF(AX280&gt;=powerSameN,"G","F")),
C280="G",
IF(AY280&gt;=phaseMax,"ESCALATE",IF(OR(AX280&gt;=duoEqualN,BB280&gt;=duoMax),"D","G")),
C280="D",
IF(leEsc,"ESCALATE",IF(AY280&gt;=phaseMax,"ESCALATE",IF(AND(AV280&gt;=AW280,I280="READABLE"),"H","D"))),
C280="H",
IF(AY280&gt;=phaseMax,"ESCALATE",IF(OR(I280="SAME",I280="CANT_TELL",AD280&lt;axisTol),"I","H")),
C280="I",
IF(AY280&gt;=phaseMax,"ESCALATE",IF(AX280&gt;=powerSameN,"J","I")),
C280="J",
IF(AY280&gt;=phaseMax,"ESCALATE",IF(OR(AX280&gt;=duoEqualN,BB280&gt;=duoMax),"K","J")),
C280="K",
IF(AY280&gt;=phaseMax,"ESCALATE",IF(AX280&gt;=binoSameN,IF(XLOOKUP($B280,Derived_Variables!$A:$A,Derived_Variables!$AJ:$AJ,FALSE)=TRUE,"P","END"),"K")),
C280="P",
IF(AY280&gt;=phaseMax,"ESCALATE",IF(OR(I280="READABLE",I280="SAME"),"Q","P")),
C280="Q",
IF(AY280&gt;=phaseMax,"ESCALATE",IF(OR(I280="READABLE",I280="SAME"),"R","Q")),
C280="R",
IF(AY280&gt;=phaseMax,"ESCALATE",IF(OR(I280=nearTarget,I280="SAME"),"END","R")),
TRUE,"END"
)))</f>
        <v/>
      </c>
      <c r="BD280" s="28" t="b">
        <f t="shared" si="19"/>
        <v>0</v>
      </c>
    </row>
    <row r="281" ht="15.75" customHeight="1">
      <c r="A281" s="28">
        <f t="shared" si="3"/>
        <v>280</v>
      </c>
      <c r="B281" s="28">
        <f t="shared" si="4"/>
        <v>6</v>
      </c>
      <c r="C281" s="28" t="str">
        <f t="shared" si="5"/>
        <v/>
      </c>
      <c r="D281" s="28" t="str">
        <f t="array" ref="D281">IF($I280="","",XLOOKUP(C281,FSM_State_Map!A:A,FSM_State_Map!B:B,""))</f>
        <v/>
      </c>
      <c r="E281" s="28" t="str">
        <f t="array" ref="E281">IF($I280="","",XLOOKUP(C281,FSM_State_Map!A:A,FSM_State_Map!C:C,""))</f>
        <v/>
      </c>
      <c r="F281" s="28" t="str">
        <f t="array" ref="F281">IF($I280="","",XLOOKUP(E281,Phase_UI_Map!A:A,Phase_UI_Map!B:B,""))</f>
        <v/>
      </c>
      <c r="G281" s="28" t="str">
        <f t="array" ref="G281">IF($I280="","",XLOOKUP(E281,Phase_UI_Map!A:A,Phase_UI_Map!C:C,""))</f>
        <v/>
      </c>
      <c r="H281" s="28" t="str">
        <f t="array" ref="H281">IF($I280="","",XLOOKUP(E281,Phase_UI_Map!A:A,Phase_UI_Map!D:D,""))</f>
        <v/>
      </c>
      <c r="I281" s="29"/>
      <c r="J281" s="28" t="str">
        <f>IFERROR(__xludf.DUMMYFUNCTION("IF($I280="""","""",IFERROR(INDEX(FILTER(Response_Lists!$B:$B,Response_Lists!$A:$A=$H281),1),""""))"),"")</f>
        <v/>
      </c>
      <c r="K281" s="28" t="str">
        <f>IFERROR(__xludf.DUMMYFUNCTION("IF($I280="""","""",IFERROR(INDEX(FILTER(Response_Lists!$B:$B,Response_Lists!$A:$A=$H281),2),""""))"),"")</f>
        <v/>
      </c>
      <c r="L281" s="28" t="str">
        <f>IFERROR(__xludf.DUMMYFUNCTION("IF($I280="""","""",IFERROR(INDEX(FILTER(Response_Lists!$B:$B,Response_Lists!$A:$A=$H281),3),""""))"),"")</f>
        <v/>
      </c>
      <c r="M281" s="28" t="str">
        <f>IFERROR(__xludf.DUMMYFUNCTION("IF($I280="""","""",IFERROR(INDEX(FILTER(Response_Lists!$B:$B,Response_Lists!$A:$A=$H281),4),""""))"),"")</f>
        <v/>
      </c>
      <c r="N281" s="28" t="str">
        <f>IFERROR(__xludf.DUMMYFUNCTION("IF($I280="""","""",IFERROR(INDEX(FILTER(Response_Lists!$B:$B,Response_Lists!$A:$A=$H281),5),""""))"),"")</f>
        <v/>
      </c>
      <c r="O281" s="28" t="str">
        <f>IFERROR(__xludf.DUMMYFUNCTION("IF($I280="""","""",IFERROR(INDEX(FILTER(Response_Lists!$B:$B,Response_Lists!$A:$A=$H281),6),""""))"),"")</f>
        <v/>
      </c>
      <c r="P281" s="28" t="str">
        <f t="shared" si="6"/>
        <v/>
      </c>
      <c r="Q281" s="28" t="str">
        <f t="array" ref="Q281">IF($I280="","",XLOOKUP(C281,FSM_State_Map!A:A,FSM_State_Map!D:D,""))</f>
        <v/>
      </c>
      <c r="R281" s="28" t="str">
        <f t="shared" si="7"/>
        <v/>
      </c>
      <c r="S281" s="28" t="str">
        <f t="array" ref="S281">IF($I280="","",
IF(
  AND(C281="B",C280&lt;&gt;"B"),
  XLOOKUP($B281,Derived_Variables!$A:$A,Derived_Variables!$K:$K,0)
  + XLOOKUP($B281,Derived_Variables!$A:$A,Derived_Variables!$AE:$AE,0),
  S280+AM280
))</f>
        <v/>
      </c>
      <c r="T281" s="28" t="str">
        <f t="shared" ref="T281:U281" si="572">IF($I280="","",T280+AN280)</f>
        <v/>
      </c>
      <c r="U281" s="28" t="str">
        <f t="shared" si="572"/>
        <v/>
      </c>
      <c r="V281" s="28" t="str">
        <f t="array" ref="V281">IF($I280="","",
IF(
  AND(C281="D",C280&lt;&gt;"D"),
  XLOOKUP($B281,Derived_Variables!$A:$A,Derived_Variables!$N:$N,0)
  + XLOOKUP($B281,Derived_Variables!$A:$A,Derived_Variables!$AE:$AE,0),
  V280+AP280
))</f>
        <v/>
      </c>
      <c r="W281" s="28" t="str">
        <f t="shared" ref="W281:X281" si="573">IF($I280="","",W280+AQ280)</f>
        <v/>
      </c>
      <c r="X281" s="28" t="str">
        <f t="shared" si="573"/>
        <v/>
      </c>
      <c r="Y281" s="28" t="str">
        <f t="array" ref="Y281">IF($I280="","",IF(AND(C281="P",C280&lt;&gt;"P"),IFERROR(XLOOKUP($B281,Lenso_Input!$A:$A,Lenso_Input!$E:$E,0),0),Y280+AS280))</f>
        <v/>
      </c>
      <c r="Z281" s="28" t="str">
        <f t="array" ref="Z281">IF($I280="","",IF(AND(C281="Q",C280&lt;&gt;"Q"),IFERROR(XLOOKUP($B281,Lenso_Input!$A:$A,Lenso_Input!$I:$I,0),0),Z280+AT280))</f>
        <v/>
      </c>
      <c r="AA281" s="28" t="str">
        <f t="array" ref="AA281">IF($I280="","",IF(XLOOKUP($B281,Derived_Variables!$A:$A,Derived_Variables!$R:$R,"6/6_target")="6/6_target","20_20_20","40_30_25"))</f>
        <v/>
      </c>
      <c r="AB281" s="28" t="str">
        <f t="array" ref="AB281">IF($I280="","",XLOOKUP(LOWER(XLOOKUP($B281,Derived_Variables!$A:$A,Derived_Variables!$T:$T,"Standard"))&amp;"_sph_step",Calibration!$B:$B,Calibration!$C:$C,0.25))</f>
        <v/>
      </c>
      <c r="AC281" s="28" t="str">
        <f t="array" ref="AC281">IF($I280="","",XLOOKUP(LOWER(XLOOKUP($B281,Derived_Variables!$A:$A,Derived_Variables!$T:$T,"Standard"))&amp;"_cyl_step",Calibration!$B:$B,Calibration!$C:$C,0.25))</f>
        <v/>
      </c>
      <c r="AD281" s="28" t="str">
        <f t="array" ref="AD281">IF($I280="","",IF(OR(C281="E",C281="H"),LET(startStep,XLOOKUP("axis_start_step",Calibration!$B:$B,Calibration!$C:$C,5),step1,XLOOKUP("axis_reversal_step_1",Calibration!$B:$B,Calibration!$C:$C,3),step2,XLOOKUP("axis_reversal_step_2",Calibration!$B:$B,Calibration!$C:$C,1),IF(OR(C280&lt;&gt;C281,AZ281="",AZ281="SAME",AZ281="CANT_TELL",I281="",I281="SAME",I281="CANT_TELL"),startStep,IF(OR(AND(AZ281="BETTER_1",I281="BETTER_2"),AND(AZ281="BETTER_2",I281="BETTER_1")),IF(AD280&gt;step1,step1,step2),AD280))),0))</f>
        <v/>
      </c>
      <c r="AE281" s="28" t="str">
        <f t="array" ref="AE281">IF($I280="","",XLOOKUP($B281,Derived_Variables!$A:$A,Derived_Variables!$AD:$AD,"No_Fog"))</f>
        <v/>
      </c>
      <c r="AF281" s="28" t="str">
        <f t="array" ref="AF281">IF($I280="","",XLOOKUP($B281,Derived_Variables!$A:$A,Derived_Variables!$AE:$AE,0))</f>
        <v/>
      </c>
      <c r="AG281" s="28" t="str">
        <f t="array" ref="AG281">IF($I280="","",XLOOKUP($B281,Derived_Variables!$A:$A,Derived_Variables!$AF:$AF,""))</f>
        <v/>
      </c>
      <c r="AH281" s="28" t="str">
        <f t="array" ref="AH281">IF($I280="","",XLOOKUP($B281,Derived_Variables!$A:$A,Derived_Variables!$AG:$AG,""))</f>
        <v/>
      </c>
      <c r="AI281" s="28" t="str">
        <f t="array" ref="AI281">IF($I280="","",XLOOKUP($B281,Derived_Variables!$A:$A,Derived_Variables!$AC:$AC,"Medium"))</f>
        <v/>
      </c>
      <c r="AJ281" s="28" t="str">
        <f t="array" ref="AJ281">IF($I280="","",XLOOKUP($B281,Derived_Variables!$A:$A,Derived_Variables!$Y:$Y,FALSE))</f>
        <v/>
      </c>
      <c r="AK281" s="28" t="str">
        <f t="array" ref="AK281">IF($I280="","",XLOOKUP($B281,Derived_Variables!$A:$A,Derived_Variables!$AA:$AA,"Normal"))</f>
        <v/>
      </c>
      <c r="AL281" s="28" t="str">
        <f t="array" ref="AL281">IF($I280="","",XLOOKUP($B281,Derived_Variables!$A:$A,Derived_Variables!$AB:$AB,"Normal"))</f>
        <v/>
      </c>
      <c r="AM281" s="28" t="str">
        <f t="array" ref="AM281">IF($I281="","",IFS(C281="B",IF(OR(I281="NOT_READABLE",I281="BLURRY"),-AB281,0),C281="G",IFS(I281="RED_CLEARER",XLOOKUP("duochrome_red_step",Calibration!$B:$B,Calibration!$C:$C,-0.25),I281="GREEN_CLEARER",XLOOKUP("duochrome_green_step",Calibration!$B:$B,Calibration!$C:$C,0.25),I281="EQUAL",IF(XLOOKUP($B281,Derived_Variables!$A:$A,Derived_Variables!$S:$S,"Neutral")="Undercorrect",XLOOKUP("undercorrect_step",Calibration!$B:$B,Calibration!$C:$C,0.25),IF(XLOOKUP($B281,Derived_Variables!$A:$A,Derived_Variables!$S:$S,"Neutral")="Overcorrect",-XLOOKUP("overcorrect_step",Calibration!$B:$B,Calibration!$C:$C,0.25),0)),TRUE,0),C281="K",IF(I281="TOP_CLEARER",XLOOKUP("bino_balance_step",Calibration!$B:$B,Calibration!$C:$C,0.25),0),TRUE,0))</f>
        <v/>
      </c>
      <c r="AN281" s="28" t="str">
        <f t="shared" si="10"/>
        <v/>
      </c>
      <c r="AO281" s="28" t="str">
        <f t="shared" si="11"/>
        <v/>
      </c>
      <c r="AP281" s="28" t="str">
        <f t="array" ref="AP281">IF($I281="","",IFS(C281="D",IF(OR(I281="NOT_READABLE",I281="BLURRY"),-AB281,0),C281="J",IFS(I281="RED_CLEARER",XLOOKUP("duochrome_red_step",Calibration!$B:$B,Calibration!$C:$C,-0.25),I281="GREEN_CLEARER",XLOOKUP("duochrome_green_step",Calibration!$B:$B,Calibration!$C:$C,0.25),I281="EQUAL",IF(XLOOKUP($B281,Derived_Variables!$A:$A,Derived_Variables!$S:$S,"Neutral")="Undercorrect",XLOOKUP("undercorrect_step",Calibration!$B:$B,Calibration!$C:$C,0.25),IF(XLOOKUP($B281,Derived_Variables!$A:$A,Derived_Variables!$S:$S,"Neutral")="Overcorrect",-XLOOKUP("overcorrect_step",Calibration!$B:$B,Calibration!$C:$C,0.25),0)),TRUE,0),C281="K",IF(I281="BOTTOM_CLEARER",XLOOKUP("bino_balance_step",Calibration!$B:$B,Calibration!$C:$C,0.25),0),TRUE,0))</f>
        <v/>
      </c>
      <c r="AQ281" s="28" t="str">
        <f t="shared" si="12"/>
        <v/>
      </c>
      <c r="AR281" s="28" t="str">
        <f t="shared" si="13"/>
        <v/>
      </c>
      <c r="AS281" s="28" t="str">
        <f t="array" ref="AS281">IF($I281="","",IF(C281="P",IF(OR(I281="NOT_READABLE",I281="BLURRY"),XLOOKUP("near_add_step",Calibration!$B:$B,Calibration!$C:$C,0.25),0),IF(C281="R",IF(I281="NOT_CLEAR",XLOOKUP("near_add_step",Calibration!$B:$B,Calibration!$C:$C,0.25),0),0)))</f>
        <v/>
      </c>
      <c r="AT281" s="28" t="str">
        <f t="array" ref="AT281">IF($I281="","",IF(C281="Q",IF(OR(I281="NOT_READABLE",I281="BLURRY"),XLOOKUP("near_add_step",Calibration!$B:$B,Calibration!$C:$C,0.25),0),IF(C281="R",IF(I281="NOT_CLEAR",XLOOKUP("near_add_step",Calibration!$B:$B,Calibration!$C:$C,0.25),0),0)))</f>
        <v/>
      </c>
      <c r="AU281" s="28" t="str">
        <f t="array" ref="AU281">IF($I281="","",IF(G281="SNELLEN_FEET",IF(I281="READABLE",IFERROR(XLOOKUP(XLOOKUP(R281,Chart_Scale_Distance!B:B,Chart_Scale_Distance!A:A)+1,Chart_Scale_Distance!A:A,Chart_Scale_Distance!B:B),R281),R281),R281))</f>
        <v/>
      </c>
      <c r="AV281" s="28" t="str">
        <f t="array" ref="AV281">IF($I280="","",IFERROR(XLOOKUP(R281,Chart_Scale_Distance!$B:$B,Chart_Scale_Distance!$A:$A,""),""))</f>
        <v/>
      </c>
      <c r="AW281" s="28" t="str">
        <f t="array" ref="AW281">IF($I280="","",IFERROR(XLOOKUP(AA281,Chart_Scale_Distance!$B:$B,Chart_Scale_Distance!$A:$A,""),""))</f>
        <v/>
      </c>
      <c r="AX281" s="28" t="str">
        <f t="shared" si="14"/>
        <v/>
      </c>
      <c r="AY281" s="28" t="str">
        <f t="shared" si="15"/>
        <v/>
      </c>
      <c r="AZ281" s="28" t="str">
        <f t="shared" si="16"/>
        <v/>
      </c>
      <c r="BA281" s="28" t="str">
        <f t="shared" si="17"/>
        <v/>
      </c>
      <c r="BB281" s="28" t="str">
        <f t="shared" si="18"/>
        <v/>
      </c>
      <c r="BC281" s="28" t="str">
        <f t="array" ref="BC281">IF($I281="","",LET(
conf,AI281,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duoMax,XLOOKUP($B281,Derived_Variables!$A:$A,Derived_Variables!$AI:$AI,4),
axisTol,XLOOKUP($B281,Derived_Variables!$A:$A,Derived_Variables!$W:$W,1),
maxStart,XLOOKUP($B281,Derived_Variables!$A:$A,Derived_Variables!$U:$U,1.25),
maxAR,XLOOKUP($B281,Derived_Variables!$A:$A,Derived_Variables!$V:$V,3),
anom,XLOOKUP($B281,Derived_Variables!$A:$A,Derived_Variables!$Z:$Z,FALSE),
reStart,XLOOKUP($B281,Derived_Variables!$A:$A,Derived_Variables!$K:$K,0),
leStart,XLOOKUP($B281,Derived_Variables!$A:$A,Derived_Variables!$N:$N,0),
reAR,XLOOKUP($B281,AR_Input!$A:$A,AR_Input!$B:$B,reStart),
leAR,XLOOKUP($B281,AR_Input!$A:$A,AR_Input!$E:$E,leStart),
reEsc,AND(anom,OR(ABS((S281+AM281)-reStart)&gt;maxStart,ABS((S281+AM281)-reAR)&gt;maxAR)),
leEsc,AND(anom,OR(ABS((V281+AP281)-leStart)&gt;maxStart,ABS((V281+AP281)-leAR)&gt;maxAR)),
phaseMax,IFS(
 AK281="Fast",
   IFS(
     OR(C281="B",C281="D"),XLOOKUP("timeout_coarse_fast",Calibration!$B:$B,Calibration!$C:$C,24),
     OR(C281="E",C281="F",C281="H",C281="I"),XLOOKUP("timeout_jcc_fast",Calibration!$B:$B,Calibration!$C:$C,10),
     OR(C281="G",C281="J"),XLOOKUP("timeout_duochrome_fast",Calibration!$B:$B,Calibration!$C:$C,8),
     C281="K",XLOOKUP("timeout_bino_fast",Calibration!$B:$B,Calibration!$C:$C,10),
     OR(C281="P",C281="Q",C281="R"),XLOOKUP("timeout_near_fast",Calibration!$B:$B,Calibration!$C:$C,16),
     TRUE,XLOOKUP("timeout_coarse_fast",Calibration!$B:$B,Calibration!$C:$C,24)
   ),
 AK281="Normal",
   IFS(
     OR(C281="B",C281="D"),XLOOKUP("timeout_coarse_normal",Calibration!$B:$B,Calibration!$C:$C,36),
     OR(C281="E",C281="F",C281="H",C281="I"),XLOOKUP("timeout_jcc_normal",Calibration!$B:$B,Calibration!$C:$C,14),
     OR(C281="G",C281="J"),XLOOKUP("timeout_duochrome_normal",Calibration!$B:$B,Calibration!$C:$C,10),
     C281="K",XLOOKUP("timeout_bino_normal",Calibration!$B:$B,Calibration!$C:$C,14),
     OR(C281="P",C281="Q",C281="R"),XLOOKUP("timeout_near_normal",Calibration!$B:$B,Calibration!$C:$C,22),
     TRUE,XLOOKUP("timeout_coarse_normal",Calibration!$B:$B,Calibration!$C:$C,36)
   ),
 TRUE,
   IFS(
     OR(C281="B",C281="D"),XLOOKUP("timeout_coarse_slow",Calibration!$B:$B,Calibration!$C:$C,48),
     OR(C281="E",C281="F",C281="H",C281="I"),XLOOKUP("timeout_jcc_slow",Calibration!$B:$B,Calibration!$C:$C,18),
     OR(C281="G",C281="J"),XLOOKUP("timeout_duochrome_slow",Calibration!$B:$B,Calibration!$C:$C,12),
     C281="K",XLOOKUP("timeout_bino_slow",Calibration!$B:$B,Calibration!$C:$C,18),
     OR(C281="P",C281="Q",C281="R"),XLOOKUP("timeout_near_slow",Calibration!$B:$B,Calibration!$C:$C,28),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AJ281=TRUE,"ESCALATE",
C281="A",
IF(OR(I281="NOT_READABLE",I281="BLURRY",AND(R281="20_20_20",I281="READABLE")),"B","A"),
C281="B",
IF(reEsc,"ESCALATE",IF(AY281&gt;=phaseMax,"ESCALATE",IF(AND(AV281&gt;=AW281,I281="READABLE"),"E","B"))),
C281="E",
IF(AY281&gt;=phaseMax,"ESCALATE",IF(OR(I281="SAME",I281="CANT_TELL",AD281&lt;axisTol),"F","E")),
C281="F",
IF(AY281&gt;=phaseMax,"ESCALATE",IF(AX281&gt;=powerSameN,"G","F")),
C281="G",
IF(AY281&gt;=phaseMax,"ESCALATE",IF(OR(AX281&gt;=duoEqualN,BB281&gt;=duoMax),"D","G")),
C281="D",
IF(leEsc,"ESCALATE",IF(AY281&gt;=phaseMax,"ESCALATE",IF(AND(AV281&gt;=AW281,I281="READABLE"),"H","D"))),
C281="H",
IF(AY281&gt;=phaseMax,"ESCALATE",IF(OR(I281="SAME",I281="CANT_TELL",AD281&lt;axisTol),"I","H")),
C281="I",
IF(AY281&gt;=phaseMax,"ESCALATE",IF(AX281&gt;=powerSameN,"J","I")),
C281="J",
IF(AY281&gt;=phaseMax,"ESCALATE",IF(OR(AX281&gt;=duoEqualN,BB281&gt;=duoMax),"K","J")),
C281="K",
IF(AY281&gt;=phaseMax,"ESCALATE",IF(AX281&gt;=binoSameN,IF(XLOOKUP($B281,Derived_Variables!$A:$A,Derived_Variables!$AJ:$AJ,FALSE)=TRUE,"P","END"),"K")),
C281="P",
IF(AY281&gt;=phaseMax,"ESCALATE",IF(OR(I281="READABLE",I281="SAME"),"Q","P")),
C281="Q",
IF(AY281&gt;=phaseMax,"ESCALATE",IF(OR(I281="READABLE",I281="SAME"),"R","Q")),
C281="R",
IF(AY281&gt;=phaseMax,"ESCALATE",IF(OR(I281=nearTarget,I281="SAME"),"END","R")),
TRUE,"END"
)))</f>
        <v/>
      </c>
      <c r="BD281" s="28" t="b">
        <f t="shared" si="19"/>
        <v>0</v>
      </c>
    </row>
    <row r="282" ht="15.75" customHeight="1">
      <c r="A282" s="28">
        <f t="shared" si="3"/>
        <v>281</v>
      </c>
      <c r="B282" s="28">
        <f t="shared" si="4"/>
        <v>6</v>
      </c>
      <c r="C282" s="28" t="str">
        <f t="shared" si="5"/>
        <v/>
      </c>
      <c r="D282" s="28" t="str">
        <f t="array" ref="D282">IF($I281="","",XLOOKUP(C282,FSM_State_Map!A:A,FSM_State_Map!B:B,""))</f>
        <v/>
      </c>
      <c r="E282" s="28" t="str">
        <f t="array" ref="E282">IF($I281="","",XLOOKUP(C282,FSM_State_Map!A:A,FSM_State_Map!C:C,""))</f>
        <v/>
      </c>
      <c r="F282" s="28" t="str">
        <f t="array" ref="F282">IF($I281="","",XLOOKUP(E282,Phase_UI_Map!A:A,Phase_UI_Map!B:B,""))</f>
        <v/>
      </c>
      <c r="G282" s="28" t="str">
        <f t="array" ref="G282">IF($I281="","",XLOOKUP(E282,Phase_UI_Map!A:A,Phase_UI_Map!C:C,""))</f>
        <v/>
      </c>
      <c r="H282" s="28" t="str">
        <f t="array" ref="H282">IF($I281="","",XLOOKUP(E282,Phase_UI_Map!A:A,Phase_UI_Map!D:D,""))</f>
        <v/>
      </c>
      <c r="I282" s="29"/>
      <c r="J282" s="28" t="str">
        <f>IFERROR(__xludf.DUMMYFUNCTION("IF($I281="""","""",IFERROR(INDEX(FILTER(Response_Lists!$B:$B,Response_Lists!$A:$A=$H282),1),""""))"),"")</f>
        <v/>
      </c>
      <c r="K282" s="28" t="str">
        <f>IFERROR(__xludf.DUMMYFUNCTION("IF($I281="""","""",IFERROR(INDEX(FILTER(Response_Lists!$B:$B,Response_Lists!$A:$A=$H282),2),""""))"),"")</f>
        <v/>
      </c>
      <c r="L282" s="28" t="str">
        <f>IFERROR(__xludf.DUMMYFUNCTION("IF($I281="""","""",IFERROR(INDEX(FILTER(Response_Lists!$B:$B,Response_Lists!$A:$A=$H282),3),""""))"),"")</f>
        <v/>
      </c>
      <c r="M282" s="28" t="str">
        <f>IFERROR(__xludf.DUMMYFUNCTION("IF($I281="""","""",IFERROR(INDEX(FILTER(Response_Lists!$B:$B,Response_Lists!$A:$A=$H282),4),""""))"),"")</f>
        <v/>
      </c>
      <c r="N282" s="28" t="str">
        <f>IFERROR(__xludf.DUMMYFUNCTION("IF($I281="""","""",IFERROR(INDEX(FILTER(Response_Lists!$B:$B,Response_Lists!$A:$A=$H282),5),""""))"),"")</f>
        <v/>
      </c>
      <c r="O282" s="28" t="str">
        <f>IFERROR(__xludf.DUMMYFUNCTION("IF($I281="""","""",IFERROR(INDEX(FILTER(Response_Lists!$B:$B,Response_Lists!$A:$A=$H282),6),""""))"),"")</f>
        <v/>
      </c>
      <c r="P282" s="28" t="str">
        <f t="shared" si="6"/>
        <v/>
      </c>
      <c r="Q282" s="28" t="str">
        <f t="array" ref="Q282">IF($I281="","",XLOOKUP(C282,FSM_State_Map!A:A,FSM_State_Map!D:D,""))</f>
        <v/>
      </c>
      <c r="R282" s="28" t="str">
        <f t="shared" si="7"/>
        <v/>
      </c>
      <c r="S282" s="28" t="str">
        <f t="array" ref="S282">IF($I281="","",
IF(
  AND(C282="B",C281&lt;&gt;"B"),
  XLOOKUP($B282,Derived_Variables!$A:$A,Derived_Variables!$K:$K,0)
  + XLOOKUP($B282,Derived_Variables!$A:$A,Derived_Variables!$AE:$AE,0),
  S281+AM281
))</f>
        <v/>
      </c>
      <c r="T282" s="28" t="str">
        <f t="shared" ref="T282:U282" si="574">IF($I281="","",T281+AN281)</f>
        <v/>
      </c>
      <c r="U282" s="28" t="str">
        <f t="shared" si="574"/>
        <v/>
      </c>
      <c r="V282" s="28" t="str">
        <f t="array" ref="V282">IF($I281="","",
IF(
  AND(C282="D",C281&lt;&gt;"D"),
  XLOOKUP($B282,Derived_Variables!$A:$A,Derived_Variables!$N:$N,0)
  + XLOOKUP($B282,Derived_Variables!$A:$A,Derived_Variables!$AE:$AE,0),
  V281+AP281
))</f>
        <v/>
      </c>
      <c r="W282" s="28" t="str">
        <f t="shared" ref="W282:X282" si="575">IF($I281="","",W281+AQ281)</f>
        <v/>
      </c>
      <c r="X282" s="28" t="str">
        <f t="shared" si="575"/>
        <v/>
      </c>
      <c r="Y282" s="28" t="str">
        <f t="array" ref="Y282">IF($I281="","",IF(AND(C282="P",C281&lt;&gt;"P"),IFERROR(XLOOKUP($B282,Lenso_Input!$A:$A,Lenso_Input!$E:$E,0),0),Y281+AS281))</f>
        <v/>
      </c>
      <c r="Z282" s="28" t="str">
        <f t="array" ref="Z282">IF($I281="","",IF(AND(C282="Q",C281&lt;&gt;"Q"),IFERROR(XLOOKUP($B282,Lenso_Input!$A:$A,Lenso_Input!$I:$I,0),0),Z281+AT281))</f>
        <v/>
      </c>
      <c r="AA282" s="28" t="str">
        <f t="array" ref="AA282">IF($I281="","",IF(XLOOKUP($B282,Derived_Variables!$A:$A,Derived_Variables!$R:$R,"6/6_target")="6/6_target","20_20_20","40_30_25"))</f>
        <v/>
      </c>
      <c r="AB282" s="28" t="str">
        <f t="array" ref="AB282">IF($I281="","",XLOOKUP(LOWER(XLOOKUP($B282,Derived_Variables!$A:$A,Derived_Variables!$T:$T,"Standard"))&amp;"_sph_step",Calibration!$B:$B,Calibration!$C:$C,0.25))</f>
        <v/>
      </c>
      <c r="AC282" s="28" t="str">
        <f t="array" ref="AC282">IF($I281="","",XLOOKUP(LOWER(XLOOKUP($B282,Derived_Variables!$A:$A,Derived_Variables!$T:$T,"Standard"))&amp;"_cyl_step",Calibration!$B:$B,Calibration!$C:$C,0.25))</f>
        <v/>
      </c>
      <c r="AD282" s="28" t="str">
        <f t="array" ref="AD282">IF($I281="","",IF(OR(C282="E",C282="H"),LET(startStep,XLOOKUP("axis_start_step",Calibration!$B:$B,Calibration!$C:$C,5),step1,XLOOKUP("axis_reversal_step_1",Calibration!$B:$B,Calibration!$C:$C,3),step2,XLOOKUP("axis_reversal_step_2",Calibration!$B:$B,Calibration!$C:$C,1),IF(OR(C281&lt;&gt;C282,AZ282="",AZ282="SAME",AZ282="CANT_TELL",I282="",I282="SAME",I282="CANT_TELL"),startStep,IF(OR(AND(AZ282="BETTER_1",I282="BETTER_2"),AND(AZ282="BETTER_2",I282="BETTER_1")),IF(AD281&gt;step1,step1,step2),AD281))),0))</f>
        <v/>
      </c>
      <c r="AE282" s="28" t="str">
        <f t="array" ref="AE282">IF($I281="","",XLOOKUP($B282,Derived_Variables!$A:$A,Derived_Variables!$AD:$AD,"No_Fog"))</f>
        <v/>
      </c>
      <c r="AF282" s="28" t="str">
        <f t="array" ref="AF282">IF($I281="","",XLOOKUP($B282,Derived_Variables!$A:$A,Derived_Variables!$AE:$AE,0))</f>
        <v/>
      </c>
      <c r="AG282" s="28" t="str">
        <f t="array" ref="AG282">IF($I281="","",XLOOKUP($B282,Derived_Variables!$A:$A,Derived_Variables!$AF:$AF,""))</f>
        <v/>
      </c>
      <c r="AH282" s="28" t="str">
        <f t="array" ref="AH282">IF($I281="","",XLOOKUP($B282,Derived_Variables!$A:$A,Derived_Variables!$AG:$AG,""))</f>
        <v/>
      </c>
      <c r="AI282" s="28" t="str">
        <f t="array" ref="AI282">IF($I281="","",XLOOKUP($B282,Derived_Variables!$A:$A,Derived_Variables!$AC:$AC,"Medium"))</f>
        <v/>
      </c>
      <c r="AJ282" s="28" t="str">
        <f t="array" ref="AJ282">IF($I281="","",XLOOKUP($B282,Derived_Variables!$A:$A,Derived_Variables!$Y:$Y,FALSE))</f>
        <v/>
      </c>
      <c r="AK282" s="28" t="str">
        <f t="array" ref="AK282">IF($I281="","",XLOOKUP($B282,Derived_Variables!$A:$A,Derived_Variables!$AA:$AA,"Normal"))</f>
        <v/>
      </c>
      <c r="AL282" s="28" t="str">
        <f t="array" ref="AL282">IF($I281="","",XLOOKUP($B282,Derived_Variables!$A:$A,Derived_Variables!$AB:$AB,"Normal"))</f>
        <v/>
      </c>
      <c r="AM282" s="28" t="str">
        <f t="array" ref="AM282">IF($I282="","",IFS(C282="B",IF(OR(I282="NOT_READABLE",I282="BLURRY"),-AB282,0),C282="G",IFS(I282="RED_CLEARER",XLOOKUP("duochrome_red_step",Calibration!$B:$B,Calibration!$C:$C,-0.25),I282="GREEN_CLEARER",XLOOKUP("duochrome_green_step",Calibration!$B:$B,Calibration!$C:$C,0.25),I282="EQUAL",IF(XLOOKUP($B282,Derived_Variables!$A:$A,Derived_Variables!$S:$S,"Neutral")="Undercorrect",XLOOKUP("undercorrect_step",Calibration!$B:$B,Calibration!$C:$C,0.25),IF(XLOOKUP($B282,Derived_Variables!$A:$A,Derived_Variables!$S:$S,"Neutral")="Overcorrect",-XLOOKUP("overcorrect_step",Calibration!$B:$B,Calibration!$C:$C,0.25),0)),TRUE,0),C282="K",IF(I282="TOP_CLEARER",XLOOKUP("bino_balance_step",Calibration!$B:$B,Calibration!$C:$C,0.25),0),TRUE,0))</f>
        <v/>
      </c>
      <c r="AN282" s="28" t="str">
        <f t="shared" si="10"/>
        <v/>
      </c>
      <c r="AO282" s="28" t="str">
        <f t="shared" si="11"/>
        <v/>
      </c>
      <c r="AP282" s="28" t="str">
        <f t="array" ref="AP282">IF($I282="","",IFS(C282="D",IF(OR(I282="NOT_READABLE",I282="BLURRY"),-AB282,0),C282="J",IFS(I282="RED_CLEARER",XLOOKUP("duochrome_red_step",Calibration!$B:$B,Calibration!$C:$C,-0.25),I282="GREEN_CLEARER",XLOOKUP("duochrome_green_step",Calibration!$B:$B,Calibration!$C:$C,0.25),I282="EQUAL",IF(XLOOKUP($B282,Derived_Variables!$A:$A,Derived_Variables!$S:$S,"Neutral")="Undercorrect",XLOOKUP("undercorrect_step",Calibration!$B:$B,Calibration!$C:$C,0.25),IF(XLOOKUP($B282,Derived_Variables!$A:$A,Derived_Variables!$S:$S,"Neutral")="Overcorrect",-XLOOKUP("overcorrect_step",Calibration!$B:$B,Calibration!$C:$C,0.25),0)),TRUE,0),C282="K",IF(I282="BOTTOM_CLEARER",XLOOKUP("bino_balance_step",Calibration!$B:$B,Calibration!$C:$C,0.25),0),TRUE,0))</f>
        <v/>
      </c>
      <c r="AQ282" s="28" t="str">
        <f t="shared" si="12"/>
        <v/>
      </c>
      <c r="AR282" s="28" t="str">
        <f t="shared" si="13"/>
        <v/>
      </c>
      <c r="AS282" s="28" t="str">
        <f t="array" ref="AS282">IF($I282="","",IF(C282="P",IF(OR(I282="NOT_READABLE",I282="BLURRY"),XLOOKUP("near_add_step",Calibration!$B:$B,Calibration!$C:$C,0.25),0),IF(C282="R",IF(I282="NOT_CLEAR",XLOOKUP("near_add_step",Calibration!$B:$B,Calibration!$C:$C,0.25),0),0)))</f>
        <v/>
      </c>
      <c r="AT282" s="28" t="str">
        <f t="array" ref="AT282">IF($I282="","",IF(C282="Q",IF(OR(I282="NOT_READABLE",I282="BLURRY"),XLOOKUP("near_add_step",Calibration!$B:$B,Calibration!$C:$C,0.25),0),IF(C282="R",IF(I282="NOT_CLEAR",XLOOKUP("near_add_step",Calibration!$B:$B,Calibration!$C:$C,0.25),0),0)))</f>
        <v/>
      </c>
      <c r="AU282" s="28" t="str">
        <f t="array" ref="AU282">IF($I282="","",IF(G282="SNELLEN_FEET",IF(I282="READABLE",IFERROR(XLOOKUP(XLOOKUP(R282,Chart_Scale_Distance!B:B,Chart_Scale_Distance!A:A)+1,Chart_Scale_Distance!A:A,Chart_Scale_Distance!B:B),R282),R282),R282))</f>
        <v/>
      </c>
      <c r="AV282" s="28" t="str">
        <f t="array" ref="AV282">IF($I281="","",IFERROR(XLOOKUP(R282,Chart_Scale_Distance!$B:$B,Chart_Scale_Distance!$A:$A,""),""))</f>
        <v/>
      </c>
      <c r="AW282" s="28" t="str">
        <f t="array" ref="AW282">IF($I281="","",IFERROR(XLOOKUP(AA282,Chart_Scale_Distance!$B:$B,Chart_Scale_Distance!$A:$A,""),""))</f>
        <v/>
      </c>
      <c r="AX282" s="28" t="str">
        <f t="shared" si="14"/>
        <v/>
      </c>
      <c r="AY282" s="28" t="str">
        <f t="shared" si="15"/>
        <v/>
      </c>
      <c r="AZ282" s="28" t="str">
        <f t="shared" si="16"/>
        <v/>
      </c>
      <c r="BA282" s="28" t="str">
        <f t="shared" si="17"/>
        <v/>
      </c>
      <c r="BB282" s="28" t="str">
        <f t="shared" si="18"/>
        <v/>
      </c>
      <c r="BC282" s="28" t="str">
        <f t="array" ref="BC282">IF($I282="","",LET(
conf,AI282,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duoMax,XLOOKUP($B282,Derived_Variables!$A:$A,Derived_Variables!$AI:$AI,4),
axisTol,XLOOKUP($B282,Derived_Variables!$A:$A,Derived_Variables!$W:$W,1),
maxStart,XLOOKUP($B282,Derived_Variables!$A:$A,Derived_Variables!$U:$U,1.25),
maxAR,XLOOKUP($B282,Derived_Variables!$A:$A,Derived_Variables!$V:$V,3),
anom,XLOOKUP($B282,Derived_Variables!$A:$A,Derived_Variables!$Z:$Z,FALSE),
reStart,XLOOKUP($B282,Derived_Variables!$A:$A,Derived_Variables!$K:$K,0),
leStart,XLOOKUP($B282,Derived_Variables!$A:$A,Derived_Variables!$N:$N,0),
reAR,XLOOKUP($B282,AR_Input!$A:$A,AR_Input!$B:$B,reStart),
leAR,XLOOKUP($B282,AR_Input!$A:$A,AR_Input!$E:$E,leStart),
reEsc,AND(anom,OR(ABS((S282+AM282)-reStart)&gt;maxStart,ABS((S282+AM282)-reAR)&gt;maxAR)),
leEsc,AND(anom,OR(ABS((V282+AP282)-leStart)&gt;maxStart,ABS((V282+AP282)-leAR)&gt;maxAR)),
phaseMax,IFS(
 AK282="Fast",
   IFS(
     OR(C282="B",C282="D"),XLOOKUP("timeout_coarse_fast",Calibration!$B:$B,Calibration!$C:$C,24),
     OR(C282="E",C282="F",C282="H",C282="I"),XLOOKUP("timeout_jcc_fast",Calibration!$B:$B,Calibration!$C:$C,10),
     OR(C282="G",C282="J"),XLOOKUP("timeout_duochrome_fast",Calibration!$B:$B,Calibration!$C:$C,8),
     C282="K",XLOOKUP("timeout_bino_fast",Calibration!$B:$B,Calibration!$C:$C,10),
     OR(C282="P",C282="Q",C282="R"),XLOOKUP("timeout_near_fast",Calibration!$B:$B,Calibration!$C:$C,16),
     TRUE,XLOOKUP("timeout_coarse_fast",Calibration!$B:$B,Calibration!$C:$C,24)
   ),
 AK282="Normal",
   IFS(
     OR(C282="B",C282="D"),XLOOKUP("timeout_coarse_normal",Calibration!$B:$B,Calibration!$C:$C,36),
     OR(C282="E",C282="F",C282="H",C282="I"),XLOOKUP("timeout_jcc_normal",Calibration!$B:$B,Calibration!$C:$C,14),
     OR(C282="G",C282="J"),XLOOKUP("timeout_duochrome_normal",Calibration!$B:$B,Calibration!$C:$C,10),
     C282="K",XLOOKUP("timeout_bino_normal",Calibration!$B:$B,Calibration!$C:$C,14),
     OR(C282="P",C282="Q",C282="R"),XLOOKUP("timeout_near_normal",Calibration!$B:$B,Calibration!$C:$C,22),
     TRUE,XLOOKUP("timeout_coarse_normal",Calibration!$B:$B,Calibration!$C:$C,36)
   ),
 TRUE,
   IFS(
     OR(C282="B",C282="D"),XLOOKUP("timeout_coarse_slow",Calibration!$B:$B,Calibration!$C:$C,48),
     OR(C282="E",C282="F",C282="H",C282="I"),XLOOKUP("timeout_jcc_slow",Calibration!$B:$B,Calibration!$C:$C,18),
     OR(C282="G",C282="J"),XLOOKUP("timeout_duochrome_slow",Calibration!$B:$B,Calibration!$C:$C,12),
     C282="K",XLOOKUP("timeout_bino_slow",Calibration!$B:$B,Calibration!$C:$C,18),
     OR(C282="P",C282="Q",C282="R"),XLOOKUP("timeout_near_slow",Calibration!$B:$B,Calibration!$C:$C,28),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AJ282=TRUE,"ESCALATE",
C282="A",
IF(OR(I282="NOT_READABLE",I282="BLURRY",AND(R282="20_20_20",I282="READABLE")),"B","A"),
C282="B",
IF(reEsc,"ESCALATE",IF(AY282&gt;=phaseMax,"ESCALATE",IF(AND(AV282&gt;=AW282,I282="READABLE"),"E","B"))),
C282="E",
IF(AY282&gt;=phaseMax,"ESCALATE",IF(OR(I282="SAME",I282="CANT_TELL",AD282&lt;axisTol),"F","E")),
C282="F",
IF(AY282&gt;=phaseMax,"ESCALATE",IF(AX282&gt;=powerSameN,"G","F")),
C282="G",
IF(AY282&gt;=phaseMax,"ESCALATE",IF(OR(AX282&gt;=duoEqualN,BB282&gt;=duoMax),"D","G")),
C282="D",
IF(leEsc,"ESCALATE",IF(AY282&gt;=phaseMax,"ESCALATE",IF(AND(AV282&gt;=AW282,I282="READABLE"),"H","D"))),
C282="H",
IF(AY282&gt;=phaseMax,"ESCALATE",IF(OR(I282="SAME",I282="CANT_TELL",AD282&lt;axisTol),"I","H")),
C282="I",
IF(AY282&gt;=phaseMax,"ESCALATE",IF(AX282&gt;=powerSameN,"J","I")),
C282="J",
IF(AY282&gt;=phaseMax,"ESCALATE",IF(OR(AX282&gt;=duoEqualN,BB282&gt;=duoMax),"K","J")),
C282="K",
IF(AY282&gt;=phaseMax,"ESCALATE",IF(AX282&gt;=binoSameN,IF(XLOOKUP($B282,Derived_Variables!$A:$A,Derived_Variables!$AJ:$AJ,FALSE)=TRUE,"P","END"),"K")),
C282="P",
IF(AY282&gt;=phaseMax,"ESCALATE",IF(OR(I282="READABLE",I282="SAME"),"Q","P")),
C282="Q",
IF(AY282&gt;=phaseMax,"ESCALATE",IF(OR(I282="READABLE",I282="SAME"),"R","Q")),
C282="R",
IF(AY282&gt;=phaseMax,"ESCALATE",IF(OR(I282=nearTarget,I282="SAME"),"END","R")),
TRUE,"END"
)))</f>
        <v/>
      </c>
      <c r="BD282" s="28" t="b">
        <f t="shared" si="19"/>
        <v>0</v>
      </c>
    </row>
    <row r="283" ht="15.75" customHeight="1">
      <c r="A283" s="28">
        <f t="shared" si="3"/>
        <v>282</v>
      </c>
      <c r="B283" s="28">
        <f t="shared" si="4"/>
        <v>6</v>
      </c>
      <c r="C283" s="28" t="str">
        <f t="shared" si="5"/>
        <v/>
      </c>
      <c r="D283" s="28" t="str">
        <f t="array" ref="D283">IF($I282="","",XLOOKUP(C283,FSM_State_Map!A:A,FSM_State_Map!B:B,""))</f>
        <v/>
      </c>
      <c r="E283" s="28" t="str">
        <f t="array" ref="E283">IF($I282="","",XLOOKUP(C283,FSM_State_Map!A:A,FSM_State_Map!C:C,""))</f>
        <v/>
      </c>
      <c r="F283" s="28" t="str">
        <f t="array" ref="F283">IF($I282="","",XLOOKUP(E283,Phase_UI_Map!A:A,Phase_UI_Map!B:B,""))</f>
        <v/>
      </c>
      <c r="G283" s="28" t="str">
        <f t="array" ref="G283">IF($I282="","",XLOOKUP(E283,Phase_UI_Map!A:A,Phase_UI_Map!C:C,""))</f>
        <v/>
      </c>
      <c r="H283" s="28" t="str">
        <f t="array" ref="H283">IF($I282="","",XLOOKUP(E283,Phase_UI_Map!A:A,Phase_UI_Map!D:D,""))</f>
        <v/>
      </c>
      <c r="I283" s="29"/>
      <c r="J283" s="28" t="str">
        <f>IFERROR(__xludf.DUMMYFUNCTION("IF($I282="""","""",IFERROR(INDEX(FILTER(Response_Lists!$B:$B,Response_Lists!$A:$A=$H283),1),""""))"),"")</f>
        <v/>
      </c>
      <c r="K283" s="28" t="str">
        <f>IFERROR(__xludf.DUMMYFUNCTION("IF($I282="""","""",IFERROR(INDEX(FILTER(Response_Lists!$B:$B,Response_Lists!$A:$A=$H283),2),""""))"),"")</f>
        <v/>
      </c>
      <c r="L283" s="28" t="str">
        <f>IFERROR(__xludf.DUMMYFUNCTION("IF($I282="""","""",IFERROR(INDEX(FILTER(Response_Lists!$B:$B,Response_Lists!$A:$A=$H283),3),""""))"),"")</f>
        <v/>
      </c>
      <c r="M283" s="28" t="str">
        <f>IFERROR(__xludf.DUMMYFUNCTION("IF($I282="""","""",IFERROR(INDEX(FILTER(Response_Lists!$B:$B,Response_Lists!$A:$A=$H283),4),""""))"),"")</f>
        <v/>
      </c>
      <c r="N283" s="28" t="str">
        <f>IFERROR(__xludf.DUMMYFUNCTION("IF($I282="""","""",IFERROR(INDEX(FILTER(Response_Lists!$B:$B,Response_Lists!$A:$A=$H283),5),""""))"),"")</f>
        <v/>
      </c>
      <c r="O283" s="28" t="str">
        <f>IFERROR(__xludf.DUMMYFUNCTION("IF($I282="""","""",IFERROR(INDEX(FILTER(Response_Lists!$B:$B,Response_Lists!$A:$A=$H283),6),""""))"),"")</f>
        <v/>
      </c>
      <c r="P283" s="28" t="str">
        <f t="shared" si="6"/>
        <v/>
      </c>
      <c r="Q283" s="28" t="str">
        <f t="array" ref="Q283">IF($I282="","",XLOOKUP(C283,FSM_State_Map!A:A,FSM_State_Map!D:D,""))</f>
        <v/>
      </c>
      <c r="R283" s="28" t="str">
        <f t="shared" si="7"/>
        <v/>
      </c>
      <c r="S283" s="28" t="str">
        <f t="array" ref="S283">IF($I282="","",
IF(
  AND(C283="B",C282&lt;&gt;"B"),
  XLOOKUP($B283,Derived_Variables!$A:$A,Derived_Variables!$K:$K,0)
  + XLOOKUP($B283,Derived_Variables!$A:$A,Derived_Variables!$AE:$AE,0),
  S282+AM282
))</f>
        <v/>
      </c>
      <c r="T283" s="28" t="str">
        <f t="shared" ref="T283:U283" si="576">IF($I282="","",T282+AN282)</f>
        <v/>
      </c>
      <c r="U283" s="28" t="str">
        <f t="shared" si="576"/>
        <v/>
      </c>
      <c r="V283" s="28" t="str">
        <f t="array" ref="V283">IF($I282="","",
IF(
  AND(C283="D",C282&lt;&gt;"D"),
  XLOOKUP($B283,Derived_Variables!$A:$A,Derived_Variables!$N:$N,0)
  + XLOOKUP($B283,Derived_Variables!$A:$A,Derived_Variables!$AE:$AE,0),
  V282+AP282
))</f>
        <v/>
      </c>
      <c r="W283" s="28" t="str">
        <f t="shared" ref="W283:X283" si="577">IF($I282="","",W282+AQ282)</f>
        <v/>
      </c>
      <c r="X283" s="28" t="str">
        <f t="shared" si="577"/>
        <v/>
      </c>
      <c r="Y283" s="28" t="str">
        <f t="array" ref="Y283">IF($I282="","",IF(AND(C283="P",C282&lt;&gt;"P"),IFERROR(XLOOKUP($B283,Lenso_Input!$A:$A,Lenso_Input!$E:$E,0),0),Y282+AS282))</f>
        <v/>
      </c>
      <c r="Z283" s="28" t="str">
        <f t="array" ref="Z283">IF($I282="","",IF(AND(C283="Q",C282&lt;&gt;"Q"),IFERROR(XLOOKUP($B283,Lenso_Input!$A:$A,Lenso_Input!$I:$I,0),0),Z282+AT282))</f>
        <v/>
      </c>
      <c r="AA283" s="28" t="str">
        <f t="array" ref="AA283">IF($I282="","",IF(XLOOKUP($B283,Derived_Variables!$A:$A,Derived_Variables!$R:$R,"6/6_target")="6/6_target","20_20_20","40_30_25"))</f>
        <v/>
      </c>
      <c r="AB283" s="28" t="str">
        <f t="array" ref="AB283">IF($I282="","",XLOOKUP(LOWER(XLOOKUP($B283,Derived_Variables!$A:$A,Derived_Variables!$T:$T,"Standard"))&amp;"_sph_step",Calibration!$B:$B,Calibration!$C:$C,0.25))</f>
        <v/>
      </c>
      <c r="AC283" s="28" t="str">
        <f t="array" ref="AC283">IF($I282="","",XLOOKUP(LOWER(XLOOKUP($B283,Derived_Variables!$A:$A,Derived_Variables!$T:$T,"Standard"))&amp;"_cyl_step",Calibration!$B:$B,Calibration!$C:$C,0.25))</f>
        <v/>
      </c>
      <c r="AD283" s="28" t="str">
        <f t="array" ref="AD283">IF($I282="","",IF(OR(C283="E",C283="H"),LET(startStep,XLOOKUP("axis_start_step",Calibration!$B:$B,Calibration!$C:$C,5),step1,XLOOKUP("axis_reversal_step_1",Calibration!$B:$B,Calibration!$C:$C,3),step2,XLOOKUP("axis_reversal_step_2",Calibration!$B:$B,Calibration!$C:$C,1),IF(OR(C282&lt;&gt;C283,AZ283="",AZ283="SAME",AZ283="CANT_TELL",I283="",I283="SAME",I283="CANT_TELL"),startStep,IF(OR(AND(AZ283="BETTER_1",I283="BETTER_2"),AND(AZ283="BETTER_2",I283="BETTER_1")),IF(AD282&gt;step1,step1,step2),AD282))),0))</f>
        <v/>
      </c>
      <c r="AE283" s="28" t="str">
        <f t="array" ref="AE283">IF($I282="","",XLOOKUP($B283,Derived_Variables!$A:$A,Derived_Variables!$AD:$AD,"No_Fog"))</f>
        <v/>
      </c>
      <c r="AF283" s="28" t="str">
        <f t="array" ref="AF283">IF($I282="","",XLOOKUP($B283,Derived_Variables!$A:$A,Derived_Variables!$AE:$AE,0))</f>
        <v/>
      </c>
      <c r="AG283" s="28" t="str">
        <f t="array" ref="AG283">IF($I282="","",XLOOKUP($B283,Derived_Variables!$A:$A,Derived_Variables!$AF:$AF,""))</f>
        <v/>
      </c>
      <c r="AH283" s="28" t="str">
        <f t="array" ref="AH283">IF($I282="","",XLOOKUP($B283,Derived_Variables!$A:$A,Derived_Variables!$AG:$AG,""))</f>
        <v/>
      </c>
      <c r="AI283" s="28" t="str">
        <f t="array" ref="AI283">IF($I282="","",XLOOKUP($B283,Derived_Variables!$A:$A,Derived_Variables!$AC:$AC,"Medium"))</f>
        <v/>
      </c>
      <c r="AJ283" s="28" t="str">
        <f t="array" ref="AJ283">IF($I282="","",XLOOKUP($B283,Derived_Variables!$A:$A,Derived_Variables!$Y:$Y,FALSE))</f>
        <v/>
      </c>
      <c r="AK283" s="28" t="str">
        <f t="array" ref="AK283">IF($I282="","",XLOOKUP($B283,Derived_Variables!$A:$A,Derived_Variables!$AA:$AA,"Normal"))</f>
        <v/>
      </c>
      <c r="AL283" s="28" t="str">
        <f t="array" ref="AL283">IF($I282="","",XLOOKUP($B283,Derived_Variables!$A:$A,Derived_Variables!$AB:$AB,"Normal"))</f>
        <v/>
      </c>
      <c r="AM283" s="28" t="str">
        <f t="array" ref="AM283">IF($I283="","",IFS(C283="B",IF(OR(I283="NOT_READABLE",I283="BLURRY"),-AB283,0),C283="G",IFS(I283="RED_CLEARER",XLOOKUP("duochrome_red_step",Calibration!$B:$B,Calibration!$C:$C,-0.25),I283="GREEN_CLEARER",XLOOKUP("duochrome_green_step",Calibration!$B:$B,Calibration!$C:$C,0.25),I283="EQUAL",IF(XLOOKUP($B283,Derived_Variables!$A:$A,Derived_Variables!$S:$S,"Neutral")="Undercorrect",XLOOKUP("undercorrect_step",Calibration!$B:$B,Calibration!$C:$C,0.25),IF(XLOOKUP($B283,Derived_Variables!$A:$A,Derived_Variables!$S:$S,"Neutral")="Overcorrect",-XLOOKUP("overcorrect_step",Calibration!$B:$B,Calibration!$C:$C,0.25),0)),TRUE,0),C283="K",IF(I283="TOP_CLEARER",XLOOKUP("bino_balance_step",Calibration!$B:$B,Calibration!$C:$C,0.25),0),TRUE,0))</f>
        <v/>
      </c>
      <c r="AN283" s="28" t="str">
        <f t="shared" si="10"/>
        <v/>
      </c>
      <c r="AO283" s="28" t="str">
        <f t="shared" si="11"/>
        <v/>
      </c>
      <c r="AP283" s="28" t="str">
        <f t="array" ref="AP283">IF($I283="","",IFS(C283="D",IF(OR(I283="NOT_READABLE",I283="BLURRY"),-AB283,0),C283="J",IFS(I283="RED_CLEARER",XLOOKUP("duochrome_red_step",Calibration!$B:$B,Calibration!$C:$C,-0.25),I283="GREEN_CLEARER",XLOOKUP("duochrome_green_step",Calibration!$B:$B,Calibration!$C:$C,0.25),I283="EQUAL",IF(XLOOKUP($B283,Derived_Variables!$A:$A,Derived_Variables!$S:$S,"Neutral")="Undercorrect",XLOOKUP("undercorrect_step",Calibration!$B:$B,Calibration!$C:$C,0.25),IF(XLOOKUP($B283,Derived_Variables!$A:$A,Derived_Variables!$S:$S,"Neutral")="Overcorrect",-XLOOKUP("overcorrect_step",Calibration!$B:$B,Calibration!$C:$C,0.25),0)),TRUE,0),C283="K",IF(I283="BOTTOM_CLEARER",XLOOKUP("bino_balance_step",Calibration!$B:$B,Calibration!$C:$C,0.25),0),TRUE,0))</f>
        <v/>
      </c>
      <c r="AQ283" s="28" t="str">
        <f t="shared" si="12"/>
        <v/>
      </c>
      <c r="AR283" s="28" t="str">
        <f t="shared" si="13"/>
        <v/>
      </c>
      <c r="AS283" s="28" t="str">
        <f t="array" ref="AS283">IF($I283="","",IF(C283="P",IF(OR(I283="NOT_READABLE",I283="BLURRY"),XLOOKUP("near_add_step",Calibration!$B:$B,Calibration!$C:$C,0.25),0),IF(C283="R",IF(I283="NOT_CLEAR",XLOOKUP("near_add_step",Calibration!$B:$B,Calibration!$C:$C,0.25),0),0)))</f>
        <v/>
      </c>
      <c r="AT283" s="28" t="str">
        <f t="array" ref="AT283">IF($I283="","",IF(C283="Q",IF(OR(I283="NOT_READABLE",I283="BLURRY"),XLOOKUP("near_add_step",Calibration!$B:$B,Calibration!$C:$C,0.25),0),IF(C283="R",IF(I283="NOT_CLEAR",XLOOKUP("near_add_step",Calibration!$B:$B,Calibration!$C:$C,0.25),0),0)))</f>
        <v/>
      </c>
      <c r="AU283" s="28" t="str">
        <f t="array" ref="AU283">IF($I283="","",IF(G283="SNELLEN_FEET",IF(I283="READABLE",IFERROR(XLOOKUP(XLOOKUP(R283,Chart_Scale_Distance!B:B,Chart_Scale_Distance!A:A)+1,Chart_Scale_Distance!A:A,Chart_Scale_Distance!B:B),R283),R283),R283))</f>
        <v/>
      </c>
      <c r="AV283" s="28" t="str">
        <f t="array" ref="AV283">IF($I282="","",IFERROR(XLOOKUP(R283,Chart_Scale_Distance!$B:$B,Chart_Scale_Distance!$A:$A,""),""))</f>
        <v/>
      </c>
      <c r="AW283" s="28" t="str">
        <f t="array" ref="AW283">IF($I282="","",IFERROR(XLOOKUP(AA283,Chart_Scale_Distance!$B:$B,Chart_Scale_Distance!$A:$A,""),""))</f>
        <v/>
      </c>
      <c r="AX283" s="28" t="str">
        <f t="shared" si="14"/>
        <v/>
      </c>
      <c r="AY283" s="28" t="str">
        <f t="shared" si="15"/>
        <v/>
      </c>
      <c r="AZ283" s="28" t="str">
        <f t="shared" si="16"/>
        <v/>
      </c>
      <c r="BA283" s="28" t="str">
        <f t="shared" si="17"/>
        <v/>
      </c>
      <c r="BB283" s="28" t="str">
        <f t="shared" si="18"/>
        <v/>
      </c>
      <c r="BC283" s="28" t="str">
        <f t="array" ref="BC283">IF($I283="","",LET(
conf,AI283,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duoMax,XLOOKUP($B283,Derived_Variables!$A:$A,Derived_Variables!$AI:$AI,4),
axisTol,XLOOKUP($B283,Derived_Variables!$A:$A,Derived_Variables!$W:$W,1),
maxStart,XLOOKUP($B283,Derived_Variables!$A:$A,Derived_Variables!$U:$U,1.25),
maxAR,XLOOKUP($B283,Derived_Variables!$A:$A,Derived_Variables!$V:$V,3),
anom,XLOOKUP($B283,Derived_Variables!$A:$A,Derived_Variables!$Z:$Z,FALSE),
reStart,XLOOKUP($B283,Derived_Variables!$A:$A,Derived_Variables!$K:$K,0),
leStart,XLOOKUP($B283,Derived_Variables!$A:$A,Derived_Variables!$N:$N,0),
reAR,XLOOKUP($B283,AR_Input!$A:$A,AR_Input!$B:$B,reStart),
leAR,XLOOKUP($B283,AR_Input!$A:$A,AR_Input!$E:$E,leStart),
reEsc,AND(anom,OR(ABS((S283+AM283)-reStart)&gt;maxStart,ABS((S283+AM283)-reAR)&gt;maxAR)),
leEsc,AND(anom,OR(ABS((V283+AP283)-leStart)&gt;maxStart,ABS((V283+AP283)-leAR)&gt;maxAR)),
phaseMax,IFS(
 AK283="Fast",
   IFS(
     OR(C283="B",C283="D"),XLOOKUP("timeout_coarse_fast",Calibration!$B:$B,Calibration!$C:$C,24),
     OR(C283="E",C283="F",C283="H",C283="I"),XLOOKUP("timeout_jcc_fast",Calibration!$B:$B,Calibration!$C:$C,10),
     OR(C283="G",C283="J"),XLOOKUP("timeout_duochrome_fast",Calibration!$B:$B,Calibration!$C:$C,8),
     C283="K",XLOOKUP("timeout_bino_fast",Calibration!$B:$B,Calibration!$C:$C,10),
     OR(C283="P",C283="Q",C283="R"),XLOOKUP("timeout_near_fast",Calibration!$B:$B,Calibration!$C:$C,16),
     TRUE,XLOOKUP("timeout_coarse_fast",Calibration!$B:$B,Calibration!$C:$C,24)
   ),
 AK283="Normal",
   IFS(
     OR(C283="B",C283="D"),XLOOKUP("timeout_coarse_normal",Calibration!$B:$B,Calibration!$C:$C,36),
     OR(C283="E",C283="F",C283="H",C283="I"),XLOOKUP("timeout_jcc_normal",Calibration!$B:$B,Calibration!$C:$C,14),
     OR(C283="G",C283="J"),XLOOKUP("timeout_duochrome_normal",Calibration!$B:$B,Calibration!$C:$C,10),
     C283="K",XLOOKUP("timeout_bino_normal",Calibration!$B:$B,Calibration!$C:$C,14),
     OR(C283="P",C283="Q",C283="R"),XLOOKUP("timeout_near_normal",Calibration!$B:$B,Calibration!$C:$C,22),
     TRUE,XLOOKUP("timeout_coarse_normal",Calibration!$B:$B,Calibration!$C:$C,36)
   ),
 TRUE,
   IFS(
     OR(C283="B",C283="D"),XLOOKUP("timeout_coarse_slow",Calibration!$B:$B,Calibration!$C:$C,48),
     OR(C283="E",C283="F",C283="H",C283="I"),XLOOKUP("timeout_jcc_slow",Calibration!$B:$B,Calibration!$C:$C,18),
     OR(C283="G",C283="J"),XLOOKUP("timeout_duochrome_slow",Calibration!$B:$B,Calibration!$C:$C,12),
     C283="K",XLOOKUP("timeout_bino_slow",Calibration!$B:$B,Calibration!$C:$C,18),
     OR(C283="P",C283="Q",C283="R"),XLOOKUP("timeout_near_slow",Calibration!$B:$B,Calibration!$C:$C,28),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AJ283=TRUE,"ESCALATE",
C283="A",
IF(OR(I283="NOT_READABLE",I283="BLURRY",AND(R283="20_20_20",I283="READABLE")),"B","A"),
C283="B",
IF(reEsc,"ESCALATE",IF(AY283&gt;=phaseMax,"ESCALATE",IF(AND(AV283&gt;=AW283,I283="READABLE"),"E","B"))),
C283="E",
IF(AY283&gt;=phaseMax,"ESCALATE",IF(OR(I283="SAME",I283="CANT_TELL",AD283&lt;axisTol),"F","E")),
C283="F",
IF(AY283&gt;=phaseMax,"ESCALATE",IF(AX283&gt;=powerSameN,"G","F")),
C283="G",
IF(AY283&gt;=phaseMax,"ESCALATE",IF(OR(AX283&gt;=duoEqualN,BB283&gt;=duoMax),"D","G")),
C283="D",
IF(leEsc,"ESCALATE",IF(AY283&gt;=phaseMax,"ESCALATE",IF(AND(AV283&gt;=AW283,I283="READABLE"),"H","D"))),
C283="H",
IF(AY283&gt;=phaseMax,"ESCALATE",IF(OR(I283="SAME",I283="CANT_TELL",AD283&lt;axisTol),"I","H")),
C283="I",
IF(AY283&gt;=phaseMax,"ESCALATE",IF(AX283&gt;=powerSameN,"J","I")),
C283="J",
IF(AY283&gt;=phaseMax,"ESCALATE",IF(OR(AX283&gt;=duoEqualN,BB283&gt;=duoMax),"K","J")),
C283="K",
IF(AY283&gt;=phaseMax,"ESCALATE",IF(AX283&gt;=binoSameN,IF(XLOOKUP($B283,Derived_Variables!$A:$A,Derived_Variables!$AJ:$AJ,FALSE)=TRUE,"P","END"),"K")),
C283="P",
IF(AY283&gt;=phaseMax,"ESCALATE",IF(OR(I283="READABLE",I283="SAME"),"Q","P")),
C283="Q",
IF(AY283&gt;=phaseMax,"ESCALATE",IF(OR(I283="READABLE",I283="SAME"),"R","Q")),
C283="R",
IF(AY283&gt;=phaseMax,"ESCALATE",IF(OR(I283=nearTarget,I283="SAME"),"END","R")),
TRUE,"END"
)))</f>
        <v/>
      </c>
      <c r="BD283" s="28" t="b">
        <f t="shared" si="19"/>
        <v>0</v>
      </c>
    </row>
    <row r="284" ht="15.75" customHeight="1">
      <c r="A284" s="28">
        <f t="shared" si="3"/>
        <v>283</v>
      </c>
      <c r="B284" s="28">
        <f t="shared" si="4"/>
        <v>6</v>
      </c>
      <c r="C284" s="28" t="str">
        <f t="shared" si="5"/>
        <v/>
      </c>
      <c r="D284" s="28" t="str">
        <f t="array" ref="D284">IF($I283="","",XLOOKUP(C284,FSM_State_Map!A:A,FSM_State_Map!B:B,""))</f>
        <v/>
      </c>
      <c r="E284" s="28" t="str">
        <f t="array" ref="E284">IF($I283="","",XLOOKUP(C284,FSM_State_Map!A:A,FSM_State_Map!C:C,""))</f>
        <v/>
      </c>
      <c r="F284" s="28" t="str">
        <f t="array" ref="F284">IF($I283="","",XLOOKUP(E284,Phase_UI_Map!A:A,Phase_UI_Map!B:B,""))</f>
        <v/>
      </c>
      <c r="G284" s="28" t="str">
        <f t="array" ref="G284">IF($I283="","",XLOOKUP(E284,Phase_UI_Map!A:A,Phase_UI_Map!C:C,""))</f>
        <v/>
      </c>
      <c r="H284" s="28" t="str">
        <f t="array" ref="H284">IF($I283="","",XLOOKUP(E284,Phase_UI_Map!A:A,Phase_UI_Map!D:D,""))</f>
        <v/>
      </c>
      <c r="I284" s="29"/>
      <c r="J284" s="28" t="str">
        <f>IFERROR(__xludf.DUMMYFUNCTION("IF($I283="""","""",IFERROR(INDEX(FILTER(Response_Lists!$B:$B,Response_Lists!$A:$A=$H284),1),""""))"),"")</f>
        <v/>
      </c>
      <c r="K284" s="28" t="str">
        <f>IFERROR(__xludf.DUMMYFUNCTION("IF($I283="""","""",IFERROR(INDEX(FILTER(Response_Lists!$B:$B,Response_Lists!$A:$A=$H284),2),""""))"),"")</f>
        <v/>
      </c>
      <c r="L284" s="28" t="str">
        <f>IFERROR(__xludf.DUMMYFUNCTION("IF($I283="""","""",IFERROR(INDEX(FILTER(Response_Lists!$B:$B,Response_Lists!$A:$A=$H284),3),""""))"),"")</f>
        <v/>
      </c>
      <c r="M284" s="28" t="str">
        <f>IFERROR(__xludf.DUMMYFUNCTION("IF($I283="""","""",IFERROR(INDEX(FILTER(Response_Lists!$B:$B,Response_Lists!$A:$A=$H284),4),""""))"),"")</f>
        <v/>
      </c>
      <c r="N284" s="28" t="str">
        <f>IFERROR(__xludf.DUMMYFUNCTION("IF($I283="""","""",IFERROR(INDEX(FILTER(Response_Lists!$B:$B,Response_Lists!$A:$A=$H284),5),""""))"),"")</f>
        <v/>
      </c>
      <c r="O284" s="28" t="str">
        <f>IFERROR(__xludf.DUMMYFUNCTION("IF($I283="""","""",IFERROR(INDEX(FILTER(Response_Lists!$B:$B,Response_Lists!$A:$A=$H284),6),""""))"),"")</f>
        <v/>
      </c>
      <c r="P284" s="28" t="str">
        <f t="shared" si="6"/>
        <v/>
      </c>
      <c r="Q284" s="28" t="str">
        <f t="array" ref="Q284">IF($I283="","",XLOOKUP(C284,FSM_State_Map!A:A,FSM_State_Map!D:D,""))</f>
        <v/>
      </c>
      <c r="R284" s="28" t="str">
        <f t="shared" si="7"/>
        <v/>
      </c>
      <c r="S284" s="28" t="str">
        <f t="array" ref="S284">IF($I283="","",
IF(
  AND(C284="B",C283&lt;&gt;"B"),
  XLOOKUP($B284,Derived_Variables!$A:$A,Derived_Variables!$K:$K,0)
  + XLOOKUP($B284,Derived_Variables!$A:$A,Derived_Variables!$AE:$AE,0),
  S283+AM283
))</f>
        <v/>
      </c>
      <c r="T284" s="28" t="str">
        <f t="shared" ref="T284:U284" si="578">IF($I283="","",T283+AN283)</f>
        <v/>
      </c>
      <c r="U284" s="28" t="str">
        <f t="shared" si="578"/>
        <v/>
      </c>
      <c r="V284" s="28" t="str">
        <f t="array" ref="V284">IF($I283="","",
IF(
  AND(C284="D",C283&lt;&gt;"D"),
  XLOOKUP($B284,Derived_Variables!$A:$A,Derived_Variables!$N:$N,0)
  + XLOOKUP($B284,Derived_Variables!$A:$A,Derived_Variables!$AE:$AE,0),
  V283+AP283
))</f>
        <v/>
      </c>
      <c r="W284" s="28" t="str">
        <f t="shared" ref="W284:X284" si="579">IF($I283="","",W283+AQ283)</f>
        <v/>
      </c>
      <c r="X284" s="28" t="str">
        <f t="shared" si="579"/>
        <v/>
      </c>
      <c r="Y284" s="28" t="str">
        <f t="array" ref="Y284">IF($I283="","",IF(AND(C284="P",C283&lt;&gt;"P"),IFERROR(XLOOKUP($B284,Lenso_Input!$A:$A,Lenso_Input!$E:$E,0),0),Y283+AS283))</f>
        <v/>
      </c>
      <c r="Z284" s="28" t="str">
        <f t="array" ref="Z284">IF($I283="","",IF(AND(C284="Q",C283&lt;&gt;"Q"),IFERROR(XLOOKUP($B284,Lenso_Input!$A:$A,Lenso_Input!$I:$I,0),0),Z283+AT283))</f>
        <v/>
      </c>
      <c r="AA284" s="28" t="str">
        <f t="array" ref="AA284">IF($I283="","",IF(XLOOKUP($B284,Derived_Variables!$A:$A,Derived_Variables!$R:$R,"6/6_target")="6/6_target","20_20_20","40_30_25"))</f>
        <v/>
      </c>
      <c r="AB284" s="28" t="str">
        <f t="array" ref="AB284">IF($I283="","",XLOOKUP(LOWER(XLOOKUP($B284,Derived_Variables!$A:$A,Derived_Variables!$T:$T,"Standard"))&amp;"_sph_step",Calibration!$B:$B,Calibration!$C:$C,0.25))</f>
        <v/>
      </c>
      <c r="AC284" s="28" t="str">
        <f t="array" ref="AC284">IF($I283="","",XLOOKUP(LOWER(XLOOKUP($B284,Derived_Variables!$A:$A,Derived_Variables!$T:$T,"Standard"))&amp;"_cyl_step",Calibration!$B:$B,Calibration!$C:$C,0.25))</f>
        <v/>
      </c>
      <c r="AD284" s="28" t="str">
        <f t="array" ref="AD284">IF($I283="","",IF(OR(C284="E",C284="H"),LET(startStep,XLOOKUP("axis_start_step",Calibration!$B:$B,Calibration!$C:$C,5),step1,XLOOKUP("axis_reversal_step_1",Calibration!$B:$B,Calibration!$C:$C,3),step2,XLOOKUP("axis_reversal_step_2",Calibration!$B:$B,Calibration!$C:$C,1),IF(OR(C283&lt;&gt;C284,AZ284="",AZ284="SAME",AZ284="CANT_TELL",I284="",I284="SAME",I284="CANT_TELL"),startStep,IF(OR(AND(AZ284="BETTER_1",I284="BETTER_2"),AND(AZ284="BETTER_2",I284="BETTER_1")),IF(AD283&gt;step1,step1,step2),AD283))),0))</f>
        <v/>
      </c>
      <c r="AE284" s="28" t="str">
        <f t="array" ref="AE284">IF($I283="","",XLOOKUP($B284,Derived_Variables!$A:$A,Derived_Variables!$AD:$AD,"No_Fog"))</f>
        <v/>
      </c>
      <c r="AF284" s="28" t="str">
        <f t="array" ref="AF284">IF($I283="","",XLOOKUP($B284,Derived_Variables!$A:$A,Derived_Variables!$AE:$AE,0))</f>
        <v/>
      </c>
      <c r="AG284" s="28" t="str">
        <f t="array" ref="AG284">IF($I283="","",XLOOKUP($B284,Derived_Variables!$A:$A,Derived_Variables!$AF:$AF,""))</f>
        <v/>
      </c>
      <c r="AH284" s="28" t="str">
        <f t="array" ref="AH284">IF($I283="","",XLOOKUP($B284,Derived_Variables!$A:$A,Derived_Variables!$AG:$AG,""))</f>
        <v/>
      </c>
      <c r="AI284" s="28" t="str">
        <f t="array" ref="AI284">IF($I283="","",XLOOKUP($B284,Derived_Variables!$A:$A,Derived_Variables!$AC:$AC,"Medium"))</f>
        <v/>
      </c>
      <c r="AJ284" s="28" t="str">
        <f t="array" ref="AJ284">IF($I283="","",XLOOKUP($B284,Derived_Variables!$A:$A,Derived_Variables!$Y:$Y,FALSE))</f>
        <v/>
      </c>
      <c r="AK284" s="28" t="str">
        <f t="array" ref="AK284">IF($I283="","",XLOOKUP($B284,Derived_Variables!$A:$A,Derived_Variables!$AA:$AA,"Normal"))</f>
        <v/>
      </c>
      <c r="AL284" s="28" t="str">
        <f t="array" ref="AL284">IF($I283="","",XLOOKUP($B284,Derived_Variables!$A:$A,Derived_Variables!$AB:$AB,"Normal"))</f>
        <v/>
      </c>
      <c r="AM284" s="28" t="str">
        <f t="array" ref="AM284">IF($I284="","",IFS(C284="B",IF(OR(I284="NOT_READABLE",I284="BLURRY"),-AB284,0),C284="G",IFS(I284="RED_CLEARER",XLOOKUP("duochrome_red_step",Calibration!$B:$B,Calibration!$C:$C,-0.25),I284="GREEN_CLEARER",XLOOKUP("duochrome_green_step",Calibration!$B:$B,Calibration!$C:$C,0.25),I284="EQUAL",IF(XLOOKUP($B284,Derived_Variables!$A:$A,Derived_Variables!$S:$S,"Neutral")="Undercorrect",XLOOKUP("undercorrect_step",Calibration!$B:$B,Calibration!$C:$C,0.25),IF(XLOOKUP($B284,Derived_Variables!$A:$A,Derived_Variables!$S:$S,"Neutral")="Overcorrect",-XLOOKUP("overcorrect_step",Calibration!$B:$B,Calibration!$C:$C,0.25),0)),TRUE,0),C284="K",IF(I284="TOP_CLEARER",XLOOKUP("bino_balance_step",Calibration!$B:$B,Calibration!$C:$C,0.25),0),TRUE,0))</f>
        <v/>
      </c>
      <c r="AN284" s="28" t="str">
        <f t="shared" si="10"/>
        <v/>
      </c>
      <c r="AO284" s="28" t="str">
        <f t="shared" si="11"/>
        <v/>
      </c>
      <c r="AP284" s="28" t="str">
        <f t="array" ref="AP284">IF($I284="","",IFS(C284="D",IF(OR(I284="NOT_READABLE",I284="BLURRY"),-AB284,0),C284="J",IFS(I284="RED_CLEARER",XLOOKUP("duochrome_red_step",Calibration!$B:$B,Calibration!$C:$C,-0.25),I284="GREEN_CLEARER",XLOOKUP("duochrome_green_step",Calibration!$B:$B,Calibration!$C:$C,0.25),I284="EQUAL",IF(XLOOKUP($B284,Derived_Variables!$A:$A,Derived_Variables!$S:$S,"Neutral")="Undercorrect",XLOOKUP("undercorrect_step",Calibration!$B:$B,Calibration!$C:$C,0.25),IF(XLOOKUP($B284,Derived_Variables!$A:$A,Derived_Variables!$S:$S,"Neutral")="Overcorrect",-XLOOKUP("overcorrect_step",Calibration!$B:$B,Calibration!$C:$C,0.25),0)),TRUE,0),C284="K",IF(I284="BOTTOM_CLEARER",XLOOKUP("bino_balance_step",Calibration!$B:$B,Calibration!$C:$C,0.25),0),TRUE,0))</f>
        <v/>
      </c>
      <c r="AQ284" s="28" t="str">
        <f t="shared" si="12"/>
        <v/>
      </c>
      <c r="AR284" s="28" t="str">
        <f t="shared" si="13"/>
        <v/>
      </c>
      <c r="AS284" s="28" t="str">
        <f t="array" ref="AS284">IF($I284="","",IF(C284="P",IF(OR(I284="NOT_READABLE",I284="BLURRY"),XLOOKUP("near_add_step",Calibration!$B:$B,Calibration!$C:$C,0.25),0),IF(C284="R",IF(I284="NOT_CLEAR",XLOOKUP("near_add_step",Calibration!$B:$B,Calibration!$C:$C,0.25),0),0)))</f>
        <v/>
      </c>
      <c r="AT284" s="28" t="str">
        <f t="array" ref="AT284">IF($I284="","",IF(C284="Q",IF(OR(I284="NOT_READABLE",I284="BLURRY"),XLOOKUP("near_add_step",Calibration!$B:$B,Calibration!$C:$C,0.25),0),IF(C284="R",IF(I284="NOT_CLEAR",XLOOKUP("near_add_step",Calibration!$B:$B,Calibration!$C:$C,0.25),0),0)))</f>
        <v/>
      </c>
      <c r="AU284" s="28" t="str">
        <f t="array" ref="AU284">IF($I284="","",IF(G284="SNELLEN_FEET",IF(I284="READABLE",IFERROR(XLOOKUP(XLOOKUP(R284,Chart_Scale_Distance!B:B,Chart_Scale_Distance!A:A)+1,Chart_Scale_Distance!A:A,Chart_Scale_Distance!B:B),R284),R284),R284))</f>
        <v/>
      </c>
      <c r="AV284" s="28" t="str">
        <f t="array" ref="AV284">IF($I283="","",IFERROR(XLOOKUP(R284,Chart_Scale_Distance!$B:$B,Chart_Scale_Distance!$A:$A,""),""))</f>
        <v/>
      </c>
      <c r="AW284" s="28" t="str">
        <f t="array" ref="AW284">IF($I283="","",IFERROR(XLOOKUP(AA284,Chart_Scale_Distance!$B:$B,Chart_Scale_Distance!$A:$A,""),""))</f>
        <v/>
      </c>
      <c r="AX284" s="28" t="str">
        <f t="shared" si="14"/>
        <v/>
      </c>
      <c r="AY284" s="28" t="str">
        <f t="shared" si="15"/>
        <v/>
      </c>
      <c r="AZ284" s="28" t="str">
        <f t="shared" si="16"/>
        <v/>
      </c>
      <c r="BA284" s="28" t="str">
        <f t="shared" si="17"/>
        <v/>
      </c>
      <c r="BB284" s="28" t="str">
        <f t="shared" si="18"/>
        <v/>
      </c>
      <c r="BC284" s="28" t="str">
        <f t="array" ref="BC284">IF($I284="","",LET(
conf,AI284,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duoMax,XLOOKUP($B284,Derived_Variables!$A:$A,Derived_Variables!$AI:$AI,4),
axisTol,XLOOKUP($B284,Derived_Variables!$A:$A,Derived_Variables!$W:$W,1),
maxStart,XLOOKUP($B284,Derived_Variables!$A:$A,Derived_Variables!$U:$U,1.25),
maxAR,XLOOKUP($B284,Derived_Variables!$A:$A,Derived_Variables!$V:$V,3),
anom,XLOOKUP($B284,Derived_Variables!$A:$A,Derived_Variables!$Z:$Z,FALSE),
reStart,XLOOKUP($B284,Derived_Variables!$A:$A,Derived_Variables!$K:$K,0),
leStart,XLOOKUP($B284,Derived_Variables!$A:$A,Derived_Variables!$N:$N,0),
reAR,XLOOKUP($B284,AR_Input!$A:$A,AR_Input!$B:$B,reStart),
leAR,XLOOKUP($B284,AR_Input!$A:$A,AR_Input!$E:$E,leStart),
reEsc,AND(anom,OR(ABS((S284+AM284)-reStart)&gt;maxStart,ABS((S284+AM284)-reAR)&gt;maxAR)),
leEsc,AND(anom,OR(ABS((V284+AP284)-leStart)&gt;maxStart,ABS((V284+AP284)-leAR)&gt;maxAR)),
phaseMax,IFS(
 AK284="Fast",
   IFS(
     OR(C284="B",C284="D"),XLOOKUP("timeout_coarse_fast",Calibration!$B:$B,Calibration!$C:$C,24),
     OR(C284="E",C284="F",C284="H",C284="I"),XLOOKUP("timeout_jcc_fast",Calibration!$B:$B,Calibration!$C:$C,10),
     OR(C284="G",C284="J"),XLOOKUP("timeout_duochrome_fast",Calibration!$B:$B,Calibration!$C:$C,8),
     C284="K",XLOOKUP("timeout_bino_fast",Calibration!$B:$B,Calibration!$C:$C,10),
     OR(C284="P",C284="Q",C284="R"),XLOOKUP("timeout_near_fast",Calibration!$B:$B,Calibration!$C:$C,16),
     TRUE,XLOOKUP("timeout_coarse_fast",Calibration!$B:$B,Calibration!$C:$C,24)
   ),
 AK284="Normal",
   IFS(
     OR(C284="B",C284="D"),XLOOKUP("timeout_coarse_normal",Calibration!$B:$B,Calibration!$C:$C,36),
     OR(C284="E",C284="F",C284="H",C284="I"),XLOOKUP("timeout_jcc_normal",Calibration!$B:$B,Calibration!$C:$C,14),
     OR(C284="G",C284="J"),XLOOKUP("timeout_duochrome_normal",Calibration!$B:$B,Calibration!$C:$C,10),
     C284="K",XLOOKUP("timeout_bino_normal",Calibration!$B:$B,Calibration!$C:$C,14),
     OR(C284="P",C284="Q",C284="R"),XLOOKUP("timeout_near_normal",Calibration!$B:$B,Calibration!$C:$C,22),
     TRUE,XLOOKUP("timeout_coarse_normal",Calibration!$B:$B,Calibration!$C:$C,36)
   ),
 TRUE,
   IFS(
     OR(C284="B",C284="D"),XLOOKUP("timeout_coarse_slow",Calibration!$B:$B,Calibration!$C:$C,48),
     OR(C284="E",C284="F",C284="H",C284="I"),XLOOKUP("timeout_jcc_slow",Calibration!$B:$B,Calibration!$C:$C,18),
     OR(C284="G",C284="J"),XLOOKUP("timeout_duochrome_slow",Calibration!$B:$B,Calibration!$C:$C,12),
     C284="K",XLOOKUP("timeout_bino_slow",Calibration!$B:$B,Calibration!$C:$C,18),
     OR(C284="P",C284="Q",C284="R"),XLOOKUP("timeout_near_slow",Calibration!$B:$B,Calibration!$C:$C,28),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AJ284=TRUE,"ESCALATE",
C284="A",
IF(OR(I284="NOT_READABLE",I284="BLURRY",AND(R284="20_20_20",I284="READABLE")),"B","A"),
C284="B",
IF(reEsc,"ESCALATE",IF(AY284&gt;=phaseMax,"ESCALATE",IF(AND(AV284&gt;=AW284,I284="READABLE"),"E","B"))),
C284="E",
IF(AY284&gt;=phaseMax,"ESCALATE",IF(OR(I284="SAME",I284="CANT_TELL",AD284&lt;axisTol),"F","E")),
C284="F",
IF(AY284&gt;=phaseMax,"ESCALATE",IF(AX284&gt;=powerSameN,"G","F")),
C284="G",
IF(AY284&gt;=phaseMax,"ESCALATE",IF(OR(AX284&gt;=duoEqualN,BB284&gt;=duoMax),"D","G")),
C284="D",
IF(leEsc,"ESCALATE",IF(AY284&gt;=phaseMax,"ESCALATE",IF(AND(AV284&gt;=AW284,I284="READABLE"),"H","D"))),
C284="H",
IF(AY284&gt;=phaseMax,"ESCALATE",IF(OR(I284="SAME",I284="CANT_TELL",AD284&lt;axisTol),"I","H")),
C284="I",
IF(AY284&gt;=phaseMax,"ESCALATE",IF(AX284&gt;=powerSameN,"J","I")),
C284="J",
IF(AY284&gt;=phaseMax,"ESCALATE",IF(OR(AX284&gt;=duoEqualN,BB284&gt;=duoMax),"K","J")),
C284="K",
IF(AY284&gt;=phaseMax,"ESCALATE",IF(AX284&gt;=binoSameN,IF(XLOOKUP($B284,Derived_Variables!$A:$A,Derived_Variables!$AJ:$AJ,FALSE)=TRUE,"P","END"),"K")),
C284="P",
IF(AY284&gt;=phaseMax,"ESCALATE",IF(OR(I284="READABLE",I284="SAME"),"Q","P")),
C284="Q",
IF(AY284&gt;=phaseMax,"ESCALATE",IF(OR(I284="READABLE",I284="SAME"),"R","Q")),
C284="R",
IF(AY284&gt;=phaseMax,"ESCALATE",IF(OR(I284=nearTarget,I284="SAME"),"END","R")),
TRUE,"END"
)))</f>
        <v/>
      </c>
      <c r="BD284" s="28" t="b">
        <f t="shared" si="19"/>
        <v>0</v>
      </c>
    </row>
    <row r="285" ht="15.75" customHeight="1">
      <c r="A285" s="28">
        <f t="shared" si="3"/>
        <v>284</v>
      </c>
      <c r="B285" s="28">
        <f t="shared" si="4"/>
        <v>6</v>
      </c>
      <c r="C285" s="28" t="str">
        <f t="shared" si="5"/>
        <v/>
      </c>
      <c r="D285" s="28" t="str">
        <f t="array" ref="D285">IF($I284="","",XLOOKUP(C285,FSM_State_Map!A:A,FSM_State_Map!B:B,""))</f>
        <v/>
      </c>
      <c r="E285" s="28" t="str">
        <f t="array" ref="E285">IF($I284="","",XLOOKUP(C285,FSM_State_Map!A:A,FSM_State_Map!C:C,""))</f>
        <v/>
      </c>
      <c r="F285" s="28" t="str">
        <f t="array" ref="F285">IF($I284="","",XLOOKUP(E285,Phase_UI_Map!A:A,Phase_UI_Map!B:B,""))</f>
        <v/>
      </c>
      <c r="G285" s="28" t="str">
        <f t="array" ref="G285">IF($I284="","",XLOOKUP(E285,Phase_UI_Map!A:A,Phase_UI_Map!C:C,""))</f>
        <v/>
      </c>
      <c r="H285" s="28" t="str">
        <f t="array" ref="H285">IF($I284="","",XLOOKUP(E285,Phase_UI_Map!A:A,Phase_UI_Map!D:D,""))</f>
        <v/>
      </c>
      <c r="I285" s="29"/>
      <c r="J285" s="28" t="str">
        <f>IFERROR(__xludf.DUMMYFUNCTION("IF($I284="""","""",IFERROR(INDEX(FILTER(Response_Lists!$B:$B,Response_Lists!$A:$A=$H285),1),""""))"),"")</f>
        <v/>
      </c>
      <c r="K285" s="28" t="str">
        <f>IFERROR(__xludf.DUMMYFUNCTION("IF($I284="""","""",IFERROR(INDEX(FILTER(Response_Lists!$B:$B,Response_Lists!$A:$A=$H285),2),""""))"),"")</f>
        <v/>
      </c>
      <c r="L285" s="28" t="str">
        <f>IFERROR(__xludf.DUMMYFUNCTION("IF($I284="""","""",IFERROR(INDEX(FILTER(Response_Lists!$B:$B,Response_Lists!$A:$A=$H285),3),""""))"),"")</f>
        <v/>
      </c>
      <c r="M285" s="28" t="str">
        <f>IFERROR(__xludf.DUMMYFUNCTION("IF($I284="""","""",IFERROR(INDEX(FILTER(Response_Lists!$B:$B,Response_Lists!$A:$A=$H285),4),""""))"),"")</f>
        <v/>
      </c>
      <c r="N285" s="28" t="str">
        <f>IFERROR(__xludf.DUMMYFUNCTION("IF($I284="""","""",IFERROR(INDEX(FILTER(Response_Lists!$B:$B,Response_Lists!$A:$A=$H285),5),""""))"),"")</f>
        <v/>
      </c>
      <c r="O285" s="28" t="str">
        <f>IFERROR(__xludf.DUMMYFUNCTION("IF($I284="""","""",IFERROR(INDEX(FILTER(Response_Lists!$B:$B,Response_Lists!$A:$A=$H285),6),""""))"),"")</f>
        <v/>
      </c>
      <c r="P285" s="28" t="str">
        <f t="shared" si="6"/>
        <v/>
      </c>
      <c r="Q285" s="28" t="str">
        <f t="array" ref="Q285">IF($I284="","",XLOOKUP(C285,FSM_State_Map!A:A,FSM_State_Map!D:D,""))</f>
        <v/>
      </c>
      <c r="R285" s="28" t="str">
        <f t="shared" si="7"/>
        <v/>
      </c>
      <c r="S285" s="28" t="str">
        <f t="array" ref="S285">IF($I284="","",
IF(
  AND(C285="B",C284&lt;&gt;"B"),
  XLOOKUP($B285,Derived_Variables!$A:$A,Derived_Variables!$K:$K,0)
  + XLOOKUP($B285,Derived_Variables!$A:$A,Derived_Variables!$AE:$AE,0),
  S284+AM284
))</f>
        <v/>
      </c>
      <c r="T285" s="28" t="str">
        <f t="shared" ref="T285:U285" si="580">IF($I284="","",T284+AN284)</f>
        <v/>
      </c>
      <c r="U285" s="28" t="str">
        <f t="shared" si="580"/>
        <v/>
      </c>
      <c r="V285" s="28" t="str">
        <f t="array" ref="V285">IF($I284="","",
IF(
  AND(C285="D",C284&lt;&gt;"D"),
  XLOOKUP($B285,Derived_Variables!$A:$A,Derived_Variables!$N:$N,0)
  + XLOOKUP($B285,Derived_Variables!$A:$A,Derived_Variables!$AE:$AE,0),
  V284+AP284
))</f>
        <v/>
      </c>
      <c r="W285" s="28" t="str">
        <f t="shared" ref="W285:X285" si="581">IF($I284="","",W284+AQ284)</f>
        <v/>
      </c>
      <c r="X285" s="28" t="str">
        <f t="shared" si="581"/>
        <v/>
      </c>
      <c r="Y285" s="28" t="str">
        <f t="array" ref="Y285">IF($I284="","",IF(AND(C285="P",C284&lt;&gt;"P"),IFERROR(XLOOKUP($B285,Lenso_Input!$A:$A,Lenso_Input!$E:$E,0),0),Y284+AS284))</f>
        <v/>
      </c>
      <c r="Z285" s="28" t="str">
        <f t="array" ref="Z285">IF($I284="","",IF(AND(C285="Q",C284&lt;&gt;"Q"),IFERROR(XLOOKUP($B285,Lenso_Input!$A:$A,Lenso_Input!$I:$I,0),0),Z284+AT284))</f>
        <v/>
      </c>
      <c r="AA285" s="28" t="str">
        <f t="array" ref="AA285">IF($I284="","",IF(XLOOKUP($B285,Derived_Variables!$A:$A,Derived_Variables!$R:$R,"6/6_target")="6/6_target","20_20_20","40_30_25"))</f>
        <v/>
      </c>
      <c r="AB285" s="28" t="str">
        <f t="array" ref="AB285">IF($I284="","",XLOOKUP(LOWER(XLOOKUP($B285,Derived_Variables!$A:$A,Derived_Variables!$T:$T,"Standard"))&amp;"_sph_step",Calibration!$B:$B,Calibration!$C:$C,0.25))</f>
        <v/>
      </c>
      <c r="AC285" s="28" t="str">
        <f t="array" ref="AC285">IF($I284="","",XLOOKUP(LOWER(XLOOKUP($B285,Derived_Variables!$A:$A,Derived_Variables!$T:$T,"Standard"))&amp;"_cyl_step",Calibration!$B:$B,Calibration!$C:$C,0.25))</f>
        <v/>
      </c>
      <c r="AD285" s="28" t="str">
        <f t="array" ref="AD285">IF($I284="","",IF(OR(C285="E",C285="H"),LET(startStep,XLOOKUP("axis_start_step",Calibration!$B:$B,Calibration!$C:$C,5),step1,XLOOKUP("axis_reversal_step_1",Calibration!$B:$B,Calibration!$C:$C,3),step2,XLOOKUP("axis_reversal_step_2",Calibration!$B:$B,Calibration!$C:$C,1),IF(OR(C284&lt;&gt;C285,AZ285="",AZ285="SAME",AZ285="CANT_TELL",I285="",I285="SAME",I285="CANT_TELL"),startStep,IF(OR(AND(AZ285="BETTER_1",I285="BETTER_2"),AND(AZ285="BETTER_2",I285="BETTER_1")),IF(AD284&gt;step1,step1,step2),AD284))),0))</f>
        <v/>
      </c>
      <c r="AE285" s="28" t="str">
        <f t="array" ref="AE285">IF($I284="","",XLOOKUP($B285,Derived_Variables!$A:$A,Derived_Variables!$AD:$AD,"No_Fog"))</f>
        <v/>
      </c>
      <c r="AF285" s="28" t="str">
        <f t="array" ref="AF285">IF($I284="","",XLOOKUP($B285,Derived_Variables!$A:$A,Derived_Variables!$AE:$AE,0))</f>
        <v/>
      </c>
      <c r="AG285" s="28" t="str">
        <f t="array" ref="AG285">IF($I284="","",XLOOKUP($B285,Derived_Variables!$A:$A,Derived_Variables!$AF:$AF,""))</f>
        <v/>
      </c>
      <c r="AH285" s="28" t="str">
        <f t="array" ref="AH285">IF($I284="","",XLOOKUP($B285,Derived_Variables!$A:$A,Derived_Variables!$AG:$AG,""))</f>
        <v/>
      </c>
      <c r="AI285" s="28" t="str">
        <f t="array" ref="AI285">IF($I284="","",XLOOKUP($B285,Derived_Variables!$A:$A,Derived_Variables!$AC:$AC,"Medium"))</f>
        <v/>
      </c>
      <c r="AJ285" s="28" t="str">
        <f t="array" ref="AJ285">IF($I284="","",XLOOKUP($B285,Derived_Variables!$A:$A,Derived_Variables!$Y:$Y,FALSE))</f>
        <v/>
      </c>
      <c r="AK285" s="28" t="str">
        <f t="array" ref="AK285">IF($I284="","",XLOOKUP($B285,Derived_Variables!$A:$A,Derived_Variables!$AA:$AA,"Normal"))</f>
        <v/>
      </c>
      <c r="AL285" s="28" t="str">
        <f t="array" ref="AL285">IF($I284="","",XLOOKUP($B285,Derived_Variables!$A:$A,Derived_Variables!$AB:$AB,"Normal"))</f>
        <v/>
      </c>
      <c r="AM285" s="28" t="str">
        <f t="array" ref="AM285">IF($I285="","",IFS(C285="B",IF(OR(I285="NOT_READABLE",I285="BLURRY"),-AB285,0),C285="G",IFS(I285="RED_CLEARER",XLOOKUP("duochrome_red_step",Calibration!$B:$B,Calibration!$C:$C,-0.25),I285="GREEN_CLEARER",XLOOKUP("duochrome_green_step",Calibration!$B:$B,Calibration!$C:$C,0.25),I285="EQUAL",IF(XLOOKUP($B285,Derived_Variables!$A:$A,Derived_Variables!$S:$S,"Neutral")="Undercorrect",XLOOKUP("undercorrect_step",Calibration!$B:$B,Calibration!$C:$C,0.25),IF(XLOOKUP($B285,Derived_Variables!$A:$A,Derived_Variables!$S:$S,"Neutral")="Overcorrect",-XLOOKUP("overcorrect_step",Calibration!$B:$B,Calibration!$C:$C,0.25),0)),TRUE,0),C285="K",IF(I285="TOP_CLEARER",XLOOKUP("bino_balance_step",Calibration!$B:$B,Calibration!$C:$C,0.25),0),TRUE,0))</f>
        <v/>
      </c>
      <c r="AN285" s="28" t="str">
        <f t="shared" si="10"/>
        <v/>
      </c>
      <c r="AO285" s="28" t="str">
        <f t="shared" si="11"/>
        <v/>
      </c>
      <c r="AP285" s="28" t="str">
        <f t="array" ref="AP285">IF($I285="","",IFS(C285="D",IF(OR(I285="NOT_READABLE",I285="BLURRY"),-AB285,0),C285="J",IFS(I285="RED_CLEARER",XLOOKUP("duochrome_red_step",Calibration!$B:$B,Calibration!$C:$C,-0.25),I285="GREEN_CLEARER",XLOOKUP("duochrome_green_step",Calibration!$B:$B,Calibration!$C:$C,0.25),I285="EQUAL",IF(XLOOKUP($B285,Derived_Variables!$A:$A,Derived_Variables!$S:$S,"Neutral")="Undercorrect",XLOOKUP("undercorrect_step",Calibration!$B:$B,Calibration!$C:$C,0.25),IF(XLOOKUP($B285,Derived_Variables!$A:$A,Derived_Variables!$S:$S,"Neutral")="Overcorrect",-XLOOKUP("overcorrect_step",Calibration!$B:$B,Calibration!$C:$C,0.25),0)),TRUE,0),C285="K",IF(I285="BOTTOM_CLEARER",XLOOKUP("bino_balance_step",Calibration!$B:$B,Calibration!$C:$C,0.25),0),TRUE,0))</f>
        <v/>
      </c>
      <c r="AQ285" s="28" t="str">
        <f t="shared" si="12"/>
        <v/>
      </c>
      <c r="AR285" s="28" t="str">
        <f t="shared" si="13"/>
        <v/>
      </c>
      <c r="AS285" s="28" t="str">
        <f t="array" ref="AS285">IF($I285="","",IF(C285="P",IF(OR(I285="NOT_READABLE",I285="BLURRY"),XLOOKUP("near_add_step",Calibration!$B:$B,Calibration!$C:$C,0.25),0),IF(C285="R",IF(I285="NOT_CLEAR",XLOOKUP("near_add_step",Calibration!$B:$B,Calibration!$C:$C,0.25),0),0)))</f>
        <v/>
      </c>
      <c r="AT285" s="28" t="str">
        <f t="array" ref="AT285">IF($I285="","",IF(C285="Q",IF(OR(I285="NOT_READABLE",I285="BLURRY"),XLOOKUP("near_add_step",Calibration!$B:$B,Calibration!$C:$C,0.25),0),IF(C285="R",IF(I285="NOT_CLEAR",XLOOKUP("near_add_step",Calibration!$B:$B,Calibration!$C:$C,0.25),0),0)))</f>
        <v/>
      </c>
      <c r="AU285" s="28" t="str">
        <f t="array" ref="AU285">IF($I285="","",IF(G285="SNELLEN_FEET",IF(I285="READABLE",IFERROR(XLOOKUP(XLOOKUP(R285,Chart_Scale_Distance!B:B,Chart_Scale_Distance!A:A)+1,Chart_Scale_Distance!A:A,Chart_Scale_Distance!B:B),R285),R285),R285))</f>
        <v/>
      </c>
      <c r="AV285" s="28" t="str">
        <f t="array" ref="AV285">IF($I284="","",IFERROR(XLOOKUP(R285,Chart_Scale_Distance!$B:$B,Chart_Scale_Distance!$A:$A,""),""))</f>
        <v/>
      </c>
      <c r="AW285" s="28" t="str">
        <f t="array" ref="AW285">IF($I284="","",IFERROR(XLOOKUP(AA285,Chart_Scale_Distance!$B:$B,Chart_Scale_Distance!$A:$A,""),""))</f>
        <v/>
      </c>
      <c r="AX285" s="28" t="str">
        <f t="shared" si="14"/>
        <v/>
      </c>
      <c r="AY285" s="28" t="str">
        <f t="shared" si="15"/>
        <v/>
      </c>
      <c r="AZ285" s="28" t="str">
        <f t="shared" si="16"/>
        <v/>
      </c>
      <c r="BA285" s="28" t="str">
        <f t="shared" si="17"/>
        <v/>
      </c>
      <c r="BB285" s="28" t="str">
        <f t="shared" si="18"/>
        <v/>
      </c>
      <c r="BC285" s="28" t="str">
        <f t="array" ref="BC285">IF($I285="","",LET(
conf,AI285,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duoMax,XLOOKUP($B285,Derived_Variables!$A:$A,Derived_Variables!$AI:$AI,4),
axisTol,XLOOKUP($B285,Derived_Variables!$A:$A,Derived_Variables!$W:$W,1),
maxStart,XLOOKUP($B285,Derived_Variables!$A:$A,Derived_Variables!$U:$U,1.25),
maxAR,XLOOKUP($B285,Derived_Variables!$A:$A,Derived_Variables!$V:$V,3),
anom,XLOOKUP($B285,Derived_Variables!$A:$A,Derived_Variables!$Z:$Z,FALSE),
reStart,XLOOKUP($B285,Derived_Variables!$A:$A,Derived_Variables!$K:$K,0),
leStart,XLOOKUP($B285,Derived_Variables!$A:$A,Derived_Variables!$N:$N,0),
reAR,XLOOKUP($B285,AR_Input!$A:$A,AR_Input!$B:$B,reStart),
leAR,XLOOKUP($B285,AR_Input!$A:$A,AR_Input!$E:$E,leStart),
reEsc,AND(anom,OR(ABS((S285+AM285)-reStart)&gt;maxStart,ABS((S285+AM285)-reAR)&gt;maxAR)),
leEsc,AND(anom,OR(ABS((V285+AP285)-leStart)&gt;maxStart,ABS((V285+AP285)-leAR)&gt;maxAR)),
phaseMax,IFS(
 AK285="Fast",
   IFS(
     OR(C285="B",C285="D"),XLOOKUP("timeout_coarse_fast",Calibration!$B:$B,Calibration!$C:$C,24),
     OR(C285="E",C285="F",C285="H",C285="I"),XLOOKUP("timeout_jcc_fast",Calibration!$B:$B,Calibration!$C:$C,10),
     OR(C285="G",C285="J"),XLOOKUP("timeout_duochrome_fast",Calibration!$B:$B,Calibration!$C:$C,8),
     C285="K",XLOOKUP("timeout_bino_fast",Calibration!$B:$B,Calibration!$C:$C,10),
     OR(C285="P",C285="Q",C285="R"),XLOOKUP("timeout_near_fast",Calibration!$B:$B,Calibration!$C:$C,16),
     TRUE,XLOOKUP("timeout_coarse_fast",Calibration!$B:$B,Calibration!$C:$C,24)
   ),
 AK285="Normal",
   IFS(
     OR(C285="B",C285="D"),XLOOKUP("timeout_coarse_normal",Calibration!$B:$B,Calibration!$C:$C,36),
     OR(C285="E",C285="F",C285="H",C285="I"),XLOOKUP("timeout_jcc_normal",Calibration!$B:$B,Calibration!$C:$C,14),
     OR(C285="G",C285="J"),XLOOKUP("timeout_duochrome_normal",Calibration!$B:$B,Calibration!$C:$C,10),
     C285="K",XLOOKUP("timeout_bino_normal",Calibration!$B:$B,Calibration!$C:$C,14),
     OR(C285="P",C285="Q",C285="R"),XLOOKUP("timeout_near_normal",Calibration!$B:$B,Calibration!$C:$C,22),
     TRUE,XLOOKUP("timeout_coarse_normal",Calibration!$B:$B,Calibration!$C:$C,36)
   ),
 TRUE,
   IFS(
     OR(C285="B",C285="D"),XLOOKUP("timeout_coarse_slow",Calibration!$B:$B,Calibration!$C:$C,48),
     OR(C285="E",C285="F",C285="H",C285="I"),XLOOKUP("timeout_jcc_slow",Calibration!$B:$B,Calibration!$C:$C,18),
     OR(C285="G",C285="J"),XLOOKUP("timeout_duochrome_slow",Calibration!$B:$B,Calibration!$C:$C,12),
     C285="K",XLOOKUP("timeout_bino_slow",Calibration!$B:$B,Calibration!$C:$C,18),
     OR(C285="P",C285="Q",C285="R"),XLOOKUP("timeout_near_slow",Calibration!$B:$B,Calibration!$C:$C,28),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AJ285=TRUE,"ESCALATE",
C285="A",
IF(OR(I285="NOT_READABLE",I285="BLURRY",AND(R285="20_20_20",I285="READABLE")),"B","A"),
C285="B",
IF(reEsc,"ESCALATE",IF(AY285&gt;=phaseMax,"ESCALATE",IF(AND(AV285&gt;=AW285,I285="READABLE"),"E","B"))),
C285="E",
IF(AY285&gt;=phaseMax,"ESCALATE",IF(OR(I285="SAME",I285="CANT_TELL",AD285&lt;axisTol),"F","E")),
C285="F",
IF(AY285&gt;=phaseMax,"ESCALATE",IF(AX285&gt;=powerSameN,"G","F")),
C285="G",
IF(AY285&gt;=phaseMax,"ESCALATE",IF(OR(AX285&gt;=duoEqualN,BB285&gt;=duoMax),"D","G")),
C285="D",
IF(leEsc,"ESCALATE",IF(AY285&gt;=phaseMax,"ESCALATE",IF(AND(AV285&gt;=AW285,I285="READABLE"),"H","D"))),
C285="H",
IF(AY285&gt;=phaseMax,"ESCALATE",IF(OR(I285="SAME",I285="CANT_TELL",AD285&lt;axisTol),"I","H")),
C285="I",
IF(AY285&gt;=phaseMax,"ESCALATE",IF(AX285&gt;=powerSameN,"J","I")),
C285="J",
IF(AY285&gt;=phaseMax,"ESCALATE",IF(OR(AX285&gt;=duoEqualN,BB285&gt;=duoMax),"K","J")),
C285="K",
IF(AY285&gt;=phaseMax,"ESCALATE",IF(AX285&gt;=binoSameN,IF(XLOOKUP($B285,Derived_Variables!$A:$A,Derived_Variables!$AJ:$AJ,FALSE)=TRUE,"P","END"),"K")),
C285="P",
IF(AY285&gt;=phaseMax,"ESCALATE",IF(OR(I285="READABLE",I285="SAME"),"Q","P")),
C285="Q",
IF(AY285&gt;=phaseMax,"ESCALATE",IF(OR(I285="READABLE",I285="SAME"),"R","Q")),
C285="R",
IF(AY285&gt;=phaseMax,"ESCALATE",IF(OR(I285=nearTarget,I285="SAME"),"END","R")),
TRUE,"END"
)))</f>
        <v/>
      </c>
      <c r="BD285" s="28" t="b">
        <f t="shared" si="19"/>
        <v>0</v>
      </c>
    </row>
    <row r="286" ht="15.75" customHeight="1">
      <c r="A286" s="28">
        <f t="shared" si="3"/>
        <v>285</v>
      </c>
      <c r="B286" s="28">
        <f t="shared" si="4"/>
        <v>6</v>
      </c>
      <c r="C286" s="28" t="str">
        <f t="shared" si="5"/>
        <v/>
      </c>
      <c r="D286" s="28" t="str">
        <f t="array" ref="D286">IF($I285="","",XLOOKUP(C286,FSM_State_Map!A:A,FSM_State_Map!B:B,""))</f>
        <v/>
      </c>
      <c r="E286" s="28" t="str">
        <f t="array" ref="E286">IF($I285="","",XLOOKUP(C286,FSM_State_Map!A:A,FSM_State_Map!C:C,""))</f>
        <v/>
      </c>
      <c r="F286" s="28" t="str">
        <f t="array" ref="F286">IF($I285="","",XLOOKUP(E286,Phase_UI_Map!A:A,Phase_UI_Map!B:B,""))</f>
        <v/>
      </c>
      <c r="G286" s="28" t="str">
        <f t="array" ref="G286">IF($I285="","",XLOOKUP(E286,Phase_UI_Map!A:A,Phase_UI_Map!C:C,""))</f>
        <v/>
      </c>
      <c r="H286" s="28" t="str">
        <f t="array" ref="H286">IF($I285="","",XLOOKUP(E286,Phase_UI_Map!A:A,Phase_UI_Map!D:D,""))</f>
        <v/>
      </c>
      <c r="I286" s="29"/>
      <c r="J286" s="28" t="str">
        <f>IFERROR(__xludf.DUMMYFUNCTION("IF($I285="""","""",IFERROR(INDEX(FILTER(Response_Lists!$B:$B,Response_Lists!$A:$A=$H286),1),""""))"),"")</f>
        <v/>
      </c>
      <c r="K286" s="28" t="str">
        <f>IFERROR(__xludf.DUMMYFUNCTION("IF($I285="""","""",IFERROR(INDEX(FILTER(Response_Lists!$B:$B,Response_Lists!$A:$A=$H286),2),""""))"),"")</f>
        <v/>
      </c>
      <c r="L286" s="28" t="str">
        <f>IFERROR(__xludf.DUMMYFUNCTION("IF($I285="""","""",IFERROR(INDEX(FILTER(Response_Lists!$B:$B,Response_Lists!$A:$A=$H286),3),""""))"),"")</f>
        <v/>
      </c>
      <c r="M286" s="28" t="str">
        <f>IFERROR(__xludf.DUMMYFUNCTION("IF($I285="""","""",IFERROR(INDEX(FILTER(Response_Lists!$B:$B,Response_Lists!$A:$A=$H286),4),""""))"),"")</f>
        <v/>
      </c>
      <c r="N286" s="28" t="str">
        <f>IFERROR(__xludf.DUMMYFUNCTION("IF($I285="""","""",IFERROR(INDEX(FILTER(Response_Lists!$B:$B,Response_Lists!$A:$A=$H286),5),""""))"),"")</f>
        <v/>
      </c>
      <c r="O286" s="28" t="str">
        <f>IFERROR(__xludf.DUMMYFUNCTION("IF($I285="""","""",IFERROR(INDEX(FILTER(Response_Lists!$B:$B,Response_Lists!$A:$A=$H286),6),""""))"),"")</f>
        <v/>
      </c>
      <c r="P286" s="28" t="str">
        <f t="shared" si="6"/>
        <v/>
      </c>
      <c r="Q286" s="28" t="str">
        <f t="array" ref="Q286">IF($I285="","",XLOOKUP(C286,FSM_State_Map!A:A,FSM_State_Map!D:D,""))</f>
        <v/>
      </c>
      <c r="R286" s="28" t="str">
        <f t="shared" si="7"/>
        <v/>
      </c>
      <c r="S286" s="28" t="str">
        <f t="array" ref="S286">IF($I285="","",
IF(
  AND(C286="B",C285&lt;&gt;"B"),
  XLOOKUP($B286,Derived_Variables!$A:$A,Derived_Variables!$K:$K,0)
  + XLOOKUP($B286,Derived_Variables!$A:$A,Derived_Variables!$AE:$AE,0),
  S285+AM285
))</f>
        <v/>
      </c>
      <c r="T286" s="28" t="str">
        <f t="shared" ref="T286:U286" si="582">IF($I285="","",T285+AN285)</f>
        <v/>
      </c>
      <c r="U286" s="28" t="str">
        <f t="shared" si="582"/>
        <v/>
      </c>
      <c r="V286" s="28" t="str">
        <f t="array" ref="V286">IF($I285="","",
IF(
  AND(C286="D",C285&lt;&gt;"D"),
  XLOOKUP($B286,Derived_Variables!$A:$A,Derived_Variables!$N:$N,0)
  + XLOOKUP($B286,Derived_Variables!$A:$A,Derived_Variables!$AE:$AE,0),
  V285+AP285
))</f>
        <v/>
      </c>
      <c r="W286" s="28" t="str">
        <f t="shared" ref="W286:X286" si="583">IF($I285="","",W285+AQ285)</f>
        <v/>
      </c>
      <c r="X286" s="28" t="str">
        <f t="shared" si="583"/>
        <v/>
      </c>
      <c r="Y286" s="28" t="str">
        <f t="array" ref="Y286">IF($I285="","",IF(AND(C286="P",C285&lt;&gt;"P"),IFERROR(XLOOKUP($B286,Lenso_Input!$A:$A,Lenso_Input!$E:$E,0),0),Y285+AS285))</f>
        <v/>
      </c>
      <c r="Z286" s="28" t="str">
        <f t="array" ref="Z286">IF($I285="","",IF(AND(C286="Q",C285&lt;&gt;"Q"),IFERROR(XLOOKUP($B286,Lenso_Input!$A:$A,Lenso_Input!$I:$I,0),0),Z285+AT285))</f>
        <v/>
      </c>
      <c r="AA286" s="28" t="str">
        <f t="array" ref="AA286">IF($I285="","",IF(XLOOKUP($B286,Derived_Variables!$A:$A,Derived_Variables!$R:$R,"6/6_target")="6/6_target","20_20_20","40_30_25"))</f>
        <v/>
      </c>
      <c r="AB286" s="28" t="str">
        <f t="array" ref="AB286">IF($I285="","",XLOOKUP(LOWER(XLOOKUP($B286,Derived_Variables!$A:$A,Derived_Variables!$T:$T,"Standard"))&amp;"_sph_step",Calibration!$B:$B,Calibration!$C:$C,0.25))</f>
        <v/>
      </c>
      <c r="AC286" s="28" t="str">
        <f t="array" ref="AC286">IF($I285="","",XLOOKUP(LOWER(XLOOKUP($B286,Derived_Variables!$A:$A,Derived_Variables!$T:$T,"Standard"))&amp;"_cyl_step",Calibration!$B:$B,Calibration!$C:$C,0.25))</f>
        <v/>
      </c>
      <c r="AD286" s="28" t="str">
        <f t="array" ref="AD286">IF($I285="","",IF(OR(C286="E",C286="H"),LET(startStep,XLOOKUP("axis_start_step",Calibration!$B:$B,Calibration!$C:$C,5),step1,XLOOKUP("axis_reversal_step_1",Calibration!$B:$B,Calibration!$C:$C,3),step2,XLOOKUP("axis_reversal_step_2",Calibration!$B:$B,Calibration!$C:$C,1),IF(OR(C285&lt;&gt;C286,AZ286="",AZ286="SAME",AZ286="CANT_TELL",I286="",I286="SAME",I286="CANT_TELL"),startStep,IF(OR(AND(AZ286="BETTER_1",I286="BETTER_2"),AND(AZ286="BETTER_2",I286="BETTER_1")),IF(AD285&gt;step1,step1,step2),AD285))),0))</f>
        <v/>
      </c>
      <c r="AE286" s="28" t="str">
        <f t="array" ref="AE286">IF($I285="","",XLOOKUP($B286,Derived_Variables!$A:$A,Derived_Variables!$AD:$AD,"No_Fog"))</f>
        <v/>
      </c>
      <c r="AF286" s="28" t="str">
        <f t="array" ref="AF286">IF($I285="","",XLOOKUP($B286,Derived_Variables!$A:$A,Derived_Variables!$AE:$AE,0))</f>
        <v/>
      </c>
      <c r="AG286" s="28" t="str">
        <f t="array" ref="AG286">IF($I285="","",XLOOKUP($B286,Derived_Variables!$A:$A,Derived_Variables!$AF:$AF,""))</f>
        <v/>
      </c>
      <c r="AH286" s="28" t="str">
        <f t="array" ref="AH286">IF($I285="","",XLOOKUP($B286,Derived_Variables!$A:$A,Derived_Variables!$AG:$AG,""))</f>
        <v/>
      </c>
      <c r="AI286" s="28" t="str">
        <f t="array" ref="AI286">IF($I285="","",XLOOKUP($B286,Derived_Variables!$A:$A,Derived_Variables!$AC:$AC,"Medium"))</f>
        <v/>
      </c>
      <c r="AJ286" s="28" t="str">
        <f t="array" ref="AJ286">IF($I285="","",XLOOKUP($B286,Derived_Variables!$A:$A,Derived_Variables!$Y:$Y,FALSE))</f>
        <v/>
      </c>
      <c r="AK286" s="28" t="str">
        <f t="array" ref="AK286">IF($I285="","",XLOOKUP($B286,Derived_Variables!$A:$A,Derived_Variables!$AA:$AA,"Normal"))</f>
        <v/>
      </c>
      <c r="AL286" s="28" t="str">
        <f t="array" ref="AL286">IF($I285="","",XLOOKUP($B286,Derived_Variables!$A:$A,Derived_Variables!$AB:$AB,"Normal"))</f>
        <v/>
      </c>
      <c r="AM286" s="28" t="str">
        <f t="array" ref="AM286">IF($I286="","",IFS(C286="B",IF(OR(I286="NOT_READABLE",I286="BLURRY"),-AB286,0),C286="G",IFS(I286="RED_CLEARER",XLOOKUP("duochrome_red_step",Calibration!$B:$B,Calibration!$C:$C,-0.25),I286="GREEN_CLEARER",XLOOKUP("duochrome_green_step",Calibration!$B:$B,Calibration!$C:$C,0.25),I286="EQUAL",IF(XLOOKUP($B286,Derived_Variables!$A:$A,Derived_Variables!$S:$S,"Neutral")="Undercorrect",XLOOKUP("undercorrect_step",Calibration!$B:$B,Calibration!$C:$C,0.25),IF(XLOOKUP($B286,Derived_Variables!$A:$A,Derived_Variables!$S:$S,"Neutral")="Overcorrect",-XLOOKUP("overcorrect_step",Calibration!$B:$B,Calibration!$C:$C,0.25),0)),TRUE,0),C286="K",IF(I286="TOP_CLEARER",XLOOKUP("bino_balance_step",Calibration!$B:$B,Calibration!$C:$C,0.25),0),TRUE,0))</f>
        <v/>
      </c>
      <c r="AN286" s="28" t="str">
        <f t="shared" si="10"/>
        <v/>
      </c>
      <c r="AO286" s="28" t="str">
        <f t="shared" si="11"/>
        <v/>
      </c>
      <c r="AP286" s="28" t="str">
        <f t="array" ref="AP286">IF($I286="","",IFS(C286="D",IF(OR(I286="NOT_READABLE",I286="BLURRY"),-AB286,0),C286="J",IFS(I286="RED_CLEARER",XLOOKUP("duochrome_red_step",Calibration!$B:$B,Calibration!$C:$C,-0.25),I286="GREEN_CLEARER",XLOOKUP("duochrome_green_step",Calibration!$B:$B,Calibration!$C:$C,0.25),I286="EQUAL",IF(XLOOKUP($B286,Derived_Variables!$A:$A,Derived_Variables!$S:$S,"Neutral")="Undercorrect",XLOOKUP("undercorrect_step",Calibration!$B:$B,Calibration!$C:$C,0.25),IF(XLOOKUP($B286,Derived_Variables!$A:$A,Derived_Variables!$S:$S,"Neutral")="Overcorrect",-XLOOKUP("overcorrect_step",Calibration!$B:$B,Calibration!$C:$C,0.25),0)),TRUE,0),C286="K",IF(I286="BOTTOM_CLEARER",XLOOKUP("bino_balance_step",Calibration!$B:$B,Calibration!$C:$C,0.25),0),TRUE,0))</f>
        <v/>
      </c>
      <c r="AQ286" s="28" t="str">
        <f t="shared" si="12"/>
        <v/>
      </c>
      <c r="AR286" s="28" t="str">
        <f t="shared" si="13"/>
        <v/>
      </c>
      <c r="AS286" s="28" t="str">
        <f t="array" ref="AS286">IF($I286="","",IF(C286="P",IF(OR(I286="NOT_READABLE",I286="BLURRY"),XLOOKUP("near_add_step",Calibration!$B:$B,Calibration!$C:$C,0.25),0),IF(C286="R",IF(I286="NOT_CLEAR",XLOOKUP("near_add_step",Calibration!$B:$B,Calibration!$C:$C,0.25),0),0)))</f>
        <v/>
      </c>
      <c r="AT286" s="28" t="str">
        <f t="array" ref="AT286">IF($I286="","",IF(C286="Q",IF(OR(I286="NOT_READABLE",I286="BLURRY"),XLOOKUP("near_add_step",Calibration!$B:$B,Calibration!$C:$C,0.25),0),IF(C286="R",IF(I286="NOT_CLEAR",XLOOKUP("near_add_step",Calibration!$B:$B,Calibration!$C:$C,0.25),0),0)))</f>
        <v/>
      </c>
      <c r="AU286" s="28" t="str">
        <f t="array" ref="AU286">IF($I286="","",IF(G286="SNELLEN_FEET",IF(I286="READABLE",IFERROR(XLOOKUP(XLOOKUP(R286,Chart_Scale_Distance!B:B,Chart_Scale_Distance!A:A)+1,Chart_Scale_Distance!A:A,Chart_Scale_Distance!B:B),R286),R286),R286))</f>
        <v/>
      </c>
      <c r="AV286" s="28" t="str">
        <f t="array" ref="AV286">IF($I285="","",IFERROR(XLOOKUP(R286,Chart_Scale_Distance!$B:$B,Chart_Scale_Distance!$A:$A,""),""))</f>
        <v/>
      </c>
      <c r="AW286" s="28" t="str">
        <f t="array" ref="AW286">IF($I285="","",IFERROR(XLOOKUP(AA286,Chart_Scale_Distance!$B:$B,Chart_Scale_Distance!$A:$A,""),""))</f>
        <v/>
      </c>
      <c r="AX286" s="28" t="str">
        <f t="shared" si="14"/>
        <v/>
      </c>
      <c r="AY286" s="28" t="str">
        <f t="shared" si="15"/>
        <v/>
      </c>
      <c r="AZ286" s="28" t="str">
        <f t="shared" si="16"/>
        <v/>
      </c>
      <c r="BA286" s="28" t="str">
        <f t="shared" si="17"/>
        <v/>
      </c>
      <c r="BB286" s="28" t="str">
        <f t="shared" si="18"/>
        <v/>
      </c>
      <c r="BC286" s="28" t="str">
        <f t="array" ref="BC286">IF($I286="","",LET(
conf,AI286,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duoMax,XLOOKUP($B286,Derived_Variables!$A:$A,Derived_Variables!$AI:$AI,4),
axisTol,XLOOKUP($B286,Derived_Variables!$A:$A,Derived_Variables!$W:$W,1),
maxStart,XLOOKUP($B286,Derived_Variables!$A:$A,Derived_Variables!$U:$U,1.25),
maxAR,XLOOKUP($B286,Derived_Variables!$A:$A,Derived_Variables!$V:$V,3),
anom,XLOOKUP($B286,Derived_Variables!$A:$A,Derived_Variables!$Z:$Z,FALSE),
reStart,XLOOKUP($B286,Derived_Variables!$A:$A,Derived_Variables!$K:$K,0),
leStart,XLOOKUP($B286,Derived_Variables!$A:$A,Derived_Variables!$N:$N,0),
reAR,XLOOKUP($B286,AR_Input!$A:$A,AR_Input!$B:$B,reStart),
leAR,XLOOKUP($B286,AR_Input!$A:$A,AR_Input!$E:$E,leStart),
reEsc,AND(anom,OR(ABS((S286+AM286)-reStart)&gt;maxStart,ABS((S286+AM286)-reAR)&gt;maxAR)),
leEsc,AND(anom,OR(ABS((V286+AP286)-leStart)&gt;maxStart,ABS((V286+AP286)-leAR)&gt;maxAR)),
phaseMax,IFS(
 AK286="Fast",
   IFS(
     OR(C286="B",C286="D"),XLOOKUP("timeout_coarse_fast",Calibration!$B:$B,Calibration!$C:$C,24),
     OR(C286="E",C286="F",C286="H",C286="I"),XLOOKUP("timeout_jcc_fast",Calibration!$B:$B,Calibration!$C:$C,10),
     OR(C286="G",C286="J"),XLOOKUP("timeout_duochrome_fast",Calibration!$B:$B,Calibration!$C:$C,8),
     C286="K",XLOOKUP("timeout_bino_fast",Calibration!$B:$B,Calibration!$C:$C,10),
     OR(C286="P",C286="Q",C286="R"),XLOOKUP("timeout_near_fast",Calibration!$B:$B,Calibration!$C:$C,16),
     TRUE,XLOOKUP("timeout_coarse_fast",Calibration!$B:$B,Calibration!$C:$C,24)
   ),
 AK286="Normal",
   IFS(
     OR(C286="B",C286="D"),XLOOKUP("timeout_coarse_normal",Calibration!$B:$B,Calibration!$C:$C,36),
     OR(C286="E",C286="F",C286="H",C286="I"),XLOOKUP("timeout_jcc_normal",Calibration!$B:$B,Calibration!$C:$C,14),
     OR(C286="G",C286="J"),XLOOKUP("timeout_duochrome_normal",Calibration!$B:$B,Calibration!$C:$C,10),
     C286="K",XLOOKUP("timeout_bino_normal",Calibration!$B:$B,Calibration!$C:$C,14),
     OR(C286="P",C286="Q",C286="R"),XLOOKUP("timeout_near_normal",Calibration!$B:$B,Calibration!$C:$C,22),
     TRUE,XLOOKUP("timeout_coarse_normal",Calibration!$B:$B,Calibration!$C:$C,36)
   ),
 TRUE,
   IFS(
     OR(C286="B",C286="D"),XLOOKUP("timeout_coarse_slow",Calibration!$B:$B,Calibration!$C:$C,48),
     OR(C286="E",C286="F",C286="H",C286="I"),XLOOKUP("timeout_jcc_slow",Calibration!$B:$B,Calibration!$C:$C,18),
     OR(C286="G",C286="J"),XLOOKUP("timeout_duochrome_slow",Calibration!$B:$B,Calibration!$C:$C,12),
     C286="K",XLOOKUP("timeout_bino_slow",Calibration!$B:$B,Calibration!$C:$C,18),
     OR(C286="P",C286="Q",C286="R"),XLOOKUP("timeout_near_slow",Calibration!$B:$B,Calibration!$C:$C,28),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AJ286=TRUE,"ESCALATE",
C286="A",
IF(OR(I286="NOT_READABLE",I286="BLURRY",AND(R286="20_20_20",I286="READABLE")),"B","A"),
C286="B",
IF(reEsc,"ESCALATE",IF(AY286&gt;=phaseMax,"ESCALATE",IF(AND(AV286&gt;=AW286,I286="READABLE"),"E","B"))),
C286="E",
IF(AY286&gt;=phaseMax,"ESCALATE",IF(OR(I286="SAME",I286="CANT_TELL",AD286&lt;axisTol),"F","E")),
C286="F",
IF(AY286&gt;=phaseMax,"ESCALATE",IF(AX286&gt;=powerSameN,"G","F")),
C286="G",
IF(AY286&gt;=phaseMax,"ESCALATE",IF(OR(AX286&gt;=duoEqualN,BB286&gt;=duoMax),"D","G")),
C286="D",
IF(leEsc,"ESCALATE",IF(AY286&gt;=phaseMax,"ESCALATE",IF(AND(AV286&gt;=AW286,I286="READABLE"),"H","D"))),
C286="H",
IF(AY286&gt;=phaseMax,"ESCALATE",IF(OR(I286="SAME",I286="CANT_TELL",AD286&lt;axisTol),"I","H")),
C286="I",
IF(AY286&gt;=phaseMax,"ESCALATE",IF(AX286&gt;=powerSameN,"J","I")),
C286="J",
IF(AY286&gt;=phaseMax,"ESCALATE",IF(OR(AX286&gt;=duoEqualN,BB286&gt;=duoMax),"K","J")),
C286="K",
IF(AY286&gt;=phaseMax,"ESCALATE",IF(AX286&gt;=binoSameN,IF(XLOOKUP($B286,Derived_Variables!$A:$A,Derived_Variables!$AJ:$AJ,FALSE)=TRUE,"P","END"),"K")),
C286="P",
IF(AY286&gt;=phaseMax,"ESCALATE",IF(OR(I286="READABLE",I286="SAME"),"Q","P")),
C286="Q",
IF(AY286&gt;=phaseMax,"ESCALATE",IF(OR(I286="READABLE",I286="SAME"),"R","Q")),
C286="R",
IF(AY286&gt;=phaseMax,"ESCALATE",IF(OR(I286=nearTarget,I286="SAME"),"END","R")),
TRUE,"END"
)))</f>
        <v/>
      </c>
      <c r="BD286" s="28" t="b">
        <f t="shared" si="19"/>
        <v>0</v>
      </c>
    </row>
    <row r="287" ht="15.75" customHeight="1">
      <c r="A287" s="28">
        <f t="shared" si="3"/>
        <v>286</v>
      </c>
      <c r="B287" s="28">
        <f t="shared" si="4"/>
        <v>6</v>
      </c>
      <c r="C287" s="28" t="str">
        <f t="shared" si="5"/>
        <v/>
      </c>
      <c r="D287" s="28" t="str">
        <f t="array" ref="D287">IF($I286="","",XLOOKUP(C287,FSM_State_Map!A:A,FSM_State_Map!B:B,""))</f>
        <v/>
      </c>
      <c r="E287" s="28" t="str">
        <f t="array" ref="E287">IF($I286="","",XLOOKUP(C287,FSM_State_Map!A:A,FSM_State_Map!C:C,""))</f>
        <v/>
      </c>
      <c r="F287" s="28" t="str">
        <f t="array" ref="F287">IF($I286="","",XLOOKUP(E287,Phase_UI_Map!A:A,Phase_UI_Map!B:B,""))</f>
        <v/>
      </c>
      <c r="G287" s="28" t="str">
        <f t="array" ref="G287">IF($I286="","",XLOOKUP(E287,Phase_UI_Map!A:A,Phase_UI_Map!C:C,""))</f>
        <v/>
      </c>
      <c r="H287" s="28" t="str">
        <f t="array" ref="H287">IF($I286="","",XLOOKUP(E287,Phase_UI_Map!A:A,Phase_UI_Map!D:D,""))</f>
        <v/>
      </c>
      <c r="I287" s="29"/>
      <c r="J287" s="28" t="str">
        <f>IFERROR(__xludf.DUMMYFUNCTION("IF($I286="""","""",IFERROR(INDEX(FILTER(Response_Lists!$B:$B,Response_Lists!$A:$A=$H287),1),""""))"),"")</f>
        <v/>
      </c>
      <c r="K287" s="28" t="str">
        <f>IFERROR(__xludf.DUMMYFUNCTION("IF($I286="""","""",IFERROR(INDEX(FILTER(Response_Lists!$B:$B,Response_Lists!$A:$A=$H287),2),""""))"),"")</f>
        <v/>
      </c>
      <c r="L287" s="28" t="str">
        <f>IFERROR(__xludf.DUMMYFUNCTION("IF($I286="""","""",IFERROR(INDEX(FILTER(Response_Lists!$B:$B,Response_Lists!$A:$A=$H287),3),""""))"),"")</f>
        <v/>
      </c>
      <c r="M287" s="28" t="str">
        <f>IFERROR(__xludf.DUMMYFUNCTION("IF($I286="""","""",IFERROR(INDEX(FILTER(Response_Lists!$B:$B,Response_Lists!$A:$A=$H287),4),""""))"),"")</f>
        <v/>
      </c>
      <c r="N287" s="28" t="str">
        <f>IFERROR(__xludf.DUMMYFUNCTION("IF($I286="""","""",IFERROR(INDEX(FILTER(Response_Lists!$B:$B,Response_Lists!$A:$A=$H287),5),""""))"),"")</f>
        <v/>
      </c>
      <c r="O287" s="28" t="str">
        <f>IFERROR(__xludf.DUMMYFUNCTION("IF($I286="""","""",IFERROR(INDEX(FILTER(Response_Lists!$B:$B,Response_Lists!$A:$A=$H287),6),""""))"),"")</f>
        <v/>
      </c>
      <c r="P287" s="28" t="str">
        <f t="shared" si="6"/>
        <v/>
      </c>
      <c r="Q287" s="28" t="str">
        <f t="array" ref="Q287">IF($I286="","",XLOOKUP(C287,FSM_State_Map!A:A,FSM_State_Map!D:D,""))</f>
        <v/>
      </c>
      <c r="R287" s="28" t="str">
        <f t="shared" si="7"/>
        <v/>
      </c>
      <c r="S287" s="28" t="str">
        <f t="array" ref="S287">IF($I286="","",
IF(
  AND(C287="B",C286&lt;&gt;"B"),
  XLOOKUP($B287,Derived_Variables!$A:$A,Derived_Variables!$K:$K,0)
  + XLOOKUP($B287,Derived_Variables!$A:$A,Derived_Variables!$AE:$AE,0),
  S286+AM286
))</f>
        <v/>
      </c>
      <c r="T287" s="28" t="str">
        <f t="shared" ref="T287:U287" si="584">IF($I286="","",T286+AN286)</f>
        <v/>
      </c>
      <c r="U287" s="28" t="str">
        <f t="shared" si="584"/>
        <v/>
      </c>
      <c r="V287" s="28" t="str">
        <f t="array" ref="V287">IF($I286="","",
IF(
  AND(C287="D",C286&lt;&gt;"D"),
  XLOOKUP($B287,Derived_Variables!$A:$A,Derived_Variables!$N:$N,0)
  + XLOOKUP($B287,Derived_Variables!$A:$A,Derived_Variables!$AE:$AE,0),
  V286+AP286
))</f>
        <v/>
      </c>
      <c r="W287" s="28" t="str">
        <f t="shared" ref="W287:X287" si="585">IF($I286="","",W286+AQ286)</f>
        <v/>
      </c>
      <c r="X287" s="28" t="str">
        <f t="shared" si="585"/>
        <v/>
      </c>
      <c r="Y287" s="28" t="str">
        <f t="array" ref="Y287">IF($I286="","",IF(AND(C287="P",C286&lt;&gt;"P"),IFERROR(XLOOKUP($B287,Lenso_Input!$A:$A,Lenso_Input!$E:$E,0),0),Y286+AS286))</f>
        <v/>
      </c>
      <c r="Z287" s="28" t="str">
        <f t="array" ref="Z287">IF($I286="","",IF(AND(C287="Q",C286&lt;&gt;"Q"),IFERROR(XLOOKUP($B287,Lenso_Input!$A:$A,Lenso_Input!$I:$I,0),0),Z286+AT286))</f>
        <v/>
      </c>
      <c r="AA287" s="28" t="str">
        <f t="array" ref="AA287">IF($I286="","",IF(XLOOKUP($B287,Derived_Variables!$A:$A,Derived_Variables!$R:$R,"6/6_target")="6/6_target","20_20_20","40_30_25"))</f>
        <v/>
      </c>
      <c r="AB287" s="28" t="str">
        <f t="array" ref="AB287">IF($I286="","",XLOOKUP(LOWER(XLOOKUP($B287,Derived_Variables!$A:$A,Derived_Variables!$T:$T,"Standard"))&amp;"_sph_step",Calibration!$B:$B,Calibration!$C:$C,0.25))</f>
        <v/>
      </c>
      <c r="AC287" s="28" t="str">
        <f t="array" ref="AC287">IF($I286="","",XLOOKUP(LOWER(XLOOKUP($B287,Derived_Variables!$A:$A,Derived_Variables!$T:$T,"Standard"))&amp;"_cyl_step",Calibration!$B:$B,Calibration!$C:$C,0.25))</f>
        <v/>
      </c>
      <c r="AD287" s="28" t="str">
        <f t="array" ref="AD287">IF($I286="","",IF(OR(C287="E",C287="H"),LET(startStep,XLOOKUP("axis_start_step",Calibration!$B:$B,Calibration!$C:$C,5),step1,XLOOKUP("axis_reversal_step_1",Calibration!$B:$B,Calibration!$C:$C,3),step2,XLOOKUP("axis_reversal_step_2",Calibration!$B:$B,Calibration!$C:$C,1),IF(OR(C286&lt;&gt;C287,AZ287="",AZ287="SAME",AZ287="CANT_TELL",I287="",I287="SAME",I287="CANT_TELL"),startStep,IF(OR(AND(AZ287="BETTER_1",I287="BETTER_2"),AND(AZ287="BETTER_2",I287="BETTER_1")),IF(AD286&gt;step1,step1,step2),AD286))),0))</f>
        <v/>
      </c>
      <c r="AE287" s="28" t="str">
        <f t="array" ref="AE287">IF($I286="","",XLOOKUP($B287,Derived_Variables!$A:$A,Derived_Variables!$AD:$AD,"No_Fog"))</f>
        <v/>
      </c>
      <c r="AF287" s="28" t="str">
        <f t="array" ref="AF287">IF($I286="","",XLOOKUP($B287,Derived_Variables!$A:$A,Derived_Variables!$AE:$AE,0))</f>
        <v/>
      </c>
      <c r="AG287" s="28" t="str">
        <f t="array" ref="AG287">IF($I286="","",XLOOKUP($B287,Derived_Variables!$A:$A,Derived_Variables!$AF:$AF,""))</f>
        <v/>
      </c>
      <c r="AH287" s="28" t="str">
        <f t="array" ref="AH287">IF($I286="","",XLOOKUP($B287,Derived_Variables!$A:$A,Derived_Variables!$AG:$AG,""))</f>
        <v/>
      </c>
      <c r="AI287" s="28" t="str">
        <f t="array" ref="AI287">IF($I286="","",XLOOKUP($B287,Derived_Variables!$A:$A,Derived_Variables!$AC:$AC,"Medium"))</f>
        <v/>
      </c>
      <c r="AJ287" s="28" t="str">
        <f t="array" ref="AJ287">IF($I286="","",XLOOKUP($B287,Derived_Variables!$A:$A,Derived_Variables!$Y:$Y,FALSE))</f>
        <v/>
      </c>
      <c r="AK287" s="28" t="str">
        <f t="array" ref="AK287">IF($I286="","",XLOOKUP($B287,Derived_Variables!$A:$A,Derived_Variables!$AA:$AA,"Normal"))</f>
        <v/>
      </c>
      <c r="AL287" s="28" t="str">
        <f t="array" ref="AL287">IF($I286="","",XLOOKUP($B287,Derived_Variables!$A:$A,Derived_Variables!$AB:$AB,"Normal"))</f>
        <v/>
      </c>
      <c r="AM287" s="28" t="str">
        <f t="array" ref="AM287">IF($I287="","",IFS(C287="B",IF(OR(I287="NOT_READABLE",I287="BLURRY"),-AB287,0),C287="G",IFS(I287="RED_CLEARER",XLOOKUP("duochrome_red_step",Calibration!$B:$B,Calibration!$C:$C,-0.25),I287="GREEN_CLEARER",XLOOKUP("duochrome_green_step",Calibration!$B:$B,Calibration!$C:$C,0.25),I287="EQUAL",IF(XLOOKUP($B287,Derived_Variables!$A:$A,Derived_Variables!$S:$S,"Neutral")="Undercorrect",XLOOKUP("undercorrect_step",Calibration!$B:$B,Calibration!$C:$C,0.25),IF(XLOOKUP($B287,Derived_Variables!$A:$A,Derived_Variables!$S:$S,"Neutral")="Overcorrect",-XLOOKUP("overcorrect_step",Calibration!$B:$B,Calibration!$C:$C,0.25),0)),TRUE,0),C287="K",IF(I287="TOP_CLEARER",XLOOKUP("bino_balance_step",Calibration!$B:$B,Calibration!$C:$C,0.25),0),TRUE,0))</f>
        <v/>
      </c>
      <c r="AN287" s="28" t="str">
        <f t="shared" si="10"/>
        <v/>
      </c>
      <c r="AO287" s="28" t="str">
        <f t="shared" si="11"/>
        <v/>
      </c>
      <c r="AP287" s="28" t="str">
        <f t="array" ref="AP287">IF($I287="","",IFS(C287="D",IF(OR(I287="NOT_READABLE",I287="BLURRY"),-AB287,0),C287="J",IFS(I287="RED_CLEARER",XLOOKUP("duochrome_red_step",Calibration!$B:$B,Calibration!$C:$C,-0.25),I287="GREEN_CLEARER",XLOOKUP("duochrome_green_step",Calibration!$B:$B,Calibration!$C:$C,0.25),I287="EQUAL",IF(XLOOKUP($B287,Derived_Variables!$A:$A,Derived_Variables!$S:$S,"Neutral")="Undercorrect",XLOOKUP("undercorrect_step",Calibration!$B:$B,Calibration!$C:$C,0.25),IF(XLOOKUP($B287,Derived_Variables!$A:$A,Derived_Variables!$S:$S,"Neutral")="Overcorrect",-XLOOKUP("overcorrect_step",Calibration!$B:$B,Calibration!$C:$C,0.25),0)),TRUE,0),C287="K",IF(I287="BOTTOM_CLEARER",XLOOKUP("bino_balance_step",Calibration!$B:$B,Calibration!$C:$C,0.25),0),TRUE,0))</f>
        <v/>
      </c>
      <c r="AQ287" s="28" t="str">
        <f t="shared" si="12"/>
        <v/>
      </c>
      <c r="AR287" s="28" t="str">
        <f t="shared" si="13"/>
        <v/>
      </c>
      <c r="AS287" s="28" t="str">
        <f t="array" ref="AS287">IF($I287="","",IF(C287="P",IF(OR(I287="NOT_READABLE",I287="BLURRY"),XLOOKUP("near_add_step",Calibration!$B:$B,Calibration!$C:$C,0.25),0),IF(C287="R",IF(I287="NOT_CLEAR",XLOOKUP("near_add_step",Calibration!$B:$B,Calibration!$C:$C,0.25),0),0)))</f>
        <v/>
      </c>
      <c r="AT287" s="28" t="str">
        <f t="array" ref="AT287">IF($I287="","",IF(C287="Q",IF(OR(I287="NOT_READABLE",I287="BLURRY"),XLOOKUP("near_add_step",Calibration!$B:$B,Calibration!$C:$C,0.25),0),IF(C287="R",IF(I287="NOT_CLEAR",XLOOKUP("near_add_step",Calibration!$B:$B,Calibration!$C:$C,0.25),0),0)))</f>
        <v/>
      </c>
      <c r="AU287" s="28" t="str">
        <f t="array" ref="AU287">IF($I287="","",IF(G287="SNELLEN_FEET",IF(I287="READABLE",IFERROR(XLOOKUP(XLOOKUP(R287,Chart_Scale_Distance!B:B,Chart_Scale_Distance!A:A)+1,Chart_Scale_Distance!A:A,Chart_Scale_Distance!B:B),R287),R287),R287))</f>
        <v/>
      </c>
      <c r="AV287" s="28" t="str">
        <f t="array" ref="AV287">IF($I286="","",IFERROR(XLOOKUP(R287,Chart_Scale_Distance!$B:$B,Chart_Scale_Distance!$A:$A,""),""))</f>
        <v/>
      </c>
      <c r="AW287" s="28" t="str">
        <f t="array" ref="AW287">IF($I286="","",IFERROR(XLOOKUP(AA287,Chart_Scale_Distance!$B:$B,Chart_Scale_Distance!$A:$A,""),""))</f>
        <v/>
      </c>
      <c r="AX287" s="28" t="str">
        <f t="shared" si="14"/>
        <v/>
      </c>
      <c r="AY287" s="28" t="str">
        <f t="shared" si="15"/>
        <v/>
      </c>
      <c r="AZ287" s="28" t="str">
        <f t="shared" si="16"/>
        <v/>
      </c>
      <c r="BA287" s="28" t="str">
        <f t="shared" si="17"/>
        <v/>
      </c>
      <c r="BB287" s="28" t="str">
        <f t="shared" si="18"/>
        <v/>
      </c>
      <c r="BC287" s="28" t="str">
        <f t="array" ref="BC287">IF($I287="","",LET(
conf,AI287,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duoMax,XLOOKUP($B287,Derived_Variables!$A:$A,Derived_Variables!$AI:$AI,4),
axisTol,XLOOKUP($B287,Derived_Variables!$A:$A,Derived_Variables!$W:$W,1),
maxStart,XLOOKUP($B287,Derived_Variables!$A:$A,Derived_Variables!$U:$U,1.25),
maxAR,XLOOKUP($B287,Derived_Variables!$A:$A,Derived_Variables!$V:$V,3),
anom,XLOOKUP($B287,Derived_Variables!$A:$A,Derived_Variables!$Z:$Z,FALSE),
reStart,XLOOKUP($B287,Derived_Variables!$A:$A,Derived_Variables!$K:$K,0),
leStart,XLOOKUP($B287,Derived_Variables!$A:$A,Derived_Variables!$N:$N,0),
reAR,XLOOKUP($B287,AR_Input!$A:$A,AR_Input!$B:$B,reStart),
leAR,XLOOKUP($B287,AR_Input!$A:$A,AR_Input!$E:$E,leStart),
reEsc,AND(anom,OR(ABS((S287+AM287)-reStart)&gt;maxStart,ABS((S287+AM287)-reAR)&gt;maxAR)),
leEsc,AND(anom,OR(ABS((V287+AP287)-leStart)&gt;maxStart,ABS((V287+AP287)-leAR)&gt;maxAR)),
phaseMax,IFS(
 AK287="Fast",
   IFS(
     OR(C287="B",C287="D"),XLOOKUP("timeout_coarse_fast",Calibration!$B:$B,Calibration!$C:$C,24),
     OR(C287="E",C287="F",C287="H",C287="I"),XLOOKUP("timeout_jcc_fast",Calibration!$B:$B,Calibration!$C:$C,10),
     OR(C287="G",C287="J"),XLOOKUP("timeout_duochrome_fast",Calibration!$B:$B,Calibration!$C:$C,8),
     C287="K",XLOOKUP("timeout_bino_fast",Calibration!$B:$B,Calibration!$C:$C,10),
     OR(C287="P",C287="Q",C287="R"),XLOOKUP("timeout_near_fast",Calibration!$B:$B,Calibration!$C:$C,16),
     TRUE,XLOOKUP("timeout_coarse_fast",Calibration!$B:$B,Calibration!$C:$C,24)
   ),
 AK287="Normal",
   IFS(
     OR(C287="B",C287="D"),XLOOKUP("timeout_coarse_normal",Calibration!$B:$B,Calibration!$C:$C,36),
     OR(C287="E",C287="F",C287="H",C287="I"),XLOOKUP("timeout_jcc_normal",Calibration!$B:$B,Calibration!$C:$C,14),
     OR(C287="G",C287="J"),XLOOKUP("timeout_duochrome_normal",Calibration!$B:$B,Calibration!$C:$C,10),
     C287="K",XLOOKUP("timeout_bino_normal",Calibration!$B:$B,Calibration!$C:$C,14),
     OR(C287="P",C287="Q",C287="R"),XLOOKUP("timeout_near_normal",Calibration!$B:$B,Calibration!$C:$C,22),
     TRUE,XLOOKUP("timeout_coarse_normal",Calibration!$B:$B,Calibration!$C:$C,36)
   ),
 TRUE,
   IFS(
     OR(C287="B",C287="D"),XLOOKUP("timeout_coarse_slow",Calibration!$B:$B,Calibration!$C:$C,48),
     OR(C287="E",C287="F",C287="H",C287="I"),XLOOKUP("timeout_jcc_slow",Calibration!$B:$B,Calibration!$C:$C,18),
     OR(C287="G",C287="J"),XLOOKUP("timeout_duochrome_slow",Calibration!$B:$B,Calibration!$C:$C,12),
     C287="K",XLOOKUP("timeout_bino_slow",Calibration!$B:$B,Calibration!$C:$C,18),
     OR(C287="P",C287="Q",C287="R"),XLOOKUP("timeout_near_slow",Calibration!$B:$B,Calibration!$C:$C,28),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AJ287=TRUE,"ESCALATE",
C287="A",
IF(OR(I287="NOT_READABLE",I287="BLURRY",AND(R287="20_20_20",I287="READABLE")),"B","A"),
C287="B",
IF(reEsc,"ESCALATE",IF(AY287&gt;=phaseMax,"ESCALATE",IF(AND(AV287&gt;=AW287,I287="READABLE"),"E","B"))),
C287="E",
IF(AY287&gt;=phaseMax,"ESCALATE",IF(OR(I287="SAME",I287="CANT_TELL",AD287&lt;axisTol),"F","E")),
C287="F",
IF(AY287&gt;=phaseMax,"ESCALATE",IF(AX287&gt;=powerSameN,"G","F")),
C287="G",
IF(AY287&gt;=phaseMax,"ESCALATE",IF(OR(AX287&gt;=duoEqualN,BB287&gt;=duoMax),"D","G")),
C287="D",
IF(leEsc,"ESCALATE",IF(AY287&gt;=phaseMax,"ESCALATE",IF(AND(AV287&gt;=AW287,I287="READABLE"),"H","D"))),
C287="H",
IF(AY287&gt;=phaseMax,"ESCALATE",IF(OR(I287="SAME",I287="CANT_TELL",AD287&lt;axisTol),"I","H")),
C287="I",
IF(AY287&gt;=phaseMax,"ESCALATE",IF(AX287&gt;=powerSameN,"J","I")),
C287="J",
IF(AY287&gt;=phaseMax,"ESCALATE",IF(OR(AX287&gt;=duoEqualN,BB287&gt;=duoMax),"K","J")),
C287="K",
IF(AY287&gt;=phaseMax,"ESCALATE",IF(AX287&gt;=binoSameN,IF(XLOOKUP($B287,Derived_Variables!$A:$A,Derived_Variables!$AJ:$AJ,FALSE)=TRUE,"P","END"),"K")),
C287="P",
IF(AY287&gt;=phaseMax,"ESCALATE",IF(OR(I287="READABLE",I287="SAME"),"Q","P")),
C287="Q",
IF(AY287&gt;=phaseMax,"ESCALATE",IF(OR(I287="READABLE",I287="SAME"),"R","Q")),
C287="R",
IF(AY287&gt;=phaseMax,"ESCALATE",IF(OR(I287=nearTarget,I287="SAME"),"END","R")),
TRUE,"END"
)))</f>
        <v/>
      </c>
      <c r="BD287" s="28" t="b">
        <f t="shared" si="19"/>
        <v>0</v>
      </c>
    </row>
    <row r="288" ht="15.75" customHeight="1">
      <c r="A288" s="28">
        <f t="shared" si="3"/>
        <v>287</v>
      </c>
      <c r="B288" s="28">
        <f t="shared" si="4"/>
        <v>6</v>
      </c>
      <c r="C288" s="28" t="str">
        <f t="shared" si="5"/>
        <v/>
      </c>
      <c r="D288" s="28" t="str">
        <f t="array" ref="D288">IF($I287="","",XLOOKUP(C288,FSM_State_Map!A:A,FSM_State_Map!B:B,""))</f>
        <v/>
      </c>
      <c r="E288" s="28" t="str">
        <f t="array" ref="E288">IF($I287="","",XLOOKUP(C288,FSM_State_Map!A:A,FSM_State_Map!C:C,""))</f>
        <v/>
      </c>
      <c r="F288" s="28" t="str">
        <f t="array" ref="F288">IF($I287="","",XLOOKUP(E288,Phase_UI_Map!A:A,Phase_UI_Map!B:B,""))</f>
        <v/>
      </c>
      <c r="G288" s="28" t="str">
        <f t="array" ref="G288">IF($I287="","",XLOOKUP(E288,Phase_UI_Map!A:A,Phase_UI_Map!C:C,""))</f>
        <v/>
      </c>
      <c r="H288" s="28" t="str">
        <f t="array" ref="H288">IF($I287="","",XLOOKUP(E288,Phase_UI_Map!A:A,Phase_UI_Map!D:D,""))</f>
        <v/>
      </c>
      <c r="I288" s="29"/>
      <c r="J288" s="28" t="str">
        <f>IFERROR(__xludf.DUMMYFUNCTION("IF($I287="""","""",IFERROR(INDEX(FILTER(Response_Lists!$B:$B,Response_Lists!$A:$A=$H288),1),""""))"),"")</f>
        <v/>
      </c>
      <c r="K288" s="28" t="str">
        <f>IFERROR(__xludf.DUMMYFUNCTION("IF($I287="""","""",IFERROR(INDEX(FILTER(Response_Lists!$B:$B,Response_Lists!$A:$A=$H288),2),""""))"),"")</f>
        <v/>
      </c>
      <c r="L288" s="28" t="str">
        <f>IFERROR(__xludf.DUMMYFUNCTION("IF($I287="""","""",IFERROR(INDEX(FILTER(Response_Lists!$B:$B,Response_Lists!$A:$A=$H288),3),""""))"),"")</f>
        <v/>
      </c>
      <c r="M288" s="28" t="str">
        <f>IFERROR(__xludf.DUMMYFUNCTION("IF($I287="""","""",IFERROR(INDEX(FILTER(Response_Lists!$B:$B,Response_Lists!$A:$A=$H288),4),""""))"),"")</f>
        <v/>
      </c>
      <c r="N288" s="28" t="str">
        <f>IFERROR(__xludf.DUMMYFUNCTION("IF($I287="""","""",IFERROR(INDEX(FILTER(Response_Lists!$B:$B,Response_Lists!$A:$A=$H288),5),""""))"),"")</f>
        <v/>
      </c>
      <c r="O288" s="28" t="str">
        <f>IFERROR(__xludf.DUMMYFUNCTION("IF($I287="""","""",IFERROR(INDEX(FILTER(Response_Lists!$B:$B,Response_Lists!$A:$A=$H288),6),""""))"),"")</f>
        <v/>
      </c>
      <c r="P288" s="28" t="str">
        <f t="shared" si="6"/>
        <v/>
      </c>
      <c r="Q288" s="28" t="str">
        <f t="array" ref="Q288">IF($I287="","",XLOOKUP(C288,FSM_State_Map!A:A,FSM_State_Map!D:D,""))</f>
        <v/>
      </c>
      <c r="R288" s="28" t="str">
        <f t="shared" si="7"/>
        <v/>
      </c>
      <c r="S288" s="28" t="str">
        <f t="array" ref="S288">IF($I287="","",
IF(
  AND(C288="B",C287&lt;&gt;"B"),
  XLOOKUP($B288,Derived_Variables!$A:$A,Derived_Variables!$K:$K,0)
  + XLOOKUP($B288,Derived_Variables!$A:$A,Derived_Variables!$AE:$AE,0),
  S287+AM287
))</f>
        <v/>
      </c>
      <c r="T288" s="28" t="str">
        <f t="shared" ref="T288:U288" si="586">IF($I287="","",T287+AN287)</f>
        <v/>
      </c>
      <c r="U288" s="28" t="str">
        <f t="shared" si="586"/>
        <v/>
      </c>
      <c r="V288" s="28" t="str">
        <f t="array" ref="V288">IF($I287="","",
IF(
  AND(C288="D",C287&lt;&gt;"D"),
  XLOOKUP($B288,Derived_Variables!$A:$A,Derived_Variables!$N:$N,0)
  + XLOOKUP($B288,Derived_Variables!$A:$A,Derived_Variables!$AE:$AE,0),
  V287+AP287
))</f>
        <v/>
      </c>
      <c r="W288" s="28" t="str">
        <f t="shared" ref="W288:X288" si="587">IF($I287="","",W287+AQ287)</f>
        <v/>
      </c>
      <c r="X288" s="28" t="str">
        <f t="shared" si="587"/>
        <v/>
      </c>
      <c r="Y288" s="28" t="str">
        <f t="array" ref="Y288">IF($I287="","",IF(AND(C288="P",C287&lt;&gt;"P"),IFERROR(XLOOKUP($B288,Lenso_Input!$A:$A,Lenso_Input!$E:$E,0),0),Y287+AS287))</f>
        <v/>
      </c>
      <c r="Z288" s="28" t="str">
        <f t="array" ref="Z288">IF($I287="","",IF(AND(C288="Q",C287&lt;&gt;"Q"),IFERROR(XLOOKUP($B288,Lenso_Input!$A:$A,Lenso_Input!$I:$I,0),0),Z287+AT287))</f>
        <v/>
      </c>
      <c r="AA288" s="28" t="str">
        <f t="array" ref="AA288">IF($I287="","",IF(XLOOKUP($B288,Derived_Variables!$A:$A,Derived_Variables!$R:$R,"6/6_target")="6/6_target","20_20_20","40_30_25"))</f>
        <v/>
      </c>
      <c r="AB288" s="28" t="str">
        <f t="array" ref="AB288">IF($I287="","",XLOOKUP(LOWER(XLOOKUP($B288,Derived_Variables!$A:$A,Derived_Variables!$T:$T,"Standard"))&amp;"_sph_step",Calibration!$B:$B,Calibration!$C:$C,0.25))</f>
        <v/>
      </c>
      <c r="AC288" s="28" t="str">
        <f t="array" ref="AC288">IF($I287="","",XLOOKUP(LOWER(XLOOKUP($B288,Derived_Variables!$A:$A,Derived_Variables!$T:$T,"Standard"))&amp;"_cyl_step",Calibration!$B:$B,Calibration!$C:$C,0.25))</f>
        <v/>
      </c>
      <c r="AD288" s="28" t="str">
        <f t="array" ref="AD288">IF($I287="","",IF(OR(C288="E",C288="H"),LET(startStep,XLOOKUP("axis_start_step",Calibration!$B:$B,Calibration!$C:$C,5),step1,XLOOKUP("axis_reversal_step_1",Calibration!$B:$B,Calibration!$C:$C,3),step2,XLOOKUP("axis_reversal_step_2",Calibration!$B:$B,Calibration!$C:$C,1),IF(OR(C287&lt;&gt;C288,AZ288="",AZ288="SAME",AZ288="CANT_TELL",I288="",I288="SAME",I288="CANT_TELL"),startStep,IF(OR(AND(AZ288="BETTER_1",I288="BETTER_2"),AND(AZ288="BETTER_2",I288="BETTER_1")),IF(AD287&gt;step1,step1,step2),AD287))),0))</f>
        <v/>
      </c>
      <c r="AE288" s="28" t="str">
        <f t="array" ref="AE288">IF($I287="","",XLOOKUP($B288,Derived_Variables!$A:$A,Derived_Variables!$AD:$AD,"No_Fog"))</f>
        <v/>
      </c>
      <c r="AF288" s="28" t="str">
        <f t="array" ref="AF288">IF($I287="","",XLOOKUP($B288,Derived_Variables!$A:$A,Derived_Variables!$AE:$AE,0))</f>
        <v/>
      </c>
      <c r="AG288" s="28" t="str">
        <f t="array" ref="AG288">IF($I287="","",XLOOKUP($B288,Derived_Variables!$A:$A,Derived_Variables!$AF:$AF,""))</f>
        <v/>
      </c>
      <c r="AH288" s="28" t="str">
        <f t="array" ref="AH288">IF($I287="","",XLOOKUP($B288,Derived_Variables!$A:$A,Derived_Variables!$AG:$AG,""))</f>
        <v/>
      </c>
      <c r="AI288" s="28" t="str">
        <f t="array" ref="AI288">IF($I287="","",XLOOKUP($B288,Derived_Variables!$A:$A,Derived_Variables!$AC:$AC,"Medium"))</f>
        <v/>
      </c>
      <c r="AJ288" s="28" t="str">
        <f t="array" ref="AJ288">IF($I287="","",XLOOKUP($B288,Derived_Variables!$A:$A,Derived_Variables!$Y:$Y,FALSE))</f>
        <v/>
      </c>
      <c r="AK288" s="28" t="str">
        <f t="array" ref="AK288">IF($I287="","",XLOOKUP($B288,Derived_Variables!$A:$A,Derived_Variables!$AA:$AA,"Normal"))</f>
        <v/>
      </c>
      <c r="AL288" s="28" t="str">
        <f t="array" ref="AL288">IF($I287="","",XLOOKUP($B288,Derived_Variables!$A:$A,Derived_Variables!$AB:$AB,"Normal"))</f>
        <v/>
      </c>
      <c r="AM288" s="28" t="str">
        <f t="array" ref="AM288">IF($I288="","",IFS(C288="B",IF(OR(I288="NOT_READABLE",I288="BLURRY"),-AB288,0),C288="G",IFS(I288="RED_CLEARER",XLOOKUP("duochrome_red_step",Calibration!$B:$B,Calibration!$C:$C,-0.25),I288="GREEN_CLEARER",XLOOKUP("duochrome_green_step",Calibration!$B:$B,Calibration!$C:$C,0.25),I288="EQUAL",IF(XLOOKUP($B288,Derived_Variables!$A:$A,Derived_Variables!$S:$S,"Neutral")="Undercorrect",XLOOKUP("undercorrect_step",Calibration!$B:$B,Calibration!$C:$C,0.25),IF(XLOOKUP($B288,Derived_Variables!$A:$A,Derived_Variables!$S:$S,"Neutral")="Overcorrect",-XLOOKUP("overcorrect_step",Calibration!$B:$B,Calibration!$C:$C,0.25),0)),TRUE,0),C288="K",IF(I288="TOP_CLEARER",XLOOKUP("bino_balance_step",Calibration!$B:$B,Calibration!$C:$C,0.25),0),TRUE,0))</f>
        <v/>
      </c>
      <c r="AN288" s="28" t="str">
        <f t="shared" si="10"/>
        <v/>
      </c>
      <c r="AO288" s="28" t="str">
        <f t="shared" si="11"/>
        <v/>
      </c>
      <c r="AP288" s="28" t="str">
        <f t="array" ref="AP288">IF($I288="","",IFS(C288="D",IF(OR(I288="NOT_READABLE",I288="BLURRY"),-AB288,0),C288="J",IFS(I288="RED_CLEARER",XLOOKUP("duochrome_red_step",Calibration!$B:$B,Calibration!$C:$C,-0.25),I288="GREEN_CLEARER",XLOOKUP("duochrome_green_step",Calibration!$B:$B,Calibration!$C:$C,0.25),I288="EQUAL",IF(XLOOKUP($B288,Derived_Variables!$A:$A,Derived_Variables!$S:$S,"Neutral")="Undercorrect",XLOOKUP("undercorrect_step",Calibration!$B:$B,Calibration!$C:$C,0.25),IF(XLOOKUP($B288,Derived_Variables!$A:$A,Derived_Variables!$S:$S,"Neutral")="Overcorrect",-XLOOKUP("overcorrect_step",Calibration!$B:$B,Calibration!$C:$C,0.25),0)),TRUE,0),C288="K",IF(I288="BOTTOM_CLEARER",XLOOKUP("bino_balance_step",Calibration!$B:$B,Calibration!$C:$C,0.25),0),TRUE,0))</f>
        <v/>
      </c>
      <c r="AQ288" s="28" t="str">
        <f t="shared" si="12"/>
        <v/>
      </c>
      <c r="AR288" s="28" t="str">
        <f t="shared" si="13"/>
        <v/>
      </c>
      <c r="AS288" s="28" t="str">
        <f t="array" ref="AS288">IF($I288="","",IF(C288="P",IF(OR(I288="NOT_READABLE",I288="BLURRY"),XLOOKUP("near_add_step",Calibration!$B:$B,Calibration!$C:$C,0.25),0),IF(C288="R",IF(I288="NOT_CLEAR",XLOOKUP("near_add_step",Calibration!$B:$B,Calibration!$C:$C,0.25),0),0)))</f>
        <v/>
      </c>
      <c r="AT288" s="28" t="str">
        <f t="array" ref="AT288">IF($I288="","",IF(C288="Q",IF(OR(I288="NOT_READABLE",I288="BLURRY"),XLOOKUP("near_add_step",Calibration!$B:$B,Calibration!$C:$C,0.25),0),IF(C288="R",IF(I288="NOT_CLEAR",XLOOKUP("near_add_step",Calibration!$B:$B,Calibration!$C:$C,0.25),0),0)))</f>
        <v/>
      </c>
      <c r="AU288" s="28" t="str">
        <f t="array" ref="AU288">IF($I288="","",IF(G288="SNELLEN_FEET",IF(I288="READABLE",IFERROR(XLOOKUP(XLOOKUP(R288,Chart_Scale_Distance!B:B,Chart_Scale_Distance!A:A)+1,Chart_Scale_Distance!A:A,Chart_Scale_Distance!B:B),R288),R288),R288))</f>
        <v/>
      </c>
      <c r="AV288" s="28" t="str">
        <f t="array" ref="AV288">IF($I287="","",IFERROR(XLOOKUP(R288,Chart_Scale_Distance!$B:$B,Chart_Scale_Distance!$A:$A,""),""))</f>
        <v/>
      </c>
      <c r="AW288" s="28" t="str">
        <f t="array" ref="AW288">IF($I287="","",IFERROR(XLOOKUP(AA288,Chart_Scale_Distance!$B:$B,Chart_Scale_Distance!$A:$A,""),""))</f>
        <v/>
      </c>
      <c r="AX288" s="28" t="str">
        <f t="shared" si="14"/>
        <v/>
      </c>
      <c r="AY288" s="28" t="str">
        <f t="shared" si="15"/>
        <v/>
      </c>
      <c r="AZ288" s="28" t="str">
        <f t="shared" si="16"/>
        <v/>
      </c>
      <c r="BA288" s="28" t="str">
        <f t="shared" si="17"/>
        <v/>
      </c>
      <c r="BB288" s="28" t="str">
        <f t="shared" si="18"/>
        <v/>
      </c>
      <c r="BC288" s="28" t="str">
        <f t="array" ref="BC288">IF($I288="","",LET(
conf,AI288,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duoMax,XLOOKUP($B288,Derived_Variables!$A:$A,Derived_Variables!$AI:$AI,4),
axisTol,XLOOKUP($B288,Derived_Variables!$A:$A,Derived_Variables!$W:$W,1),
maxStart,XLOOKUP($B288,Derived_Variables!$A:$A,Derived_Variables!$U:$U,1.25),
maxAR,XLOOKUP($B288,Derived_Variables!$A:$A,Derived_Variables!$V:$V,3),
anom,XLOOKUP($B288,Derived_Variables!$A:$A,Derived_Variables!$Z:$Z,FALSE),
reStart,XLOOKUP($B288,Derived_Variables!$A:$A,Derived_Variables!$K:$K,0),
leStart,XLOOKUP($B288,Derived_Variables!$A:$A,Derived_Variables!$N:$N,0),
reAR,XLOOKUP($B288,AR_Input!$A:$A,AR_Input!$B:$B,reStart),
leAR,XLOOKUP($B288,AR_Input!$A:$A,AR_Input!$E:$E,leStart),
reEsc,AND(anom,OR(ABS((S288+AM288)-reStart)&gt;maxStart,ABS((S288+AM288)-reAR)&gt;maxAR)),
leEsc,AND(anom,OR(ABS((V288+AP288)-leStart)&gt;maxStart,ABS((V288+AP288)-leAR)&gt;maxAR)),
phaseMax,IFS(
 AK288="Fast",
   IFS(
     OR(C288="B",C288="D"),XLOOKUP("timeout_coarse_fast",Calibration!$B:$B,Calibration!$C:$C,24),
     OR(C288="E",C288="F",C288="H",C288="I"),XLOOKUP("timeout_jcc_fast",Calibration!$B:$B,Calibration!$C:$C,10),
     OR(C288="G",C288="J"),XLOOKUP("timeout_duochrome_fast",Calibration!$B:$B,Calibration!$C:$C,8),
     C288="K",XLOOKUP("timeout_bino_fast",Calibration!$B:$B,Calibration!$C:$C,10),
     OR(C288="P",C288="Q",C288="R"),XLOOKUP("timeout_near_fast",Calibration!$B:$B,Calibration!$C:$C,16),
     TRUE,XLOOKUP("timeout_coarse_fast",Calibration!$B:$B,Calibration!$C:$C,24)
   ),
 AK288="Normal",
   IFS(
     OR(C288="B",C288="D"),XLOOKUP("timeout_coarse_normal",Calibration!$B:$B,Calibration!$C:$C,36),
     OR(C288="E",C288="F",C288="H",C288="I"),XLOOKUP("timeout_jcc_normal",Calibration!$B:$B,Calibration!$C:$C,14),
     OR(C288="G",C288="J"),XLOOKUP("timeout_duochrome_normal",Calibration!$B:$B,Calibration!$C:$C,10),
     C288="K",XLOOKUP("timeout_bino_normal",Calibration!$B:$B,Calibration!$C:$C,14),
     OR(C288="P",C288="Q",C288="R"),XLOOKUP("timeout_near_normal",Calibration!$B:$B,Calibration!$C:$C,22),
     TRUE,XLOOKUP("timeout_coarse_normal",Calibration!$B:$B,Calibration!$C:$C,36)
   ),
 TRUE,
   IFS(
     OR(C288="B",C288="D"),XLOOKUP("timeout_coarse_slow",Calibration!$B:$B,Calibration!$C:$C,48),
     OR(C288="E",C288="F",C288="H",C288="I"),XLOOKUP("timeout_jcc_slow",Calibration!$B:$B,Calibration!$C:$C,18),
     OR(C288="G",C288="J"),XLOOKUP("timeout_duochrome_slow",Calibration!$B:$B,Calibration!$C:$C,12),
     C288="K",XLOOKUP("timeout_bino_slow",Calibration!$B:$B,Calibration!$C:$C,18),
     OR(C288="P",C288="Q",C288="R"),XLOOKUP("timeout_near_slow",Calibration!$B:$B,Calibration!$C:$C,28),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AJ288=TRUE,"ESCALATE",
C288="A",
IF(OR(I288="NOT_READABLE",I288="BLURRY",AND(R288="20_20_20",I288="READABLE")),"B","A"),
C288="B",
IF(reEsc,"ESCALATE",IF(AY288&gt;=phaseMax,"ESCALATE",IF(AND(AV288&gt;=AW288,I288="READABLE"),"E","B"))),
C288="E",
IF(AY288&gt;=phaseMax,"ESCALATE",IF(OR(I288="SAME",I288="CANT_TELL",AD288&lt;axisTol),"F","E")),
C288="F",
IF(AY288&gt;=phaseMax,"ESCALATE",IF(AX288&gt;=powerSameN,"G","F")),
C288="G",
IF(AY288&gt;=phaseMax,"ESCALATE",IF(OR(AX288&gt;=duoEqualN,BB288&gt;=duoMax),"D","G")),
C288="D",
IF(leEsc,"ESCALATE",IF(AY288&gt;=phaseMax,"ESCALATE",IF(AND(AV288&gt;=AW288,I288="READABLE"),"H","D"))),
C288="H",
IF(AY288&gt;=phaseMax,"ESCALATE",IF(OR(I288="SAME",I288="CANT_TELL",AD288&lt;axisTol),"I","H")),
C288="I",
IF(AY288&gt;=phaseMax,"ESCALATE",IF(AX288&gt;=powerSameN,"J","I")),
C288="J",
IF(AY288&gt;=phaseMax,"ESCALATE",IF(OR(AX288&gt;=duoEqualN,BB288&gt;=duoMax),"K","J")),
C288="K",
IF(AY288&gt;=phaseMax,"ESCALATE",IF(AX288&gt;=binoSameN,IF(XLOOKUP($B288,Derived_Variables!$A:$A,Derived_Variables!$AJ:$AJ,FALSE)=TRUE,"P","END"),"K")),
C288="P",
IF(AY288&gt;=phaseMax,"ESCALATE",IF(OR(I288="READABLE",I288="SAME"),"Q","P")),
C288="Q",
IF(AY288&gt;=phaseMax,"ESCALATE",IF(OR(I288="READABLE",I288="SAME"),"R","Q")),
C288="R",
IF(AY288&gt;=phaseMax,"ESCALATE",IF(OR(I288=nearTarget,I288="SAME"),"END","R")),
TRUE,"END"
)))</f>
        <v/>
      </c>
      <c r="BD288" s="28" t="b">
        <f t="shared" si="19"/>
        <v>0</v>
      </c>
    </row>
    <row r="289" ht="15.75" customHeight="1">
      <c r="A289" s="28">
        <f t="shared" si="3"/>
        <v>288</v>
      </c>
      <c r="B289" s="28">
        <f t="shared" si="4"/>
        <v>6</v>
      </c>
      <c r="C289" s="28" t="str">
        <f t="shared" si="5"/>
        <v/>
      </c>
      <c r="D289" s="28" t="str">
        <f t="array" ref="D289">IF($I288="","",XLOOKUP(C289,FSM_State_Map!A:A,FSM_State_Map!B:B,""))</f>
        <v/>
      </c>
      <c r="E289" s="28" t="str">
        <f t="array" ref="E289">IF($I288="","",XLOOKUP(C289,FSM_State_Map!A:A,FSM_State_Map!C:C,""))</f>
        <v/>
      </c>
      <c r="F289" s="28" t="str">
        <f t="array" ref="F289">IF($I288="","",XLOOKUP(E289,Phase_UI_Map!A:A,Phase_UI_Map!B:B,""))</f>
        <v/>
      </c>
      <c r="G289" s="28" t="str">
        <f t="array" ref="G289">IF($I288="","",XLOOKUP(E289,Phase_UI_Map!A:A,Phase_UI_Map!C:C,""))</f>
        <v/>
      </c>
      <c r="H289" s="28" t="str">
        <f t="array" ref="H289">IF($I288="","",XLOOKUP(E289,Phase_UI_Map!A:A,Phase_UI_Map!D:D,""))</f>
        <v/>
      </c>
      <c r="I289" s="29"/>
      <c r="J289" s="28" t="str">
        <f>IFERROR(__xludf.DUMMYFUNCTION("IF($I288="""","""",IFERROR(INDEX(FILTER(Response_Lists!$B:$B,Response_Lists!$A:$A=$H289),1),""""))"),"")</f>
        <v/>
      </c>
      <c r="K289" s="28" t="str">
        <f>IFERROR(__xludf.DUMMYFUNCTION("IF($I288="""","""",IFERROR(INDEX(FILTER(Response_Lists!$B:$B,Response_Lists!$A:$A=$H289),2),""""))"),"")</f>
        <v/>
      </c>
      <c r="L289" s="28" t="str">
        <f>IFERROR(__xludf.DUMMYFUNCTION("IF($I288="""","""",IFERROR(INDEX(FILTER(Response_Lists!$B:$B,Response_Lists!$A:$A=$H289),3),""""))"),"")</f>
        <v/>
      </c>
      <c r="M289" s="28" t="str">
        <f>IFERROR(__xludf.DUMMYFUNCTION("IF($I288="""","""",IFERROR(INDEX(FILTER(Response_Lists!$B:$B,Response_Lists!$A:$A=$H289),4),""""))"),"")</f>
        <v/>
      </c>
      <c r="N289" s="28" t="str">
        <f>IFERROR(__xludf.DUMMYFUNCTION("IF($I288="""","""",IFERROR(INDEX(FILTER(Response_Lists!$B:$B,Response_Lists!$A:$A=$H289),5),""""))"),"")</f>
        <v/>
      </c>
      <c r="O289" s="28" t="str">
        <f>IFERROR(__xludf.DUMMYFUNCTION("IF($I288="""","""",IFERROR(INDEX(FILTER(Response_Lists!$B:$B,Response_Lists!$A:$A=$H289),6),""""))"),"")</f>
        <v/>
      </c>
      <c r="P289" s="28" t="str">
        <f t="shared" si="6"/>
        <v/>
      </c>
      <c r="Q289" s="28" t="str">
        <f t="array" ref="Q289">IF($I288="","",XLOOKUP(C289,FSM_State_Map!A:A,FSM_State_Map!D:D,""))</f>
        <v/>
      </c>
      <c r="R289" s="28" t="str">
        <f t="shared" si="7"/>
        <v/>
      </c>
      <c r="S289" s="28" t="str">
        <f t="array" ref="S289">IF($I288="","",
IF(
  AND(C289="B",C288&lt;&gt;"B"),
  XLOOKUP($B289,Derived_Variables!$A:$A,Derived_Variables!$K:$K,0)
  + XLOOKUP($B289,Derived_Variables!$A:$A,Derived_Variables!$AE:$AE,0),
  S288+AM288
))</f>
        <v/>
      </c>
      <c r="T289" s="28" t="str">
        <f t="shared" ref="T289:U289" si="588">IF($I288="","",T288+AN288)</f>
        <v/>
      </c>
      <c r="U289" s="28" t="str">
        <f t="shared" si="588"/>
        <v/>
      </c>
      <c r="V289" s="28" t="str">
        <f t="array" ref="V289">IF($I288="","",
IF(
  AND(C289="D",C288&lt;&gt;"D"),
  XLOOKUP($B289,Derived_Variables!$A:$A,Derived_Variables!$N:$N,0)
  + XLOOKUP($B289,Derived_Variables!$A:$A,Derived_Variables!$AE:$AE,0),
  V288+AP288
))</f>
        <v/>
      </c>
      <c r="W289" s="28" t="str">
        <f t="shared" ref="W289:X289" si="589">IF($I288="","",W288+AQ288)</f>
        <v/>
      </c>
      <c r="X289" s="28" t="str">
        <f t="shared" si="589"/>
        <v/>
      </c>
      <c r="Y289" s="28" t="str">
        <f t="array" ref="Y289">IF($I288="","",IF(AND(C289="P",C288&lt;&gt;"P"),IFERROR(XLOOKUP($B289,Lenso_Input!$A:$A,Lenso_Input!$E:$E,0),0),Y288+AS288))</f>
        <v/>
      </c>
      <c r="Z289" s="28" t="str">
        <f t="array" ref="Z289">IF($I288="","",IF(AND(C289="Q",C288&lt;&gt;"Q"),IFERROR(XLOOKUP($B289,Lenso_Input!$A:$A,Lenso_Input!$I:$I,0),0),Z288+AT288))</f>
        <v/>
      </c>
      <c r="AA289" s="28" t="str">
        <f t="array" ref="AA289">IF($I288="","",IF(XLOOKUP($B289,Derived_Variables!$A:$A,Derived_Variables!$R:$R,"6/6_target")="6/6_target","20_20_20","40_30_25"))</f>
        <v/>
      </c>
      <c r="AB289" s="28" t="str">
        <f t="array" ref="AB289">IF($I288="","",XLOOKUP(LOWER(XLOOKUP($B289,Derived_Variables!$A:$A,Derived_Variables!$T:$T,"Standard"))&amp;"_sph_step",Calibration!$B:$B,Calibration!$C:$C,0.25))</f>
        <v/>
      </c>
      <c r="AC289" s="28" t="str">
        <f t="array" ref="AC289">IF($I288="","",XLOOKUP(LOWER(XLOOKUP($B289,Derived_Variables!$A:$A,Derived_Variables!$T:$T,"Standard"))&amp;"_cyl_step",Calibration!$B:$B,Calibration!$C:$C,0.25))</f>
        <v/>
      </c>
      <c r="AD289" s="28" t="str">
        <f t="array" ref="AD289">IF($I288="","",IF(OR(C289="E",C289="H"),LET(startStep,XLOOKUP("axis_start_step",Calibration!$B:$B,Calibration!$C:$C,5),step1,XLOOKUP("axis_reversal_step_1",Calibration!$B:$B,Calibration!$C:$C,3),step2,XLOOKUP("axis_reversal_step_2",Calibration!$B:$B,Calibration!$C:$C,1),IF(OR(C288&lt;&gt;C289,AZ289="",AZ289="SAME",AZ289="CANT_TELL",I289="",I289="SAME",I289="CANT_TELL"),startStep,IF(OR(AND(AZ289="BETTER_1",I289="BETTER_2"),AND(AZ289="BETTER_2",I289="BETTER_1")),IF(AD288&gt;step1,step1,step2),AD288))),0))</f>
        <v/>
      </c>
      <c r="AE289" s="28" t="str">
        <f t="array" ref="AE289">IF($I288="","",XLOOKUP($B289,Derived_Variables!$A:$A,Derived_Variables!$AD:$AD,"No_Fog"))</f>
        <v/>
      </c>
      <c r="AF289" s="28" t="str">
        <f t="array" ref="AF289">IF($I288="","",XLOOKUP($B289,Derived_Variables!$A:$A,Derived_Variables!$AE:$AE,0))</f>
        <v/>
      </c>
      <c r="AG289" s="28" t="str">
        <f t="array" ref="AG289">IF($I288="","",XLOOKUP($B289,Derived_Variables!$A:$A,Derived_Variables!$AF:$AF,""))</f>
        <v/>
      </c>
      <c r="AH289" s="28" t="str">
        <f t="array" ref="AH289">IF($I288="","",XLOOKUP($B289,Derived_Variables!$A:$A,Derived_Variables!$AG:$AG,""))</f>
        <v/>
      </c>
      <c r="AI289" s="28" t="str">
        <f t="array" ref="AI289">IF($I288="","",XLOOKUP($B289,Derived_Variables!$A:$A,Derived_Variables!$AC:$AC,"Medium"))</f>
        <v/>
      </c>
      <c r="AJ289" s="28" t="str">
        <f t="array" ref="AJ289">IF($I288="","",XLOOKUP($B289,Derived_Variables!$A:$A,Derived_Variables!$Y:$Y,FALSE))</f>
        <v/>
      </c>
      <c r="AK289" s="28" t="str">
        <f t="array" ref="AK289">IF($I288="","",XLOOKUP($B289,Derived_Variables!$A:$A,Derived_Variables!$AA:$AA,"Normal"))</f>
        <v/>
      </c>
      <c r="AL289" s="28" t="str">
        <f t="array" ref="AL289">IF($I288="","",XLOOKUP($B289,Derived_Variables!$A:$A,Derived_Variables!$AB:$AB,"Normal"))</f>
        <v/>
      </c>
      <c r="AM289" s="28" t="str">
        <f t="array" ref="AM289">IF($I289="","",IFS(C289="B",IF(OR(I289="NOT_READABLE",I289="BLURRY"),-AB289,0),C289="G",IFS(I289="RED_CLEARER",XLOOKUP("duochrome_red_step",Calibration!$B:$B,Calibration!$C:$C,-0.25),I289="GREEN_CLEARER",XLOOKUP("duochrome_green_step",Calibration!$B:$B,Calibration!$C:$C,0.25),I289="EQUAL",IF(XLOOKUP($B289,Derived_Variables!$A:$A,Derived_Variables!$S:$S,"Neutral")="Undercorrect",XLOOKUP("undercorrect_step",Calibration!$B:$B,Calibration!$C:$C,0.25),IF(XLOOKUP($B289,Derived_Variables!$A:$A,Derived_Variables!$S:$S,"Neutral")="Overcorrect",-XLOOKUP("overcorrect_step",Calibration!$B:$B,Calibration!$C:$C,0.25),0)),TRUE,0),C289="K",IF(I289="TOP_CLEARER",XLOOKUP("bino_balance_step",Calibration!$B:$B,Calibration!$C:$C,0.25),0),TRUE,0))</f>
        <v/>
      </c>
      <c r="AN289" s="28" t="str">
        <f t="shared" si="10"/>
        <v/>
      </c>
      <c r="AO289" s="28" t="str">
        <f t="shared" si="11"/>
        <v/>
      </c>
      <c r="AP289" s="28" t="str">
        <f t="array" ref="AP289">IF($I289="","",IFS(C289="D",IF(OR(I289="NOT_READABLE",I289="BLURRY"),-AB289,0),C289="J",IFS(I289="RED_CLEARER",XLOOKUP("duochrome_red_step",Calibration!$B:$B,Calibration!$C:$C,-0.25),I289="GREEN_CLEARER",XLOOKUP("duochrome_green_step",Calibration!$B:$B,Calibration!$C:$C,0.25),I289="EQUAL",IF(XLOOKUP($B289,Derived_Variables!$A:$A,Derived_Variables!$S:$S,"Neutral")="Undercorrect",XLOOKUP("undercorrect_step",Calibration!$B:$B,Calibration!$C:$C,0.25),IF(XLOOKUP($B289,Derived_Variables!$A:$A,Derived_Variables!$S:$S,"Neutral")="Overcorrect",-XLOOKUP("overcorrect_step",Calibration!$B:$B,Calibration!$C:$C,0.25),0)),TRUE,0),C289="K",IF(I289="BOTTOM_CLEARER",XLOOKUP("bino_balance_step",Calibration!$B:$B,Calibration!$C:$C,0.25),0),TRUE,0))</f>
        <v/>
      </c>
      <c r="AQ289" s="28" t="str">
        <f t="shared" si="12"/>
        <v/>
      </c>
      <c r="AR289" s="28" t="str">
        <f t="shared" si="13"/>
        <v/>
      </c>
      <c r="AS289" s="28" t="str">
        <f t="array" ref="AS289">IF($I289="","",IF(C289="P",IF(OR(I289="NOT_READABLE",I289="BLURRY"),XLOOKUP("near_add_step",Calibration!$B:$B,Calibration!$C:$C,0.25),0),IF(C289="R",IF(I289="NOT_CLEAR",XLOOKUP("near_add_step",Calibration!$B:$B,Calibration!$C:$C,0.25),0),0)))</f>
        <v/>
      </c>
      <c r="AT289" s="28" t="str">
        <f t="array" ref="AT289">IF($I289="","",IF(C289="Q",IF(OR(I289="NOT_READABLE",I289="BLURRY"),XLOOKUP("near_add_step",Calibration!$B:$B,Calibration!$C:$C,0.25),0),IF(C289="R",IF(I289="NOT_CLEAR",XLOOKUP("near_add_step",Calibration!$B:$B,Calibration!$C:$C,0.25),0),0)))</f>
        <v/>
      </c>
      <c r="AU289" s="28" t="str">
        <f t="array" ref="AU289">IF($I289="","",IF(G289="SNELLEN_FEET",IF(I289="READABLE",IFERROR(XLOOKUP(XLOOKUP(R289,Chart_Scale_Distance!B:B,Chart_Scale_Distance!A:A)+1,Chart_Scale_Distance!A:A,Chart_Scale_Distance!B:B),R289),R289),R289))</f>
        <v/>
      </c>
      <c r="AV289" s="28" t="str">
        <f t="array" ref="AV289">IF($I288="","",IFERROR(XLOOKUP(R289,Chart_Scale_Distance!$B:$B,Chart_Scale_Distance!$A:$A,""),""))</f>
        <v/>
      </c>
      <c r="AW289" s="28" t="str">
        <f t="array" ref="AW289">IF($I288="","",IFERROR(XLOOKUP(AA289,Chart_Scale_Distance!$B:$B,Chart_Scale_Distance!$A:$A,""),""))</f>
        <v/>
      </c>
      <c r="AX289" s="28" t="str">
        <f t="shared" si="14"/>
        <v/>
      </c>
      <c r="AY289" s="28" t="str">
        <f t="shared" si="15"/>
        <v/>
      </c>
      <c r="AZ289" s="28" t="str">
        <f t="shared" si="16"/>
        <v/>
      </c>
      <c r="BA289" s="28" t="str">
        <f t="shared" si="17"/>
        <v/>
      </c>
      <c r="BB289" s="28" t="str">
        <f t="shared" si="18"/>
        <v/>
      </c>
      <c r="BC289" s="28" t="str">
        <f t="array" ref="BC289">IF($I289="","",LET(
conf,AI289,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duoMax,XLOOKUP($B289,Derived_Variables!$A:$A,Derived_Variables!$AI:$AI,4),
axisTol,XLOOKUP($B289,Derived_Variables!$A:$A,Derived_Variables!$W:$W,1),
maxStart,XLOOKUP($B289,Derived_Variables!$A:$A,Derived_Variables!$U:$U,1.25),
maxAR,XLOOKUP($B289,Derived_Variables!$A:$A,Derived_Variables!$V:$V,3),
anom,XLOOKUP($B289,Derived_Variables!$A:$A,Derived_Variables!$Z:$Z,FALSE),
reStart,XLOOKUP($B289,Derived_Variables!$A:$A,Derived_Variables!$K:$K,0),
leStart,XLOOKUP($B289,Derived_Variables!$A:$A,Derived_Variables!$N:$N,0),
reAR,XLOOKUP($B289,AR_Input!$A:$A,AR_Input!$B:$B,reStart),
leAR,XLOOKUP($B289,AR_Input!$A:$A,AR_Input!$E:$E,leStart),
reEsc,AND(anom,OR(ABS((S289+AM289)-reStart)&gt;maxStart,ABS((S289+AM289)-reAR)&gt;maxAR)),
leEsc,AND(anom,OR(ABS((V289+AP289)-leStart)&gt;maxStart,ABS((V289+AP289)-leAR)&gt;maxAR)),
phaseMax,IFS(
 AK289="Fast",
   IFS(
     OR(C289="B",C289="D"),XLOOKUP("timeout_coarse_fast",Calibration!$B:$B,Calibration!$C:$C,24),
     OR(C289="E",C289="F",C289="H",C289="I"),XLOOKUP("timeout_jcc_fast",Calibration!$B:$B,Calibration!$C:$C,10),
     OR(C289="G",C289="J"),XLOOKUP("timeout_duochrome_fast",Calibration!$B:$B,Calibration!$C:$C,8),
     C289="K",XLOOKUP("timeout_bino_fast",Calibration!$B:$B,Calibration!$C:$C,10),
     OR(C289="P",C289="Q",C289="R"),XLOOKUP("timeout_near_fast",Calibration!$B:$B,Calibration!$C:$C,16),
     TRUE,XLOOKUP("timeout_coarse_fast",Calibration!$B:$B,Calibration!$C:$C,24)
   ),
 AK289="Normal",
   IFS(
     OR(C289="B",C289="D"),XLOOKUP("timeout_coarse_normal",Calibration!$B:$B,Calibration!$C:$C,36),
     OR(C289="E",C289="F",C289="H",C289="I"),XLOOKUP("timeout_jcc_normal",Calibration!$B:$B,Calibration!$C:$C,14),
     OR(C289="G",C289="J"),XLOOKUP("timeout_duochrome_normal",Calibration!$B:$B,Calibration!$C:$C,10),
     C289="K",XLOOKUP("timeout_bino_normal",Calibration!$B:$B,Calibration!$C:$C,14),
     OR(C289="P",C289="Q",C289="R"),XLOOKUP("timeout_near_normal",Calibration!$B:$B,Calibration!$C:$C,22),
     TRUE,XLOOKUP("timeout_coarse_normal",Calibration!$B:$B,Calibration!$C:$C,36)
   ),
 TRUE,
   IFS(
     OR(C289="B",C289="D"),XLOOKUP("timeout_coarse_slow",Calibration!$B:$B,Calibration!$C:$C,48),
     OR(C289="E",C289="F",C289="H",C289="I"),XLOOKUP("timeout_jcc_slow",Calibration!$B:$B,Calibration!$C:$C,18),
     OR(C289="G",C289="J"),XLOOKUP("timeout_duochrome_slow",Calibration!$B:$B,Calibration!$C:$C,12),
     C289="K",XLOOKUP("timeout_bino_slow",Calibration!$B:$B,Calibration!$C:$C,18),
     OR(C289="P",C289="Q",C289="R"),XLOOKUP("timeout_near_slow",Calibration!$B:$B,Calibration!$C:$C,28),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AJ289=TRUE,"ESCALATE",
C289="A",
IF(OR(I289="NOT_READABLE",I289="BLURRY",AND(R289="20_20_20",I289="READABLE")),"B","A"),
C289="B",
IF(reEsc,"ESCALATE",IF(AY289&gt;=phaseMax,"ESCALATE",IF(AND(AV289&gt;=AW289,I289="READABLE"),"E","B"))),
C289="E",
IF(AY289&gt;=phaseMax,"ESCALATE",IF(OR(I289="SAME",I289="CANT_TELL",AD289&lt;axisTol),"F","E")),
C289="F",
IF(AY289&gt;=phaseMax,"ESCALATE",IF(AX289&gt;=powerSameN,"G","F")),
C289="G",
IF(AY289&gt;=phaseMax,"ESCALATE",IF(OR(AX289&gt;=duoEqualN,BB289&gt;=duoMax),"D","G")),
C289="D",
IF(leEsc,"ESCALATE",IF(AY289&gt;=phaseMax,"ESCALATE",IF(AND(AV289&gt;=AW289,I289="READABLE"),"H","D"))),
C289="H",
IF(AY289&gt;=phaseMax,"ESCALATE",IF(OR(I289="SAME",I289="CANT_TELL",AD289&lt;axisTol),"I","H")),
C289="I",
IF(AY289&gt;=phaseMax,"ESCALATE",IF(AX289&gt;=powerSameN,"J","I")),
C289="J",
IF(AY289&gt;=phaseMax,"ESCALATE",IF(OR(AX289&gt;=duoEqualN,BB289&gt;=duoMax),"K","J")),
C289="K",
IF(AY289&gt;=phaseMax,"ESCALATE",IF(AX289&gt;=binoSameN,IF(XLOOKUP($B289,Derived_Variables!$A:$A,Derived_Variables!$AJ:$AJ,FALSE)=TRUE,"P","END"),"K")),
C289="P",
IF(AY289&gt;=phaseMax,"ESCALATE",IF(OR(I289="READABLE",I289="SAME"),"Q","P")),
C289="Q",
IF(AY289&gt;=phaseMax,"ESCALATE",IF(OR(I289="READABLE",I289="SAME"),"R","Q")),
C289="R",
IF(AY289&gt;=phaseMax,"ESCALATE",IF(OR(I289=nearTarget,I289="SAME"),"END","R")),
TRUE,"END"
)))</f>
        <v/>
      </c>
      <c r="BD289" s="28" t="b">
        <f t="shared" si="19"/>
        <v>0</v>
      </c>
    </row>
    <row r="290" ht="15.75" customHeight="1">
      <c r="A290" s="28">
        <f t="shared" si="3"/>
        <v>289</v>
      </c>
      <c r="B290" s="28">
        <f t="shared" si="4"/>
        <v>6</v>
      </c>
      <c r="C290" s="28" t="str">
        <f t="shared" si="5"/>
        <v/>
      </c>
      <c r="D290" s="28" t="str">
        <f t="array" ref="D290">IF($I289="","",XLOOKUP(C290,FSM_State_Map!A:A,FSM_State_Map!B:B,""))</f>
        <v/>
      </c>
      <c r="E290" s="28" t="str">
        <f t="array" ref="E290">IF($I289="","",XLOOKUP(C290,FSM_State_Map!A:A,FSM_State_Map!C:C,""))</f>
        <v/>
      </c>
      <c r="F290" s="28" t="str">
        <f t="array" ref="F290">IF($I289="","",XLOOKUP(E290,Phase_UI_Map!A:A,Phase_UI_Map!B:B,""))</f>
        <v/>
      </c>
      <c r="G290" s="28" t="str">
        <f t="array" ref="G290">IF($I289="","",XLOOKUP(E290,Phase_UI_Map!A:A,Phase_UI_Map!C:C,""))</f>
        <v/>
      </c>
      <c r="H290" s="28" t="str">
        <f t="array" ref="H290">IF($I289="","",XLOOKUP(E290,Phase_UI_Map!A:A,Phase_UI_Map!D:D,""))</f>
        <v/>
      </c>
      <c r="I290" s="29"/>
      <c r="J290" s="28" t="str">
        <f>IFERROR(__xludf.DUMMYFUNCTION("IF($I289="""","""",IFERROR(INDEX(FILTER(Response_Lists!$B:$B,Response_Lists!$A:$A=$H290),1),""""))"),"")</f>
        <v/>
      </c>
      <c r="K290" s="28" t="str">
        <f>IFERROR(__xludf.DUMMYFUNCTION("IF($I289="""","""",IFERROR(INDEX(FILTER(Response_Lists!$B:$B,Response_Lists!$A:$A=$H290),2),""""))"),"")</f>
        <v/>
      </c>
      <c r="L290" s="28" t="str">
        <f>IFERROR(__xludf.DUMMYFUNCTION("IF($I289="""","""",IFERROR(INDEX(FILTER(Response_Lists!$B:$B,Response_Lists!$A:$A=$H290),3),""""))"),"")</f>
        <v/>
      </c>
      <c r="M290" s="28" t="str">
        <f>IFERROR(__xludf.DUMMYFUNCTION("IF($I289="""","""",IFERROR(INDEX(FILTER(Response_Lists!$B:$B,Response_Lists!$A:$A=$H290),4),""""))"),"")</f>
        <v/>
      </c>
      <c r="N290" s="28" t="str">
        <f>IFERROR(__xludf.DUMMYFUNCTION("IF($I289="""","""",IFERROR(INDEX(FILTER(Response_Lists!$B:$B,Response_Lists!$A:$A=$H290),5),""""))"),"")</f>
        <v/>
      </c>
      <c r="O290" s="28" t="str">
        <f>IFERROR(__xludf.DUMMYFUNCTION("IF($I289="""","""",IFERROR(INDEX(FILTER(Response_Lists!$B:$B,Response_Lists!$A:$A=$H290),6),""""))"),"")</f>
        <v/>
      </c>
      <c r="P290" s="28" t="str">
        <f t="shared" si="6"/>
        <v/>
      </c>
      <c r="Q290" s="28" t="str">
        <f t="array" ref="Q290">IF($I289="","",XLOOKUP(C290,FSM_State_Map!A:A,FSM_State_Map!D:D,""))</f>
        <v/>
      </c>
      <c r="R290" s="28" t="str">
        <f t="shared" si="7"/>
        <v/>
      </c>
      <c r="S290" s="28" t="str">
        <f t="array" ref="S290">IF($I289="","",
IF(
  AND(C290="B",C289&lt;&gt;"B"),
  XLOOKUP($B290,Derived_Variables!$A:$A,Derived_Variables!$K:$K,0)
  + XLOOKUP($B290,Derived_Variables!$A:$A,Derived_Variables!$AE:$AE,0),
  S289+AM289
))</f>
        <v/>
      </c>
      <c r="T290" s="28" t="str">
        <f t="shared" ref="T290:U290" si="590">IF($I289="","",T289+AN289)</f>
        <v/>
      </c>
      <c r="U290" s="28" t="str">
        <f t="shared" si="590"/>
        <v/>
      </c>
      <c r="V290" s="28" t="str">
        <f t="array" ref="V290">IF($I289="","",
IF(
  AND(C290="D",C289&lt;&gt;"D"),
  XLOOKUP($B290,Derived_Variables!$A:$A,Derived_Variables!$N:$N,0)
  + XLOOKUP($B290,Derived_Variables!$A:$A,Derived_Variables!$AE:$AE,0),
  V289+AP289
))</f>
        <v/>
      </c>
      <c r="W290" s="28" t="str">
        <f t="shared" ref="W290:X290" si="591">IF($I289="","",W289+AQ289)</f>
        <v/>
      </c>
      <c r="X290" s="28" t="str">
        <f t="shared" si="591"/>
        <v/>
      </c>
      <c r="Y290" s="28" t="str">
        <f t="array" ref="Y290">IF($I289="","",IF(AND(C290="P",C289&lt;&gt;"P"),IFERROR(XLOOKUP($B290,Lenso_Input!$A:$A,Lenso_Input!$E:$E,0),0),Y289+AS289))</f>
        <v/>
      </c>
      <c r="Z290" s="28" t="str">
        <f t="array" ref="Z290">IF($I289="","",IF(AND(C290="Q",C289&lt;&gt;"Q"),IFERROR(XLOOKUP($B290,Lenso_Input!$A:$A,Lenso_Input!$I:$I,0),0),Z289+AT289))</f>
        <v/>
      </c>
      <c r="AA290" s="28" t="str">
        <f t="array" ref="AA290">IF($I289="","",IF(XLOOKUP($B290,Derived_Variables!$A:$A,Derived_Variables!$R:$R,"6/6_target")="6/6_target","20_20_20","40_30_25"))</f>
        <v/>
      </c>
      <c r="AB290" s="28" t="str">
        <f t="array" ref="AB290">IF($I289="","",XLOOKUP(LOWER(XLOOKUP($B290,Derived_Variables!$A:$A,Derived_Variables!$T:$T,"Standard"))&amp;"_sph_step",Calibration!$B:$B,Calibration!$C:$C,0.25))</f>
        <v/>
      </c>
      <c r="AC290" s="28" t="str">
        <f t="array" ref="AC290">IF($I289="","",XLOOKUP(LOWER(XLOOKUP($B290,Derived_Variables!$A:$A,Derived_Variables!$T:$T,"Standard"))&amp;"_cyl_step",Calibration!$B:$B,Calibration!$C:$C,0.25))</f>
        <v/>
      </c>
      <c r="AD290" s="28" t="str">
        <f t="array" ref="AD290">IF($I289="","",IF(OR(C290="E",C290="H"),LET(startStep,XLOOKUP("axis_start_step",Calibration!$B:$B,Calibration!$C:$C,5),step1,XLOOKUP("axis_reversal_step_1",Calibration!$B:$B,Calibration!$C:$C,3),step2,XLOOKUP("axis_reversal_step_2",Calibration!$B:$B,Calibration!$C:$C,1),IF(OR(C289&lt;&gt;C290,AZ290="",AZ290="SAME",AZ290="CANT_TELL",I290="",I290="SAME",I290="CANT_TELL"),startStep,IF(OR(AND(AZ290="BETTER_1",I290="BETTER_2"),AND(AZ290="BETTER_2",I290="BETTER_1")),IF(AD289&gt;step1,step1,step2),AD289))),0))</f>
        <v/>
      </c>
      <c r="AE290" s="28" t="str">
        <f t="array" ref="AE290">IF($I289="","",XLOOKUP($B290,Derived_Variables!$A:$A,Derived_Variables!$AD:$AD,"No_Fog"))</f>
        <v/>
      </c>
      <c r="AF290" s="28" t="str">
        <f t="array" ref="AF290">IF($I289="","",XLOOKUP($B290,Derived_Variables!$A:$A,Derived_Variables!$AE:$AE,0))</f>
        <v/>
      </c>
      <c r="AG290" s="28" t="str">
        <f t="array" ref="AG290">IF($I289="","",XLOOKUP($B290,Derived_Variables!$A:$A,Derived_Variables!$AF:$AF,""))</f>
        <v/>
      </c>
      <c r="AH290" s="28" t="str">
        <f t="array" ref="AH290">IF($I289="","",XLOOKUP($B290,Derived_Variables!$A:$A,Derived_Variables!$AG:$AG,""))</f>
        <v/>
      </c>
      <c r="AI290" s="28" t="str">
        <f t="array" ref="AI290">IF($I289="","",XLOOKUP($B290,Derived_Variables!$A:$A,Derived_Variables!$AC:$AC,"Medium"))</f>
        <v/>
      </c>
      <c r="AJ290" s="28" t="str">
        <f t="array" ref="AJ290">IF($I289="","",XLOOKUP($B290,Derived_Variables!$A:$A,Derived_Variables!$Y:$Y,FALSE))</f>
        <v/>
      </c>
      <c r="AK290" s="28" t="str">
        <f t="array" ref="AK290">IF($I289="","",XLOOKUP($B290,Derived_Variables!$A:$A,Derived_Variables!$AA:$AA,"Normal"))</f>
        <v/>
      </c>
      <c r="AL290" s="28" t="str">
        <f t="array" ref="AL290">IF($I289="","",XLOOKUP($B290,Derived_Variables!$A:$A,Derived_Variables!$AB:$AB,"Normal"))</f>
        <v/>
      </c>
      <c r="AM290" s="28" t="str">
        <f t="array" ref="AM290">IF($I290="","",IFS(C290="B",IF(OR(I290="NOT_READABLE",I290="BLURRY"),-AB290,0),C290="G",IFS(I290="RED_CLEARER",XLOOKUP("duochrome_red_step",Calibration!$B:$B,Calibration!$C:$C,-0.25),I290="GREEN_CLEARER",XLOOKUP("duochrome_green_step",Calibration!$B:$B,Calibration!$C:$C,0.25),I290="EQUAL",IF(XLOOKUP($B290,Derived_Variables!$A:$A,Derived_Variables!$S:$S,"Neutral")="Undercorrect",XLOOKUP("undercorrect_step",Calibration!$B:$B,Calibration!$C:$C,0.25),IF(XLOOKUP($B290,Derived_Variables!$A:$A,Derived_Variables!$S:$S,"Neutral")="Overcorrect",-XLOOKUP("overcorrect_step",Calibration!$B:$B,Calibration!$C:$C,0.25),0)),TRUE,0),C290="K",IF(I290="TOP_CLEARER",XLOOKUP("bino_balance_step",Calibration!$B:$B,Calibration!$C:$C,0.25),0),TRUE,0))</f>
        <v/>
      </c>
      <c r="AN290" s="28" t="str">
        <f t="shared" si="10"/>
        <v/>
      </c>
      <c r="AO290" s="28" t="str">
        <f t="shared" si="11"/>
        <v/>
      </c>
      <c r="AP290" s="28" t="str">
        <f t="array" ref="AP290">IF($I290="","",IFS(C290="D",IF(OR(I290="NOT_READABLE",I290="BLURRY"),-AB290,0),C290="J",IFS(I290="RED_CLEARER",XLOOKUP("duochrome_red_step",Calibration!$B:$B,Calibration!$C:$C,-0.25),I290="GREEN_CLEARER",XLOOKUP("duochrome_green_step",Calibration!$B:$B,Calibration!$C:$C,0.25),I290="EQUAL",IF(XLOOKUP($B290,Derived_Variables!$A:$A,Derived_Variables!$S:$S,"Neutral")="Undercorrect",XLOOKUP("undercorrect_step",Calibration!$B:$B,Calibration!$C:$C,0.25),IF(XLOOKUP($B290,Derived_Variables!$A:$A,Derived_Variables!$S:$S,"Neutral")="Overcorrect",-XLOOKUP("overcorrect_step",Calibration!$B:$B,Calibration!$C:$C,0.25),0)),TRUE,0),C290="K",IF(I290="BOTTOM_CLEARER",XLOOKUP("bino_balance_step",Calibration!$B:$B,Calibration!$C:$C,0.25),0),TRUE,0))</f>
        <v/>
      </c>
      <c r="AQ290" s="28" t="str">
        <f t="shared" si="12"/>
        <v/>
      </c>
      <c r="AR290" s="28" t="str">
        <f t="shared" si="13"/>
        <v/>
      </c>
      <c r="AS290" s="28" t="str">
        <f t="array" ref="AS290">IF($I290="","",IF(C290="P",IF(OR(I290="NOT_READABLE",I290="BLURRY"),XLOOKUP("near_add_step",Calibration!$B:$B,Calibration!$C:$C,0.25),0),IF(C290="R",IF(I290="NOT_CLEAR",XLOOKUP("near_add_step",Calibration!$B:$B,Calibration!$C:$C,0.25),0),0)))</f>
        <v/>
      </c>
      <c r="AT290" s="28" t="str">
        <f t="array" ref="AT290">IF($I290="","",IF(C290="Q",IF(OR(I290="NOT_READABLE",I290="BLURRY"),XLOOKUP("near_add_step",Calibration!$B:$B,Calibration!$C:$C,0.25),0),IF(C290="R",IF(I290="NOT_CLEAR",XLOOKUP("near_add_step",Calibration!$B:$B,Calibration!$C:$C,0.25),0),0)))</f>
        <v/>
      </c>
      <c r="AU290" s="28" t="str">
        <f t="array" ref="AU290">IF($I290="","",IF(G290="SNELLEN_FEET",IF(I290="READABLE",IFERROR(XLOOKUP(XLOOKUP(R290,Chart_Scale_Distance!B:B,Chart_Scale_Distance!A:A)+1,Chart_Scale_Distance!A:A,Chart_Scale_Distance!B:B),R290),R290),R290))</f>
        <v/>
      </c>
      <c r="AV290" s="28" t="str">
        <f t="array" ref="AV290">IF($I289="","",IFERROR(XLOOKUP(R290,Chart_Scale_Distance!$B:$B,Chart_Scale_Distance!$A:$A,""),""))</f>
        <v/>
      </c>
      <c r="AW290" s="28" t="str">
        <f t="array" ref="AW290">IF($I289="","",IFERROR(XLOOKUP(AA290,Chart_Scale_Distance!$B:$B,Chart_Scale_Distance!$A:$A,""),""))</f>
        <v/>
      </c>
      <c r="AX290" s="28" t="str">
        <f t="shared" si="14"/>
        <v/>
      </c>
      <c r="AY290" s="28" t="str">
        <f t="shared" si="15"/>
        <v/>
      </c>
      <c r="AZ290" s="28" t="str">
        <f t="shared" si="16"/>
        <v/>
      </c>
      <c r="BA290" s="28" t="str">
        <f t="shared" si="17"/>
        <v/>
      </c>
      <c r="BB290" s="28" t="str">
        <f t="shared" si="18"/>
        <v/>
      </c>
      <c r="BC290" s="28" t="str">
        <f t="array" ref="BC290">IF($I290="","",LET(
conf,AI290,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duoMax,XLOOKUP($B290,Derived_Variables!$A:$A,Derived_Variables!$AI:$AI,4),
axisTol,XLOOKUP($B290,Derived_Variables!$A:$A,Derived_Variables!$W:$W,1),
maxStart,XLOOKUP($B290,Derived_Variables!$A:$A,Derived_Variables!$U:$U,1.25),
maxAR,XLOOKUP($B290,Derived_Variables!$A:$A,Derived_Variables!$V:$V,3),
anom,XLOOKUP($B290,Derived_Variables!$A:$A,Derived_Variables!$Z:$Z,FALSE),
reStart,XLOOKUP($B290,Derived_Variables!$A:$A,Derived_Variables!$K:$K,0),
leStart,XLOOKUP($B290,Derived_Variables!$A:$A,Derived_Variables!$N:$N,0),
reAR,XLOOKUP($B290,AR_Input!$A:$A,AR_Input!$B:$B,reStart),
leAR,XLOOKUP($B290,AR_Input!$A:$A,AR_Input!$E:$E,leStart),
reEsc,AND(anom,OR(ABS((S290+AM290)-reStart)&gt;maxStart,ABS((S290+AM290)-reAR)&gt;maxAR)),
leEsc,AND(anom,OR(ABS((V290+AP290)-leStart)&gt;maxStart,ABS((V290+AP290)-leAR)&gt;maxAR)),
phaseMax,IFS(
 AK290="Fast",
   IFS(
     OR(C290="B",C290="D"),XLOOKUP("timeout_coarse_fast",Calibration!$B:$B,Calibration!$C:$C,24),
     OR(C290="E",C290="F",C290="H",C290="I"),XLOOKUP("timeout_jcc_fast",Calibration!$B:$B,Calibration!$C:$C,10),
     OR(C290="G",C290="J"),XLOOKUP("timeout_duochrome_fast",Calibration!$B:$B,Calibration!$C:$C,8),
     C290="K",XLOOKUP("timeout_bino_fast",Calibration!$B:$B,Calibration!$C:$C,10),
     OR(C290="P",C290="Q",C290="R"),XLOOKUP("timeout_near_fast",Calibration!$B:$B,Calibration!$C:$C,16),
     TRUE,XLOOKUP("timeout_coarse_fast",Calibration!$B:$B,Calibration!$C:$C,24)
   ),
 AK290="Normal",
   IFS(
     OR(C290="B",C290="D"),XLOOKUP("timeout_coarse_normal",Calibration!$B:$B,Calibration!$C:$C,36),
     OR(C290="E",C290="F",C290="H",C290="I"),XLOOKUP("timeout_jcc_normal",Calibration!$B:$B,Calibration!$C:$C,14),
     OR(C290="G",C290="J"),XLOOKUP("timeout_duochrome_normal",Calibration!$B:$B,Calibration!$C:$C,10),
     C290="K",XLOOKUP("timeout_bino_normal",Calibration!$B:$B,Calibration!$C:$C,14),
     OR(C290="P",C290="Q",C290="R"),XLOOKUP("timeout_near_normal",Calibration!$B:$B,Calibration!$C:$C,22),
     TRUE,XLOOKUP("timeout_coarse_normal",Calibration!$B:$B,Calibration!$C:$C,36)
   ),
 TRUE,
   IFS(
     OR(C290="B",C290="D"),XLOOKUP("timeout_coarse_slow",Calibration!$B:$B,Calibration!$C:$C,48),
     OR(C290="E",C290="F",C290="H",C290="I"),XLOOKUP("timeout_jcc_slow",Calibration!$B:$B,Calibration!$C:$C,18),
     OR(C290="G",C290="J"),XLOOKUP("timeout_duochrome_slow",Calibration!$B:$B,Calibration!$C:$C,12),
     C290="K",XLOOKUP("timeout_bino_slow",Calibration!$B:$B,Calibration!$C:$C,18),
     OR(C290="P",C290="Q",C290="R"),XLOOKUP("timeout_near_slow",Calibration!$B:$B,Calibration!$C:$C,28),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AJ290=TRUE,"ESCALATE",
C290="A",
IF(OR(I290="NOT_READABLE",I290="BLURRY",AND(R290="20_20_20",I290="READABLE")),"B","A"),
C290="B",
IF(reEsc,"ESCALATE",IF(AY290&gt;=phaseMax,"ESCALATE",IF(AND(AV290&gt;=AW290,I290="READABLE"),"E","B"))),
C290="E",
IF(AY290&gt;=phaseMax,"ESCALATE",IF(OR(I290="SAME",I290="CANT_TELL",AD290&lt;axisTol),"F","E")),
C290="F",
IF(AY290&gt;=phaseMax,"ESCALATE",IF(AX290&gt;=powerSameN,"G","F")),
C290="G",
IF(AY290&gt;=phaseMax,"ESCALATE",IF(OR(AX290&gt;=duoEqualN,BB290&gt;=duoMax),"D","G")),
C290="D",
IF(leEsc,"ESCALATE",IF(AY290&gt;=phaseMax,"ESCALATE",IF(AND(AV290&gt;=AW290,I290="READABLE"),"H","D"))),
C290="H",
IF(AY290&gt;=phaseMax,"ESCALATE",IF(OR(I290="SAME",I290="CANT_TELL",AD290&lt;axisTol),"I","H")),
C290="I",
IF(AY290&gt;=phaseMax,"ESCALATE",IF(AX290&gt;=powerSameN,"J","I")),
C290="J",
IF(AY290&gt;=phaseMax,"ESCALATE",IF(OR(AX290&gt;=duoEqualN,BB290&gt;=duoMax),"K","J")),
C290="K",
IF(AY290&gt;=phaseMax,"ESCALATE",IF(AX290&gt;=binoSameN,IF(XLOOKUP($B290,Derived_Variables!$A:$A,Derived_Variables!$AJ:$AJ,FALSE)=TRUE,"P","END"),"K")),
C290="P",
IF(AY290&gt;=phaseMax,"ESCALATE",IF(OR(I290="READABLE",I290="SAME"),"Q","P")),
C290="Q",
IF(AY290&gt;=phaseMax,"ESCALATE",IF(OR(I290="READABLE",I290="SAME"),"R","Q")),
C290="R",
IF(AY290&gt;=phaseMax,"ESCALATE",IF(OR(I290=nearTarget,I290="SAME"),"END","R")),
TRUE,"END"
)))</f>
        <v/>
      </c>
      <c r="BD290" s="28" t="b">
        <f t="shared" si="19"/>
        <v>0</v>
      </c>
    </row>
    <row r="291" ht="15.75" customHeight="1">
      <c r="A291" s="28">
        <f t="shared" si="3"/>
        <v>290</v>
      </c>
      <c r="B291" s="28">
        <f t="shared" si="4"/>
        <v>6</v>
      </c>
      <c r="C291" s="28" t="str">
        <f t="shared" si="5"/>
        <v/>
      </c>
      <c r="D291" s="28" t="str">
        <f t="array" ref="D291">IF($I290="","",XLOOKUP(C291,FSM_State_Map!A:A,FSM_State_Map!B:B,""))</f>
        <v/>
      </c>
      <c r="E291" s="28" t="str">
        <f t="array" ref="E291">IF($I290="","",XLOOKUP(C291,FSM_State_Map!A:A,FSM_State_Map!C:C,""))</f>
        <v/>
      </c>
      <c r="F291" s="28" t="str">
        <f t="array" ref="F291">IF($I290="","",XLOOKUP(E291,Phase_UI_Map!A:A,Phase_UI_Map!B:B,""))</f>
        <v/>
      </c>
      <c r="G291" s="28" t="str">
        <f t="array" ref="G291">IF($I290="","",XLOOKUP(E291,Phase_UI_Map!A:A,Phase_UI_Map!C:C,""))</f>
        <v/>
      </c>
      <c r="H291" s="28" t="str">
        <f t="array" ref="H291">IF($I290="","",XLOOKUP(E291,Phase_UI_Map!A:A,Phase_UI_Map!D:D,""))</f>
        <v/>
      </c>
      <c r="I291" s="29"/>
      <c r="J291" s="28" t="str">
        <f>IFERROR(__xludf.DUMMYFUNCTION("IF($I290="""","""",IFERROR(INDEX(FILTER(Response_Lists!$B:$B,Response_Lists!$A:$A=$H291),1),""""))"),"")</f>
        <v/>
      </c>
      <c r="K291" s="28" t="str">
        <f>IFERROR(__xludf.DUMMYFUNCTION("IF($I290="""","""",IFERROR(INDEX(FILTER(Response_Lists!$B:$B,Response_Lists!$A:$A=$H291),2),""""))"),"")</f>
        <v/>
      </c>
      <c r="L291" s="28" t="str">
        <f>IFERROR(__xludf.DUMMYFUNCTION("IF($I290="""","""",IFERROR(INDEX(FILTER(Response_Lists!$B:$B,Response_Lists!$A:$A=$H291),3),""""))"),"")</f>
        <v/>
      </c>
      <c r="M291" s="28" t="str">
        <f>IFERROR(__xludf.DUMMYFUNCTION("IF($I290="""","""",IFERROR(INDEX(FILTER(Response_Lists!$B:$B,Response_Lists!$A:$A=$H291),4),""""))"),"")</f>
        <v/>
      </c>
      <c r="N291" s="28" t="str">
        <f>IFERROR(__xludf.DUMMYFUNCTION("IF($I290="""","""",IFERROR(INDEX(FILTER(Response_Lists!$B:$B,Response_Lists!$A:$A=$H291),5),""""))"),"")</f>
        <v/>
      </c>
      <c r="O291" s="28" t="str">
        <f>IFERROR(__xludf.DUMMYFUNCTION("IF($I290="""","""",IFERROR(INDEX(FILTER(Response_Lists!$B:$B,Response_Lists!$A:$A=$H291),6),""""))"),"")</f>
        <v/>
      </c>
      <c r="P291" s="28" t="str">
        <f t="shared" si="6"/>
        <v/>
      </c>
      <c r="Q291" s="28" t="str">
        <f t="array" ref="Q291">IF($I290="","",XLOOKUP(C291,FSM_State_Map!A:A,FSM_State_Map!D:D,""))</f>
        <v/>
      </c>
      <c r="R291" s="28" t="str">
        <f t="shared" si="7"/>
        <v/>
      </c>
      <c r="S291" s="28" t="str">
        <f t="array" ref="S291">IF($I290="","",
IF(
  AND(C291="B",C290&lt;&gt;"B"),
  XLOOKUP($B291,Derived_Variables!$A:$A,Derived_Variables!$K:$K,0)
  + XLOOKUP($B291,Derived_Variables!$A:$A,Derived_Variables!$AE:$AE,0),
  S290+AM290
))</f>
        <v/>
      </c>
      <c r="T291" s="28" t="str">
        <f t="shared" ref="T291:U291" si="592">IF($I290="","",T290+AN290)</f>
        <v/>
      </c>
      <c r="U291" s="28" t="str">
        <f t="shared" si="592"/>
        <v/>
      </c>
      <c r="V291" s="28" t="str">
        <f t="array" ref="V291">IF($I290="","",
IF(
  AND(C291="D",C290&lt;&gt;"D"),
  XLOOKUP($B291,Derived_Variables!$A:$A,Derived_Variables!$N:$N,0)
  + XLOOKUP($B291,Derived_Variables!$A:$A,Derived_Variables!$AE:$AE,0),
  V290+AP290
))</f>
        <v/>
      </c>
      <c r="W291" s="28" t="str">
        <f t="shared" ref="W291:X291" si="593">IF($I290="","",W290+AQ290)</f>
        <v/>
      </c>
      <c r="X291" s="28" t="str">
        <f t="shared" si="593"/>
        <v/>
      </c>
      <c r="Y291" s="28" t="str">
        <f t="array" ref="Y291">IF($I290="","",IF(AND(C291="P",C290&lt;&gt;"P"),IFERROR(XLOOKUP($B291,Lenso_Input!$A:$A,Lenso_Input!$E:$E,0),0),Y290+AS290))</f>
        <v/>
      </c>
      <c r="Z291" s="28" t="str">
        <f t="array" ref="Z291">IF($I290="","",IF(AND(C291="Q",C290&lt;&gt;"Q"),IFERROR(XLOOKUP($B291,Lenso_Input!$A:$A,Lenso_Input!$I:$I,0),0),Z290+AT290))</f>
        <v/>
      </c>
      <c r="AA291" s="28" t="str">
        <f t="array" ref="AA291">IF($I290="","",IF(XLOOKUP($B291,Derived_Variables!$A:$A,Derived_Variables!$R:$R,"6/6_target")="6/6_target","20_20_20","40_30_25"))</f>
        <v/>
      </c>
      <c r="AB291" s="28" t="str">
        <f t="array" ref="AB291">IF($I290="","",XLOOKUP(LOWER(XLOOKUP($B291,Derived_Variables!$A:$A,Derived_Variables!$T:$T,"Standard"))&amp;"_sph_step",Calibration!$B:$B,Calibration!$C:$C,0.25))</f>
        <v/>
      </c>
      <c r="AC291" s="28" t="str">
        <f t="array" ref="AC291">IF($I290="","",XLOOKUP(LOWER(XLOOKUP($B291,Derived_Variables!$A:$A,Derived_Variables!$T:$T,"Standard"))&amp;"_cyl_step",Calibration!$B:$B,Calibration!$C:$C,0.25))</f>
        <v/>
      </c>
      <c r="AD291" s="28" t="str">
        <f t="array" ref="AD291">IF($I290="","",IF(OR(C291="E",C291="H"),LET(startStep,XLOOKUP("axis_start_step",Calibration!$B:$B,Calibration!$C:$C,5),step1,XLOOKUP("axis_reversal_step_1",Calibration!$B:$B,Calibration!$C:$C,3),step2,XLOOKUP("axis_reversal_step_2",Calibration!$B:$B,Calibration!$C:$C,1),IF(OR(C290&lt;&gt;C291,AZ291="",AZ291="SAME",AZ291="CANT_TELL",I291="",I291="SAME",I291="CANT_TELL"),startStep,IF(OR(AND(AZ291="BETTER_1",I291="BETTER_2"),AND(AZ291="BETTER_2",I291="BETTER_1")),IF(AD290&gt;step1,step1,step2),AD290))),0))</f>
        <v/>
      </c>
      <c r="AE291" s="28" t="str">
        <f t="array" ref="AE291">IF($I290="","",XLOOKUP($B291,Derived_Variables!$A:$A,Derived_Variables!$AD:$AD,"No_Fog"))</f>
        <v/>
      </c>
      <c r="AF291" s="28" t="str">
        <f t="array" ref="AF291">IF($I290="","",XLOOKUP($B291,Derived_Variables!$A:$A,Derived_Variables!$AE:$AE,0))</f>
        <v/>
      </c>
      <c r="AG291" s="28" t="str">
        <f t="array" ref="AG291">IF($I290="","",XLOOKUP($B291,Derived_Variables!$A:$A,Derived_Variables!$AF:$AF,""))</f>
        <v/>
      </c>
      <c r="AH291" s="28" t="str">
        <f t="array" ref="AH291">IF($I290="","",XLOOKUP($B291,Derived_Variables!$A:$A,Derived_Variables!$AG:$AG,""))</f>
        <v/>
      </c>
      <c r="AI291" s="28" t="str">
        <f t="array" ref="AI291">IF($I290="","",XLOOKUP($B291,Derived_Variables!$A:$A,Derived_Variables!$AC:$AC,"Medium"))</f>
        <v/>
      </c>
      <c r="AJ291" s="28" t="str">
        <f t="array" ref="AJ291">IF($I290="","",XLOOKUP($B291,Derived_Variables!$A:$A,Derived_Variables!$Y:$Y,FALSE))</f>
        <v/>
      </c>
      <c r="AK291" s="28" t="str">
        <f t="array" ref="AK291">IF($I290="","",XLOOKUP($B291,Derived_Variables!$A:$A,Derived_Variables!$AA:$AA,"Normal"))</f>
        <v/>
      </c>
      <c r="AL291" s="28" t="str">
        <f t="array" ref="AL291">IF($I290="","",XLOOKUP($B291,Derived_Variables!$A:$A,Derived_Variables!$AB:$AB,"Normal"))</f>
        <v/>
      </c>
      <c r="AM291" s="28" t="str">
        <f t="array" ref="AM291">IF($I291="","",IFS(C291="B",IF(OR(I291="NOT_READABLE",I291="BLURRY"),-AB291,0),C291="G",IFS(I291="RED_CLEARER",XLOOKUP("duochrome_red_step",Calibration!$B:$B,Calibration!$C:$C,-0.25),I291="GREEN_CLEARER",XLOOKUP("duochrome_green_step",Calibration!$B:$B,Calibration!$C:$C,0.25),I291="EQUAL",IF(XLOOKUP($B291,Derived_Variables!$A:$A,Derived_Variables!$S:$S,"Neutral")="Undercorrect",XLOOKUP("undercorrect_step",Calibration!$B:$B,Calibration!$C:$C,0.25),IF(XLOOKUP($B291,Derived_Variables!$A:$A,Derived_Variables!$S:$S,"Neutral")="Overcorrect",-XLOOKUP("overcorrect_step",Calibration!$B:$B,Calibration!$C:$C,0.25),0)),TRUE,0),C291="K",IF(I291="TOP_CLEARER",XLOOKUP("bino_balance_step",Calibration!$B:$B,Calibration!$C:$C,0.25),0),TRUE,0))</f>
        <v/>
      </c>
      <c r="AN291" s="28" t="str">
        <f t="shared" si="10"/>
        <v/>
      </c>
      <c r="AO291" s="28" t="str">
        <f t="shared" si="11"/>
        <v/>
      </c>
      <c r="AP291" s="28" t="str">
        <f t="array" ref="AP291">IF($I291="","",IFS(C291="D",IF(OR(I291="NOT_READABLE",I291="BLURRY"),-AB291,0),C291="J",IFS(I291="RED_CLEARER",XLOOKUP("duochrome_red_step",Calibration!$B:$B,Calibration!$C:$C,-0.25),I291="GREEN_CLEARER",XLOOKUP("duochrome_green_step",Calibration!$B:$B,Calibration!$C:$C,0.25),I291="EQUAL",IF(XLOOKUP($B291,Derived_Variables!$A:$A,Derived_Variables!$S:$S,"Neutral")="Undercorrect",XLOOKUP("undercorrect_step",Calibration!$B:$B,Calibration!$C:$C,0.25),IF(XLOOKUP($B291,Derived_Variables!$A:$A,Derived_Variables!$S:$S,"Neutral")="Overcorrect",-XLOOKUP("overcorrect_step",Calibration!$B:$B,Calibration!$C:$C,0.25),0)),TRUE,0),C291="K",IF(I291="BOTTOM_CLEARER",XLOOKUP("bino_balance_step",Calibration!$B:$B,Calibration!$C:$C,0.25),0),TRUE,0))</f>
        <v/>
      </c>
      <c r="AQ291" s="28" t="str">
        <f t="shared" si="12"/>
        <v/>
      </c>
      <c r="AR291" s="28" t="str">
        <f t="shared" si="13"/>
        <v/>
      </c>
      <c r="AS291" s="28" t="str">
        <f t="array" ref="AS291">IF($I291="","",IF(C291="P",IF(OR(I291="NOT_READABLE",I291="BLURRY"),XLOOKUP("near_add_step",Calibration!$B:$B,Calibration!$C:$C,0.25),0),IF(C291="R",IF(I291="NOT_CLEAR",XLOOKUP("near_add_step",Calibration!$B:$B,Calibration!$C:$C,0.25),0),0)))</f>
        <v/>
      </c>
      <c r="AT291" s="28" t="str">
        <f t="array" ref="AT291">IF($I291="","",IF(C291="Q",IF(OR(I291="NOT_READABLE",I291="BLURRY"),XLOOKUP("near_add_step",Calibration!$B:$B,Calibration!$C:$C,0.25),0),IF(C291="R",IF(I291="NOT_CLEAR",XLOOKUP("near_add_step",Calibration!$B:$B,Calibration!$C:$C,0.25),0),0)))</f>
        <v/>
      </c>
      <c r="AU291" s="28" t="str">
        <f t="array" ref="AU291">IF($I291="","",IF(G291="SNELLEN_FEET",IF(I291="READABLE",IFERROR(XLOOKUP(XLOOKUP(R291,Chart_Scale_Distance!B:B,Chart_Scale_Distance!A:A)+1,Chart_Scale_Distance!A:A,Chart_Scale_Distance!B:B),R291),R291),R291))</f>
        <v/>
      </c>
      <c r="AV291" s="28" t="str">
        <f t="array" ref="AV291">IF($I290="","",IFERROR(XLOOKUP(R291,Chart_Scale_Distance!$B:$B,Chart_Scale_Distance!$A:$A,""),""))</f>
        <v/>
      </c>
      <c r="AW291" s="28" t="str">
        <f t="array" ref="AW291">IF($I290="","",IFERROR(XLOOKUP(AA291,Chart_Scale_Distance!$B:$B,Chart_Scale_Distance!$A:$A,""),""))</f>
        <v/>
      </c>
      <c r="AX291" s="28" t="str">
        <f t="shared" si="14"/>
        <v/>
      </c>
      <c r="AY291" s="28" t="str">
        <f t="shared" si="15"/>
        <v/>
      </c>
      <c r="AZ291" s="28" t="str">
        <f t="shared" si="16"/>
        <v/>
      </c>
      <c r="BA291" s="28" t="str">
        <f t="shared" si="17"/>
        <v/>
      </c>
      <c r="BB291" s="28" t="str">
        <f t="shared" si="18"/>
        <v/>
      </c>
      <c r="BC291" s="28" t="str">
        <f t="array" ref="BC291">IF($I291="","",LET(
conf,AI291,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duoMax,XLOOKUP($B291,Derived_Variables!$A:$A,Derived_Variables!$AI:$AI,4),
axisTol,XLOOKUP($B291,Derived_Variables!$A:$A,Derived_Variables!$W:$W,1),
maxStart,XLOOKUP($B291,Derived_Variables!$A:$A,Derived_Variables!$U:$U,1.25),
maxAR,XLOOKUP($B291,Derived_Variables!$A:$A,Derived_Variables!$V:$V,3),
anom,XLOOKUP($B291,Derived_Variables!$A:$A,Derived_Variables!$Z:$Z,FALSE),
reStart,XLOOKUP($B291,Derived_Variables!$A:$A,Derived_Variables!$K:$K,0),
leStart,XLOOKUP($B291,Derived_Variables!$A:$A,Derived_Variables!$N:$N,0),
reAR,XLOOKUP($B291,AR_Input!$A:$A,AR_Input!$B:$B,reStart),
leAR,XLOOKUP($B291,AR_Input!$A:$A,AR_Input!$E:$E,leStart),
reEsc,AND(anom,OR(ABS((S291+AM291)-reStart)&gt;maxStart,ABS((S291+AM291)-reAR)&gt;maxAR)),
leEsc,AND(anom,OR(ABS((V291+AP291)-leStart)&gt;maxStart,ABS((V291+AP291)-leAR)&gt;maxAR)),
phaseMax,IFS(
 AK291="Fast",
   IFS(
     OR(C291="B",C291="D"),XLOOKUP("timeout_coarse_fast",Calibration!$B:$B,Calibration!$C:$C,24),
     OR(C291="E",C291="F",C291="H",C291="I"),XLOOKUP("timeout_jcc_fast",Calibration!$B:$B,Calibration!$C:$C,10),
     OR(C291="G",C291="J"),XLOOKUP("timeout_duochrome_fast",Calibration!$B:$B,Calibration!$C:$C,8),
     C291="K",XLOOKUP("timeout_bino_fast",Calibration!$B:$B,Calibration!$C:$C,10),
     OR(C291="P",C291="Q",C291="R"),XLOOKUP("timeout_near_fast",Calibration!$B:$B,Calibration!$C:$C,16),
     TRUE,XLOOKUP("timeout_coarse_fast",Calibration!$B:$B,Calibration!$C:$C,24)
   ),
 AK291="Normal",
   IFS(
     OR(C291="B",C291="D"),XLOOKUP("timeout_coarse_normal",Calibration!$B:$B,Calibration!$C:$C,36),
     OR(C291="E",C291="F",C291="H",C291="I"),XLOOKUP("timeout_jcc_normal",Calibration!$B:$B,Calibration!$C:$C,14),
     OR(C291="G",C291="J"),XLOOKUP("timeout_duochrome_normal",Calibration!$B:$B,Calibration!$C:$C,10),
     C291="K",XLOOKUP("timeout_bino_normal",Calibration!$B:$B,Calibration!$C:$C,14),
     OR(C291="P",C291="Q",C291="R"),XLOOKUP("timeout_near_normal",Calibration!$B:$B,Calibration!$C:$C,22),
     TRUE,XLOOKUP("timeout_coarse_normal",Calibration!$B:$B,Calibration!$C:$C,36)
   ),
 TRUE,
   IFS(
     OR(C291="B",C291="D"),XLOOKUP("timeout_coarse_slow",Calibration!$B:$B,Calibration!$C:$C,48),
     OR(C291="E",C291="F",C291="H",C291="I"),XLOOKUP("timeout_jcc_slow",Calibration!$B:$B,Calibration!$C:$C,18),
     OR(C291="G",C291="J"),XLOOKUP("timeout_duochrome_slow",Calibration!$B:$B,Calibration!$C:$C,12),
     C291="K",XLOOKUP("timeout_bino_slow",Calibration!$B:$B,Calibration!$C:$C,18),
     OR(C291="P",C291="Q",C291="R"),XLOOKUP("timeout_near_slow",Calibration!$B:$B,Calibration!$C:$C,28),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AJ291=TRUE,"ESCALATE",
C291="A",
IF(OR(I291="NOT_READABLE",I291="BLURRY",AND(R291="20_20_20",I291="READABLE")),"B","A"),
C291="B",
IF(reEsc,"ESCALATE",IF(AY291&gt;=phaseMax,"ESCALATE",IF(AND(AV291&gt;=AW291,I291="READABLE"),"E","B"))),
C291="E",
IF(AY291&gt;=phaseMax,"ESCALATE",IF(OR(I291="SAME",I291="CANT_TELL",AD291&lt;axisTol),"F","E")),
C291="F",
IF(AY291&gt;=phaseMax,"ESCALATE",IF(AX291&gt;=powerSameN,"G","F")),
C291="G",
IF(AY291&gt;=phaseMax,"ESCALATE",IF(OR(AX291&gt;=duoEqualN,BB291&gt;=duoMax),"D","G")),
C291="D",
IF(leEsc,"ESCALATE",IF(AY291&gt;=phaseMax,"ESCALATE",IF(AND(AV291&gt;=AW291,I291="READABLE"),"H","D"))),
C291="H",
IF(AY291&gt;=phaseMax,"ESCALATE",IF(OR(I291="SAME",I291="CANT_TELL",AD291&lt;axisTol),"I","H")),
C291="I",
IF(AY291&gt;=phaseMax,"ESCALATE",IF(AX291&gt;=powerSameN,"J","I")),
C291="J",
IF(AY291&gt;=phaseMax,"ESCALATE",IF(OR(AX291&gt;=duoEqualN,BB291&gt;=duoMax),"K","J")),
C291="K",
IF(AY291&gt;=phaseMax,"ESCALATE",IF(AX291&gt;=binoSameN,IF(XLOOKUP($B291,Derived_Variables!$A:$A,Derived_Variables!$AJ:$AJ,FALSE)=TRUE,"P","END"),"K")),
C291="P",
IF(AY291&gt;=phaseMax,"ESCALATE",IF(OR(I291="READABLE",I291="SAME"),"Q","P")),
C291="Q",
IF(AY291&gt;=phaseMax,"ESCALATE",IF(OR(I291="READABLE",I291="SAME"),"R","Q")),
C291="R",
IF(AY291&gt;=phaseMax,"ESCALATE",IF(OR(I291=nearTarget,I291="SAME"),"END","R")),
TRUE,"END"
)))</f>
        <v/>
      </c>
      <c r="BD291" s="28" t="b">
        <f t="shared" si="19"/>
        <v>0</v>
      </c>
    </row>
    <row r="292" ht="15.75" customHeight="1">
      <c r="A292" s="28">
        <f t="shared" si="3"/>
        <v>291</v>
      </c>
      <c r="B292" s="28">
        <f t="shared" si="4"/>
        <v>6</v>
      </c>
      <c r="C292" s="28" t="str">
        <f t="shared" si="5"/>
        <v/>
      </c>
      <c r="D292" s="28" t="str">
        <f t="array" ref="D292">IF($I291="","",XLOOKUP(C292,FSM_State_Map!A:A,FSM_State_Map!B:B,""))</f>
        <v/>
      </c>
      <c r="E292" s="28" t="str">
        <f t="array" ref="E292">IF($I291="","",XLOOKUP(C292,FSM_State_Map!A:A,FSM_State_Map!C:C,""))</f>
        <v/>
      </c>
      <c r="F292" s="28" t="str">
        <f t="array" ref="F292">IF($I291="","",XLOOKUP(E292,Phase_UI_Map!A:A,Phase_UI_Map!B:B,""))</f>
        <v/>
      </c>
      <c r="G292" s="28" t="str">
        <f t="array" ref="G292">IF($I291="","",XLOOKUP(E292,Phase_UI_Map!A:A,Phase_UI_Map!C:C,""))</f>
        <v/>
      </c>
      <c r="H292" s="28" t="str">
        <f t="array" ref="H292">IF($I291="","",XLOOKUP(E292,Phase_UI_Map!A:A,Phase_UI_Map!D:D,""))</f>
        <v/>
      </c>
      <c r="I292" s="29"/>
      <c r="J292" s="28" t="str">
        <f>IFERROR(__xludf.DUMMYFUNCTION("IF($I291="""","""",IFERROR(INDEX(FILTER(Response_Lists!$B:$B,Response_Lists!$A:$A=$H292),1),""""))"),"")</f>
        <v/>
      </c>
      <c r="K292" s="28" t="str">
        <f>IFERROR(__xludf.DUMMYFUNCTION("IF($I291="""","""",IFERROR(INDEX(FILTER(Response_Lists!$B:$B,Response_Lists!$A:$A=$H292),2),""""))"),"")</f>
        <v/>
      </c>
      <c r="L292" s="28" t="str">
        <f>IFERROR(__xludf.DUMMYFUNCTION("IF($I291="""","""",IFERROR(INDEX(FILTER(Response_Lists!$B:$B,Response_Lists!$A:$A=$H292),3),""""))"),"")</f>
        <v/>
      </c>
      <c r="M292" s="28" t="str">
        <f>IFERROR(__xludf.DUMMYFUNCTION("IF($I291="""","""",IFERROR(INDEX(FILTER(Response_Lists!$B:$B,Response_Lists!$A:$A=$H292),4),""""))"),"")</f>
        <v/>
      </c>
      <c r="N292" s="28" t="str">
        <f>IFERROR(__xludf.DUMMYFUNCTION("IF($I291="""","""",IFERROR(INDEX(FILTER(Response_Lists!$B:$B,Response_Lists!$A:$A=$H292),5),""""))"),"")</f>
        <v/>
      </c>
      <c r="O292" s="28" t="str">
        <f>IFERROR(__xludf.DUMMYFUNCTION("IF($I291="""","""",IFERROR(INDEX(FILTER(Response_Lists!$B:$B,Response_Lists!$A:$A=$H292),6),""""))"),"")</f>
        <v/>
      </c>
      <c r="P292" s="28" t="str">
        <f t="shared" si="6"/>
        <v/>
      </c>
      <c r="Q292" s="28" t="str">
        <f t="array" ref="Q292">IF($I291="","",XLOOKUP(C292,FSM_State_Map!A:A,FSM_State_Map!D:D,""))</f>
        <v/>
      </c>
      <c r="R292" s="28" t="str">
        <f t="shared" si="7"/>
        <v/>
      </c>
      <c r="S292" s="28" t="str">
        <f t="array" ref="S292">IF($I291="","",
IF(
  AND(C292="B",C291&lt;&gt;"B"),
  XLOOKUP($B292,Derived_Variables!$A:$A,Derived_Variables!$K:$K,0)
  + XLOOKUP($B292,Derived_Variables!$A:$A,Derived_Variables!$AE:$AE,0),
  S291+AM291
))</f>
        <v/>
      </c>
      <c r="T292" s="28" t="str">
        <f t="shared" ref="T292:U292" si="594">IF($I291="","",T291+AN291)</f>
        <v/>
      </c>
      <c r="U292" s="28" t="str">
        <f t="shared" si="594"/>
        <v/>
      </c>
      <c r="V292" s="28" t="str">
        <f t="array" ref="V292">IF($I291="","",
IF(
  AND(C292="D",C291&lt;&gt;"D"),
  XLOOKUP($B292,Derived_Variables!$A:$A,Derived_Variables!$N:$N,0)
  + XLOOKUP($B292,Derived_Variables!$A:$A,Derived_Variables!$AE:$AE,0),
  V291+AP291
))</f>
        <v/>
      </c>
      <c r="W292" s="28" t="str">
        <f t="shared" ref="W292:X292" si="595">IF($I291="","",W291+AQ291)</f>
        <v/>
      </c>
      <c r="X292" s="28" t="str">
        <f t="shared" si="595"/>
        <v/>
      </c>
      <c r="Y292" s="28" t="str">
        <f t="array" ref="Y292">IF($I291="","",IF(AND(C292="P",C291&lt;&gt;"P"),IFERROR(XLOOKUP($B292,Lenso_Input!$A:$A,Lenso_Input!$E:$E,0),0),Y291+AS291))</f>
        <v/>
      </c>
      <c r="Z292" s="28" t="str">
        <f t="array" ref="Z292">IF($I291="","",IF(AND(C292="Q",C291&lt;&gt;"Q"),IFERROR(XLOOKUP($B292,Lenso_Input!$A:$A,Lenso_Input!$I:$I,0),0),Z291+AT291))</f>
        <v/>
      </c>
      <c r="AA292" s="28" t="str">
        <f t="array" ref="AA292">IF($I291="","",IF(XLOOKUP($B292,Derived_Variables!$A:$A,Derived_Variables!$R:$R,"6/6_target")="6/6_target","20_20_20","40_30_25"))</f>
        <v/>
      </c>
      <c r="AB292" s="28" t="str">
        <f t="array" ref="AB292">IF($I291="","",XLOOKUP(LOWER(XLOOKUP($B292,Derived_Variables!$A:$A,Derived_Variables!$T:$T,"Standard"))&amp;"_sph_step",Calibration!$B:$B,Calibration!$C:$C,0.25))</f>
        <v/>
      </c>
      <c r="AC292" s="28" t="str">
        <f t="array" ref="AC292">IF($I291="","",XLOOKUP(LOWER(XLOOKUP($B292,Derived_Variables!$A:$A,Derived_Variables!$T:$T,"Standard"))&amp;"_cyl_step",Calibration!$B:$B,Calibration!$C:$C,0.25))</f>
        <v/>
      </c>
      <c r="AD292" s="28" t="str">
        <f t="array" ref="AD292">IF($I291="","",IF(OR(C292="E",C292="H"),LET(startStep,XLOOKUP("axis_start_step",Calibration!$B:$B,Calibration!$C:$C,5),step1,XLOOKUP("axis_reversal_step_1",Calibration!$B:$B,Calibration!$C:$C,3),step2,XLOOKUP("axis_reversal_step_2",Calibration!$B:$B,Calibration!$C:$C,1),IF(OR(C291&lt;&gt;C292,AZ292="",AZ292="SAME",AZ292="CANT_TELL",I292="",I292="SAME",I292="CANT_TELL"),startStep,IF(OR(AND(AZ292="BETTER_1",I292="BETTER_2"),AND(AZ292="BETTER_2",I292="BETTER_1")),IF(AD291&gt;step1,step1,step2),AD291))),0))</f>
        <v/>
      </c>
      <c r="AE292" s="28" t="str">
        <f t="array" ref="AE292">IF($I291="","",XLOOKUP($B292,Derived_Variables!$A:$A,Derived_Variables!$AD:$AD,"No_Fog"))</f>
        <v/>
      </c>
      <c r="AF292" s="28" t="str">
        <f t="array" ref="AF292">IF($I291="","",XLOOKUP($B292,Derived_Variables!$A:$A,Derived_Variables!$AE:$AE,0))</f>
        <v/>
      </c>
      <c r="AG292" s="28" t="str">
        <f t="array" ref="AG292">IF($I291="","",XLOOKUP($B292,Derived_Variables!$A:$A,Derived_Variables!$AF:$AF,""))</f>
        <v/>
      </c>
      <c r="AH292" s="28" t="str">
        <f t="array" ref="AH292">IF($I291="","",XLOOKUP($B292,Derived_Variables!$A:$A,Derived_Variables!$AG:$AG,""))</f>
        <v/>
      </c>
      <c r="AI292" s="28" t="str">
        <f t="array" ref="AI292">IF($I291="","",XLOOKUP($B292,Derived_Variables!$A:$A,Derived_Variables!$AC:$AC,"Medium"))</f>
        <v/>
      </c>
      <c r="AJ292" s="28" t="str">
        <f t="array" ref="AJ292">IF($I291="","",XLOOKUP($B292,Derived_Variables!$A:$A,Derived_Variables!$Y:$Y,FALSE))</f>
        <v/>
      </c>
      <c r="AK292" s="28" t="str">
        <f t="array" ref="AK292">IF($I291="","",XLOOKUP($B292,Derived_Variables!$A:$A,Derived_Variables!$AA:$AA,"Normal"))</f>
        <v/>
      </c>
      <c r="AL292" s="28" t="str">
        <f t="array" ref="AL292">IF($I291="","",XLOOKUP($B292,Derived_Variables!$A:$A,Derived_Variables!$AB:$AB,"Normal"))</f>
        <v/>
      </c>
      <c r="AM292" s="28" t="str">
        <f t="array" ref="AM292">IF($I292="","",IFS(C292="B",IF(OR(I292="NOT_READABLE",I292="BLURRY"),-AB292,0),C292="G",IFS(I292="RED_CLEARER",XLOOKUP("duochrome_red_step",Calibration!$B:$B,Calibration!$C:$C,-0.25),I292="GREEN_CLEARER",XLOOKUP("duochrome_green_step",Calibration!$B:$B,Calibration!$C:$C,0.25),I292="EQUAL",IF(XLOOKUP($B292,Derived_Variables!$A:$A,Derived_Variables!$S:$S,"Neutral")="Undercorrect",XLOOKUP("undercorrect_step",Calibration!$B:$B,Calibration!$C:$C,0.25),IF(XLOOKUP($B292,Derived_Variables!$A:$A,Derived_Variables!$S:$S,"Neutral")="Overcorrect",-XLOOKUP("overcorrect_step",Calibration!$B:$B,Calibration!$C:$C,0.25),0)),TRUE,0),C292="K",IF(I292="TOP_CLEARER",XLOOKUP("bino_balance_step",Calibration!$B:$B,Calibration!$C:$C,0.25),0),TRUE,0))</f>
        <v/>
      </c>
      <c r="AN292" s="28" t="str">
        <f t="shared" si="10"/>
        <v/>
      </c>
      <c r="AO292" s="28" t="str">
        <f t="shared" si="11"/>
        <v/>
      </c>
      <c r="AP292" s="28" t="str">
        <f t="array" ref="AP292">IF($I292="","",IFS(C292="D",IF(OR(I292="NOT_READABLE",I292="BLURRY"),-AB292,0),C292="J",IFS(I292="RED_CLEARER",XLOOKUP("duochrome_red_step",Calibration!$B:$B,Calibration!$C:$C,-0.25),I292="GREEN_CLEARER",XLOOKUP("duochrome_green_step",Calibration!$B:$B,Calibration!$C:$C,0.25),I292="EQUAL",IF(XLOOKUP($B292,Derived_Variables!$A:$A,Derived_Variables!$S:$S,"Neutral")="Undercorrect",XLOOKUP("undercorrect_step",Calibration!$B:$B,Calibration!$C:$C,0.25),IF(XLOOKUP($B292,Derived_Variables!$A:$A,Derived_Variables!$S:$S,"Neutral")="Overcorrect",-XLOOKUP("overcorrect_step",Calibration!$B:$B,Calibration!$C:$C,0.25),0)),TRUE,0),C292="K",IF(I292="BOTTOM_CLEARER",XLOOKUP("bino_balance_step",Calibration!$B:$B,Calibration!$C:$C,0.25),0),TRUE,0))</f>
        <v/>
      </c>
      <c r="AQ292" s="28" t="str">
        <f t="shared" si="12"/>
        <v/>
      </c>
      <c r="AR292" s="28" t="str">
        <f t="shared" si="13"/>
        <v/>
      </c>
      <c r="AS292" s="28" t="str">
        <f t="array" ref="AS292">IF($I292="","",IF(C292="P",IF(OR(I292="NOT_READABLE",I292="BLURRY"),XLOOKUP("near_add_step",Calibration!$B:$B,Calibration!$C:$C,0.25),0),IF(C292="R",IF(I292="NOT_CLEAR",XLOOKUP("near_add_step",Calibration!$B:$B,Calibration!$C:$C,0.25),0),0)))</f>
        <v/>
      </c>
      <c r="AT292" s="28" t="str">
        <f t="array" ref="AT292">IF($I292="","",IF(C292="Q",IF(OR(I292="NOT_READABLE",I292="BLURRY"),XLOOKUP("near_add_step",Calibration!$B:$B,Calibration!$C:$C,0.25),0),IF(C292="R",IF(I292="NOT_CLEAR",XLOOKUP("near_add_step",Calibration!$B:$B,Calibration!$C:$C,0.25),0),0)))</f>
        <v/>
      </c>
      <c r="AU292" s="28" t="str">
        <f t="array" ref="AU292">IF($I292="","",IF(G292="SNELLEN_FEET",IF(I292="READABLE",IFERROR(XLOOKUP(XLOOKUP(R292,Chart_Scale_Distance!B:B,Chart_Scale_Distance!A:A)+1,Chart_Scale_Distance!A:A,Chart_Scale_Distance!B:B),R292),R292),R292))</f>
        <v/>
      </c>
      <c r="AV292" s="28" t="str">
        <f t="array" ref="AV292">IF($I291="","",IFERROR(XLOOKUP(R292,Chart_Scale_Distance!$B:$B,Chart_Scale_Distance!$A:$A,""),""))</f>
        <v/>
      </c>
      <c r="AW292" s="28" t="str">
        <f t="array" ref="AW292">IF($I291="","",IFERROR(XLOOKUP(AA292,Chart_Scale_Distance!$B:$B,Chart_Scale_Distance!$A:$A,""),""))</f>
        <v/>
      </c>
      <c r="AX292" s="28" t="str">
        <f t="shared" si="14"/>
        <v/>
      </c>
      <c r="AY292" s="28" t="str">
        <f t="shared" si="15"/>
        <v/>
      </c>
      <c r="AZ292" s="28" t="str">
        <f t="shared" si="16"/>
        <v/>
      </c>
      <c r="BA292" s="28" t="str">
        <f t="shared" si="17"/>
        <v/>
      </c>
      <c r="BB292" s="28" t="str">
        <f t="shared" si="18"/>
        <v/>
      </c>
      <c r="BC292" s="28" t="str">
        <f t="array" ref="BC292">IF($I292="","",LET(
conf,AI292,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duoMax,XLOOKUP($B292,Derived_Variables!$A:$A,Derived_Variables!$AI:$AI,4),
axisTol,XLOOKUP($B292,Derived_Variables!$A:$A,Derived_Variables!$W:$W,1),
maxStart,XLOOKUP($B292,Derived_Variables!$A:$A,Derived_Variables!$U:$U,1.25),
maxAR,XLOOKUP($B292,Derived_Variables!$A:$A,Derived_Variables!$V:$V,3),
anom,XLOOKUP($B292,Derived_Variables!$A:$A,Derived_Variables!$Z:$Z,FALSE),
reStart,XLOOKUP($B292,Derived_Variables!$A:$A,Derived_Variables!$K:$K,0),
leStart,XLOOKUP($B292,Derived_Variables!$A:$A,Derived_Variables!$N:$N,0),
reAR,XLOOKUP($B292,AR_Input!$A:$A,AR_Input!$B:$B,reStart),
leAR,XLOOKUP($B292,AR_Input!$A:$A,AR_Input!$E:$E,leStart),
reEsc,AND(anom,OR(ABS((S292+AM292)-reStart)&gt;maxStart,ABS((S292+AM292)-reAR)&gt;maxAR)),
leEsc,AND(anom,OR(ABS((V292+AP292)-leStart)&gt;maxStart,ABS((V292+AP292)-leAR)&gt;maxAR)),
phaseMax,IFS(
 AK292="Fast",
   IFS(
     OR(C292="B",C292="D"),XLOOKUP("timeout_coarse_fast",Calibration!$B:$B,Calibration!$C:$C,24),
     OR(C292="E",C292="F",C292="H",C292="I"),XLOOKUP("timeout_jcc_fast",Calibration!$B:$B,Calibration!$C:$C,10),
     OR(C292="G",C292="J"),XLOOKUP("timeout_duochrome_fast",Calibration!$B:$B,Calibration!$C:$C,8),
     C292="K",XLOOKUP("timeout_bino_fast",Calibration!$B:$B,Calibration!$C:$C,10),
     OR(C292="P",C292="Q",C292="R"),XLOOKUP("timeout_near_fast",Calibration!$B:$B,Calibration!$C:$C,16),
     TRUE,XLOOKUP("timeout_coarse_fast",Calibration!$B:$B,Calibration!$C:$C,24)
   ),
 AK292="Normal",
   IFS(
     OR(C292="B",C292="D"),XLOOKUP("timeout_coarse_normal",Calibration!$B:$B,Calibration!$C:$C,36),
     OR(C292="E",C292="F",C292="H",C292="I"),XLOOKUP("timeout_jcc_normal",Calibration!$B:$B,Calibration!$C:$C,14),
     OR(C292="G",C292="J"),XLOOKUP("timeout_duochrome_normal",Calibration!$B:$B,Calibration!$C:$C,10),
     C292="K",XLOOKUP("timeout_bino_normal",Calibration!$B:$B,Calibration!$C:$C,14),
     OR(C292="P",C292="Q",C292="R"),XLOOKUP("timeout_near_normal",Calibration!$B:$B,Calibration!$C:$C,22),
     TRUE,XLOOKUP("timeout_coarse_normal",Calibration!$B:$B,Calibration!$C:$C,36)
   ),
 TRUE,
   IFS(
     OR(C292="B",C292="D"),XLOOKUP("timeout_coarse_slow",Calibration!$B:$B,Calibration!$C:$C,48),
     OR(C292="E",C292="F",C292="H",C292="I"),XLOOKUP("timeout_jcc_slow",Calibration!$B:$B,Calibration!$C:$C,18),
     OR(C292="G",C292="J"),XLOOKUP("timeout_duochrome_slow",Calibration!$B:$B,Calibration!$C:$C,12),
     C292="K",XLOOKUP("timeout_bino_slow",Calibration!$B:$B,Calibration!$C:$C,18),
     OR(C292="P",C292="Q",C292="R"),XLOOKUP("timeout_near_slow",Calibration!$B:$B,Calibration!$C:$C,28),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AJ292=TRUE,"ESCALATE",
C292="A",
IF(OR(I292="NOT_READABLE",I292="BLURRY",AND(R292="20_20_20",I292="READABLE")),"B","A"),
C292="B",
IF(reEsc,"ESCALATE",IF(AY292&gt;=phaseMax,"ESCALATE",IF(AND(AV292&gt;=AW292,I292="READABLE"),"E","B"))),
C292="E",
IF(AY292&gt;=phaseMax,"ESCALATE",IF(OR(I292="SAME",I292="CANT_TELL",AD292&lt;axisTol),"F","E")),
C292="F",
IF(AY292&gt;=phaseMax,"ESCALATE",IF(AX292&gt;=powerSameN,"G","F")),
C292="G",
IF(AY292&gt;=phaseMax,"ESCALATE",IF(OR(AX292&gt;=duoEqualN,BB292&gt;=duoMax),"D","G")),
C292="D",
IF(leEsc,"ESCALATE",IF(AY292&gt;=phaseMax,"ESCALATE",IF(AND(AV292&gt;=AW292,I292="READABLE"),"H","D"))),
C292="H",
IF(AY292&gt;=phaseMax,"ESCALATE",IF(OR(I292="SAME",I292="CANT_TELL",AD292&lt;axisTol),"I","H")),
C292="I",
IF(AY292&gt;=phaseMax,"ESCALATE",IF(AX292&gt;=powerSameN,"J","I")),
C292="J",
IF(AY292&gt;=phaseMax,"ESCALATE",IF(OR(AX292&gt;=duoEqualN,BB292&gt;=duoMax),"K","J")),
C292="K",
IF(AY292&gt;=phaseMax,"ESCALATE",IF(AX292&gt;=binoSameN,IF(XLOOKUP($B292,Derived_Variables!$A:$A,Derived_Variables!$AJ:$AJ,FALSE)=TRUE,"P","END"),"K")),
C292="P",
IF(AY292&gt;=phaseMax,"ESCALATE",IF(OR(I292="READABLE",I292="SAME"),"Q","P")),
C292="Q",
IF(AY292&gt;=phaseMax,"ESCALATE",IF(OR(I292="READABLE",I292="SAME"),"R","Q")),
C292="R",
IF(AY292&gt;=phaseMax,"ESCALATE",IF(OR(I292=nearTarget,I292="SAME"),"END","R")),
TRUE,"END"
)))</f>
        <v/>
      </c>
      <c r="BD292" s="28" t="b">
        <f t="shared" si="19"/>
        <v>0</v>
      </c>
    </row>
    <row r="293" ht="15.75" customHeight="1">
      <c r="A293" s="28">
        <f t="shared" si="3"/>
        <v>292</v>
      </c>
      <c r="B293" s="28">
        <f t="shared" si="4"/>
        <v>6</v>
      </c>
      <c r="C293" s="28" t="str">
        <f t="shared" si="5"/>
        <v/>
      </c>
      <c r="D293" s="28" t="str">
        <f t="array" ref="D293">IF($I292="","",XLOOKUP(C293,FSM_State_Map!A:A,FSM_State_Map!B:B,""))</f>
        <v/>
      </c>
      <c r="E293" s="28" t="str">
        <f t="array" ref="E293">IF($I292="","",XLOOKUP(C293,FSM_State_Map!A:A,FSM_State_Map!C:C,""))</f>
        <v/>
      </c>
      <c r="F293" s="28" t="str">
        <f t="array" ref="F293">IF($I292="","",XLOOKUP(E293,Phase_UI_Map!A:A,Phase_UI_Map!B:B,""))</f>
        <v/>
      </c>
      <c r="G293" s="28" t="str">
        <f t="array" ref="G293">IF($I292="","",XLOOKUP(E293,Phase_UI_Map!A:A,Phase_UI_Map!C:C,""))</f>
        <v/>
      </c>
      <c r="H293" s="28" t="str">
        <f t="array" ref="H293">IF($I292="","",XLOOKUP(E293,Phase_UI_Map!A:A,Phase_UI_Map!D:D,""))</f>
        <v/>
      </c>
      <c r="I293" s="29"/>
      <c r="J293" s="28" t="str">
        <f>IFERROR(__xludf.DUMMYFUNCTION("IF($I292="""","""",IFERROR(INDEX(FILTER(Response_Lists!$B:$B,Response_Lists!$A:$A=$H293),1),""""))"),"")</f>
        <v/>
      </c>
      <c r="K293" s="28" t="str">
        <f>IFERROR(__xludf.DUMMYFUNCTION("IF($I292="""","""",IFERROR(INDEX(FILTER(Response_Lists!$B:$B,Response_Lists!$A:$A=$H293),2),""""))"),"")</f>
        <v/>
      </c>
      <c r="L293" s="28" t="str">
        <f>IFERROR(__xludf.DUMMYFUNCTION("IF($I292="""","""",IFERROR(INDEX(FILTER(Response_Lists!$B:$B,Response_Lists!$A:$A=$H293),3),""""))"),"")</f>
        <v/>
      </c>
      <c r="M293" s="28" t="str">
        <f>IFERROR(__xludf.DUMMYFUNCTION("IF($I292="""","""",IFERROR(INDEX(FILTER(Response_Lists!$B:$B,Response_Lists!$A:$A=$H293),4),""""))"),"")</f>
        <v/>
      </c>
      <c r="N293" s="28" t="str">
        <f>IFERROR(__xludf.DUMMYFUNCTION("IF($I292="""","""",IFERROR(INDEX(FILTER(Response_Lists!$B:$B,Response_Lists!$A:$A=$H293),5),""""))"),"")</f>
        <v/>
      </c>
      <c r="O293" s="28" t="str">
        <f>IFERROR(__xludf.DUMMYFUNCTION("IF($I292="""","""",IFERROR(INDEX(FILTER(Response_Lists!$B:$B,Response_Lists!$A:$A=$H293),6),""""))"),"")</f>
        <v/>
      </c>
      <c r="P293" s="28" t="str">
        <f t="shared" si="6"/>
        <v/>
      </c>
      <c r="Q293" s="28" t="str">
        <f t="array" ref="Q293">IF($I292="","",XLOOKUP(C293,FSM_State_Map!A:A,FSM_State_Map!D:D,""))</f>
        <v/>
      </c>
      <c r="R293" s="28" t="str">
        <f t="shared" si="7"/>
        <v/>
      </c>
      <c r="S293" s="28" t="str">
        <f t="array" ref="S293">IF($I292="","",
IF(
  AND(C293="B",C292&lt;&gt;"B"),
  XLOOKUP($B293,Derived_Variables!$A:$A,Derived_Variables!$K:$K,0)
  + XLOOKUP($B293,Derived_Variables!$A:$A,Derived_Variables!$AE:$AE,0),
  S292+AM292
))</f>
        <v/>
      </c>
      <c r="T293" s="28" t="str">
        <f t="shared" ref="T293:U293" si="596">IF($I292="","",T292+AN292)</f>
        <v/>
      </c>
      <c r="U293" s="28" t="str">
        <f t="shared" si="596"/>
        <v/>
      </c>
      <c r="V293" s="28" t="str">
        <f t="array" ref="V293">IF($I292="","",
IF(
  AND(C293="D",C292&lt;&gt;"D"),
  XLOOKUP($B293,Derived_Variables!$A:$A,Derived_Variables!$N:$N,0)
  + XLOOKUP($B293,Derived_Variables!$A:$A,Derived_Variables!$AE:$AE,0),
  V292+AP292
))</f>
        <v/>
      </c>
      <c r="W293" s="28" t="str">
        <f t="shared" ref="W293:X293" si="597">IF($I292="","",W292+AQ292)</f>
        <v/>
      </c>
      <c r="X293" s="28" t="str">
        <f t="shared" si="597"/>
        <v/>
      </c>
      <c r="Y293" s="28" t="str">
        <f t="array" ref="Y293">IF($I292="","",IF(AND(C293="P",C292&lt;&gt;"P"),IFERROR(XLOOKUP($B293,Lenso_Input!$A:$A,Lenso_Input!$E:$E,0),0),Y292+AS292))</f>
        <v/>
      </c>
      <c r="Z293" s="28" t="str">
        <f t="array" ref="Z293">IF($I292="","",IF(AND(C293="Q",C292&lt;&gt;"Q"),IFERROR(XLOOKUP($B293,Lenso_Input!$A:$A,Lenso_Input!$I:$I,0),0),Z292+AT292))</f>
        <v/>
      </c>
      <c r="AA293" s="28" t="str">
        <f t="array" ref="AA293">IF($I292="","",IF(XLOOKUP($B293,Derived_Variables!$A:$A,Derived_Variables!$R:$R,"6/6_target")="6/6_target","20_20_20","40_30_25"))</f>
        <v/>
      </c>
      <c r="AB293" s="28" t="str">
        <f t="array" ref="AB293">IF($I292="","",XLOOKUP(LOWER(XLOOKUP($B293,Derived_Variables!$A:$A,Derived_Variables!$T:$T,"Standard"))&amp;"_sph_step",Calibration!$B:$B,Calibration!$C:$C,0.25))</f>
        <v/>
      </c>
      <c r="AC293" s="28" t="str">
        <f t="array" ref="AC293">IF($I292="","",XLOOKUP(LOWER(XLOOKUP($B293,Derived_Variables!$A:$A,Derived_Variables!$T:$T,"Standard"))&amp;"_cyl_step",Calibration!$B:$B,Calibration!$C:$C,0.25))</f>
        <v/>
      </c>
      <c r="AD293" s="28" t="str">
        <f t="array" ref="AD293">IF($I292="","",IF(OR(C293="E",C293="H"),LET(startStep,XLOOKUP("axis_start_step",Calibration!$B:$B,Calibration!$C:$C,5),step1,XLOOKUP("axis_reversal_step_1",Calibration!$B:$B,Calibration!$C:$C,3),step2,XLOOKUP("axis_reversal_step_2",Calibration!$B:$B,Calibration!$C:$C,1),IF(OR(C292&lt;&gt;C293,AZ293="",AZ293="SAME",AZ293="CANT_TELL",I293="",I293="SAME",I293="CANT_TELL"),startStep,IF(OR(AND(AZ293="BETTER_1",I293="BETTER_2"),AND(AZ293="BETTER_2",I293="BETTER_1")),IF(AD292&gt;step1,step1,step2),AD292))),0))</f>
        <v/>
      </c>
      <c r="AE293" s="28" t="str">
        <f t="array" ref="AE293">IF($I292="","",XLOOKUP($B293,Derived_Variables!$A:$A,Derived_Variables!$AD:$AD,"No_Fog"))</f>
        <v/>
      </c>
      <c r="AF293" s="28" t="str">
        <f t="array" ref="AF293">IF($I292="","",XLOOKUP($B293,Derived_Variables!$A:$A,Derived_Variables!$AE:$AE,0))</f>
        <v/>
      </c>
      <c r="AG293" s="28" t="str">
        <f t="array" ref="AG293">IF($I292="","",XLOOKUP($B293,Derived_Variables!$A:$A,Derived_Variables!$AF:$AF,""))</f>
        <v/>
      </c>
      <c r="AH293" s="28" t="str">
        <f t="array" ref="AH293">IF($I292="","",XLOOKUP($B293,Derived_Variables!$A:$A,Derived_Variables!$AG:$AG,""))</f>
        <v/>
      </c>
      <c r="AI293" s="28" t="str">
        <f t="array" ref="AI293">IF($I292="","",XLOOKUP($B293,Derived_Variables!$A:$A,Derived_Variables!$AC:$AC,"Medium"))</f>
        <v/>
      </c>
      <c r="AJ293" s="28" t="str">
        <f t="array" ref="AJ293">IF($I292="","",XLOOKUP($B293,Derived_Variables!$A:$A,Derived_Variables!$Y:$Y,FALSE))</f>
        <v/>
      </c>
      <c r="AK293" s="28" t="str">
        <f t="array" ref="AK293">IF($I292="","",XLOOKUP($B293,Derived_Variables!$A:$A,Derived_Variables!$AA:$AA,"Normal"))</f>
        <v/>
      </c>
      <c r="AL293" s="28" t="str">
        <f t="array" ref="AL293">IF($I292="","",XLOOKUP($B293,Derived_Variables!$A:$A,Derived_Variables!$AB:$AB,"Normal"))</f>
        <v/>
      </c>
      <c r="AM293" s="28" t="str">
        <f t="array" ref="AM293">IF($I293="","",IFS(C293="B",IF(OR(I293="NOT_READABLE",I293="BLURRY"),-AB293,0),C293="G",IFS(I293="RED_CLEARER",XLOOKUP("duochrome_red_step",Calibration!$B:$B,Calibration!$C:$C,-0.25),I293="GREEN_CLEARER",XLOOKUP("duochrome_green_step",Calibration!$B:$B,Calibration!$C:$C,0.25),I293="EQUAL",IF(XLOOKUP($B293,Derived_Variables!$A:$A,Derived_Variables!$S:$S,"Neutral")="Undercorrect",XLOOKUP("undercorrect_step",Calibration!$B:$B,Calibration!$C:$C,0.25),IF(XLOOKUP($B293,Derived_Variables!$A:$A,Derived_Variables!$S:$S,"Neutral")="Overcorrect",-XLOOKUP("overcorrect_step",Calibration!$B:$B,Calibration!$C:$C,0.25),0)),TRUE,0),C293="K",IF(I293="TOP_CLEARER",XLOOKUP("bino_balance_step",Calibration!$B:$B,Calibration!$C:$C,0.25),0),TRUE,0))</f>
        <v/>
      </c>
      <c r="AN293" s="28" t="str">
        <f t="shared" si="10"/>
        <v/>
      </c>
      <c r="AO293" s="28" t="str">
        <f t="shared" si="11"/>
        <v/>
      </c>
      <c r="AP293" s="28" t="str">
        <f t="array" ref="AP293">IF($I293="","",IFS(C293="D",IF(OR(I293="NOT_READABLE",I293="BLURRY"),-AB293,0),C293="J",IFS(I293="RED_CLEARER",XLOOKUP("duochrome_red_step",Calibration!$B:$B,Calibration!$C:$C,-0.25),I293="GREEN_CLEARER",XLOOKUP("duochrome_green_step",Calibration!$B:$B,Calibration!$C:$C,0.25),I293="EQUAL",IF(XLOOKUP($B293,Derived_Variables!$A:$A,Derived_Variables!$S:$S,"Neutral")="Undercorrect",XLOOKUP("undercorrect_step",Calibration!$B:$B,Calibration!$C:$C,0.25),IF(XLOOKUP($B293,Derived_Variables!$A:$A,Derived_Variables!$S:$S,"Neutral")="Overcorrect",-XLOOKUP("overcorrect_step",Calibration!$B:$B,Calibration!$C:$C,0.25),0)),TRUE,0),C293="K",IF(I293="BOTTOM_CLEARER",XLOOKUP("bino_balance_step",Calibration!$B:$B,Calibration!$C:$C,0.25),0),TRUE,0))</f>
        <v/>
      </c>
      <c r="AQ293" s="28" t="str">
        <f t="shared" si="12"/>
        <v/>
      </c>
      <c r="AR293" s="28" t="str">
        <f t="shared" si="13"/>
        <v/>
      </c>
      <c r="AS293" s="28" t="str">
        <f t="array" ref="AS293">IF($I293="","",IF(C293="P",IF(OR(I293="NOT_READABLE",I293="BLURRY"),XLOOKUP("near_add_step",Calibration!$B:$B,Calibration!$C:$C,0.25),0),IF(C293="R",IF(I293="NOT_CLEAR",XLOOKUP("near_add_step",Calibration!$B:$B,Calibration!$C:$C,0.25),0),0)))</f>
        <v/>
      </c>
      <c r="AT293" s="28" t="str">
        <f t="array" ref="AT293">IF($I293="","",IF(C293="Q",IF(OR(I293="NOT_READABLE",I293="BLURRY"),XLOOKUP("near_add_step",Calibration!$B:$B,Calibration!$C:$C,0.25),0),IF(C293="R",IF(I293="NOT_CLEAR",XLOOKUP("near_add_step",Calibration!$B:$B,Calibration!$C:$C,0.25),0),0)))</f>
        <v/>
      </c>
      <c r="AU293" s="28" t="str">
        <f t="array" ref="AU293">IF($I293="","",IF(G293="SNELLEN_FEET",IF(I293="READABLE",IFERROR(XLOOKUP(XLOOKUP(R293,Chart_Scale_Distance!B:B,Chart_Scale_Distance!A:A)+1,Chart_Scale_Distance!A:A,Chart_Scale_Distance!B:B),R293),R293),R293))</f>
        <v/>
      </c>
      <c r="AV293" s="28" t="str">
        <f t="array" ref="AV293">IF($I292="","",IFERROR(XLOOKUP(R293,Chart_Scale_Distance!$B:$B,Chart_Scale_Distance!$A:$A,""),""))</f>
        <v/>
      </c>
      <c r="AW293" s="28" t="str">
        <f t="array" ref="AW293">IF($I292="","",IFERROR(XLOOKUP(AA293,Chart_Scale_Distance!$B:$B,Chart_Scale_Distance!$A:$A,""),""))</f>
        <v/>
      </c>
      <c r="AX293" s="28" t="str">
        <f t="shared" si="14"/>
        <v/>
      </c>
      <c r="AY293" s="28" t="str">
        <f t="shared" si="15"/>
        <v/>
      </c>
      <c r="AZ293" s="28" t="str">
        <f t="shared" si="16"/>
        <v/>
      </c>
      <c r="BA293" s="28" t="str">
        <f t="shared" si="17"/>
        <v/>
      </c>
      <c r="BB293" s="28" t="str">
        <f t="shared" si="18"/>
        <v/>
      </c>
      <c r="BC293" s="28" t="str">
        <f t="array" ref="BC293">IF($I293="","",LET(
conf,AI293,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duoMax,XLOOKUP($B293,Derived_Variables!$A:$A,Derived_Variables!$AI:$AI,4),
axisTol,XLOOKUP($B293,Derived_Variables!$A:$A,Derived_Variables!$W:$W,1),
maxStart,XLOOKUP($B293,Derived_Variables!$A:$A,Derived_Variables!$U:$U,1.25),
maxAR,XLOOKUP($B293,Derived_Variables!$A:$A,Derived_Variables!$V:$V,3),
anom,XLOOKUP($B293,Derived_Variables!$A:$A,Derived_Variables!$Z:$Z,FALSE),
reStart,XLOOKUP($B293,Derived_Variables!$A:$A,Derived_Variables!$K:$K,0),
leStart,XLOOKUP($B293,Derived_Variables!$A:$A,Derived_Variables!$N:$N,0),
reAR,XLOOKUP($B293,AR_Input!$A:$A,AR_Input!$B:$B,reStart),
leAR,XLOOKUP($B293,AR_Input!$A:$A,AR_Input!$E:$E,leStart),
reEsc,AND(anom,OR(ABS((S293+AM293)-reStart)&gt;maxStart,ABS((S293+AM293)-reAR)&gt;maxAR)),
leEsc,AND(anom,OR(ABS((V293+AP293)-leStart)&gt;maxStart,ABS((V293+AP293)-leAR)&gt;maxAR)),
phaseMax,IFS(
 AK293="Fast",
   IFS(
     OR(C293="B",C293="D"),XLOOKUP("timeout_coarse_fast",Calibration!$B:$B,Calibration!$C:$C,24),
     OR(C293="E",C293="F",C293="H",C293="I"),XLOOKUP("timeout_jcc_fast",Calibration!$B:$B,Calibration!$C:$C,10),
     OR(C293="G",C293="J"),XLOOKUP("timeout_duochrome_fast",Calibration!$B:$B,Calibration!$C:$C,8),
     C293="K",XLOOKUP("timeout_bino_fast",Calibration!$B:$B,Calibration!$C:$C,10),
     OR(C293="P",C293="Q",C293="R"),XLOOKUP("timeout_near_fast",Calibration!$B:$B,Calibration!$C:$C,16),
     TRUE,XLOOKUP("timeout_coarse_fast",Calibration!$B:$B,Calibration!$C:$C,24)
   ),
 AK293="Normal",
   IFS(
     OR(C293="B",C293="D"),XLOOKUP("timeout_coarse_normal",Calibration!$B:$B,Calibration!$C:$C,36),
     OR(C293="E",C293="F",C293="H",C293="I"),XLOOKUP("timeout_jcc_normal",Calibration!$B:$B,Calibration!$C:$C,14),
     OR(C293="G",C293="J"),XLOOKUP("timeout_duochrome_normal",Calibration!$B:$B,Calibration!$C:$C,10),
     C293="K",XLOOKUP("timeout_bino_normal",Calibration!$B:$B,Calibration!$C:$C,14),
     OR(C293="P",C293="Q",C293="R"),XLOOKUP("timeout_near_normal",Calibration!$B:$B,Calibration!$C:$C,22),
     TRUE,XLOOKUP("timeout_coarse_normal",Calibration!$B:$B,Calibration!$C:$C,36)
   ),
 TRUE,
   IFS(
     OR(C293="B",C293="D"),XLOOKUP("timeout_coarse_slow",Calibration!$B:$B,Calibration!$C:$C,48),
     OR(C293="E",C293="F",C293="H",C293="I"),XLOOKUP("timeout_jcc_slow",Calibration!$B:$B,Calibration!$C:$C,18),
     OR(C293="G",C293="J"),XLOOKUP("timeout_duochrome_slow",Calibration!$B:$B,Calibration!$C:$C,12),
     C293="K",XLOOKUP("timeout_bino_slow",Calibration!$B:$B,Calibration!$C:$C,18),
     OR(C293="P",C293="Q",C293="R"),XLOOKUP("timeout_near_slow",Calibration!$B:$B,Calibration!$C:$C,28),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AJ293=TRUE,"ESCALATE",
C293="A",
IF(OR(I293="NOT_READABLE",I293="BLURRY",AND(R293="20_20_20",I293="READABLE")),"B","A"),
C293="B",
IF(reEsc,"ESCALATE",IF(AY293&gt;=phaseMax,"ESCALATE",IF(AND(AV293&gt;=AW293,I293="READABLE"),"E","B"))),
C293="E",
IF(AY293&gt;=phaseMax,"ESCALATE",IF(OR(I293="SAME",I293="CANT_TELL",AD293&lt;axisTol),"F","E")),
C293="F",
IF(AY293&gt;=phaseMax,"ESCALATE",IF(AX293&gt;=powerSameN,"G","F")),
C293="G",
IF(AY293&gt;=phaseMax,"ESCALATE",IF(OR(AX293&gt;=duoEqualN,BB293&gt;=duoMax),"D","G")),
C293="D",
IF(leEsc,"ESCALATE",IF(AY293&gt;=phaseMax,"ESCALATE",IF(AND(AV293&gt;=AW293,I293="READABLE"),"H","D"))),
C293="H",
IF(AY293&gt;=phaseMax,"ESCALATE",IF(OR(I293="SAME",I293="CANT_TELL",AD293&lt;axisTol),"I","H")),
C293="I",
IF(AY293&gt;=phaseMax,"ESCALATE",IF(AX293&gt;=powerSameN,"J","I")),
C293="J",
IF(AY293&gt;=phaseMax,"ESCALATE",IF(OR(AX293&gt;=duoEqualN,BB293&gt;=duoMax),"K","J")),
C293="K",
IF(AY293&gt;=phaseMax,"ESCALATE",IF(AX293&gt;=binoSameN,IF(XLOOKUP($B293,Derived_Variables!$A:$A,Derived_Variables!$AJ:$AJ,FALSE)=TRUE,"P","END"),"K")),
C293="P",
IF(AY293&gt;=phaseMax,"ESCALATE",IF(OR(I293="READABLE",I293="SAME"),"Q","P")),
C293="Q",
IF(AY293&gt;=phaseMax,"ESCALATE",IF(OR(I293="READABLE",I293="SAME"),"R","Q")),
C293="R",
IF(AY293&gt;=phaseMax,"ESCALATE",IF(OR(I293=nearTarget,I293="SAME"),"END","R")),
TRUE,"END"
)))</f>
        <v/>
      </c>
      <c r="BD293" s="28" t="b">
        <f t="shared" si="19"/>
        <v>0</v>
      </c>
    </row>
    <row r="294" ht="15.75" customHeight="1">
      <c r="A294" s="28">
        <f t="shared" si="3"/>
        <v>293</v>
      </c>
      <c r="B294" s="28">
        <f t="shared" si="4"/>
        <v>6</v>
      </c>
      <c r="C294" s="28" t="str">
        <f t="shared" si="5"/>
        <v/>
      </c>
      <c r="D294" s="28" t="str">
        <f t="array" ref="D294">IF($I293="","",XLOOKUP(C294,FSM_State_Map!A:A,FSM_State_Map!B:B,""))</f>
        <v/>
      </c>
      <c r="E294" s="28" t="str">
        <f t="array" ref="E294">IF($I293="","",XLOOKUP(C294,FSM_State_Map!A:A,FSM_State_Map!C:C,""))</f>
        <v/>
      </c>
      <c r="F294" s="28" t="str">
        <f t="array" ref="F294">IF($I293="","",XLOOKUP(E294,Phase_UI_Map!A:A,Phase_UI_Map!B:B,""))</f>
        <v/>
      </c>
      <c r="G294" s="28" t="str">
        <f t="array" ref="G294">IF($I293="","",XLOOKUP(E294,Phase_UI_Map!A:A,Phase_UI_Map!C:C,""))</f>
        <v/>
      </c>
      <c r="H294" s="28" t="str">
        <f t="array" ref="H294">IF($I293="","",XLOOKUP(E294,Phase_UI_Map!A:A,Phase_UI_Map!D:D,""))</f>
        <v/>
      </c>
      <c r="I294" s="29"/>
      <c r="J294" s="28" t="str">
        <f>IFERROR(__xludf.DUMMYFUNCTION("IF($I293="""","""",IFERROR(INDEX(FILTER(Response_Lists!$B:$B,Response_Lists!$A:$A=$H294),1),""""))"),"")</f>
        <v/>
      </c>
      <c r="K294" s="28" t="str">
        <f>IFERROR(__xludf.DUMMYFUNCTION("IF($I293="""","""",IFERROR(INDEX(FILTER(Response_Lists!$B:$B,Response_Lists!$A:$A=$H294),2),""""))"),"")</f>
        <v/>
      </c>
      <c r="L294" s="28" t="str">
        <f>IFERROR(__xludf.DUMMYFUNCTION("IF($I293="""","""",IFERROR(INDEX(FILTER(Response_Lists!$B:$B,Response_Lists!$A:$A=$H294),3),""""))"),"")</f>
        <v/>
      </c>
      <c r="M294" s="28" t="str">
        <f>IFERROR(__xludf.DUMMYFUNCTION("IF($I293="""","""",IFERROR(INDEX(FILTER(Response_Lists!$B:$B,Response_Lists!$A:$A=$H294),4),""""))"),"")</f>
        <v/>
      </c>
      <c r="N294" s="28" t="str">
        <f>IFERROR(__xludf.DUMMYFUNCTION("IF($I293="""","""",IFERROR(INDEX(FILTER(Response_Lists!$B:$B,Response_Lists!$A:$A=$H294),5),""""))"),"")</f>
        <v/>
      </c>
      <c r="O294" s="28" t="str">
        <f>IFERROR(__xludf.DUMMYFUNCTION("IF($I293="""","""",IFERROR(INDEX(FILTER(Response_Lists!$B:$B,Response_Lists!$A:$A=$H294),6),""""))"),"")</f>
        <v/>
      </c>
      <c r="P294" s="28" t="str">
        <f t="shared" si="6"/>
        <v/>
      </c>
      <c r="Q294" s="28" t="str">
        <f t="array" ref="Q294">IF($I293="","",XLOOKUP(C294,FSM_State_Map!A:A,FSM_State_Map!D:D,""))</f>
        <v/>
      </c>
      <c r="R294" s="28" t="str">
        <f t="shared" si="7"/>
        <v/>
      </c>
      <c r="S294" s="28" t="str">
        <f t="array" ref="S294">IF($I293="","",
IF(
  AND(C294="B",C293&lt;&gt;"B"),
  XLOOKUP($B294,Derived_Variables!$A:$A,Derived_Variables!$K:$K,0)
  + XLOOKUP($B294,Derived_Variables!$A:$A,Derived_Variables!$AE:$AE,0),
  S293+AM293
))</f>
        <v/>
      </c>
      <c r="T294" s="28" t="str">
        <f t="shared" ref="T294:U294" si="598">IF($I293="","",T293+AN293)</f>
        <v/>
      </c>
      <c r="U294" s="28" t="str">
        <f t="shared" si="598"/>
        <v/>
      </c>
      <c r="V294" s="28" t="str">
        <f t="array" ref="V294">IF($I293="","",
IF(
  AND(C294="D",C293&lt;&gt;"D"),
  XLOOKUP($B294,Derived_Variables!$A:$A,Derived_Variables!$N:$N,0)
  + XLOOKUP($B294,Derived_Variables!$A:$A,Derived_Variables!$AE:$AE,0),
  V293+AP293
))</f>
        <v/>
      </c>
      <c r="W294" s="28" t="str">
        <f t="shared" ref="W294:X294" si="599">IF($I293="","",W293+AQ293)</f>
        <v/>
      </c>
      <c r="X294" s="28" t="str">
        <f t="shared" si="599"/>
        <v/>
      </c>
      <c r="Y294" s="28" t="str">
        <f t="array" ref="Y294">IF($I293="","",IF(AND(C294="P",C293&lt;&gt;"P"),IFERROR(XLOOKUP($B294,Lenso_Input!$A:$A,Lenso_Input!$E:$E,0),0),Y293+AS293))</f>
        <v/>
      </c>
      <c r="Z294" s="28" t="str">
        <f t="array" ref="Z294">IF($I293="","",IF(AND(C294="Q",C293&lt;&gt;"Q"),IFERROR(XLOOKUP($B294,Lenso_Input!$A:$A,Lenso_Input!$I:$I,0),0),Z293+AT293))</f>
        <v/>
      </c>
      <c r="AA294" s="28" t="str">
        <f t="array" ref="AA294">IF($I293="","",IF(XLOOKUP($B294,Derived_Variables!$A:$A,Derived_Variables!$R:$R,"6/6_target")="6/6_target","20_20_20","40_30_25"))</f>
        <v/>
      </c>
      <c r="AB294" s="28" t="str">
        <f t="array" ref="AB294">IF($I293="","",XLOOKUP(LOWER(XLOOKUP($B294,Derived_Variables!$A:$A,Derived_Variables!$T:$T,"Standard"))&amp;"_sph_step",Calibration!$B:$B,Calibration!$C:$C,0.25))</f>
        <v/>
      </c>
      <c r="AC294" s="28" t="str">
        <f t="array" ref="AC294">IF($I293="","",XLOOKUP(LOWER(XLOOKUP($B294,Derived_Variables!$A:$A,Derived_Variables!$T:$T,"Standard"))&amp;"_cyl_step",Calibration!$B:$B,Calibration!$C:$C,0.25))</f>
        <v/>
      </c>
      <c r="AD294" s="28" t="str">
        <f t="array" ref="AD294">IF($I293="","",IF(OR(C294="E",C294="H"),LET(startStep,XLOOKUP("axis_start_step",Calibration!$B:$B,Calibration!$C:$C,5),step1,XLOOKUP("axis_reversal_step_1",Calibration!$B:$B,Calibration!$C:$C,3),step2,XLOOKUP("axis_reversal_step_2",Calibration!$B:$B,Calibration!$C:$C,1),IF(OR(C293&lt;&gt;C294,AZ294="",AZ294="SAME",AZ294="CANT_TELL",I294="",I294="SAME",I294="CANT_TELL"),startStep,IF(OR(AND(AZ294="BETTER_1",I294="BETTER_2"),AND(AZ294="BETTER_2",I294="BETTER_1")),IF(AD293&gt;step1,step1,step2),AD293))),0))</f>
        <v/>
      </c>
      <c r="AE294" s="28" t="str">
        <f t="array" ref="AE294">IF($I293="","",XLOOKUP($B294,Derived_Variables!$A:$A,Derived_Variables!$AD:$AD,"No_Fog"))</f>
        <v/>
      </c>
      <c r="AF294" s="28" t="str">
        <f t="array" ref="AF294">IF($I293="","",XLOOKUP($B294,Derived_Variables!$A:$A,Derived_Variables!$AE:$AE,0))</f>
        <v/>
      </c>
      <c r="AG294" s="28" t="str">
        <f t="array" ref="AG294">IF($I293="","",XLOOKUP($B294,Derived_Variables!$A:$A,Derived_Variables!$AF:$AF,""))</f>
        <v/>
      </c>
      <c r="AH294" s="28" t="str">
        <f t="array" ref="AH294">IF($I293="","",XLOOKUP($B294,Derived_Variables!$A:$A,Derived_Variables!$AG:$AG,""))</f>
        <v/>
      </c>
      <c r="AI294" s="28" t="str">
        <f t="array" ref="AI294">IF($I293="","",XLOOKUP($B294,Derived_Variables!$A:$A,Derived_Variables!$AC:$AC,"Medium"))</f>
        <v/>
      </c>
      <c r="AJ294" s="28" t="str">
        <f t="array" ref="AJ294">IF($I293="","",XLOOKUP($B294,Derived_Variables!$A:$A,Derived_Variables!$Y:$Y,FALSE))</f>
        <v/>
      </c>
      <c r="AK294" s="28" t="str">
        <f t="array" ref="AK294">IF($I293="","",XLOOKUP($B294,Derived_Variables!$A:$A,Derived_Variables!$AA:$AA,"Normal"))</f>
        <v/>
      </c>
      <c r="AL294" s="28" t="str">
        <f t="array" ref="AL294">IF($I293="","",XLOOKUP($B294,Derived_Variables!$A:$A,Derived_Variables!$AB:$AB,"Normal"))</f>
        <v/>
      </c>
      <c r="AM294" s="28" t="str">
        <f t="array" ref="AM294">IF($I294="","",IFS(C294="B",IF(OR(I294="NOT_READABLE",I294="BLURRY"),-AB294,0),C294="G",IFS(I294="RED_CLEARER",XLOOKUP("duochrome_red_step",Calibration!$B:$B,Calibration!$C:$C,-0.25),I294="GREEN_CLEARER",XLOOKUP("duochrome_green_step",Calibration!$B:$B,Calibration!$C:$C,0.25),I294="EQUAL",IF(XLOOKUP($B294,Derived_Variables!$A:$A,Derived_Variables!$S:$S,"Neutral")="Undercorrect",XLOOKUP("undercorrect_step",Calibration!$B:$B,Calibration!$C:$C,0.25),IF(XLOOKUP($B294,Derived_Variables!$A:$A,Derived_Variables!$S:$S,"Neutral")="Overcorrect",-XLOOKUP("overcorrect_step",Calibration!$B:$B,Calibration!$C:$C,0.25),0)),TRUE,0),C294="K",IF(I294="TOP_CLEARER",XLOOKUP("bino_balance_step",Calibration!$B:$B,Calibration!$C:$C,0.25),0),TRUE,0))</f>
        <v/>
      </c>
      <c r="AN294" s="28" t="str">
        <f t="shared" si="10"/>
        <v/>
      </c>
      <c r="AO294" s="28" t="str">
        <f t="shared" si="11"/>
        <v/>
      </c>
      <c r="AP294" s="28" t="str">
        <f t="array" ref="AP294">IF($I294="","",IFS(C294="D",IF(OR(I294="NOT_READABLE",I294="BLURRY"),-AB294,0),C294="J",IFS(I294="RED_CLEARER",XLOOKUP("duochrome_red_step",Calibration!$B:$B,Calibration!$C:$C,-0.25),I294="GREEN_CLEARER",XLOOKUP("duochrome_green_step",Calibration!$B:$B,Calibration!$C:$C,0.25),I294="EQUAL",IF(XLOOKUP($B294,Derived_Variables!$A:$A,Derived_Variables!$S:$S,"Neutral")="Undercorrect",XLOOKUP("undercorrect_step",Calibration!$B:$B,Calibration!$C:$C,0.25),IF(XLOOKUP($B294,Derived_Variables!$A:$A,Derived_Variables!$S:$S,"Neutral")="Overcorrect",-XLOOKUP("overcorrect_step",Calibration!$B:$B,Calibration!$C:$C,0.25),0)),TRUE,0),C294="K",IF(I294="BOTTOM_CLEARER",XLOOKUP("bino_balance_step",Calibration!$B:$B,Calibration!$C:$C,0.25),0),TRUE,0))</f>
        <v/>
      </c>
      <c r="AQ294" s="28" t="str">
        <f t="shared" si="12"/>
        <v/>
      </c>
      <c r="AR294" s="28" t="str">
        <f t="shared" si="13"/>
        <v/>
      </c>
      <c r="AS294" s="28" t="str">
        <f t="array" ref="AS294">IF($I294="","",IF(C294="P",IF(OR(I294="NOT_READABLE",I294="BLURRY"),XLOOKUP("near_add_step",Calibration!$B:$B,Calibration!$C:$C,0.25),0),IF(C294="R",IF(I294="NOT_CLEAR",XLOOKUP("near_add_step",Calibration!$B:$B,Calibration!$C:$C,0.25),0),0)))</f>
        <v/>
      </c>
      <c r="AT294" s="28" t="str">
        <f t="array" ref="AT294">IF($I294="","",IF(C294="Q",IF(OR(I294="NOT_READABLE",I294="BLURRY"),XLOOKUP("near_add_step",Calibration!$B:$B,Calibration!$C:$C,0.25),0),IF(C294="R",IF(I294="NOT_CLEAR",XLOOKUP("near_add_step",Calibration!$B:$B,Calibration!$C:$C,0.25),0),0)))</f>
        <v/>
      </c>
      <c r="AU294" s="28" t="str">
        <f t="array" ref="AU294">IF($I294="","",IF(G294="SNELLEN_FEET",IF(I294="READABLE",IFERROR(XLOOKUP(XLOOKUP(R294,Chart_Scale_Distance!B:B,Chart_Scale_Distance!A:A)+1,Chart_Scale_Distance!A:A,Chart_Scale_Distance!B:B),R294),R294),R294))</f>
        <v/>
      </c>
      <c r="AV294" s="28" t="str">
        <f t="array" ref="AV294">IF($I293="","",IFERROR(XLOOKUP(R294,Chart_Scale_Distance!$B:$B,Chart_Scale_Distance!$A:$A,""),""))</f>
        <v/>
      </c>
      <c r="AW294" s="28" t="str">
        <f t="array" ref="AW294">IF($I293="","",IFERROR(XLOOKUP(AA294,Chart_Scale_Distance!$B:$B,Chart_Scale_Distance!$A:$A,""),""))</f>
        <v/>
      </c>
      <c r="AX294" s="28" t="str">
        <f t="shared" si="14"/>
        <v/>
      </c>
      <c r="AY294" s="28" t="str">
        <f t="shared" si="15"/>
        <v/>
      </c>
      <c r="AZ294" s="28" t="str">
        <f t="shared" si="16"/>
        <v/>
      </c>
      <c r="BA294" s="28" t="str">
        <f t="shared" si="17"/>
        <v/>
      </c>
      <c r="BB294" s="28" t="str">
        <f t="shared" si="18"/>
        <v/>
      </c>
      <c r="BC294" s="28" t="str">
        <f t="array" ref="BC294">IF($I294="","",LET(
conf,AI294,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duoMax,XLOOKUP($B294,Derived_Variables!$A:$A,Derived_Variables!$AI:$AI,4),
axisTol,XLOOKUP($B294,Derived_Variables!$A:$A,Derived_Variables!$W:$W,1),
maxStart,XLOOKUP($B294,Derived_Variables!$A:$A,Derived_Variables!$U:$U,1.25),
maxAR,XLOOKUP($B294,Derived_Variables!$A:$A,Derived_Variables!$V:$V,3),
anom,XLOOKUP($B294,Derived_Variables!$A:$A,Derived_Variables!$Z:$Z,FALSE),
reStart,XLOOKUP($B294,Derived_Variables!$A:$A,Derived_Variables!$K:$K,0),
leStart,XLOOKUP($B294,Derived_Variables!$A:$A,Derived_Variables!$N:$N,0),
reAR,XLOOKUP($B294,AR_Input!$A:$A,AR_Input!$B:$B,reStart),
leAR,XLOOKUP($B294,AR_Input!$A:$A,AR_Input!$E:$E,leStart),
reEsc,AND(anom,OR(ABS((S294+AM294)-reStart)&gt;maxStart,ABS((S294+AM294)-reAR)&gt;maxAR)),
leEsc,AND(anom,OR(ABS((V294+AP294)-leStart)&gt;maxStart,ABS((V294+AP294)-leAR)&gt;maxAR)),
phaseMax,IFS(
 AK294="Fast",
   IFS(
     OR(C294="B",C294="D"),XLOOKUP("timeout_coarse_fast",Calibration!$B:$B,Calibration!$C:$C,24),
     OR(C294="E",C294="F",C294="H",C294="I"),XLOOKUP("timeout_jcc_fast",Calibration!$B:$B,Calibration!$C:$C,10),
     OR(C294="G",C294="J"),XLOOKUP("timeout_duochrome_fast",Calibration!$B:$B,Calibration!$C:$C,8),
     C294="K",XLOOKUP("timeout_bino_fast",Calibration!$B:$B,Calibration!$C:$C,10),
     OR(C294="P",C294="Q",C294="R"),XLOOKUP("timeout_near_fast",Calibration!$B:$B,Calibration!$C:$C,16),
     TRUE,XLOOKUP("timeout_coarse_fast",Calibration!$B:$B,Calibration!$C:$C,24)
   ),
 AK294="Normal",
   IFS(
     OR(C294="B",C294="D"),XLOOKUP("timeout_coarse_normal",Calibration!$B:$B,Calibration!$C:$C,36),
     OR(C294="E",C294="F",C294="H",C294="I"),XLOOKUP("timeout_jcc_normal",Calibration!$B:$B,Calibration!$C:$C,14),
     OR(C294="G",C294="J"),XLOOKUP("timeout_duochrome_normal",Calibration!$B:$B,Calibration!$C:$C,10),
     C294="K",XLOOKUP("timeout_bino_normal",Calibration!$B:$B,Calibration!$C:$C,14),
     OR(C294="P",C294="Q",C294="R"),XLOOKUP("timeout_near_normal",Calibration!$B:$B,Calibration!$C:$C,22),
     TRUE,XLOOKUP("timeout_coarse_normal",Calibration!$B:$B,Calibration!$C:$C,36)
   ),
 TRUE,
   IFS(
     OR(C294="B",C294="D"),XLOOKUP("timeout_coarse_slow",Calibration!$B:$B,Calibration!$C:$C,48),
     OR(C294="E",C294="F",C294="H",C294="I"),XLOOKUP("timeout_jcc_slow",Calibration!$B:$B,Calibration!$C:$C,18),
     OR(C294="G",C294="J"),XLOOKUP("timeout_duochrome_slow",Calibration!$B:$B,Calibration!$C:$C,12),
     C294="K",XLOOKUP("timeout_bino_slow",Calibration!$B:$B,Calibration!$C:$C,18),
     OR(C294="P",C294="Q",C294="R"),XLOOKUP("timeout_near_slow",Calibration!$B:$B,Calibration!$C:$C,28),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AJ294=TRUE,"ESCALATE",
C294="A",
IF(OR(I294="NOT_READABLE",I294="BLURRY",AND(R294="20_20_20",I294="READABLE")),"B","A"),
C294="B",
IF(reEsc,"ESCALATE",IF(AY294&gt;=phaseMax,"ESCALATE",IF(AND(AV294&gt;=AW294,I294="READABLE"),"E","B"))),
C294="E",
IF(AY294&gt;=phaseMax,"ESCALATE",IF(OR(I294="SAME",I294="CANT_TELL",AD294&lt;axisTol),"F","E")),
C294="F",
IF(AY294&gt;=phaseMax,"ESCALATE",IF(AX294&gt;=powerSameN,"G","F")),
C294="G",
IF(AY294&gt;=phaseMax,"ESCALATE",IF(OR(AX294&gt;=duoEqualN,BB294&gt;=duoMax),"D","G")),
C294="D",
IF(leEsc,"ESCALATE",IF(AY294&gt;=phaseMax,"ESCALATE",IF(AND(AV294&gt;=AW294,I294="READABLE"),"H","D"))),
C294="H",
IF(AY294&gt;=phaseMax,"ESCALATE",IF(OR(I294="SAME",I294="CANT_TELL",AD294&lt;axisTol),"I","H")),
C294="I",
IF(AY294&gt;=phaseMax,"ESCALATE",IF(AX294&gt;=powerSameN,"J","I")),
C294="J",
IF(AY294&gt;=phaseMax,"ESCALATE",IF(OR(AX294&gt;=duoEqualN,BB294&gt;=duoMax),"K","J")),
C294="K",
IF(AY294&gt;=phaseMax,"ESCALATE",IF(AX294&gt;=binoSameN,IF(XLOOKUP($B294,Derived_Variables!$A:$A,Derived_Variables!$AJ:$AJ,FALSE)=TRUE,"P","END"),"K")),
C294="P",
IF(AY294&gt;=phaseMax,"ESCALATE",IF(OR(I294="READABLE",I294="SAME"),"Q","P")),
C294="Q",
IF(AY294&gt;=phaseMax,"ESCALATE",IF(OR(I294="READABLE",I294="SAME"),"R","Q")),
C294="R",
IF(AY294&gt;=phaseMax,"ESCALATE",IF(OR(I294=nearTarget,I294="SAME"),"END","R")),
TRUE,"END"
)))</f>
        <v/>
      </c>
      <c r="BD294" s="28" t="b">
        <f t="shared" si="19"/>
        <v>0</v>
      </c>
    </row>
    <row r="295" ht="15.75" customHeight="1">
      <c r="A295" s="28">
        <f t="shared" si="3"/>
        <v>294</v>
      </c>
      <c r="B295" s="28">
        <f t="shared" si="4"/>
        <v>6</v>
      </c>
      <c r="C295" s="28" t="str">
        <f t="shared" si="5"/>
        <v/>
      </c>
      <c r="D295" s="28" t="str">
        <f t="array" ref="D295">IF($I294="","",XLOOKUP(C295,FSM_State_Map!A:A,FSM_State_Map!B:B,""))</f>
        <v/>
      </c>
      <c r="E295" s="28" t="str">
        <f t="array" ref="E295">IF($I294="","",XLOOKUP(C295,FSM_State_Map!A:A,FSM_State_Map!C:C,""))</f>
        <v/>
      </c>
      <c r="F295" s="28" t="str">
        <f t="array" ref="F295">IF($I294="","",XLOOKUP(E295,Phase_UI_Map!A:A,Phase_UI_Map!B:B,""))</f>
        <v/>
      </c>
      <c r="G295" s="28" t="str">
        <f t="array" ref="G295">IF($I294="","",XLOOKUP(E295,Phase_UI_Map!A:A,Phase_UI_Map!C:C,""))</f>
        <v/>
      </c>
      <c r="H295" s="28" t="str">
        <f t="array" ref="H295">IF($I294="","",XLOOKUP(E295,Phase_UI_Map!A:A,Phase_UI_Map!D:D,""))</f>
        <v/>
      </c>
      <c r="I295" s="29"/>
      <c r="J295" s="28" t="str">
        <f>IFERROR(__xludf.DUMMYFUNCTION("IF($I294="""","""",IFERROR(INDEX(FILTER(Response_Lists!$B:$B,Response_Lists!$A:$A=$H295),1),""""))"),"")</f>
        <v/>
      </c>
      <c r="K295" s="28" t="str">
        <f>IFERROR(__xludf.DUMMYFUNCTION("IF($I294="""","""",IFERROR(INDEX(FILTER(Response_Lists!$B:$B,Response_Lists!$A:$A=$H295),2),""""))"),"")</f>
        <v/>
      </c>
      <c r="L295" s="28" t="str">
        <f>IFERROR(__xludf.DUMMYFUNCTION("IF($I294="""","""",IFERROR(INDEX(FILTER(Response_Lists!$B:$B,Response_Lists!$A:$A=$H295),3),""""))"),"")</f>
        <v/>
      </c>
      <c r="M295" s="28" t="str">
        <f>IFERROR(__xludf.DUMMYFUNCTION("IF($I294="""","""",IFERROR(INDEX(FILTER(Response_Lists!$B:$B,Response_Lists!$A:$A=$H295),4),""""))"),"")</f>
        <v/>
      </c>
      <c r="N295" s="28" t="str">
        <f>IFERROR(__xludf.DUMMYFUNCTION("IF($I294="""","""",IFERROR(INDEX(FILTER(Response_Lists!$B:$B,Response_Lists!$A:$A=$H295),5),""""))"),"")</f>
        <v/>
      </c>
      <c r="O295" s="28" t="str">
        <f>IFERROR(__xludf.DUMMYFUNCTION("IF($I294="""","""",IFERROR(INDEX(FILTER(Response_Lists!$B:$B,Response_Lists!$A:$A=$H295),6),""""))"),"")</f>
        <v/>
      </c>
      <c r="P295" s="28" t="str">
        <f t="shared" si="6"/>
        <v/>
      </c>
      <c r="Q295" s="28" t="str">
        <f t="array" ref="Q295">IF($I294="","",XLOOKUP(C295,FSM_State_Map!A:A,FSM_State_Map!D:D,""))</f>
        <v/>
      </c>
      <c r="R295" s="28" t="str">
        <f t="shared" si="7"/>
        <v/>
      </c>
      <c r="S295" s="28" t="str">
        <f t="array" ref="S295">IF($I294="","",
IF(
  AND(C295="B",C294&lt;&gt;"B"),
  XLOOKUP($B295,Derived_Variables!$A:$A,Derived_Variables!$K:$K,0)
  + XLOOKUP($B295,Derived_Variables!$A:$A,Derived_Variables!$AE:$AE,0),
  S294+AM294
))</f>
        <v/>
      </c>
      <c r="T295" s="28" t="str">
        <f t="shared" ref="T295:U295" si="600">IF($I294="","",T294+AN294)</f>
        <v/>
      </c>
      <c r="U295" s="28" t="str">
        <f t="shared" si="600"/>
        <v/>
      </c>
      <c r="V295" s="28" t="str">
        <f t="array" ref="V295">IF($I294="","",
IF(
  AND(C295="D",C294&lt;&gt;"D"),
  XLOOKUP($B295,Derived_Variables!$A:$A,Derived_Variables!$N:$N,0)
  + XLOOKUP($B295,Derived_Variables!$A:$A,Derived_Variables!$AE:$AE,0),
  V294+AP294
))</f>
        <v/>
      </c>
      <c r="W295" s="28" t="str">
        <f t="shared" ref="W295:X295" si="601">IF($I294="","",W294+AQ294)</f>
        <v/>
      </c>
      <c r="X295" s="28" t="str">
        <f t="shared" si="601"/>
        <v/>
      </c>
      <c r="Y295" s="28" t="str">
        <f t="array" ref="Y295">IF($I294="","",IF(AND(C295="P",C294&lt;&gt;"P"),IFERROR(XLOOKUP($B295,Lenso_Input!$A:$A,Lenso_Input!$E:$E,0),0),Y294+AS294))</f>
        <v/>
      </c>
      <c r="Z295" s="28" t="str">
        <f t="array" ref="Z295">IF($I294="","",IF(AND(C295="Q",C294&lt;&gt;"Q"),IFERROR(XLOOKUP($B295,Lenso_Input!$A:$A,Lenso_Input!$I:$I,0),0),Z294+AT294))</f>
        <v/>
      </c>
      <c r="AA295" s="28" t="str">
        <f t="array" ref="AA295">IF($I294="","",IF(XLOOKUP($B295,Derived_Variables!$A:$A,Derived_Variables!$R:$R,"6/6_target")="6/6_target","20_20_20","40_30_25"))</f>
        <v/>
      </c>
      <c r="AB295" s="28" t="str">
        <f t="array" ref="AB295">IF($I294="","",XLOOKUP(LOWER(XLOOKUP($B295,Derived_Variables!$A:$A,Derived_Variables!$T:$T,"Standard"))&amp;"_sph_step",Calibration!$B:$B,Calibration!$C:$C,0.25))</f>
        <v/>
      </c>
      <c r="AC295" s="28" t="str">
        <f t="array" ref="AC295">IF($I294="","",XLOOKUP(LOWER(XLOOKUP($B295,Derived_Variables!$A:$A,Derived_Variables!$T:$T,"Standard"))&amp;"_cyl_step",Calibration!$B:$B,Calibration!$C:$C,0.25))</f>
        <v/>
      </c>
      <c r="AD295" s="28" t="str">
        <f t="array" ref="AD295">IF($I294="","",IF(OR(C295="E",C295="H"),LET(startStep,XLOOKUP("axis_start_step",Calibration!$B:$B,Calibration!$C:$C,5),step1,XLOOKUP("axis_reversal_step_1",Calibration!$B:$B,Calibration!$C:$C,3),step2,XLOOKUP("axis_reversal_step_2",Calibration!$B:$B,Calibration!$C:$C,1),IF(OR(C294&lt;&gt;C295,AZ295="",AZ295="SAME",AZ295="CANT_TELL",I295="",I295="SAME",I295="CANT_TELL"),startStep,IF(OR(AND(AZ295="BETTER_1",I295="BETTER_2"),AND(AZ295="BETTER_2",I295="BETTER_1")),IF(AD294&gt;step1,step1,step2),AD294))),0))</f>
        <v/>
      </c>
      <c r="AE295" s="28" t="str">
        <f t="array" ref="AE295">IF($I294="","",XLOOKUP($B295,Derived_Variables!$A:$A,Derived_Variables!$AD:$AD,"No_Fog"))</f>
        <v/>
      </c>
      <c r="AF295" s="28" t="str">
        <f t="array" ref="AF295">IF($I294="","",XLOOKUP($B295,Derived_Variables!$A:$A,Derived_Variables!$AE:$AE,0))</f>
        <v/>
      </c>
      <c r="AG295" s="28" t="str">
        <f t="array" ref="AG295">IF($I294="","",XLOOKUP($B295,Derived_Variables!$A:$A,Derived_Variables!$AF:$AF,""))</f>
        <v/>
      </c>
      <c r="AH295" s="28" t="str">
        <f t="array" ref="AH295">IF($I294="","",XLOOKUP($B295,Derived_Variables!$A:$A,Derived_Variables!$AG:$AG,""))</f>
        <v/>
      </c>
      <c r="AI295" s="28" t="str">
        <f t="array" ref="AI295">IF($I294="","",XLOOKUP($B295,Derived_Variables!$A:$A,Derived_Variables!$AC:$AC,"Medium"))</f>
        <v/>
      </c>
      <c r="AJ295" s="28" t="str">
        <f t="array" ref="AJ295">IF($I294="","",XLOOKUP($B295,Derived_Variables!$A:$A,Derived_Variables!$Y:$Y,FALSE))</f>
        <v/>
      </c>
      <c r="AK295" s="28" t="str">
        <f t="array" ref="AK295">IF($I294="","",XLOOKUP($B295,Derived_Variables!$A:$A,Derived_Variables!$AA:$AA,"Normal"))</f>
        <v/>
      </c>
      <c r="AL295" s="28" t="str">
        <f t="array" ref="AL295">IF($I294="","",XLOOKUP($B295,Derived_Variables!$A:$A,Derived_Variables!$AB:$AB,"Normal"))</f>
        <v/>
      </c>
      <c r="AM295" s="28" t="str">
        <f t="array" ref="AM295">IF($I295="","",IFS(C295="B",IF(OR(I295="NOT_READABLE",I295="BLURRY"),-AB295,0),C295="G",IFS(I295="RED_CLEARER",XLOOKUP("duochrome_red_step",Calibration!$B:$B,Calibration!$C:$C,-0.25),I295="GREEN_CLEARER",XLOOKUP("duochrome_green_step",Calibration!$B:$B,Calibration!$C:$C,0.25),I295="EQUAL",IF(XLOOKUP($B295,Derived_Variables!$A:$A,Derived_Variables!$S:$S,"Neutral")="Undercorrect",XLOOKUP("undercorrect_step",Calibration!$B:$B,Calibration!$C:$C,0.25),IF(XLOOKUP($B295,Derived_Variables!$A:$A,Derived_Variables!$S:$S,"Neutral")="Overcorrect",-XLOOKUP("overcorrect_step",Calibration!$B:$B,Calibration!$C:$C,0.25),0)),TRUE,0),C295="K",IF(I295="TOP_CLEARER",XLOOKUP("bino_balance_step",Calibration!$B:$B,Calibration!$C:$C,0.25),0),TRUE,0))</f>
        <v/>
      </c>
      <c r="AN295" s="28" t="str">
        <f t="shared" si="10"/>
        <v/>
      </c>
      <c r="AO295" s="28" t="str">
        <f t="shared" si="11"/>
        <v/>
      </c>
      <c r="AP295" s="28" t="str">
        <f t="array" ref="AP295">IF($I295="","",IFS(C295="D",IF(OR(I295="NOT_READABLE",I295="BLURRY"),-AB295,0),C295="J",IFS(I295="RED_CLEARER",XLOOKUP("duochrome_red_step",Calibration!$B:$B,Calibration!$C:$C,-0.25),I295="GREEN_CLEARER",XLOOKUP("duochrome_green_step",Calibration!$B:$B,Calibration!$C:$C,0.25),I295="EQUAL",IF(XLOOKUP($B295,Derived_Variables!$A:$A,Derived_Variables!$S:$S,"Neutral")="Undercorrect",XLOOKUP("undercorrect_step",Calibration!$B:$B,Calibration!$C:$C,0.25),IF(XLOOKUP($B295,Derived_Variables!$A:$A,Derived_Variables!$S:$S,"Neutral")="Overcorrect",-XLOOKUP("overcorrect_step",Calibration!$B:$B,Calibration!$C:$C,0.25),0)),TRUE,0),C295="K",IF(I295="BOTTOM_CLEARER",XLOOKUP("bino_balance_step",Calibration!$B:$B,Calibration!$C:$C,0.25),0),TRUE,0))</f>
        <v/>
      </c>
      <c r="AQ295" s="28" t="str">
        <f t="shared" si="12"/>
        <v/>
      </c>
      <c r="AR295" s="28" t="str">
        <f t="shared" si="13"/>
        <v/>
      </c>
      <c r="AS295" s="28" t="str">
        <f t="array" ref="AS295">IF($I295="","",IF(C295="P",IF(OR(I295="NOT_READABLE",I295="BLURRY"),XLOOKUP("near_add_step",Calibration!$B:$B,Calibration!$C:$C,0.25),0),IF(C295="R",IF(I295="NOT_CLEAR",XLOOKUP("near_add_step",Calibration!$B:$B,Calibration!$C:$C,0.25),0),0)))</f>
        <v/>
      </c>
      <c r="AT295" s="28" t="str">
        <f t="array" ref="AT295">IF($I295="","",IF(C295="Q",IF(OR(I295="NOT_READABLE",I295="BLURRY"),XLOOKUP("near_add_step",Calibration!$B:$B,Calibration!$C:$C,0.25),0),IF(C295="R",IF(I295="NOT_CLEAR",XLOOKUP("near_add_step",Calibration!$B:$B,Calibration!$C:$C,0.25),0),0)))</f>
        <v/>
      </c>
      <c r="AU295" s="28" t="str">
        <f t="array" ref="AU295">IF($I295="","",IF(G295="SNELLEN_FEET",IF(I295="READABLE",IFERROR(XLOOKUP(XLOOKUP(R295,Chart_Scale_Distance!B:B,Chart_Scale_Distance!A:A)+1,Chart_Scale_Distance!A:A,Chart_Scale_Distance!B:B),R295),R295),R295))</f>
        <v/>
      </c>
      <c r="AV295" s="28" t="str">
        <f t="array" ref="AV295">IF($I294="","",IFERROR(XLOOKUP(R295,Chart_Scale_Distance!$B:$B,Chart_Scale_Distance!$A:$A,""),""))</f>
        <v/>
      </c>
      <c r="AW295" s="28" t="str">
        <f t="array" ref="AW295">IF($I294="","",IFERROR(XLOOKUP(AA295,Chart_Scale_Distance!$B:$B,Chart_Scale_Distance!$A:$A,""),""))</f>
        <v/>
      </c>
      <c r="AX295" s="28" t="str">
        <f t="shared" si="14"/>
        <v/>
      </c>
      <c r="AY295" s="28" t="str">
        <f t="shared" si="15"/>
        <v/>
      </c>
      <c r="AZ295" s="28" t="str">
        <f t="shared" si="16"/>
        <v/>
      </c>
      <c r="BA295" s="28" t="str">
        <f t="shared" si="17"/>
        <v/>
      </c>
      <c r="BB295" s="28" t="str">
        <f t="shared" si="18"/>
        <v/>
      </c>
      <c r="BC295" s="28" t="str">
        <f t="array" ref="BC295">IF($I295="","",LET(
conf,AI295,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duoMax,XLOOKUP($B295,Derived_Variables!$A:$A,Derived_Variables!$AI:$AI,4),
axisTol,XLOOKUP($B295,Derived_Variables!$A:$A,Derived_Variables!$W:$W,1),
maxStart,XLOOKUP($B295,Derived_Variables!$A:$A,Derived_Variables!$U:$U,1.25),
maxAR,XLOOKUP($B295,Derived_Variables!$A:$A,Derived_Variables!$V:$V,3),
anom,XLOOKUP($B295,Derived_Variables!$A:$A,Derived_Variables!$Z:$Z,FALSE),
reStart,XLOOKUP($B295,Derived_Variables!$A:$A,Derived_Variables!$K:$K,0),
leStart,XLOOKUP($B295,Derived_Variables!$A:$A,Derived_Variables!$N:$N,0),
reAR,XLOOKUP($B295,AR_Input!$A:$A,AR_Input!$B:$B,reStart),
leAR,XLOOKUP($B295,AR_Input!$A:$A,AR_Input!$E:$E,leStart),
reEsc,AND(anom,OR(ABS((S295+AM295)-reStart)&gt;maxStart,ABS((S295+AM295)-reAR)&gt;maxAR)),
leEsc,AND(anom,OR(ABS((V295+AP295)-leStart)&gt;maxStart,ABS((V295+AP295)-leAR)&gt;maxAR)),
phaseMax,IFS(
 AK295="Fast",
   IFS(
     OR(C295="B",C295="D"),XLOOKUP("timeout_coarse_fast",Calibration!$B:$B,Calibration!$C:$C,24),
     OR(C295="E",C295="F",C295="H",C295="I"),XLOOKUP("timeout_jcc_fast",Calibration!$B:$B,Calibration!$C:$C,10),
     OR(C295="G",C295="J"),XLOOKUP("timeout_duochrome_fast",Calibration!$B:$B,Calibration!$C:$C,8),
     C295="K",XLOOKUP("timeout_bino_fast",Calibration!$B:$B,Calibration!$C:$C,10),
     OR(C295="P",C295="Q",C295="R"),XLOOKUP("timeout_near_fast",Calibration!$B:$B,Calibration!$C:$C,16),
     TRUE,XLOOKUP("timeout_coarse_fast",Calibration!$B:$B,Calibration!$C:$C,24)
   ),
 AK295="Normal",
   IFS(
     OR(C295="B",C295="D"),XLOOKUP("timeout_coarse_normal",Calibration!$B:$B,Calibration!$C:$C,36),
     OR(C295="E",C295="F",C295="H",C295="I"),XLOOKUP("timeout_jcc_normal",Calibration!$B:$B,Calibration!$C:$C,14),
     OR(C295="G",C295="J"),XLOOKUP("timeout_duochrome_normal",Calibration!$B:$B,Calibration!$C:$C,10),
     C295="K",XLOOKUP("timeout_bino_normal",Calibration!$B:$B,Calibration!$C:$C,14),
     OR(C295="P",C295="Q",C295="R"),XLOOKUP("timeout_near_normal",Calibration!$B:$B,Calibration!$C:$C,22),
     TRUE,XLOOKUP("timeout_coarse_normal",Calibration!$B:$B,Calibration!$C:$C,36)
   ),
 TRUE,
   IFS(
     OR(C295="B",C295="D"),XLOOKUP("timeout_coarse_slow",Calibration!$B:$B,Calibration!$C:$C,48),
     OR(C295="E",C295="F",C295="H",C295="I"),XLOOKUP("timeout_jcc_slow",Calibration!$B:$B,Calibration!$C:$C,18),
     OR(C295="G",C295="J"),XLOOKUP("timeout_duochrome_slow",Calibration!$B:$B,Calibration!$C:$C,12),
     C295="K",XLOOKUP("timeout_bino_slow",Calibration!$B:$B,Calibration!$C:$C,18),
     OR(C295="P",C295="Q",C295="R"),XLOOKUP("timeout_near_slow",Calibration!$B:$B,Calibration!$C:$C,28),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AJ295=TRUE,"ESCALATE",
C295="A",
IF(OR(I295="NOT_READABLE",I295="BLURRY",AND(R295="20_20_20",I295="READABLE")),"B","A"),
C295="B",
IF(reEsc,"ESCALATE",IF(AY295&gt;=phaseMax,"ESCALATE",IF(AND(AV295&gt;=AW295,I295="READABLE"),"E","B"))),
C295="E",
IF(AY295&gt;=phaseMax,"ESCALATE",IF(OR(I295="SAME",I295="CANT_TELL",AD295&lt;axisTol),"F","E")),
C295="F",
IF(AY295&gt;=phaseMax,"ESCALATE",IF(AX295&gt;=powerSameN,"G","F")),
C295="G",
IF(AY295&gt;=phaseMax,"ESCALATE",IF(OR(AX295&gt;=duoEqualN,BB295&gt;=duoMax),"D","G")),
C295="D",
IF(leEsc,"ESCALATE",IF(AY295&gt;=phaseMax,"ESCALATE",IF(AND(AV295&gt;=AW295,I295="READABLE"),"H","D"))),
C295="H",
IF(AY295&gt;=phaseMax,"ESCALATE",IF(OR(I295="SAME",I295="CANT_TELL",AD295&lt;axisTol),"I","H")),
C295="I",
IF(AY295&gt;=phaseMax,"ESCALATE",IF(AX295&gt;=powerSameN,"J","I")),
C295="J",
IF(AY295&gt;=phaseMax,"ESCALATE",IF(OR(AX295&gt;=duoEqualN,BB295&gt;=duoMax),"K","J")),
C295="K",
IF(AY295&gt;=phaseMax,"ESCALATE",IF(AX295&gt;=binoSameN,IF(XLOOKUP($B295,Derived_Variables!$A:$A,Derived_Variables!$AJ:$AJ,FALSE)=TRUE,"P","END"),"K")),
C295="P",
IF(AY295&gt;=phaseMax,"ESCALATE",IF(OR(I295="READABLE",I295="SAME"),"Q","P")),
C295="Q",
IF(AY295&gt;=phaseMax,"ESCALATE",IF(OR(I295="READABLE",I295="SAME"),"R","Q")),
C295="R",
IF(AY295&gt;=phaseMax,"ESCALATE",IF(OR(I295=nearTarget,I295="SAME"),"END","R")),
TRUE,"END"
)))</f>
        <v/>
      </c>
      <c r="BD295" s="28" t="b">
        <f t="shared" si="19"/>
        <v>0</v>
      </c>
    </row>
    <row r="296" ht="15.75" customHeight="1">
      <c r="A296" s="28">
        <f t="shared" si="3"/>
        <v>295</v>
      </c>
      <c r="B296" s="28">
        <f t="shared" si="4"/>
        <v>6</v>
      </c>
      <c r="C296" s="28" t="str">
        <f t="shared" si="5"/>
        <v/>
      </c>
      <c r="D296" s="28" t="str">
        <f t="array" ref="D296">IF($I295="","",XLOOKUP(C296,FSM_State_Map!A:A,FSM_State_Map!B:B,""))</f>
        <v/>
      </c>
      <c r="E296" s="28" t="str">
        <f t="array" ref="E296">IF($I295="","",XLOOKUP(C296,FSM_State_Map!A:A,FSM_State_Map!C:C,""))</f>
        <v/>
      </c>
      <c r="F296" s="28" t="str">
        <f t="array" ref="F296">IF($I295="","",XLOOKUP(E296,Phase_UI_Map!A:A,Phase_UI_Map!B:B,""))</f>
        <v/>
      </c>
      <c r="G296" s="28" t="str">
        <f t="array" ref="G296">IF($I295="","",XLOOKUP(E296,Phase_UI_Map!A:A,Phase_UI_Map!C:C,""))</f>
        <v/>
      </c>
      <c r="H296" s="28" t="str">
        <f t="array" ref="H296">IF($I295="","",XLOOKUP(E296,Phase_UI_Map!A:A,Phase_UI_Map!D:D,""))</f>
        <v/>
      </c>
      <c r="I296" s="29"/>
      <c r="J296" s="28" t="str">
        <f>IFERROR(__xludf.DUMMYFUNCTION("IF($I295="""","""",IFERROR(INDEX(FILTER(Response_Lists!$B:$B,Response_Lists!$A:$A=$H296),1),""""))"),"")</f>
        <v/>
      </c>
      <c r="K296" s="28" t="str">
        <f>IFERROR(__xludf.DUMMYFUNCTION("IF($I295="""","""",IFERROR(INDEX(FILTER(Response_Lists!$B:$B,Response_Lists!$A:$A=$H296),2),""""))"),"")</f>
        <v/>
      </c>
      <c r="L296" s="28" t="str">
        <f>IFERROR(__xludf.DUMMYFUNCTION("IF($I295="""","""",IFERROR(INDEX(FILTER(Response_Lists!$B:$B,Response_Lists!$A:$A=$H296),3),""""))"),"")</f>
        <v/>
      </c>
      <c r="M296" s="28" t="str">
        <f>IFERROR(__xludf.DUMMYFUNCTION("IF($I295="""","""",IFERROR(INDEX(FILTER(Response_Lists!$B:$B,Response_Lists!$A:$A=$H296),4),""""))"),"")</f>
        <v/>
      </c>
      <c r="N296" s="28" t="str">
        <f>IFERROR(__xludf.DUMMYFUNCTION("IF($I295="""","""",IFERROR(INDEX(FILTER(Response_Lists!$B:$B,Response_Lists!$A:$A=$H296),5),""""))"),"")</f>
        <v/>
      </c>
      <c r="O296" s="28" t="str">
        <f>IFERROR(__xludf.DUMMYFUNCTION("IF($I295="""","""",IFERROR(INDEX(FILTER(Response_Lists!$B:$B,Response_Lists!$A:$A=$H296),6),""""))"),"")</f>
        <v/>
      </c>
      <c r="P296" s="28" t="str">
        <f t="shared" si="6"/>
        <v/>
      </c>
      <c r="Q296" s="28" t="str">
        <f t="array" ref="Q296">IF($I295="","",XLOOKUP(C296,FSM_State_Map!A:A,FSM_State_Map!D:D,""))</f>
        <v/>
      </c>
      <c r="R296" s="28" t="str">
        <f t="shared" si="7"/>
        <v/>
      </c>
      <c r="S296" s="28" t="str">
        <f t="array" ref="S296">IF($I295="","",
IF(
  AND(C296="B",C295&lt;&gt;"B"),
  XLOOKUP($B296,Derived_Variables!$A:$A,Derived_Variables!$K:$K,0)
  + XLOOKUP($B296,Derived_Variables!$A:$A,Derived_Variables!$AE:$AE,0),
  S295+AM295
))</f>
        <v/>
      </c>
      <c r="T296" s="28" t="str">
        <f t="shared" ref="T296:U296" si="602">IF($I295="","",T295+AN295)</f>
        <v/>
      </c>
      <c r="U296" s="28" t="str">
        <f t="shared" si="602"/>
        <v/>
      </c>
      <c r="V296" s="28" t="str">
        <f t="array" ref="V296">IF($I295="","",
IF(
  AND(C296="D",C295&lt;&gt;"D"),
  XLOOKUP($B296,Derived_Variables!$A:$A,Derived_Variables!$N:$N,0)
  + XLOOKUP($B296,Derived_Variables!$A:$A,Derived_Variables!$AE:$AE,0),
  V295+AP295
))</f>
        <v/>
      </c>
      <c r="W296" s="28" t="str">
        <f t="shared" ref="W296:X296" si="603">IF($I295="","",W295+AQ295)</f>
        <v/>
      </c>
      <c r="X296" s="28" t="str">
        <f t="shared" si="603"/>
        <v/>
      </c>
      <c r="Y296" s="28" t="str">
        <f t="array" ref="Y296">IF($I295="","",IF(AND(C296="P",C295&lt;&gt;"P"),IFERROR(XLOOKUP($B296,Lenso_Input!$A:$A,Lenso_Input!$E:$E,0),0),Y295+AS295))</f>
        <v/>
      </c>
      <c r="Z296" s="28" t="str">
        <f t="array" ref="Z296">IF($I295="","",IF(AND(C296="Q",C295&lt;&gt;"Q"),IFERROR(XLOOKUP($B296,Lenso_Input!$A:$A,Lenso_Input!$I:$I,0),0),Z295+AT295))</f>
        <v/>
      </c>
      <c r="AA296" s="28" t="str">
        <f t="array" ref="AA296">IF($I295="","",IF(XLOOKUP($B296,Derived_Variables!$A:$A,Derived_Variables!$R:$R,"6/6_target")="6/6_target","20_20_20","40_30_25"))</f>
        <v/>
      </c>
      <c r="AB296" s="28" t="str">
        <f t="array" ref="AB296">IF($I295="","",XLOOKUP(LOWER(XLOOKUP($B296,Derived_Variables!$A:$A,Derived_Variables!$T:$T,"Standard"))&amp;"_sph_step",Calibration!$B:$B,Calibration!$C:$C,0.25))</f>
        <v/>
      </c>
      <c r="AC296" s="28" t="str">
        <f t="array" ref="AC296">IF($I295="","",XLOOKUP(LOWER(XLOOKUP($B296,Derived_Variables!$A:$A,Derived_Variables!$T:$T,"Standard"))&amp;"_cyl_step",Calibration!$B:$B,Calibration!$C:$C,0.25))</f>
        <v/>
      </c>
      <c r="AD296" s="28" t="str">
        <f t="array" ref="AD296">IF($I295="","",IF(OR(C296="E",C296="H"),LET(startStep,XLOOKUP("axis_start_step",Calibration!$B:$B,Calibration!$C:$C,5),step1,XLOOKUP("axis_reversal_step_1",Calibration!$B:$B,Calibration!$C:$C,3),step2,XLOOKUP("axis_reversal_step_2",Calibration!$B:$B,Calibration!$C:$C,1),IF(OR(C295&lt;&gt;C296,AZ296="",AZ296="SAME",AZ296="CANT_TELL",I296="",I296="SAME",I296="CANT_TELL"),startStep,IF(OR(AND(AZ296="BETTER_1",I296="BETTER_2"),AND(AZ296="BETTER_2",I296="BETTER_1")),IF(AD295&gt;step1,step1,step2),AD295))),0))</f>
        <v/>
      </c>
      <c r="AE296" s="28" t="str">
        <f t="array" ref="AE296">IF($I295="","",XLOOKUP($B296,Derived_Variables!$A:$A,Derived_Variables!$AD:$AD,"No_Fog"))</f>
        <v/>
      </c>
      <c r="AF296" s="28" t="str">
        <f t="array" ref="AF296">IF($I295="","",XLOOKUP($B296,Derived_Variables!$A:$A,Derived_Variables!$AE:$AE,0))</f>
        <v/>
      </c>
      <c r="AG296" s="28" t="str">
        <f t="array" ref="AG296">IF($I295="","",XLOOKUP($B296,Derived_Variables!$A:$A,Derived_Variables!$AF:$AF,""))</f>
        <v/>
      </c>
      <c r="AH296" s="28" t="str">
        <f t="array" ref="AH296">IF($I295="","",XLOOKUP($B296,Derived_Variables!$A:$A,Derived_Variables!$AG:$AG,""))</f>
        <v/>
      </c>
      <c r="AI296" s="28" t="str">
        <f t="array" ref="AI296">IF($I295="","",XLOOKUP($B296,Derived_Variables!$A:$A,Derived_Variables!$AC:$AC,"Medium"))</f>
        <v/>
      </c>
      <c r="AJ296" s="28" t="str">
        <f t="array" ref="AJ296">IF($I295="","",XLOOKUP($B296,Derived_Variables!$A:$A,Derived_Variables!$Y:$Y,FALSE))</f>
        <v/>
      </c>
      <c r="AK296" s="28" t="str">
        <f t="array" ref="AK296">IF($I295="","",XLOOKUP($B296,Derived_Variables!$A:$A,Derived_Variables!$AA:$AA,"Normal"))</f>
        <v/>
      </c>
      <c r="AL296" s="28" t="str">
        <f t="array" ref="AL296">IF($I295="","",XLOOKUP($B296,Derived_Variables!$A:$A,Derived_Variables!$AB:$AB,"Normal"))</f>
        <v/>
      </c>
      <c r="AM296" s="28" t="str">
        <f t="array" ref="AM296">IF($I296="","",IFS(C296="B",IF(OR(I296="NOT_READABLE",I296="BLURRY"),-AB296,0),C296="G",IFS(I296="RED_CLEARER",XLOOKUP("duochrome_red_step",Calibration!$B:$B,Calibration!$C:$C,-0.25),I296="GREEN_CLEARER",XLOOKUP("duochrome_green_step",Calibration!$B:$B,Calibration!$C:$C,0.25),I296="EQUAL",IF(XLOOKUP($B296,Derived_Variables!$A:$A,Derived_Variables!$S:$S,"Neutral")="Undercorrect",XLOOKUP("undercorrect_step",Calibration!$B:$B,Calibration!$C:$C,0.25),IF(XLOOKUP($B296,Derived_Variables!$A:$A,Derived_Variables!$S:$S,"Neutral")="Overcorrect",-XLOOKUP("overcorrect_step",Calibration!$B:$B,Calibration!$C:$C,0.25),0)),TRUE,0),C296="K",IF(I296="TOP_CLEARER",XLOOKUP("bino_balance_step",Calibration!$B:$B,Calibration!$C:$C,0.25),0),TRUE,0))</f>
        <v/>
      </c>
      <c r="AN296" s="28" t="str">
        <f t="shared" si="10"/>
        <v/>
      </c>
      <c r="AO296" s="28" t="str">
        <f t="shared" si="11"/>
        <v/>
      </c>
      <c r="AP296" s="28" t="str">
        <f t="array" ref="AP296">IF($I296="","",IFS(C296="D",IF(OR(I296="NOT_READABLE",I296="BLURRY"),-AB296,0),C296="J",IFS(I296="RED_CLEARER",XLOOKUP("duochrome_red_step",Calibration!$B:$B,Calibration!$C:$C,-0.25),I296="GREEN_CLEARER",XLOOKUP("duochrome_green_step",Calibration!$B:$B,Calibration!$C:$C,0.25),I296="EQUAL",IF(XLOOKUP($B296,Derived_Variables!$A:$A,Derived_Variables!$S:$S,"Neutral")="Undercorrect",XLOOKUP("undercorrect_step",Calibration!$B:$B,Calibration!$C:$C,0.25),IF(XLOOKUP($B296,Derived_Variables!$A:$A,Derived_Variables!$S:$S,"Neutral")="Overcorrect",-XLOOKUP("overcorrect_step",Calibration!$B:$B,Calibration!$C:$C,0.25),0)),TRUE,0),C296="K",IF(I296="BOTTOM_CLEARER",XLOOKUP("bino_balance_step",Calibration!$B:$B,Calibration!$C:$C,0.25),0),TRUE,0))</f>
        <v/>
      </c>
      <c r="AQ296" s="28" t="str">
        <f t="shared" si="12"/>
        <v/>
      </c>
      <c r="AR296" s="28" t="str">
        <f t="shared" si="13"/>
        <v/>
      </c>
      <c r="AS296" s="28" t="str">
        <f t="array" ref="AS296">IF($I296="","",IF(C296="P",IF(OR(I296="NOT_READABLE",I296="BLURRY"),XLOOKUP("near_add_step",Calibration!$B:$B,Calibration!$C:$C,0.25),0),IF(C296="R",IF(I296="NOT_CLEAR",XLOOKUP("near_add_step",Calibration!$B:$B,Calibration!$C:$C,0.25),0),0)))</f>
        <v/>
      </c>
      <c r="AT296" s="28" t="str">
        <f t="array" ref="AT296">IF($I296="","",IF(C296="Q",IF(OR(I296="NOT_READABLE",I296="BLURRY"),XLOOKUP("near_add_step",Calibration!$B:$B,Calibration!$C:$C,0.25),0),IF(C296="R",IF(I296="NOT_CLEAR",XLOOKUP("near_add_step",Calibration!$B:$B,Calibration!$C:$C,0.25),0),0)))</f>
        <v/>
      </c>
      <c r="AU296" s="28" t="str">
        <f t="array" ref="AU296">IF($I296="","",IF(G296="SNELLEN_FEET",IF(I296="READABLE",IFERROR(XLOOKUP(XLOOKUP(R296,Chart_Scale_Distance!B:B,Chart_Scale_Distance!A:A)+1,Chart_Scale_Distance!A:A,Chart_Scale_Distance!B:B),R296),R296),R296))</f>
        <v/>
      </c>
      <c r="AV296" s="28" t="str">
        <f t="array" ref="AV296">IF($I295="","",IFERROR(XLOOKUP(R296,Chart_Scale_Distance!$B:$B,Chart_Scale_Distance!$A:$A,""),""))</f>
        <v/>
      </c>
      <c r="AW296" s="28" t="str">
        <f t="array" ref="AW296">IF($I295="","",IFERROR(XLOOKUP(AA296,Chart_Scale_Distance!$B:$B,Chart_Scale_Distance!$A:$A,""),""))</f>
        <v/>
      </c>
      <c r="AX296" s="28" t="str">
        <f t="shared" si="14"/>
        <v/>
      </c>
      <c r="AY296" s="28" t="str">
        <f t="shared" si="15"/>
        <v/>
      </c>
      <c r="AZ296" s="28" t="str">
        <f t="shared" si="16"/>
        <v/>
      </c>
      <c r="BA296" s="28" t="str">
        <f t="shared" si="17"/>
        <v/>
      </c>
      <c r="BB296" s="28" t="str">
        <f t="shared" si="18"/>
        <v/>
      </c>
      <c r="BC296" s="28" t="str">
        <f t="array" ref="BC296">IF($I296="","",LET(
conf,AI296,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duoMax,XLOOKUP($B296,Derived_Variables!$A:$A,Derived_Variables!$AI:$AI,4),
axisTol,XLOOKUP($B296,Derived_Variables!$A:$A,Derived_Variables!$W:$W,1),
maxStart,XLOOKUP($B296,Derived_Variables!$A:$A,Derived_Variables!$U:$U,1.25),
maxAR,XLOOKUP($B296,Derived_Variables!$A:$A,Derived_Variables!$V:$V,3),
anom,XLOOKUP($B296,Derived_Variables!$A:$A,Derived_Variables!$Z:$Z,FALSE),
reStart,XLOOKUP($B296,Derived_Variables!$A:$A,Derived_Variables!$K:$K,0),
leStart,XLOOKUP($B296,Derived_Variables!$A:$A,Derived_Variables!$N:$N,0),
reAR,XLOOKUP($B296,AR_Input!$A:$A,AR_Input!$B:$B,reStart),
leAR,XLOOKUP($B296,AR_Input!$A:$A,AR_Input!$E:$E,leStart),
reEsc,AND(anom,OR(ABS((S296+AM296)-reStart)&gt;maxStart,ABS((S296+AM296)-reAR)&gt;maxAR)),
leEsc,AND(anom,OR(ABS((V296+AP296)-leStart)&gt;maxStart,ABS((V296+AP296)-leAR)&gt;maxAR)),
phaseMax,IFS(
 AK296="Fast",
   IFS(
     OR(C296="B",C296="D"),XLOOKUP("timeout_coarse_fast",Calibration!$B:$B,Calibration!$C:$C,24),
     OR(C296="E",C296="F",C296="H",C296="I"),XLOOKUP("timeout_jcc_fast",Calibration!$B:$B,Calibration!$C:$C,10),
     OR(C296="G",C296="J"),XLOOKUP("timeout_duochrome_fast",Calibration!$B:$B,Calibration!$C:$C,8),
     C296="K",XLOOKUP("timeout_bino_fast",Calibration!$B:$B,Calibration!$C:$C,10),
     OR(C296="P",C296="Q",C296="R"),XLOOKUP("timeout_near_fast",Calibration!$B:$B,Calibration!$C:$C,16),
     TRUE,XLOOKUP("timeout_coarse_fast",Calibration!$B:$B,Calibration!$C:$C,24)
   ),
 AK296="Normal",
   IFS(
     OR(C296="B",C296="D"),XLOOKUP("timeout_coarse_normal",Calibration!$B:$B,Calibration!$C:$C,36),
     OR(C296="E",C296="F",C296="H",C296="I"),XLOOKUP("timeout_jcc_normal",Calibration!$B:$B,Calibration!$C:$C,14),
     OR(C296="G",C296="J"),XLOOKUP("timeout_duochrome_normal",Calibration!$B:$B,Calibration!$C:$C,10),
     C296="K",XLOOKUP("timeout_bino_normal",Calibration!$B:$B,Calibration!$C:$C,14),
     OR(C296="P",C296="Q",C296="R"),XLOOKUP("timeout_near_normal",Calibration!$B:$B,Calibration!$C:$C,22),
     TRUE,XLOOKUP("timeout_coarse_normal",Calibration!$B:$B,Calibration!$C:$C,36)
   ),
 TRUE,
   IFS(
     OR(C296="B",C296="D"),XLOOKUP("timeout_coarse_slow",Calibration!$B:$B,Calibration!$C:$C,48),
     OR(C296="E",C296="F",C296="H",C296="I"),XLOOKUP("timeout_jcc_slow",Calibration!$B:$B,Calibration!$C:$C,18),
     OR(C296="G",C296="J"),XLOOKUP("timeout_duochrome_slow",Calibration!$B:$B,Calibration!$C:$C,12),
     C296="K",XLOOKUP("timeout_bino_slow",Calibration!$B:$B,Calibration!$C:$C,18),
     OR(C296="P",C296="Q",C296="R"),XLOOKUP("timeout_near_slow",Calibration!$B:$B,Calibration!$C:$C,28),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AJ296=TRUE,"ESCALATE",
C296="A",
IF(OR(I296="NOT_READABLE",I296="BLURRY",AND(R296="20_20_20",I296="READABLE")),"B","A"),
C296="B",
IF(reEsc,"ESCALATE",IF(AY296&gt;=phaseMax,"ESCALATE",IF(AND(AV296&gt;=AW296,I296="READABLE"),"E","B"))),
C296="E",
IF(AY296&gt;=phaseMax,"ESCALATE",IF(OR(I296="SAME",I296="CANT_TELL",AD296&lt;axisTol),"F","E")),
C296="F",
IF(AY296&gt;=phaseMax,"ESCALATE",IF(AX296&gt;=powerSameN,"G","F")),
C296="G",
IF(AY296&gt;=phaseMax,"ESCALATE",IF(OR(AX296&gt;=duoEqualN,BB296&gt;=duoMax),"D","G")),
C296="D",
IF(leEsc,"ESCALATE",IF(AY296&gt;=phaseMax,"ESCALATE",IF(AND(AV296&gt;=AW296,I296="READABLE"),"H","D"))),
C296="H",
IF(AY296&gt;=phaseMax,"ESCALATE",IF(OR(I296="SAME",I296="CANT_TELL",AD296&lt;axisTol),"I","H")),
C296="I",
IF(AY296&gt;=phaseMax,"ESCALATE",IF(AX296&gt;=powerSameN,"J","I")),
C296="J",
IF(AY296&gt;=phaseMax,"ESCALATE",IF(OR(AX296&gt;=duoEqualN,BB296&gt;=duoMax),"K","J")),
C296="K",
IF(AY296&gt;=phaseMax,"ESCALATE",IF(AX296&gt;=binoSameN,IF(XLOOKUP($B296,Derived_Variables!$A:$A,Derived_Variables!$AJ:$AJ,FALSE)=TRUE,"P","END"),"K")),
C296="P",
IF(AY296&gt;=phaseMax,"ESCALATE",IF(OR(I296="READABLE",I296="SAME"),"Q","P")),
C296="Q",
IF(AY296&gt;=phaseMax,"ESCALATE",IF(OR(I296="READABLE",I296="SAME"),"R","Q")),
C296="R",
IF(AY296&gt;=phaseMax,"ESCALATE",IF(OR(I296=nearTarget,I296="SAME"),"END","R")),
TRUE,"END"
)))</f>
        <v/>
      </c>
      <c r="BD296" s="28" t="b">
        <f t="shared" si="19"/>
        <v>0</v>
      </c>
    </row>
    <row r="297" ht="15.75" customHeight="1">
      <c r="A297" s="28">
        <f t="shared" si="3"/>
        <v>296</v>
      </c>
      <c r="B297" s="28">
        <f t="shared" si="4"/>
        <v>6</v>
      </c>
      <c r="C297" s="28" t="str">
        <f t="shared" si="5"/>
        <v/>
      </c>
      <c r="D297" s="28" t="str">
        <f t="array" ref="D297">IF($I296="","",XLOOKUP(C297,FSM_State_Map!A:A,FSM_State_Map!B:B,""))</f>
        <v/>
      </c>
      <c r="E297" s="28" t="str">
        <f t="array" ref="E297">IF($I296="","",XLOOKUP(C297,FSM_State_Map!A:A,FSM_State_Map!C:C,""))</f>
        <v/>
      </c>
      <c r="F297" s="28" t="str">
        <f t="array" ref="F297">IF($I296="","",XLOOKUP(E297,Phase_UI_Map!A:A,Phase_UI_Map!B:B,""))</f>
        <v/>
      </c>
      <c r="G297" s="28" t="str">
        <f t="array" ref="G297">IF($I296="","",XLOOKUP(E297,Phase_UI_Map!A:A,Phase_UI_Map!C:C,""))</f>
        <v/>
      </c>
      <c r="H297" s="28" t="str">
        <f t="array" ref="H297">IF($I296="","",XLOOKUP(E297,Phase_UI_Map!A:A,Phase_UI_Map!D:D,""))</f>
        <v/>
      </c>
      <c r="I297" s="29"/>
      <c r="J297" s="28" t="str">
        <f>IFERROR(__xludf.DUMMYFUNCTION("IF($I296="""","""",IFERROR(INDEX(FILTER(Response_Lists!$B:$B,Response_Lists!$A:$A=$H297),1),""""))"),"")</f>
        <v/>
      </c>
      <c r="K297" s="28" t="str">
        <f>IFERROR(__xludf.DUMMYFUNCTION("IF($I296="""","""",IFERROR(INDEX(FILTER(Response_Lists!$B:$B,Response_Lists!$A:$A=$H297),2),""""))"),"")</f>
        <v/>
      </c>
      <c r="L297" s="28" t="str">
        <f>IFERROR(__xludf.DUMMYFUNCTION("IF($I296="""","""",IFERROR(INDEX(FILTER(Response_Lists!$B:$B,Response_Lists!$A:$A=$H297),3),""""))"),"")</f>
        <v/>
      </c>
      <c r="M297" s="28" t="str">
        <f>IFERROR(__xludf.DUMMYFUNCTION("IF($I296="""","""",IFERROR(INDEX(FILTER(Response_Lists!$B:$B,Response_Lists!$A:$A=$H297),4),""""))"),"")</f>
        <v/>
      </c>
      <c r="N297" s="28" t="str">
        <f>IFERROR(__xludf.DUMMYFUNCTION("IF($I296="""","""",IFERROR(INDEX(FILTER(Response_Lists!$B:$B,Response_Lists!$A:$A=$H297),5),""""))"),"")</f>
        <v/>
      </c>
      <c r="O297" s="28" t="str">
        <f>IFERROR(__xludf.DUMMYFUNCTION("IF($I296="""","""",IFERROR(INDEX(FILTER(Response_Lists!$B:$B,Response_Lists!$A:$A=$H297),6),""""))"),"")</f>
        <v/>
      </c>
      <c r="P297" s="28" t="str">
        <f t="shared" si="6"/>
        <v/>
      </c>
      <c r="Q297" s="28" t="str">
        <f t="array" ref="Q297">IF($I296="","",XLOOKUP(C297,FSM_State_Map!A:A,FSM_State_Map!D:D,""))</f>
        <v/>
      </c>
      <c r="R297" s="28" t="str">
        <f t="shared" si="7"/>
        <v/>
      </c>
      <c r="S297" s="28" t="str">
        <f t="array" ref="S297">IF($I296="","",
IF(
  AND(C297="B",C296&lt;&gt;"B"),
  XLOOKUP($B297,Derived_Variables!$A:$A,Derived_Variables!$K:$K,0)
  + XLOOKUP($B297,Derived_Variables!$A:$A,Derived_Variables!$AE:$AE,0),
  S296+AM296
))</f>
        <v/>
      </c>
      <c r="T297" s="28" t="str">
        <f t="shared" ref="T297:U297" si="604">IF($I296="","",T296+AN296)</f>
        <v/>
      </c>
      <c r="U297" s="28" t="str">
        <f t="shared" si="604"/>
        <v/>
      </c>
      <c r="V297" s="28" t="str">
        <f t="array" ref="V297">IF($I296="","",
IF(
  AND(C297="D",C296&lt;&gt;"D"),
  XLOOKUP($B297,Derived_Variables!$A:$A,Derived_Variables!$N:$N,0)
  + XLOOKUP($B297,Derived_Variables!$A:$A,Derived_Variables!$AE:$AE,0),
  V296+AP296
))</f>
        <v/>
      </c>
      <c r="W297" s="28" t="str">
        <f t="shared" ref="W297:X297" si="605">IF($I296="","",W296+AQ296)</f>
        <v/>
      </c>
      <c r="X297" s="28" t="str">
        <f t="shared" si="605"/>
        <v/>
      </c>
      <c r="Y297" s="28" t="str">
        <f t="array" ref="Y297">IF($I296="","",IF(AND(C297="P",C296&lt;&gt;"P"),IFERROR(XLOOKUP($B297,Lenso_Input!$A:$A,Lenso_Input!$E:$E,0),0),Y296+AS296))</f>
        <v/>
      </c>
      <c r="Z297" s="28" t="str">
        <f t="array" ref="Z297">IF($I296="","",IF(AND(C297="Q",C296&lt;&gt;"Q"),IFERROR(XLOOKUP($B297,Lenso_Input!$A:$A,Lenso_Input!$I:$I,0),0),Z296+AT296))</f>
        <v/>
      </c>
      <c r="AA297" s="28" t="str">
        <f t="array" ref="AA297">IF($I296="","",IF(XLOOKUP($B297,Derived_Variables!$A:$A,Derived_Variables!$R:$R,"6/6_target")="6/6_target","20_20_20","40_30_25"))</f>
        <v/>
      </c>
      <c r="AB297" s="28" t="str">
        <f t="array" ref="AB297">IF($I296="","",XLOOKUP(LOWER(XLOOKUP($B297,Derived_Variables!$A:$A,Derived_Variables!$T:$T,"Standard"))&amp;"_sph_step",Calibration!$B:$B,Calibration!$C:$C,0.25))</f>
        <v/>
      </c>
      <c r="AC297" s="28" t="str">
        <f t="array" ref="AC297">IF($I296="","",XLOOKUP(LOWER(XLOOKUP($B297,Derived_Variables!$A:$A,Derived_Variables!$T:$T,"Standard"))&amp;"_cyl_step",Calibration!$B:$B,Calibration!$C:$C,0.25))</f>
        <v/>
      </c>
      <c r="AD297" s="28" t="str">
        <f t="array" ref="AD297">IF($I296="","",IF(OR(C297="E",C297="H"),LET(startStep,XLOOKUP("axis_start_step",Calibration!$B:$B,Calibration!$C:$C,5),step1,XLOOKUP("axis_reversal_step_1",Calibration!$B:$B,Calibration!$C:$C,3),step2,XLOOKUP("axis_reversal_step_2",Calibration!$B:$B,Calibration!$C:$C,1),IF(OR(C296&lt;&gt;C297,AZ297="",AZ297="SAME",AZ297="CANT_TELL",I297="",I297="SAME",I297="CANT_TELL"),startStep,IF(OR(AND(AZ297="BETTER_1",I297="BETTER_2"),AND(AZ297="BETTER_2",I297="BETTER_1")),IF(AD296&gt;step1,step1,step2),AD296))),0))</f>
        <v/>
      </c>
      <c r="AE297" s="28" t="str">
        <f t="array" ref="AE297">IF($I296="","",XLOOKUP($B297,Derived_Variables!$A:$A,Derived_Variables!$AD:$AD,"No_Fog"))</f>
        <v/>
      </c>
      <c r="AF297" s="28" t="str">
        <f t="array" ref="AF297">IF($I296="","",XLOOKUP($B297,Derived_Variables!$A:$A,Derived_Variables!$AE:$AE,0))</f>
        <v/>
      </c>
      <c r="AG297" s="28" t="str">
        <f t="array" ref="AG297">IF($I296="","",XLOOKUP($B297,Derived_Variables!$A:$A,Derived_Variables!$AF:$AF,""))</f>
        <v/>
      </c>
      <c r="AH297" s="28" t="str">
        <f t="array" ref="AH297">IF($I296="","",XLOOKUP($B297,Derived_Variables!$A:$A,Derived_Variables!$AG:$AG,""))</f>
        <v/>
      </c>
      <c r="AI297" s="28" t="str">
        <f t="array" ref="AI297">IF($I296="","",XLOOKUP($B297,Derived_Variables!$A:$A,Derived_Variables!$AC:$AC,"Medium"))</f>
        <v/>
      </c>
      <c r="AJ297" s="28" t="str">
        <f t="array" ref="AJ297">IF($I296="","",XLOOKUP($B297,Derived_Variables!$A:$A,Derived_Variables!$Y:$Y,FALSE))</f>
        <v/>
      </c>
      <c r="AK297" s="28" t="str">
        <f t="array" ref="AK297">IF($I296="","",XLOOKUP($B297,Derived_Variables!$A:$A,Derived_Variables!$AA:$AA,"Normal"))</f>
        <v/>
      </c>
      <c r="AL297" s="28" t="str">
        <f t="array" ref="AL297">IF($I296="","",XLOOKUP($B297,Derived_Variables!$A:$A,Derived_Variables!$AB:$AB,"Normal"))</f>
        <v/>
      </c>
      <c r="AM297" s="28" t="str">
        <f t="array" ref="AM297">IF($I297="","",IFS(C297="B",IF(OR(I297="NOT_READABLE",I297="BLURRY"),-AB297,0),C297="G",IFS(I297="RED_CLEARER",XLOOKUP("duochrome_red_step",Calibration!$B:$B,Calibration!$C:$C,-0.25),I297="GREEN_CLEARER",XLOOKUP("duochrome_green_step",Calibration!$B:$B,Calibration!$C:$C,0.25),I297="EQUAL",IF(XLOOKUP($B297,Derived_Variables!$A:$A,Derived_Variables!$S:$S,"Neutral")="Undercorrect",XLOOKUP("undercorrect_step",Calibration!$B:$B,Calibration!$C:$C,0.25),IF(XLOOKUP($B297,Derived_Variables!$A:$A,Derived_Variables!$S:$S,"Neutral")="Overcorrect",-XLOOKUP("overcorrect_step",Calibration!$B:$B,Calibration!$C:$C,0.25),0)),TRUE,0),C297="K",IF(I297="TOP_CLEARER",XLOOKUP("bino_balance_step",Calibration!$B:$B,Calibration!$C:$C,0.25),0),TRUE,0))</f>
        <v/>
      </c>
      <c r="AN297" s="28" t="str">
        <f t="shared" si="10"/>
        <v/>
      </c>
      <c r="AO297" s="28" t="str">
        <f t="shared" si="11"/>
        <v/>
      </c>
      <c r="AP297" s="28" t="str">
        <f t="array" ref="AP297">IF($I297="","",IFS(C297="D",IF(OR(I297="NOT_READABLE",I297="BLURRY"),-AB297,0),C297="J",IFS(I297="RED_CLEARER",XLOOKUP("duochrome_red_step",Calibration!$B:$B,Calibration!$C:$C,-0.25),I297="GREEN_CLEARER",XLOOKUP("duochrome_green_step",Calibration!$B:$B,Calibration!$C:$C,0.25),I297="EQUAL",IF(XLOOKUP($B297,Derived_Variables!$A:$A,Derived_Variables!$S:$S,"Neutral")="Undercorrect",XLOOKUP("undercorrect_step",Calibration!$B:$B,Calibration!$C:$C,0.25),IF(XLOOKUP($B297,Derived_Variables!$A:$A,Derived_Variables!$S:$S,"Neutral")="Overcorrect",-XLOOKUP("overcorrect_step",Calibration!$B:$B,Calibration!$C:$C,0.25),0)),TRUE,0),C297="K",IF(I297="BOTTOM_CLEARER",XLOOKUP("bino_balance_step",Calibration!$B:$B,Calibration!$C:$C,0.25),0),TRUE,0))</f>
        <v/>
      </c>
      <c r="AQ297" s="28" t="str">
        <f t="shared" si="12"/>
        <v/>
      </c>
      <c r="AR297" s="28" t="str">
        <f t="shared" si="13"/>
        <v/>
      </c>
      <c r="AS297" s="28" t="str">
        <f t="array" ref="AS297">IF($I297="","",IF(C297="P",IF(OR(I297="NOT_READABLE",I297="BLURRY"),XLOOKUP("near_add_step",Calibration!$B:$B,Calibration!$C:$C,0.25),0),IF(C297="R",IF(I297="NOT_CLEAR",XLOOKUP("near_add_step",Calibration!$B:$B,Calibration!$C:$C,0.25),0),0)))</f>
        <v/>
      </c>
      <c r="AT297" s="28" t="str">
        <f t="array" ref="AT297">IF($I297="","",IF(C297="Q",IF(OR(I297="NOT_READABLE",I297="BLURRY"),XLOOKUP("near_add_step",Calibration!$B:$B,Calibration!$C:$C,0.25),0),IF(C297="R",IF(I297="NOT_CLEAR",XLOOKUP("near_add_step",Calibration!$B:$B,Calibration!$C:$C,0.25),0),0)))</f>
        <v/>
      </c>
      <c r="AU297" s="28" t="str">
        <f t="array" ref="AU297">IF($I297="","",IF(G297="SNELLEN_FEET",IF(I297="READABLE",IFERROR(XLOOKUP(XLOOKUP(R297,Chart_Scale_Distance!B:B,Chart_Scale_Distance!A:A)+1,Chart_Scale_Distance!A:A,Chart_Scale_Distance!B:B),R297),R297),R297))</f>
        <v/>
      </c>
      <c r="AV297" s="28" t="str">
        <f t="array" ref="AV297">IF($I296="","",IFERROR(XLOOKUP(R297,Chart_Scale_Distance!$B:$B,Chart_Scale_Distance!$A:$A,""),""))</f>
        <v/>
      </c>
      <c r="AW297" s="28" t="str">
        <f t="array" ref="AW297">IF($I296="","",IFERROR(XLOOKUP(AA297,Chart_Scale_Distance!$B:$B,Chart_Scale_Distance!$A:$A,""),""))</f>
        <v/>
      </c>
      <c r="AX297" s="28" t="str">
        <f t="shared" si="14"/>
        <v/>
      </c>
      <c r="AY297" s="28" t="str">
        <f t="shared" si="15"/>
        <v/>
      </c>
      <c r="AZ297" s="28" t="str">
        <f t="shared" si="16"/>
        <v/>
      </c>
      <c r="BA297" s="28" t="str">
        <f t="shared" si="17"/>
        <v/>
      </c>
      <c r="BB297" s="28" t="str">
        <f t="shared" si="18"/>
        <v/>
      </c>
      <c r="BC297" s="28" t="str">
        <f t="array" ref="BC297">IF($I297="","",LET(
conf,AI297,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duoMax,XLOOKUP($B297,Derived_Variables!$A:$A,Derived_Variables!$AI:$AI,4),
axisTol,XLOOKUP($B297,Derived_Variables!$A:$A,Derived_Variables!$W:$W,1),
maxStart,XLOOKUP($B297,Derived_Variables!$A:$A,Derived_Variables!$U:$U,1.25),
maxAR,XLOOKUP($B297,Derived_Variables!$A:$A,Derived_Variables!$V:$V,3),
anom,XLOOKUP($B297,Derived_Variables!$A:$A,Derived_Variables!$Z:$Z,FALSE),
reStart,XLOOKUP($B297,Derived_Variables!$A:$A,Derived_Variables!$K:$K,0),
leStart,XLOOKUP($B297,Derived_Variables!$A:$A,Derived_Variables!$N:$N,0),
reAR,XLOOKUP($B297,AR_Input!$A:$A,AR_Input!$B:$B,reStart),
leAR,XLOOKUP($B297,AR_Input!$A:$A,AR_Input!$E:$E,leStart),
reEsc,AND(anom,OR(ABS((S297+AM297)-reStart)&gt;maxStart,ABS((S297+AM297)-reAR)&gt;maxAR)),
leEsc,AND(anom,OR(ABS((V297+AP297)-leStart)&gt;maxStart,ABS((V297+AP297)-leAR)&gt;maxAR)),
phaseMax,IFS(
 AK297="Fast",
   IFS(
     OR(C297="B",C297="D"),XLOOKUP("timeout_coarse_fast",Calibration!$B:$B,Calibration!$C:$C,24),
     OR(C297="E",C297="F",C297="H",C297="I"),XLOOKUP("timeout_jcc_fast",Calibration!$B:$B,Calibration!$C:$C,10),
     OR(C297="G",C297="J"),XLOOKUP("timeout_duochrome_fast",Calibration!$B:$B,Calibration!$C:$C,8),
     C297="K",XLOOKUP("timeout_bino_fast",Calibration!$B:$B,Calibration!$C:$C,10),
     OR(C297="P",C297="Q",C297="R"),XLOOKUP("timeout_near_fast",Calibration!$B:$B,Calibration!$C:$C,16),
     TRUE,XLOOKUP("timeout_coarse_fast",Calibration!$B:$B,Calibration!$C:$C,24)
   ),
 AK297="Normal",
   IFS(
     OR(C297="B",C297="D"),XLOOKUP("timeout_coarse_normal",Calibration!$B:$B,Calibration!$C:$C,36),
     OR(C297="E",C297="F",C297="H",C297="I"),XLOOKUP("timeout_jcc_normal",Calibration!$B:$B,Calibration!$C:$C,14),
     OR(C297="G",C297="J"),XLOOKUP("timeout_duochrome_normal",Calibration!$B:$B,Calibration!$C:$C,10),
     C297="K",XLOOKUP("timeout_bino_normal",Calibration!$B:$B,Calibration!$C:$C,14),
     OR(C297="P",C297="Q",C297="R"),XLOOKUP("timeout_near_normal",Calibration!$B:$B,Calibration!$C:$C,22),
     TRUE,XLOOKUP("timeout_coarse_normal",Calibration!$B:$B,Calibration!$C:$C,36)
   ),
 TRUE,
   IFS(
     OR(C297="B",C297="D"),XLOOKUP("timeout_coarse_slow",Calibration!$B:$B,Calibration!$C:$C,48),
     OR(C297="E",C297="F",C297="H",C297="I"),XLOOKUP("timeout_jcc_slow",Calibration!$B:$B,Calibration!$C:$C,18),
     OR(C297="G",C297="J"),XLOOKUP("timeout_duochrome_slow",Calibration!$B:$B,Calibration!$C:$C,12),
     C297="K",XLOOKUP("timeout_bino_slow",Calibration!$B:$B,Calibration!$C:$C,18),
     OR(C297="P",C297="Q",C297="R"),XLOOKUP("timeout_near_slow",Calibration!$B:$B,Calibration!$C:$C,28),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AJ297=TRUE,"ESCALATE",
C297="A",
IF(OR(I297="NOT_READABLE",I297="BLURRY",AND(R297="20_20_20",I297="READABLE")),"B","A"),
C297="B",
IF(reEsc,"ESCALATE",IF(AY297&gt;=phaseMax,"ESCALATE",IF(AND(AV297&gt;=AW297,I297="READABLE"),"E","B"))),
C297="E",
IF(AY297&gt;=phaseMax,"ESCALATE",IF(OR(I297="SAME",I297="CANT_TELL",AD297&lt;axisTol),"F","E")),
C297="F",
IF(AY297&gt;=phaseMax,"ESCALATE",IF(AX297&gt;=powerSameN,"G","F")),
C297="G",
IF(AY297&gt;=phaseMax,"ESCALATE",IF(OR(AX297&gt;=duoEqualN,BB297&gt;=duoMax),"D","G")),
C297="D",
IF(leEsc,"ESCALATE",IF(AY297&gt;=phaseMax,"ESCALATE",IF(AND(AV297&gt;=AW297,I297="READABLE"),"H","D"))),
C297="H",
IF(AY297&gt;=phaseMax,"ESCALATE",IF(OR(I297="SAME",I297="CANT_TELL",AD297&lt;axisTol),"I","H")),
C297="I",
IF(AY297&gt;=phaseMax,"ESCALATE",IF(AX297&gt;=powerSameN,"J","I")),
C297="J",
IF(AY297&gt;=phaseMax,"ESCALATE",IF(OR(AX297&gt;=duoEqualN,BB297&gt;=duoMax),"K","J")),
C297="K",
IF(AY297&gt;=phaseMax,"ESCALATE",IF(AX297&gt;=binoSameN,IF(XLOOKUP($B297,Derived_Variables!$A:$A,Derived_Variables!$AJ:$AJ,FALSE)=TRUE,"P","END"),"K")),
C297="P",
IF(AY297&gt;=phaseMax,"ESCALATE",IF(OR(I297="READABLE",I297="SAME"),"Q","P")),
C297="Q",
IF(AY297&gt;=phaseMax,"ESCALATE",IF(OR(I297="READABLE",I297="SAME"),"R","Q")),
C297="R",
IF(AY297&gt;=phaseMax,"ESCALATE",IF(OR(I297=nearTarget,I297="SAME"),"END","R")),
TRUE,"END"
)))</f>
        <v/>
      </c>
      <c r="BD297" s="28" t="b">
        <f t="shared" si="19"/>
        <v>0</v>
      </c>
    </row>
    <row r="298" ht="15.75" customHeight="1">
      <c r="A298" s="28">
        <f t="shared" si="3"/>
        <v>297</v>
      </c>
      <c r="B298" s="28">
        <f t="shared" si="4"/>
        <v>6</v>
      </c>
      <c r="C298" s="28" t="str">
        <f t="shared" si="5"/>
        <v/>
      </c>
      <c r="D298" s="28" t="str">
        <f t="array" ref="D298">IF($I297="","",XLOOKUP(C298,FSM_State_Map!A:A,FSM_State_Map!B:B,""))</f>
        <v/>
      </c>
      <c r="E298" s="28" t="str">
        <f t="array" ref="E298">IF($I297="","",XLOOKUP(C298,FSM_State_Map!A:A,FSM_State_Map!C:C,""))</f>
        <v/>
      </c>
      <c r="F298" s="28" t="str">
        <f t="array" ref="F298">IF($I297="","",XLOOKUP(E298,Phase_UI_Map!A:A,Phase_UI_Map!B:B,""))</f>
        <v/>
      </c>
      <c r="G298" s="28" t="str">
        <f t="array" ref="G298">IF($I297="","",XLOOKUP(E298,Phase_UI_Map!A:A,Phase_UI_Map!C:C,""))</f>
        <v/>
      </c>
      <c r="H298" s="28" t="str">
        <f t="array" ref="H298">IF($I297="","",XLOOKUP(E298,Phase_UI_Map!A:A,Phase_UI_Map!D:D,""))</f>
        <v/>
      </c>
      <c r="I298" s="29"/>
      <c r="J298" s="28" t="str">
        <f>IFERROR(__xludf.DUMMYFUNCTION("IF($I297="""","""",IFERROR(INDEX(FILTER(Response_Lists!$B:$B,Response_Lists!$A:$A=$H298),1),""""))"),"")</f>
        <v/>
      </c>
      <c r="K298" s="28" t="str">
        <f>IFERROR(__xludf.DUMMYFUNCTION("IF($I297="""","""",IFERROR(INDEX(FILTER(Response_Lists!$B:$B,Response_Lists!$A:$A=$H298),2),""""))"),"")</f>
        <v/>
      </c>
      <c r="L298" s="28" t="str">
        <f>IFERROR(__xludf.DUMMYFUNCTION("IF($I297="""","""",IFERROR(INDEX(FILTER(Response_Lists!$B:$B,Response_Lists!$A:$A=$H298),3),""""))"),"")</f>
        <v/>
      </c>
      <c r="M298" s="28" t="str">
        <f>IFERROR(__xludf.DUMMYFUNCTION("IF($I297="""","""",IFERROR(INDEX(FILTER(Response_Lists!$B:$B,Response_Lists!$A:$A=$H298),4),""""))"),"")</f>
        <v/>
      </c>
      <c r="N298" s="28" t="str">
        <f>IFERROR(__xludf.DUMMYFUNCTION("IF($I297="""","""",IFERROR(INDEX(FILTER(Response_Lists!$B:$B,Response_Lists!$A:$A=$H298),5),""""))"),"")</f>
        <v/>
      </c>
      <c r="O298" s="28" t="str">
        <f>IFERROR(__xludf.DUMMYFUNCTION("IF($I297="""","""",IFERROR(INDEX(FILTER(Response_Lists!$B:$B,Response_Lists!$A:$A=$H298),6),""""))"),"")</f>
        <v/>
      </c>
      <c r="P298" s="28" t="str">
        <f t="shared" si="6"/>
        <v/>
      </c>
      <c r="Q298" s="28" t="str">
        <f t="array" ref="Q298">IF($I297="","",XLOOKUP(C298,FSM_State_Map!A:A,FSM_State_Map!D:D,""))</f>
        <v/>
      </c>
      <c r="R298" s="28" t="str">
        <f t="shared" si="7"/>
        <v/>
      </c>
      <c r="S298" s="28" t="str">
        <f t="array" ref="S298">IF($I297="","",
IF(
  AND(C298="B",C297&lt;&gt;"B"),
  XLOOKUP($B298,Derived_Variables!$A:$A,Derived_Variables!$K:$K,0)
  + XLOOKUP($B298,Derived_Variables!$A:$A,Derived_Variables!$AE:$AE,0),
  S297+AM297
))</f>
        <v/>
      </c>
      <c r="T298" s="28" t="str">
        <f t="shared" ref="T298:U298" si="606">IF($I297="","",T297+AN297)</f>
        <v/>
      </c>
      <c r="U298" s="28" t="str">
        <f t="shared" si="606"/>
        <v/>
      </c>
      <c r="V298" s="28" t="str">
        <f t="array" ref="V298">IF($I297="","",
IF(
  AND(C298="D",C297&lt;&gt;"D"),
  XLOOKUP($B298,Derived_Variables!$A:$A,Derived_Variables!$N:$N,0)
  + XLOOKUP($B298,Derived_Variables!$A:$A,Derived_Variables!$AE:$AE,0),
  V297+AP297
))</f>
        <v/>
      </c>
      <c r="W298" s="28" t="str">
        <f t="shared" ref="W298:X298" si="607">IF($I297="","",W297+AQ297)</f>
        <v/>
      </c>
      <c r="X298" s="28" t="str">
        <f t="shared" si="607"/>
        <v/>
      </c>
      <c r="Y298" s="28" t="str">
        <f t="array" ref="Y298">IF($I297="","",IF(AND(C298="P",C297&lt;&gt;"P"),IFERROR(XLOOKUP($B298,Lenso_Input!$A:$A,Lenso_Input!$E:$E,0),0),Y297+AS297))</f>
        <v/>
      </c>
      <c r="Z298" s="28" t="str">
        <f t="array" ref="Z298">IF($I297="","",IF(AND(C298="Q",C297&lt;&gt;"Q"),IFERROR(XLOOKUP($B298,Lenso_Input!$A:$A,Lenso_Input!$I:$I,0),0),Z297+AT297))</f>
        <v/>
      </c>
      <c r="AA298" s="28" t="str">
        <f t="array" ref="AA298">IF($I297="","",IF(XLOOKUP($B298,Derived_Variables!$A:$A,Derived_Variables!$R:$R,"6/6_target")="6/6_target","20_20_20","40_30_25"))</f>
        <v/>
      </c>
      <c r="AB298" s="28" t="str">
        <f t="array" ref="AB298">IF($I297="","",XLOOKUP(LOWER(XLOOKUP($B298,Derived_Variables!$A:$A,Derived_Variables!$T:$T,"Standard"))&amp;"_sph_step",Calibration!$B:$B,Calibration!$C:$C,0.25))</f>
        <v/>
      </c>
      <c r="AC298" s="28" t="str">
        <f t="array" ref="AC298">IF($I297="","",XLOOKUP(LOWER(XLOOKUP($B298,Derived_Variables!$A:$A,Derived_Variables!$T:$T,"Standard"))&amp;"_cyl_step",Calibration!$B:$B,Calibration!$C:$C,0.25))</f>
        <v/>
      </c>
      <c r="AD298" s="28" t="str">
        <f t="array" ref="AD298">IF($I297="","",IF(OR(C298="E",C298="H"),LET(startStep,XLOOKUP("axis_start_step",Calibration!$B:$B,Calibration!$C:$C,5),step1,XLOOKUP("axis_reversal_step_1",Calibration!$B:$B,Calibration!$C:$C,3),step2,XLOOKUP("axis_reversal_step_2",Calibration!$B:$B,Calibration!$C:$C,1),IF(OR(C297&lt;&gt;C298,AZ298="",AZ298="SAME",AZ298="CANT_TELL",I298="",I298="SAME",I298="CANT_TELL"),startStep,IF(OR(AND(AZ298="BETTER_1",I298="BETTER_2"),AND(AZ298="BETTER_2",I298="BETTER_1")),IF(AD297&gt;step1,step1,step2),AD297))),0))</f>
        <v/>
      </c>
      <c r="AE298" s="28" t="str">
        <f t="array" ref="AE298">IF($I297="","",XLOOKUP($B298,Derived_Variables!$A:$A,Derived_Variables!$AD:$AD,"No_Fog"))</f>
        <v/>
      </c>
      <c r="AF298" s="28" t="str">
        <f t="array" ref="AF298">IF($I297="","",XLOOKUP($B298,Derived_Variables!$A:$A,Derived_Variables!$AE:$AE,0))</f>
        <v/>
      </c>
      <c r="AG298" s="28" t="str">
        <f t="array" ref="AG298">IF($I297="","",XLOOKUP($B298,Derived_Variables!$A:$A,Derived_Variables!$AF:$AF,""))</f>
        <v/>
      </c>
      <c r="AH298" s="28" t="str">
        <f t="array" ref="AH298">IF($I297="","",XLOOKUP($B298,Derived_Variables!$A:$A,Derived_Variables!$AG:$AG,""))</f>
        <v/>
      </c>
      <c r="AI298" s="28" t="str">
        <f t="array" ref="AI298">IF($I297="","",XLOOKUP($B298,Derived_Variables!$A:$A,Derived_Variables!$AC:$AC,"Medium"))</f>
        <v/>
      </c>
      <c r="AJ298" s="28" t="str">
        <f t="array" ref="AJ298">IF($I297="","",XLOOKUP($B298,Derived_Variables!$A:$A,Derived_Variables!$Y:$Y,FALSE))</f>
        <v/>
      </c>
      <c r="AK298" s="28" t="str">
        <f t="array" ref="AK298">IF($I297="","",XLOOKUP($B298,Derived_Variables!$A:$A,Derived_Variables!$AA:$AA,"Normal"))</f>
        <v/>
      </c>
      <c r="AL298" s="28" t="str">
        <f t="array" ref="AL298">IF($I297="","",XLOOKUP($B298,Derived_Variables!$A:$A,Derived_Variables!$AB:$AB,"Normal"))</f>
        <v/>
      </c>
      <c r="AM298" s="28" t="str">
        <f t="array" ref="AM298">IF($I298="","",IFS(C298="B",IF(OR(I298="NOT_READABLE",I298="BLURRY"),-AB298,0),C298="G",IFS(I298="RED_CLEARER",XLOOKUP("duochrome_red_step",Calibration!$B:$B,Calibration!$C:$C,-0.25),I298="GREEN_CLEARER",XLOOKUP("duochrome_green_step",Calibration!$B:$B,Calibration!$C:$C,0.25),I298="EQUAL",IF(XLOOKUP($B298,Derived_Variables!$A:$A,Derived_Variables!$S:$S,"Neutral")="Undercorrect",XLOOKUP("undercorrect_step",Calibration!$B:$B,Calibration!$C:$C,0.25),IF(XLOOKUP($B298,Derived_Variables!$A:$A,Derived_Variables!$S:$S,"Neutral")="Overcorrect",-XLOOKUP("overcorrect_step",Calibration!$B:$B,Calibration!$C:$C,0.25),0)),TRUE,0),C298="K",IF(I298="TOP_CLEARER",XLOOKUP("bino_balance_step",Calibration!$B:$B,Calibration!$C:$C,0.25),0),TRUE,0))</f>
        <v/>
      </c>
      <c r="AN298" s="28" t="str">
        <f t="shared" si="10"/>
        <v/>
      </c>
      <c r="AO298" s="28" t="str">
        <f t="shared" si="11"/>
        <v/>
      </c>
      <c r="AP298" s="28" t="str">
        <f t="array" ref="AP298">IF($I298="","",IFS(C298="D",IF(OR(I298="NOT_READABLE",I298="BLURRY"),-AB298,0),C298="J",IFS(I298="RED_CLEARER",XLOOKUP("duochrome_red_step",Calibration!$B:$B,Calibration!$C:$C,-0.25),I298="GREEN_CLEARER",XLOOKUP("duochrome_green_step",Calibration!$B:$B,Calibration!$C:$C,0.25),I298="EQUAL",IF(XLOOKUP($B298,Derived_Variables!$A:$A,Derived_Variables!$S:$S,"Neutral")="Undercorrect",XLOOKUP("undercorrect_step",Calibration!$B:$B,Calibration!$C:$C,0.25),IF(XLOOKUP($B298,Derived_Variables!$A:$A,Derived_Variables!$S:$S,"Neutral")="Overcorrect",-XLOOKUP("overcorrect_step",Calibration!$B:$B,Calibration!$C:$C,0.25),0)),TRUE,0),C298="K",IF(I298="BOTTOM_CLEARER",XLOOKUP("bino_balance_step",Calibration!$B:$B,Calibration!$C:$C,0.25),0),TRUE,0))</f>
        <v/>
      </c>
      <c r="AQ298" s="28" t="str">
        <f t="shared" si="12"/>
        <v/>
      </c>
      <c r="AR298" s="28" t="str">
        <f t="shared" si="13"/>
        <v/>
      </c>
      <c r="AS298" s="28" t="str">
        <f t="array" ref="AS298">IF($I298="","",IF(C298="P",IF(OR(I298="NOT_READABLE",I298="BLURRY"),XLOOKUP("near_add_step",Calibration!$B:$B,Calibration!$C:$C,0.25),0),IF(C298="R",IF(I298="NOT_CLEAR",XLOOKUP("near_add_step",Calibration!$B:$B,Calibration!$C:$C,0.25),0),0)))</f>
        <v/>
      </c>
      <c r="AT298" s="28" t="str">
        <f t="array" ref="AT298">IF($I298="","",IF(C298="Q",IF(OR(I298="NOT_READABLE",I298="BLURRY"),XLOOKUP("near_add_step",Calibration!$B:$B,Calibration!$C:$C,0.25),0),IF(C298="R",IF(I298="NOT_CLEAR",XLOOKUP("near_add_step",Calibration!$B:$B,Calibration!$C:$C,0.25),0),0)))</f>
        <v/>
      </c>
      <c r="AU298" s="28" t="str">
        <f t="array" ref="AU298">IF($I298="","",IF(G298="SNELLEN_FEET",IF(I298="READABLE",IFERROR(XLOOKUP(XLOOKUP(R298,Chart_Scale_Distance!B:B,Chart_Scale_Distance!A:A)+1,Chart_Scale_Distance!A:A,Chart_Scale_Distance!B:B),R298),R298),R298))</f>
        <v/>
      </c>
      <c r="AV298" s="28" t="str">
        <f t="array" ref="AV298">IF($I297="","",IFERROR(XLOOKUP(R298,Chart_Scale_Distance!$B:$B,Chart_Scale_Distance!$A:$A,""),""))</f>
        <v/>
      </c>
      <c r="AW298" s="28" t="str">
        <f t="array" ref="AW298">IF($I297="","",IFERROR(XLOOKUP(AA298,Chart_Scale_Distance!$B:$B,Chart_Scale_Distance!$A:$A,""),""))</f>
        <v/>
      </c>
      <c r="AX298" s="28" t="str">
        <f t="shared" si="14"/>
        <v/>
      </c>
      <c r="AY298" s="28" t="str">
        <f t="shared" si="15"/>
        <v/>
      </c>
      <c r="AZ298" s="28" t="str">
        <f t="shared" si="16"/>
        <v/>
      </c>
      <c r="BA298" s="28" t="str">
        <f t="shared" si="17"/>
        <v/>
      </c>
      <c r="BB298" s="28" t="str">
        <f t="shared" si="18"/>
        <v/>
      </c>
      <c r="BC298" s="28" t="str">
        <f t="array" ref="BC298">IF($I298="","",LET(
conf,AI298,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duoMax,XLOOKUP($B298,Derived_Variables!$A:$A,Derived_Variables!$AI:$AI,4),
axisTol,XLOOKUP($B298,Derived_Variables!$A:$A,Derived_Variables!$W:$W,1),
maxStart,XLOOKUP($B298,Derived_Variables!$A:$A,Derived_Variables!$U:$U,1.25),
maxAR,XLOOKUP($B298,Derived_Variables!$A:$A,Derived_Variables!$V:$V,3),
anom,XLOOKUP($B298,Derived_Variables!$A:$A,Derived_Variables!$Z:$Z,FALSE),
reStart,XLOOKUP($B298,Derived_Variables!$A:$A,Derived_Variables!$K:$K,0),
leStart,XLOOKUP($B298,Derived_Variables!$A:$A,Derived_Variables!$N:$N,0),
reAR,XLOOKUP($B298,AR_Input!$A:$A,AR_Input!$B:$B,reStart),
leAR,XLOOKUP($B298,AR_Input!$A:$A,AR_Input!$E:$E,leStart),
reEsc,AND(anom,OR(ABS((S298+AM298)-reStart)&gt;maxStart,ABS((S298+AM298)-reAR)&gt;maxAR)),
leEsc,AND(anom,OR(ABS((V298+AP298)-leStart)&gt;maxStart,ABS((V298+AP298)-leAR)&gt;maxAR)),
phaseMax,IFS(
 AK298="Fast",
   IFS(
     OR(C298="B",C298="D"),XLOOKUP("timeout_coarse_fast",Calibration!$B:$B,Calibration!$C:$C,24),
     OR(C298="E",C298="F",C298="H",C298="I"),XLOOKUP("timeout_jcc_fast",Calibration!$B:$B,Calibration!$C:$C,10),
     OR(C298="G",C298="J"),XLOOKUP("timeout_duochrome_fast",Calibration!$B:$B,Calibration!$C:$C,8),
     C298="K",XLOOKUP("timeout_bino_fast",Calibration!$B:$B,Calibration!$C:$C,10),
     OR(C298="P",C298="Q",C298="R"),XLOOKUP("timeout_near_fast",Calibration!$B:$B,Calibration!$C:$C,16),
     TRUE,XLOOKUP("timeout_coarse_fast",Calibration!$B:$B,Calibration!$C:$C,24)
   ),
 AK298="Normal",
   IFS(
     OR(C298="B",C298="D"),XLOOKUP("timeout_coarse_normal",Calibration!$B:$B,Calibration!$C:$C,36),
     OR(C298="E",C298="F",C298="H",C298="I"),XLOOKUP("timeout_jcc_normal",Calibration!$B:$B,Calibration!$C:$C,14),
     OR(C298="G",C298="J"),XLOOKUP("timeout_duochrome_normal",Calibration!$B:$B,Calibration!$C:$C,10),
     C298="K",XLOOKUP("timeout_bino_normal",Calibration!$B:$B,Calibration!$C:$C,14),
     OR(C298="P",C298="Q",C298="R"),XLOOKUP("timeout_near_normal",Calibration!$B:$B,Calibration!$C:$C,22),
     TRUE,XLOOKUP("timeout_coarse_normal",Calibration!$B:$B,Calibration!$C:$C,36)
   ),
 TRUE,
   IFS(
     OR(C298="B",C298="D"),XLOOKUP("timeout_coarse_slow",Calibration!$B:$B,Calibration!$C:$C,48),
     OR(C298="E",C298="F",C298="H",C298="I"),XLOOKUP("timeout_jcc_slow",Calibration!$B:$B,Calibration!$C:$C,18),
     OR(C298="G",C298="J"),XLOOKUP("timeout_duochrome_slow",Calibration!$B:$B,Calibration!$C:$C,12),
     C298="K",XLOOKUP("timeout_bino_slow",Calibration!$B:$B,Calibration!$C:$C,18),
     OR(C298="P",C298="Q",C298="R"),XLOOKUP("timeout_near_slow",Calibration!$B:$B,Calibration!$C:$C,28),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AJ298=TRUE,"ESCALATE",
C298="A",
IF(OR(I298="NOT_READABLE",I298="BLURRY",AND(R298="20_20_20",I298="READABLE")),"B","A"),
C298="B",
IF(reEsc,"ESCALATE",IF(AY298&gt;=phaseMax,"ESCALATE",IF(AND(AV298&gt;=AW298,I298="READABLE"),"E","B"))),
C298="E",
IF(AY298&gt;=phaseMax,"ESCALATE",IF(OR(I298="SAME",I298="CANT_TELL",AD298&lt;axisTol),"F","E")),
C298="F",
IF(AY298&gt;=phaseMax,"ESCALATE",IF(AX298&gt;=powerSameN,"G","F")),
C298="G",
IF(AY298&gt;=phaseMax,"ESCALATE",IF(OR(AX298&gt;=duoEqualN,BB298&gt;=duoMax),"D","G")),
C298="D",
IF(leEsc,"ESCALATE",IF(AY298&gt;=phaseMax,"ESCALATE",IF(AND(AV298&gt;=AW298,I298="READABLE"),"H","D"))),
C298="H",
IF(AY298&gt;=phaseMax,"ESCALATE",IF(OR(I298="SAME",I298="CANT_TELL",AD298&lt;axisTol),"I","H")),
C298="I",
IF(AY298&gt;=phaseMax,"ESCALATE",IF(AX298&gt;=powerSameN,"J","I")),
C298="J",
IF(AY298&gt;=phaseMax,"ESCALATE",IF(OR(AX298&gt;=duoEqualN,BB298&gt;=duoMax),"K","J")),
C298="K",
IF(AY298&gt;=phaseMax,"ESCALATE",IF(AX298&gt;=binoSameN,IF(XLOOKUP($B298,Derived_Variables!$A:$A,Derived_Variables!$AJ:$AJ,FALSE)=TRUE,"P","END"),"K")),
C298="P",
IF(AY298&gt;=phaseMax,"ESCALATE",IF(OR(I298="READABLE",I298="SAME"),"Q","P")),
C298="Q",
IF(AY298&gt;=phaseMax,"ESCALATE",IF(OR(I298="READABLE",I298="SAME"),"R","Q")),
C298="R",
IF(AY298&gt;=phaseMax,"ESCALATE",IF(OR(I298=nearTarget,I298="SAME"),"END","R")),
TRUE,"END"
)))</f>
        <v/>
      </c>
      <c r="BD298" s="28" t="b">
        <f t="shared" si="19"/>
        <v>0</v>
      </c>
    </row>
    <row r="299" ht="15.75" customHeight="1">
      <c r="A299" s="28">
        <f t="shared" si="3"/>
        <v>298</v>
      </c>
      <c r="B299" s="28">
        <f t="shared" si="4"/>
        <v>6</v>
      </c>
      <c r="C299" s="28" t="str">
        <f t="shared" si="5"/>
        <v/>
      </c>
      <c r="D299" s="28" t="str">
        <f t="array" ref="D299">IF($I298="","",XLOOKUP(C299,FSM_State_Map!A:A,FSM_State_Map!B:B,""))</f>
        <v/>
      </c>
      <c r="E299" s="28" t="str">
        <f t="array" ref="E299">IF($I298="","",XLOOKUP(C299,FSM_State_Map!A:A,FSM_State_Map!C:C,""))</f>
        <v/>
      </c>
      <c r="F299" s="28" t="str">
        <f t="array" ref="F299">IF($I298="","",XLOOKUP(E299,Phase_UI_Map!A:A,Phase_UI_Map!B:B,""))</f>
        <v/>
      </c>
      <c r="G299" s="28" t="str">
        <f t="array" ref="G299">IF($I298="","",XLOOKUP(E299,Phase_UI_Map!A:A,Phase_UI_Map!C:C,""))</f>
        <v/>
      </c>
      <c r="H299" s="28" t="str">
        <f t="array" ref="H299">IF($I298="","",XLOOKUP(E299,Phase_UI_Map!A:A,Phase_UI_Map!D:D,""))</f>
        <v/>
      </c>
      <c r="I299" s="29"/>
      <c r="J299" s="28" t="str">
        <f>IFERROR(__xludf.DUMMYFUNCTION("IF($I298="""","""",IFERROR(INDEX(FILTER(Response_Lists!$B:$B,Response_Lists!$A:$A=$H299),1),""""))"),"")</f>
        <v/>
      </c>
      <c r="K299" s="28" t="str">
        <f>IFERROR(__xludf.DUMMYFUNCTION("IF($I298="""","""",IFERROR(INDEX(FILTER(Response_Lists!$B:$B,Response_Lists!$A:$A=$H299),2),""""))"),"")</f>
        <v/>
      </c>
      <c r="L299" s="28" t="str">
        <f>IFERROR(__xludf.DUMMYFUNCTION("IF($I298="""","""",IFERROR(INDEX(FILTER(Response_Lists!$B:$B,Response_Lists!$A:$A=$H299),3),""""))"),"")</f>
        <v/>
      </c>
      <c r="M299" s="28" t="str">
        <f>IFERROR(__xludf.DUMMYFUNCTION("IF($I298="""","""",IFERROR(INDEX(FILTER(Response_Lists!$B:$B,Response_Lists!$A:$A=$H299),4),""""))"),"")</f>
        <v/>
      </c>
      <c r="N299" s="28" t="str">
        <f>IFERROR(__xludf.DUMMYFUNCTION("IF($I298="""","""",IFERROR(INDEX(FILTER(Response_Lists!$B:$B,Response_Lists!$A:$A=$H299),5),""""))"),"")</f>
        <v/>
      </c>
      <c r="O299" s="28" t="str">
        <f>IFERROR(__xludf.DUMMYFUNCTION("IF($I298="""","""",IFERROR(INDEX(FILTER(Response_Lists!$B:$B,Response_Lists!$A:$A=$H299),6),""""))"),"")</f>
        <v/>
      </c>
      <c r="P299" s="28" t="str">
        <f t="shared" si="6"/>
        <v/>
      </c>
      <c r="Q299" s="28" t="str">
        <f t="array" ref="Q299">IF($I298="","",XLOOKUP(C299,FSM_State_Map!A:A,FSM_State_Map!D:D,""))</f>
        <v/>
      </c>
      <c r="R299" s="28" t="str">
        <f t="shared" si="7"/>
        <v/>
      </c>
      <c r="S299" s="28" t="str">
        <f t="array" ref="S299">IF($I298="","",
IF(
  AND(C299="B",C298&lt;&gt;"B"),
  XLOOKUP($B299,Derived_Variables!$A:$A,Derived_Variables!$K:$K,0)
  + XLOOKUP($B299,Derived_Variables!$A:$A,Derived_Variables!$AE:$AE,0),
  S298+AM298
))</f>
        <v/>
      </c>
      <c r="T299" s="28" t="str">
        <f t="shared" ref="T299:U299" si="608">IF($I298="","",T298+AN298)</f>
        <v/>
      </c>
      <c r="U299" s="28" t="str">
        <f t="shared" si="608"/>
        <v/>
      </c>
      <c r="V299" s="28" t="str">
        <f t="array" ref="V299">IF($I298="","",
IF(
  AND(C299="D",C298&lt;&gt;"D"),
  XLOOKUP($B299,Derived_Variables!$A:$A,Derived_Variables!$N:$N,0)
  + XLOOKUP($B299,Derived_Variables!$A:$A,Derived_Variables!$AE:$AE,0),
  V298+AP298
))</f>
        <v/>
      </c>
      <c r="W299" s="28" t="str">
        <f t="shared" ref="W299:X299" si="609">IF($I298="","",W298+AQ298)</f>
        <v/>
      </c>
      <c r="X299" s="28" t="str">
        <f t="shared" si="609"/>
        <v/>
      </c>
      <c r="Y299" s="28" t="str">
        <f t="array" ref="Y299">IF($I298="","",IF(AND(C299="P",C298&lt;&gt;"P"),IFERROR(XLOOKUP($B299,Lenso_Input!$A:$A,Lenso_Input!$E:$E,0),0),Y298+AS298))</f>
        <v/>
      </c>
      <c r="Z299" s="28" t="str">
        <f t="array" ref="Z299">IF($I298="","",IF(AND(C299="Q",C298&lt;&gt;"Q"),IFERROR(XLOOKUP($B299,Lenso_Input!$A:$A,Lenso_Input!$I:$I,0),0),Z298+AT298))</f>
        <v/>
      </c>
      <c r="AA299" s="28" t="str">
        <f t="array" ref="AA299">IF($I298="","",IF(XLOOKUP($B299,Derived_Variables!$A:$A,Derived_Variables!$R:$R,"6/6_target")="6/6_target","20_20_20","40_30_25"))</f>
        <v/>
      </c>
      <c r="AB299" s="28" t="str">
        <f t="array" ref="AB299">IF($I298="","",XLOOKUP(LOWER(XLOOKUP($B299,Derived_Variables!$A:$A,Derived_Variables!$T:$T,"Standard"))&amp;"_sph_step",Calibration!$B:$B,Calibration!$C:$C,0.25))</f>
        <v/>
      </c>
      <c r="AC299" s="28" t="str">
        <f t="array" ref="AC299">IF($I298="","",XLOOKUP(LOWER(XLOOKUP($B299,Derived_Variables!$A:$A,Derived_Variables!$T:$T,"Standard"))&amp;"_cyl_step",Calibration!$B:$B,Calibration!$C:$C,0.25))</f>
        <v/>
      </c>
      <c r="AD299" s="28" t="str">
        <f t="array" ref="AD299">IF($I298="","",IF(OR(C299="E",C299="H"),LET(startStep,XLOOKUP("axis_start_step",Calibration!$B:$B,Calibration!$C:$C,5),step1,XLOOKUP("axis_reversal_step_1",Calibration!$B:$B,Calibration!$C:$C,3),step2,XLOOKUP("axis_reversal_step_2",Calibration!$B:$B,Calibration!$C:$C,1),IF(OR(C298&lt;&gt;C299,AZ299="",AZ299="SAME",AZ299="CANT_TELL",I299="",I299="SAME",I299="CANT_TELL"),startStep,IF(OR(AND(AZ299="BETTER_1",I299="BETTER_2"),AND(AZ299="BETTER_2",I299="BETTER_1")),IF(AD298&gt;step1,step1,step2),AD298))),0))</f>
        <v/>
      </c>
      <c r="AE299" s="28" t="str">
        <f t="array" ref="AE299">IF($I298="","",XLOOKUP($B299,Derived_Variables!$A:$A,Derived_Variables!$AD:$AD,"No_Fog"))</f>
        <v/>
      </c>
      <c r="AF299" s="28" t="str">
        <f t="array" ref="AF299">IF($I298="","",XLOOKUP($B299,Derived_Variables!$A:$A,Derived_Variables!$AE:$AE,0))</f>
        <v/>
      </c>
      <c r="AG299" s="28" t="str">
        <f t="array" ref="AG299">IF($I298="","",XLOOKUP($B299,Derived_Variables!$A:$A,Derived_Variables!$AF:$AF,""))</f>
        <v/>
      </c>
      <c r="AH299" s="28" t="str">
        <f t="array" ref="AH299">IF($I298="","",XLOOKUP($B299,Derived_Variables!$A:$A,Derived_Variables!$AG:$AG,""))</f>
        <v/>
      </c>
      <c r="AI299" s="28" t="str">
        <f t="array" ref="AI299">IF($I298="","",XLOOKUP($B299,Derived_Variables!$A:$A,Derived_Variables!$AC:$AC,"Medium"))</f>
        <v/>
      </c>
      <c r="AJ299" s="28" t="str">
        <f t="array" ref="AJ299">IF($I298="","",XLOOKUP($B299,Derived_Variables!$A:$A,Derived_Variables!$Y:$Y,FALSE))</f>
        <v/>
      </c>
      <c r="AK299" s="28" t="str">
        <f t="array" ref="AK299">IF($I298="","",XLOOKUP($B299,Derived_Variables!$A:$A,Derived_Variables!$AA:$AA,"Normal"))</f>
        <v/>
      </c>
      <c r="AL299" s="28" t="str">
        <f t="array" ref="AL299">IF($I298="","",XLOOKUP($B299,Derived_Variables!$A:$A,Derived_Variables!$AB:$AB,"Normal"))</f>
        <v/>
      </c>
      <c r="AM299" s="28" t="str">
        <f t="array" ref="AM299">IF($I299="","",IFS(C299="B",IF(OR(I299="NOT_READABLE",I299="BLURRY"),-AB299,0),C299="G",IFS(I299="RED_CLEARER",XLOOKUP("duochrome_red_step",Calibration!$B:$B,Calibration!$C:$C,-0.25),I299="GREEN_CLEARER",XLOOKUP("duochrome_green_step",Calibration!$B:$B,Calibration!$C:$C,0.25),I299="EQUAL",IF(XLOOKUP($B299,Derived_Variables!$A:$A,Derived_Variables!$S:$S,"Neutral")="Undercorrect",XLOOKUP("undercorrect_step",Calibration!$B:$B,Calibration!$C:$C,0.25),IF(XLOOKUP($B299,Derived_Variables!$A:$A,Derived_Variables!$S:$S,"Neutral")="Overcorrect",-XLOOKUP("overcorrect_step",Calibration!$B:$B,Calibration!$C:$C,0.25),0)),TRUE,0),C299="K",IF(I299="TOP_CLEARER",XLOOKUP("bino_balance_step",Calibration!$B:$B,Calibration!$C:$C,0.25),0),TRUE,0))</f>
        <v/>
      </c>
      <c r="AN299" s="28" t="str">
        <f t="shared" si="10"/>
        <v/>
      </c>
      <c r="AO299" s="28" t="str">
        <f t="shared" si="11"/>
        <v/>
      </c>
      <c r="AP299" s="28" t="str">
        <f t="array" ref="AP299">IF($I299="","",IFS(C299="D",IF(OR(I299="NOT_READABLE",I299="BLURRY"),-AB299,0),C299="J",IFS(I299="RED_CLEARER",XLOOKUP("duochrome_red_step",Calibration!$B:$B,Calibration!$C:$C,-0.25),I299="GREEN_CLEARER",XLOOKUP("duochrome_green_step",Calibration!$B:$B,Calibration!$C:$C,0.25),I299="EQUAL",IF(XLOOKUP($B299,Derived_Variables!$A:$A,Derived_Variables!$S:$S,"Neutral")="Undercorrect",XLOOKUP("undercorrect_step",Calibration!$B:$B,Calibration!$C:$C,0.25),IF(XLOOKUP($B299,Derived_Variables!$A:$A,Derived_Variables!$S:$S,"Neutral")="Overcorrect",-XLOOKUP("overcorrect_step",Calibration!$B:$B,Calibration!$C:$C,0.25),0)),TRUE,0),C299="K",IF(I299="BOTTOM_CLEARER",XLOOKUP("bino_balance_step",Calibration!$B:$B,Calibration!$C:$C,0.25),0),TRUE,0))</f>
        <v/>
      </c>
      <c r="AQ299" s="28" t="str">
        <f t="shared" si="12"/>
        <v/>
      </c>
      <c r="AR299" s="28" t="str">
        <f t="shared" si="13"/>
        <v/>
      </c>
      <c r="AS299" s="28" t="str">
        <f t="array" ref="AS299">IF($I299="","",IF(C299="P",IF(OR(I299="NOT_READABLE",I299="BLURRY"),XLOOKUP("near_add_step",Calibration!$B:$B,Calibration!$C:$C,0.25),0),IF(C299="R",IF(I299="NOT_CLEAR",XLOOKUP("near_add_step",Calibration!$B:$B,Calibration!$C:$C,0.25),0),0)))</f>
        <v/>
      </c>
      <c r="AT299" s="28" t="str">
        <f t="array" ref="AT299">IF($I299="","",IF(C299="Q",IF(OR(I299="NOT_READABLE",I299="BLURRY"),XLOOKUP("near_add_step",Calibration!$B:$B,Calibration!$C:$C,0.25),0),IF(C299="R",IF(I299="NOT_CLEAR",XLOOKUP("near_add_step",Calibration!$B:$B,Calibration!$C:$C,0.25),0),0)))</f>
        <v/>
      </c>
      <c r="AU299" s="28" t="str">
        <f t="array" ref="AU299">IF($I299="","",IF(G299="SNELLEN_FEET",IF(I299="READABLE",IFERROR(XLOOKUP(XLOOKUP(R299,Chart_Scale_Distance!B:B,Chart_Scale_Distance!A:A)+1,Chart_Scale_Distance!A:A,Chart_Scale_Distance!B:B),R299),R299),R299))</f>
        <v/>
      </c>
      <c r="AV299" s="28" t="str">
        <f t="array" ref="AV299">IF($I298="","",IFERROR(XLOOKUP(R299,Chart_Scale_Distance!$B:$B,Chart_Scale_Distance!$A:$A,""),""))</f>
        <v/>
      </c>
      <c r="AW299" s="28" t="str">
        <f t="array" ref="AW299">IF($I298="","",IFERROR(XLOOKUP(AA299,Chart_Scale_Distance!$B:$B,Chart_Scale_Distance!$A:$A,""),""))</f>
        <v/>
      </c>
      <c r="AX299" s="28" t="str">
        <f t="shared" si="14"/>
        <v/>
      </c>
      <c r="AY299" s="28" t="str">
        <f t="shared" si="15"/>
        <v/>
      </c>
      <c r="AZ299" s="28" t="str">
        <f t="shared" si="16"/>
        <v/>
      </c>
      <c r="BA299" s="28" t="str">
        <f t="shared" si="17"/>
        <v/>
      </c>
      <c r="BB299" s="28" t="str">
        <f t="shared" si="18"/>
        <v/>
      </c>
      <c r="BC299" s="28" t="str">
        <f t="array" ref="BC299">IF($I299="","",LET(
conf,AI299,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duoMax,XLOOKUP($B299,Derived_Variables!$A:$A,Derived_Variables!$AI:$AI,4),
axisTol,XLOOKUP($B299,Derived_Variables!$A:$A,Derived_Variables!$W:$W,1),
maxStart,XLOOKUP($B299,Derived_Variables!$A:$A,Derived_Variables!$U:$U,1.25),
maxAR,XLOOKUP($B299,Derived_Variables!$A:$A,Derived_Variables!$V:$V,3),
anom,XLOOKUP($B299,Derived_Variables!$A:$A,Derived_Variables!$Z:$Z,FALSE),
reStart,XLOOKUP($B299,Derived_Variables!$A:$A,Derived_Variables!$K:$K,0),
leStart,XLOOKUP($B299,Derived_Variables!$A:$A,Derived_Variables!$N:$N,0),
reAR,XLOOKUP($B299,AR_Input!$A:$A,AR_Input!$B:$B,reStart),
leAR,XLOOKUP($B299,AR_Input!$A:$A,AR_Input!$E:$E,leStart),
reEsc,AND(anom,OR(ABS((S299+AM299)-reStart)&gt;maxStart,ABS((S299+AM299)-reAR)&gt;maxAR)),
leEsc,AND(anom,OR(ABS((V299+AP299)-leStart)&gt;maxStart,ABS((V299+AP299)-leAR)&gt;maxAR)),
phaseMax,IFS(
 AK299="Fast",
   IFS(
     OR(C299="B",C299="D"),XLOOKUP("timeout_coarse_fast",Calibration!$B:$B,Calibration!$C:$C,24),
     OR(C299="E",C299="F",C299="H",C299="I"),XLOOKUP("timeout_jcc_fast",Calibration!$B:$B,Calibration!$C:$C,10),
     OR(C299="G",C299="J"),XLOOKUP("timeout_duochrome_fast",Calibration!$B:$B,Calibration!$C:$C,8),
     C299="K",XLOOKUP("timeout_bino_fast",Calibration!$B:$B,Calibration!$C:$C,10),
     OR(C299="P",C299="Q",C299="R"),XLOOKUP("timeout_near_fast",Calibration!$B:$B,Calibration!$C:$C,16),
     TRUE,XLOOKUP("timeout_coarse_fast",Calibration!$B:$B,Calibration!$C:$C,24)
   ),
 AK299="Normal",
   IFS(
     OR(C299="B",C299="D"),XLOOKUP("timeout_coarse_normal",Calibration!$B:$B,Calibration!$C:$C,36),
     OR(C299="E",C299="F",C299="H",C299="I"),XLOOKUP("timeout_jcc_normal",Calibration!$B:$B,Calibration!$C:$C,14),
     OR(C299="G",C299="J"),XLOOKUP("timeout_duochrome_normal",Calibration!$B:$B,Calibration!$C:$C,10),
     C299="K",XLOOKUP("timeout_bino_normal",Calibration!$B:$B,Calibration!$C:$C,14),
     OR(C299="P",C299="Q",C299="R"),XLOOKUP("timeout_near_normal",Calibration!$B:$B,Calibration!$C:$C,22),
     TRUE,XLOOKUP("timeout_coarse_normal",Calibration!$B:$B,Calibration!$C:$C,36)
   ),
 TRUE,
   IFS(
     OR(C299="B",C299="D"),XLOOKUP("timeout_coarse_slow",Calibration!$B:$B,Calibration!$C:$C,48),
     OR(C299="E",C299="F",C299="H",C299="I"),XLOOKUP("timeout_jcc_slow",Calibration!$B:$B,Calibration!$C:$C,18),
     OR(C299="G",C299="J"),XLOOKUP("timeout_duochrome_slow",Calibration!$B:$B,Calibration!$C:$C,12),
     C299="K",XLOOKUP("timeout_bino_slow",Calibration!$B:$B,Calibration!$C:$C,18),
     OR(C299="P",C299="Q",C299="R"),XLOOKUP("timeout_near_slow",Calibration!$B:$B,Calibration!$C:$C,28),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AJ299=TRUE,"ESCALATE",
C299="A",
IF(OR(I299="NOT_READABLE",I299="BLURRY",AND(R299="20_20_20",I299="READABLE")),"B","A"),
C299="B",
IF(reEsc,"ESCALATE",IF(AY299&gt;=phaseMax,"ESCALATE",IF(AND(AV299&gt;=AW299,I299="READABLE"),"E","B"))),
C299="E",
IF(AY299&gt;=phaseMax,"ESCALATE",IF(OR(I299="SAME",I299="CANT_TELL",AD299&lt;axisTol),"F","E")),
C299="F",
IF(AY299&gt;=phaseMax,"ESCALATE",IF(AX299&gt;=powerSameN,"G","F")),
C299="G",
IF(AY299&gt;=phaseMax,"ESCALATE",IF(OR(AX299&gt;=duoEqualN,BB299&gt;=duoMax),"D","G")),
C299="D",
IF(leEsc,"ESCALATE",IF(AY299&gt;=phaseMax,"ESCALATE",IF(AND(AV299&gt;=AW299,I299="READABLE"),"H","D"))),
C299="H",
IF(AY299&gt;=phaseMax,"ESCALATE",IF(OR(I299="SAME",I299="CANT_TELL",AD299&lt;axisTol),"I","H")),
C299="I",
IF(AY299&gt;=phaseMax,"ESCALATE",IF(AX299&gt;=powerSameN,"J","I")),
C299="J",
IF(AY299&gt;=phaseMax,"ESCALATE",IF(OR(AX299&gt;=duoEqualN,BB299&gt;=duoMax),"K","J")),
C299="K",
IF(AY299&gt;=phaseMax,"ESCALATE",IF(AX299&gt;=binoSameN,IF(XLOOKUP($B299,Derived_Variables!$A:$A,Derived_Variables!$AJ:$AJ,FALSE)=TRUE,"P","END"),"K")),
C299="P",
IF(AY299&gt;=phaseMax,"ESCALATE",IF(OR(I299="READABLE",I299="SAME"),"Q","P")),
C299="Q",
IF(AY299&gt;=phaseMax,"ESCALATE",IF(OR(I299="READABLE",I299="SAME"),"R","Q")),
C299="R",
IF(AY299&gt;=phaseMax,"ESCALATE",IF(OR(I299=nearTarget,I299="SAME"),"END","R")),
TRUE,"END"
)))</f>
        <v/>
      </c>
      <c r="BD299" s="28" t="b">
        <f t="shared" si="19"/>
        <v>0</v>
      </c>
    </row>
    <row r="300" ht="15.75" customHeight="1">
      <c r="A300" s="28">
        <f t="shared" si="3"/>
        <v>299</v>
      </c>
      <c r="B300" s="28">
        <f t="shared" si="4"/>
        <v>6</v>
      </c>
      <c r="C300" s="28" t="str">
        <f t="shared" si="5"/>
        <v/>
      </c>
      <c r="D300" s="28" t="str">
        <f t="array" ref="D300">IF($I299="","",XLOOKUP(C300,FSM_State_Map!A:A,FSM_State_Map!B:B,""))</f>
        <v/>
      </c>
      <c r="E300" s="28" t="str">
        <f t="array" ref="E300">IF($I299="","",XLOOKUP(C300,FSM_State_Map!A:A,FSM_State_Map!C:C,""))</f>
        <v/>
      </c>
      <c r="F300" s="28" t="str">
        <f t="array" ref="F300">IF($I299="","",XLOOKUP(E300,Phase_UI_Map!A:A,Phase_UI_Map!B:B,""))</f>
        <v/>
      </c>
      <c r="G300" s="28" t="str">
        <f t="array" ref="G300">IF($I299="","",XLOOKUP(E300,Phase_UI_Map!A:A,Phase_UI_Map!C:C,""))</f>
        <v/>
      </c>
      <c r="H300" s="28" t="str">
        <f t="array" ref="H300">IF($I299="","",XLOOKUP(E300,Phase_UI_Map!A:A,Phase_UI_Map!D:D,""))</f>
        <v/>
      </c>
      <c r="I300" s="29"/>
      <c r="J300" s="28" t="str">
        <f>IFERROR(__xludf.DUMMYFUNCTION("IF($I299="""","""",IFERROR(INDEX(FILTER(Response_Lists!$B:$B,Response_Lists!$A:$A=$H300),1),""""))"),"")</f>
        <v/>
      </c>
      <c r="K300" s="28" t="str">
        <f>IFERROR(__xludf.DUMMYFUNCTION("IF($I299="""","""",IFERROR(INDEX(FILTER(Response_Lists!$B:$B,Response_Lists!$A:$A=$H300),2),""""))"),"")</f>
        <v/>
      </c>
      <c r="L300" s="28" t="str">
        <f>IFERROR(__xludf.DUMMYFUNCTION("IF($I299="""","""",IFERROR(INDEX(FILTER(Response_Lists!$B:$B,Response_Lists!$A:$A=$H300),3),""""))"),"")</f>
        <v/>
      </c>
      <c r="M300" s="28" t="str">
        <f>IFERROR(__xludf.DUMMYFUNCTION("IF($I299="""","""",IFERROR(INDEX(FILTER(Response_Lists!$B:$B,Response_Lists!$A:$A=$H300),4),""""))"),"")</f>
        <v/>
      </c>
      <c r="N300" s="28" t="str">
        <f>IFERROR(__xludf.DUMMYFUNCTION("IF($I299="""","""",IFERROR(INDEX(FILTER(Response_Lists!$B:$B,Response_Lists!$A:$A=$H300),5),""""))"),"")</f>
        <v/>
      </c>
      <c r="O300" s="28" t="str">
        <f>IFERROR(__xludf.DUMMYFUNCTION("IF($I299="""","""",IFERROR(INDEX(FILTER(Response_Lists!$B:$B,Response_Lists!$A:$A=$H300),6),""""))"),"")</f>
        <v/>
      </c>
      <c r="P300" s="28" t="str">
        <f t="shared" si="6"/>
        <v/>
      </c>
      <c r="Q300" s="28" t="str">
        <f t="array" ref="Q300">IF($I299="","",XLOOKUP(C300,FSM_State_Map!A:A,FSM_State_Map!D:D,""))</f>
        <v/>
      </c>
      <c r="R300" s="28" t="str">
        <f t="shared" si="7"/>
        <v/>
      </c>
      <c r="S300" s="28" t="str">
        <f t="array" ref="S300">IF($I299="","",
IF(
  AND(C300="B",C299&lt;&gt;"B"),
  XLOOKUP($B300,Derived_Variables!$A:$A,Derived_Variables!$K:$K,0)
  + XLOOKUP($B300,Derived_Variables!$A:$A,Derived_Variables!$AE:$AE,0),
  S299+AM299
))</f>
        <v/>
      </c>
      <c r="T300" s="28" t="str">
        <f t="shared" ref="T300:U300" si="610">IF($I299="","",T299+AN299)</f>
        <v/>
      </c>
      <c r="U300" s="28" t="str">
        <f t="shared" si="610"/>
        <v/>
      </c>
      <c r="V300" s="28" t="str">
        <f t="array" ref="V300">IF($I299="","",
IF(
  AND(C300="D",C299&lt;&gt;"D"),
  XLOOKUP($B300,Derived_Variables!$A:$A,Derived_Variables!$N:$N,0)
  + XLOOKUP($B300,Derived_Variables!$A:$A,Derived_Variables!$AE:$AE,0),
  V299+AP299
))</f>
        <v/>
      </c>
      <c r="W300" s="28" t="str">
        <f t="shared" ref="W300:X300" si="611">IF($I299="","",W299+AQ299)</f>
        <v/>
      </c>
      <c r="X300" s="28" t="str">
        <f t="shared" si="611"/>
        <v/>
      </c>
      <c r="Y300" s="28" t="str">
        <f t="array" ref="Y300">IF($I299="","",IF(AND(C300="P",C299&lt;&gt;"P"),IFERROR(XLOOKUP($B300,Lenso_Input!$A:$A,Lenso_Input!$E:$E,0),0),Y299+AS299))</f>
        <v/>
      </c>
      <c r="Z300" s="28" t="str">
        <f t="array" ref="Z300">IF($I299="","",IF(AND(C300="Q",C299&lt;&gt;"Q"),IFERROR(XLOOKUP($B300,Lenso_Input!$A:$A,Lenso_Input!$I:$I,0),0),Z299+AT299))</f>
        <v/>
      </c>
      <c r="AA300" s="28" t="str">
        <f t="array" ref="AA300">IF($I299="","",IF(XLOOKUP($B300,Derived_Variables!$A:$A,Derived_Variables!$R:$R,"6/6_target")="6/6_target","20_20_20","40_30_25"))</f>
        <v/>
      </c>
      <c r="AB300" s="28" t="str">
        <f t="array" ref="AB300">IF($I299="","",XLOOKUP(LOWER(XLOOKUP($B300,Derived_Variables!$A:$A,Derived_Variables!$T:$T,"Standard"))&amp;"_sph_step",Calibration!$B:$B,Calibration!$C:$C,0.25))</f>
        <v/>
      </c>
      <c r="AC300" s="28" t="str">
        <f t="array" ref="AC300">IF($I299="","",XLOOKUP(LOWER(XLOOKUP($B300,Derived_Variables!$A:$A,Derived_Variables!$T:$T,"Standard"))&amp;"_cyl_step",Calibration!$B:$B,Calibration!$C:$C,0.25))</f>
        <v/>
      </c>
      <c r="AD300" s="28" t="str">
        <f t="array" ref="AD300">IF($I299="","",IF(OR(C300="E",C300="H"),LET(startStep,XLOOKUP("axis_start_step",Calibration!$B:$B,Calibration!$C:$C,5),step1,XLOOKUP("axis_reversal_step_1",Calibration!$B:$B,Calibration!$C:$C,3),step2,XLOOKUP("axis_reversal_step_2",Calibration!$B:$B,Calibration!$C:$C,1),IF(OR(C299&lt;&gt;C300,AZ300="",AZ300="SAME",AZ300="CANT_TELL",I300="",I300="SAME",I300="CANT_TELL"),startStep,IF(OR(AND(AZ300="BETTER_1",I300="BETTER_2"),AND(AZ300="BETTER_2",I300="BETTER_1")),IF(AD299&gt;step1,step1,step2),AD299))),0))</f>
        <v/>
      </c>
      <c r="AE300" s="28" t="str">
        <f t="array" ref="AE300">IF($I299="","",XLOOKUP($B300,Derived_Variables!$A:$A,Derived_Variables!$AD:$AD,"No_Fog"))</f>
        <v/>
      </c>
      <c r="AF300" s="28" t="str">
        <f t="array" ref="AF300">IF($I299="","",XLOOKUP($B300,Derived_Variables!$A:$A,Derived_Variables!$AE:$AE,0))</f>
        <v/>
      </c>
      <c r="AG300" s="28" t="str">
        <f t="array" ref="AG300">IF($I299="","",XLOOKUP($B300,Derived_Variables!$A:$A,Derived_Variables!$AF:$AF,""))</f>
        <v/>
      </c>
      <c r="AH300" s="28" t="str">
        <f t="array" ref="AH300">IF($I299="","",XLOOKUP($B300,Derived_Variables!$A:$A,Derived_Variables!$AG:$AG,""))</f>
        <v/>
      </c>
      <c r="AI300" s="28" t="str">
        <f t="array" ref="AI300">IF($I299="","",XLOOKUP($B300,Derived_Variables!$A:$A,Derived_Variables!$AC:$AC,"Medium"))</f>
        <v/>
      </c>
      <c r="AJ300" s="28" t="str">
        <f t="array" ref="AJ300">IF($I299="","",XLOOKUP($B300,Derived_Variables!$A:$A,Derived_Variables!$Y:$Y,FALSE))</f>
        <v/>
      </c>
      <c r="AK300" s="28" t="str">
        <f t="array" ref="AK300">IF($I299="","",XLOOKUP($B300,Derived_Variables!$A:$A,Derived_Variables!$AA:$AA,"Normal"))</f>
        <v/>
      </c>
      <c r="AL300" s="28" t="str">
        <f t="array" ref="AL300">IF($I299="","",XLOOKUP($B300,Derived_Variables!$A:$A,Derived_Variables!$AB:$AB,"Normal"))</f>
        <v/>
      </c>
      <c r="AM300" s="28" t="str">
        <f t="array" ref="AM300">IF($I300="","",IFS(C300="B",IF(OR(I300="NOT_READABLE",I300="BLURRY"),-AB300,0),C300="G",IFS(I300="RED_CLEARER",XLOOKUP("duochrome_red_step",Calibration!$B:$B,Calibration!$C:$C,-0.25),I300="GREEN_CLEARER",XLOOKUP("duochrome_green_step",Calibration!$B:$B,Calibration!$C:$C,0.25),I300="EQUAL",IF(XLOOKUP($B300,Derived_Variables!$A:$A,Derived_Variables!$S:$S,"Neutral")="Undercorrect",XLOOKUP("undercorrect_step",Calibration!$B:$B,Calibration!$C:$C,0.25),IF(XLOOKUP($B300,Derived_Variables!$A:$A,Derived_Variables!$S:$S,"Neutral")="Overcorrect",-XLOOKUP("overcorrect_step",Calibration!$B:$B,Calibration!$C:$C,0.25),0)),TRUE,0),C300="K",IF(I300="TOP_CLEARER",XLOOKUP("bino_balance_step",Calibration!$B:$B,Calibration!$C:$C,0.25),0),TRUE,0))</f>
        <v/>
      </c>
      <c r="AN300" s="28" t="str">
        <f t="shared" si="10"/>
        <v/>
      </c>
      <c r="AO300" s="28" t="str">
        <f t="shared" si="11"/>
        <v/>
      </c>
      <c r="AP300" s="28" t="str">
        <f t="array" ref="AP300">IF($I300="","",IFS(C300="D",IF(OR(I300="NOT_READABLE",I300="BLURRY"),-AB300,0),C300="J",IFS(I300="RED_CLEARER",XLOOKUP("duochrome_red_step",Calibration!$B:$B,Calibration!$C:$C,-0.25),I300="GREEN_CLEARER",XLOOKUP("duochrome_green_step",Calibration!$B:$B,Calibration!$C:$C,0.25),I300="EQUAL",IF(XLOOKUP($B300,Derived_Variables!$A:$A,Derived_Variables!$S:$S,"Neutral")="Undercorrect",XLOOKUP("undercorrect_step",Calibration!$B:$B,Calibration!$C:$C,0.25),IF(XLOOKUP($B300,Derived_Variables!$A:$A,Derived_Variables!$S:$S,"Neutral")="Overcorrect",-XLOOKUP("overcorrect_step",Calibration!$B:$B,Calibration!$C:$C,0.25),0)),TRUE,0),C300="K",IF(I300="BOTTOM_CLEARER",XLOOKUP("bino_balance_step",Calibration!$B:$B,Calibration!$C:$C,0.25),0),TRUE,0))</f>
        <v/>
      </c>
      <c r="AQ300" s="28" t="str">
        <f t="shared" si="12"/>
        <v/>
      </c>
      <c r="AR300" s="28" t="str">
        <f t="shared" si="13"/>
        <v/>
      </c>
      <c r="AS300" s="28" t="str">
        <f t="array" ref="AS300">IF($I300="","",IF(C300="P",IF(OR(I300="NOT_READABLE",I300="BLURRY"),XLOOKUP("near_add_step",Calibration!$B:$B,Calibration!$C:$C,0.25),0),IF(C300="R",IF(I300="NOT_CLEAR",XLOOKUP("near_add_step",Calibration!$B:$B,Calibration!$C:$C,0.25),0),0)))</f>
        <v/>
      </c>
      <c r="AT300" s="28" t="str">
        <f t="array" ref="AT300">IF($I300="","",IF(C300="Q",IF(OR(I300="NOT_READABLE",I300="BLURRY"),XLOOKUP("near_add_step",Calibration!$B:$B,Calibration!$C:$C,0.25),0),IF(C300="R",IF(I300="NOT_CLEAR",XLOOKUP("near_add_step",Calibration!$B:$B,Calibration!$C:$C,0.25),0),0)))</f>
        <v/>
      </c>
      <c r="AU300" s="28" t="str">
        <f t="array" ref="AU300">IF($I300="","",IF(G300="SNELLEN_FEET",IF(I300="READABLE",IFERROR(XLOOKUP(XLOOKUP(R300,Chart_Scale_Distance!B:B,Chart_Scale_Distance!A:A)+1,Chart_Scale_Distance!A:A,Chart_Scale_Distance!B:B),R300),R300),R300))</f>
        <v/>
      </c>
      <c r="AV300" s="28" t="str">
        <f t="array" ref="AV300">IF($I299="","",IFERROR(XLOOKUP(R300,Chart_Scale_Distance!$B:$B,Chart_Scale_Distance!$A:$A,""),""))</f>
        <v/>
      </c>
      <c r="AW300" s="28" t="str">
        <f t="array" ref="AW300">IF($I299="","",IFERROR(XLOOKUP(AA300,Chart_Scale_Distance!$B:$B,Chart_Scale_Distance!$A:$A,""),""))</f>
        <v/>
      </c>
      <c r="AX300" s="28" t="str">
        <f t="shared" si="14"/>
        <v/>
      </c>
      <c r="AY300" s="28" t="str">
        <f t="shared" si="15"/>
        <v/>
      </c>
      <c r="AZ300" s="28" t="str">
        <f t="shared" si="16"/>
        <v/>
      </c>
      <c r="BA300" s="28" t="str">
        <f t="shared" si="17"/>
        <v/>
      </c>
      <c r="BB300" s="28" t="str">
        <f t="shared" si="18"/>
        <v/>
      </c>
      <c r="BC300" s="28" t="str">
        <f t="array" ref="BC300">IF($I300="","",LET(
conf,AI300,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duoMax,XLOOKUP($B300,Derived_Variables!$A:$A,Derived_Variables!$AI:$AI,4),
axisTol,XLOOKUP($B300,Derived_Variables!$A:$A,Derived_Variables!$W:$W,1),
maxStart,XLOOKUP($B300,Derived_Variables!$A:$A,Derived_Variables!$U:$U,1.25),
maxAR,XLOOKUP($B300,Derived_Variables!$A:$A,Derived_Variables!$V:$V,3),
anom,XLOOKUP($B300,Derived_Variables!$A:$A,Derived_Variables!$Z:$Z,FALSE),
reStart,XLOOKUP($B300,Derived_Variables!$A:$A,Derived_Variables!$K:$K,0),
leStart,XLOOKUP($B300,Derived_Variables!$A:$A,Derived_Variables!$N:$N,0),
reAR,XLOOKUP($B300,AR_Input!$A:$A,AR_Input!$B:$B,reStart),
leAR,XLOOKUP($B300,AR_Input!$A:$A,AR_Input!$E:$E,leStart),
reEsc,AND(anom,OR(ABS((S300+AM300)-reStart)&gt;maxStart,ABS((S300+AM300)-reAR)&gt;maxAR)),
leEsc,AND(anom,OR(ABS((V300+AP300)-leStart)&gt;maxStart,ABS((V300+AP300)-leAR)&gt;maxAR)),
phaseMax,IFS(
 AK300="Fast",
   IFS(
     OR(C300="B",C300="D"),XLOOKUP("timeout_coarse_fast",Calibration!$B:$B,Calibration!$C:$C,24),
     OR(C300="E",C300="F",C300="H",C300="I"),XLOOKUP("timeout_jcc_fast",Calibration!$B:$B,Calibration!$C:$C,10),
     OR(C300="G",C300="J"),XLOOKUP("timeout_duochrome_fast",Calibration!$B:$B,Calibration!$C:$C,8),
     C300="K",XLOOKUP("timeout_bino_fast",Calibration!$B:$B,Calibration!$C:$C,10),
     OR(C300="P",C300="Q",C300="R"),XLOOKUP("timeout_near_fast",Calibration!$B:$B,Calibration!$C:$C,16),
     TRUE,XLOOKUP("timeout_coarse_fast",Calibration!$B:$B,Calibration!$C:$C,24)
   ),
 AK300="Normal",
   IFS(
     OR(C300="B",C300="D"),XLOOKUP("timeout_coarse_normal",Calibration!$B:$B,Calibration!$C:$C,36),
     OR(C300="E",C300="F",C300="H",C300="I"),XLOOKUP("timeout_jcc_normal",Calibration!$B:$B,Calibration!$C:$C,14),
     OR(C300="G",C300="J"),XLOOKUP("timeout_duochrome_normal",Calibration!$B:$B,Calibration!$C:$C,10),
     C300="K",XLOOKUP("timeout_bino_normal",Calibration!$B:$B,Calibration!$C:$C,14),
     OR(C300="P",C300="Q",C300="R"),XLOOKUP("timeout_near_normal",Calibration!$B:$B,Calibration!$C:$C,22),
     TRUE,XLOOKUP("timeout_coarse_normal",Calibration!$B:$B,Calibration!$C:$C,36)
   ),
 TRUE,
   IFS(
     OR(C300="B",C300="D"),XLOOKUP("timeout_coarse_slow",Calibration!$B:$B,Calibration!$C:$C,48),
     OR(C300="E",C300="F",C300="H",C300="I"),XLOOKUP("timeout_jcc_slow",Calibration!$B:$B,Calibration!$C:$C,18),
     OR(C300="G",C300="J"),XLOOKUP("timeout_duochrome_slow",Calibration!$B:$B,Calibration!$C:$C,12),
     C300="K",XLOOKUP("timeout_bino_slow",Calibration!$B:$B,Calibration!$C:$C,18),
     OR(C300="P",C300="Q",C300="R"),XLOOKUP("timeout_near_slow",Calibration!$B:$B,Calibration!$C:$C,28),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AJ300=TRUE,"ESCALATE",
C300="A",
IF(OR(I300="NOT_READABLE",I300="BLURRY",AND(R300="20_20_20",I300="READABLE")),"B","A"),
C300="B",
IF(reEsc,"ESCALATE",IF(AY300&gt;=phaseMax,"ESCALATE",IF(AND(AV300&gt;=AW300,I300="READABLE"),"E","B"))),
C300="E",
IF(AY300&gt;=phaseMax,"ESCALATE",IF(OR(I300="SAME",I300="CANT_TELL",AD300&lt;axisTol),"F","E")),
C300="F",
IF(AY300&gt;=phaseMax,"ESCALATE",IF(AX300&gt;=powerSameN,"G","F")),
C300="G",
IF(AY300&gt;=phaseMax,"ESCALATE",IF(OR(AX300&gt;=duoEqualN,BB300&gt;=duoMax),"D","G")),
C300="D",
IF(leEsc,"ESCALATE",IF(AY300&gt;=phaseMax,"ESCALATE",IF(AND(AV300&gt;=AW300,I300="READABLE"),"H","D"))),
C300="H",
IF(AY300&gt;=phaseMax,"ESCALATE",IF(OR(I300="SAME",I300="CANT_TELL",AD300&lt;axisTol),"I","H")),
C300="I",
IF(AY300&gt;=phaseMax,"ESCALATE",IF(AX300&gt;=powerSameN,"J","I")),
C300="J",
IF(AY300&gt;=phaseMax,"ESCALATE",IF(OR(AX300&gt;=duoEqualN,BB300&gt;=duoMax),"K","J")),
C300="K",
IF(AY300&gt;=phaseMax,"ESCALATE",IF(AX300&gt;=binoSameN,IF(XLOOKUP($B300,Derived_Variables!$A:$A,Derived_Variables!$AJ:$AJ,FALSE)=TRUE,"P","END"),"K")),
C300="P",
IF(AY300&gt;=phaseMax,"ESCALATE",IF(OR(I300="READABLE",I300="SAME"),"Q","P")),
C300="Q",
IF(AY300&gt;=phaseMax,"ESCALATE",IF(OR(I300="READABLE",I300="SAME"),"R","Q")),
C300="R",
IF(AY300&gt;=phaseMax,"ESCALATE",IF(OR(I300=nearTarget,I300="SAME"),"END","R")),
TRUE,"END"
)))</f>
        <v/>
      </c>
      <c r="BD300" s="28" t="b">
        <f t="shared" si="19"/>
        <v>0</v>
      </c>
    </row>
    <row r="301" ht="15.75" customHeight="1">
      <c r="A301" s="28">
        <f t="shared" si="3"/>
        <v>300</v>
      </c>
      <c r="B301" s="28">
        <f t="shared" si="4"/>
        <v>6</v>
      </c>
      <c r="C301" s="28" t="str">
        <f t="shared" si="5"/>
        <v/>
      </c>
      <c r="D301" s="28" t="str">
        <f t="array" ref="D301">IF($I300="","",XLOOKUP(C301,FSM_State_Map!A:A,FSM_State_Map!B:B,""))</f>
        <v/>
      </c>
      <c r="E301" s="28" t="str">
        <f t="array" ref="E301">IF($I300="","",XLOOKUP(C301,FSM_State_Map!A:A,FSM_State_Map!C:C,""))</f>
        <v/>
      </c>
      <c r="F301" s="28" t="str">
        <f t="array" ref="F301">IF($I300="","",XLOOKUP(E301,Phase_UI_Map!A:A,Phase_UI_Map!B:B,""))</f>
        <v/>
      </c>
      <c r="G301" s="28" t="str">
        <f t="array" ref="G301">IF($I300="","",XLOOKUP(E301,Phase_UI_Map!A:A,Phase_UI_Map!C:C,""))</f>
        <v/>
      </c>
      <c r="H301" s="28" t="str">
        <f t="array" ref="H301">IF($I300="","",XLOOKUP(E301,Phase_UI_Map!A:A,Phase_UI_Map!D:D,""))</f>
        <v/>
      </c>
      <c r="I301" s="29"/>
      <c r="J301" s="28" t="str">
        <f>IFERROR(__xludf.DUMMYFUNCTION("IF($I300="""","""",IFERROR(INDEX(FILTER(Response_Lists!$B:$B,Response_Lists!$A:$A=$H301),1),""""))"),"")</f>
        <v/>
      </c>
      <c r="K301" s="28" t="str">
        <f>IFERROR(__xludf.DUMMYFUNCTION("IF($I300="""","""",IFERROR(INDEX(FILTER(Response_Lists!$B:$B,Response_Lists!$A:$A=$H301),2),""""))"),"")</f>
        <v/>
      </c>
      <c r="L301" s="28" t="str">
        <f>IFERROR(__xludf.DUMMYFUNCTION("IF($I300="""","""",IFERROR(INDEX(FILTER(Response_Lists!$B:$B,Response_Lists!$A:$A=$H301),3),""""))"),"")</f>
        <v/>
      </c>
      <c r="M301" s="28" t="str">
        <f>IFERROR(__xludf.DUMMYFUNCTION("IF($I300="""","""",IFERROR(INDEX(FILTER(Response_Lists!$B:$B,Response_Lists!$A:$A=$H301),4),""""))"),"")</f>
        <v/>
      </c>
      <c r="N301" s="28" t="str">
        <f>IFERROR(__xludf.DUMMYFUNCTION("IF($I300="""","""",IFERROR(INDEX(FILTER(Response_Lists!$B:$B,Response_Lists!$A:$A=$H301),5),""""))"),"")</f>
        <v/>
      </c>
      <c r="O301" s="28" t="str">
        <f>IFERROR(__xludf.DUMMYFUNCTION("IF($I300="""","""",IFERROR(INDEX(FILTER(Response_Lists!$B:$B,Response_Lists!$A:$A=$H301),6),""""))"),"")</f>
        <v/>
      </c>
      <c r="P301" s="28" t="str">
        <f t="shared" si="6"/>
        <v/>
      </c>
      <c r="Q301" s="28" t="str">
        <f t="array" ref="Q301">IF($I300="","",XLOOKUP(C301,FSM_State_Map!A:A,FSM_State_Map!D:D,""))</f>
        <v/>
      </c>
      <c r="R301" s="28" t="str">
        <f t="shared" si="7"/>
        <v/>
      </c>
      <c r="S301" s="28" t="str">
        <f t="array" ref="S301">IF($I300="","",
IF(
  AND(C301="B",C300&lt;&gt;"B"),
  XLOOKUP($B301,Derived_Variables!$A:$A,Derived_Variables!$K:$K,0)
  + XLOOKUP($B301,Derived_Variables!$A:$A,Derived_Variables!$AE:$AE,0),
  S300+AM300
))</f>
        <v/>
      </c>
      <c r="T301" s="28" t="str">
        <f t="shared" ref="T301:U301" si="612">IF($I300="","",T300+AN300)</f>
        <v/>
      </c>
      <c r="U301" s="28" t="str">
        <f t="shared" si="612"/>
        <v/>
      </c>
      <c r="V301" s="28" t="str">
        <f t="array" ref="V301">IF($I300="","",
IF(
  AND(C301="D",C300&lt;&gt;"D"),
  XLOOKUP($B301,Derived_Variables!$A:$A,Derived_Variables!$N:$N,0)
  + XLOOKUP($B301,Derived_Variables!$A:$A,Derived_Variables!$AE:$AE,0),
  V300+AP300
))</f>
        <v/>
      </c>
      <c r="W301" s="28" t="str">
        <f t="shared" ref="W301:X301" si="613">IF($I300="","",W300+AQ300)</f>
        <v/>
      </c>
      <c r="X301" s="28" t="str">
        <f t="shared" si="613"/>
        <v/>
      </c>
      <c r="Y301" s="28" t="str">
        <f t="array" ref="Y301">IF($I300="","",IF(AND(C301="P",C300&lt;&gt;"P"),IFERROR(XLOOKUP($B301,Lenso_Input!$A:$A,Lenso_Input!$E:$E,0),0),Y300+AS300))</f>
        <v/>
      </c>
      <c r="Z301" s="28" t="str">
        <f t="array" ref="Z301">IF($I300="","",IF(AND(C301="Q",C300&lt;&gt;"Q"),IFERROR(XLOOKUP($B301,Lenso_Input!$A:$A,Lenso_Input!$I:$I,0),0),Z300+AT300))</f>
        <v/>
      </c>
      <c r="AA301" s="28" t="str">
        <f t="array" ref="AA301">IF($I300="","",IF(XLOOKUP($B301,Derived_Variables!$A:$A,Derived_Variables!$R:$R,"6/6_target")="6/6_target","20_20_20","40_30_25"))</f>
        <v/>
      </c>
      <c r="AB301" s="28" t="str">
        <f t="array" ref="AB301">IF($I300="","",XLOOKUP(LOWER(XLOOKUP($B301,Derived_Variables!$A:$A,Derived_Variables!$T:$T,"Standard"))&amp;"_sph_step",Calibration!$B:$B,Calibration!$C:$C,0.25))</f>
        <v/>
      </c>
      <c r="AC301" s="28" t="str">
        <f t="array" ref="AC301">IF($I300="","",XLOOKUP(LOWER(XLOOKUP($B301,Derived_Variables!$A:$A,Derived_Variables!$T:$T,"Standard"))&amp;"_cyl_step",Calibration!$B:$B,Calibration!$C:$C,0.25))</f>
        <v/>
      </c>
      <c r="AD301" s="28" t="str">
        <f t="array" ref="AD301">IF($I300="","",IF(OR(C301="E",C301="H"),LET(startStep,XLOOKUP("axis_start_step",Calibration!$B:$B,Calibration!$C:$C,5),step1,XLOOKUP("axis_reversal_step_1",Calibration!$B:$B,Calibration!$C:$C,3),step2,XLOOKUP("axis_reversal_step_2",Calibration!$B:$B,Calibration!$C:$C,1),IF(OR(C300&lt;&gt;C301,AZ301="",AZ301="SAME",AZ301="CANT_TELL",I301="",I301="SAME",I301="CANT_TELL"),startStep,IF(OR(AND(AZ301="BETTER_1",I301="BETTER_2"),AND(AZ301="BETTER_2",I301="BETTER_1")),IF(AD300&gt;step1,step1,step2),AD300))),0))</f>
        <v/>
      </c>
      <c r="AE301" s="28" t="str">
        <f t="array" ref="AE301">IF($I300="","",XLOOKUP($B301,Derived_Variables!$A:$A,Derived_Variables!$AD:$AD,"No_Fog"))</f>
        <v/>
      </c>
      <c r="AF301" s="28" t="str">
        <f t="array" ref="AF301">IF($I300="","",XLOOKUP($B301,Derived_Variables!$A:$A,Derived_Variables!$AE:$AE,0))</f>
        <v/>
      </c>
      <c r="AG301" s="28" t="str">
        <f t="array" ref="AG301">IF($I300="","",XLOOKUP($B301,Derived_Variables!$A:$A,Derived_Variables!$AF:$AF,""))</f>
        <v/>
      </c>
      <c r="AH301" s="28" t="str">
        <f t="array" ref="AH301">IF($I300="","",XLOOKUP($B301,Derived_Variables!$A:$A,Derived_Variables!$AG:$AG,""))</f>
        <v/>
      </c>
      <c r="AI301" s="28" t="str">
        <f t="array" ref="AI301">IF($I300="","",XLOOKUP($B301,Derived_Variables!$A:$A,Derived_Variables!$AC:$AC,"Medium"))</f>
        <v/>
      </c>
      <c r="AJ301" s="28" t="str">
        <f t="array" ref="AJ301">IF($I300="","",XLOOKUP($B301,Derived_Variables!$A:$A,Derived_Variables!$Y:$Y,FALSE))</f>
        <v/>
      </c>
      <c r="AK301" s="28" t="str">
        <f t="array" ref="AK301">IF($I300="","",XLOOKUP($B301,Derived_Variables!$A:$A,Derived_Variables!$AA:$AA,"Normal"))</f>
        <v/>
      </c>
      <c r="AL301" s="28" t="str">
        <f t="array" ref="AL301">IF($I300="","",XLOOKUP($B301,Derived_Variables!$A:$A,Derived_Variables!$AB:$AB,"Normal"))</f>
        <v/>
      </c>
      <c r="AM301" s="28" t="str">
        <f t="array" ref="AM301">IF($I301="","",IFS(C301="B",IF(OR(I301="NOT_READABLE",I301="BLURRY"),-AB301,0),C301="G",IFS(I301="RED_CLEARER",XLOOKUP("duochrome_red_step",Calibration!$B:$B,Calibration!$C:$C,-0.25),I301="GREEN_CLEARER",XLOOKUP("duochrome_green_step",Calibration!$B:$B,Calibration!$C:$C,0.25),I301="EQUAL",IF(XLOOKUP($B301,Derived_Variables!$A:$A,Derived_Variables!$S:$S,"Neutral")="Undercorrect",XLOOKUP("undercorrect_step",Calibration!$B:$B,Calibration!$C:$C,0.25),IF(XLOOKUP($B301,Derived_Variables!$A:$A,Derived_Variables!$S:$S,"Neutral")="Overcorrect",-XLOOKUP("overcorrect_step",Calibration!$B:$B,Calibration!$C:$C,0.25),0)),TRUE,0),C301="K",IF(I301="TOP_CLEARER",XLOOKUP("bino_balance_step",Calibration!$B:$B,Calibration!$C:$C,0.25),0),TRUE,0))</f>
        <v/>
      </c>
      <c r="AN301" s="28" t="str">
        <f t="shared" si="10"/>
        <v/>
      </c>
      <c r="AO301" s="28" t="str">
        <f t="shared" si="11"/>
        <v/>
      </c>
      <c r="AP301" s="28" t="str">
        <f t="array" ref="AP301">IF($I301="","",IFS(C301="D",IF(OR(I301="NOT_READABLE",I301="BLURRY"),-AB301,0),C301="J",IFS(I301="RED_CLEARER",XLOOKUP("duochrome_red_step",Calibration!$B:$B,Calibration!$C:$C,-0.25),I301="GREEN_CLEARER",XLOOKUP("duochrome_green_step",Calibration!$B:$B,Calibration!$C:$C,0.25),I301="EQUAL",IF(XLOOKUP($B301,Derived_Variables!$A:$A,Derived_Variables!$S:$S,"Neutral")="Undercorrect",XLOOKUP("undercorrect_step",Calibration!$B:$B,Calibration!$C:$C,0.25),IF(XLOOKUP($B301,Derived_Variables!$A:$A,Derived_Variables!$S:$S,"Neutral")="Overcorrect",-XLOOKUP("overcorrect_step",Calibration!$B:$B,Calibration!$C:$C,0.25),0)),TRUE,0),C301="K",IF(I301="BOTTOM_CLEARER",XLOOKUP("bino_balance_step",Calibration!$B:$B,Calibration!$C:$C,0.25),0),TRUE,0))</f>
        <v/>
      </c>
      <c r="AQ301" s="28" t="str">
        <f t="shared" si="12"/>
        <v/>
      </c>
      <c r="AR301" s="28" t="str">
        <f t="shared" si="13"/>
        <v/>
      </c>
      <c r="AS301" s="28" t="str">
        <f t="array" ref="AS301">IF($I301="","",IF(C301="P",IF(OR(I301="NOT_READABLE",I301="BLURRY"),XLOOKUP("near_add_step",Calibration!$B:$B,Calibration!$C:$C,0.25),0),IF(C301="R",IF(I301="NOT_CLEAR",XLOOKUP("near_add_step",Calibration!$B:$B,Calibration!$C:$C,0.25),0),0)))</f>
        <v/>
      </c>
      <c r="AT301" s="28" t="str">
        <f t="array" ref="AT301">IF($I301="","",IF(C301="Q",IF(OR(I301="NOT_READABLE",I301="BLURRY"),XLOOKUP("near_add_step",Calibration!$B:$B,Calibration!$C:$C,0.25),0),IF(C301="R",IF(I301="NOT_CLEAR",XLOOKUP("near_add_step",Calibration!$B:$B,Calibration!$C:$C,0.25),0),0)))</f>
        <v/>
      </c>
      <c r="AU301" s="28" t="str">
        <f t="array" ref="AU301">IF($I301="","",IF(G301="SNELLEN_FEET",IF(I301="READABLE",IFERROR(XLOOKUP(XLOOKUP(R301,Chart_Scale_Distance!B:B,Chart_Scale_Distance!A:A)+1,Chart_Scale_Distance!A:A,Chart_Scale_Distance!B:B),R301),R301),R301))</f>
        <v/>
      </c>
      <c r="AV301" s="28" t="str">
        <f t="array" ref="AV301">IF($I300="","",IFERROR(XLOOKUP(R301,Chart_Scale_Distance!$B:$B,Chart_Scale_Distance!$A:$A,""),""))</f>
        <v/>
      </c>
      <c r="AW301" s="28" t="str">
        <f t="array" ref="AW301">IF($I300="","",IFERROR(XLOOKUP(AA301,Chart_Scale_Distance!$B:$B,Chart_Scale_Distance!$A:$A,""),""))</f>
        <v/>
      </c>
      <c r="AX301" s="28" t="str">
        <f t="shared" si="14"/>
        <v/>
      </c>
      <c r="AY301" s="28" t="str">
        <f t="shared" si="15"/>
        <v/>
      </c>
      <c r="AZ301" s="28" t="str">
        <f t="shared" si="16"/>
        <v/>
      </c>
      <c r="BA301" s="28" t="str">
        <f t="shared" si="17"/>
        <v/>
      </c>
      <c r="BB301" s="28" t="str">
        <f t="shared" si="18"/>
        <v/>
      </c>
      <c r="BC301" s="28" t="str">
        <f t="array" ref="BC301">IF($I301="","",LET(
conf,AI301,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duoMax,XLOOKUP($B301,Derived_Variables!$A:$A,Derived_Variables!$AI:$AI,4),
axisTol,XLOOKUP($B301,Derived_Variables!$A:$A,Derived_Variables!$W:$W,1),
maxStart,XLOOKUP($B301,Derived_Variables!$A:$A,Derived_Variables!$U:$U,1.25),
maxAR,XLOOKUP($B301,Derived_Variables!$A:$A,Derived_Variables!$V:$V,3),
anom,XLOOKUP($B301,Derived_Variables!$A:$A,Derived_Variables!$Z:$Z,FALSE),
reStart,XLOOKUP($B301,Derived_Variables!$A:$A,Derived_Variables!$K:$K,0),
leStart,XLOOKUP($B301,Derived_Variables!$A:$A,Derived_Variables!$N:$N,0),
reAR,XLOOKUP($B301,AR_Input!$A:$A,AR_Input!$B:$B,reStart),
leAR,XLOOKUP($B301,AR_Input!$A:$A,AR_Input!$E:$E,leStart),
reEsc,AND(anom,OR(ABS((S301+AM301)-reStart)&gt;maxStart,ABS((S301+AM301)-reAR)&gt;maxAR)),
leEsc,AND(anom,OR(ABS((V301+AP301)-leStart)&gt;maxStart,ABS((V301+AP301)-leAR)&gt;maxAR)),
phaseMax,IFS(
 AK301="Fast",
   IFS(
     OR(C301="B",C301="D"),XLOOKUP("timeout_coarse_fast",Calibration!$B:$B,Calibration!$C:$C,24),
     OR(C301="E",C301="F",C301="H",C301="I"),XLOOKUP("timeout_jcc_fast",Calibration!$B:$B,Calibration!$C:$C,10),
     OR(C301="G",C301="J"),XLOOKUP("timeout_duochrome_fast",Calibration!$B:$B,Calibration!$C:$C,8),
     C301="K",XLOOKUP("timeout_bino_fast",Calibration!$B:$B,Calibration!$C:$C,10),
     OR(C301="P",C301="Q",C301="R"),XLOOKUP("timeout_near_fast",Calibration!$B:$B,Calibration!$C:$C,16),
     TRUE,XLOOKUP("timeout_coarse_fast",Calibration!$B:$B,Calibration!$C:$C,24)
   ),
 AK301="Normal",
   IFS(
     OR(C301="B",C301="D"),XLOOKUP("timeout_coarse_normal",Calibration!$B:$B,Calibration!$C:$C,36),
     OR(C301="E",C301="F",C301="H",C301="I"),XLOOKUP("timeout_jcc_normal",Calibration!$B:$B,Calibration!$C:$C,14),
     OR(C301="G",C301="J"),XLOOKUP("timeout_duochrome_normal",Calibration!$B:$B,Calibration!$C:$C,10),
     C301="K",XLOOKUP("timeout_bino_normal",Calibration!$B:$B,Calibration!$C:$C,14),
     OR(C301="P",C301="Q",C301="R"),XLOOKUP("timeout_near_normal",Calibration!$B:$B,Calibration!$C:$C,22),
     TRUE,XLOOKUP("timeout_coarse_normal",Calibration!$B:$B,Calibration!$C:$C,36)
   ),
 TRUE,
   IFS(
     OR(C301="B",C301="D"),XLOOKUP("timeout_coarse_slow",Calibration!$B:$B,Calibration!$C:$C,48),
     OR(C301="E",C301="F",C301="H",C301="I"),XLOOKUP("timeout_jcc_slow",Calibration!$B:$B,Calibration!$C:$C,18),
     OR(C301="G",C301="J"),XLOOKUP("timeout_duochrome_slow",Calibration!$B:$B,Calibration!$C:$C,12),
     C301="K",XLOOKUP("timeout_bino_slow",Calibration!$B:$B,Calibration!$C:$C,18),
     OR(C301="P",C301="Q",C301="R"),XLOOKUP("timeout_near_slow",Calibration!$B:$B,Calibration!$C:$C,28),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AJ301=TRUE,"ESCALATE",
C301="A",
IF(OR(I301="NOT_READABLE",I301="BLURRY",AND(R301="20_20_20",I301="READABLE")),"B","A"),
C301="B",
IF(reEsc,"ESCALATE",IF(AY301&gt;=phaseMax,"ESCALATE",IF(AND(AV301&gt;=AW301,I301="READABLE"),"E","B"))),
C301="E",
IF(AY301&gt;=phaseMax,"ESCALATE",IF(OR(I301="SAME",I301="CANT_TELL",AD301&lt;axisTol),"F","E")),
C301="F",
IF(AY301&gt;=phaseMax,"ESCALATE",IF(AX301&gt;=powerSameN,"G","F")),
C301="G",
IF(AY301&gt;=phaseMax,"ESCALATE",IF(OR(AX301&gt;=duoEqualN,BB301&gt;=duoMax),"D","G")),
C301="D",
IF(leEsc,"ESCALATE",IF(AY301&gt;=phaseMax,"ESCALATE",IF(AND(AV301&gt;=AW301,I301="READABLE"),"H","D"))),
C301="H",
IF(AY301&gt;=phaseMax,"ESCALATE",IF(OR(I301="SAME",I301="CANT_TELL",AD301&lt;axisTol),"I","H")),
C301="I",
IF(AY301&gt;=phaseMax,"ESCALATE",IF(AX301&gt;=powerSameN,"J","I")),
C301="J",
IF(AY301&gt;=phaseMax,"ESCALATE",IF(OR(AX301&gt;=duoEqualN,BB301&gt;=duoMax),"K","J")),
C301="K",
IF(AY301&gt;=phaseMax,"ESCALATE",IF(AX301&gt;=binoSameN,IF(XLOOKUP($B301,Derived_Variables!$A:$A,Derived_Variables!$AJ:$AJ,FALSE)=TRUE,"P","END"),"K")),
C301="P",
IF(AY301&gt;=phaseMax,"ESCALATE",IF(OR(I301="READABLE",I301="SAME"),"Q","P")),
C301="Q",
IF(AY301&gt;=phaseMax,"ESCALATE",IF(OR(I301="READABLE",I301="SAME"),"R","Q")),
C301="R",
IF(AY301&gt;=phaseMax,"ESCALATE",IF(OR(I301=nearTarget,I301="SAME"),"END","R")),
TRUE,"END"
)))</f>
        <v/>
      </c>
      <c r="BD301" s="28" t="b">
        <f t="shared" si="19"/>
        <v>0</v>
      </c>
    </row>
    <row r="302" ht="15.75" customHeight="1">
      <c r="A302" s="28">
        <f t="shared" si="3"/>
        <v>301</v>
      </c>
      <c r="B302" s="28">
        <f t="shared" si="4"/>
        <v>6</v>
      </c>
      <c r="C302" s="28" t="str">
        <f t="shared" si="5"/>
        <v/>
      </c>
      <c r="D302" s="28" t="str">
        <f t="array" ref="D302">IF($I301="","",XLOOKUP(C302,FSM_State_Map!A:A,FSM_State_Map!B:B,""))</f>
        <v/>
      </c>
      <c r="E302" s="28" t="str">
        <f t="array" ref="E302">IF($I301="","",XLOOKUP(C302,FSM_State_Map!A:A,FSM_State_Map!C:C,""))</f>
        <v/>
      </c>
      <c r="F302" s="28" t="str">
        <f t="array" ref="F302">IF($I301="","",XLOOKUP(E302,Phase_UI_Map!A:A,Phase_UI_Map!B:B,""))</f>
        <v/>
      </c>
      <c r="G302" s="28" t="str">
        <f t="array" ref="G302">IF($I301="","",XLOOKUP(E302,Phase_UI_Map!A:A,Phase_UI_Map!C:C,""))</f>
        <v/>
      </c>
      <c r="H302" s="28" t="str">
        <f t="array" ref="H302">IF($I301="","",XLOOKUP(E302,Phase_UI_Map!A:A,Phase_UI_Map!D:D,""))</f>
        <v/>
      </c>
      <c r="I302" s="29"/>
      <c r="J302" s="28" t="str">
        <f>IFERROR(__xludf.DUMMYFUNCTION("IF($I301="""","""",IFERROR(INDEX(FILTER(Response_Lists!$B:$B,Response_Lists!$A:$A=$H302),1),""""))"),"")</f>
        <v/>
      </c>
      <c r="K302" s="28" t="str">
        <f>IFERROR(__xludf.DUMMYFUNCTION("IF($I301="""","""",IFERROR(INDEX(FILTER(Response_Lists!$B:$B,Response_Lists!$A:$A=$H302),2),""""))"),"")</f>
        <v/>
      </c>
      <c r="L302" s="28" t="str">
        <f>IFERROR(__xludf.DUMMYFUNCTION("IF($I301="""","""",IFERROR(INDEX(FILTER(Response_Lists!$B:$B,Response_Lists!$A:$A=$H302),3),""""))"),"")</f>
        <v/>
      </c>
      <c r="M302" s="28" t="str">
        <f>IFERROR(__xludf.DUMMYFUNCTION("IF($I301="""","""",IFERROR(INDEX(FILTER(Response_Lists!$B:$B,Response_Lists!$A:$A=$H302),4),""""))"),"")</f>
        <v/>
      </c>
      <c r="N302" s="28" t="str">
        <f>IFERROR(__xludf.DUMMYFUNCTION("IF($I301="""","""",IFERROR(INDEX(FILTER(Response_Lists!$B:$B,Response_Lists!$A:$A=$H302),5),""""))"),"")</f>
        <v/>
      </c>
      <c r="O302" s="28" t="str">
        <f>IFERROR(__xludf.DUMMYFUNCTION("IF($I301="""","""",IFERROR(INDEX(FILTER(Response_Lists!$B:$B,Response_Lists!$A:$A=$H302),6),""""))"),"")</f>
        <v/>
      </c>
      <c r="P302" s="28" t="str">
        <f t="shared" si="6"/>
        <v/>
      </c>
      <c r="Q302" s="28" t="str">
        <f t="array" ref="Q302">IF($I301="","",XLOOKUP(C302,FSM_State_Map!A:A,FSM_State_Map!D:D,""))</f>
        <v/>
      </c>
      <c r="R302" s="28" t="str">
        <f t="shared" si="7"/>
        <v/>
      </c>
      <c r="S302" s="28" t="str">
        <f t="array" ref="S302">IF($I301="","",
IF(
  AND(C302="B",C301&lt;&gt;"B"),
  XLOOKUP($B302,Derived_Variables!$A:$A,Derived_Variables!$K:$K,0)
  + XLOOKUP($B302,Derived_Variables!$A:$A,Derived_Variables!$AE:$AE,0),
  S301+AM301
))</f>
        <v/>
      </c>
      <c r="T302" s="28" t="str">
        <f t="shared" ref="T302:U302" si="614">IF($I301="","",T301+AN301)</f>
        <v/>
      </c>
      <c r="U302" s="28" t="str">
        <f t="shared" si="614"/>
        <v/>
      </c>
      <c r="V302" s="28" t="str">
        <f t="array" ref="V302">IF($I301="","",
IF(
  AND(C302="D",C301&lt;&gt;"D"),
  XLOOKUP($B302,Derived_Variables!$A:$A,Derived_Variables!$N:$N,0)
  + XLOOKUP($B302,Derived_Variables!$A:$A,Derived_Variables!$AE:$AE,0),
  V301+AP301
))</f>
        <v/>
      </c>
      <c r="W302" s="28" t="str">
        <f t="shared" ref="W302:X302" si="615">IF($I301="","",W301+AQ301)</f>
        <v/>
      </c>
      <c r="X302" s="28" t="str">
        <f t="shared" si="615"/>
        <v/>
      </c>
      <c r="Y302" s="28" t="str">
        <f t="array" ref="Y302">IF($I301="","",IF(AND(C302="P",C301&lt;&gt;"P"),IFERROR(XLOOKUP($B302,Lenso_Input!$A:$A,Lenso_Input!$E:$E,0),0),Y301+AS301))</f>
        <v/>
      </c>
      <c r="Z302" s="28" t="str">
        <f t="array" ref="Z302">IF($I301="","",IF(AND(C302="Q",C301&lt;&gt;"Q"),IFERROR(XLOOKUP($B302,Lenso_Input!$A:$A,Lenso_Input!$I:$I,0),0),Z301+AT301))</f>
        <v/>
      </c>
      <c r="AA302" s="28" t="str">
        <f t="array" ref="AA302">IF($I301="","",IF(XLOOKUP($B302,Derived_Variables!$A:$A,Derived_Variables!$R:$R,"6/6_target")="6/6_target","20_20_20","40_30_25"))</f>
        <v/>
      </c>
      <c r="AB302" s="28" t="str">
        <f t="array" ref="AB302">IF($I301="","",XLOOKUP(LOWER(XLOOKUP($B302,Derived_Variables!$A:$A,Derived_Variables!$T:$T,"Standard"))&amp;"_sph_step",Calibration!$B:$B,Calibration!$C:$C,0.25))</f>
        <v/>
      </c>
      <c r="AC302" s="28" t="str">
        <f t="array" ref="AC302">IF($I301="","",XLOOKUP(LOWER(XLOOKUP($B302,Derived_Variables!$A:$A,Derived_Variables!$T:$T,"Standard"))&amp;"_cyl_step",Calibration!$B:$B,Calibration!$C:$C,0.25))</f>
        <v/>
      </c>
      <c r="AD302" s="28" t="str">
        <f t="array" ref="AD302">IF($I301="","",IF(OR(C302="E",C302="H"),LET(startStep,XLOOKUP("axis_start_step",Calibration!$B:$B,Calibration!$C:$C,5),step1,XLOOKUP("axis_reversal_step_1",Calibration!$B:$B,Calibration!$C:$C,3),step2,XLOOKUP("axis_reversal_step_2",Calibration!$B:$B,Calibration!$C:$C,1),IF(OR(C301&lt;&gt;C302,AZ302="",AZ302="SAME",AZ302="CANT_TELL",I302="",I302="SAME",I302="CANT_TELL"),startStep,IF(OR(AND(AZ302="BETTER_1",I302="BETTER_2"),AND(AZ302="BETTER_2",I302="BETTER_1")),IF(AD301&gt;step1,step1,step2),AD301))),0))</f>
        <v/>
      </c>
      <c r="AE302" s="28" t="str">
        <f t="array" ref="AE302">IF($I301="","",XLOOKUP($B302,Derived_Variables!$A:$A,Derived_Variables!$AD:$AD,"No_Fog"))</f>
        <v/>
      </c>
      <c r="AF302" s="28" t="str">
        <f t="array" ref="AF302">IF($I301="","",XLOOKUP($B302,Derived_Variables!$A:$A,Derived_Variables!$AE:$AE,0))</f>
        <v/>
      </c>
      <c r="AG302" s="28" t="str">
        <f t="array" ref="AG302">IF($I301="","",XLOOKUP($B302,Derived_Variables!$A:$A,Derived_Variables!$AF:$AF,""))</f>
        <v/>
      </c>
      <c r="AH302" s="28" t="str">
        <f t="array" ref="AH302">IF($I301="","",XLOOKUP($B302,Derived_Variables!$A:$A,Derived_Variables!$AG:$AG,""))</f>
        <v/>
      </c>
      <c r="AI302" s="28" t="str">
        <f t="array" ref="AI302">IF($I301="","",XLOOKUP($B302,Derived_Variables!$A:$A,Derived_Variables!$AC:$AC,"Medium"))</f>
        <v/>
      </c>
      <c r="AJ302" s="28" t="str">
        <f t="array" ref="AJ302">IF($I301="","",XLOOKUP($B302,Derived_Variables!$A:$A,Derived_Variables!$Y:$Y,FALSE))</f>
        <v/>
      </c>
      <c r="AK302" s="28" t="str">
        <f t="array" ref="AK302">IF($I301="","",XLOOKUP($B302,Derived_Variables!$A:$A,Derived_Variables!$AA:$AA,"Normal"))</f>
        <v/>
      </c>
      <c r="AL302" s="28" t="str">
        <f t="array" ref="AL302">IF($I301="","",XLOOKUP($B302,Derived_Variables!$A:$A,Derived_Variables!$AB:$AB,"Normal"))</f>
        <v/>
      </c>
      <c r="AM302" s="28" t="str">
        <f t="array" ref="AM302">IF($I302="","",IFS(C302="B",IF(OR(I302="NOT_READABLE",I302="BLURRY"),-AB302,0),C302="G",IFS(I302="RED_CLEARER",XLOOKUP("duochrome_red_step",Calibration!$B:$B,Calibration!$C:$C,-0.25),I302="GREEN_CLEARER",XLOOKUP("duochrome_green_step",Calibration!$B:$B,Calibration!$C:$C,0.25),I302="EQUAL",IF(XLOOKUP($B302,Derived_Variables!$A:$A,Derived_Variables!$S:$S,"Neutral")="Undercorrect",XLOOKUP("undercorrect_step",Calibration!$B:$B,Calibration!$C:$C,0.25),IF(XLOOKUP($B302,Derived_Variables!$A:$A,Derived_Variables!$S:$S,"Neutral")="Overcorrect",-XLOOKUP("overcorrect_step",Calibration!$B:$B,Calibration!$C:$C,0.25),0)),TRUE,0),C302="K",IF(I302="TOP_CLEARER",XLOOKUP("bino_balance_step",Calibration!$B:$B,Calibration!$C:$C,0.25),0),TRUE,0))</f>
        <v/>
      </c>
      <c r="AN302" s="28" t="str">
        <f t="shared" si="10"/>
        <v/>
      </c>
      <c r="AO302" s="28" t="str">
        <f t="shared" si="11"/>
        <v/>
      </c>
      <c r="AP302" s="28" t="str">
        <f t="array" ref="AP302">IF($I302="","",IFS(C302="D",IF(OR(I302="NOT_READABLE",I302="BLURRY"),-AB302,0),C302="J",IFS(I302="RED_CLEARER",XLOOKUP("duochrome_red_step",Calibration!$B:$B,Calibration!$C:$C,-0.25),I302="GREEN_CLEARER",XLOOKUP("duochrome_green_step",Calibration!$B:$B,Calibration!$C:$C,0.25),I302="EQUAL",IF(XLOOKUP($B302,Derived_Variables!$A:$A,Derived_Variables!$S:$S,"Neutral")="Undercorrect",XLOOKUP("undercorrect_step",Calibration!$B:$B,Calibration!$C:$C,0.25),IF(XLOOKUP($B302,Derived_Variables!$A:$A,Derived_Variables!$S:$S,"Neutral")="Overcorrect",-XLOOKUP("overcorrect_step",Calibration!$B:$B,Calibration!$C:$C,0.25),0)),TRUE,0),C302="K",IF(I302="BOTTOM_CLEARER",XLOOKUP("bino_balance_step",Calibration!$B:$B,Calibration!$C:$C,0.25),0),TRUE,0))</f>
        <v/>
      </c>
      <c r="AQ302" s="28" t="str">
        <f t="shared" si="12"/>
        <v/>
      </c>
      <c r="AR302" s="28" t="str">
        <f t="shared" si="13"/>
        <v/>
      </c>
      <c r="AS302" s="28" t="str">
        <f t="array" ref="AS302">IF($I302="","",IF(C302="P",IF(OR(I302="NOT_READABLE",I302="BLURRY"),XLOOKUP("near_add_step",Calibration!$B:$B,Calibration!$C:$C,0.25),0),IF(C302="R",IF(I302="NOT_CLEAR",XLOOKUP("near_add_step",Calibration!$B:$B,Calibration!$C:$C,0.25),0),0)))</f>
        <v/>
      </c>
      <c r="AT302" s="28" t="str">
        <f t="array" ref="AT302">IF($I302="","",IF(C302="Q",IF(OR(I302="NOT_READABLE",I302="BLURRY"),XLOOKUP("near_add_step",Calibration!$B:$B,Calibration!$C:$C,0.25),0),IF(C302="R",IF(I302="NOT_CLEAR",XLOOKUP("near_add_step",Calibration!$B:$B,Calibration!$C:$C,0.25),0),0)))</f>
        <v/>
      </c>
      <c r="AU302" s="28" t="str">
        <f t="array" ref="AU302">IF($I302="","",IF(G302="SNELLEN_FEET",IF(I302="READABLE",IFERROR(XLOOKUP(XLOOKUP(R302,Chart_Scale_Distance!B:B,Chart_Scale_Distance!A:A)+1,Chart_Scale_Distance!A:A,Chart_Scale_Distance!B:B),R302),R302),R302))</f>
        <v/>
      </c>
      <c r="AV302" s="28" t="str">
        <f t="array" ref="AV302">IF($I301="","",IFERROR(XLOOKUP(R302,Chart_Scale_Distance!$B:$B,Chart_Scale_Distance!$A:$A,""),""))</f>
        <v/>
      </c>
      <c r="AW302" s="28" t="str">
        <f t="array" ref="AW302">IF($I301="","",IFERROR(XLOOKUP(AA302,Chart_Scale_Distance!$B:$B,Chart_Scale_Distance!$A:$A,""),""))</f>
        <v/>
      </c>
      <c r="AX302" s="28" t="str">
        <f t="shared" si="14"/>
        <v/>
      </c>
      <c r="AY302" s="28" t="str">
        <f t="shared" si="15"/>
        <v/>
      </c>
      <c r="AZ302" s="28" t="str">
        <f t="shared" si="16"/>
        <v/>
      </c>
      <c r="BA302" s="28" t="str">
        <f t="shared" si="17"/>
        <v/>
      </c>
      <c r="BB302" s="28" t="str">
        <f t="shared" si="18"/>
        <v/>
      </c>
      <c r="BC302" s="28" t="str">
        <f t="array" ref="BC302">IF($I302="","",LET(
conf,AI302,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duoMax,XLOOKUP($B302,Derived_Variables!$A:$A,Derived_Variables!$AI:$AI,4),
axisTol,XLOOKUP($B302,Derived_Variables!$A:$A,Derived_Variables!$W:$W,1),
maxStart,XLOOKUP($B302,Derived_Variables!$A:$A,Derived_Variables!$U:$U,1.25),
maxAR,XLOOKUP($B302,Derived_Variables!$A:$A,Derived_Variables!$V:$V,3),
anom,XLOOKUP($B302,Derived_Variables!$A:$A,Derived_Variables!$Z:$Z,FALSE),
reStart,XLOOKUP($B302,Derived_Variables!$A:$A,Derived_Variables!$K:$K,0),
leStart,XLOOKUP($B302,Derived_Variables!$A:$A,Derived_Variables!$N:$N,0),
reAR,XLOOKUP($B302,AR_Input!$A:$A,AR_Input!$B:$B,reStart),
leAR,XLOOKUP($B302,AR_Input!$A:$A,AR_Input!$E:$E,leStart),
reEsc,AND(anom,OR(ABS((S302+AM302)-reStart)&gt;maxStart,ABS((S302+AM302)-reAR)&gt;maxAR)),
leEsc,AND(anom,OR(ABS((V302+AP302)-leStart)&gt;maxStart,ABS((V302+AP302)-leAR)&gt;maxAR)),
phaseMax,IFS(
 AK302="Fast",
   IFS(
     OR(C302="B",C302="D"),XLOOKUP("timeout_coarse_fast",Calibration!$B:$B,Calibration!$C:$C,24),
     OR(C302="E",C302="F",C302="H",C302="I"),XLOOKUP("timeout_jcc_fast",Calibration!$B:$B,Calibration!$C:$C,10),
     OR(C302="G",C302="J"),XLOOKUP("timeout_duochrome_fast",Calibration!$B:$B,Calibration!$C:$C,8),
     C302="K",XLOOKUP("timeout_bino_fast",Calibration!$B:$B,Calibration!$C:$C,10),
     OR(C302="P",C302="Q",C302="R"),XLOOKUP("timeout_near_fast",Calibration!$B:$B,Calibration!$C:$C,16),
     TRUE,XLOOKUP("timeout_coarse_fast",Calibration!$B:$B,Calibration!$C:$C,24)
   ),
 AK302="Normal",
   IFS(
     OR(C302="B",C302="D"),XLOOKUP("timeout_coarse_normal",Calibration!$B:$B,Calibration!$C:$C,36),
     OR(C302="E",C302="F",C302="H",C302="I"),XLOOKUP("timeout_jcc_normal",Calibration!$B:$B,Calibration!$C:$C,14),
     OR(C302="G",C302="J"),XLOOKUP("timeout_duochrome_normal",Calibration!$B:$B,Calibration!$C:$C,10),
     C302="K",XLOOKUP("timeout_bino_normal",Calibration!$B:$B,Calibration!$C:$C,14),
     OR(C302="P",C302="Q",C302="R"),XLOOKUP("timeout_near_normal",Calibration!$B:$B,Calibration!$C:$C,22),
     TRUE,XLOOKUP("timeout_coarse_normal",Calibration!$B:$B,Calibration!$C:$C,36)
   ),
 TRUE,
   IFS(
     OR(C302="B",C302="D"),XLOOKUP("timeout_coarse_slow",Calibration!$B:$B,Calibration!$C:$C,48),
     OR(C302="E",C302="F",C302="H",C302="I"),XLOOKUP("timeout_jcc_slow",Calibration!$B:$B,Calibration!$C:$C,18),
     OR(C302="G",C302="J"),XLOOKUP("timeout_duochrome_slow",Calibration!$B:$B,Calibration!$C:$C,12),
     C302="K",XLOOKUP("timeout_bino_slow",Calibration!$B:$B,Calibration!$C:$C,18),
     OR(C302="P",C302="Q",C302="R"),XLOOKUP("timeout_near_slow",Calibration!$B:$B,Calibration!$C:$C,28),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AJ302=TRUE,"ESCALATE",
C302="A",
IF(OR(I302="NOT_READABLE",I302="BLURRY",AND(R302="20_20_20",I302="READABLE")),"B","A"),
C302="B",
IF(reEsc,"ESCALATE",IF(AY302&gt;=phaseMax,"ESCALATE",IF(AND(AV302&gt;=AW302,I302="READABLE"),"E","B"))),
C302="E",
IF(AY302&gt;=phaseMax,"ESCALATE",IF(OR(I302="SAME",I302="CANT_TELL",AD302&lt;axisTol),"F","E")),
C302="F",
IF(AY302&gt;=phaseMax,"ESCALATE",IF(AX302&gt;=powerSameN,"G","F")),
C302="G",
IF(AY302&gt;=phaseMax,"ESCALATE",IF(OR(AX302&gt;=duoEqualN,BB302&gt;=duoMax),"D","G")),
C302="D",
IF(leEsc,"ESCALATE",IF(AY302&gt;=phaseMax,"ESCALATE",IF(AND(AV302&gt;=AW302,I302="READABLE"),"H","D"))),
C302="H",
IF(AY302&gt;=phaseMax,"ESCALATE",IF(OR(I302="SAME",I302="CANT_TELL",AD302&lt;axisTol),"I","H")),
C302="I",
IF(AY302&gt;=phaseMax,"ESCALATE",IF(AX302&gt;=powerSameN,"J","I")),
C302="J",
IF(AY302&gt;=phaseMax,"ESCALATE",IF(OR(AX302&gt;=duoEqualN,BB302&gt;=duoMax),"K","J")),
C302="K",
IF(AY302&gt;=phaseMax,"ESCALATE",IF(AX302&gt;=binoSameN,IF(XLOOKUP($B302,Derived_Variables!$A:$A,Derived_Variables!$AJ:$AJ,FALSE)=TRUE,"P","END"),"K")),
C302="P",
IF(AY302&gt;=phaseMax,"ESCALATE",IF(OR(I302="READABLE",I302="SAME"),"Q","P")),
C302="Q",
IF(AY302&gt;=phaseMax,"ESCALATE",IF(OR(I302="READABLE",I302="SAME"),"R","Q")),
C302="R",
IF(AY302&gt;=phaseMax,"ESCALATE",IF(OR(I302=nearTarget,I302="SAME"),"END","R")),
TRUE,"END"
)))</f>
        <v/>
      </c>
      <c r="BD302" s="28" t="b">
        <f t="shared" si="19"/>
        <v>0</v>
      </c>
    </row>
    <row r="303" ht="15.75" customHeight="1">
      <c r="A303" s="28">
        <f t="shared" si="3"/>
        <v>302</v>
      </c>
      <c r="B303" s="28">
        <f t="shared" si="4"/>
        <v>6</v>
      </c>
      <c r="C303" s="28" t="str">
        <f t="shared" si="5"/>
        <v/>
      </c>
      <c r="D303" s="28" t="str">
        <f t="array" ref="D303">IF($I302="","",XLOOKUP(C303,FSM_State_Map!A:A,FSM_State_Map!B:B,""))</f>
        <v/>
      </c>
      <c r="E303" s="28" t="str">
        <f t="array" ref="E303">IF($I302="","",XLOOKUP(C303,FSM_State_Map!A:A,FSM_State_Map!C:C,""))</f>
        <v/>
      </c>
      <c r="F303" s="28" t="str">
        <f t="array" ref="F303">IF($I302="","",XLOOKUP(E303,Phase_UI_Map!A:A,Phase_UI_Map!B:B,""))</f>
        <v/>
      </c>
      <c r="G303" s="28" t="str">
        <f t="array" ref="G303">IF($I302="","",XLOOKUP(E303,Phase_UI_Map!A:A,Phase_UI_Map!C:C,""))</f>
        <v/>
      </c>
      <c r="H303" s="28" t="str">
        <f t="array" ref="H303">IF($I302="","",XLOOKUP(E303,Phase_UI_Map!A:A,Phase_UI_Map!D:D,""))</f>
        <v/>
      </c>
      <c r="I303" s="29"/>
      <c r="J303" s="28" t="str">
        <f>IFERROR(__xludf.DUMMYFUNCTION("IF($I302="""","""",IFERROR(INDEX(FILTER(Response_Lists!$B:$B,Response_Lists!$A:$A=$H303),1),""""))"),"")</f>
        <v/>
      </c>
      <c r="K303" s="28" t="str">
        <f>IFERROR(__xludf.DUMMYFUNCTION("IF($I302="""","""",IFERROR(INDEX(FILTER(Response_Lists!$B:$B,Response_Lists!$A:$A=$H303),2),""""))"),"")</f>
        <v/>
      </c>
      <c r="L303" s="28" t="str">
        <f>IFERROR(__xludf.DUMMYFUNCTION("IF($I302="""","""",IFERROR(INDEX(FILTER(Response_Lists!$B:$B,Response_Lists!$A:$A=$H303),3),""""))"),"")</f>
        <v/>
      </c>
      <c r="M303" s="28" t="str">
        <f>IFERROR(__xludf.DUMMYFUNCTION("IF($I302="""","""",IFERROR(INDEX(FILTER(Response_Lists!$B:$B,Response_Lists!$A:$A=$H303),4),""""))"),"")</f>
        <v/>
      </c>
      <c r="N303" s="28" t="str">
        <f>IFERROR(__xludf.DUMMYFUNCTION("IF($I302="""","""",IFERROR(INDEX(FILTER(Response_Lists!$B:$B,Response_Lists!$A:$A=$H303),5),""""))"),"")</f>
        <v/>
      </c>
      <c r="O303" s="28" t="str">
        <f>IFERROR(__xludf.DUMMYFUNCTION("IF($I302="""","""",IFERROR(INDEX(FILTER(Response_Lists!$B:$B,Response_Lists!$A:$A=$H303),6),""""))"),"")</f>
        <v/>
      </c>
      <c r="P303" s="28" t="str">
        <f t="shared" si="6"/>
        <v/>
      </c>
      <c r="Q303" s="28" t="str">
        <f t="array" ref="Q303">IF($I302="","",XLOOKUP(C303,FSM_State_Map!A:A,FSM_State_Map!D:D,""))</f>
        <v/>
      </c>
      <c r="R303" s="28" t="str">
        <f t="shared" si="7"/>
        <v/>
      </c>
      <c r="S303" s="28" t="str">
        <f t="array" ref="S303">IF($I302="","",
IF(
  AND(C303="B",C302&lt;&gt;"B"),
  XLOOKUP($B303,Derived_Variables!$A:$A,Derived_Variables!$K:$K,0)
  + XLOOKUP($B303,Derived_Variables!$A:$A,Derived_Variables!$AE:$AE,0),
  S302+AM302
))</f>
        <v/>
      </c>
      <c r="T303" s="28" t="str">
        <f t="shared" ref="T303:U303" si="616">IF($I302="","",T302+AN302)</f>
        <v/>
      </c>
      <c r="U303" s="28" t="str">
        <f t="shared" si="616"/>
        <v/>
      </c>
      <c r="V303" s="28" t="str">
        <f t="array" ref="V303">IF($I302="","",
IF(
  AND(C303="D",C302&lt;&gt;"D"),
  XLOOKUP($B303,Derived_Variables!$A:$A,Derived_Variables!$N:$N,0)
  + XLOOKUP($B303,Derived_Variables!$A:$A,Derived_Variables!$AE:$AE,0),
  V302+AP302
))</f>
        <v/>
      </c>
      <c r="W303" s="28" t="str">
        <f t="shared" ref="W303:X303" si="617">IF($I302="","",W302+AQ302)</f>
        <v/>
      </c>
      <c r="X303" s="28" t="str">
        <f t="shared" si="617"/>
        <v/>
      </c>
      <c r="Y303" s="28" t="str">
        <f t="array" ref="Y303">IF($I302="","",IF(AND(C303="P",C302&lt;&gt;"P"),IFERROR(XLOOKUP($B303,Lenso_Input!$A:$A,Lenso_Input!$E:$E,0),0),Y302+AS302))</f>
        <v/>
      </c>
      <c r="Z303" s="28" t="str">
        <f t="array" ref="Z303">IF($I302="","",IF(AND(C303="Q",C302&lt;&gt;"Q"),IFERROR(XLOOKUP($B303,Lenso_Input!$A:$A,Lenso_Input!$I:$I,0),0),Z302+AT302))</f>
        <v/>
      </c>
      <c r="AA303" s="28" t="str">
        <f t="array" ref="AA303">IF($I302="","",IF(XLOOKUP($B303,Derived_Variables!$A:$A,Derived_Variables!$R:$R,"6/6_target")="6/6_target","20_20_20","40_30_25"))</f>
        <v/>
      </c>
      <c r="AB303" s="28" t="str">
        <f t="array" ref="AB303">IF($I302="","",XLOOKUP(LOWER(XLOOKUP($B303,Derived_Variables!$A:$A,Derived_Variables!$T:$T,"Standard"))&amp;"_sph_step",Calibration!$B:$B,Calibration!$C:$C,0.25))</f>
        <v/>
      </c>
      <c r="AC303" s="28" t="str">
        <f t="array" ref="AC303">IF($I302="","",XLOOKUP(LOWER(XLOOKUP($B303,Derived_Variables!$A:$A,Derived_Variables!$T:$T,"Standard"))&amp;"_cyl_step",Calibration!$B:$B,Calibration!$C:$C,0.25))</f>
        <v/>
      </c>
      <c r="AD303" s="28" t="str">
        <f t="array" ref="AD303">IF($I302="","",IF(OR(C303="E",C303="H"),LET(startStep,XLOOKUP("axis_start_step",Calibration!$B:$B,Calibration!$C:$C,5),step1,XLOOKUP("axis_reversal_step_1",Calibration!$B:$B,Calibration!$C:$C,3),step2,XLOOKUP("axis_reversal_step_2",Calibration!$B:$B,Calibration!$C:$C,1),IF(OR(C302&lt;&gt;C303,AZ303="",AZ303="SAME",AZ303="CANT_TELL",I303="",I303="SAME",I303="CANT_TELL"),startStep,IF(OR(AND(AZ303="BETTER_1",I303="BETTER_2"),AND(AZ303="BETTER_2",I303="BETTER_1")),IF(AD302&gt;step1,step1,step2),AD302))),0))</f>
        <v/>
      </c>
      <c r="AE303" s="28" t="str">
        <f t="array" ref="AE303">IF($I302="","",XLOOKUP($B303,Derived_Variables!$A:$A,Derived_Variables!$AD:$AD,"No_Fog"))</f>
        <v/>
      </c>
      <c r="AF303" s="28" t="str">
        <f t="array" ref="AF303">IF($I302="","",XLOOKUP($B303,Derived_Variables!$A:$A,Derived_Variables!$AE:$AE,0))</f>
        <v/>
      </c>
      <c r="AG303" s="28" t="str">
        <f t="array" ref="AG303">IF($I302="","",XLOOKUP($B303,Derived_Variables!$A:$A,Derived_Variables!$AF:$AF,""))</f>
        <v/>
      </c>
      <c r="AH303" s="28" t="str">
        <f t="array" ref="AH303">IF($I302="","",XLOOKUP($B303,Derived_Variables!$A:$A,Derived_Variables!$AG:$AG,""))</f>
        <v/>
      </c>
      <c r="AI303" s="28" t="str">
        <f t="array" ref="AI303">IF($I302="","",XLOOKUP($B303,Derived_Variables!$A:$A,Derived_Variables!$AC:$AC,"Medium"))</f>
        <v/>
      </c>
      <c r="AJ303" s="28" t="str">
        <f t="array" ref="AJ303">IF($I302="","",XLOOKUP($B303,Derived_Variables!$A:$A,Derived_Variables!$Y:$Y,FALSE))</f>
        <v/>
      </c>
      <c r="AK303" s="28" t="str">
        <f t="array" ref="AK303">IF($I302="","",XLOOKUP($B303,Derived_Variables!$A:$A,Derived_Variables!$AA:$AA,"Normal"))</f>
        <v/>
      </c>
      <c r="AL303" s="28" t="str">
        <f t="array" ref="AL303">IF($I302="","",XLOOKUP($B303,Derived_Variables!$A:$A,Derived_Variables!$AB:$AB,"Normal"))</f>
        <v/>
      </c>
      <c r="AM303" s="28" t="str">
        <f t="array" ref="AM303">IF($I303="","",IFS(C303="B",IF(OR(I303="NOT_READABLE",I303="BLURRY"),-AB303,0),C303="G",IFS(I303="RED_CLEARER",XLOOKUP("duochrome_red_step",Calibration!$B:$B,Calibration!$C:$C,-0.25),I303="GREEN_CLEARER",XLOOKUP("duochrome_green_step",Calibration!$B:$B,Calibration!$C:$C,0.25),I303="EQUAL",IF(XLOOKUP($B303,Derived_Variables!$A:$A,Derived_Variables!$S:$S,"Neutral")="Undercorrect",XLOOKUP("undercorrect_step",Calibration!$B:$B,Calibration!$C:$C,0.25),IF(XLOOKUP($B303,Derived_Variables!$A:$A,Derived_Variables!$S:$S,"Neutral")="Overcorrect",-XLOOKUP("overcorrect_step",Calibration!$B:$B,Calibration!$C:$C,0.25),0)),TRUE,0),C303="K",IF(I303="TOP_CLEARER",XLOOKUP("bino_balance_step",Calibration!$B:$B,Calibration!$C:$C,0.25),0),TRUE,0))</f>
        <v/>
      </c>
      <c r="AN303" s="28" t="str">
        <f t="shared" si="10"/>
        <v/>
      </c>
      <c r="AO303" s="28" t="str">
        <f t="shared" si="11"/>
        <v/>
      </c>
      <c r="AP303" s="28" t="str">
        <f t="array" ref="AP303">IF($I303="","",IFS(C303="D",IF(OR(I303="NOT_READABLE",I303="BLURRY"),-AB303,0),C303="J",IFS(I303="RED_CLEARER",XLOOKUP("duochrome_red_step",Calibration!$B:$B,Calibration!$C:$C,-0.25),I303="GREEN_CLEARER",XLOOKUP("duochrome_green_step",Calibration!$B:$B,Calibration!$C:$C,0.25),I303="EQUAL",IF(XLOOKUP($B303,Derived_Variables!$A:$A,Derived_Variables!$S:$S,"Neutral")="Undercorrect",XLOOKUP("undercorrect_step",Calibration!$B:$B,Calibration!$C:$C,0.25),IF(XLOOKUP($B303,Derived_Variables!$A:$A,Derived_Variables!$S:$S,"Neutral")="Overcorrect",-XLOOKUP("overcorrect_step",Calibration!$B:$B,Calibration!$C:$C,0.25),0)),TRUE,0),C303="K",IF(I303="BOTTOM_CLEARER",XLOOKUP("bino_balance_step",Calibration!$B:$B,Calibration!$C:$C,0.25),0),TRUE,0))</f>
        <v/>
      </c>
      <c r="AQ303" s="28" t="str">
        <f t="shared" si="12"/>
        <v/>
      </c>
      <c r="AR303" s="28" t="str">
        <f t="shared" si="13"/>
        <v/>
      </c>
      <c r="AS303" s="28" t="str">
        <f t="array" ref="AS303">IF($I303="","",IF(C303="P",IF(OR(I303="NOT_READABLE",I303="BLURRY"),XLOOKUP("near_add_step",Calibration!$B:$B,Calibration!$C:$C,0.25),0),IF(C303="R",IF(I303="NOT_CLEAR",XLOOKUP("near_add_step",Calibration!$B:$B,Calibration!$C:$C,0.25),0),0)))</f>
        <v/>
      </c>
      <c r="AT303" s="28" t="str">
        <f t="array" ref="AT303">IF($I303="","",IF(C303="Q",IF(OR(I303="NOT_READABLE",I303="BLURRY"),XLOOKUP("near_add_step",Calibration!$B:$B,Calibration!$C:$C,0.25),0),IF(C303="R",IF(I303="NOT_CLEAR",XLOOKUP("near_add_step",Calibration!$B:$B,Calibration!$C:$C,0.25),0),0)))</f>
        <v/>
      </c>
      <c r="AU303" s="28" t="str">
        <f t="array" ref="AU303">IF($I303="","",IF(G303="SNELLEN_FEET",IF(I303="READABLE",IFERROR(XLOOKUP(XLOOKUP(R303,Chart_Scale_Distance!B:B,Chart_Scale_Distance!A:A)+1,Chart_Scale_Distance!A:A,Chart_Scale_Distance!B:B),R303),R303),R303))</f>
        <v/>
      </c>
      <c r="AV303" s="28" t="str">
        <f t="array" ref="AV303">IF($I302="","",IFERROR(XLOOKUP(R303,Chart_Scale_Distance!$B:$B,Chart_Scale_Distance!$A:$A,""),""))</f>
        <v/>
      </c>
      <c r="AW303" s="28" t="str">
        <f t="array" ref="AW303">IF($I302="","",IFERROR(XLOOKUP(AA303,Chart_Scale_Distance!$B:$B,Chart_Scale_Distance!$A:$A,""),""))</f>
        <v/>
      </c>
      <c r="AX303" s="28" t="str">
        <f t="shared" si="14"/>
        <v/>
      </c>
      <c r="AY303" s="28" t="str">
        <f t="shared" si="15"/>
        <v/>
      </c>
      <c r="AZ303" s="28" t="str">
        <f t="shared" si="16"/>
        <v/>
      </c>
      <c r="BA303" s="28" t="str">
        <f t="shared" si="17"/>
        <v/>
      </c>
      <c r="BB303" s="28" t="str">
        <f t="shared" si="18"/>
        <v/>
      </c>
      <c r="BC303" s="28" t="str">
        <f t="array" ref="BC303">IF($I303="","",LET(
conf,AI303,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duoMax,XLOOKUP($B303,Derived_Variables!$A:$A,Derived_Variables!$AI:$AI,4),
axisTol,XLOOKUP($B303,Derived_Variables!$A:$A,Derived_Variables!$W:$W,1),
maxStart,XLOOKUP($B303,Derived_Variables!$A:$A,Derived_Variables!$U:$U,1.25),
maxAR,XLOOKUP($B303,Derived_Variables!$A:$A,Derived_Variables!$V:$V,3),
anom,XLOOKUP($B303,Derived_Variables!$A:$A,Derived_Variables!$Z:$Z,FALSE),
reStart,XLOOKUP($B303,Derived_Variables!$A:$A,Derived_Variables!$K:$K,0),
leStart,XLOOKUP($B303,Derived_Variables!$A:$A,Derived_Variables!$N:$N,0),
reAR,XLOOKUP($B303,AR_Input!$A:$A,AR_Input!$B:$B,reStart),
leAR,XLOOKUP($B303,AR_Input!$A:$A,AR_Input!$E:$E,leStart),
reEsc,AND(anom,OR(ABS((S303+AM303)-reStart)&gt;maxStart,ABS((S303+AM303)-reAR)&gt;maxAR)),
leEsc,AND(anom,OR(ABS((V303+AP303)-leStart)&gt;maxStart,ABS((V303+AP303)-leAR)&gt;maxAR)),
phaseMax,IFS(
 AK303="Fast",
   IFS(
     OR(C303="B",C303="D"),XLOOKUP("timeout_coarse_fast",Calibration!$B:$B,Calibration!$C:$C,24),
     OR(C303="E",C303="F",C303="H",C303="I"),XLOOKUP("timeout_jcc_fast",Calibration!$B:$B,Calibration!$C:$C,10),
     OR(C303="G",C303="J"),XLOOKUP("timeout_duochrome_fast",Calibration!$B:$B,Calibration!$C:$C,8),
     C303="K",XLOOKUP("timeout_bino_fast",Calibration!$B:$B,Calibration!$C:$C,10),
     OR(C303="P",C303="Q",C303="R"),XLOOKUP("timeout_near_fast",Calibration!$B:$B,Calibration!$C:$C,16),
     TRUE,XLOOKUP("timeout_coarse_fast",Calibration!$B:$B,Calibration!$C:$C,24)
   ),
 AK303="Normal",
   IFS(
     OR(C303="B",C303="D"),XLOOKUP("timeout_coarse_normal",Calibration!$B:$B,Calibration!$C:$C,36),
     OR(C303="E",C303="F",C303="H",C303="I"),XLOOKUP("timeout_jcc_normal",Calibration!$B:$B,Calibration!$C:$C,14),
     OR(C303="G",C303="J"),XLOOKUP("timeout_duochrome_normal",Calibration!$B:$B,Calibration!$C:$C,10),
     C303="K",XLOOKUP("timeout_bino_normal",Calibration!$B:$B,Calibration!$C:$C,14),
     OR(C303="P",C303="Q",C303="R"),XLOOKUP("timeout_near_normal",Calibration!$B:$B,Calibration!$C:$C,22),
     TRUE,XLOOKUP("timeout_coarse_normal",Calibration!$B:$B,Calibration!$C:$C,36)
   ),
 TRUE,
   IFS(
     OR(C303="B",C303="D"),XLOOKUP("timeout_coarse_slow",Calibration!$B:$B,Calibration!$C:$C,48),
     OR(C303="E",C303="F",C303="H",C303="I"),XLOOKUP("timeout_jcc_slow",Calibration!$B:$B,Calibration!$C:$C,18),
     OR(C303="G",C303="J"),XLOOKUP("timeout_duochrome_slow",Calibration!$B:$B,Calibration!$C:$C,12),
     C303="K",XLOOKUP("timeout_bino_slow",Calibration!$B:$B,Calibration!$C:$C,18),
     OR(C303="P",C303="Q",C303="R"),XLOOKUP("timeout_near_slow",Calibration!$B:$B,Calibration!$C:$C,28),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AJ303=TRUE,"ESCALATE",
C303="A",
IF(OR(I303="NOT_READABLE",I303="BLURRY",AND(R303="20_20_20",I303="READABLE")),"B","A"),
C303="B",
IF(reEsc,"ESCALATE",IF(AY303&gt;=phaseMax,"ESCALATE",IF(AND(AV303&gt;=AW303,I303="READABLE"),"E","B"))),
C303="E",
IF(AY303&gt;=phaseMax,"ESCALATE",IF(OR(I303="SAME",I303="CANT_TELL",AD303&lt;axisTol),"F","E")),
C303="F",
IF(AY303&gt;=phaseMax,"ESCALATE",IF(AX303&gt;=powerSameN,"G","F")),
C303="G",
IF(AY303&gt;=phaseMax,"ESCALATE",IF(OR(AX303&gt;=duoEqualN,BB303&gt;=duoMax),"D","G")),
C303="D",
IF(leEsc,"ESCALATE",IF(AY303&gt;=phaseMax,"ESCALATE",IF(AND(AV303&gt;=AW303,I303="READABLE"),"H","D"))),
C303="H",
IF(AY303&gt;=phaseMax,"ESCALATE",IF(OR(I303="SAME",I303="CANT_TELL",AD303&lt;axisTol),"I","H")),
C303="I",
IF(AY303&gt;=phaseMax,"ESCALATE",IF(AX303&gt;=powerSameN,"J","I")),
C303="J",
IF(AY303&gt;=phaseMax,"ESCALATE",IF(OR(AX303&gt;=duoEqualN,BB303&gt;=duoMax),"K","J")),
C303="K",
IF(AY303&gt;=phaseMax,"ESCALATE",IF(AX303&gt;=binoSameN,IF(XLOOKUP($B303,Derived_Variables!$A:$A,Derived_Variables!$AJ:$AJ,FALSE)=TRUE,"P","END"),"K")),
C303="P",
IF(AY303&gt;=phaseMax,"ESCALATE",IF(OR(I303="READABLE",I303="SAME"),"Q","P")),
C303="Q",
IF(AY303&gt;=phaseMax,"ESCALATE",IF(OR(I303="READABLE",I303="SAME"),"R","Q")),
C303="R",
IF(AY303&gt;=phaseMax,"ESCALATE",IF(OR(I303=nearTarget,I303="SAME"),"END","R")),
TRUE,"END"
)))</f>
        <v/>
      </c>
      <c r="BD303" s="28" t="b">
        <f t="shared" si="19"/>
        <v>0</v>
      </c>
    </row>
    <row r="304" ht="15.75" customHeight="1">
      <c r="A304" s="28">
        <f t="shared" si="3"/>
        <v>303</v>
      </c>
      <c r="B304" s="28">
        <f t="shared" si="4"/>
        <v>6</v>
      </c>
      <c r="C304" s="28" t="str">
        <f t="shared" si="5"/>
        <v/>
      </c>
      <c r="D304" s="28" t="str">
        <f t="array" ref="D304">IF($I303="","",XLOOKUP(C304,FSM_State_Map!A:A,FSM_State_Map!B:B,""))</f>
        <v/>
      </c>
      <c r="E304" s="28" t="str">
        <f t="array" ref="E304">IF($I303="","",XLOOKUP(C304,FSM_State_Map!A:A,FSM_State_Map!C:C,""))</f>
        <v/>
      </c>
      <c r="F304" s="28" t="str">
        <f t="array" ref="F304">IF($I303="","",XLOOKUP(E304,Phase_UI_Map!A:A,Phase_UI_Map!B:B,""))</f>
        <v/>
      </c>
      <c r="G304" s="28" t="str">
        <f t="array" ref="G304">IF($I303="","",XLOOKUP(E304,Phase_UI_Map!A:A,Phase_UI_Map!C:C,""))</f>
        <v/>
      </c>
      <c r="H304" s="28" t="str">
        <f t="array" ref="H304">IF($I303="","",XLOOKUP(E304,Phase_UI_Map!A:A,Phase_UI_Map!D:D,""))</f>
        <v/>
      </c>
      <c r="I304" s="29"/>
      <c r="J304" s="28" t="str">
        <f>IFERROR(__xludf.DUMMYFUNCTION("IF($I303="""","""",IFERROR(INDEX(FILTER(Response_Lists!$B:$B,Response_Lists!$A:$A=$H304),1),""""))"),"")</f>
        <v/>
      </c>
      <c r="K304" s="28" t="str">
        <f>IFERROR(__xludf.DUMMYFUNCTION("IF($I303="""","""",IFERROR(INDEX(FILTER(Response_Lists!$B:$B,Response_Lists!$A:$A=$H304),2),""""))"),"")</f>
        <v/>
      </c>
      <c r="L304" s="28" t="str">
        <f>IFERROR(__xludf.DUMMYFUNCTION("IF($I303="""","""",IFERROR(INDEX(FILTER(Response_Lists!$B:$B,Response_Lists!$A:$A=$H304),3),""""))"),"")</f>
        <v/>
      </c>
      <c r="M304" s="28" t="str">
        <f>IFERROR(__xludf.DUMMYFUNCTION("IF($I303="""","""",IFERROR(INDEX(FILTER(Response_Lists!$B:$B,Response_Lists!$A:$A=$H304),4),""""))"),"")</f>
        <v/>
      </c>
      <c r="N304" s="28" t="str">
        <f>IFERROR(__xludf.DUMMYFUNCTION("IF($I303="""","""",IFERROR(INDEX(FILTER(Response_Lists!$B:$B,Response_Lists!$A:$A=$H304),5),""""))"),"")</f>
        <v/>
      </c>
      <c r="O304" s="28" t="str">
        <f>IFERROR(__xludf.DUMMYFUNCTION("IF($I303="""","""",IFERROR(INDEX(FILTER(Response_Lists!$B:$B,Response_Lists!$A:$A=$H304),6),""""))"),"")</f>
        <v/>
      </c>
      <c r="P304" s="28" t="str">
        <f t="shared" si="6"/>
        <v/>
      </c>
      <c r="Q304" s="28" t="str">
        <f t="array" ref="Q304">IF($I303="","",XLOOKUP(C304,FSM_State_Map!A:A,FSM_State_Map!D:D,""))</f>
        <v/>
      </c>
      <c r="R304" s="28" t="str">
        <f t="shared" si="7"/>
        <v/>
      </c>
      <c r="S304" s="28" t="str">
        <f t="array" ref="S304">IF($I303="","",
IF(
  AND(C304="B",C303&lt;&gt;"B"),
  XLOOKUP($B304,Derived_Variables!$A:$A,Derived_Variables!$K:$K,0)
  + XLOOKUP($B304,Derived_Variables!$A:$A,Derived_Variables!$AE:$AE,0),
  S303+AM303
))</f>
        <v/>
      </c>
      <c r="T304" s="28" t="str">
        <f t="shared" ref="T304:U304" si="618">IF($I303="","",T303+AN303)</f>
        <v/>
      </c>
      <c r="U304" s="28" t="str">
        <f t="shared" si="618"/>
        <v/>
      </c>
      <c r="V304" s="28" t="str">
        <f t="array" ref="V304">IF($I303="","",
IF(
  AND(C304="D",C303&lt;&gt;"D"),
  XLOOKUP($B304,Derived_Variables!$A:$A,Derived_Variables!$N:$N,0)
  + XLOOKUP($B304,Derived_Variables!$A:$A,Derived_Variables!$AE:$AE,0),
  V303+AP303
))</f>
        <v/>
      </c>
      <c r="W304" s="28" t="str">
        <f t="shared" ref="W304:X304" si="619">IF($I303="","",W303+AQ303)</f>
        <v/>
      </c>
      <c r="X304" s="28" t="str">
        <f t="shared" si="619"/>
        <v/>
      </c>
      <c r="Y304" s="28" t="str">
        <f t="array" ref="Y304">IF($I303="","",IF(AND(C304="P",C303&lt;&gt;"P"),IFERROR(XLOOKUP($B304,Lenso_Input!$A:$A,Lenso_Input!$E:$E,0),0),Y303+AS303))</f>
        <v/>
      </c>
      <c r="Z304" s="28" t="str">
        <f t="array" ref="Z304">IF($I303="","",IF(AND(C304="Q",C303&lt;&gt;"Q"),IFERROR(XLOOKUP($B304,Lenso_Input!$A:$A,Lenso_Input!$I:$I,0),0),Z303+AT303))</f>
        <v/>
      </c>
      <c r="AA304" s="28" t="str">
        <f t="array" ref="AA304">IF($I303="","",IF(XLOOKUP($B304,Derived_Variables!$A:$A,Derived_Variables!$R:$R,"6/6_target")="6/6_target","20_20_20","40_30_25"))</f>
        <v/>
      </c>
      <c r="AB304" s="28" t="str">
        <f t="array" ref="AB304">IF($I303="","",XLOOKUP(LOWER(XLOOKUP($B304,Derived_Variables!$A:$A,Derived_Variables!$T:$T,"Standard"))&amp;"_sph_step",Calibration!$B:$B,Calibration!$C:$C,0.25))</f>
        <v/>
      </c>
      <c r="AC304" s="28" t="str">
        <f t="array" ref="AC304">IF($I303="","",XLOOKUP(LOWER(XLOOKUP($B304,Derived_Variables!$A:$A,Derived_Variables!$T:$T,"Standard"))&amp;"_cyl_step",Calibration!$B:$B,Calibration!$C:$C,0.25))</f>
        <v/>
      </c>
      <c r="AD304" s="28" t="str">
        <f t="array" ref="AD304">IF($I303="","",IF(OR(C304="E",C304="H"),LET(startStep,XLOOKUP("axis_start_step",Calibration!$B:$B,Calibration!$C:$C,5),step1,XLOOKUP("axis_reversal_step_1",Calibration!$B:$B,Calibration!$C:$C,3),step2,XLOOKUP("axis_reversal_step_2",Calibration!$B:$B,Calibration!$C:$C,1),IF(OR(C303&lt;&gt;C304,AZ304="",AZ304="SAME",AZ304="CANT_TELL",I304="",I304="SAME",I304="CANT_TELL"),startStep,IF(OR(AND(AZ304="BETTER_1",I304="BETTER_2"),AND(AZ304="BETTER_2",I304="BETTER_1")),IF(AD303&gt;step1,step1,step2),AD303))),0))</f>
        <v/>
      </c>
      <c r="AE304" s="28" t="str">
        <f t="array" ref="AE304">IF($I303="","",XLOOKUP($B304,Derived_Variables!$A:$A,Derived_Variables!$AD:$AD,"No_Fog"))</f>
        <v/>
      </c>
      <c r="AF304" s="28" t="str">
        <f t="array" ref="AF304">IF($I303="","",XLOOKUP($B304,Derived_Variables!$A:$A,Derived_Variables!$AE:$AE,0))</f>
        <v/>
      </c>
      <c r="AG304" s="28" t="str">
        <f t="array" ref="AG304">IF($I303="","",XLOOKUP($B304,Derived_Variables!$A:$A,Derived_Variables!$AF:$AF,""))</f>
        <v/>
      </c>
      <c r="AH304" s="28" t="str">
        <f t="array" ref="AH304">IF($I303="","",XLOOKUP($B304,Derived_Variables!$A:$A,Derived_Variables!$AG:$AG,""))</f>
        <v/>
      </c>
      <c r="AI304" s="28" t="str">
        <f t="array" ref="AI304">IF($I303="","",XLOOKUP($B304,Derived_Variables!$A:$A,Derived_Variables!$AC:$AC,"Medium"))</f>
        <v/>
      </c>
      <c r="AJ304" s="28" t="str">
        <f t="array" ref="AJ304">IF($I303="","",XLOOKUP($B304,Derived_Variables!$A:$A,Derived_Variables!$Y:$Y,FALSE))</f>
        <v/>
      </c>
      <c r="AK304" s="28" t="str">
        <f t="array" ref="AK304">IF($I303="","",XLOOKUP($B304,Derived_Variables!$A:$A,Derived_Variables!$AA:$AA,"Normal"))</f>
        <v/>
      </c>
      <c r="AL304" s="28" t="str">
        <f t="array" ref="AL304">IF($I303="","",XLOOKUP($B304,Derived_Variables!$A:$A,Derived_Variables!$AB:$AB,"Normal"))</f>
        <v/>
      </c>
      <c r="AM304" s="28" t="str">
        <f t="array" ref="AM304">IF($I304="","",IFS(C304="B",IF(OR(I304="NOT_READABLE",I304="BLURRY"),-AB304,0),C304="G",IFS(I304="RED_CLEARER",XLOOKUP("duochrome_red_step",Calibration!$B:$B,Calibration!$C:$C,-0.25),I304="GREEN_CLEARER",XLOOKUP("duochrome_green_step",Calibration!$B:$B,Calibration!$C:$C,0.25),I304="EQUAL",IF(XLOOKUP($B304,Derived_Variables!$A:$A,Derived_Variables!$S:$S,"Neutral")="Undercorrect",XLOOKUP("undercorrect_step",Calibration!$B:$B,Calibration!$C:$C,0.25),IF(XLOOKUP($B304,Derived_Variables!$A:$A,Derived_Variables!$S:$S,"Neutral")="Overcorrect",-XLOOKUP("overcorrect_step",Calibration!$B:$B,Calibration!$C:$C,0.25),0)),TRUE,0),C304="K",IF(I304="TOP_CLEARER",XLOOKUP("bino_balance_step",Calibration!$B:$B,Calibration!$C:$C,0.25),0),TRUE,0))</f>
        <v/>
      </c>
      <c r="AN304" s="28" t="str">
        <f t="shared" si="10"/>
        <v/>
      </c>
      <c r="AO304" s="28" t="str">
        <f t="shared" si="11"/>
        <v/>
      </c>
      <c r="AP304" s="28" t="str">
        <f t="array" ref="AP304">IF($I304="","",IFS(C304="D",IF(OR(I304="NOT_READABLE",I304="BLURRY"),-AB304,0),C304="J",IFS(I304="RED_CLEARER",XLOOKUP("duochrome_red_step",Calibration!$B:$B,Calibration!$C:$C,-0.25),I304="GREEN_CLEARER",XLOOKUP("duochrome_green_step",Calibration!$B:$B,Calibration!$C:$C,0.25),I304="EQUAL",IF(XLOOKUP($B304,Derived_Variables!$A:$A,Derived_Variables!$S:$S,"Neutral")="Undercorrect",XLOOKUP("undercorrect_step",Calibration!$B:$B,Calibration!$C:$C,0.25),IF(XLOOKUP($B304,Derived_Variables!$A:$A,Derived_Variables!$S:$S,"Neutral")="Overcorrect",-XLOOKUP("overcorrect_step",Calibration!$B:$B,Calibration!$C:$C,0.25),0)),TRUE,0),C304="K",IF(I304="BOTTOM_CLEARER",XLOOKUP("bino_balance_step",Calibration!$B:$B,Calibration!$C:$C,0.25),0),TRUE,0))</f>
        <v/>
      </c>
      <c r="AQ304" s="28" t="str">
        <f t="shared" si="12"/>
        <v/>
      </c>
      <c r="AR304" s="28" t="str">
        <f t="shared" si="13"/>
        <v/>
      </c>
      <c r="AS304" s="28" t="str">
        <f t="array" ref="AS304">IF($I304="","",IF(C304="P",IF(OR(I304="NOT_READABLE",I304="BLURRY"),XLOOKUP("near_add_step",Calibration!$B:$B,Calibration!$C:$C,0.25),0),IF(C304="R",IF(I304="NOT_CLEAR",XLOOKUP("near_add_step",Calibration!$B:$B,Calibration!$C:$C,0.25),0),0)))</f>
        <v/>
      </c>
      <c r="AT304" s="28" t="str">
        <f t="array" ref="AT304">IF($I304="","",IF(C304="Q",IF(OR(I304="NOT_READABLE",I304="BLURRY"),XLOOKUP("near_add_step",Calibration!$B:$B,Calibration!$C:$C,0.25),0),IF(C304="R",IF(I304="NOT_CLEAR",XLOOKUP("near_add_step",Calibration!$B:$B,Calibration!$C:$C,0.25),0),0)))</f>
        <v/>
      </c>
      <c r="AU304" s="28" t="str">
        <f t="array" ref="AU304">IF($I304="","",IF(G304="SNELLEN_FEET",IF(I304="READABLE",IFERROR(XLOOKUP(XLOOKUP(R304,Chart_Scale_Distance!B:B,Chart_Scale_Distance!A:A)+1,Chart_Scale_Distance!A:A,Chart_Scale_Distance!B:B),R304),R304),R304))</f>
        <v/>
      </c>
      <c r="AV304" s="28" t="str">
        <f t="array" ref="AV304">IF($I303="","",IFERROR(XLOOKUP(R304,Chart_Scale_Distance!$B:$B,Chart_Scale_Distance!$A:$A,""),""))</f>
        <v/>
      </c>
      <c r="AW304" s="28" t="str">
        <f t="array" ref="AW304">IF($I303="","",IFERROR(XLOOKUP(AA304,Chart_Scale_Distance!$B:$B,Chart_Scale_Distance!$A:$A,""),""))</f>
        <v/>
      </c>
      <c r="AX304" s="28" t="str">
        <f t="shared" si="14"/>
        <v/>
      </c>
      <c r="AY304" s="28" t="str">
        <f t="shared" si="15"/>
        <v/>
      </c>
      <c r="AZ304" s="28" t="str">
        <f t="shared" si="16"/>
        <v/>
      </c>
      <c r="BA304" s="28" t="str">
        <f t="shared" si="17"/>
        <v/>
      </c>
      <c r="BB304" s="28" t="str">
        <f t="shared" si="18"/>
        <v/>
      </c>
      <c r="BC304" s="28" t="str">
        <f t="array" ref="BC304">IF($I304="","",LET(
conf,AI304,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duoMax,XLOOKUP($B304,Derived_Variables!$A:$A,Derived_Variables!$AI:$AI,4),
axisTol,XLOOKUP($B304,Derived_Variables!$A:$A,Derived_Variables!$W:$W,1),
maxStart,XLOOKUP($B304,Derived_Variables!$A:$A,Derived_Variables!$U:$U,1.25),
maxAR,XLOOKUP($B304,Derived_Variables!$A:$A,Derived_Variables!$V:$V,3),
anom,XLOOKUP($B304,Derived_Variables!$A:$A,Derived_Variables!$Z:$Z,FALSE),
reStart,XLOOKUP($B304,Derived_Variables!$A:$A,Derived_Variables!$K:$K,0),
leStart,XLOOKUP($B304,Derived_Variables!$A:$A,Derived_Variables!$N:$N,0),
reAR,XLOOKUP($B304,AR_Input!$A:$A,AR_Input!$B:$B,reStart),
leAR,XLOOKUP($B304,AR_Input!$A:$A,AR_Input!$E:$E,leStart),
reEsc,AND(anom,OR(ABS((S304+AM304)-reStart)&gt;maxStart,ABS((S304+AM304)-reAR)&gt;maxAR)),
leEsc,AND(anom,OR(ABS((V304+AP304)-leStart)&gt;maxStart,ABS((V304+AP304)-leAR)&gt;maxAR)),
phaseMax,IFS(
 AK304="Fast",
   IFS(
     OR(C304="B",C304="D"),XLOOKUP("timeout_coarse_fast",Calibration!$B:$B,Calibration!$C:$C,24),
     OR(C304="E",C304="F",C304="H",C304="I"),XLOOKUP("timeout_jcc_fast",Calibration!$B:$B,Calibration!$C:$C,10),
     OR(C304="G",C304="J"),XLOOKUP("timeout_duochrome_fast",Calibration!$B:$B,Calibration!$C:$C,8),
     C304="K",XLOOKUP("timeout_bino_fast",Calibration!$B:$B,Calibration!$C:$C,10),
     OR(C304="P",C304="Q",C304="R"),XLOOKUP("timeout_near_fast",Calibration!$B:$B,Calibration!$C:$C,16),
     TRUE,XLOOKUP("timeout_coarse_fast",Calibration!$B:$B,Calibration!$C:$C,24)
   ),
 AK304="Normal",
   IFS(
     OR(C304="B",C304="D"),XLOOKUP("timeout_coarse_normal",Calibration!$B:$B,Calibration!$C:$C,36),
     OR(C304="E",C304="F",C304="H",C304="I"),XLOOKUP("timeout_jcc_normal",Calibration!$B:$B,Calibration!$C:$C,14),
     OR(C304="G",C304="J"),XLOOKUP("timeout_duochrome_normal",Calibration!$B:$B,Calibration!$C:$C,10),
     C304="K",XLOOKUP("timeout_bino_normal",Calibration!$B:$B,Calibration!$C:$C,14),
     OR(C304="P",C304="Q",C304="R"),XLOOKUP("timeout_near_normal",Calibration!$B:$B,Calibration!$C:$C,22),
     TRUE,XLOOKUP("timeout_coarse_normal",Calibration!$B:$B,Calibration!$C:$C,36)
   ),
 TRUE,
   IFS(
     OR(C304="B",C304="D"),XLOOKUP("timeout_coarse_slow",Calibration!$B:$B,Calibration!$C:$C,48),
     OR(C304="E",C304="F",C304="H",C304="I"),XLOOKUP("timeout_jcc_slow",Calibration!$B:$B,Calibration!$C:$C,18),
     OR(C304="G",C304="J"),XLOOKUP("timeout_duochrome_slow",Calibration!$B:$B,Calibration!$C:$C,12),
     C304="K",XLOOKUP("timeout_bino_slow",Calibration!$B:$B,Calibration!$C:$C,18),
     OR(C304="P",C304="Q",C304="R"),XLOOKUP("timeout_near_slow",Calibration!$B:$B,Calibration!$C:$C,28),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AJ304=TRUE,"ESCALATE",
C304="A",
IF(OR(I304="NOT_READABLE",I304="BLURRY",AND(R304="20_20_20",I304="READABLE")),"B","A"),
C304="B",
IF(reEsc,"ESCALATE",IF(AY304&gt;=phaseMax,"ESCALATE",IF(AND(AV304&gt;=AW304,I304="READABLE"),"E","B"))),
C304="E",
IF(AY304&gt;=phaseMax,"ESCALATE",IF(OR(I304="SAME",I304="CANT_TELL",AD304&lt;axisTol),"F","E")),
C304="F",
IF(AY304&gt;=phaseMax,"ESCALATE",IF(AX304&gt;=powerSameN,"G","F")),
C304="G",
IF(AY304&gt;=phaseMax,"ESCALATE",IF(OR(AX304&gt;=duoEqualN,BB304&gt;=duoMax),"D","G")),
C304="D",
IF(leEsc,"ESCALATE",IF(AY304&gt;=phaseMax,"ESCALATE",IF(AND(AV304&gt;=AW304,I304="READABLE"),"H","D"))),
C304="H",
IF(AY304&gt;=phaseMax,"ESCALATE",IF(OR(I304="SAME",I304="CANT_TELL",AD304&lt;axisTol),"I","H")),
C304="I",
IF(AY304&gt;=phaseMax,"ESCALATE",IF(AX304&gt;=powerSameN,"J","I")),
C304="J",
IF(AY304&gt;=phaseMax,"ESCALATE",IF(OR(AX304&gt;=duoEqualN,BB304&gt;=duoMax),"K","J")),
C304="K",
IF(AY304&gt;=phaseMax,"ESCALATE",IF(AX304&gt;=binoSameN,IF(XLOOKUP($B304,Derived_Variables!$A:$A,Derived_Variables!$AJ:$AJ,FALSE)=TRUE,"P","END"),"K")),
C304="P",
IF(AY304&gt;=phaseMax,"ESCALATE",IF(OR(I304="READABLE",I304="SAME"),"Q","P")),
C304="Q",
IF(AY304&gt;=phaseMax,"ESCALATE",IF(OR(I304="READABLE",I304="SAME"),"R","Q")),
C304="R",
IF(AY304&gt;=phaseMax,"ESCALATE",IF(OR(I304=nearTarget,I304="SAME"),"END","R")),
TRUE,"END"
)))</f>
        <v/>
      </c>
      <c r="BD304" s="28" t="b">
        <f t="shared" si="19"/>
        <v>0</v>
      </c>
    </row>
    <row r="305" ht="15.75" customHeight="1">
      <c r="A305" s="28">
        <f t="shared" si="3"/>
        <v>304</v>
      </c>
      <c r="B305" s="28">
        <f t="shared" si="4"/>
        <v>6</v>
      </c>
      <c r="C305" s="28" t="str">
        <f t="shared" si="5"/>
        <v/>
      </c>
      <c r="D305" s="28" t="str">
        <f t="array" ref="D305">IF($I304="","",XLOOKUP(C305,FSM_State_Map!A:A,FSM_State_Map!B:B,""))</f>
        <v/>
      </c>
      <c r="E305" s="28" t="str">
        <f t="array" ref="E305">IF($I304="","",XLOOKUP(C305,FSM_State_Map!A:A,FSM_State_Map!C:C,""))</f>
        <v/>
      </c>
      <c r="F305" s="28" t="str">
        <f t="array" ref="F305">IF($I304="","",XLOOKUP(E305,Phase_UI_Map!A:A,Phase_UI_Map!B:B,""))</f>
        <v/>
      </c>
      <c r="G305" s="28" t="str">
        <f t="array" ref="G305">IF($I304="","",XLOOKUP(E305,Phase_UI_Map!A:A,Phase_UI_Map!C:C,""))</f>
        <v/>
      </c>
      <c r="H305" s="28" t="str">
        <f t="array" ref="H305">IF($I304="","",XLOOKUP(E305,Phase_UI_Map!A:A,Phase_UI_Map!D:D,""))</f>
        <v/>
      </c>
      <c r="I305" s="29"/>
      <c r="J305" s="28" t="str">
        <f>IFERROR(__xludf.DUMMYFUNCTION("IF($I304="""","""",IFERROR(INDEX(FILTER(Response_Lists!$B:$B,Response_Lists!$A:$A=$H305),1),""""))"),"")</f>
        <v/>
      </c>
      <c r="K305" s="28" t="str">
        <f>IFERROR(__xludf.DUMMYFUNCTION("IF($I304="""","""",IFERROR(INDEX(FILTER(Response_Lists!$B:$B,Response_Lists!$A:$A=$H305),2),""""))"),"")</f>
        <v/>
      </c>
      <c r="L305" s="28" t="str">
        <f>IFERROR(__xludf.DUMMYFUNCTION("IF($I304="""","""",IFERROR(INDEX(FILTER(Response_Lists!$B:$B,Response_Lists!$A:$A=$H305),3),""""))"),"")</f>
        <v/>
      </c>
      <c r="M305" s="28" t="str">
        <f>IFERROR(__xludf.DUMMYFUNCTION("IF($I304="""","""",IFERROR(INDEX(FILTER(Response_Lists!$B:$B,Response_Lists!$A:$A=$H305),4),""""))"),"")</f>
        <v/>
      </c>
      <c r="N305" s="28" t="str">
        <f>IFERROR(__xludf.DUMMYFUNCTION("IF($I304="""","""",IFERROR(INDEX(FILTER(Response_Lists!$B:$B,Response_Lists!$A:$A=$H305),5),""""))"),"")</f>
        <v/>
      </c>
      <c r="O305" s="28" t="str">
        <f>IFERROR(__xludf.DUMMYFUNCTION("IF($I304="""","""",IFERROR(INDEX(FILTER(Response_Lists!$B:$B,Response_Lists!$A:$A=$H305),6),""""))"),"")</f>
        <v/>
      </c>
      <c r="P305" s="28" t="str">
        <f t="shared" si="6"/>
        <v/>
      </c>
      <c r="Q305" s="28" t="str">
        <f t="array" ref="Q305">IF($I304="","",XLOOKUP(C305,FSM_State_Map!A:A,FSM_State_Map!D:D,""))</f>
        <v/>
      </c>
      <c r="R305" s="28" t="str">
        <f t="shared" si="7"/>
        <v/>
      </c>
      <c r="S305" s="28" t="str">
        <f t="array" ref="S305">IF($I304="","",
IF(
  AND(C305="B",C304&lt;&gt;"B"),
  XLOOKUP($B305,Derived_Variables!$A:$A,Derived_Variables!$K:$K,0)
  + XLOOKUP($B305,Derived_Variables!$A:$A,Derived_Variables!$AE:$AE,0),
  S304+AM304
))</f>
        <v/>
      </c>
      <c r="T305" s="28" t="str">
        <f t="shared" ref="T305:U305" si="620">IF($I304="","",T304+AN304)</f>
        <v/>
      </c>
      <c r="U305" s="28" t="str">
        <f t="shared" si="620"/>
        <v/>
      </c>
      <c r="V305" s="28" t="str">
        <f t="array" ref="V305">IF($I304="","",
IF(
  AND(C305="D",C304&lt;&gt;"D"),
  XLOOKUP($B305,Derived_Variables!$A:$A,Derived_Variables!$N:$N,0)
  + XLOOKUP($B305,Derived_Variables!$A:$A,Derived_Variables!$AE:$AE,0),
  V304+AP304
))</f>
        <v/>
      </c>
      <c r="W305" s="28" t="str">
        <f t="shared" ref="W305:X305" si="621">IF($I304="","",W304+AQ304)</f>
        <v/>
      </c>
      <c r="X305" s="28" t="str">
        <f t="shared" si="621"/>
        <v/>
      </c>
      <c r="Y305" s="28" t="str">
        <f t="array" ref="Y305">IF($I304="","",IF(AND(C305="P",C304&lt;&gt;"P"),IFERROR(XLOOKUP($B305,Lenso_Input!$A:$A,Lenso_Input!$E:$E,0),0),Y304+AS304))</f>
        <v/>
      </c>
      <c r="Z305" s="28" t="str">
        <f t="array" ref="Z305">IF($I304="","",IF(AND(C305="Q",C304&lt;&gt;"Q"),IFERROR(XLOOKUP($B305,Lenso_Input!$A:$A,Lenso_Input!$I:$I,0),0),Z304+AT304))</f>
        <v/>
      </c>
      <c r="AA305" s="28" t="str">
        <f t="array" ref="AA305">IF($I304="","",IF(XLOOKUP($B305,Derived_Variables!$A:$A,Derived_Variables!$R:$R,"6/6_target")="6/6_target","20_20_20","40_30_25"))</f>
        <v/>
      </c>
      <c r="AB305" s="28" t="str">
        <f t="array" ref="AB305">IF($I304="","",XLOOKUP(LOWER(XLOOKUP($B305,Derived_Variables!$A:$A,Derived_Variables!$T:$T,"Standard"))&amp;"_sph_step",Calibration!$B:$B,Calibration!$C:$C,0.25))</f>
        <v/>
      </c>
      <c r="AC305" s="28" t="str">
        <f t="array" ref="AC305">IF($I304="","",XLOOKUP(LOWER(XLOOKUP($B305,Derived_Variables!$A:$A,Derived_Variables!$T:$T,"Standard"))&amp;"_cyl_step",Calibration!$B:$B,Calibration!$C:$C,0.25))</f>
        <v/>
      </c>
      <c r="AD305" s="28" t="str">
        <f t="array" ref="AD305">IF($I304="","",IF(OR(C305="E",C305="H"),LET(startStep,XLOOKUP("axis_start_step",Calibration!$B:$B,Calibration!$C:$C,5),step1,XLOOKUP("axis_reversal_step_1",Calibration!$B:$B,Calibration!$C:$C,3),step2,XLOOKUP("axis_reversal_step_2",Calibration!$B:$B,Calibration!$C:$C,1),IF(OR(C304&lt;&gt;C305,AZ305="",AZ305="SAME",AZ305="CANT_TELL",I305="",I305="SAME",I305="CANT_TELL"),startStep,IF(OR(AND(AZ305="BETTER_1",I305="BETTER_2"),AND(AZ305="BETTER_2",I305="BETTER_1")),IF(AD304&gt;step1,step1,step2),AD304))),0))</f>
        <v/>
      </c>
      <c r="AE305" s="28" t="str">
        <f t="array" ref="AE305">IF($I304="","",XLOOKUP($B305,Derived_Variables!$A:$A,Derived_Variables!$AD:$AD,"No_Fog"))</f>
        <v/>
      </c>
      <c r="AF305" s="28" t="str">
        <f t="array" ref="AF305">IF($I304="","",XLOOKUP($B305,Derived_Variables!$A:$A,Derived_Variables!$AE:$AE,0))</f>
        <v/>
      </c>
      <c r="AG305" s="28" t="str">
        <f t="array" ref="AG305">IF($I304="","",XLOOKUP($B305,Derived_Variables!$A:$A,Derived_Variables!$AF:$AF,""))</f>
        <v/>
      </c>
      <c r="AH305" s="28" t="str">
        <f t="array" ref="AH305">IF($I304="","",XLOOKUP($B305,Derived_Variables!$A:$A,Derived_Variables!$AG:$AG,""))</f>
        <v/>
      </c>
      <c r="AI305" s="28" t="str">
        <f t="array" ref="AI305">IF($I304="","",XLOOKUP($B305,Derived_Variables!$A:$A,Derived_Variables!$AC:$AC,"Medium"))</f>
        <v/>
      </c>
      <c r="AJ305" s="28" t="str">
        <f t="array" ref="AJ305">IF($I304="","",XLOOKUP($B305,Derived_Variables!$A:$A,Derived_Variables!$Y:$Y,FALSE))</f>
        <v/>
      </c>
      <c r="AK305" s="28" t="str">
        <f t="array" ref="AK305">IF($I304="","",XLOOKUP($B305,Derived_Variables!$A:$A,Derived_Variables!$AA:$AA,"Normal"))</f>
        <v/>
      </c>
      <c r="AL305" s="28" t="str">
        <f t="array" ref="AL305">IF($I304="","",XLOOKUP($B305,Derived_Variables!$A:$A,Derived_Variables!$AB:$AB,"Normal"))</f>
        <v/>
      </c>
      <c r="AM305" s="28" t="str">
        <f t="array" ref="AM305">IF($I305="","",IFS(C305="B",IF(OR(I305="NOT_READABLE",I305="BLURRY"),-AB305,0),C305="G",IFS(I305="RED_CLEARER",XLOOKUP("duochrome_red_step",Calibration!$B:$B,Calibration!$C:$C,-0.25),I305="GREEN_CLEARER",XLOOKUP("duochrome_green_step",Calibration!$B:$B,Calibration!$C:$C,0.25),I305="EQUAL",IF(XLOOKUP($B305,Derived_Variables!$A:$A,Derived_Variables!$S:$S,"Neutral")="Undercorrect",XLOOKUP("undercorrect_step",Calibration!$B:$B,Calibration!$C:$C,0.25),IF(XLOOKUP($B305,Derived_Variables!$A:$A,Derived_Variables!$S:$S,"Neutral")="Overcorrect",-XLOOKUP("overcorrect_step",Calibration!$B:$B,Calibration!$C:$C,0.25),0)),TRUE,0),C305="K",IF(I305="TOP_CLEARER",XLOOKUP("bino_balance_step",Calibration!$B:$B,Calibration!$C:$C,0.25),0),TRUE,0))</f>
        <v/>
      </c>
      <c r="AN305" s="28" t="str">
        <f t="shared" si="10"/>
        <v/>
      </c>
      <c r="AO305" s="28" t="str">
        <f t="shared" si="11"/>
        <v/>
      </c>
      <c r="AP305" s="28" t="str">
        <f t="array" ref="AP305">IF($I305="","",IFS(C305="D",IF(OR(I305="NOT_READABLE",I305="BLURRY"),-AB305,0),C305="J",IFS(I305="RED_CLEARER",XLOOKUP("duochrome_red_step",Calibration!$B:$B,Calibration!$C:$C,-0.25),I305="GREEN_CLEARER",XLOOKUP("duochrome_green_step",Calibration!$B:$B,Calibration!$C:$C,0.25),I305="EQUAL",IF(XLOOKUP($B305,Derived_Variables!$A:$A,Derived_Variables!$S:$S,"Neutral")="Undercorrect",XLOOKUP("undercorrect_step",Calibration!$B:$B,Calibration!$C:$C,0.25),IF(XLOOKUP($B305,Derived_Variables!$A:$A,Derived_Variables!$S:$S,"Neutral")="Overcorrect",-XLOOKUP("overcorrect_step",Calibration!$B:$B,Calibration!$C:$C,0.25),0)),TRUE,0),C305="K",IF(I305="BOTTOM_CLEARER",XLOOKUP("bino_balance_step",Calibration!$B:$B,Calibration!$C:$C,0.25),0),TRUE,0))</f>
        <v/>
      </c>
      <c r="AQ305" s="28" t="str">
        <f t="shared" si="12"/>
        <v/>
      </c>
      <c r="AR305" s="28" t="str">
        <f t="shared" si="13"/>
        <v/>
      </c>
      <c r="AS305" s="28" t="str">
        <f t="array" ref="AS305">IF($I305="","",IF(C305="P",IF(OR(I305="NOT_READABLE",I305="BLURRY"),XLOOKUP("near_add_step",Calibration!$B:$B,Calibration!$C:$C,0.25),0),IF(C305="R",IF(I305="NOT_CLEAR",XLOOKUP("near_add_step",Calibration!$B:$B,Calibration!$C:$C,0.25),0),0)))</f>
        <v/>
      </c>
      <c r="AT305" s="28" t="str">
        <f t="array" ref="AT305">IF($I305="","",IF(C305="Q",IF(OR(I305="NOT_READABLE",I305="BLURRY"),XLOOKUP("near_add_step",Calibration!$B:$B,Calibration!$C:$C,0.25),0),IF(C305="R",IF(I305="NOT_CLEAR",XLOOKUP("near_add_step",Calibration!$B:$B,Calibration!$C:$C,0.25),0),0)))</f>
        <v/>
      </c>
      <c r="AU305" s="28" t="str">
        <f t="array" ref="AU305">IF($I305="","",IF(G305="SNELLEN_FEET",IF(I305="READABLE",IFERROR(XLOOKUP(XLOOKUP(R305,Chart_Scale_Distance!B:B,Chart_Scale_Distance!A:A)+1,Chart_Scale_Distance!A:A,Chart_Scale_Distance!B:B),R305),R305),R305))</f>
        <v/>
      </c>
      <c r="AV305" s="28" t="str">
        <f t="array" ref="AV305">IF($I304="","",IFERROR(XLOOKUP(R305,Chart_Scale_Distance!$B:$B,Chart_Scale_Distance!$A:$A,""),""))</f>
        <v/>
      </c>
      <c r="AW305" s="28" t="str">
        <f t="array" ref="AW305">IF($I304="","",IFERROR(XLOOKUP(AA305,Chart_Scale_Distance!$B:$B,Chart_Scale_Distance!$A:$A,""),""))</f>
        <v/>
      </c>
      <c r="AX305" s="28" t="str">
        <f t="shared" si="14"/>
        <v/>
      </c>
      <c r="AY305" s="28" t="str">
        <f t="shared" si="15"/>
        <v/>
      </c>
      <c r="AZ305" s="28" t="str">
        <f t="shared" si="16"/>
        <v/>
      </c>
      <c r="BA305" s="28" t="str">
        <f t="shared" si="17"/>
        <v/>
      </c>
      <c r="BB305" s="28" t="str">
        <f t="shared" si="18"/>
        <v/>
      </c>
      <c r="BC305" s="28" t="str">
        <f t="array" ref="BC305">IF($I305="","",LET(
conf,AI305,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duoMax,XLOOKUP($B305,Derived_Variables!$A:$A,Derived_Variables!$AI:$AI,4),
axisTol,XLOOKUP($B305,Derived_Variables!$A:$A,Derived_Variables!$W:$W,1),
maxStart,XLOOKUP($B305,Derived_Variables!$A:$A,Derived_Variables!$U:$U,1.25),
maxAR,XLOOKUP($B305,Derived_Variables!$A:$A,Derived_Variables!$V:$V,3),
anom,XLOOKUP($B305,Derived_Variables!$A:$A,Derived_Variables!$Z:$Z,FALSE),
reStart,XLOOKUP($B305,Derived_Variables!$A:$A,Derived_Variables!$K:$K,0),
leStart,XLOOKUP($B305,Derived_Variables!$A:$A,Derived_Variables!$N:$N,0),
reAR,XLOOKUP($B305,AR_Input!$A:$A,AR_Input!$B:$B,reStart),
leAR,XLOOKUP($B305,AR_Input!$A:$A,AR_Input!$E:$E,leStart),
reEsc,AND(anom,OR(ABS((S305+AM305)-reStart)&gt;maxStart,ABS((S305+AM305)-reAR)&gt;maxAR)),
leEsc,AND(anom,OR(ABS((V305+AP305)-leStart)&gt;maxStart,ABS((V305+AP305)-leAR)&gt;maxAR)),
phaseMax,IFS(
 AK305="Fast",
   IFS(
     OR(C305="B",C305="D"),XLOOKUP("timeout_coarse_fast",Calibration!$B:$B,Calibration!$C:$C,24),
     OR(C305="E",C305="F",C305="H",C305="I"),XLOOKUP("timeout_jcc_fast",Calibration!$B:$B,Calibration!$C:$C,10),
     OR(C305="G",C305="J"),XLOOKUP("timeout_duochrome_fast",Calibration!$B:$B,Calibration!$C:$C,8),
     C305="K",XLOOKUP("timeout_bino_fast",Calibration!$B:$B,Calibration!$C:$C,10),
     OR(C305="P",C305="Q",C305="R"),XLOOKUP("timeout_near_fast",Calibration!$B:$B,Calibration!$C:$C,16),
     TRUE,XLOOKUP("timeout_coarse_fast",Calibration!$B:$B,Calibration!$C:$C,24)
   ),
 AK305="Normal",
   IFS(
     OR(C305="B",C305="D"),XLOOKUP("timeout_coarse_normal",Calibration!$B:$B,Calibration!$C:$C,36),
     OR(C305="E",C305="F",C305="H",C305="I"),XLOOKUP("timeout_jcc_normal",Calibration!$B:$B,Calibration!$C:$C,14),
     OR(C305="G",C305="J"),XLOOKUP("timeout_duochrome_normal",Calibration!$B:$B,Calibration!$C:$C,10),
     C305="K",XLOOKUP("timeout_bino_normal",Calibration!$B:$B,Calibration!$C:$C,14),
     OR(C305="P",C305="Q",C305="R"),XLOOKUP("timeout_near_normal",Calibration!$B:$B,Calibration!$C:$C,22),
     TRUE,XLOOKUP("timeout_coarse_normal",Calibration!$B:$B,Calibration!$C:$C,36)
   ),
 TRUE,
   IFS(
     OR(C305="B",C305="D"),XLOOKUP("timeout_coarse_slow",Calibration!$B:$B,Calibration!$C:$C,48),
     OR(C305="E",C305="F",C305="H",C305="I"),XLOOKUP("timeout_jcc_slow",Calibration!$B:$B,Calibration!$C:$C,18),
     OR(C305="G",C305="J"),XLOOKUP("timeout_duochrome_slow",Calibration!$B:$B,Calibration!$C:$C,12),
     C305="K",XLOOKUP("timeout_bino_slow",Calibration!$B:$B,Calibration!$C:$C,18),
     OR(C305="P",C305="Q",C305="R"),XLOOKUP("timeout_near_slow",Calibration!$B:$B,Calibration!$C:$C,28),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AJ305=TRUE,"ESCALATE",
C305="A",
IF(OR(I305="NOT_READABLE",I305="BLURRY",AND(R305="20_20_20",I305="READABLE")),"B","A"),
C305="B",
IF(reEsc,"ESCALATE",IF(AY305&gt;=phaseMax,"ESCALATE",IF(AND(AV305&gt;=AW305,I305="READABLE"),"E","B"))),
C305="E",
IF(AY305&gt;=phaseMax,"ESCALATE",IF(OR(I305="SAME",I305="CANT_TELL",AD305&lt;axisTol),"F","E")),
C305="F",
IF(AY305&gt;=phaseMax,"ESCALATE",IF(AX305&gt;=powerSameN,"G","F")),
C305="G",
IF(AY305&gt;=phaseMax,"ESCALATE",IF(OR(AX305&gt;=duoEqualN,BB305&gt;=duoMax),"D","G")),
C305="D",
IF(leEsc,"ESCALATE",IF(AY305&gt;=phaseMax,"ESCALATE",IF(AND(AV305&gt;=AW305,I305="READABLE"),"H","D"))),
C305="H",
IF(AY305&gt;=phaseMax,"ESCALATE",IF(OR(I305="SAME",I305="CANT_TELL",AD305&lt;axisTol),"I","H")),
C305="I",
IF(AY305&gt;=phaseMax,"ESCALATE",IF(AX305&gt;=powerSameN,"J","I")),
C305="J",
IF(AY305&gt;=phaseMax,"ESCALATE",IF(OR(AX305&gt;=duoEqualN,BB305&gt;=duoMax),"K","J")),
C305="K",
IF(AY305&gt;=phaseMax,"ESCALATE",IF(AX305&gt;=binoSameN,IF(XLOOKUP($B305,Derived_Variables!$A:$A,Derived_Variables!$AJ:$AJ,FALSE)=TRUE,"P","END"),"K")),
C305="P",
IF(AY305&gt;=phaseMax,"ESCALATE",IF(OR(I305="READABLE",I305="SAME"),"Q","P")),
C305="Q",
IF(AY305&gt;=phaseMax,"ESCALATE",IF(OR(I305="READABLE",I305="SAME"),"R","Q")),
C305="R",
IF(AY305&gt;=phaseMax,"ESCALATE",IF(OR(I305=nearTarget,I305="SAME"),"END","R")),
TRUE,"END"
)))</f>
        <v/>
      </c>
      <c r="BD305" s="28" t="b">
        <f t="shared" si="19"/>
        <v>0</v>
      </c>
    </row>
    <row r="306" ht="15.75" customHeight="1">
      <c r="A306" s="28">
        <f t="shared" si="3"/>
        <v>305</v>
      </c>
      <c r="B306" s="28">
        <f t="shared" si="4"/>
        <v>6</v>
      </c>
      <c r="C306" s="28" t="str">
        <f t="shared" si="5"/>
        <v/>
      </c>
      <c r="D306" s="28" t="str">
        <f t="array" ref="D306">IF($I305="","",XLOOKUP(C306,FSM_State_Map!A:A,FSM_State_Map!B:B,""))</f>
        <v/>
      </c>
      <c r="E306" s="28" t="str">
        <f t="array" ref="E306">IF($I305="","",XLOOKUP(C306,FSM_State_Map!A:A,FSM_State_Map!C:C,""))</f>
        <v/>
      </c>
      <c r="F306" s="28" t="str">
        <f t="array" ref="F306">IF($I305="","",XLOOKUP(E306,Phase_UI_Map!A:A,Phase_UI_Map!B:B,""))</f>
        <v/>
      </c>
      <c r="G306" s="28" t="str">
        <f t="array" ref="G306">IF($I305="","",XLOOKUP(E306,Phase_UI_Map!A:A,Phase_UI_Map!C:C,""))</f>
        <v/>
      </c>
      <c r="H306" s="28" t="str">
        <f t="array" ref="H306">IF($I305="","",XLOOKUP(E306,Phase_UI_Map!A:A,Phase_UI_Map!D:D,""))</f>
        <v/>
      </c>
      <c r="I306" s="29"/>
      <c r="J306" s="28" t="str">
        <f>IFERROR(__xludf.DUMMYFUNCTION("IF($I305="""","""",IFERROR(INDEX(FILTER(Response_Lists!$B:$B,Response_Lists!$A:$A=$H306),1),""""))"),"")</f>
        <v/>
      </c>
      <c r="K306" s="28" t="str">
        <f>IFERROR(__xludf.DUMMYFUNCTION("IF($I305="""","""",IFERROR(INDEX(FILTER(Response_Lists!$B:$B,Response_Lists!$A:$A=$H306),2),""""))"),"")</f>
        <v/>
      </c>
      <c r="L306" s="28" t="str">
        <f>IFERROR(__xludf.DUMMYFUNCTION("IF($I305="""","""",IFERROR(INDEX(FILTER(Response_Lists!$B:$B,Response_Lists!$A:$A=$H306),3),""""))"),"")</f>
        <v/>
      </c>
      <c r="M306" s="28" t="str">
        <f>IFERROR(__xludf.DUMMYFUNCTION("IF($I305="""","""",IFERROR(INDEX(FILTER(Response_Lists!$B:$B,Response_Lists!$A:$A=$H306),4),""""))"),"")</f>
        <v/>
      </c>
      <c r="N306" s="28" t="str">
        <f>IFERROR(__xludf.DUMMYFUNCTION("IF($I305="""","""",IFERROR(INDEX(FILTER(Response_Lists!$B:$B,Response_Lists!$A:$A=$H306),5),""""))"),"")</f>
        <v/>
      </c>
      <c r="O306" s="28" t="str">
        <f>IFERROR(__xludf.DUMMYFUNCTION("IF($I305="""","""",IFERROR(INDEX(FILTER(Response_Lists!$B:$B,Response_Lists!$A:$A=$H306),6),""""))"),"")</f>
        <v/>
      </c>
      <c r="P306" s="28" t="str">
        <f t="shared" si="6"/>
        <v/>
      </c>
      <c r="Q306" s="28" t="str">
        <f t="array" ref="Q306">IF($I305="","",XLOOKUP(C306,FSM_State_Map!A:A,FSM_State_Map!D:D,""))</f>
        <v/>
      </c>
      <c r="R306" s="28" t="str">
        <f t="shared" si="7"/>
        <v/>
      </c>
      <c r="S306" s="28" t="str">
        <f t="array" ref="S306">IF($I305="","",
IF(
  AND(C306="B",C305&lt;&gt;"B"),
  XLOOKUP($B306,Derived_Variables!$A:$A,Derived_Variables!$K:$K,0)
  + XLOOKUP($B306,Derived_Variables!$A:$A,Derived_Variables!$AE:$AE,0),
  S305+AM305
))</f>
        <v/>
      </c>
      <c r="T306" s="28" t="str">
        <f t="shared" ref="T306:U306" si="622">IF($I305="","",T305+AN305)</f>
        <v/>
      </c>
      <c r="U306" s="28" t="str">
        <f t="shared" si="622"/>
        <v/>
      </c>
      <c r="V306" s="28" t="str">
        <f t="array" ref="V306">IF($I305="","",
IF(
  AND(C306="D",C305&lt;&gt;"D"),
  XLOOKUP($B306,Derived_Variables!$A:$A,Derived_Variables!$N:$N,0)
  + XLOOKUP($B306,Derived_Variables!$A:$A,Derived_Variables!$AE:$AE,0),
  V305+AP305
))</f>
        <v/>
      </c>
      <c r="W306" s="28" t="str">
        <f t="shared" ref="W306:X306" si="623">IF($I305="","",W305+AQ305)</f>
        <v/>
      </c>
      <c r="X306" s="28" t="str">
        <f t="shared" si="623"/>
        <v/>
      </c>
      <c r="Y306" s="28" t="str">
        <f t="array" ref="Y306">IF($I305="","",IF(AND(C306="P",C305&lt;&gt;"P"),IFERROR(XLOOKUP($B306,Lenso_Input!$A:$A,Lenso_Input!$E:$E,0),0),Y305+AS305))</f>
        <v/>
      </c>
      <c r="Z306" s="28" t="str">
        <f t="array" ref="Z306">IF($I305="","",IF(AND(C306="Q",C305&lt;&gt;"Q"),IFERROR(XLOOKUP($B306,Lenso_Input!$A:$A,Lenso_Input!$I:$I,0),0),Z305+AT305))</f>
        <v/>
      </c>
      <c r="AA306" s="28" t="str">
        <f t="array" ref="AA306">IF($I305="","",IF(XLOOKUP($B306,Derived_Variables!$A:$A,Derived_Variables!$R:$R,"6/6_target")="6/6_target","20_20_20","40_30_25"))</f>
        <v/>
      </c>
      <c r="AB306" s="28" t="str">
        <f t="array" ref="AB306">IF($I305="","",XLOOKUP(LOWER(XLOOKUP($B306,Derived_Variables!$A:$A,Derived_Variables!$T:$T,"Standard"))&amp;"_sph_step",Calibration!$B:$B,Calibration!$C:$C,0.25))</f>
        <v/>
      </c>
      <c r="AC306" s="28" t="str">
        <f t="array" ref="AC306">IF($I305="","",XLOOKUP(LOWER(XLOOKUP($B306,Derived_Variables!$A:$A,Derived_Variables!$T:$T,"Standard"))&amp;"_cyl_step",Calibration!$B:$B,Calibration!$C:$C,0.25))</f>
        <v/>
      </c>
      <c r="AD306" s="28" t="str">
        <f t="array" ref="AD306">IF($I305="","",IF(OR(C306="E",C306="H"),LET(startStep,XLOOKUP("axis_start_step",Calibration!$B:$B,Calibration!$C:$C,5),step1,XLOOKUP("axis_reversal_step_1",Calibration!$B:$B,Calibration!$C:$C,3),step2,XLOOKUP("axis_reversal_step_2",Calibration!$B:$B,Calibration!$C:$C,1),IF(OR(C305&lt;&gt;C306,AZ306="",AZ306="SAME",AZ306="CANT_TELL",I306="",I306="SAME",I306="CANT_TELL"),startStep,IF(OR(AND(AZ306="BETTER_1",I306="BETTER_2"),AND(AZ306="BETTER_2",I306="BETTER_1")),IF(AD305&gt;step1,step1,step2),AD305))),0))</f>
        <v/>
      </c>
      <c r="AE306" s="28" t="str">
        <f t="array" ref="AE306">IF($I305="","",XLOOKUP($B306,Derived_Variables!$A:$A,Derived_Variables!$AD:$AD,"No_Fog"))</f>
        <v/>
      </c>
      <c r="AF306" s="28" t="str">
        <f t="array" ref="AF306">IF($I305="","",XLOOKUP($B306,Derived_Variables!$A:$A,Derived_Variables!$AE:$AE,0))</f>
        <v/>
      </c>
      <c r="AG306" s="28" t="str">
        <f t="array" ref="AG306">IF($I305="","",XLOOKUP($B306,Derived_Variables!$A:$A,Derived_Variables!$AF:$AF,""))</f>
        <v/>
      </c>
      <c r="AH306" s="28" t="str">
        <f t="array" ref="AH306">IF($I305="","",XLOOKUP($B306,Derived_Variables!$A:$A,Derived_Variables!$AG:$AG,""))</f>
        <v/>
      </c>
      <c r="AI306" s="28" t="str">
        <f t="array" ref="AI306">IF($I305="","",XLOOKUP($B306,Derived_Variables!$A:$A,Derived_Variables!$AC:$AC,"Medium"))</f>
        <v/>
      </c>
      <c r="AJ306" s="28" t="str">
        <f t="array" ref="AJ306">IF($I305="","",XLOOKUP($B306,Derived_Variables!$A:$A,Derived_Variables!$Y:$Y,FALSE))</f>
        <v/>
      </c>
      <c r="AK306" s="28" t="str">
        <f t="array" ref="AK306">IF($I305="","",XLOOKUP($B306,Derived_Variables!$A:$A,Derived_Variables!$AA:$AA,"Normal"))</f>
        <v/>
      </c>
      <c r="AL306" s="28" t="str">
        <f t="array" ref="AL306">IF($I305="","",XLOOKUP($B306,Derived_Variables!$A:$A,Derived_Variables!$AB:$AB,"Normal"))</f>
        <v/>
      </c>
      <c r="AM306" s="28" t="str">
        <f t="array" ref="AM306">IF($I306="","",IFS(C306="B",IF(OR(I306="NOT_READABLE",I306="BLURRY"),-AB306,0),C306="G",IFS(I306="RED_CLEARER",XLOOKUP("duochrome_red_step",Calibration!$B:$B,Calibration!$C:$C,-0.25),I306="GREEN_CLEARER",XLOOKUP("duochrome_green_step",Calibration!$B:$B,Calibration!$C:$C,0.25),I306="EQUAL",IF(XLOOKUP($B306,Derived_Variables!$A:$A,Derived_Variables!$S:$S,"Neutral")="Undercorrect",XLOOKUP("undercorrect_step",Calibration!$B:$B,Calibration!$C:$C,0.25),IF(XLOOKUP($B306,Derived_Variables!$A:$A,Derived_Variables!$S:$S,"Neutral")="Overcorrect",-XLOOKUP("overcorrect_step",Calibration!$B:$B,Calibration!$C:$C,0.25),0)),TRUE,0),C306="K",IF(I306="TOP_CLEARER",XLOOKUP("bino_balance_step",Calibration!$B:$B,Calibration!$C:$C,0.25),0),TRUE,0))</f>
        <v/>
      </c>
      <c r="AN306" s="28" t="str">
        <f t="shared" si="10"/>
        <v/>
      </c>
      <c r="AO306" s="28" t="str">
        <f t="shared" si="11"/>
        <v/>
      </c>
      <c r="AP306" s="28" t="str">
        <f t="array" ref="AP306">IF($I306="","",IFS(C306="D",IF(OR(I306="NOT_READABLE",I306="BLURRY"),-AB306,0),C306="J",IFS(I306="RED_CLEARER",XLOOKUP("duochrome_red_step",Calibration!$B:$B,Calibration!$C:$C,-0.25),I306="GREEN_CLEARER",XLOOKUP("duochrome_green_step",Calibration!$B:$B,Calibration!$C:$C,0.25),I306="EQUAL",IF(XLOOKUP($B306,Derived_Variables!$A:$A,Derived_Variables!$S:$S,"Neutral")="Undercorrect",XLOOKUP("undercorrect_step",Calibration!$B:$B,Calibration!$C:$C,0.25),IF(XLOOKUP($B306,Derived_Variables!$A:$A,Derived_Variables!$S:$S,"Neutral")="Overcorrect",-XLOOKUP("overcorrect_step",Calibration!$B:$B,Calibration!$C:$C,0.25),0)),TRUE,0),C306="K",IF(I306="BOTTOM_CLEARER",XLOOKUP("bino_balance_step",Calibration!$B:$B,Calibration!$C:$C,0.25),0),TRUE,0))</f>
        <v/>
      </c>
      <c r="AQ306" s="28" t="str">
        <f t="shared" si="12"/>
        <v/>
      </c>
      <c r="AR306" s="28" t="str">
        <f t="shared" si="13"/>
        <v/>
      </c>
      <c r="AS306" s="28" t="str">
        <f t="array" ref="AS306">IF($I306="","",IF(C306="P",IF(OR(I306="NOT_READABLE",I306="BLURRY"),XLOOKUP("near_add_step",Calibration!$B:$B,Calibration!$C:$C,0.25),0),IF(C306="R",IF(I306="NOT_CLEAR",XLOOKUP("near_add_step",Calibration!$B:$B,Calibration!$C:$C,0.25),0),0)))</f>
        <v/>
      </c>
      <c r="AT306" s="28" t="str">
        <f t="array" ref="AT306">IF($I306="","",IF(C306="Q",IF(OR(I306="NOT_READABLE",I306="BLURRY"),XLOOKUP("near_add_step",Calibration!$B:$B,Calibration!$C:$C,0.25),0),IF(C306="R",IF(I306="NOT_CLEAR",XLOOKUP("near_add_step",Calibration!$B:$B,Calibration!$C:$C,0.25),0),0)))</f>
        <v/>
      </c>
      <c r="AU306" s="28" t="str">
        <f t="array" ref="AU306">IF($I306="","",IF(G306="SNELLEN_FEET",IF(I306="READABLE",IFERROR(XLOOKUP(XLOOKUP(R306,Chart_Scale_Distance!B:B,Chart_Scale_Distance!A:A)+1,Chart_Scale_Distance!A:A,Chart_Scale_Distance!B:B),R306),R306),R306))</f>
        <v/>
      </c>
      <c r="AV306" s="28" t="str">
        <f t="array" ref="AV306">IF($I305="","",IFERROR(XLOOKUP(R306,Chart_Scale_Distance!$B:$B,Chart_Scale_Distance!$A:$A,""),""))</f>
        <v/>
      </c>
      <c r="AW306" s="28" t="str">
        <f t="array" ref="AW306">IF($I305="","",IFERROR(XLOOKUP(AA306,Chart_Scale_Distance!$B:$B,Chart_Scale_Distance!$A:$A,""),""))</f>
        <v/>
      </c>
      <c r="AX306" s="28" t="str">
        <f t="shared" si="14"/>
        <v/>
      </c>
      <c r="AY306" s="28" t="str">
        <f t="shared" si="15"/>
        <v/>
      </c>
      <c r="AZ306" s="28" t="str">
        <f t="shared" si="16"/>
        <v/>
      </c>
      <c r="BA306" s="28" t="str">
        <f t="shared" si="17"/>
        <v/>
      </c>
      <c r="BB306" s="28" t="str">
        <f t="shared" si="18"/>
        <v/>
      </c>
      <c r="BC306" s="28" t="str">
        <f t="array" ref="BC306">IF($I306="","",LET(
conf,AI306,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duoMax,XLOOKUP($B306,Derived_Variables!$A:$A,Derived_Variables!$AI:$AI,4),
axisTol,XLOOKUP($B306,Derived_Variables!$A:$A,Derived_Variables!$W:$W,1),
maxStart,XLOOKUP($B306,Derived_Variables!$A:$A,Derived_Variables!$U:$U,1.25),
maxAR,XLOOKUP($B306,Derived_Variables!$A:$A,Derived_Variables!$V:$V,3),
anom,XLOOKUP($B306,Derived_Variables!$A:$A,Derived_Variables!$Z:$Z,FALSE),
reStart,XLOOKUP($B306,Derived_Variables!$A:$A,Derived_Variables!$K:$K,0),
leStart,XLOOKUP($B306,Derived_Variables!$A:$A,Derived_Variables!$N:$N,0),
reAR,XLOOKUP($B306,AR_Input!$A:$A,AR_Input!$B:$B,reStart),
leAR,XLOOKUP($B306,AR_Input!$A:$A,AR_Input!$E:$E,leStart),
reEsc,AND(anom,OR(ABS((S306+AM306)-reStart)&gt;maxStart,ABS((S306+AM306)-reAR)&gt;maxAR)),
leEsc,AND(anom,OR(ABS((V306+AP306)-leStart)&gt;maxStart,ABS((V306+AP306)-leAR)&gt;maxAR)),
phaseMax,IFS(
 AK306="Fast",
   IFS(
     OR(C306="B",C306="D"),XLOOKUP("timeout_coarse_fast",Calibration!$B:$B,Calibration!$C:$C,24),
     OR(C306="E",C306="F",C306="H",C306="I"),XLOOKUP("timeout_jcc_fast",Calibration!$B:$B,Calibration!$C:$C,10),
     OR(C306="G",C306="J"),XLOOKUP("timeout_duochrome_fast",Calibration!$B:$B,Calibration!$C:$C,8),
     C306="K",XLOOKUP("timeout_bino_fast",Calibration!$B:$B,Calibration!$C:$C,10),
     OR(C306="P",C306="Q",C306="R"),XLOOKUP("timeout_near_fast",Calibration!$B:$B,Calibration!$C:$C,16),
     TRUE,XLOOKUP("timeout_coarse_fast",Calibration!$B:$B,Calibration!$C:$C,24)
   ),
 AK306="Normal",
   IFS(
     OR(C306="B",C306="D"),XLOOKUP("timeout_coarse_normal",Calibration!$B:$B,Calibration!$C:$C,36),
     OR(C306="E",C306="F",C306="H",C306="I"),XLOOKUP("timeout_jcc_normal",Calibration!$B:$B,Calibration!$C:$C,14),
     OR(C306="G",C306="J"),XLOOKUP("timeout_duochrome_normal",Calibration!$B:$B,Calibration!$C:$C,10),
     C306="K",XLOOKUP("timeout_bino_normal",Calibration!$B:$B,Calibration!$C:$C,14),
     OR(C306="P",C306="Q",C306="R"),XLOOKUP("timeout_near_normal",Calibration!$B:$B,Calibration!$C:$C,22),
     TRUE,XLOOKUP("timeout_coarse_normal",Calibration!$B:$B,Calibration!$C:$C,36)
   ),
 TRUE,
   IFS(
     OR(C306="B",C306="D"),XLOOKUP("timeout_coarse_slow",Calibration!$B:$B,Calibration!$C:$C,48),
     OR(C306="E",C306="F",C306="H",C306="I"),XLOOKUP("timeout_jcc_slow",Calibration!$B:$B,Calibration!$C:$C,18),
     OR(C306="G",C306="J"),XLOOKUP("timeout_duochrome_slow",Calibration!$B:$B,Calibration!$C:$C,12),
     C306="K",XLOOKUP("timeout_bino_slow",Calibration!$B:$B,Calibration!$C:$C,18),
     OR(C306="P",C306="Q",C306="R"),XLOOKUP("timeout_near_slow",Calibration!$B:$B,Calibration!$C:$C,28),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AJ306=TRUE,"ESCALATE",
C306="A",
IF(OR(I306="NOT_READABLE",I306="BLURRY",AND(R306="20_20_20",I306="READABLE")),"B","A"),
C306="B",
IF(reEsc,"ESCALATE",IF(AY306&gt;=phaseMax,"ESCALATE",IF(AND(AV306&gt;=AW306,I306="READABLE"),"E","B"))),
C306="E",
IF(AY306&gt;=phaseMax,"ESCALATE",IF(OR(I306="SAME",I306="CANT_TELL",AD306&lt;axisTol),"F","E")),
C306="F",
IF(AY306&gt;=phaseMax,"ESCALATE",IF(AX306&gt;=powerSameN,"G","F")),
C306="G",
IF(AY306&gt;=phaseMax,"ESCALATE",IF(OR(AX306&gt;=duoEqualN,BB306&gt;=duoMax),"D","G")),
C306="D",
IF(leEsc,"ESCALATE",IF(AY306&gt;=phaseMax,"ESCALATE",IF(AND(AV306&gt;=AW306,I306="READABLE"),"H","D"))),
C306="H",
IF(AY306&gt;=phaseMax,"ESCALATE",IF(OR(I306="SAME",I306="CANT_TELL",AD306&lt;axisTol),"I","H")),
C306="I",
IF(AY306&gt;=phaseMax,"ESCALATE",IF(AX306&gt;=powerSameN,"J","I")),
C306="J",
IF(AY306&gt;=phaseMax,"ESCALATE",IF(OR(AX306&gt;=duoEqualN,BB306&gt;=duoMax),"K","J")),
C306="K",
IF(AY306&gt;=phaseMax,"ESCALATE",IF(AX306&gt;=binoSameN,IF(XLOOKUP($B306,Derived_Variables!$A:$A,Derived_Variables!$AJ:$AJ,FALSE)=TRUE,"P","END"),"K")),
C306="P",
IF(AY306&gt;=phaseMax,"ESCALATE",IF(OR(I306="READABLE",I306="SAME"),"Q","P")),
C306="Q",
IF(AY306&gt;=phaseMax,"ESCALATE",IF(OR(I306="READABLE",I306="SAME"),"R","Q")),
C306="R",
IF(AY306&gt;=phaseMax,"ESCALATE",IF(OR(I306=nearTarget,I306="SAME"),"END","R")),
TRUE,"END"
)))</f>
        <v/>
      </c>
      <c r="BD306" s="28" t="b">
        <f t="shared" si="19"/>
        <v>0</v>
      </c>
    </row>
    <row r="307" ht="15.75" customHeight="1">
      <c r="A307" s="28">
        <f t="shared" si="3"/>
        <v>306</v>
      </c>
      <c r="B307" s="28">
        <f t="shared" si="4"/>
        <v>6</v>
      </c>
      <c r="C307" s="28" t="str">
        <f t="shared" si="5"/>
        <v/>
      </c>
      <c r="D307" s="28" t="str">
        <f t="array" ref="D307">IF($I306="","",XLOOKUP(C307,FSM_State_Map!A:A,FSM_State_Map!B:B,""))</f>
        <v/>
      </c>
      <c r="E307" s="28" t="str">
        <f t="array" ref="E307">IF($I306="","",XLOOKUP(C307,FSM_State_Map!A:A,FSM_State_Map!C:C,""))</f>
        <v/>
      </c>
      <c r="F307" s="28" t="str">
        <f t="array" ref="F307">IF($I306="","",XLOOKUP(E307,Phase_UI_Map!A:A,Phase_UI_Map!B:B,""))</f>
        <v/>
      </c>
      <c r="G307" s="28" t="str">
        <f t="array" ref="G307">IF($I306="","",XLOOKUP(E307,Phase_UI_Map!A:A,Phase_UI_Map!C:C,""))</f>
        <v/>
      </c>
      <c r="H307" s="28" t="str">
        <f t="array" ref="H307">IF($I306="","",XLOOKUP(E307,Phase_UI_Map!A:A,Phase_UI_Map!D:D,""))</f>
        <v/>
      </c>
      <c r="I307" s="29"/>
      <c r="J307" s="28" t="str">
        <f>IFERROR(__xludf.DUMMYFUNCTION("IF($I306="""","""",IFERROR(INDEX(FILTER(Response_Lists!$B:$B,Response_Lists!$A:$A=$H307),1),""""))"),"")</f>
        <v/>
      </c>
      <c r="K307" s="28" t="str">
        <f>IFERROR(__xludf.DUMMYFUNCTION("IF($I306="""","""",IFERROR(INDEX(FILTER(Response_Lists!$B:$B,Response_Lists!$A:$A=$H307),2),""""))"),"")</f>
        <v/>
      </c>
      <c r="L307" s="28" t="str">
        <f>IFERROR(__xludf.DUMMYFUNCTION("IF($I306="""","""",IFERROR(INDEX(FILTER(Response_Lists!$B:$B,Response_Lists!$A:$A=$H307),3),""""))"),"")</f>
        <v/>
      </c>
      <c r="M307" s="28" t="str">
        <f>IFERROR(__xludf.DUMMYFUNCTION("IF($I306="""","""",IFERROR(INDEX(FILTER(Response_Lists!$B:$B,Response_Lists!$A:$A=$H307),4),""""))"),"")</f>
        <v/>
      </c>
      <c r="N307" s="28" t="str">
        <f>IFERROR(__xludf.DUMMYFUNCTION("IF($I306="""","""",IFERROR(INDEX(FILTER(Response_Lists!$B:$B,Response_Lists!$A:$A=$H307),5),""""))"),"")</f>
        <v/>
      </c>
      <c r="O307" s="28" t="str">
        <f>IFERROR(__xludf.DUMMYFUNCTION("IF($I306="""","""",IFERROR(INDEX(FILTER(Response_Lists!$B:$B,Response_Lists!$A:$A=$H307),6),""""))"),"")</f>
        <v/>
      </c>
      <c r="P307" s="28" t="str">
        <f t="shared" si="6"/>
        <v/>
      </c>
      <c r="Q307" s="28" t="str">
        <f t="array" ref="Q307">IF($I306="","",XLOOKUP(C307,FSM_State_Map!A:A,FSM_State_Map!D:D,""))</f>
        <v/>
      </c>
      <c r="R307" s="28" t="str">
        <f t="shared" si="7"/>
        <v/>
      </c>
      <c r="S307" s="28" t="str">
        <f t="array" ref="S307">IF($I306="","",
IF(
  AND(C307="B",C306&lt;&gt;"B"),
  XLOOKUP($B307,Derived_Variables!$A:$A,Derived_Variables!$K:$K,0)
  + XLOOKUP($B307,Derived_Variables!$A:$A,Derived_Variables!$AE:$AE,0),
  S306+AM306
))</f>
        <v/>
      </c>
      <c r="T307" s="28" t="str">
        <f t="shared" ref="T307:U307" si="624">IF($I306="","",T306+AN306)</f>
        <v/>
      </c>
      <c r="U307" s="28" t="str">
        <f t="shared" si="624"/>
        <v/>
      </c>
      <c r="V307" s="28" t="str">
        <f t="array" ref="V307">IF($I306="","",
IF(
  AND(C307="D",C306&lt;&gt;"D"),
  XLOOKUP($B307,Derived_Variables!$A:$A,Derived_Variables!$N:$N,0)
  + XLOOKUP($B307,Derived_Variables!$A:$A,Derived_Variables!$AE:$AE,0),
  V306+AP306
))</f>
        <v/>
      </c>
      <c r="W307" s="28" t="str">
        <f t="shared" ref="W307:X307" si="625">IF($I306="","",W306+AQ306)</f>
        <v/>
      </c>
      <c r="X307" s="28" t="str">
        <f t="shared" si="625"/>
        <v/>
      </c>
      <c r="Y307" s="28" t="str">
        <f t="array" ref="Y307">IF($I306="","",IF(AND(C307="P",C306&lt;&gt;"P"),IFERROR(XLOOKUP($B307,Lenso_Input!$A:$A,Lenso_Input!$E:$E,0),0),Y306+AS306))</f>
        <v/>
      </c>
      <c r="Z307" s="28" t="str">
        <f t="array" ref="Z307">IF($I306="","",IF(AND(C307="Q",C306&lt;&gt;"Q"),IFERROR(XLOOKUP($B307,Lenso_Input!$A:$A,Lenso_Input!$I:$I,0),0),Z306+AT306))</f>
        <v/>
      </c>
      <c r="AA307" s="28" t="str">
        <f t="array" ref="AA307">IF($I306="","",IF(XLOOKUP($B307,Derived_Variables!$A:$A,Derived_Variables!$R:$R,"6/6_target")="6/6_target","20_20_20","40_30_25"))</f>
        <v/>
      </c>
      <c r="AB307" s="28" t="str">
        <f t="array" ref="AB307">IF($I306="","",XLOOKUP(LOWER(XLOOKUP($B307,Derived_Variables!$A:$A,Derived_Variables!$T:$T,"Standard"))&amp;"_sph_step",Calibration!$B:$B,Calibration!$C:$C,0.25))</f>
        <v/>
      </c>
      <c r="AC307" s="28" t="str">
        <f t="array" ref="AC307">IF($I306="","",XLOOKUP(LOWER(XLOOKUP($B307,Derived_Variables!$A:$A,Derived_Variables!$T:$T,"Standard"))&amp;"_cyl_step",Calibration!$B:$B,Calibration!$C:$C,0.25))</f>
        <v/>
      </c>
      <c r="AD307" s="28" t="str">
        <f t="array" ref="AD307">IF($I306="","",IF(OR(C307="E",C307="H"),LET(startStep,XLOOKUP("axis_start_step",Calibration!$B:$B,Calibration!$C:$C,5),step1,XLOOKUP("axis_reversal_step_1",Calibration!$B:$B,Calibration!$C:$C,3),step2,XLOOKUP("axis_reversal_step_2",Calibration!$B:$B,Calibration!$C:$C,1),IF(OR(C306&lt;&gt;C307,AZ307="",AZ307="SAME",AZ307="CANT_TELL",I307="",I307="SAME",I307="CANT_TELL"),startStep,IF(OR(AND(AZ307="BETTER_1",I307="BETTER_2"),AND(AZ307="BETTER_2",I307="BETTER_1")),IF(AD306&gt;step1,step1,step2),AD306))),0))</f>
        <v/>
      </c>
      <c r="AE307" s="28" t="str">
        <f t="array" ref="AE307">IF($I306="","",XLOOKUP($B307,Derived_Variables!$A:$A,Derived_Variables!$AD:$AD,"No_Fog"))</f>
        <v/>
      </c>
      <c r="AF307" s="28" t="str">
        <f t="array" ref="AF307">IF($I306="","",XLOOKUP($B307,Derived_Variables!$A:$A,Derived_Variables!$AE:$AE,0))</f>
        <v/>
      </c>
      <c r="AG307" s="28" t="str">
        <f t="array" ref="AG307">IF($I306="","",XLOOKUP($B307,Derived_Variables!$A:$A,Derived_Variables!$AF:$AF,""))</f>
        <v/>
      </c>
      <c r="AH307" s="28" t="str">
        <f t="array" ref="AH307">IF($I306="","",XLOOKUP($B307,Derived_Variables!$A:$A,Derived_Variables!$AG:$AG,""))</f>
        <v/>
      </c>
      <c r="AI307" s="28" t="str">
        <f t="array" ref="AI307">IF($I306="","",XLOOKUP($B307,Derived_Variables!$A:$A,Derived_Variables!$AC:$AC,"Medium"))</f>
        <v/>
      </c>
      <c r="AJ307" s="28" t="str">
        <f t="array" ref="AJ307">IF($I306="","",XLOOKUP($B307,Derived_Variables!$A:$A,Derived_Variables!$Y:$Y,FALSE))</f>
        <v/>
      </c>
      <c r="AK307" s="28" t="str">
        <f t="array" ref="AK307">IF($I306="","",XLOOKUP($B307,Derived_Variables!$A:$A,Derived_Variables!$AA:$AA,"Normal"))</f>
        <v/>
      </c>
      <c r="AL307" s="28" t="str">
        <f t="array" ref="AL307">IF($I306="","",XLOOKUP($B307,Derived_Variables!$A:$A,Derived_Variables!$AB:$AB,"Normal"))</f>
        <v/>
      </c>
      <c r="AM307" s="28" t="str">
        <f t="array" ref="AM307">IF($I307="","",IFS(C307="B",IF(OR(I307="NOT_READABLE",I307="BLURRY"),-AB307,0),C307="G",IFS(I307="RED_CLEARER",XLOOKUP("duochrome_red_step",Calibration!$B:$B,Calibration!$C:$C,-0.25),I307="GREEN_CLEARER",XLOOKUP("duochrome_green_step",Calibration!$B:$B,Calibration!$C:$C,0.25),I307="EQUAL",IF(XLOOKUP($B307,Derived_Variables!$A:$A,Derived_Variables!$S:$S,"Neutral")="Undercorrect",XLOOKUP("undercorrect_step",Calibration!$B:$B,Calibration!$C:$C,0.25),IF(XLOOKUP($B307,Derived_Variables!$A:$A,Derived_Variables!$S:$S,"Neutral")="Overcorrect",-XLOOKUP("overcorrect_step",Calibration!$B:$B,Calibration!$C:$C,0.25),0)),TRUE,0),C307="K",IF(I307="TOP_CLEARER",XLOOKUP("bino_balance_step",Calibration!$B:$B,Calibration!$C:$C,0.25),0),TRUE,0))</f>
        <v/>
      </c>
      <c r="AN307" s="28" t="str">
        <f t="shared" si="10"/>
        <v/>
      </c>
      <c r="AO307" s="28" t="str">
        <f t="shared" si="11"/>
        <v/>
      </c>
      <c r="AP307" s="28" t="str">
        <f t="array" ref="AP307">IF($I307="","",IFS(C307="D",IF(OR(I307="NOT_READABLE",I307="BLURRY"),-AB307,0),C307="J",IFS(I307="RED_CLEARER",XLOOKUP("duochrome_red_step",Calibration!$B:$B,Calibration!$C:$C,-0.25),I307="GREEN_CLEARER",XLOOKUP("duochrome_green_step",Calibration!$B:$B,Calibration!$C:$C,0.25),I307="EQUAL",IF(XLOOKUP($B307,Derived_Variables!$A:$A,Derived_Variables!$S:$S,"Neutral")="Undercorrect",XLOOKUP("undercorrect_step",Calibration!$B:$B,Calibration!$C:$C,0.25),IF(XLOOKUP($B307,Derived_Variables!$A:$A,Derived_Variables!$S:$S,"Neutral")="Overcorrect",-XLOOKUP("overcorrect_step",Calibration!$B:$B,Calibration!$C:$C,0.25),0)),TRUE,0),C307="K",IF(I307="BOTTOM_CLEARER",XLOOKUP("bino_balance_step",Calibration!$B:$B,Calibration!$C:$C,0.25),0),TRUE,0))</f>
        <v/>
      </c>
      <c r="AQ307" s="28" t="str">
        <f t="shared" si="12"/>
        <v/>
      </c>
      <c r="AR307" s="28" t="str">
        <f t="shared" si="13"/>
        <v/>
      </c>
      <c r="AS307" s="28" t="str">
        <f t="array" ref="AS307">IF($I307="","",IF(C307="P",IF(OR(I307="NOT_READABLE",I307="BLURRY"),XLOOKUP("near_add_step",Calibration!$B:$B,Calibration!$C:$C,0.25),0),IF(C307="R",IF(I307="NOT_CLEAR",XLOOKUP("near_add_step",Calibration!$B:$B,Calibration!$C:$C,0.25),0),0)))</f>
        <v/>
      </c>
      <c r="AT307" s="28" t="str">
        <f t="array" ref="AT307">IF($I307="","",IF(C307="Q",IF(OR(I307="NOT_READABLE",I307="BLURRY"),XLOOKUP("near_add_step",Calibration!$B:$B,Calibration!$C:$C,0.25),0),IF(C307="R",IF(I307="NOT_CLEAR",XLOOKUP("near_add_step",Calibration!$B:$B,Calibration!$C:$C,0.25),0),0)))</f>
        <v/>
      </c>
      <c r="AU307" s="28" t="str">
        <f t="array" ref="AU307">IF($I307="","",IF(G307="SNELLEN_FEET",IF(I307="READABLE",IFERROR(XLOOKUP(XLOOKUP(R307,Chart_Scale_Distance!B:B,Chart_Scale_Distance!A:A)+1,Chart_Scale_Distance!A:A,Chart_Scale_Distance!B:B),R307),R307),R307))</f>
        <v/>
      </c>
      <c r="AV307" s="28" t="str">
        <f t="array" ref="AV307">IF($I306="","",IFERROR(XLOOKUP(R307,Chart_Scale_Distance!$B:$B,Chart_Scale_Distance!$A:$A,""),""))</f>
        <v/>
      </c>
      <c r="AW307" s="28" t="str">
        <f t="array" ref="AW307">IF($I306="","",IFERROR(XLOOKUP(AA307,Chart_Scale_Distance!$B:$B,Chart_Scale_Distance!$A:$A,""),""))</f>
        <v/>
      </c>
      <c r="AX307" s="28" t="str">
        <f t="shared" si="14"/>
        <v/>
      </c>
      <c r="AY307" s="28" t="str">
        <f t="shared" si="15"/>
        <v/>
      </c>
      <c r="AZ307" s="28" t="str">
        <f t="shared" si="16"/>
        <v/>
      </c>
      <c r="BA307" s="28" t="str">
        <f t="shared" si="17"/>
        <v/>
      </c>
      <c r="BB307" s="28" t="str">
        <f t="shared" si="18"/>
        <v/>
      </c>
      <c r="BC307" s="28" t="str">
        <f t="array" ref="BC307">IF($I307="","",LET(
conf,AI307,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duoMax,XLOOKUP($B307,Derived_Variables!$A:$A,Derived_Variables!$AI:$AI,4),
axisTol,XLOOKUP($B307,Derived_Variables!$A:$A,Derived_Variables!$W:$W,1),
maxStart,XLOOKUP($B307,Derived_Variables!$A:$A,Derived_Variables!$U:$U,1.25),
maxAR,XLOOKUP($B307,Derived_Variables!$A:$A,Derived_Variables!$V:$V,3),
anom,XLOOKUP($B307,Derived_Variables!$A:$A,Derived_Variables!$Z:$Z,FALSE),
reStart,XLOOKUP($B307,Derived_Variables!$A:$A,Derived_Variables!$K:$K,0),
leStart,XLOOKUP($B307,Derived_Variables!$A:$A,Derived_Variables!$N:$N,0),
reAR,XLOOKUP($B307,AR_Input!$A:$A,AR_Input!$B:$B,reStart),
leAR,XLOOKUP($B307,AR_Input!$A:$A,AR_Input!$E:$E,leStart),
reEsc,AND(anom,OR(ABS((S307+AM307)-reStart)&gt;maxStart,ABS((S307+AM307)-reAR)&gt;maxAR)),
leEsc,AND(anom,OR(ABS((V307+AP307)-leStart)&gt;maxStart,ABS((V307+AP307)-leAR)&gt;maxAR)),
phaseMax,IFS(
 AK307="Fast",
   IFS(
     OR(C307="B",C307="D"),XLOOKUP("timeout_coarse_fast",Calibration!$B:$B,Calibration!$C:$C,24),
     OR(C307="E",C307="F",C307="H",C307="I"),XLOOKUP("timeout_jcc_fast",Calibration!$B:$B,Calibration!$C:$C,10),
     OR(C307="G",C307="J"),XLOOKUP("timeout_duochrome_fast",Calibration!$B:$B,Calibration!$C:$C,8),
     C307="K",XLOOKUP("timeout_bino_fast",Calibration!$B:$B,Calibration!$C:$C,10),
     OR(C307="P",C307="Q",C307="R"),XLOOKUP("timeout_near_fast",Calibration!$B:$B,Calibration!$C:$C,16),
     TRUE,XLOOKUP("timeout_coarse_fast",Calibration!$B:$B,Calibration!$C:$C,24)
   ),
 AK307="Normal",
   IFS(
     OR(C307="B",C307="D"),XLOOKUP("timeout_coarse_normal",Calibration!$B:$B,Calibration!$C:$C,36),
     OR(C307="E",C307="F",C307="H",C307="I"),XLOOKUP("timeout_jcc_normal",Calibration!$B:$B,Calibration!$C:$C,14),
     OR(C307="G",C307="J"),XLOOKUP("timeout_duochrome_normal",Calibration!$B:$B,Calibration!$C:$C,10),
     C307="K",XLOOKUP("timeout_bino_normal",Calibration!$B:$B,Calibration!$C:$C,14),
     OR(C307="P",C307="Q",C307="R"),XLOOKUP("timeout_near_normal",Calibration!$B:$B,Calibration!$C:$C,22),
     TRUE,XLOOKUP("timeout_coarse_normal",Calibration!$B:$B,Calibration!$C:$C,36)
   ),
 TRUE,
   IFS(
     OR(C307="B",C307="D"),XLOOKUP("timeout_coarse_slow",Calibration!$B:$B,Calibration!$C:$C,48),
     OR(C307="E",C307="F",C307="H",C307="I"),XLOOKUP("timeout_jcc_slow",Calibration!$B:$B,Calibration!$C:$C,18),
     OR(C307="G",C307="J"),XLOOKUP("timeout_duochrome_slow",Calibration!$B:$B,Calibration!$C:$C,12),
     C307="K",XLOOKUP("timeout_bino_slow",Calibration!$B:$B,Calibration!$C:$C,18),
     OR(C307="P",C307="Q",C307="R"),XLOOKUP("timeout_near_slow",Calibration!$B:$B,Calibration!$C:$C,28),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AJ307=TRUE,"ESCALATE",
C307="A",
IF(OR(I307="NOT_READABLE",I307="BLURRY",AND(R307="20_20_20",I307="READABLE")),"B","A"),
C307="B",
IF(reEsc,"ESCALATE",IF(AY307&gt;=phaseMax,"ESCALATE",IF(AND(AV307&gt;=AW307,I307="READABLE"),"E","B"))),
C307="E",
IF(AY307&gt;=phaseMax,"ESCALATE",IF(OR(I307="SAME",I307="CANT_TELL",AD307&lt;axisTol),"F","E")),
C307="F",
IF(AY307&gt;=phaseMax,"ESCALATE",IF(AX307&gt;=powerSameN,"G","F")),
C307="G",
IF(AY307&gt;=phaseMax,"ESCALATE",IF(OR(AX307&gt;=duoEqualN,BB307&gt;=duoMax),"D","G")),
C307="D",
IF(leEsc,"ESCALATE",IF(AY307&gt;=phaseMax,"ESCALATE",IF(AND(AV307&gt;=AW307,I307="READABLE"),"H","D"))),
C307="H",
IF(AY307&gt;=phaseMax,"ESCALATE",IF(OR(I307="SAME",I307="CANT_TELL",AD307&lt;axisTol),"I","H")),
C307="I",
IF(AY307&gt;=phaseMax,"ESCALATE",IF(AX307&gt;=powerSameN,"J","I")),
C307="J",
IF(AY307&gt;=phaseMax,"ESCALATE",IF(OR(AX307&gt;=duoEqualN,BB307&gt;=duoMax),"K","J")),
C307="K",
IF(AY307&gt;=phaseMax,"ESCALATE",IF(AX307&gt;=binoSameN,IF(XLOOKUP($B307,Derived_Variables!$A:$A,Derived_Variables!$AJ:$AJ,FALSE)=TRUE,"P","END"),"K")),
C307="P",
IF(AY307&gt;=phaseMax,"ESCALATE",IF(OR(I307="READABLE",I307="SAME"),"Q","P")),
C307="Q",
IF(AY307&gt;=phaseMax,"ESCALATE",IF(OR(I307="READABLE",I307="SAME"),"R","Q")),
C307="R",
IF(AY307&gt;=phaseMax,"ESCALATE",IF(OR(I307=nearTarget,I307="SAME"),"END","R")),
TRUE,"END"
)))</f>
        <v/>
      </c>
      <c r="BD307" s="28" t="b">
        <f t="shared" si="19"/>
        <v>0</v>
      </c>
    </row>
    <row r="308" ht="15.75" customHeight="1">
      <c r="A308" s="28">
        <f t="shared" si="3"/>
        <v>307</v>
      </c>
      <c r="B308" s="28">
        <f t="shared" si="4"/>
        <v>6</v>
      </c>
      <c r="C308" s="28" t="str">
        <f t="shared" si="5"/>
        <v/>
      </c>
      <c r="D308" s="28" t="str">
        <f t="array" ref="D308">IF($I307="","",XLOOKUP(C308,FSM_State_Map!A:A,FSM_State_Map!B:B,""))</f>
        <v/>
      </c>
      <c r="E308" s="28" t="str">
        <f t="array" ref="E308">IF($I307="","",XLOOKUP(C308,FSM_State_Map!A:A,FSM_State_Map!C:C,""))</f>
        <v/>
      </c>
      <c r="F308" s="28" t="str">
        <f t="array" ref="F308">IF($I307="","",XLOOKUP(E308,Phase_UI_Map!A:A,Phase_UI_Map!B:B,""))</f>
        <v/>
      </c>
      <c r="G308" s="28" t="str">
        <f t="array" ref="G308">IF($I307="","",XLOOKUP(E308,Phase_UI_Map!A:A,Phase_UI_Map!C:C,""))</f>
        <v/>
      </c>
      <c r="H308" s="28" t="str">
        <f t="array" ref="H308">IF($I307="","",XLOOKUP(E308,Phase_UI_Map!A:A,Phase_UI_Map!D:D,""))</f>
        <v/>
      </c>
      <c r="I308" s="29"/>
      <c r="J308" s="28" t="str">
        <f>IFERROR(__xludf.DUMMYFUNCTION("IF($I307="""","""",IFERROR(INDEX(FILTER(Response_Lists!$B:$B,Response_Lists!$A:$A=$H308),1),""""))"),"")</f>
        <v/>
      </c>
      <c r="K308" s="28" t="str">
        <f>IFERROR(__xludf.DUMMYFUNCTION("IF($I307="""","""",IFERROR(INDEX(FILTER(Response_Lists!$B:$B,Response_Lists!$A:$A=$H308),2),""""))"),"")</f>
        <v/>
      </c>
      <c r="L308" s="28" t="str">
        <f>IFERROR(__xludf.DUMMYFUNCTION("IF($I307="""","""",IFERROR(INDEX(FILTER(Response_Lists!$B:$B,Response_Lists!$A:$A=$H308),3),""""))"),"")</f>
        <v/>
      </c>
      <c r="M308" s="28" t="str">
        <f>IFERROR(__xludf.DUMMYFUNCTION("IF($I307="""","""",IFERROR(INDEX(FILTER(Response_Lists!$B:$B,Response_Lists!$A:$A=$H308),4),""""))"),"")</f>
        <v/>
      </c>
      <c r="N308" s="28" t="str">
        <f>IFERROR(__xludf.DUMMYFUNCTION("IF($I307="""","""",IFERROR(INDEX(FILTER(Response_Lists!$B:$B,Response_Lists!$A:$A=$H308),5),""""))"),"")</f>
        <v/>
      </c>
      <c r="O308" s="28" t="str">
        <f>IFERROR(__xludf.DUMMYFUNCTION("IF($I307="""","""",IFERROR(INDEX(FILTER(Response_Lists!$B:$B,Response_Lists!$A:$A=$H308),6),""""))"),"")</f>
        <v/>
      </c>
      <c r="P308" s="28" t="str">
        <f t="shared" si="6"/>
        <v/>
      </c>
      <c r="Q308" s="28" t="str">
        <f t="array" ref="Q308">IF($I307="","",XLOOKUP(C308,FSM_State_Map!A:A,FSM_State_Map!D:D,""))</f>
        <v/>
      </c>
      <c r="R308" s="28" t="str">
        <f t="shared" si="7"/>
        <v/>
      </c>
      <c r="S308" s="28" t="str">
        <f t="array" ref="S308">IF($I307="","",
IF(
  AND(C308="B",C307&lt;&gt;"B"),
  XLOOKUP($B308,Derived_Variables!$A:$A,Derived_Variables!$K:$K,0)
  + XLOOKUP($B308,Derived_Variables!$A:$A,Derived_Variables!$AE:$AE,0),
  S307+AM307
))</f>
        <v/>
      </c>
      <c r="T308" s="28" t="str">
        <f t="shared" ref="T308:U308" si="626">IF($I307="","",T307+AN307)</f>
        <v/>
      </c>
      <c r="U308" s="28" t="str">
        <f t="shared" si="626"/>
        <v/>
      </c>
      <c r="V308" s="28" t="str">
        <f t="array" ref="V308">IF($I307="","",
IF(
  AND(C308="D",C307&lt;&gt;"D"),
  XLOOKUP($B308,Derived_Variables!$A:$A,Derived_Variables!$N:$N,0)
  + XLOOKUP($B308,Derived_Variables!$A:$A,Derived_Variables!$AE:$AE,0),
  V307+AP307
))</f>
        <v/>
      </c>
      <c r="W308" s="28" t="str">
        <f t="shared" ref="W308:X308" si="627">IF($I307="","",W307+AQ307)</f>
        <v/>
      </c>
      <c r="X308" s="28" t="str">
        <f t="shared" si="627"/>
        <v/>
      </c>
      <c r="Y308" s="28" t="str">
        <f t="array" ref="Y308">IF($I307="","",IF(AND(C308="P",C307&lt;&gt;"P"),IFERROR(XLOOKUP($B308,Lenso_Input!$A:$A,Lenso_Input!$E:$E,0),0),Y307+AS307))</f>
        <v/>
      </c>
      <c r="Z308" s="28" t="str">
        <f t="array" ref="Z308">IF($I307="","",IF(AND(C308="Q",C307&lt;&gt;"Q"),IFERROR(XLOOKUP($B308,Lenso_Input!$A:$A,Lenso_Input!$I:$I,0),0),Z307+AT307))</f>
        <v/>
      </c>
      <c r="AA308" s="28" t="str">
        <f t="array" ref="AA308">IF($I307="","",IF(XLOOKUP($B308,Derived_Variables!$A:$A,Derived_Variables!$R:$R,"6/6_target")="6/6_target","20_20_20","40_30_25"))</f>
        <v/>
      </c>
      <c r="AB308" s="28" t="str">
        <f t="array" ref="AB308">IF($I307="","",XLOOKUP(LOWER(XLOOKUP($B308,Derived_Variables!$A:$A,Derived_Variables!$T:$T,"Standard"))&amp;"_sph_step",Calibration!$B:$B,Calibration!$C:$C,0.25))</f>
        <v/>
      </c>
      <c r="AC308" s="28" t="str">
        <f t="array" ref="AC308">IF($I307="","",XLOOKUP(LOWER(XLOOKUP($B308,Derived_Variables!$A:$A,Derived_Variables!$T:$T,"Standard"))&amp;"_cyl_step",Calibration!$B:$B,Calibration!$C:$C,0.25))</f>
        <v/>
      </c>
      <c r="AD308" s="28" t="str">
        <f t="array" ref="AD308">IF($I307="","",IF(OR(C308="E",C308="H"),LET(startStep,XLOOKUP("axis_start_step",Calibration!$B:$B,Calibration!$C:$C,5),step1,XLOOKUP("axis_reversal_step_1",Calibration!$B:$B,Calibration!$C:$C,3),step2,XLOOKUP("axis_reversal_step_2",Calibration!$B:$B,Calibration!$C:$C,1),IF(OR(C307&lt;&gt;C308,AZ308="",AZ308="SAME",AZ308="CANT_TELL",I308="",I308="SAME",I308="CANT_TELL"),startStep,IF(OR(AND(AZ308="BETTER_1",I308="BETTER_2"),AND(AZ308="BETTER_2",I308="BETTER_1")),IF(AD307&gt;step1,step1,step2),AD307))),0))</f>
        <v/>
      </c>
      <c r="AE308" s="28" t="str">
        <f t="array" ref="AE308">IF($I307="","",XLOOKUP($B308,Derived_Variables!$A:$A,Derived_Variables!$AD:$AD,"No_Fog"))</f>
        <v/>
      </c>
      <c r="AF308" s="28" t="str">
        <f t="array" ref="AF308">IF($I307="","",XLOOKUP($B308,Derived_Variables!$A:$A,Derived_Variables!$AE:$AE,0))</f>
        <v/>
      </c>
      <c r="AG308" s="28" t="str">
        <f t="array" ref="AG308">IF($I307="","",XLOOKUP($B308,Derived_Variables!$A:$A,Derived_Variables!$AF:$AF,""))</f>
        <v/>
      </c>
      <c r="AH308" s="28" t="str">
        <f t="array" ref="AH308">IF($I307="","",XLOOKUP($B308,Derived_Variables!$A:$A,Derived_Variables!$AG:$AG,""))</f>
        <v/>
      </c>
      <c r="AI308" s="28" t="str">
        <f t="array" ref="AI308">IF($I307="","",XLOOKUP($B308,Derived_Variables!$A:$A,Derived_Variables!$AC:$AC,"Medium"))</f>
        <v/>
      </c>
      <c r="AJ308" s="28" t="str">
        <f t="array" ref="AJ308">IF($I307="","",XLOOKUP($B308,Derived_Variables!$A:$A,Derived_Variables!$Y:$Y,FALSE))</f>
        <v/>
      </c>
      <c r="AK308" s="28" t="str">
        <f t="array" ref="AK308">IF($I307="","",XLOOKUP($B308,Derived_Variables!$A:$A,Derived_Variables!$AA:$AA,"Normal"))</f>
        <v/>
      </c>
      <c r="AL308" s="28" t="str">
        <f t="array" ref="AL308">IF($I307="","",XLOOKUP($B308,Derived_Variables!$A:$A,Derived_Variables!$AB:$AB,"Normal"))</f>
        <v/>
      </c>
      <c r="AM308" s="28" t="str">
        <f t="array" ref="AM308">IF($I308="","",IFS(C308="B",IF(OR(I308="NOT_READABLE",I308="BLURRY"),-AB308,0),C308="G",IFS(I308="RED_CLEARER",XLOOKUP("duochrome_red_step",Calibration!$B:$B,Calibration!$C:$C,-0.25),I308="GREEN_CLEARER",XLOOKUP("duochrome_green_step",Calibration!$B:$B,Calibration!$C:$C,0.25),I308="EQUAL",IF(XLOOKUP($B308,Derived_Variables!$A:$A,Derived_Variables!$S:$S,"Neutral")="Undercorrect",XLOOKUP("undercorrect_step",Calibration!$B:$B,Calibration!$C:$C,0.25),IF(XLOOKUP($B308,Derived_Variables!$A:$A,Derived_Variables!$S:$S,"Neutral")="Overcorrect",-XLOOKUP("overcorrect_step",Calibration!$B:$B,Calibration!$C:$C,0.25),0)),TRUE,0),C308="K",IF(I308="TOP_CLEARER",XLOOKUP("bino_balance_step",Calibration!$B:$B,Calibration!$C:$C,0.25),0),TRUE,0))</f>
        <v/>
      </c>
      <c r="AN308" s="28" t="str">
        <f t="shared" si="10"/>
        <v/>
      </c>
      <c r="AO308" s="28" t="str">
        <f t="shared" si="11"/>
        <v/>
      </c>
      <c r="AP308" s="28" t="str">
        <f t="array" ref="AP308">IF($I308="","",IFS(C308="D",IF(OR(I308="NOT_READABLE",I308="BLURRY"),-AB308,0),C308="J",IFS(I308="RED_CLEARER",XLOOKUP("duochrome_red_step",Calibration!$B:$B,Calibration!$C:$C,-0.25),I308="GREEN_CLEARER",XLOOKUP("duochrome_green_step",Calibration!$B:$B,Calibration!$C:$C,0.25),I308="EQUAL",IF(XLOOKUP($B308,Derived_Variables!$A:$A,Derived_Variables!$S:$S,"Neutral")="Undercorrect",XLOOKUP("undercorrect_step",Calibration!$B:$B,Calibration!$C:$C,0.25),IF(XLOOKUP($B308,Derived_Variables!$A:$A,Derived_Variables!$S:$S,"Neutral")="Overcorrect",-XLOOKUP("overcorrect_step",Calibration!$B:$B,Calibration!$C:$C,0.25),0)),TRUE,0),C308="K",IF(I308="BOTTOM_CLEARER",XLOOKUP("bino_balance_step",Calibration!$B:$B,Calibration!$C:$C,0.25),0),TRUE,0))</f>
        <v/>
      </c>
      <c r="AQ308" s="28" t="str">
        <f t="shared" si="12"/>
        <v/>
      </c>
      <c r="AR308" s="28" t="str">
        <f t="shared" si="13"/>
        <v/>
      </c>
      <c r="AS308" s="28" t="str">
        <f t="array" ref="AS308">IF($I308="","",IF(C308="P",IF(OR(I308="NOT_READABLE",I308="BLURRY"),XLOOKUP("near_add_step",Calibration!$B:$B,Calibration!$C:$C,0.25),0),IF(C308="R",IF(I308="NOT_CLEAR",XLOOKUP("near_add_step",Calibration!$B:$B,Calibration!$C:$C,0.25),0),0)))</f>
        <v/>
      </c>
      <c r="AT308" s="28" t="str">
        <f t="array" ref="AT308">IF($I308="","",IF(C308="Q",IF(OR(I308="NOT_READABLE",I308="BLURRY"),XLOOKUP("near_add_step",Calibration!$B:$B,Calibration!$C:$C,0.25),0),IF(C308="R",IF(I308="NOT_CLEAR",XLOOKUP("near_add_step",Calibration!$B:$B,Calibration!$C:$C,0.25),0),0)))</f>
        <v/>
      </c>
      <c r="AU308" s="28" t="str">
        <f t="array" ref="AU308">IF($I308="","",IF(G308="SNELLEN_FEET",IF(I308="READABLE",IFERROR(XLOOKUP(XLOOKUP(R308,Chart_Scale_Distance!B:B,Chart_Scale_Distance!A:A)+1,Chart_Scale_Distance!A:A,Chart_Scale_Distance!B:B),R308),R308),R308))</f>
        <v/>
      </c>
      <c r="AV308" s="28" t="str">
        <f t="array" ref="AV308">IF($I307="","",IFERROR(XLOOKUP(R308,Chart_Scale_Distance!$B:$B,Chart_Scale_Distance!$A:$A,""),""))</f>
        <v/>
      </c>
      <c r="AW308" s="28" t="str">
        <f t="array" ref="AW308">IF($I307="","",IFERROR(XLOOKUP(AA308,Chart_Scale_Distance!$B:$B,Chart_Scale_Distance!$A:$A,""),""))</f>
        <v/>
      </c>
      <c r="AX308" s="28" t="str">
        <f t="shared" si="14"/>
        <v/>
      </c>
      <c r="AY308" s="28" t="str">
        <f t="shared" si="15"/>
        <v/>
      </c>
      <c r="AZ308" s="28" t="str">
        <f t="shared" si="16"/>
        <v/>
      </c>
      <c r="BA308" s="28" t="str">
        <f t="shared" si="17"/>
        <v/>
      </c>
      <c r="BB308" s="28" t="str">
        <f t="shared" si="18"/>
        <v/>
      </c>
      <c r="BC308" s="28" t="str">
        <f t="array" ref="BC308">IF($I308="","",LET(
conf,AI308,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duoMax,XLOOKUP($B308,Derived_Variables!$A:$A,Derived_Variables!$AI:$AI,4),
axisTol,XLOOKUP($B308,Derived_Variables!$A:$A,Derived_Variables!$W:$W,1),
maxStart,XLOOKUP($B308,Derived_Variables!$A:$A,Derived_Variables!$U:$U,1.25),
maxAR,XLOOKUP($B308,Derived_Variables!$A:$A,Derived_Variables!$V:$V,3),
anom,XLOOKUP($B308,Derived_Variables!$A:$A,Derived_Variables!$Z:$Z,FALSE),
reStart,XLOOKUP($B308,Derived_Variables!$A:$A,Derived_Variables!$K:$K,0),
leStart,XLOOKUP($B308,Derived_Variables!$A:$A,Derived_Variables!$N:$N,0),
reAR,XLOOKUP($B308,AR_Input!$A:$A,AR_Input!$B:$B,reStart),
leAR,XLOOKUP($B308,AR_Input!$A:$A,AR_Input!$E:$E,leStart),
reEsc,AND(anom,OR(ABS((S308+AM308)-reStart)&gt;maxStart,ABS((S308+AM308)-reAR)&gt;maxAR)),
leEsc,AND(anom,OR(ABS((V308+AP308)-leStart)&gt;maxStart,ABS((V308+AP308)-leAR)&gt;maxAR)),
phaseMax,IFS(
 AK308="Fast",
   IFS(
     OR(C308="B",C308="D"),XLOOKUP("timeout_coarse_fast",Calibration!$B:$B,Calibration!$C:$C,24),
     OR(C308="E",C308="F",C308="H",C308="I"),XLOOKUP("timeout_jcc_fast",Calibration!$B:$B,Calibration!$C:$C,10),
     OR(C308="G",C308="J"),XLOOKUP("timeout_duochrome_fast",Calibration!$B:$B,Calibration!$C:$C,8),
     C308="K",XLOOKUP("timeout_bino_fast",Calibration!$B:$B,Calibration!$C:$C,10),
     OR(C308="P",C308="Q",C308="R"),XLOOKUP("timeout_near_fast",Calibration!$B:$B,Calibration!$C:$C,16),
     TRUE,XLOOKUP("timeout_coarse_fast",Calibration!$B:$B,Calibration!$C:$C,24)
   ),
 AK308="Normal",
   IFS(
     OR(C308="B",C308="D"),XLOOKUP("timeout_coarse_normal",Calibration!$B:$B,Calibration!$C:$C,36),
     OR(C308="E",C308="F",C308="H",C308="I"),XLOOKUP("timeout_jcc_normal",Calibration!$B:$B,Calibration!$C:$C,14),
     OR(C308="G",C308="J"),XLOOKUP("timeout_duochrome_normal",Calibration!$B:$B,Calibration!$C:$C,10),
     C308="K",XLOOKUP("timeout_bino_normal",Calibration!$B:$B,Calibration!$C:$C,14),
     OR(C308="P",C308="Q",C308="R"),XLOOKUP("timeout_near_normal",Calibration!$B:$B,Calibration!$C:$C,22),
     TRUE,XLOOKUP("timeout_coarse_normal",Calibration!$B:$B,Calibration!$C:$C,36)
   ),
 TRUE,
   IFS(
     OR(C308="B",C308="D"),XLOOKUP("timeout_coarse_slow",Calibration!$B:$B,Calibration!$C:$C,48),
     OR(C308="E",C308="F",C308="H",C308="I"),XLOOKUP("timeout_jcc_slow",Calibration!$B:$B,Calibration!$C:$C,18),
     OR(C308="G",C308="J"),XLOOKUP("timeout_duochrome_slow",Calibration!$B:$B,Calibration!$C:$C,12),
     C308="K",XLOOKUP("timeout_bino_slow",Calibration!$B:$B,Calibration!$C:$C,18),
     OR(C308="P",C308="Q",C308="R"),XLOOKUP("timeout_near_slow",Calibration!$B:$B,Calibration!$C:$C,28),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AJ308=TRUE,"ESCALATE",
C308="A",
IF(OR(I308="NOT_READABLE",I308="BLURRY",AND(R308="20_20_20",I308="READABLE")),"B","A"),
C308="B",
IF(reEsc,"ESCALATE",IF(AY308&gt;=phaseMax,"ESCALATE",IF(AND(AV308&gt;=AW308,I308="READABLE"),"E","B"))),
C308="E",
IF(AY308&gt;=phaseMax,"ESCALATE",IF(OR(I308="SAME",I308="CANT_TELL",AD308&lt;axisTol),"F","E")),
C308="F",
IF(AY308&gt;=phaseMax,"ESCALATE",IF(AX308&gt;=powerSameN,"G","F")),
C308="G",
IF(AY308&gt;=phaseMax,"ESCALATE",IF(OR(AX308&gt;=duoEqualN,BB308&gt;=duoMax),"D","G")),
C308="D",
IF(leEsc,"ESCALATE",IF(AY308&gt;=phaseMax,"ESCALATE",IF(AND(AV308&gt;=AW308,I308="READABLE"),"H","D"))),
C308="H",
IF(AY308&gt;=phaseMax,"ESCALATE",IF(OR(I308="SAME",I308="CANT_TELL",AD308&lt;axisTol),"I","H")),
C308="I",
IF(AY308&gt;=phaseMax,"ESCALATE",IF(AX308&gt;=powerSameN,"J","I")),
C308="J",
IF(AY308&gt;=phaseMax,"ESCALATE",IF(OR(AX308&gt;=duoEqualN,BB308&gt;=duoMax),"K","J")),
C308="K",
IF(AY308&gt;=phaseMax,"ESCALATE",IF(AX308&gt;=binoSameN,IF(XLOOKUP($B308,Derived_Variables!$A:$A,Derived_Variables!$AJ:$AJ,FALSE)=TRUE,"P","END"),"K")),
C308="P",
IF(AY308&gt;=phaseMax,"ESCALATE",IF(OR(I308="READABLE",I308="SAME"),"Q","P")),
C308="Q",
IF(AY308&gt;=phaseMax,"ESCALATE",IF(OR(I308="READABLE",I308="SAME"),"R","Q")),
C308="R",
IF(AY308&gt;=phaseMax,"ESCALATE",IF(OR(I308=nearTarget,I308="SAME"),"END","R")),
TRUE,"END"
)))</f>
        <v/>
      </c>
      <c r="BD308" s="28" t="b">
        <f t="shared" si="19"/>
        <v>0</v>
      </c>
    </row>
    <row r="309" ht="15.75" customHeight="1">
      <c r="A309" s="28">
        <f t="shared" si="3"/>
        <v>308</v>
      </c>
      <c r="B309" s="28">
        <f t="shared" si="4"/>
        <v>6</v>
      </c>
      <c r="C309" s="28" t="str">
        <f t="shared" si="5"/>
        <v/>
      </c>
      <c r="D309" s="28" t="str">
        <f t="array" ref="D309">IF($I308="","",XLOOKUP(C309,FSM_State_Map!A:A,FSM_State_Map!B:B,""))</f>
        <v/>
      </c>
      <c r="E309" s="28" t="str">
        <f t="array" ref="E309">IF($I308="","",XLOOKUP(C309,FSM_State_Map!A:A,FSM_State_Map!C:C,""))</f>
        <v/>
      </c>
      <c r="F309" s="28" t="str">
        <f t="array" ref="F309">IF($I308="","",XLOOKUP(E309,Phase_UI_Map!A:A,Phase_UI_Map!B:B,""))</f>
        <v/>
      </c>
      <c r="G309" s="28" t="str">
        <f t="array" ref="G309">IF($I308="","",XLOOKUP(E309,Phase_UI_Map!A:A,Phase_UI_Map!C:C,""))</f>
        <v/>
      </c>
      <c r="H309" s="28" t="str">
        <f t="array" ref="H309">IF($I308="","",XLOOKUP(E309,Phase_UI_Map!A:A,Phase_UI_Map!D:D,""))</f>
        <v/>
      </c>
      <c r="I309" s="29"/>
      <c r="J309" s="28" t="str">
        <f>IFERROR(__xludf.DUMMYFUNCTION("IF($I308="""","""",IFERROR(INDEX(FILTER(Response_Lists!$B:$B,Response_Lists!$A:$A=$H309),1),""""))"),"")</f>
        <v/>
      </c>
      <c r="K309" s="28" t="str">
        <f>IFERROR(__xludf.DUMMYFUNCTION("IF($I308="""","""",IFERROR(INDEX(FILTER(Response_Lists!$B:$B,Response_Lists!$A:$A=$H309),2),""""))"),"")</f>
        <v/>
      </c>
      <c r="L309" s="28" t="str">
        <f>IFERROR(__xludf.DUMMYFUNCTION("IF($I308="""","""",IFERROR(INDEX(FILTER(Response_Lists!$B:$B,Response_Lists!$A:$A=$H309),3),""""))"),"")</f>
        <v/>
      </c>
      <c r="M309" s="28" t="str">
        <f>IFERROR(__xludf.DUMMYFUNCTION("IF($I308="""","""",IFERROR(INDEX(FILTER(Response_Lists!$B:$B,Response_Lists!$A:$A=$H309),4),""""))"),"")</f>
        <v/>
      </c>
      <c r="N309" s="28" t="str">
        <f>IFERROR(__xludf.DUMMYFUNCTION("IF($I308="""","""",IFERROR(INDEX(FILTER(Response_Lists!$B:$B,Response_Lists!$A:$A=$H309),5),""""))"),"")</f>
        <v/>
      </c>
      <c r="O309" s="28" t="str">
        <f>IFERROR(__xludf.DUMMYFUNCTION("IF($I308="""","""",IFERROR(INDEX(FILTER(Response_Lists!$B:$B,Response_Lists!$A:$A=$H309),6),""""))"),"")</f>
        <v/>
      </c>
      <c r="P309" s="28" t="str">
        <f t="shared" si="6"/>
        <v/>
      </c>
      <c r="Q309" s="28" t="str">
        <f t="array" ref="Q309">IF($I308="","",XLOOKUP(C309,FSM_State_Map!A:A,FSM_State_Map!D:D,""))</f>
        <v/>
      </c>
      <c r="R309" s="28" t="str">
        <f t="shared" si="7"/>
        <v/>
      </c>
      <c r="S309" s="28" t="str">
        <f t="array" ref="S309">IF($I308="","",
IF(
  AND(C309="B",C308&lt;&gt;"B"),
  XLOOKUP($B309,Derived_Variables!$A:$A,Derived_Variables!$K:$K,0)
  + XLOOKUP($B309,Derived_Variables!$A:$A,Derived_Variables!$AE:$AE,0),
  S308+AM308
))</f>
        <v/>
      </c>
      <c r="T309" s="28" t="str">
        <f t="shared" ref="T309:U309" si="628">IF($I308="","",T308+AN308)</f>
        <v/>
      </c>
      <c r="U309" s="28" t="str">
        <f t="shared" si="628"/>
        <v/>
      </c>
      <c r="V309" s="28" t="str">
        <f t="array" ref="V309">IF($I308="","",
IF(
  AND(C309="D",C308&lt;&gt;"D"),
  XLOOKUP($B309,Derived_Variables!$A:$A,Derived_Variables!$N:$N,0)
  + XLOOKUP($B309,Derived_Variables!$A:$A,Derived_Variables!$AE:$AE,0),
  V308+AP308
))</f>
        <v/>
      </c>
      <c r="W309" s="28" t="str">
        <f t="shared" ref="W309:X309" si="629">IF($I308="","",W308+AQ308)</f>
        <v/>
      </c>
      <c r="X309" s="28" t="str">
        <f t="shared" si="629"/>
        <v/>
      </c>
      <c r="Y309" s="28" t="str">
        <f t="array" ref="Y309">IF($I308="","",IF(AND(C309="P",C308&lt;&gt;"P"),IFERROR(XLOOKUP($B309,Lenso_Input!$A:$A,Lenso_Input!$E:$E,0),0),Y308+AS308))</f>
        <v/>
      </c>
      <c r="Z309" s="28" t="str">
        <f t="array" ref="Z309">IF($I308="","",IF(AND(C309="Q",C308&lt;&gt;"Q"),IFERROR(XLOOKUP($B309,Lenso_Input!$A:$A,Lenso_Input!$I:$I,0),0),Z308+AT308))</f>
        <v/>
      </c>
      <c r="AA309" s="28" t="str">
        <f t="array" ref="AA309">IF($I308="","",IF(XLOOKUP($B309,Derived_Variables!$A:$A,Derived_Variables!$R:$R,"6/6_target")="6/6_target","20_20_20","40_30_25"))</f>
        <v/>
      </c>
      <c r="AB309" s="28" t="str">
        <f t="array" ref="AB309">IF($I308="","",XLOOKUP(LOWER(XLOOKUP($B309,Derived_Variables!$A:$A,Derived_Variables!$T:$T,"Standard"))&amp;"_sph_step",Calibration!$B:$B,Calibration!$C:$C,0.25))</f>
        <v/>
      </c>
      <c r="AC309" s="28" t="str">
        <f t="array" ref="AC309">IF($I308="","",XLOOKUP(LOWER(XLOOKUP($B309,Derived_Variables!$A:$A,Derived_Variables!$T:$T,"Standard"))&amp;"_cyl_step",Calibration!$B:$B,Calibration!$C:$C,0.25))</f>
        <v/>
      </c>
      <c r="AD309" s="28" t="str">
        <f t="array" ref="AD309">IF($I308="","",IF(OR(C309="E",C309="H"),LET(startStep,XLOOKUP("axis_start_step",Calibration!$B:$B,Calibration!$C:$C,5),step1,XLOOKUP("axis_reversal_step_1",Calibration!$B:$B,Calibration!$C:$C,3),step2,XLOOKUP("axis_reversal_step_2",Calibration!$B:$B,Calibration!$C:$C,1),IF(OR(C308&lt;&gt;C309,AZ309="",AZ309="SAME",AZ309="CANT_TELL",I309="",I309="SAME",I309="CANT_TELL"),startStep,IF(OR(AND(AZ309="BETTER_1",I309="BETTER_2"),AND(AZ309="BETTER_2",I309="BETTER_1")),IF(AD308&gt;step1,step1,step2),AD308))),0))</f>
        <v/>
      </c>
      <c r="AE309" s="28" t="str">
        <f t="array" ref="AE309">IF($I308="","",XLOOKUP($B309,Derived_Variables!$A:$A,Derived_Variables!$AD:$AD,"No_Fog"))</f>
        <v/>
      </c>
      <c r="AF309" s="28" t="str">
        <f t="array" ref="AF309">IF($I308="","",XLOOKUP($B309,Derived_Variables!$A:$A,Derived_Variables!$AE:$AE,0))</f>
        <v/>
      </c>
      <c r="AG309" s="28" t="str">
        <f t="array" ref="AG309">IF($I308="","",XLOOKUP($B309,Derived_Variables!$A:$A,Derived_Variables!$AF:$AF,""))</f>
        <v/>
      </c>
      <c r="AH309" s="28" t="str">
        <f t="array" ref="AH309">IF($I308="","",XLOOKUP($B309,Derived_Variables!$A:$A,Derived_Variables!$AG:$AG,""))</f>
        <v/>
      </c>
      <c r="AI309" s="28" t="str">
        <f t="array" ref="AI309">IF($I308="","",XLOOKUP($B309,Derived_Variables!$A:$A,Derived_Variables!$AC:$AC,"Medium"))</f>
        <v/>
      </c>
      <c r="AJ309" s="28" t="str">
        <f t="array" ref="AJ309">IF($I308="","",XLOOKUP($B309,Derived_Variables!$A:$A,Derived_Variables!$Y:$Y,FALSE))</f>
        <v/>
      </c>
      <c r="AK309" s="28" t="str">
        <f t="array" ref="AK309">IF($I308="","",XLOOKUP($B309,Derived_Variables!$A:$A,Derived_Variables!$AA:$AA,"Normal"))</f>
        <v/>
      </c>
      <c r="AL309" s="28" t="str">
        <f t="array" ref="AL309">IF($I308="","",XLOOKUP($B309,Derived_Variables!$A:$A,Derived_Variables!$AB:$AB,"Normal"))</f>
        <v/>
      </c>
      <c r="AM309" s="28" t="str">
        <f t="array" ref="AM309">IF($I309="","",IFS(C309="B",IF(OR(I309="NOT_READABLE",I309="BLURRY"),-AB309,0),C309="G",IFS(I309="RED_CLEARER",XLOOKUP("duochrome_red_step",Calibration!$B:$B,Calibration!$C:$C,-0.25),I309="GREEN_CLEARER",XLOOKUP("duochrome_green_step",Calibration!$B:$B,Calibration!$C:$C,0.25),I309="EQUAL",IF(XLOOKUP($B309,Derived_Variables!$A:$A,Derived_Variables!$S:$S,"Neutral")="Undercorrect",XLOOKUP("undercorrect_step",Calibration!$B:$B,Calibration!$C:$C,0.25),IF(XLOOKUP($B309,Derived_Variables!$A:$A,Derived_Variables!$S:$S,"Neutral")="Overcorrect",-XLOOKUP("overcorrect_step",Calibration!$B:$B,Calibration!$C:$C,0.25),0)),TRUE,0),C309="K",IF(I309="TOP_CLEARER",XLOOKUP("bino_balance_step",Calibration!$B:$B,Calibration!$C:$C,0.25),0),TRUE,0))</f>
        <v/>
      </c>
      <c r="AN309" s="28" t="str">
        <f t="shared" si="10"/>
        <v/>
      </c>
      <c r="AO309" s="28" t="str">
        <f t="shared" si="11"/>
        <v/>
      </c>
      <c r="AP309" s="28" t="str">
        <f t="array" ref="AP309">IF($I309="","",IFS(C309="D",IF(OR(I309="NOT_READABLE",I309="BLURRY"),-AB309,0),C309="J",IFS(I309="RED_CLEARER",XLOOKUP("duochrome_red_step",Calibration!$B:$B,Calibration!$C:$C,-0.25),I309="GREEN_CLEARER",XLOOKUP("duochrome_green_step",Calibration!$B:$B,Calibration!$C:$C,0.25),I309="EQUAL",IF(XLOOKUP($B309,Derived_Variables!$A:$A,Derived_Variables!$S:$S,"Neutral")="Undercorrect",XLOOKUP("undercorrect_step",Calibration!$B:$B,Calibration!$C:$C,0.25),IF(XLOOKUP($B309,Derived_Variables!$A:$A,Derived_Variables!$S:$S,"Neutral")="Overcorrect",-XLOOKUP("overcorrect_step",Calibration!$B:$B,Calibration!$C:$C,0.25),0)),TRUE,0),C309="K",IF(I309="BOTTOM_CLEARER",XLOOKUP("bino_balance_step",Calibration!$B:$B,Calibration!$C:$C,0.25),0),TRUE,0))</f>
        <v/>
      </c>
      <c r="AQ309" s="28" t="str">
        <f t="shared" si="12"/>
        <v/>
      </c>
      <c r="AR309" s="28" t="str">
        <f t="shared" si="13"/>
        <v/>
      </c>
      <c r="AS309" s="28" t="str">
        <f t="array" ref="AS309">IF($I309="","",IF(C309="P",IF(OR(I309="NOT_READABLE",I309="BLURRY"),XLOOKUP("near_add_step",Calibration!$B:$B,Calibration!$C:$C,0.25),0),IF(C309="R",IF(I309="NOT_CLEAR",XLOOKUP("near_add_step",Calibration!$B:$B,Calibration!$C:$C,0.25),0),0)))</f>
        <v/>
      </c>
      <c r="AT309" s="28" t="str">
        <f t="array" ref="AT309">IF($I309="","",IF(C309="Q",IF(OR(I309="NOT_READABLE",I309="BLURRY"),XLOOKUP("near_add_step",Calibration!$B:$B,Calibration!$C:$C,0.25),0),IF(C309="R",IF(I309="NOT_CLEAR",XLOOKUP("near_add_step",Calibration!$B:$B,Calibration!$C:$C,0.25),0),0)))</f>
        <v/>
      </c>
      <c r="AU309" s="28" t="str">
        <f t="array" ref="AU309">IF($I309="","",IF(G309="SNELLEN_FEET",IF(I309="READABLE",IFERROR(XLOOKUP(XLOOKUP(R309,Chart_Scale_Distance!B:B,Chart_Scale_Distance!A:A)+1,Chart_Scale_Distance!A:A,Chart_Scale_Distance!B:B),R309),R309),R309))</f>
        <v/>
      </c>
      <c r="AV309" s="28" t="str">
        <f t="array" ref="AV309">IF($I308="","",IFERROR(XLOOKUP(R309,Chart_Scale_Distance!$B:$B,Chart_Scale_Distance!$A:$A,""),""))</f>
        <v/>
      </c>
      <c r="AW309" s="28" t="str">
        <f t="array" ref="AW309">IF($I308="","",IFERROR(XLOOKUP(AA309,Chart_Scale_Distance!$B:$B,Chart_Scale_Distance!$A:$A,""),""))</f>
        <v/>
      </c>
      <c r="AX309" s="28" t="str">
        <f t="shared" si="14"/>
        <v/>
      </c>
      <c r="AY309" s="28" t="str">
        <f t="shared" si="15"/>
        <v/>
      </c>
      <c r="AZ309" s="28" t="str">
        <f t="shared" si="16"/>
        <v/>
      </c>
      <c r="BA309" s="28" t="str">
        <f t="shared" si="17"/>
        <v/>
      </c>
      <c r="BB309" s="28" t="str">
        <f t="shared" si="18"/>
        <v/>
      </c>
      <c r="BC309" s="28" t="str">
        <f t="array" ref="BC309">IF($I309="","",LET(
conf,AI309,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duoMax,XLOOKUP($B309,Derived_Variables!$A:$A,Derived_Variables!$AI:$AI,4),
axisTol,XLOOKUP($B309,Derived_Variables!$A:$A,Derived_Variables!$W:$W,1),
maxStart,XLOOKUP($B309,Derived_Variables!$A:$A,Derived_Variables!$U:$U,1.25),
maxAR,XLOOKUP($B309,Derived_Variables!$A:$A,Derived_Variables!$V:$V,3),
anom,XLOOKUP($B309,Derived_Variables!$A:$A,Derived_Variables!$Z:$Z,FALSE),
reStart,XLOOKUP($B309,Derived_Variables!$A:$A,Derived_Variables!$K:$K,0),
leStart,XLOOKUP($B309,Derived_Variables!$A:$A,Derived_Variables!$N:$N,0),
reAR,XLOOKUP($B309,AR_Input!$A:$A,AR_Input!$B:$B,reStart),
leAR,XLOOKUP($B309,AR_Input!$A:$A,AR_Input!$E:$E,leStart),
reEsc,AND(anom,OR(ABS((S309+AM309)-reStart)&gt;maxStart,ABS((S309+AM309)-reAR)&gt;maxAR)),
leEsc,AND(anom,OR(ABS((V309+AP309)-leStart)&gt;maxStart,ABS((V309+AP309)-leAR)&gt;maxAR)),
phaseMax,IFS(
 AK309="Fast",
   IFS(
     OR(C309="B",C309="D"),XLOOKUP("timeout_coarse_fast",Calibration!$B:$B,Calibration!$C:$C,24),
     OR(C309="E",C309="F",C309="H",C309="I"),XLOOKUP("timeout_jcc_fast",Calibration!$B:$B,Calibration!$C:$C,10),
     OR(C309="G",C309="J"),XLOOKUP("timeout_duochrome_fast",Calibration!$B:$B,Calibration!$C:$C,8),
     C309="K",XLOOKUP("timeout_bino_fast",Calibration!$B:$B,Calibration!$C:$C,10),
     OR(C309="P",C309="Q",C309="R"),XLOOKUP("timeout_near_fast",Calibration!$B:$B,Calibration!$C:$C,16),
     TRUE,XLOOKUP("timeout_coarse_fast",Calibration!$B:$B,Calibration!$C:$C,24)
   ),
 AK309="Normal",
   IFS(
     OR(C309="B",C309="D"),XLOOKUP("timeout_coarse_normal",Calibration!$B:$B,Calibration!$C:$C,36),
     OR(C309="E",C309="F",C309="H",C309="I"),XLOOKUP("timeout_jcc_normal",Calibration!$B:$B,Calibration!$C:$C,14),
     OR(C309="G",C309="J"),XLOOKUP("timeout_duochrome_normal",Calibration!$B:$B,Calibration!$C:$C,10),
     C309="K",XLOOKUP("timeout_bino_normal",Calibration!$B:$B,Calibration!$C:$C,14),
     OR(C309="P",C309="Q",C309="R"),XLOOKUP("timeout_near_normal",Calibration!$B:$B,Calibration!$C:$C,22),
     TRUE,XLOOKUP("timeout_coarse_normal",Calibration!$B:$B,Calibration!$C:$C,36)
   ),
 TRUE,
   IFS(
     OR(C309="B",C309="D"),XLOOKUP("timeout_coarse_slow",Calibration!$B:$B,Calibration!$C:$C,48),
     OR(C309="E",C309="F",C309="H",C309="I"),XLOOKUP("timeout_jcc_slow",Calibration!$B:$B,Calibration!$C:$C,18),
     OR(C309="G",C309="J"),XLOOKUP("timeout_duochrome_slow",Calibration!$B:$B,Calibration!$C:$C,12),
     C309="K",XLOOKUP("timeout_bino_slow",Calibration!$B:$B,Calibration!$C:$C,18),
     OR(C309="P",C309="Q",C309="R"),XLOOKUP("timeout_near_slow",Calibration!$B:$B,Calibration!$C:$C,28),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AJ309=TRUE,"ESCALATE",
C309="A",
IF(OR(I309="NOT_READABLE",I309="BLURRY",AND(R309="20_20_20",I309="READABLE")),"B","A"),
C309="B",
IF(reEsc,"ESCALATE",IF(AY309&gt;=phaseMax,"ESCALATE",IF(AND(AV309&gt;=AW309,I309="READABLE"),"E","B"))),
C309="E",
IF(AY309&gt;=phaseMax,"ESCALATE",IF(OR(I309="SAME",I309="CANT_TELL",AD309&lt;axisTol),"F","E")),
C309="F",
IF(AY309&gt;=phaseMax,"ESCALATE",IF(AX309&gt;=powerSameN,"G","F")),
C309="G",
IF(AY309&gt;=phaseMax,"ESCALATE",IF(OR(AX309&gt;=duoEqualN,BB309&gt;=duoMax),"D","G")),
C309="D",
IF(leEsc,"ESCALATE",IF(AY309&gt;=phaseMax,"ESCALATE",IF(AND(AV309&gt;=AW309,I309="READABLE"),"H","D"))),
C309="H",
IF(AY309&gt;=phaseMax,"ESCALATE",IF(OR(I309="SAME",I309="CANT_TELL",AD309&lt;axisTol),"I","H")),
C309="I",
IF(AY309&gt;=phaseMax,"ESCALATE",IF(AX309&gt;=powerSameN,"J","I")),
C309="J",
IF(AY309&gt;=phaseMax,"ESCALATE",IF(OR(AX309&gt;=duoEqualN,BB309&gt;=duoMax),"K","J")),
C309="K",
IF(AY309&gt;=phaseMax,"ESCALATE",IF(AX309&gt;=binoSameN,IF(XLOOKUP($B309,Derived_Variables!$A:$A,Derived_Variables!$AJ:$AJ,FALSE)=TRUE,"P","END"),"K")),
C309="P",
IF(AY309&gt;=phaseMax,"ESCALATE",IF(OR(I309="READABLE",I309="SAME"),"Q","P")),
C309="Q",
IF(AY309&gt;=phaseMax,"ESCALATE",IF(OR(I309="READABLE",I309="SAME"),"R","Q")),
C309="R",
IF(AY309&gt;=phaseMax,"ESCALATE",IF(OR(I309=nearTarget,I309="SAME"),"END","R")),
TRUE,"END"
)))</f>
        <v/>
      </c>
      <c r="BD309" s="28" t="b">
        <f t="shared" si="19"/>
        <v>0</v>
      </c>
    </row>
    <row r="310" ht="15.75" customHeight="1">
      <c r="A310" s="28">
        <f t="shared" si="3"/>
        <v>309</v>
      </c>
      <c r="B310" s="28">
        <f t="shared" si="4"/>
        <v>6</v>
      </c>
      <c r="C310" s="28" t="str">
        <f t="shared" si="5"/>
        <v/>
      </c>
      <c r="D310" s="28" t="str">
        <f t="array" ref="D310">IF($I309="","",XLOOKUP(C310,FSM_State_Map!A:A,FSM_State_Map!B:B,""))</f>
        <v/>
      </c>
      <c r="E310" s="28" t="str">
        <f t="array" ref="E310">IF($I309="","",XLOOKUP(C310,FSM_State_Map!A:A,FSM_State_Map!C:C,""))</f>
        <v/>
      </c>
      <c r="F310" s="28" t="str">
        <f t="array" ref="F310">IF($I309="","",XLOOKUP(E310,Phase_UI_Map!A:A,Phase_UI_Map!B:B,""))</f>
        <v/>
      </c>
      <c r="G310" s="28" t="str">
        <f t="array" ref="G310">IF($I309="","",XLOOKUP(E310,Phase_UI_Map!A:A,Phase_UI_Map!C:C,""))</f>
        <v/>
      </c>
      <c r="H310" s="28" t="str">
        <f t="array" ref="H310">IF($I309="","",XLOOKUP(E310,Phase_UI_Map!A:A,Phase_UI_Map!D:D,""))</f>
        <v/>
      </c>
      <c r="I310" s="29"/>
      <c r="J310" s="28" t="str">
        <f>IFERROR(__xludf.DUMMYFUNCTION("IF($I309="""","""",IFERROR(INDEX(FILTER(Response_Lists!$B:$B,Response_Lists!$A:$A=$H310),1),""""))"),"")</f>
        <v/>
      </c>
      <c r="K310" s="28" t="str">
        <f>IFERROR(__xludf.DUMMYFUNCTION("IF($I309="""","""",IFERROR(INDEX(FILTER(Response_Lists!$B:$B,Response_Lists!$A:$A=$H310),2),""""))"),"")</f>
        <v/>
      </c>
      <c r="L310" s="28" t="str">
        <f>IFERROR(__xludf.DUMMYFUNCTION("IF($I309="""","""",IFERROR(INDEX(FILTER(Response_Lists!$B:$B,Response_Lists!$A:$A=$H310),3),""""))"),"")</f>
        <v/>
      </c>
      <c r="M310" s="28" t="str">
        <f>IFERROR(__xludf.DUMMYFUNCTION("IF($I309="""","""",IFERROR(INDEX(FILTER(Response_Lists!$B:$B,Response_Lists!$A:$A=$H310),4),""""))"),"")</f>
        <v/>
      </c>
      <c r="N310" s="28" t="str">
        <f>IFERROR(__xludf.DUMMYFUNCTION("IF($I309="""","""",IFERROR(INDEX(FILTER(Response_Lists!$B:$B,Response_Lists!$A:$A=$H310),5),""""))"),"")</f>
        <v/>
      </c>
      <c r="O310" s="28" t="str">
        <f>IFERROR(__xludf.DUMMYFUNCTION("IF($I309="""","""",IFERROR(INDEX(FILTER(Response_Lists!$B:$B,Response_Lists!$A:$A=$H310),6),""""))"),"")</f>
        <v/>
      </c>
      <c r="P310" s="28" t="str">
        <f t="shared" si="6"/>
        <v/>
      </c>
      <c r="Q310" s="28" t="str">
        <f t="array" ref="Q310">IF($I309="","",XLOOKUP(C310,FSM_State_Map!A:A,FSM_State_Map!D:D,""))</f>
        <v/>
      </c>
      <c r="R310" s="28" t="str">
        <f t="shared" si="7"/>
        <v/>
      </c>
      <c r="S310" s="28" t="str">
        <f t="array" ref="S310">IF($I309="","",
IF(
  AND(C310="B",C309&lt;&gt;"B"),
  XLOOKUP($B310,Derived_Variables!$A:$A,Derived_Variables!$K:$K,0)
  + XLOOKUP($B310,Derived_Variables!$A:$A,Derived_Variables!$AE:$AE,0),
  S309+AM309
))</f>
        <v/>
      </c>
      <c r="T310" s="28" t="str">
        <f t="shared" ref="T310:U310" si="630">IF($I309="","",T309+AN309)</f>
        <v/>
      </c>
      <c r="U310" s="28" t="str">
        <f t="shared" si="630"/>
        <v/>
      </c>
      <c r="V310" s="28" t="str">
        <f t="array" ref="V310">IF($I309="","",
IF(
  AND(C310="D",C309&lt;&gt;"D"),
  XLOOKUP($B310,Derived_Variables!$A:$A,Derived_Variables!$N:$N,0)
  + XLOOKUP($B310,Derived_Variables!$A:$A,Derived_Variables!$AE:$AE,0),
  V309+AP309
))</f>
        <v/>
      </c>
      <c r="W310" s="28" t="str">
        <f t="shared" ref="W310:X310" si="631">IF($I309="","",W309+AQ309)</f>
        <v/>
      </c>
      <c r="X310" s="28" t="str">
        <f t="shared" si="631"/>
        <v/>
      </c>
      <c r="Y310" s="28" t="str">
        <f t="array" ref="Y310">IF($I309="","",IF(AND(C310="P",C309&lt;&gt;"P"),IFERROR(XLOOKUP($B310,Lenso_Input!$A:$A,Lenso_Input!$E:$E,0),0),Y309+AS309))</f>
        <v/>
      </c>
      <c r="Z310" s="28" t="str">
        <f t="array" ref="Z310">IF($I309="","",IF(AND(C310="Q",C309&lt;&gt;"Q"),IFERROR(XLOOKUP($B310,Lenso_Input!$A:$A,Lenso_Input!$I:$I,0),0),Z309+AT309))</f>
        <v/>
      </c>
      <c r="AA310" s="28" t="str">
        <f t="array" ref="AA310">IF($I309="","",IF(XLOOKUP($B310,Derived_Variables!$A:$A,Derived_Variables!$R:$R,"6/6_target")="6/6_target","20_20_20","40_30_25"))</f>
        <v/>
      </c>
      <c r="AB310" s="28" t="str">
        <f t="array" ref="AB310">IF($I309="","",XLOOKUP(LOWER(XLOOKUP($B310,Derived_Variables!$A:$A,Derived_Variables!$T:$T,"Standard"))&amp;"_sph_step",Calibration!$B:$B,Calibration!$C:$C,0.25))</f>
        <v/>
      </c>
      <c r="AC310" s="28" t="str">
        <f t="array" ref="AC310">IF($I309="","",XLOOKUP(LOWER(XLOOKUP($B310,Derived_Variables!$A:$A,Derived_Variables!$T:$T,"Standard"))&amp;"_cyl_step",Calibration!$B:$B,Calibration!$C:$C,0.25))</f>
        <v/>
      </c>
      <c r="AD310" s="28" t="str">
        <f t="array" ref="AD310">IF($I309="","",IF(OR(C310="E",C310="H"),LET(startStep,XLOOKUP("axis_start_step",Calibration!$B:$B,Calibration!$C:$C,5),step1,XLOOKUP("axis_reversal_step_1",Calibration!$B:$B,Calibration!$C:$C,3),step2,XLOOKUP("axis_reversal_step_2",Calibration!$B:$B,Calibration!$C:$C,1),IF(OR(C309&lt;&gt;C310,AZ310="",AZ310="SAME",AZ310="CANT_TELL",I310="",I310="SAME",I310="CANT_TELL"),startStep,IF(OR(AND(AZ310="BETTER_1",I310="BETTER_2"),AND(AZ310="BETTER_2",I310="BETTER_1")),IF(AD309&gt;step1,step1,step2),AD309))),0))</f>
        <v/>
      </c>
      <c r="AE310" s="28" t="str">
        <f t="array" ref="AE310">IF($I309="","",XLOOKUP($B310,Derived_Variables!$A:$A,Derived_Variables!$AD:$AD,"No_Fog"))</f>
        <v/>
      </c>
      <c r="AF310" s="28" t="str">
        <f t="array" ref="AF310">IF($I309="","",XLOOKUP($B310,Derived_Variables!$A:$A,Derived_Variables!$AE:$AE,0))</f>
        <v/>
      </c>
      <c r="AG310" s="28" t="str">
        <f t="array" ref="AG310">IF($I309="","",XLOOKUP($B310,Derived_Variables!$A:$A,Derived_Variables!$AF:$AF,""))</f>
        <v/>
      </c>
      <c r="AH310" s="28" t="str">
        <f t="array" ref="AH310">IF($I309="","",XLOOKUP($B310,Derived_Variables!$A:$A,Derived_Variables!$AG:$AG,""))</f>
        <v/>
      </c>
      <c r="AI310" s="28" t="str">
        <f t="array" ref="AI310">IF($I309="","",XLOOKUP($B310,Derived_Variables!$A:$A,Derived_Variables!$AC:$AC,"Medium"))</f>
        <v/>
      </c>
      <c r="AJ310" s="28" t="str">
        <f t="array" ref="AJ310">IF($I309="","",XLOOKUP($B310,Derived_Variables!$A:$A,Derived_Variables!$Y:$Y,FALSE))</f>
        <v/>
      </c>
      <c r="AK310" s="28" t="str">
        <f t="array" ref="AK310">IF($I309="","",XLOOKUP($B310,Derived_Variables!$A:$A,Derived_Variables!$AA:$AA,"Normal"))</f>
        <v/>
      </c>
      <c r="AL310" s="28" t="str">
        <f t="array" ref="AL310">IF($I309="","",XLOOKUP($B310,Derived_Variables!$A:$A,Derived_Variables!$AB:$AB,"Normal"))</f>
        <v/>
      </c>
      <c r="AM310" s="28" t="str">
        <f t="array" ref="AM310">IF($I310="","",IFS(C310="B",IF(OR(I310="NOT_READABLE",I310="BLURRY"),-AB310,0),C310="G",IFS(I310="RED_CLEARER",XLOOKUP("duochrome_red_step",Calibration!$B:$B,Calibration!$C:$C,-0.25),I310="GREEN_CLEARER",XLOOKUP("duochrome_green_step",Calibration!$B:$B,Calibration!$C:$C,0.25),I310="EQUAL",IF(XLOOKUP($B310,Derived_Variables!$A:$A,Derived_Variables!$S:$S,"Neutral")="Undercorrect",XLOOKUP("undercorrect_step",Calibration!$B:$B,Calibration!$C:$C,0.25),IF(XLOOKUP($B310,Derived_Variables!$A:$A,Derived_Variables!$S:$S,"Neutral")="Overcorrect",-XLOOKUP("overcorrect_step",Calibration!$B:$B,Calibration!$C:$C,0.25),0)),TRUE,0),C310="K",IF(I310="TOP_CLEARER",XLOOKUP("bino_balance_step",Calibration!$B:$B,Calibration!$C:$C,0.25),0),TRUE,0))</f>
        <v/>
      </c>
      <c r="AN310" s="28" t="str">
        <f t="shared" si="10"/>
        <v/>
      </c>
      <c r="AO310" s="28" t="str">
        <f t="shared" si="11"/>
        <v/>
      </c>
      <c r="AP310" s="28" t="str">
        <f t="array" ref="AP310">IF($I310="","",IFS(C310="D",IF(OR(I310="NOT_READABLE",I310="BLURRY"),-AB310,0),C310="J",IFS(I310="RED_CLEARER",XLOOKUP("duochrome_red_step",Calibration!$B:$B,Calibration!$C:$C,-0.25),I310="GREEN_CLEARER",XLOOKUP("duochrome_green_step",Calibration!$B:$B,Calibration!$C:$C,0.25),I310="EQUAL",IF(XLOOKUP($B310,Derived_Variables!$A:$A,Derived_Variables!$S:$S,"Neutral")="Undercorrect",XLOOKUP("undercorrect_step",Calibration!$B:$B,Calibration!$C:$C,0.25),IF(XLOOKUP($B310,Derived_Variables!$A:$A,Derived_Variables!$S:$S,"Neutral")="Overcorrect",-XLOOKUP("overcorrect_step",Calibration!$B:$B,Calibration!$C:$C,0.25),0)),TRUE,0),C310="K",IF(I310="BOTTOM_CLEARER",XLOOKUP("bino_balance_step",Calibration!$B:$B,Calibration!$C:$C,0.25),0),TRUE,0))</f>
        <v/>
      </c>
      <c r="AQ310" s="28" t="str">
        <f t="shared" si="12"/>
        <v/>
      </c>
      <c r="AR310" s="28" t="str">
        <f t="shared" si="13"/>
        <v/>
      </c>
      <c r="AS310" s="28" t="str">
        <f t="array" ref="AS310">IF($I310="","",IF(C310="P",IF(OR(I310="NOT_READABLE",I310="BLURRY"),XLOOKUP("near_add_step",Calibration!$B:$B,Calibration!$C:$C,0.25),0),IF(C310="R",IF(I310="NOT_CLEAR",XLOOKUP("near_add_step",Calibration!$B:$B,Calibration!$C:$C,0.25),0),0)))</f>
        <v/>
      </c>
      <c r="AT310" s="28" t="str">
        <f t="array" ref="AT310">IF($I310="","",IF(C310="Q",IF(OR(I310="NOT_READABLE",I310="BLURRY"),XLOOKUP("near_add_step",Calibration!$B:$B,Calibration!$C:$C,0.25),0),IF(C310="R",IF(I310="NOT_CLEAR",XLOOKUP("near_add_step",Calibration!$B:$B,Calibration!$C:$C,0.25),0),0)))</f>
        <v/>
      </c>
      <c r="AU310" s="28" t="str">
        <f t="array" ref="AU310">IF($I310="","",IF(G310="SNELLEN_FEET",IF(I310="READABLE",IFERROR(XLOOKUP(XLOOKUP(R310,Chart_Scale_Distance!B:B,Chart_Scale_Distance!A:A)+1,Chart_Scale_Distance!A:A,Chart_Scale_Distance!B:B),R310),R310),R310))</f>
        <v/>
      </c>
      <c r="AV310" s="28" t="str">
        <f t="array" ref="AV310">IF($I309="","",IFERROR(XLOOKUP(R310,Chart_Scale_Distance!$B:$B,Chart_Scale_Distance!$A:$A,""),""))</f>
        <v/>
      </c>
      <c r="AW310" s="28" t="str">
        <f t="array" ref="AW310">IF($I309="","",IFERROR(XLOOKUP(AA310,Chart_Scale_Distance!$B:$B,Chart_Scale_Distance!$A:$A,""),""))</f>
        <v/>
      </c>
      <c r="AX310" s="28" t="str">
        <f t="shared" si="14"/>
        <v/>
      </c>
      <c r="AY310" s="28" t="str">
        <f t="shared" si="15"/>
        <v/>
      </c>
      <c r="AZ310" s="28" t="str">
        <f t="shared" si="16"/>
        <v/>
      </c>
      <c r="BA310" s="28" t="str">
        <f t="shared" si="17"/>
        <v/>
      </c>
      <c r="BB310" s="28" t="str">
        <f t="shared" si="18"/>
        <v/>
      </c>
      <c r="BC310" s="28" t="str">
        <f t="array" ref="BC310">IF($I310="","",LET(
conf,AI310,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duoMax,XLOOKUP($B310,Derived_Variables!$A:$A,Derived_Variables!$AI:$AI,4),
axisTol,XLOOKUP($B310,Derived_Variables!$A:$A,Derived_Variables!$W:$W,1),
maxStart,XLOOKUP($B310,Derived_Variables!$A:$A,Derived_Variables!$U:$U,1.25),
maxAR,XLOOKUP($B310,Derived_Variables!$A:$A,Derived_Variables!$V:$V,3),
anom,XLOOKUP($B310,Derived_Variables!$A:$A,Derived_Variables!$Z:$Z,FALSE),
reStart,XLOOKUP($B310,Derived_Variables!$A:$A,Derived_Variables!$K:$K,0),
leStart,XLOOKUP($B310,Derived_Variables!$A:$A,Derived_Variables!$N:$N,0),
reAR,XLOOKUP($B310,AR_Input!$A:$A,AR_Input!$B:$B,reStart),
leAR,XLOOKUP($B310,AR_Input!$A:$A,AR_Input!$E:$E,leStart),
reEsc,AND(anom,OR(ABS((S310+AM310)-reStart)&gt;maxStart,ABS((S310+AM310)-reAR)&gt;maxAR)),
leEsc,AND(anom,OR(ABS((V310+AP310)-leStart)&gt;maxStart,ABS((V310+AP310)-leAR)&gt;maxAR)),
phaseMax,IFS(
 AK310="Fast",
   IFS(
     OR(C310="B",C310="D"),XLOOKUP("timeout_coarse_fast",Calibration!$B:$B,Calibration!$C:$C,24),
     OR(C310="E",C310="F",C310="H",C310="I"),XLOOKUP("timeout_jcc_fast",Calibration!$B:$B,Calibration!$C:$C,10),
     OR(C310="G",C310="J"),XLOOKUP("timeout_duochrome_fast",Calibration!$B:$B,Calibration!$C:$C,8),
     C310="K",XLOOKUP("timeout_bino_fast",Calibration!$B:$B,Calibration!$C:$C,10),
     OR(C310="P",C310="Q",C310="R"),XLOOKUP("timeout_near_fast",Calibration!$B:$B,Calibration!$C:$C,16),
     TRUE,XLOOKUP("timeout_coarse_fast",Calibration!$B:$B,Calibration!$C:$C,24)
   ),
 AK310="Normal",
   IFS(
     OR(C310="B",C310="D"),XLOOKUP("timeout_coarse_normal",Calibration!$B:$B,Calibration!$C:$C,36),
     OR(C310="E",C310="F",C310="H",C310="I"),XLOOKUP("timeout_jcc_normal",Calibration!$B:$B,Calibration!$C:$C,14),
     OR(C310="G",C310="J"),XLOOKUP("timeout_duochrome_normal",Calibration!$B:$B,Calibration!$C:$C,10),
     C310="K",XLOOKUP("timeout_bino_normal",Calibration!$B:$B,Calibration!$C:$C,14),
     OR(C310="P",C310="Q",C310="R"),XLOOKUP("timeout_near_normal",Calibration!$B:$B,Calibration!$C:$C,22),
     TRUE,XLOOKUP("timeout_coarse_normal",Calibration!$B:$B,Calibration!$C:$C,36)
   ),
 TRUE,
   IFS(
     OR(C310="B",C310="D"),XLOOKUP("timeout_coarse_slow",Calibration!$B:$B,Calibration!$C:$C,48),
     OR(C310="E",C310="F",C310="H",C310="I"),XLOOKUP("timeout_jcc_slow",Calibration!$B:$B,Calibration!$C:$C,18),
     OR(C310="G",C310="J"),XLOOKUP("timeout_duochrome_slow",Calibration!$B:$B,Calibration!$C:$C,12),
     C310="K",XLOOKUP("timeout_bino_slow",Calibration!$B:$B,Calibration!$C:$C,18),
     OR(C310="P",C310="Q",C310="R"),XLOOKUP("timeout_near_slow",Calibration!$B:$B,Calibration!$C:$C,28),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AJ310=TRUE,"ESCALATE",
C310="A",
IF(OR(I310="NOT_READABLE",I310="BLURRY",AND(R310="20_20_20",I310="READABLE")),"B","A"),
C310="B",
IF(reEsc,"ESCALATE",IF(AY310&gt;=phaseMax,"ESCALATE",IF(AND(AV310&gt;=AW310,I310="READABLE"),"E","B"))),
C310="E",
IF(AY310&gt;=phaseMax,"ESCALATE",IF(OR(I310="SAME",I310="CANT_TELL",AD310&lt;axisTol),"F","E")),
C310="F",
IF(AY310&gt;=phaseMax,"ESCALATE",IF(AX310&gt;=powerSameN,"G","F")),
C310="G",
IF(AY310&gt;=phaseMax,"ESCALATE",IF(OR(AX310&gt;=duoEqualN,BB310&gt;=duoMax),"D","G")),
C310="D",
IF(leEsc,"ESCALATE",IF(AY310&gt;=phaseMax,"ESCALATE",IF(AND(AV310&gt;=AW310,I310="READABLE"),"H","D"))),
C310="H",
IF(AY310&gt;=phaseMax,"ESCALATE",IF(OR(I310="SAME",I310="CANT_TELL",AD310&lt;axisTol),"I","H")),
C310="I",
IF(AY310&gt;=phaseMax,"ESCALATE",IF(AX310&gt;=powerSameN,"J","I")),
C310="J",
IF(AY310&gt;=phaseMax,"ESCALATE",IF(OR(AX310&gt;=duoEqualN,BB310&gt;=duoMax),"K","J")),
C310="K",
IF(AY310&gt;=phaseMax,"ESCALATE",IF(AX310&gt;=binoSameN,IF(XLOOKUP($B310,Derived_Variables!$A:$A,Derived_Variables!$AJ:$AJ,FALSE)=TRUE,"P","END"),"K")),
C310="P",
IF(AY310&gt;=phaseMax,"ESCALATE",IF(OR(I310="READABLE",I310="SAME"),"Q","P")),
C310="Q",
IF(AY310&gt;=phaseMax,"ESCALATE",IF(OR(I310="READABLE",I310="SAME"),"R","Q")),
C310="R",
IF(AY310&gt;=phaseMax,"ESCALATE",IF(OR(I310=nearTarget,I310="SAME"),"END","R")),
TRUE,"END"
)))</f>
        <v/>
      </c>
      <c r="BD310" s="28" t="b">
        <f t="shared" si="19"/>
        <v>0</v>
      </c>
    </row>
    <row r="311" ht="15.75" customHeight="1">
      <c r="A311" s="28">
        <f t="shared" si="3"/>
        <v>310</v>
      </c>
      <c r="B311" s="28">
        <f t="shared" si="4"/>
        <v>6</v>
      </c>
      <c r="C311" s="28" t="str">
        <f t="shared" si="5"/>
        <v/>
      </c>
      <c r="D311" s="28" t="str">
        <f t="array" ref="D311">IF($I310="","",XLOOKUP(C311,FSM_State_Map!A:A,FSM_State_Map!B:B,""))</f>
        <v/>
      </c>
      <c r="E311" s="28" t="str">
        <f t="array" ref="E311">IF($I310="","",XLOOKUP(C311,FSM_State_Map!A:A,FSM_State_Map!C:C,""))</f>
        <v/>
      </c>
      <c r="F311" s="28" t="str">
        <f t="array" ref="F311">IF($I310="","",XLOOKUP(E311,Phase_UI_Map!A:A,Phase_UI_Map!B:B,""))</f>
        <v/>
      </c>
      <c r="G311" s="28" t="str">
        <f t="array" ref="G311">IF($I310="","",XLOOKUP(E311,Phase_UI_Map!A:A,Phase_UI_Map!C:C,""))</f>
        <v/>
      </c>
      <c r="H311" s="28" t="str">
        <f t="array" ref="H311">IF($I310="","",XLOOKUP(E311,Phase_UI_Map!A:A,Phase_UI_Map!D:D,""))</f>
        <v/>
      </c>
      <c r="I311" s="29"/>
      <c r="J311" s="28" t="str">
        <f>IFERROR(__xludf.DUMMYFUNCTION("IF($I310="""","""",IFERROR(INDEX(FILTER(Response_Lists!$B:$B,Response_Lists!$A:$A=$H311),1),""""))"),"")</f>
        <v/>
      </c>
      <c r="K311" s="28" t="str">
        <f>IFERROR(__xludf.DUMMYFUNCTION("IF($I310="""","""",IFERROR(INDEX(FILTER(Response_Lists!$B:$B,Response_Lists!$A:$A=$H311),2),""""))"),"")</f>
        <v/>
      </c>
      <c r="L311" s="28" t="str">
        <f>IFERROR(__xludf.DUMMYFUNCTION("IF($I310="""","""",IFERROR(INDEX(FILTER(Response_Lists!$B:$B,Response_Lists!$A:$A=$H311),3),""""))"),"")</f>
        <v/>
      </c>
      <c r="M311" s="28" t="str">
        <f>IFERROR(__xludf.DUMMYFUNCTION("IF($I310="""","""",IFERROR(INDEX(FILTER(Response_Lists!$B:$B,Response_Lists!$A:$A=$H311),4),""""))"),"")</f>
        <v/>
      </c>
      <c r="N311" s="28" t="str">
        <f>IFERROR(__xludf.DUMMYFUNCTION("IF($I310="""","""",IFERROR(INDEX(FILTER(Response_Lists!$B:$B,Response_Lists!$A:$A=$H311),5),""""))"),"")</f>
        <v/>
      </c>
      <c r="O311" s="28" t="str">
        <f>IFERROR(__xludf.DUMMYFUNCTION("IF($I310="""","""",IFERROR(INDEX(FILTER(Response_Lists!$B:$B,Response_Lists!$A:$A=$H311),6),""""))"),"")</f>
        <v/>
      </c>
      <c r="P311" s="28" t="str">
        <f t="shared" si="6"/>
        <v/>
      </c>
      <c r="Q311" s="28" t="str">
        <f t="array" ref="Q311">IF($I310="","",XLOOKUP(C311,FSM_State_Map!A:A,FSM_State_Map!D:D,""))</f>
        <v/>
      </c>
      <c r="R311" s="28" t="str">
        <f t="shared" si="7"/>
        <v/>
      </c>
      <c r="S311" s="28" t="str">
        <f t="array" ref="S311">IF($I310="","",
IF(
  AND(C311="B",C310&lt;&gt;"B"),
  XLOOKUP($B311,Derived_Variables!$A:$A,Derived_Variables!$K:$K,0)
  + XLOOKUP($B311,Derived_Variables!$A:$A,Derived_Variables!$AE:$AE,0),
  S310+AM310
))</f>
        <v/>
      </c>
      <c r="T311" s="28" t="str">
        <f t="shared" ref="T311:U311" si="632">IF($I310="","",T310+AN310)</f>
        <v/>
      </c>
      <c r="U311" s="28" t="str">
        <f t="shared" si="632"/>
        <v/>
      </c>
      <c r="V311" s="28" t="str">
        <f t="array" ref="V311">IF($I310="","",
IF(
  AND(C311="D",C310&lt;&gt;"D"),
  XLOOKUP($B311,Derived_Variables!$A:$A,Derived_Variables!$N:$N,0)
  + XLOOKUP($B311,Derived_Variables!$A:$A,Derived_Variables!$AE:$AE,0),
  V310+AP310
))</f>
        <v/>
      </c>
      <c r="W311" s="28" t="str">
        <f t="shared" ref="W311:X311" si="633">IF($I310="","",W310+AQ310)</f>
        <v/>
      </c>
      <c r="X311" s="28" t="str">
        <f t="shared" si="633"/>
        <v/>
      </c>
      <c r="Y311" s="28" t="str">
        <f t="array" ref="Y311">IF($I310="","",IF(AND(C311="P",C310&lt;&gt;"P"),IFERROR(XLOOKUP($B311,Lenso_Input!$A:$A,Lenso_Input!$E:$E,0),0),Y310+AS310))</f>
        <v/>
      </c>
      <c r="Z311" s="28" t="str">
        <f t="array" ref="Z311">IF($I310="","",IF(AND(C311="Q",C310&lt;&gt;"Q"),IFERROR(XLOOKUP($B311,Lenso_Input!$A:$A,Lenso_Input!$I:$I,0),0),Z310+AT310))</f>
        <v/>
      </c>
      <c r="AA311" s="28" t="str">
        <f t="array" ref="AA311">IF($I310="","",IF(XLOOKUP($B311,Derived_Variables!$A:$A,Derived_Variables!$R:$R,"6/6_target")="6/6_target","20_20_20","40_30_25"))</f>
        <v/>
      </c>
      <c r="AB311" s="28" t="str">
        <f t="array" ref="AB311">IF($I310="","",XLOOKUP(LOWER(XLOOKUP($B311,Derived_Variables!$A:$A,Derived_Variables!$T:$T,"Standard"))&amp;"_sph_step",Calibration!$B:$B,Calibration!$C:$C,0.25))</f>
        <v/>
      </c>
      <c r="AC311" s="28" t="str">
        <f t="array" ref="AC311">IF($I310="","",XLOOKUP(LOWER(XLOOKUP($B311,Derived_Variables!$A:$A,Derived_Variables!$T:$T,"Standard"))&amp;"_cyl_step",Calibration!$B:$B,Calibration!$C:$C,0.25))</f>
        <v/>
      </c>
      <c r="AD311" s="28" t="str">
        <f t="array" ref="AD311">IF($I310="","",IF(OR(C311="E",C311="H"),LET(startStep,XLOOKUP("axis_start_step",Calibration!$B:$B,Calibration!$C:$C,5),step1,XLOOKUP("axis_reversal_step_1",Calibration!$B:$B,Calibration!$C:$C,3),step2,XLOOKUP("axis_reversal_step_2",Calibration!$B:$B,Calibration!$C:$C,1),IF(OR(C310&lt;&gt;C311,AZ311="",AZ311="SAME",AZ311="CANT_TELL",I311="",I311="SAME",I311="CANT_TELL"),startStep,IF(OR(AND(AZ311="BETTER_1",I311="BETTER_2"),AND(AZ311="BETTER_2",I311="BETTER_1")),IF(AD310&gt;step1,step1,step2),AD310))),0))</f>
        <v/>
      </c>
      <c r="AE311" s="28" t="str">
        <f t="array" ref="AE311">IF($I310="","",XLOOKUP($B311,Derived_Variables!$A:$A,Derived_Variables!$AD:$AD,"No_Fog"))</f>
        <v/>
      </c>
      <c r="AF311" s="28" t="str">
        <f t="array" ref="AF311">IF($I310="","",XLOOKUP($B311,Derived_Variables!$A:$A,Derived_Variables!$AE:$AE,0))</f>
        <v/>
      </c>
      <c r="AG311" s="28" t="str">
        <f t="array" ref="AG311">IF($I310="","",XLOOKUP($B311,Derived_Variables!$A:$A,Derived_Variables!$AF:$AF,""))</f>
        <v/>
      </c>
      <c r="AH311" s="28" t="str">
        <f t="array" ref="AH311">IF($I310="","",XLOOKUP($B311,Derived_Variables!$A:$A,Derived_Variables!$AG:$AG,""))</f>
        <v/>
      </c>
      <c r="AI311" s="28" t="str">
        <f t="array" ref="AI311">IF($I310="","",XLOOKUP($B311,Derived_Variables!$A:$A,Derived_Variables!$AC:$AC,"Medium"))</f>
        <v/>
      </c>
      <c r="AJ311" s="28" t="str">
        <f t="array" ref="AJ311">IF($I310="","",XLOOKUP($B311,Derived_Variables!$A:$A,Derived_Variables!$Y:$Y,FALSE))</f>
        <v/>
      </c>
      <c r="AK311" s="28" t="str">
        <f t="array" ref="AK311">IF($I310="","",XLOOKUP($B311,Derived_Variables!$A:$A,Derived_Variables!$AA:$AA,"Normal"))</f>
        <v/>
      </c>
      <c r="AL311" s="28" t="str">
        <f t="array" ref="AL311">IF($I310="","",XLOOKUP($B311,Derived_Variables!$A:$A,Derived_Variables!$AB:$AB,"Normal"))</f>
        <v/>
      </c>
      <c r="AM311" s="28" t="str">
        <f t="array" ref="AM311">IF($I311="","",IFS(C311="B",IF(OR(I311="NOT_READABLE",I311="BLURRY"),-AB311,0),C311="G",IFS(I311="RED_CLEARER",XLOOKUP("duochrome_red_step",Calibration!$B:$B,Calibration!$C:$C,-0.25),I311="GREEN_CLEARER",XLOOKUP("duochrome_green_step",Calibration!$B:$B,Calibration!$C:$C,0.25),I311="EQUAL",IF(XLOOKUP($B311,Derived_Variables!$A:$A,Derived_Variables!$S:$S,"Neutral")="Undercorrect",XLOOKUP("undercorrect_step",Calibration!$B:$B,Calibration!$C:$C,0.25),IF(XLOOKUP($B311,Derived_Variables!$A:$A,Derived_Variables!$S:$S,"Neutral")="Overcorrect",-XLOOKUP("overcorrect_step",Calibration!$B:$B,Calibration!$C:$C,0.25),0)),TRUE,0),C311="K",IF(I311="TOP_CLEARER",XLOOKUP("bino_balance_step",Calibration!$B:$B,Calibration!$C:$C,0.25),0),TRUE,0))</f>
        <v/>
      </c>
      <c r="AN311" s="28" t="str">
        <f t="shared" si="10"/>
        <v/>
      </c>
      <c r="AO311" s="28" t="str">
        <f t="shared" si="11"/>
        <v/>
      </c>
      <c r="AP311" s="28" t="str">
        <f t="array" ref="AP311">IF($I311="","",IFS(C311="D",IF(OR(I311="NOT_READABLE",I311="BLURRY"),-AB311,0),C311="J",IFS(I311="RED_CLEARER",XLOOKUP("duochrome_red_step",Calibration!$B:$B,Calibration!$C:$C,-0.25),I311="GREEN_CLEARER",XLOOKUP("duochrome_green_step",Calibration!$B:$B,Calibration!$C:$C,0.25),I311="EQUAL",IF(XLOOKUP($B311,Derived_Variables!$A:$A,Derived_Variables!$S:$S,"Neutral")="Undercorrect",XLOOKUP("undercorrect_step",Calibration!$B:$B,Calibration!$C:$C,0.25),IF(XLOOKUP($B311,Derived_Variables!$A:$A,Derived_Variables!$S:$S,"Neutral")="Overcorrect",-XLOOKUP("overcorrect_step",Calibration!$B:$B,Calibration!$C:$C,0.25),0)),TRUE,0),C311="K",IF(I311="BOTTOM_CLEARER",XLOOKUP("bino_balance_step",Calibration!$B:$B,Calibration!$C:$C,0.25),0),TRUE,0))</f>
        <v/>
      </c>
      <c r="AQ311" s="28" t="str">
        <f t="shared" si="12"/>
        <v/>
      </c>
      <c r="AR311" s="28" t="str">
        <f t="shared" si="13"/>
        <v/>
      </c>
      <c r="AS311" s="28" t="str">
        <f t="array" ref="AS311">IF($I311="","",IF(C311="P",IF(OR(I311="NOT_READABLE",I311="BLURRY"),XLOOKUP("near_add_step",Calibration!$B:$B,Calibration!$C:$C,0.25),0),IF(C311="R",IF(I311="NOT_CLEAR",XLOOKUP("near_add_step",Calibration!$B:$B,Calibration!$C:$C,0.25),0),0)))</f>
        <v/>
      </c>
      <c r="AT311" s="28" t="str">
        <f t="array" ref="AT311">IF($I311="","",IF(C311="Q",IF(OR(I311="NOT_READABLE",I311="BLURRY"),XLOOKUP("near_add_step",Calibration!$B:$B,Calibration!$C:$C,0.25),0),IF(C311="R",IF(I311="NOT_CLEAR",XLOOKUP("near_add_step",Calibration!$B:$B,Calibration!$C:$C,0.25),0),0)))</f>
        <v/>
      </c>
      <c r="AU311" s="28" t="str">
        <f t="array" ref="AU311">IF($I311="","",IF(G311="SNELLEN_FEET",IF(I311="READABLE",IFERROR(XLOOKUP(XLOOKUP(R311,Chart_Scale_Distance!B:B,Chart_Scale_Distance!A:A)+1,Chart_Scale_Distance!A:A,Chart_Scale_Distance!B:B),R311),R311),R311))</f>
        <v/>
      </c>
      <c r="AV311" s="28" t="str">
        <f t="array" ref="AV311">IF($I310="","",IFERROR(XLOOKUP(R311,Chart_Scale_Distance!$B:$B,Chart_Scale_Distance!$A:$A,""),""))</f>
        <v/>
      </c>
      <c r="AW311" s="28" t="str">
        <f t="array" ref="AW311">IF($I310="","",IFERROR(XLOOKUP(AA311,Chart_Scale_Distance!$B:$B,Chart_Scale_Distance!$A:$A,""),""))</f>
        <v/>
      </c>
      <c r="AX311" s="28" t="str">
        <f t="shared" si="14"/>
        <v/>
      </c>
      <c r="AY311" s="28" t="str">
        <f t="shared" si="15"/>
        <v/>
      </c>
      <c r="AZ311" s="28" t="str">
        <f t="shared" si="16"/>
        <v/>
      </c>
      <c r="BA311" s="28" t="str">
        <f t="shared" si="17"/>
        <v/>
      </c>
      <c r="BB311" s="28" t="str">
        <f t="shared" si="18"/>
        <v/>
      </c>
      <c r="BC311" s="28" t="str">
        <f t="array" ref="BC311">IF($I311="","",LET(
conf,AI311,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duoMax,XLOOKUP($B311,Derived_Variables!$A:$A,Derived_Variables!$AI:$AI,4),
axisTol,XLOOKUP($B311,Derived_Variables!$A:$A,Derived_Variables!$W:$W,1),
maxStart,XLOOKUP($B311,Derived_Variables!$A:$A,Derived_Variables!$U:$U,1.25),
maxAR,XLOOKUP($B311,Derived_Variables!$A:$A,Derived_Variables!$V:$V,3),
anom,XLOOKUP($B311,Derived_Variables!$A:$A,Derived_Variables!$Z:$Z,FALSE),
reStart,XLOOKUP($B311,Derived_Variables!$A:$A,Derived_Variables!$K:$K,0),
leStart,XLOOKUP($B311,Derived_Variables!$A:$A,Derived_Variables!$N:$N,0),
reAR,XLOOKUP($B311,AR_Input!$A:$A,AR_Input!$B:$B,reStart),
leAR,XLOOKUP($B311,AR_Input!$A:$A,AR_Input!$E:$E,leStart),
reEsc,AND(anom,OR(ABS((S311+AM311)-reStart)&gt;maxStart,ABS((S311+AM311)-reAR)&gt;maxAR)),
leEsc,AND(anom,OR(ABS((V311+AP311)-leStart)&gt;maxStart,ABS((V311+AP311)-leAR)&gt;maxAR)),
phaseMax,IFS(
 AK311="Fast",
   IFS(
     OR(C311="B",C311="D"),XLOOKUP("timeout_coarse_fast",Calibration!$B:$B,Calibration!$C:$C,24),
     OR(C311="E",C311="F",C311="H",C311="I"),XLOOKUP("timeout_jcc_fast",Calibration!$B:$B,Calibration!$C:$C,10),
     OR(C311="G",C311="J"),XLOOKUP("timeout_duochrome_fast",Calibration!$B:$B,Calibration!$C:$C,8),
     C311="K",XLOOKUP("timeout_bino_fast",Calibration!$B:$B,Calibration!$C:$C,10),
     OR(C311="P",C311="Q",C311="R"),XLOOKUP("timeout_near_fast",Calibration!$B:$B,Calibration!$C:$C,16),
     TRUE,XLOOKUP("timeout_coarse_fast",Calibration!$B:$B,Calibration!$C:$C,24)
   ),
 AK311="Normal",
   IFS(
     OR(C311="B",C311="D"),XLOOKUP("timeout_coarse_normal",Calibration!$B:$B,Calibration!$C:$C,36),
     OR(C311="E",C311="F",C311="H",C311="I"),XLOOKUP("timeout_jcc_normal",Calibration!$B:$B,Calibration!$C:$C,14),
     OR(C311="G",C311="J"),XLOOKUP("timeout_duochrome_normal",Calibration!$B:$B,Calibration!$C:$C,10),
     C311="K",XLOOKUP("timeout_bino_normal",Calibration!$B:$B,Calibration!$C:$C,14),
     OR(C311="P",C311="Q",C311="R"),XLOOKUP("timeout_near_normal",Calibration!$B:$B,Calibration!$C:$C,22),
     TRUE,XLOOKUP("timeout_coarse_normal",Calibration!$B:$B,Calibration!$C:$C,36)
   ),
 TRUE,
   IFS(
     OR(C311="B",C311="D"),XLOOKUP("timeout_coarse_slow",Calibration!$B:$B,Calibration!$C:$C,48),
     OR(C311="E",C311="F",C311="H",C311="I"),XLOOKUP("timeout_jcc_slow",Calibration!$B:$B,Calibration!$C:$C,18),
     OR(C311="G",C311="J"),XLOOKUP("timeout_duochrome_slow",Calibration!$B:$B,Calibration!$C:$C,12),
     C311="K",XLOOKUP("timeout_bino_slow",Calibration!$B:$B,Calibration!$C:$C,18),
     OR(C311="P",C311="Q",C311="R"),XLOOKUP("timeout_near_slow",Calibration!$B:$B,Calibration!$C:$C,28),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AJ311=TRUE,"ESCALATE",
C311="A",
IF(OR(I311="NOT_READABLE",I311="BLURRY",AND(R311="20_20_20",I311="READABLE")),"B","A"),
C311="B",
IF(reEsc,"ESCALATE",IF(AY311&gt;=phaseMax,"ESCALATE",IF(AND(AV311&gt;=AW311,I311="READABLE"),"E","B"))),
C311="E",
IF(AY311&gt;=phaseMax,"ESCALATE",IF(OR(I311="SAME",I311="CANT_TELL",AD311&lt;axisTol),"F","E")),
C311="F",
IF(AY311&gt;=phaseMax,"ESCALATE",IF(AX311&gt;=powerSameN,"G","F")),
C311="G",
IF(AY311&gt;=phaseMax,"ESCALATE",IF(OR(AX311&gt;=duoEqualN,BB311&gt;=duoMax),"D","G")),
C311="D",
IF(leEsc,"ESCALATE",IF(AY311&gt;=phaseMax,"ESCALATE",IF(AND(AV311&gt;=AW311,I311="READABLE"),"H","D"))),
C311="H",
IF(AY311&gt;=phaseMax,"ESCALATE",IF(OR(I311="SAME",I311="CANT_TELL",AD311&lt;axisTol),"I","H")),
C311="I",
IF(AY311&gt;=phaseMax,"ESCALATE",IF(AX311&gt;=powerSameN,"J","I")),
C311="J",
IF(AY311&gt;=phaseMax,"ESCALATE",IF(OR(AX311&gt;=duoEqualN,BB311&gt;=duoMax),"K","J")),
C311="K",
IF(AY311&gt;=phaseMax,"ESCALATE",IF(AX311&gt;=binoSameN,IF(XLOOKUP($B311,Derived_Variables!$A:$A,Derived_Variables!$AJ:$AJ,FALSE)=TRUE,"P","END"),"K")),
C311="P",
IF(AY311&gt;=phaseMax,"ESCALATE",IF(OR(I311="READABLE",I311="SAME"),"Q","P")),
C311="Q",
IF(AY311&gt;=phaseMax,"ESCALATE",IF(OR(I311="READABLE",I311="SAME"),"R","Q")),
C311="R",
IF(AY311&gt;=phaseMax,"ESCALATE",IF(OR(I311=nearTarget,I311="SAME"),"END","R")),
TRUE,"END"
)))</f>
        <v/>
      </c>
      <c r="BD311" s="28" t="b">
        <f t="shared" si="19"/>
        <v>0</v>
      </c>
    </row>
    <row r="312" ht="15.75" customHeight="1">
      <c r="A312" s="28">
        <f t="shared" si="3"/>
        <v>311</v>
      </c>
      <c r="B312" s="28">
        <f t="shared" si="4"/>
        <v>6</v>
      </c>
      <c r="C312" s="28" t="str">
        <f t="shared" si="5"/>
        <v/>
      </c>
      <c r="D312" s="28" t="str">
        <f t="array" ref="D312">IF($I311="","",XLOOKUP(C312,FSM_State_Map!A:A,FSM_State_Map!B:B,""))</f>
        <v/>
      </c>
      <c r="E312" s="28" t="str">
        <f t="array" ref="E312">IF($I311="","",XLOOKUP(C312,FSM_State_Map!A:A,FSM_State_Map!C:C,""))</f>
        <v/>
      </c>
      <c r="F312" s="28" t="str">
        <f t="array" ref="F312">IF($I311="","",XLOOKUP(E312,Phase_UI_Map!A:A,Phase_UI_Map!B:B,""))</f>
        <v/>
      </c>
      <c r="G312" s="28" t="str">
        <f t="array" ref="G312">IF($I311="","",XLOOKUP(E312,Phase_UI_Map!A:A,Phase_UI_Map!C:C,""))</f>
        <v/>
      </c>
      <c r="H312" s="28" t="str">
        <f t="array" ref="H312">IF($I311="","",XLOOKUP(E312,Phase_UI_Map!A:A,Phase_UI_Map!D:D,""))</f>
        <v/>
      </c>
      <c r="I312" s="29"/>
      <c r="J312" s="28" t="str">
        <f>IFERROR(__xludf.DUMMYFUNCTION("IF($I311="""","""",IFERROR(INDEX(FILTER(Response_Lists!$B:$B,Response_Lists!$A:$A=$H312),1),""""))"),"")</f>
        <v/>
      </c>
      <c r="K312" s="28" t="str">
        <f>IFERROR(__xludf.DUMMYFUNCTION("IF($I311="""","""",IFERROR(INDEX(FILTER(Response_Lists!$B:$B,Response_Lists!$A:$A=$H312),2),""""))"),"")</f>
        <v/>
      </c>
      <c r="L312" s="28" t="str">
        <f>IFERROR(__xludf.DUMMYFUNCTION("IF($I311="""","""",IFERROR(INDEX(FILTER(Response_Lists!$B:$B,Response_Lists!$A:$A=$H312),3),""""))"),"")</f>
        <v/>
      </c>
      <c r="M312" s="28" t="str">
        <f>IFERROR(__xludf.DUMMYFUNCTION("IF($I311="""","""",IFERROR(INDEX(FILTER(Response_Lists!$B:$B,Response_Lists!$A:$A=$H312),4),""""))"),"")</f>
        <v/>
      </c>
      <c r="N312" s="28" t="str">
        <f>IFERROR(__xludf.DUMMYFUNCTION("IF($I311="""","""",IFERROR(INDEX(FILTER(Response_Lists!$B:$B,Response_Lists!$A:$A=$H312),5),""""))"),"")</f>
        <v/>
      </c>
      <c r="O312" s="28" t="str">
        <f>IFERROR(__xludf.DUMMYFUNCTION("IF($I311="""","""",IFERROR(INDEX(FILTER(Response_Lists!$B:$B,Response_Lists!$A:$A=$H312),6),""""))"),"")</f>
        <v/>
      </c>
      <c r="P312" s="28" t="str">
        <f t="shared" si="6"/>
        <v/>
      </c>
      <c r="Q312" s="28" t="str">
        <f t="array" ref="Q312">IF($I311="","",XLOOKUP(C312,FSM_State_Map!A:A,FSM_State_Map!D:D,""))</f>
        <v/>
      </c>
      <c r="R312" s="28" t="str">
        <f t="shared" si="7"/>
        <v/>
      </c>
      <c r="S312" s="28" t="str">
        <f t="array" ref="S312">IF($I311="","",
IF(
  AND(C312="B",C311&lt;&gt;"B"),
  XLOOKUP($B312,Derived_Variables!$A:$A,Derived_Variables!$K:$K,0)
  + XLOOKUP($B312,Derived_Variables!$A:$A,Derived_Variables!$AE:$AE,0),
  S311+AM311
))</f>
        <v/>
      </c>
      <c r="T312" s="28" t="str">
        <f t="shared" ref="T312:U312" si="634">IF($I311="","",T311+AN311)</f>
        <v/>
      </c>
      <c r="U312" s="28" t="str">
        <f t="shared" si="634"/>
        <v/>
      </c>
      <c r="V312" s="28" t="str">
        <f t="array" ref="V312">IF($I311="","",
IF(
  AND(C312="D",C311&lt;&gt;"D"),
  XLOOKUP($B312,Derived_Variables!$A:$A,Derived_Variables!$N:$N,0)
  + XLOOKUP($B312,Derived_Variables!$A:$A,Derived_Variables!$AE:$AE,0),
  V311+AP311
))</f>
        <v/>
      </c>
      <c r="W312" s="28" t="str">
        <f t="shared" ref="W312:X312" si="635">IF($I311="","",W311+AQ311)</f>
        <v/>
      </c>
      <c r="X312" s="28" t="str">
        <f t="shared" si="635"/>
        <v/>
      </c>
      <c r="Y312" s="28" t="str">
        <f t="array" ref="Y312">IF($I311="","",IF(AND(C312="P",C311&lt;&gt;"P"),IFERROR(XLOOKUP($B312,Lenso_Input!$A:$A,Lenso_Input!$E:$E,0),0),Y311+AS311))</f>
        <v/>
      </c>
      <c r="Z312" s="28" t="str">
        <f t="array" ref="Z312">IF($I311="","",IF(AND(C312="Q",C311&lt;&gt;"Q"),IFERROR(XLOOKUP($B312,Lenso_Input!$A:$A,Lenso_Input!$I:$I,0),0),Z311+AT311))</f>
        <v/>
      </c>
      <c r="AA312" s="28" t="str">
        <f t="array" ref="AA312">IF($I311="","",IF(XLOOKUP($B312,Derived_Variables!$A:$A,Derived_Variables!$R:$R,"6/6_target")="6/6_target","20_20_20","40_30_25"))</f>
        <v/>
      </c>
      <c r="AB312" s="28" t="str">
        <f t="array" ref="AB312">IF($I311="","",XLOOKUP(LOWER(XLOOKUP($B312,Derived_Variables!$A:$A,Derived_Variables!$T:$T,"Standard"))&amp;"_sph_step",Calibration!$B:$B,Calibration!$C:$C,0.25))</f>
        <v/>
      </c>
      <c r="AC312" s="28" t="str">
        <f t="array" ref="AC312">IF($I311="","",XLOOKUP(LOWER(XLOOKUP($B312,Derived_Variables!$A:$A,Derived_Variables!$T:$T,"Standard"))&amp;"_cyl_step",Calibration!$B:$B,Calibration!$C:$C,0.25))</f>
        <v/>
      </c>
      <c r="AD312" s="28" t="str">
        <f t="array" ref="AD312">IF($I311="","",IF(OR(C312="E",C312="H"),LET(startStep,XLOOKUP("axis_start_step",Calibration!$B:$B,Calibration!$C:$C,5),step1,XLOOKUP("axis_reversal_step_1",Calibration!$B:$B,Calibration!$C:$C,3),step2,XLOOKUP("axis_reversal_step_2",Calibration!$B:$B,Calibration!$C:$C,1),IF(OR(C311&lt;&gt;C312,AZ312="",AZ312="SAME",AZ312="CANT_TELL",I312="",I312="SAME",I312="CANT_TELL"),startStep,IF(OR(AND(AZ312="BETTER_1",I312="BETTER_2"),AND(AZ312="BETTER_2",I312="BETTER_1")),IF(AD311&gt;step1,step1,step2),AD311))),0))</f>
        <v/>
      </c>
      <c r="AE312" s="28" t="str">
        <f t="array" ref="AE312">IF($I311="","",XLOOKUP($B312,Derived_Variables!$A:$A,Derived_Variables!$AD:$AD,"No_Fog"))</f>
        <v/>
      </c>
      <c r="AF312" s="28" t="str">
        <f t="array" ref="AF312">IF($I311="","",XLOOKUP($B312,Derived_Variables!$A:$A,Derived_Variables!$AE:$AE,0))</f>
        <v/>
      </c>
      <c r="AG312" s="28" t="str">
        <f t="array" ref="AG312">IF($I311="","",XLOOKUP($B312,Derived_Variables!$A:$A,Derived_Variables!$AF:$AF,""))</f>
        <v/>
      </c>
      <c r="AH312" s="28" t="str">
        <f t="array" ref="AH312">IF($I311="","",XLOOKUP($B312,Derived_Variables!$A:$A,Derived_Variables!$AG:$AG,""))</f>
        <v/>
      </c>
      <c r="AI312" s="28" t="str">
        <f t="array" ref="AI312">IF($I311="","",XLOOKUP($B312,Derived_Variables!$A:$A,Derived_Variables!$AC:$AC,"Medium"))</f>
        <v/>
      </c>
      <c r="AJ312" s="28" t="str">
        <f t="array" ref="AJ312">IF($I311="","",XLOOKUP($B312,Derived_Variables!$A:$A,Derived_Variables!$Y:$Y,FALSE))</f>
        <v/>
      </c>
      <c r="AK312" s="28" t="str">
        <f t="array" ref="AK312">IF($I311="","",XLOOKUP($B312,Derived_Variables!$A:$A,Derived_Variables!$AA:$AA,"Normal"))</f>
        <v/>
      </c>
      <c r="AL312" s="28" t="str">
        <f t="array" ref="AL312">IF($I311="","",XLOOKUP($B312,Derived_Variables!$A:$A,Derived_Variables!$AB:$AB,"Normal"))</f>
        <v/>
      </c>
      <c r="AM312" s="28" t="str">
        <f t="array" ref="AM312">IF($I312="","",IFS(C312="B",IF(OR(I312="NOT_READABLE",I312="BLURRY"),-AB312,0),C312="G",IFS(I312="RED_CLEARER",XLOOKUP("duochrome_red_step",Calibration!$B:$B,Calibration!$C:$C,-0.25),I312="GREEN_CLEARER",XLOOKUP("duochrome_green_step",Calibration!$B:$B,Calibration!$C:$C,0.25),I312="EQUAL",IF(XLOOKUP($B312,Derived_Variables!$A:$A,Derived_Variables!$S:$S,"Neutral")="Undercorrect",XLOOKUP("undercorrect_step",Calibration!$B:$B,Calibration!$C:$C,0.25),IF(XLOOKUP($B312,Derived_Variables!$A:$A,Derived_Variables!$S:$S,"Neutral")="Overcorrect",-XLOOKUP("overcorrect_step",Calibration!$B:$B,Calibration!$C:$C,0.25),0)),TRUE,0),C312="K",IF(I312="TOP_CLEARER",XLOOKUP("bino_balance_step",Calibration!$B:$B,Calibration!$C:$C,0.25),0),TRUE,0))</f>
        <v/>
      </c>
      <c r="AN312" s="28" t="str">
        <f t="shared" si="10"/>
        <v/>
      </c>
      <c r="AO312" s="28" t="str">
        <f t="shared" si="11"/>
        <v/>
      </c>
      <c r="AP312" s="28" t="str">
        <f t="array" ref="AP312">IF($I312="","",IFS(C312="D",IF(OR(I312="NOT_READABLE",I312="BLURRY"),-AB312,0),C312="J",IFS(I312="RED_CLEARER",XLOOKUP("duochrome_red_step",Calibration!$B:$B,Calibration!$C:$C,-0.25),I312="GREEN_CLEARER",XLOOKUP("duochrome_green_step",Calibration!$B:$B,Calibration!$C:$C,0.25),I312="EQUAL",IF(XLOOKUP($B312,Derived_Variables!$A:$A,Derived_Variables!$S:$S,"Neutral")="Undercorrect",XLOOKUP("undercorrect_step",Calibration!$B:$B,Calibration!$C:$C,0.25),IF(XLOOKUP($B312,Derived_Variables!$A:$A,Derived_Variables!$S:$S,"Neutral")="Overcorrect",-XLOOKUP("overcorrect_step",Calibration!$B:$B,Calibration!$C:$C,0.25),0)),TRUE,0),C312="K",IF(I312="BOTTOM_CLEARER",XLOOKUP("bino_balance_step",Calibration!$B:$B,Calibration!$C:$C,0.25),0),TRUE,0))</f>
        <v/>
      </c>
      <c r="AQ312" s="28" t="str">
        <f t="shared" si="12"/>
        <v/>
      </c>
      <c r="AR312" s="28" t="str">
        <f t="shared" si="13"/>
        <v/>
      </c>
      <c r="AS312" s="28" t="str">
        <f t="array" ref="AS312">IF($I312="","",IF(C312="P",IF(OR(I312="NOT_READABLE",I312="BLURRY"),XLOOKUP("near_add_step",Calibration!$B:$B,Calibration!$C:$C,0.25),0),IF(C312="R",IF(I312="NOT_CLEAR",XLOOKUP("near_add_step",Calibration!$B:$B,Calibration!$C:$C,0.25),0),0)))</f>
        <v/>
      </c>
      <c r="AT312" s="28" t="str">
        <f t="array" ref="AT312">IF($I312="","",IF(C312="Q",IF(OR(I312="NOT_READABLE",I312="BLURRY"),XLOOKUP("near_add_step",Calibration!$B:$B,Calibration!$C:$C,0.25),0),IF(C312="R",IF(I312="NOT_CLEAR",XLOOKUP("near_add_step",Calibration!$B:$B,Calibration!$C:$C,0.25),0),0)))</f>
        <v/>
      </c>
      <c r="AU312" s="28" t="str">
        <f t="array" ref="AU312">IF($I312="","",IF(G312="SNELLEN_FEET",IF(I312="READABLE",IFERROR(XLOOKUP(XLOOKUP(R312,Chart_Scale_Distance!B:B,Chart_Scale_Distance!A:A)+1,Chart_Scale_Distance!A:A,Chart_Scale_Distance!B:B),R312),R312),R312))</f>
        <v/>
      </c>
      <c r="AV312" s="28" t="str">
        <f t="array" ref="AV312">IF($I311="","",IFERROR(XLOOKUP(R312,Chart_Scale_Distance!$B:$B,Chart_Scale_Distance!$A:$A,""),""))</f>
        <v/>
      </c>
      <c r="AW312" s="28" t="str">
        <f t="array" ref="AW312">IF($I311="","",IFERROR(XLOOKUP(AA312,Chart_Scale_Distance!$B:$B,Chart_Scale_Distance!$A:$A,""),""))</f>
        <v/>
      </c>
      <c r="AX312" s="28" t="str">
        <f t="shared" si="14"/>
        <v/>
      </c>
      <c r="AY312" s="28" t="str">
        <f t="shared" si="15"/>
        <v/>
      </c>
      <c r="AZ312" s="28" t="str">
        <f t="shared" si="16"/>
        <v/>
      </c>
      <c r="BA312" s="28" t="str">
        <f t="shared" si="17"/>
        <v/>
      </c>
      <c r="BB312" s="28" t="str">
        <f t="shared" si="18"/>
        <v/>
      </c>
      <c r="BC312" s="28" t="str">
        <f t="array" ref="BC312">IF($I312="","",LET(
conf,AI312,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duoMax,XLOOKUP($B312,Derived_Variables!$A:$A,Derived_Variables!$AI:$AI,4),
axisTol,XLOOKUP($B312,Derived_Variables!$A:$A,Derived_Variables!$W:$W,1),
maxStart,XLOOKUP($B312,Derived_Variables!$A:$A,Derived_Variables!$U:$U,1.25),
maxAR,XLOOKUP($B312,Derived_Variables!$A:$A,Derived_Variables!$V:$V,3),
anom,XLOOKUP($B312,Derived_Variables!$A:$A,Derived_Variables!$Z:$Z,FALSE),
reStart,XLOOKUP($B312,Derived_Variables!$A:$A,Derived_Variables!$K:$K,0),
leStart,XLOOKUP($B312,Derived_Variables!$A:$A,Derived_Variables!$N:$N,0),
reAR,XLOOKUP($B312,AR_Input!$A:$A,AR_Input!$B:$B,reStart),
leAR,XLOOKUP($B312,AR_Input!$A:$A,AR_Input!$E:$E,leStart),
reEsc,AND(anom,OR(ABS((S312+AM312)-reStart)&gt;maxStart,ABS((S312+AM312)-reAR)&gt;maxAR)),
leEsc,AND(anom,OR(ABS((V312+AP312)-leStart)&gt;maxStart,ABS((V312+AP312)-leAR)&gt;maxAR)),
phaseMax,IFS(
 AK312="Fast",
   IFS(
     OR(C312="B",C312="D"),XLOOKUP("timeout_coarse_fast",Calibration!$B:$B,Calibration!$C:$C,24),
     OR(C312="E",C312="F",C312="H",C312="I"),XLOOKUP("timeout_jcc_fast",Calibration!$B:$B,Calibration!$C:$C,10),
     OR(C312="G",C312="J"),XLOOKUP("timeout_duochrome_fast",Calibration!$B:$B,Calibration!$C:$C,8),
     C312="K",XLOOKUP("timeout_bino_fast",Calibration!$B:$B,Calibration!$C:$C,10),
     OR(C312="P",C312="Q",C312="R"),XLOOKUP("timeout_near_fast",Calibration!$B:$B,Calibration!$C:$C,16),
     TRUE,XLOOKUP("timeout_coarse_fast",Calibration!$B:$B,Calibration!$C:$C,24)
   ),
 AK312="Normal",
   IFS(
     OR(C312="B",C312="D"),XLOOKUP("timeout_coarse_normal",Calibration!$B:$B,Calibration!$C:$C,36),
     OR(C312="E",C312="F",C312="H",C312="I"),XLOOKUP("timeout_jcc_normal",Calibration!$B:$B,Calibration!$C:$C,14),
     OR(C312="G",C312="J"),XLOOKUP("timeout_duochrome_normal",Calibration!$B:$B,Calibration!$C:$C,10),
     C312="K",XLOOKUP("timeout_bino_normal",Calibration!$B:$B,Calibration!$C:$C,14),
     OR(C312="P",C312="Q",C312="R"),XLOOKUP("timeout_near_normal",Calibration!$B:$B,Calibration!$C:$C,22),
     TRUE,XLOOKUP("timeout_coarse_normal",Calibration!$B:$B,Calibration!$C:$C,36)
   ),
 TRUE,
   IFS(
     OR(C312="B",C312="D"),XLOOKUP("timeout_coarse_slow",Calibration!$B:$B,Calibration!$C:$C,48),
     OR(C312="E",C312="F",C312="H",C312="I"),XLOOKUP("timeout_jcc_slow",Calibration!$B:$B,Calibration!$C:$C,18),
     OR(C312="G",C312="J"),XLOOKUP("timeout_duochrome_slow",Calibration!$B:$B,Calibration!$C:$C,12),
     C312="K",XLOOKUP("timeout_bino_slow",Calibration!$B:$B,Calibration!$C:$C,18),
     OR(C312="P",C312="Q",C312="R"),XLOOKUP("timeout_near_slow",Calibration!$B:$B,Calibration!$C:$C,28),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AJ312=TRUE,"ESCALATE",
C312="A",
IF(OR(I312="NOT_READABLE",I312="BLURRY",AND(R312="20_20_20",I312="READABLE")),"B","A"),
C312="B",
IF(reEsc,"ESCALATE",IF(AY312&gt;=phaseMax,"ESCALATE",IF(AND(AV312&gt;=AW312,I312="READABLE"),"E","B"))),
C312="E",
IF(AY312&gt;=phaseMax,"ESCALATE",IF(OR(I312="SAME",I312="CANT_TELL",AD312&lt;axisTol),"F","E")),
C312="F",
IF(AY312&gt;=phaseMax,"ESCALATE",IF(AX312&gt;=powerSameN,"G","F")),
C312="G",
IF(AY312&gt;=phaseMax,"ESCALATE",IF(OR(AX312&gt;=duoEqualN,BB312&gt;=duoMax),"D","G")),
C312="D",
IF(leEsc,"ESCALATE",IF(AY312&gt;=phaseMax,"ESCALATE",IF(AND(AV312&gt;=AW312,I312="READABLE"),"H","D"))),
C312="H",
IF(AY312&gt;=phaseMax,"ESCALATE",IF(OR(I312="SAME",I312="CANT_TELL",AD312&lt;axisTol),"I","H")),
C312="I",
IF(AY312&gt;=phaseMax,"ESCALATE",IF(AX312&gt;=powerSameN,"J","I")),
C312="J",
IF(AY312&gt;=phaseMax,"ESCALATE",IF(OR(AX312&gt;=duoEqualN,BB312&gt;=duoMax),"K","J")),
C312="K",
IF(AY312&gt;=phaseMax,"ESCALATE",IF(AX312&gt;=binoSameN,IF(XLOOKUP($B312,Derived_Variables!$A:$A,Derived_Variables!$AJ:$AJ,FALSE)=TRUE,"P","END"),"K")),
C312="P",
IF(AY312&gt;=phaseMax,"ESCALATE",IF(OR(I312="READABLE",I312="SAME"),"Q","P")),
C312="Q",
IF(AY312&gt;=phaseMax,"ESCALATE",IF(OR(I312="READABLE",I312="SAME"),"R","Q")),
C312="R",
IF(AY312&gt;=phaseMax,"ESCALATE",IF(OR(I312=nearTarget,I312="SAME"),"END","R")),
TRUE,"END"
)))</f>
        <v/>
      </c>
      <c r="BD312" s="28" t="b">
        <f t="shared" si="19"/>
        <v>0</v>
      </c>
    </row>
    <row r="313" ht="15.75" customHeight="1">
      <c r="A313" s="28">
        <f t="shared" si="3"/>
        <v>312</v>
      </c>
      <c r="B313" s="28">
        <f t="shared" si="4"/>
        <v>6</v>
      </c>
      <c r="C313" s="28" t="str">
        <f t="shared" si="5"/>
        <v/>
      </c>
      <c r="D313" s="28" t="str">
        <f t="array" ref="D313">IF($I312="","",XLOOKUP(C313,FSM_State_Map!A:A,FSM_State_Map!B:B,""))</f>
        <v/>
      </c>
      <c r="E313" s="28" t="str">
        <f t="array" ref="E313">IF($I312="","",XLOOKUP(C313,FSM_State_Map!A:A,FSM_State_Map!C:C,""))</f>
        <v/>
      </c>
      <c r="F313" s="28" t="str">
        <f t="array" ref="F313">IF($I312="","",XLOOKUP(E313,Phase_UI_Map!A:A,Phase_UI_Map!B:B,""))</f>
        <v/>
      </c>
      <c r="G313" s="28" t="str">
        <f t="array" ref="G313">IF($I312="","",XLOOKUP(E313,Phase_UI_Map!A:A,Phase_UI_Map!C:C,""))</f>
        <v/>
      </c>
      <c r="H313" s="28" t="str">
        <f t="array" ref="H313">IF($I312="","",XLOOKUP(E313,Phase_UI_Map!A:A,Phase_UI_Map!D:D,""))</f>
        <v/>
      </c>
      <c r="I313" s="29"/>
      <c r="J313" s="28" t="str">
        <f>IFERROR(__xludf.DUMMYFUNCTION("IF($I312="""","""",IFERROR(INDEX(FILTER(Response_Lists!$B:$B,Response_Lists!$A:$A=$H313),1),""""))"),"")</f>
        <v/>
      </c>
      <c r="K313" s="28" t="str">
        <f>IFERROR(__xludf.DUMMYFUNCTION("IF($I312="""","""",IFERROR(INDEX(FILTER(Response_Lists!$B:$B,Response_Lists!$A:$A=$H313),2),""""))"),"")</f>
        <v/>
      </c>
      <c r="L313" s="28" t="str">
        <f>IFERROR(__xludf.DUMMYFUNCTION("IF($I312="""","""",IFERROR(INDEX(FILTER(Response_Lists!$B:$B,Response_Lists!$A:$A=$H313),3),""""))"),"")</f>
        <v/>
      </c>
      <c r="M313" s="28" t="str">
        <f>IFERROR(__xludf.DUMMYFUNCTION("IF($I312="""","""",IFERROR(INDEX(FILTER(Response_Lists!$B:$B,Response_Lists!$A:$A=$H313),4),""""))"),"")</f>
        <v/>
      </c>
      <c r="N313" s="28" t="str">
        <f>IFERROR(__xludf.DUMMYFUNCTION("IF($I312="""","""",IFERROR(INDEX(FILTER(Response_Lists!$B:$B,Response_Lists!$A:$A=$H313),5),""""))"),"")</f>
        <v/>
      </c>
      <c r="O313" s="28" t="str">
        <f>IFERROR(__xludf.DUMMYFUNCTION("IF($I312="""","""",IFERROR(INDEX(FILTER(Response_Lists!$B:$B,Response_Lists!$A:$A=$H313),6),""""))"),"")</f>
        <v/>
      </c>
      <c r="P313" s="28" t="str">
        <f t="shared" si="6"/>
        <v/>
      </c>
      <c r="Q313" s="28" t="str">
        <f t="array" ref="Q313">IF($I312="","",XLOOKUP(C313,FSM_State_Map!A:A,FSM_State_Map!D:D,""))</f>
        <v/>
      </c>
      <c r="R313" s="28" t="str">
        <f t="shared" si="7"/>
        <v/>
      </c>
      <c r="S313" s="28" t="str">
        <f t="array" ref="S313">IF($I312="","",
IF(
  AND(C313="B",C312&lt;&gt;"B"),
  XLOOKUP($B313,Derived_Variables!$A:$A,Derived_Variables!$K:$K,0)
  + XLOOKUP($B313,Derived_Variables!$A:$A,Derived_Variables!$AE:$AE,0),
  S312+AM312
))</f>
        <v/>
      </c>
      <c r="T313" s="28" t="str">
        <f t="shared" ref="T313:U313" si="636">IF($I312="","",T312+AN312)</f>
        <v/>
      </c>
      <c r="U313" s="28" t="str">
        <f t="shared" si="636"/>
        <v/>
      </c>
      <c r="V313" s="28" t="str">
        <f t="array" ref="V313">IF($I312="","",
IF(
  AND(C313="D",C312&lt;&gt;"D"),
  XLOOKUP($B313,Derived_Variables!$A:$A,Derived_Variables!$N:$N,0)
  + XLOOKUP($B313,Derived_Variables!$A:$A,Derived_Variables!$AE:$AE,0),
  V312+AP312
))</f>
        <v/>
      </c>
      <c r="W313" s="28" t="str">
        <f t="shared" ref="W313:X313" si="637">IF($I312="","",W312+AQ312)</f>
        <v/>
      </c>
      <c r="X313" s="28" t="str">
        <f t="shared" si="637"/>
        <v/>
      </c>
      <c r="Y313" s="28" t="str">
        <f t="array" ref="Y313">IF($I312="","",IF(AND(C313="P",C312&lt;&gt;"P"),IFERROR(XLOOKUP($B313,Lenso_Input!$A:$A,Lenso_Input!$E:$E,0),0),Y312+AS312))</f>
        <v/>
      </c>
      <c r="Z313" s="28" t="str">
        <f t="array" ref="Z313">IF($I312="","",IF(AND(C313="Q",C312&lt;&gt;"Q"),IFERROR(XLOOKUP($B313,Lenso_Input!$A:$A,Lenso_Input!$I:$I,0),0),Z312+AT312))</f>
        <v/>
      </c>
      <c r="AA313" s="28" t="str">
        <f t="array" ref="AA313">IF($I312="","",IF(XLOOKUP($B313,Derived_Variables!$A:$A,Derived_Variables!$R:$R,"6/6_target")="6/6_target","20_20_20","40_30_25"))</f>
        <v/>
      </c>
      <c r="AB313" s="28" t="str">
        <f t="array" ref="AB313">IF($I312="","",XLOOKUP(LOWER(XLOOKUP($B313,Derived_Variables!$A:$A,Derived_Variables!$T:$T,"Standard"))&amp;"_sph_step",Calibration!$B:$B,Calibration!$C:$C,0.25))</f>
        <v/>
      </c>
      <c r="AC313" s="28" t="str">
        <f t="array" ref="AC313">IF($I312="","",XLOOKUP(LOWER(XLOOKUP($B313,Derived_Variables!$A:$A,Derived_Variables!$T:$T,"Standard"))&amp;"_cyl_step",Calibration!$B:$B,Calibration!$C:$C,0.25))</f>
        <v/>
      </c>
      <c r="AD313" s="28" t="str">
        <f t="array" ref="AD313">IF($I312="","",IF(OR(C313="E",C313="H"),LET(startStep,XLOOKUP("axis_start_step",Calibration!$B:$B,Calibration!$C:$C,5),step1,XLOOKUP("axis_reversal_step_1",Calibration!$B:$B,Calibration!$C:$C,3),step2,XLOOKUP("axis_reversal_step_2",Calibration!$B:$B,Calibration!$C:$C,1),IF(OR(C312&lt;&gt;C313,AZ313="",AZ313="SAME",AZ313="CANT_TELL",I313="",I313="SAME",I313="CANT_TELL"),startStep,IF(OR(AND(AZ313="BETTER_1",I313="BETTER_2"),AND(AZ313="BETTER_2",I313="BETTER_1")),IF(AD312&gt;step1,step1,step2),AD312))),0))</f>
        <v/>
      </c>
      <c r="AE313" s="28" t="str">
        <f t="array" ref="AE313">IF($I312="","",XLOOKUP($B313,Derived_Variables!$A:$A,Derived_Variables!$AD:$AD,"No_Fog"))</f>
        <v/>
      </c>
      <c r="AF313" s="28" t="str">
        <f t="array" ref="AF313">IF($I312="","",XLOOKUP($B313,Derived_Variables!$A:$A,Derived_Variables!$AE:$AE,0))</f>
        <v/>
      </c>
      <c r="AG313" s="28" t="str">
        <f t="array" ref="AG313">IF($I312="","",XLOOKUP($B313,Derived_Variables!$A:$A,Derived_Variables!$AF:$AF,""))</f>
        <v/>
      </c>
      <c r="AH313" s="28" t="str">
        <f t="array" ref="AH313">IF($I312="","",XLOOKUP($B313,Derived_Variables!$A:$A,Derived_Variables!$AG:$AG,""))</f>
        <v/>
      </c>
      <c r="AI313" s="28" t="str">
        <f t="array" ref="AI313">IF($I312="","",XLOOKUP($B313,Derived_Variables!$A:$A,Derived_Variables!$AC:$AC,"Medium"))</f>
        <v/>
      </c>
      <c r="AJ313" s="28" t="str">
        <f t="array" ref="AJ313">IF($I312="","",XLOOKUP($B313,Derived_Variables!$A:$A,Derived_Variables!$Y:$Y,FALSE))</f>
        <v/>
      </c>
      <c r="AK313" s="28" t="str">
        <f t="array" ref="AK313">IF($I312="","",XLOOKUP($B313,Derived_Variables!$A:$A,Derived_Variables!$AA:$AA,"Normal"))</f>
        <v/>
      </c>
      <c r="AL313" s="28" t="str">
        <f t="array" ref="AL313">IF($I312="","",XLOOKUP($B313,Derived_Variables!$A:$A,Derived_Variables!$AB:$AB,"Normal"))</f>
        <v/>
      </c>
      <c r="AM313" s="28" t="str">
        <f t="array" ref="AM313">IF($I313="","",IFS(C313="B",IF(OR(I313="NOT_READABLE",I313="BLURRY"),-AB313,0),C313="G",IFS(I313="RED_CLEARER",XLOOKUP("duochrome_red_step",Calibration!$B:$B,Calibration!$C:$C,-0.25),I313="GREEN_CLEARER",XLOOKUP("duochrome_green_step",Calibration!$B:$B,Calibration!$C:$C,0.25),I313="EQUAL",IF(XLOOKUP($B313,Derived_Variables!$A:$A,Derived_Variables!$S:$S,"Neutral")="Undercorrect",XLOOKUP("undercorrect_step",Calibration!$B:$B,Calibration!$C:$C,0.25),IF(XLOOKUP($B313,Derived_Variables!$A:$A,Derived_Variables!$S:$S,"Neutral")="Overcorrect",-XLOOKUP("overcorrect_step",Calibration!$B:$B,Calibration!$C:$C,0.25),0)),TRUE,0),C313="K",IF(I313="TOP_CLEARER",XLOOKUP("bino_balance_step",Calibration!$B:$B,Calibration!$C:$C,0.25),0),TRUE,0))</f>
        <v/>
      </c>
      <c r="AN313" s="28" t="str">
        <f t="shared" si="10"/>
        <v/>
      </c>
      <c r="AO313" s="28" t="str">
        <f t="shared" si="11"/>
        <v/>
      </c>
      <c r="AP313" s="28" t="str">
        <f t="array" ref="AP313">IF($I313="","",IFS(C313="D",IF(OR(I313="NOT_READABLE",I313="BLURRY"),-AB313,0),C313="J",IFS(I313="RED_CLEARER",XLOOKUP("duochrome_red_step",Calibration!$B:$B,Calibration!$C:$C,-0.25),I313="GREEN_CLEARER",XLOOKUP("duochrome_green_step",Calibration!$B:$B,Calibration!$C:$C,0.25),I313="EQUAL",IF(XLOOKUP($B313,Derived_Variables!$A:$A,Derived_Variables!$S:$S,"Neutral")="Undercorrect",XLOOKUP("undercorrect_step",Calibration!$B:$B,Calibration!$C:$C,0.25),IF(XLOOKUP($B313,Derived_Variables!$A:$A,Derived_Variables!$S:$S,"Neutral")="Overcorrect",-XLOOKUP("overcorrect_step",Calibration!$B:$B,Calibration!$C:$C,0.25),0)),TRUE,0),C313="K",IF(I313="BOTTOM_CLEARER",XLOOKUP("bino_balance_step",Calibration!$B:$B,Calibration!$C:$C,0.25),0),TRUE,0))</f>
        <v/>
      </c>
      <c r="AQ313" s="28" t="str">
        <f t="shared" si="12"/>
        <v/>
      </c>
      <c r="AR313" s="28" t="str">
        <f t="shared" si="13"/>
        <v/>
      </c>
      <c r="AS313" s="28" t="str">
        <f t="array" ref="AS313">IF($I313="","",IF(C313="P",IF(OR(I313="NOT_READABLE",I313="BLURRY"),XLOOKUP("near_add_step",Calibration!$B:$B,Calibration!$C:$C,0.25),0),IF(C313="R",IF(I313="NOT_CLEAR",XLOOKUP("near_add_step",Calibration!$B:$B,Calibration!$C:$C,0.25),0),0)))</f>
        <v/>
      </c>
      <c r="AT313" s="28" t="str">
        <f t="array" ref="AT313">IF($I313="","",IF(C313="Q",IF(OR(I313="NOT_READABLE",I313="BLURRY"),XLOOKUP("near_add_step",Calibration!$B:$B,Calibration!$C:$C,0.25),0),IF(C313="R",IF(I313="NOT_CLEAR",XLOOKUP("near_add_step",Calibration!$B:$B,Calibration!$C:$C,0.25),0),0)))</f>
        <v/>
      </c>
      <c r="AU313" s="28" t="str">
        <f t="array" ref="AU313">IF($I313="","",IF(G313="SNELLEN_FEET",IF(I313="READABLE",IFERROR(XLOOKUP(XLOOKUP(R313,Chart_Scale_Distance!B:B,Chart_Scale_Distance!A:A)+1,Chart_Scale_Distance!A:A,Chart_Scale_Distance!B:B),R313),R313),R313))</f>
        <v/>
      </c>
      <c r="AV313" s="28" t="str">
        <f t="array" ref="AV313">IF($I312="","",IFERROR(XLOOKUP(R313,Chart_Scale_Distance!$B:$B,Chart_Scale_Distance!$A:$A,""),""))</f>
        <v/>
      </c>
      <c r="AW313" s="28" t="str">
        <f t="array" ref="AW313">IF($I312="","",IFERROR(XLOOKUP(AA313,Chart_Scale_Distance!$B:$B,Chart_Scale_Distance!$A:$A,""),""))</f>
        <v/>
      </c>
      <c r="AX313" s="28" t="str">
        <f t="shared" si="14"/>
        <v/>
      </c>
      <c r="AY313" s="28" t="str">
        <f t="shared" si="15"/>
        <v/>
      </c>
      <c r="AZ313" s="28" t="str">
        <f t="shared" si="16"/>
        <v/>
      </c>
      <c r="BA313" s="28" t="str">
        <f t="shared" si="17"/>
        <v/>
      </c>
      <c r="BB313" s="28" t="str">
        <f t="shared" si="18"/>
        <v/>
      </c>
      <c r="BC313" s="28" t="str">
        <f t="array" ref="BC313">IF($I313="","",LET(
conf,AI313,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duoMax,XLOOKUP($B313,Derived_Variables!$A:$A,Derived_Variables!$AI:$AI,4),
axisTol,XLOOKUP($B313,Derived_Variables!$A:$A,Derived_Variables!$W:$W,1),
maxStart,XLOOKUP($B313,Derived_Variables!$A:$A,Derived_Variables!$U:$U,1.25),
maxAR,XLOOKUP($B313,Derived_Variables!$A:$A,Derived_Variables!$V:$V,3),
anom,XLOOKUP($B313,Derived_Variables!$A:$A,Derived_Variables!$Z:$Z,FALSE),
reStart,XLOOKUP($B313,Derived_Variables!$A:$A,Derived_Variables!$K:$K,0),
leStart,XLOOKUP($B313,Derived_Variables!$A:$A,Derived_Variables!$N:$N,0),
reAR,XLOOKUP($B313,AR_Input!$A:$A,AR_Input!$B:$B,reStart),
leAR,XLOOKUP($B313,AR_Input!$A:$A,AR_Input!$E:$E,leStart),
reEsc,AND(anom,OR(ABS((S313+AM313)-reStart)&gt;maxStart,ABS((S313+AM313)-reAR)&gt;maxAR)),
leEsc,AND(anom,OR(ABS((V313+AP313)-leStart)&gt;maxStart,ABS((V313+AP313)-leAR)&gt;maxAR)),
phaseMax,IFS(
 AK313="Fast",
   IFS(
     OR(C313="B",C313="D"),XLOOKUP("timeout_coarse_fast",Calibration!$B:$B,Calibration!$C:$C,24),
     OR(C313="E",C313="F",C313="H",C313="I"),XLOOKUP("timeout_jcc_fast",Calibration!$B:$B,Calibration!$C:$C,10),
     OR(C313="G",C313="J"),XLOOKUP("timeout_duochrome_fast",Calibration!$B:$B,Calibration!$C:$C,8),
     C313="K",XLOOKUP("timeout_bino_fast",Calibration!$B:$B,Calibration!$C:$C,10),
     OR(C313="P",C313="Q",C313="R"),XLOOKUP("timeout_near_fast",Calibration!$B:$B,Calibration!$C:$C,16),
     TRUE,XLOOKUP("timeout_coarse_fast",Calibration!$B:$B,Calibration!$C:$C,24)
   ),
 AK313="Normal",
   IFS(
     OR(C313="B",C313="D"),XLOOKUP("timeout_coarse_normal",Calibration!$B:$B,Calibration!$C:$C,36),
     OR(C313="E",C313="F",C313="H",C313="I"),XLOOKUP("timeout_jcc_normal",Calibration!$B:$B,Calibration!$C:$C,14),
     OR(C313="G",C313="J"),XLOOKUP("timeout_duochrome_normal",Calibration!$B:$B,Calibration!$C:$C,10),
     C313="K",XLOOKUP("timeout_bino_normal",Calibration!$B:$B,Calibration!$C:$C,14),
     OR(C313="P",C313="Q",C313="R"),XLOOKUP("timeout_near_normal",Calibration!$B:$B,Calibration!$C:$C,22),
     TRUE,XLOOKUP("timeout_coarse_normal",Calibration!$B:$B,Calibration!$C:$C,36)
   ),
 TRUE,
   IFS(
     OR(C313="B",C313="D"),XLOOKUP("timeout_coarse_slow",Calibration!$B:$B,Calibration!$C:$C,48),
     OR(C313="E",C313="F",C313="H",C313="I"),XLOOKUP("timeout_jcc_slow",Calibration!$B:$B,Calibration!$C:$C,18),
     OR(C313="G",C313="J"),XLOOKUP("timeout_duochrome_slow",Calibration!$B:$B,Calibration!$C:$C,12),
     C313="K",XLOOKUP("timeout_bino_slow",Calibration!$B:$B,Calibration!$C:$C,18),
     OR(C313="P",C313="Q",C313="R"),XLOOKUP("timeout_near_slow",Calibration!$B:$B,Calibration!$C:$C,28),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AJ313=TRUE,"ESCALATE",
C313="A",
IF(OR(I313="NOT_READABLE",I313="BLURRY",AND(R313="20_20_20",I313="READABLE")),"B","A"),
C313="B",
IF(reEsc,"ESCALATE",IF(AY313&gt;=phaseMax,"ESCALATE",IF(AND(AV313&gt;=AW313,I313="READABLE"),"E","B"))),
C313="E",
IF(AY313&gt;=phaseMax,"ESCALATE",IF(OR(I313="SAME",I313="CANT_TELL",AD313&lt;axisTol),"F","E")),
C313="F",
IF(AY313&gt;=phaseMax,"ESCALATE",IF(AX313&gt;=powerSameN,"G","F")),
C313="G",
IF(AY313&gt;=phaseMax,"ESCALATE",IF(OR(AX313&gt;=duoEqualN,BB313&gt;=duoMax),"D","G")),
C313="D",
IF(leEsc,"ESCALATE",IF(AY313&gt;=phaseMax,"ESCALATE",IF(AND(AV313&gt;=AW313,I313="READABLE"),"H","D"))),
C313="H",
IF(AY313&gt;=phaseMax,"ESCALATE",IF(OR(I313="SAME",I313="CANT_TELL",AD313&lt;axisTol),"I","H")),
C313="I",
IF(AY313&gt;=phaseMax,"ESCALATE",IF(AX313&gt;=powerSameN,"J","I")),
C313="J",
IF(AY313&gt;=phaseMax,"ESCALATE",IF(OR(AX313&gt;=duoEqualN,BB313&gt;=duoMax),"K","J")),
C313="K",
IF(AY313&gt;=phaseMax,"ESCALATE",IF(AX313&gt;=binoSameN,IF(XLOOKUP($B313,Derived_Variables!$A:$A,Derived_Variables!$AJ:$AJ,FALSE)=TRUE,"P","END"),"K")),
C313="P",
IF(AY313&gt;=phaseMax,"ESCALATE",IF(OR(I313="READABLE",I313="SAME"),"Q","P")),
C313="Q",
IF(AY313&gt;=phaseMax,"ESCALATE",IF(OR(I313="READABLE",I313="SAME"),"R","Q")),
C313="R",
IF(AY313&gt;=phaseMax,"ESCALATE",IF(OR(I313=nearTarget,I313="SAME"),"END","R")),
TRUE,"END"
)))</f>
        <v/>
      </c>
      <c r="BD313" s="28" t="b">
        <f t="shared" si="19"/>
        <v>0</v>
      </c>
    </row>
    <row r="314" ht="15.75" customHeight="1">
      <c r="A314" s="28">
        <f t="shared" si="3"/>
        <v>313</v>
      </c>
      <c r="B314" s="28">
        <f t="shared" si="4"/>
        <v>6</v>
      </c>
      <c r="C314" s="28" t="str">
        <f t="shared" si="5"/>
        <v/>
      </c>
      <c r="D314" s="28" t="str">
        <f t="array" ref="D314">IF($I313="","",XLOOKUP(C314,FSM_State_Map!A:A,FSM_State_Map!B:B,""))</f>
        <v/>
      </c>
      <c r="E314" s="28" t="str">
        <f t="array" ref="E314">IF($I313="","",XLOOKUP(C314,FSM_State_Map!A:A,FSM_State_Map!C:C,""))</f>
        <v/>
      </c>
      <c r="F314" s="28" t="str">
        <f t="array" ref="F314">IF($I313="","",XLOOKUP(E314,Phase_UI_Map!A:A,Phase_UI_Map!B:B,""))</f>
        <v/>
      </c>
      <c r="G314" s="28" t="str">
        <f t="array" ref="G314">IF($I313="","",XLOOKUP(E314,Phase_UI_Map!A:A,Phase_UI_Map!C:C,""))</f>
        <v/>
      </c>
      <c r="H314" s="28" t="str">
        <f t="array" ref="H314">IF($I313="","",XLOOKUP(E314,Phase_UI_Map!A:A,Phase_UI_Map!D:D,""))</f>
        <v/>
      </c>
      <c r="I314" s="29"/>
      <c r="J314" s="28" t="str">
        <f>IFERROR(__xludf.DUMMYFUNCTION("IF($I313="""","""",IFERROR(INDEX(FILTER(Response_Lists!$B:$B,Response_Lists!$A:$A=$H314),1),""""))"),"")</f>
        <v/>
      </c>
      <c r="K314" s="28" t="str">
        <f>IFERROR(__xludf.DUMMYFUNCTION("IF($I313="""","""",IFERROR(INDEX(FILTER(Response_Lists!$B:$B,Response_Lists!$A:$A=$H314),2),""""))"),"")</f>
        <v/>
      </c>
      <c r="L314" s="28" t="str">
        <f>IFERROR(__xludf.DUMMYFUNCTION("IF($I313="""","""",IFERROR(INDEX(FILTER(Response_Lists!$B:$B,Response_Lists!$A:$A=$H314),3),""""))"),"")</f>
        <v/>
      </c>
      <c r="M314" s="28" t="str">
        <f>IFERROR(__xludf.DUMMYFUNCTION("IF($I313="""","""",IFERROR(INDEX(FILTER(Response_Lists!$B:$B,Response_Lists!$A:$A=$H314),4),""""))"),"")</f>
        <v/>
      </c>
      <c r="N314" s="28" t="str">
        <f>IFERROR(__xludf.DUMMYFUNCTION("IF($I313="""","""",IFERROR(INDEX(FILTER(Response_Lists!$B:$B,Response_Lists!$A:$A=$H314),5),""""))"),"")</f>
        <v/>
      </c>
      <c r="O314" s="28" t="str">
        <f>IFERROR(__xludf.DUMMYFUNCTION("IF($I313="""","""",IFERROR(INDEX(FILTER(Response_Lists!$B:$B,Response_Lists!$A:$A=$H314),6),""""))"),"")</f>
        <v/>
      </c>
      <c r="P314" s="28" t="str">
        <f t="shared" si="6"/>
        <v/>
      </c>
      <c r="Q314" s="28" t="str">
        <f t="array" ref="Q314">IF($I313="","",XLOOKUP(C314,FSM_State_Map!A:A,FSM_State_Map!D:D,""))</f>
        <v/>
      </c>
      <c r="R314" s="28" t="str">
        <f t="shared" si="7"/>
        <v/>
      </c>
      <c r="S314" s="28" t="str">
        <f t="array" ref="S314">IF($I313="","",
IF(
  AND(C314="B",C313&lt;&gt;"B"),
  XLOOKUP($B314,Derived_Variables!$A:$A,Derived_Variables!$K:$K,0)
  + XLOOKUP($B314,Derived_Variables!$A:$A,Derived_Variables!$AE:$AE,0),
  S313+AM313
))</f>
        <v/>
      </c>
      <c r="T314" s="28" t="str">
        <f t="shared" ref="T314:U314" si="638">IF($I313="","",T313+AN313)</f>
        <v/>
      </c>
      <c r="U314" s="28" t="str">
        <f t="shared" si="638"/>
        <v/>
      </c>
      <c r="V314" s="28" t="str">
        <f t="array" ref="V314">IF($I313="","",
IF(
  AND(C314="D",C313&lt;&gt;"D"),
  XLOOKUP($B314,Derived_Variables!$A:$A,Derived_Variables!$N:$N,0)
  + XLOOKUP($B314,Derived_Variables!$A:$A,Derived_Variables!$AE:$AE,0),
  V313+AP313
))</f>
        <v/>
      </c>
      <c r="W314" s="28" t="str">
        <f t="shared" ref="W314:X314" si="639">IF($I313="","",W313+AQ313)</f>
        <v/>
      </c>
      <c r="X314" s="28" t="str">
        <f t="shared" si="639"/>
        <v/>
      </c>
      <c r="Y314" s="28" t="str">
        <f t="array" ref="Y314">IF($I313="","",IF(AND(C314="P",C313&lt;&gt;"P"),IFERROR(XLOOKUP($B314,Lenso_Input!$A:$A,Lenso_Input!$E:$E,0),0),Y313+AS313))</f>
        <v/>
      </c>
      <c r="Z314" s="28" t="str">
        <f t="array" ref="Z314">IF($I313="","",IF(AND(C314="Q",C313&lt;&gt;"Q"),IFERROR(XLOOKUP($B314,Lenso_Input!$A:$A,Lenso_Input!$I:$I,0),0),Z313+AT313))</f>
        <v/>
      </c>
      <c r="AA314" s="28" t="str">
        <f t="array" ref="AA314">IF($I313="","",IF(XLOOKUP($B314,Derived_Variables!$A:$A,Derived_Variables!$R:$R,"6/6_target")="6/6_target","20_20_20","40_30_25"))</f>
        <v/>
      </c>
      <c r="AB314" s="28" t="str">
        <f t="array" ref="AB314">IF($I313="","",XLOOKUP(LOWER(XLOOKUP($B314,Derived_Variables!$A:$A,Derived_Variables!$T:$T,"Standard"))&amp;"_sph_step",Calibration!$B:$B,Calibration!$C:$C,0.25))</f>
        <v/>
      </c>
      <c r="AC314" s="28" t="str">
        <f t="array" ref="AC314">IF($I313="","",XLOOKUP(LOWER(XLOOKUP($B314,Derived_Variables!$A:$A,Derived_Variables!$T:$T,"Standard"))&amp;"_cyl_step",Calibration!$B:$B,Calibration!$C:$C,0.25))</f>
        <v/>
      </c>
      <c r="AD314" s="28" t="str">
        <f t="array" ref="AD314">IF($I313="","",IF(OR(C314="E",C314="H"),LET(startStep,XLOOKUP("axis_start_step",Calibration!$B:$B,Calibration!$C:$C,5),step1,XLOOKUP("axis_reversal_step_1",Calibration!$B:$B,Calibration!$C:$C,3),step2,XLOOKUP("axis_reversal_step_2",Calibration!$B:$B,Calibration!$C:$C,1),IF(OR(C313&lt;&gt;C314,AZ314="",AZ314="SAME",AZ314="CANT_TELL",I314="",I314="SAME",I314="CANT_TELL"),startStep,IF(OR(AND(AZ314="BETTER_1",I314="BETTER_2"),AND(AZ314="BETTER_2",I314="BETTER_1")),IF(AD313&gt;step1,step1,step2),AD313))),0))</f>
        <v/>
      </c>
      <c r="AE314" s="28" t="str">
        <f t="array" ref="AE314">IF($I313="","",XLOOKUP($B314,Derived_Variables!$A:$A,Derived_Variables!$AD:$AD,"No_Fog"))</f>
        <v/>
      </c>
      <c r="AF314" s="28" t="str">
        <f t="array" ref="AF314">IF($I313="","",XLOOKUP($B314,Derived_Variables!$A:$A,Derived_Variables!$AE:$AE,0))</f>
        <v/>
      </c>
      <c r="AG314" s="28" t="str">
        <f t="array" ref="AG314">IF($I313="","",XLOOKUP($B314,Derived_Variables!$A:$A,Derived_Variables!$AF:$AF,""))</f>
        <v/>
      </c>
      <c r="AH314" s="28" t="str">
        <f t="array" ref="AH314">IF($I313="","",XLOOKUP($B314,Derived_Variables!$A:$A,Derived_Variables!$AG:$AG,""))</f>
        <v/>
      </c>
      <c r="AI314" s="28" t="str">
        <f t="array" ref="AI314">IF($I313="","",XLOOKUP($B314,Derived_Variables!$A:$A,Derived_Variables!$AC:$AC,"Medium"))</f>
        <v/>
      </c>
      <c r="AJ314" s="28" t="str">
        <f t="array" ref="AJ314">IF($I313="","",XLOOKUP($B314,Derived_Variables!$A:$A,Derived_Variables!$Y:$Y,FALSE))</f>
        <v/>
      </c>
      <c r="AK314" s="28" t="str">
        <f t="array" ref="AK314">IF($I313="","",XLOOKUP($B314,Derived_Variables!$A:$A,Derived_Variables!$AA:$AA,"Normal"))</f>
        <v/>
      </c>
      <c r="AL314" s="28" t="str">
        <f t="array" ref="AL314">IF($I313="","",XLOOKUP($B314,Derived_Variables!$A:$A,Derived_Variables!$AB:$AB,"Normal"))</f>
        <v/>
      </c>
      <c r="AM314" s="28" t="str">
        <f t="array" ref="AM314">IF($I314="","",IFS(C314="B",IF(OR(I314="NOT_READABLE",I314="BLURRY"),-AB314,0),C314="G",IFS(I314="RED_CLEARER",XLOOKUP("duochrome_red_step",Calibration!$B:$B,Calibration!$C:$C,-0.25),I314="GREEN_CLEARER",XLOOKUP("duochrome_green_step",Calibration!$B:$B,Calibration!$C:$C,0.25),I314="EQUAL",IF(XLOOKUP($B314,Derived_Variables!$A:$A,Derived_Variables!$S:$S,"Neutral")="Undercorrect",XLOOKUP("undercorrect_step",Calibration!$B:$B,Calibration!$C:$C,0.25),IF(XLOOKUP($B314,Derived_Variables!$A:$A,Derived_Variables!$S:$S,"Neutral")="Overcorrect",-XLOOKUP("overcorrect_step",Calibration!$B:$B,Calibration!$C:$C,0.25),0)),TRUE,0),C314="K",IF(I314="TOP_CLEARER",XLOOKUP("bino_balance_step",Calibration!$B:$B,Calibration!$C:$C,0.25),0),TRUE,0))</f>
        <v/>
      </c>
      <c r="AN314" s="28" t="str">
        <f t="shared" si="10"/>
        <v/>
      </c>
      <c r="AO314" s="28" t="str">
        <f t="shared" si="11"/>
        <v/>
      </c>
      <c r="AP314" s="28" t="str">
        <f t="array" ref="AP314">IF($I314="","",IFS(C314="D",IF(OR(I314="NOT_READABLE",I314="BLURRY"),-AB314,0),C314="J",IFS(I314="RED_CLEARER",XLOOKUP("duochrome_red_step",Calibration!$B:$B,Calibration!$C:$C,-0.25),I314="GREEN_CLEARER",XLOOKUP("duochrome_green_step",Calibration!$B:$B,Calibration!$C:$C,0.25),I314="EQUAL",IF(XLOOKUP($B314,Derived_Variables!$A:$A,Derived_Variables!$S:$S,"Neutral")="Undercorrect",XLOOKUP("undercorrect_step",Calibration!$B:$B,Calibration!$C:$C,0.25),IF(XLOOKUP($B314,Derived_Variables!$A:$A,Derived_Variables!$S:$S,"Neutral")="Overcorrect",-XLOOKUP("overcorrect_step",Calibration!$B:$B,Calibration!$C:$C,0.25),0)),TRUE,0),C314="K",IF(I314="BOTTOM_CLEARER",XLOOKUP("bino_balance_step",Calibration!$B:$B,Calibration!$C:$C,0.25),0),TRUE,0))</f>
        <v/>
      </c>
      <c r="AQ314" s="28" t="str">
        <f t="shared" si="12"/>
        <v/>
      </c>
      <c r="AR314" s="28" t="str">
        <f t="shared" si="13"/>
        <v/>
      </c>
      <c r="AS314" s="28" t="str">
        <f t="array" ref="AS314">IF($I314="","",IF(C314="P",IF(OR(I314="NOT_READABLE",I314="BLURRY"),XLOOKUP("near_add_step",Calibration!$B:$B,Calibration!$C:$C,0.25),0),IF(C314="R",IF(I314="NOT_CLEAR",XLOOKUP("near_add_step",Calibration!$B:$B,Calibration!$C:$C,0.25),0),0)))</f>
        <v/>
      </c>
      <c r="AT314" s="28" t="str">
        <f t="array" ref="AT314">IF($I314="","",IF(C314="Q",IF(OR(I314="NOT_READABLE",I314="BLURRY"),XLOOKUP("near_add_step",Calibration!$B:$B,Calibration!$C:$C,0.25),0),IF(C314="R",IF(I314="NOT_CLEAR",XLOOKUP("near_add_step",Calibration!$B:$B,Calibration!$C:$C,0.25),0),0)))</f>
        <v/>
      </c>
      <c r="AU314" s="28" t="str">
        <f t="array" ref="AU314">IF($I314="","",IF(G314="SNELLEN_FEET",IF(I314="READABLE",IFERROR(XLOOKUP(XLOOKUP(R314,Chart_Scale_Distance!B:B,Chart_Scale_Distance!A:A)+1,Chart_Scale_Distance!A:A,Chart_Scale_Distance!B:B),R314),R314),R314))</f>
        <v/>
      </c>
      <c r="AV314" s="28" t="str">
        <f t="array" ref="AV314">IF($I313="","",IFERROR(XLOOKUP(R314,Chart_Scale_Distance!$B:$B,Chart_Scale_Distance!$A:$A,""),""))</f>
        <v/>
      </c>
      <c r="AW314" s="28" t="str">
        <f t="array" ref="AW314">IF($I313="","",IFERROR(XLOOKUP(AA314,Chart_Scale_Distance!$B:$B,Chart_Scale_Distance!$A:$A,""),""))</f>
        <v/>
      </c>
      <c r="AX314" s="28" t="str">
        <f t="shared" si="14"/>
        <v/>
      </c>
      <c r="AY314" s="28" t="str">
        <f t="shared" si="15"/>
        <v/>
      </c>
      <c r="AZ314" s="28" t="str">
        <f t="shared" si="16"/>
        <v/>
      </c>
      <c r="BA314" s="28" t="str">
        <f t="shared" si="17"/>
        <v/>
      </c>
      <c r="BB314" s="28" t="str">
        <f t="shared" si="18"/>
        <v/>
      </c>
      <c r="BC314" s="28" t="str">
        <f t="array" ref="BC314">IF($I314="","",LET(
conf,AI314,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duoMax,XLOOKUP($B314,Derived_Variables!$A:$A,Derived_Variables!$AI:$AI,4),
axisTol,XLOOKUP($B314,Derived_Variables!$A:$A,Derived_Variables!$W:$W,1),
maxStart,XLOOKUP($B314,Derived_Variables!$A:$A,Derived_Variables!$U:$U,1.25),
maxAR,XLOOKUP($B314,Derived_Variables!$A:$A,Derived_Variables!$V:$V,3),
anom,XLOOKUP($B314,Derived_Variables!$A:$A,Derived_Variables!$Z:$Z,FALSE),
reStart,XLOOKUP($B314,Derived_Variables!$A:$A,Derived_Variables!$K:$K,0),
leStart,XLOOKUP($B314,Derived_Variables!$A:$A,Derived_Variables!$N:$N,0),
reAR,XLOOKUP($B314,AR_Input!$A:$A,AR_Input!$B:$B,reStart),
leAR,XLOOKUP($B314,AR_Input!$A:$A,AR_Input!$E:$E,leStart),
reEsc,AND(anom,OR(ABS((S314+AM314)-reStart)&gt;maxStart,ABS((S314+AM314)-reAR)&gt;maxAR)),
leEsc,AND(anom,OR(ABS((V314+AP314)-leStart)&gt;maxStart,ABS((V314+AP314)-leAR)&gt;maxAR)),
phaseMax,IFS(
 AK314="Fast",
   IFS(
     OR(C314="B",C314="D"),XLOOKUP("timeout_coarse_fast",Calibration!$B:$B,Calibration!$C:$C,24),
     OR(C314="E",C314="F",C314="H",C314="I"),XLOOKUP("timeout_jcc_fast",Calibration!$B:$B,Calibration!$C:$C,10),
     OR(C314="G",C314="J"),XLOOKUP("timeout_duochrome_fast",Calibration!$B:$B,Calibration!$C:$C,8),
     C314="K",XLOOKUP("timeout_bino_fast",Calibration!$B:$B,Calibration!$C:$C,10),
     OR(C314="P",C314="Q",C314="R"),XLOOKUP("timeout_near_fast",Calibration!$B:$B,Calibration!$C:$C,16),
     TRUE,XLOOKUP("timeout_coarse_fast",Calibration!$B:$B,Calibration!$C:$C,24)
   ),
 AK314="Normal",
   IFS(
     OR(C314="B",C314="D"),XLOOKUP("timeout_coarse_normal",Calibration!$B:$B,Calibration!$C:$C,36),
     OR(C314="E",C314="F",C314="H",C314="I"),XLOOKUP("timeout_jcc_normal",Calibration!$B:$B,Calibration!$C:$C,14),
     OR(C314="G",C314="J"),XLOOKUP("timeout_duochrome_normal",Calibration!$B:$B,Calibration!$C:$C,10),
     C314="K",XLOOKUP("timeout_bino_normal",Calibration!$B:$B,Calibration!$C:$C,14),
     OR(C314="P",C314="Q",C314="R"),XLOOKUP("timeout_near_normal",Calibration!$B:$B,Calibration!$C:$C,22),
     TRUE,XLOOKUP("timeout_coarse_normal",Calibration!$B:$B,Calibration!$C:$C,36)
   ),
 TRUE,
   IFS(
     OR(C314="B",C314="D"),XLOOKUP("timeout_coarse_slow",Calibration!$B:$B,Calibration!$C:$C,48),
     OR(C314="E",C314="F",C314="H",C314="I"),XLOOKUP("timeout_jcc_slow",Calibration!$B:$B,Calibration!$C:$C,18),
     OR(C314="G",C314="J"),XLOOKUP("timeout_duochrome_slow",Calibration!$B:$B,Calibration!$C:$C,12),
     C314="K",XLOOKUP("timeout_bino_slow",Calibration!$B:$B,Calibration!$C:$C,18),
     OR(C314="P",C314="Q",C314="R"),XLOOKUP("timeout_near_slow",Calibration!$B:$B,Calibration!$C:$C,28),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AJ314=TRUE,"ESCALATE",
C314="A",
IF(OR(I314="NOT_READABLE",I314="BLURRY",AND(R314="20_20_20",I314="READABLE")),"B","A"),
C314="B",
IF(reEsc,"ESCALATE",IF(AY314&gt;=phaseMax,"ESCALATE",IF(AND(AV314&gt;=AW314,I314="READABLE"),"E","B"))),
C314="E",
IF(AY314&gt;=phaseMax,"ESCALATE",IF(OR(I314="SAME",I314="CANT_TELL",AD314&lt;axisTol),"F","E")),
C314="F",
IF(AY314&gt;=phaseMax,"ESCALATE",IF(AX314&gt;=powerSameN,"G","F")),
C314="G",
IF(AY314&gt;=phaseMax,"ESCALATE",IF(OR(AX314&gt;=duoEqualN,BB314&gt;=duoMax),"D","G")),
C314="D",
IF(leEsc,"ESCALATE",IF(AY314&gt;=phaseMax,"ESCALATE",IF(AND(AV314&gt;=AW314,I314="READABLE"),"H","D"))),
C314="H",
IF(AY314&gt;=phaseMax,"ESCALATE",IF(OR(I314="SAME",I314="CANT_TELL",AD314&lt;axisTol),"I","H")),
C314="I",
IF(AY314&gt;=phaseMax,"ESCALATE",IF(AX314&gt;=powerSameN,"J","I")),
C314="J",
IF(AY314&gt;=phaseMax,"ESCALATE",IF(OR(AX314&gt;=duoEqualN,BB314&gt;=duoMax),"K","J")),
C314="K",
IF(AY314&gt;=phaseMax,"ESCALATE",IF(AX314&gt;=binoSameN,IF(XLOOKUP($B314,Derived_Variables!$A:$A,Derived_Variables!$AJ:$AJ,FALSE)=TRUE,"P","END"),"K")),
C314="P",
IF(AY314&gt;=phaseMax,"ESCALATE",IF(OR(I314="READABLE",I314="SAME"),"Q","P")),
C314="Q",
IF(AY314&gt;=phaseMax,"ESCALATE",IF(OR(I314="READABLE",I314="SAME"),"R","Q")),
C314="R",
IF(AY314&gt;=phaseMax,"ESCALATE",IF(OR(I314=nearTarget,I314="SAME"),"END","R")),
TRUE,"END"
)))</f>
        <v/>
      </c>
      <c r="BD314" s="28" t="b">
        <f t="shared" si="19"/>
        <v>0</v>
      </c>
    </row>
    <row r="315" ht="15.75" customHeight="1">
      <c r="A315" s="28">
        <f t="shared" si="3"/>
        <v>314</v>
      </c>
      <c r="B315" s="28">
        <f t="shared" si="4"/>
        <v>6</v>
      </c>
      <c r="C315" s="28" t="str">
        <f t="shared" si="5"/>
        <v/>
      </c>
      <c r="D315" s="28" t="str">
        <f t="array" ref="D315">IF($I314="","",XLOOKUP(C315,FSM_State_Map!A:A,FSM_State_Map!B:B,""))</f>
        <v/>
      </c>
      <c r="E315" s="28" t="str">
        <f t="array" ref="E315">IF($I314="","",XLOOKUP(C315,FSM_State_Map!A:A,FSM_State_Map!C:C,""))</f>
        <v/>
      </c>
      <c r="F315" s="28" t="str">
        <f t="array" ref="F315">IF($I314="","",XLOOKUP(E315,Phase_UI_Map!A:A,Phase_UI_Map!B:B,""))</f>
        <v/>
      </c>
      <c r="G315" s="28" t="str">
        <f t="array" ref="G315">IF($I314="","",XLOOKUP(E315,Phase_UI_Map!A:A,Phase_UI_Map!C:C,""))</f>
        <v/>
      </c>
      <c r="H315" s="28" t="str">
        <f t="array" ref="H315">IF($I314="","",XLOOKUP(E315,Phase_UI_Map!A:A,Phase_UI_Map!D:D,""))</f>
        <v/>
      </c>
      <c r="I315" s="29"/>
      <c r="J315" s="28" t="str">
        <f>IFERROR(__xludf.DUMMYFUNCTION("IF($I314="""","""",IFERROR(INDEX(FILTER(Response_Lists!$B:$B,Response_Lists!$A:$A=$H315),1),""""))"),"")</f>
        <v/>
      </c>
      <c r="K315" s="28" t="str">
        <f>IFERROR(__xludf.DUMMYFUNCTION("IF($I314="""","""",IFERROR(INDEX(FILTER(Response_Lists!$B:$B,Response_Lists!$A:$A=$H315),2),""""))"),"")</f>
        <v/>
      </c>
      <c r="L315" s="28" t="str">
        <f>IFERROR(__xludf.DUMMYFUNCTION("IF($I314="""","""",IFERROR(INDEX(FILTER(Response_Lists!$B:$B,Response_Lists!$A:$A=$H315),3),""""))"),"")</f>
        <v/>
      </c>
      <c r="M315" s="28" t="str">
        <f>IFERROR(__xludf.DUMMYFUNCTION("IF($I314="""","""",IFERROR(INDEX(FILTER(Response_Lists!$B:$B,Response_Lists!$A:$A=$H315),4),""""))"),"")</f>
        <v/>
      </c>
      <c r="N315" s="28" t="str">
        <f>IFERROR(__xludf.DUMMYFUNCTION("IF($I314="""","""",IFERROR(INDEX(FILTER(Response_Lists!$B:$B,Response_Lists!$A:$A=$H315),5),""""))"),"")</f>
        <v/>
      </c>
      <c r="O315" s="28" t="str">
        <f>IFERROR(__xludf.DUMMYFUNCTION("IF($I314="""","""",IFERROR(INDEX(FILTER(Response_Lists!$B:$B,Response_Lists!$A:$A=$H315),6),""""))"),"")</f>
        <v/>
      </c>
      <c r="P315" s="28" t="str">
        <f t="shared" si="6"/>
        <v/>
      </c>
      <c r="Q315" s="28" t="str">
        <f t="array" ref="Q315">IF($I314="","",XLOOKUP(C315,FSM_State_Map!A:A,FSM_State_Map!D:D,""))</f>
        <v/>
      </c>
      <c r="R315" s="28" t="str">
        <f t="shared" si="7"/>
        <v/>
      </c>
      <c r="S315" s="28" t="str">
        <f t="array" ref="S315">IF($I314="","",
IF(
  AND(C315="B",C314&lt;&gt;"B"),
  XLOOKUP($B315,Derived_Variables!$A:$A,Derived_Variables!$K:$K,0)
  + XLOOKUP($B315,Derived_Variables!$A:$A,Derived_Variables!$AE:$AE,0),
  S314+AM314
))</f>
        <v/>
      </c>
      <c r="T315" s="28" t="str">
        <f t="shared" ref="T315:U315" si="640">IF($I314="","",T314+AN314)</f>
        <v/>
      </c>
      <c r="U315" s="28" t="str">
        <f t="shared" si="640"/>
        <v/>
      </c>
      <c r="V315" s="28" t="str">
        <f t="array" ref="V315">IF($I314="","",
IF(
  AND(C315="D",C314&lt;&gt;"D"),
  XLOOKUP($B315,Derived_Variables!$A:$A,Derived_Variables!$N:$N,0)
  + XLOOKUP($B315,Derived_Variables!$A:$A,Derived_Variables!$AE:$AE,0),
  V314+AP314
))</f>
        <v/>
      </c>
      <c r="W315" s="28" t="str">
        <f t="shared" ref="W315:X315" si="641">IF($I314="","",W314+AQ314)</f>
        <v/>
      </c>
      <c r="X315" s="28" t="str">
        <f t="shared" si="641"/>
        <v/>
      </c>
      <c r="Y315" s="28" t="str">
        <f t="array" ref="Y315">IF($I314="","",IF(AND(C315="P",C314&lt;&gt;"P"),IFERROR(XLOOKUP($B315,Lenso_Input!$A:$A,Lenso_Input!$E:$E,0),0),Y314+AS314))</f>
        <v/>
      </c>
      <c r="Z315" s="28" t="str">
        <f t="array" ref="Z315">IF($I314="","",IF(AND(C315="Q",C314&lt;&gt;"Q"),IFERROR(XLOOKUP($B315,Lenso_Input!$A:$A,Lenso_Input!$I:$I,0),0),Z314+AT314))</f>
        <v/>
      </c>
      <c r="AA315" s="28" t="str">
        <f t="array" ref="AA315">IF($I314="","",IF(XLOOKUP($B315,Derived_Variables!$A:$A,Derived_Variables!$R:$R,"6/6_target")="6/6_target","20_20_20","40_30_25"))</f>
        <v/>
      </c>
      <c r="AB315" s="28" t="str">
        <f t="array" ref="AB315">IF($I314="","",XLOOKUP(LOWER(XLOOKUP($B315,Derived_Variables!$A:$A,Derived_Variables!$T:$T,"Standard"))&amp;"_sph_step",Calibration!$B:$B,Calibration!$C:$C,0.25))</f>
        <v/>
      </c>
      <c r="AC315" s="28" t="str">
        <f t="array" ref="AC315">IF($I314="","",XLOOKUP(LOWER(XLOOKUP($B315,Derived_Variables!$A:$A,Derived_Variables!$T:$T,"Standard"))&amp;"_cyl_step",Calibration!$B:$B,Calibration!$C:$C,0.25))</f>
        <v/>
      </c>
      <c r="AD315" s="28" t="str">
        <f t="array" ref="AD315">IF($I314="","",IF(OR(C315="E",C315="H"),LET(startStep,XLOOKUP("axis_start_step",Calibration!$B:$B,Calibration!$C:$C,5),step1,XLOOKUP("axis_reversal_step_1",Calibration!$B:$B,Calibration!$C:$C,3),step2,XLOOKUP("axis_reversal_step_2",Calibration!$B:$B,Calibration!$C:$C,1),IF(OR(C314&lt;&gt;C315,AZ315="",AZ315="SAME",AZ315="CANT_TELL",I315="",I315="SAME",I315="CANT_TELL"),startStep,IF(OR(AND(AZ315="BETTER_1",I315="BETTER_2"),AND(AZ315="BETTER_2",I315="BETTER_1")),IF(AD314&gt;step1,step1,step2),AD314))),0))</f>
        <v/>
      </c>
      <c r="AE315" s="28" t="str">
        <f t="array" ref="AE315">IF($I314="","",XLOOKUP($B315,Derived_Variables!$A:$A,Derived_Variables!$AD:$AD,"No_Fog"))</f>
        <v/>
      </c>
      <c r="AF315" s="28" t="str">
        <f t="array" ref="AF315">IF($I314="","",XLOOKUP($B315,Derived_Variables!$A:$A,Derived_Variables!$AE:$AE,0))</f>
        <v/>
      </c>
      <c r="AG315" s="28" t="str">
        <f t="array" ref="AG315">IF($I314="","",XLOOKUP($B315,Derived_Variables!$A:$A,Derived_Variables!$AF:$AF,""))</f>
        <v/>
      </c>
      <c r="AH315" s="28" t="str">
        <f t="array" ref="AH315">IF($I314="","",XLOOKUP($B315,Derived_Variables!$A:$A,Derived_Variables!$AG:$AG,""))</f>
        <v/>
      </c>
      <c r="AI315" s="28" t="str">
        <f t="array" ref="AI315">IF($I314="","",XLOOKUP($B315,Derived_Variables!$A:$A,Derived_Variables!$AC:$AC,"Medium"))</f>
        <v/>
      </c>
      <c r="AJ315" s="28" t="str">
        <f t="array" ref="AJ315">IF($I314="","",XLOOKUP($B315,Derived_Variables!$A:$A,Derived_Variables!$Y:$Y,FALSE))</f>
        <v/>
      </c>
      <c r="AK315" s="28" t="str">
        <f t="array" ref="AK315">IF($I314="","",XLOOKUP($B315,Derived_Variables!$A:$A,Derived_Variables!$AA:$AA,"Normal"))</f>
        <v/>
      </c>
      <c r="AL315" s="28" t="str">
        <f t="array" ref="AL315">IF($I314="","",XLOOKUP($B315,Derived_Variables!$A:$A,Derived_Variables!$AB:$AB,"Normal"))</f>
        <v/>
      </c>
      <c r="AM315" s="28" t="str">
        <f t="array" ref="AM315">IF($I315="","",IFS(C315="B",IF(OR(I315="NOT_READABLE",I315="BLURRY"),-AB315,0),C315="G",IFS(I315="RED_CLEARER",XLOOKUP("duochrome_red_step",Calibration!$B:$B,Calibration!$C:$C,-0.25),I315="GREEN_CLEARER",XLOOKUP("duochrome_green_step",Calibration!$B:$B,Calibration!$C:$C,0.25),I315="EQUAL",IF(XLOOKUP($B315,Derived_Variables!$A:$A,Derived_Variables!$S:$S,"Neutral")="Undercorrect",XLOOKUP("undercorrect_step",Calibration!$B:$B,Calibration!$C:$C,0.25),IF(XLOOKUP($B315,Derived_Variables!$A:$A,Derived_Variables!$S:$S,"Neutral")="Overcorrect",-XLOOKUP("overcorrect_step",Calibration!$B:$B,Calibration!$C:$C,0.25),0)),TRUE,0),C315="K",IF(I315="TOP_CLEARER",XLOOKUP("bino_balance_step",Calibration!$B:$B,Calibration!$C:$C,0.25),0),TRUE,0))</f>
        <v/>
      </c>
      <c r="AN315" s="28" t="str">
        <f t="shared" si="10"/>
        <v/>
      </c>
      <c r="AO315" s="28" t="str">
        <f t="shared" si="11"/>
        <v/>
      </c>
      <c r="AP315" s="28" t="str">
        <f t="array" ref="AP315">IF($I315="","",IFS(C315="D",IF(OR(I315="NOT_READABLE",I315="BLURRY"),-AB315,0),C315="J",IFS(I315="RED_CLEARER",XLOOKUP("duochrome_red_step",Calibration!$B:$B,Calibration!$C:$C,-0.25),I315="GREEN_CLEARER",XLOOKUP("duochrome_green_step",Calibration!$B:$B,Calibration!$C:$C,0.25),I315="EQUAL",IF(XLOOKUP($B315,Derived_Variables!$A:$A,Derived_Variables!$S:$S,"Neutral")="Undercorrect",XLOOKUP("undercorrect_step",Calibration!$B:$B,Calibration!$C:$C,0.25),IF(XLOOKUP($B315,Derived_Variables!$A:$A,Derived_Variables!$S:$S,"Neutral")="Overcorrect",-XLOOKUP("overcorrect_step",Calibration!$B:$B,Calibration!$C:$C,0.25),0)),TRUE,0),C315="K",IF(I315="BOTTOM_CLEARER",XLOOKUP("bino_balance_step",Calibration!$B:$B,Calibration!$C:$C,0.25),0),TRUE,0))</f>
        <v/>
      </c>
      <c r="AQ315" s="28" t="str">
        <f t="shared" si="12"/>
        <v/>
      </c>
      <c r="AR315" s="28" t="str">
        <f t="shared" si="13"/>
        <v/>
      </c>
      <c r="AS315" s="28" t="str">
        <f t="array" ref="AS315">IF($I315="","",IF(C315="P",IF(OR(I315="NOT_READABLE",I315="BLURRY"),XLOOKUP("near_add_step",Calibration!$B:$B,Calibration!$C:$C,0.25),0),IF(C315="R",IF(I315="NOT_CLEAR",XLOOKUP("near_add_step",Calibration!$B:$B,Calibration!$C:$C,0.25),0),0)))</f>
        <v/>
      </c>
      <c r="AT315" s="28" t="str">
        <f t="array" ref="AT315">IF($I315="","",IF(C315="Q",IF(OR(I315="NOT_READABLE",I315="BLURRY"),XLOOKUP("near_add_step",Calibration!$B:$B,Calibration!$C:$C,0.25),0),IF(C315="R",IF(I315="NOT_CLEAR",XLOOKUP("near_add_step",Calibration!$B:$B,Calibration!$C:$C,0.25),0),0)))</f>
        <v/>
      </c>
      <c r="AU315" s="28" t="str">
        <f t="array" ref="AU315">IF($I315="","",IF(G315="SNELLEN_FEET",IF(I315="READABLE",IFERROR(XLOOKUP(XLOOKUP(R315,Chart_Scale_Distance!B:B,Chart_Scale_Distance!A:A)+1,Chart_Scale_Distance!A:A,Chart_Scale_Distance!B:B),R315),R315),R315))</f>
        <v/>
      </c>
      <c r="AV315" s="28" t="str">
        <f t="array" ref="AV315">IF($I314="","",IFERROR(XLOOKUP(R315,Chart_Scale_Distance!$B:$B,Chart_Scale_Distance!$A:$A,""),""))</f>
        <v/>
      </c>
      <c r="AW315" s="28" t="str">
        <f t="array" ref="AW315">IF($I314="","",IFERROR(XLOOKUP(AA315,Chart_Scale_Distance!$B:$B,Chart_Scale_Distance!$A:$A,""),""))</f>
        <v/>
      </c>
      <c r="AX315" s="28" t="str">
        <f t="shared" si="14"/>
        <v/>
      </c>
      <c r="AY315" s="28" t="str">
        <f t="shared" si="15"/>
        <v/>
      </c>
      <c r="AZ315" s="28" t="str">
        <f t="shared" si="16"/>
        <v/>
      </c>
      <c r="BA315" s="28" t="str">
        <f t="shared" si="17"/>
        <v/>
      </c>
      <c r="BB315" s="28" t="str">
        <f t="shared" si="18"/>
        <v/>
      </c>
      <c r="BC315" s="28" t="str">
        <f t="array" ref="BC315">IF($I315="","",LET(
conf,AI315,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duoMax,XLOOKUP($B315,Derived_Variables!$A:$A,Derived_Variables!$AI:$AI,4),
axisTol,XLOOKUP($B315,Derived_Variables!$A:$A,Derived_Variables!$W:$W,1),
maxStart,XLOOKUP($B315,Derived_Variables!$A:$A,Derived_Variables!$U:$U,1.25),
maxAR,XLOOKUP($B315,Derived_Variables!$A:$A,Derived_Variables!$V:$V,3),
anom,XLOOKUP($B315,Derived_Variables!$A:$A,Derived_Variables!$Z:$Z,FALSE),
reStart,XLOOKUP($B315,Derived_Variables!$A:$A,Derived_Variables!$K:$K,0),
leStart,XLOOKUP($B315,Derived_Variables!$A:$A,Derived_Variables!$N:$N,0),
reAR,XLOOKUP($B315,AR_Input!$A:$A,AR_Input!$B:$B,reStart),
leAR,XLOOKUP($B315,AR_Input!$A:$A,AR_Input!$E:$E,leStart),
reEsc,AND(anom,OR(ABS((S315+AM315)-reStart)&gt;maxStart,ABS((S315+AM315)-reAR)&gt;maxAR)),
leEsc,AND(anom,OR(ABS((V315+AP315)-leStart)&gt;maxStart,ABS((V315+AP315)-leAR)&gt;maxAR)),
phaseMax,IFS(
 AK315="Fast",
   IFS(
     OR(C315="B",C315="D"),XLOOKUP("timeout_coarse_fast",Calibration!$B:$B,Calibration!$C:$C,24),
     OR(C315="E",C315="F",C315="H",C315="I"),XLOOKUP("timeout_jcc_fast",Calibration!$B:$B,Calibration!$C:$C,10),
     OR(C315="G",C315="J"),XLOOKUP("timeout_duochrome_fast",Calibration!$B:$B,Calibration!$C:$C,8),
     C315="K",XLOOKUP("timeout_bino_fast",Calibration!$B:$B,Calibration!$C:$C,10),
     OR(C315="P",C315="Q",C315="R"),XLOOKUP("timeout_near_fast",Calibration!$B:$B,Calibration!$C:$C,16),
     TRUE,XLOOKUP("timeout_coarse_fast",Calibration!$B:$B,Calibration!$C:$C,24)
   ),
 AK315="Normal",
   IFS(
     OR(C315="B",C315="D"),XLOOKUP("timeout_coarse_normal",Calibration!$B:$B,Calibration!$C:$C,36),
     OR(C315="E",C315="F",C315="H",C315="I"),XLOOKUP("timeout_jcc_normal",Calibration!$B:$B,Calibration!$C:$C,14),
     OR(C315="G",C315="J"),XLOOKUP("timeout_duochrome_normal",Calibration!$B:$B,Calibration!$C:$C,10),
     C315="K",XLOOKUP("timeout_bino_normal",Calibration!$B:$B,Calibration!$C:$C,14),
     OR(C315="P",C315="Q",C315="R"),XLOOKUP("timeout_near_normal",Calibration!$B:$B,Calibration!$C:$C,22),
     TRUE,XLOOKUP("timeout_coarse_normal",Calibration!$B:$B,Calibration!$C:$C,36)
   ),
 TRUE,
   IFS(
     OR(C315="B",C315="D"),XLOOKUP("timeout_coarse_slow",Calibration!$B:$B,Calibration!$C:$C,48),
     OR(C315="E",C315="F",C315="H",C315="I"),XLOOKUP("timeout_jcc_slow",Calibration!$B:$B,Calibration!$C:$C,18),
     OR(C315="G",C315="J"),XLOOKUP("timeout_duochrome_slow",Calibration!$B:$B,Calibration!$C:$C,12),
     C315="K",XLOOKUP("timeout_bino_slow",Calibration!$B:$B,Calibration!$C:$C,18),
     OR(C315="P",C315="Q",C315="R"),XLOOKUP("timeout_near_slow",Calibration!$B:$B,Calibration!$C:$C,28),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AJ315=TRUE,"ESCALATE",
C315="A",
IF(OR(I315="NOT_READABLE",I315="BLURRY",AND(R315="20_20_20",I315="READABLE")),"B","A"),
C315="B",
IF(reEsc,"ESCALATE",IF(AY315&gt;=phaseMax,"ESCALATE",IF(AND(AV315&gt;=AW315,I315="READABLE"),"E","B"))),
C315="E",
IF(AY315&gt;=phaseMax,"ESCALATE",IF(OR(I315="SAME",I315="CANT_TELL",AD315&lt;axisTol),"F","E")),
C315="F",
IF(AY315&gt;=phaseMax,"ESCALATE",IF(AX315&gt;=powerSameN,"G","F")),
C315="G",
IF(AY315&gt;=phaseMax,"ESCALATE",IF(OR(AX315&gt;=duoEqualN,BB315&gt;=duoMax),"D","G")),
C315="D",
IF(leEsc,"ESCALATE",IF(AY315&gt;=phaseMax,"ESCALATE",IF(AND(AV315&gt;=AW315,I315="READABLE"),"H","D"))),
C315="H",
IF(AY315&gt;=phaseMax,"ESCALATE",IF(OR(I315="SAME",I315="CANT_TELL",AD315&lt;axisTol),"I","H")),
C315="I",
IF(AY315&gt;=phaseMax,"ESCALATE",IF(AX315&gt;=powerSameN,"J","I")),
C315="J",
IF(AY315&gt;=phaseMax,"ESCALATE",IF(OR(AX315&gt;=duoEqualN,BB315&gt;=duoMax),"K","J")),
C315="K",
IF(AY315&gt;=phaseMax,"ESCALATE",IF(AX315&gt;=binoSameN,IF(XLOOKUP($B315,Derived_Variables!$A:$A,Derived_Variables!$AJ:$AJ,FALSE)=TRUE,"P","END"),"K")),
C315="P",
IF(AY315&gt;=phaseMax,"ESCALATE",IF(OR(I315="READABLE",I315="SAME"),"Q","P")),
C315="Q",
IF(AY315&gt;=phaseMax,"ESCALATE",IF(OR(I315="READABLE",I315="SAME"),"R","Q")),
C315="R",
IF(AY315&gt;=phaseMax,"ESCALATE",IF(OR(I315=nearTarget,I315="SAME"),"END","R")),
TRUE,"END"
)))</f>
        <v/>
      </c>
      <c r="BD315" s="28" t="b">
        <f t="shared" si="19"/>
        <v>0</v>
      </c>
    </row>
    <row r="316" ht="15.75" customHeight="1">
      <c r="A316" s="28">
        <f t="shared" si="3"/>
        <v>315</v>
      </c>
      <c r="B316" s="28">
        <f t="shared" si="4"/>
        <v>6</v>
      </c>
      <c r="C316" s="28" t="str">
        <f t="shared" si="5"/>
        <v/>
      </c>
      <c r="D316" s="28" t="str">
        <f t="array" ref="D316">IF($I315="","",XLOOKUP(C316,FSM_State_Map!A:A,FSM_State_Map!B:B,""))</f>
        <v/>
      </c>
      <c r="E316" s="28" t="str">
        <f t="array" ref="E316">IF($I315="","",XLOOKUP(C316,FSM_State_Map!A:A,FSM_State_Map!C:C,""))</f>
        <v/>
      </c>
      <c r="F316" s="28" t="str">
        <f t="array" ref="F316">IF($I315="","",XLOOKUP(E316,Phase_UI_Map!A:A,Phase_UI_Map!B:B,""))</f>
        <v/>
      </c>
      <c r="G316" s="28" t="str">
        <f t="array" ref="G316">IF($I315="","",XLOOKUP(E316,Phase_UI_Map!A:A,Phase_UI_Map!C:C,""))</f>
        <v/>
      </c>
      <c r="H316" s="28" t="str">
        <f t="array" ref="H316">IF($I315="","",XLOOKUP(E316,Phase_UI_Map!A:A,Phase_UI_Map!D:D,""))</f>
        <v/>
      </c>
      <c r="I316" s="29"/>
      <c r="J316" s="28" t="str">
        <f>IFERROR(__xludf.DUMMYFUNCTION("IF($I315="""","""",IFERROR(INDEX(FILTER(Response_Lists!$B:$B,Response_Lists!$A:$A=$H316),1),""""))"),"")</f>
        <v/>
      </c>
      <c r="K316" s="28" t="str">
        <f>IFERROR(__xludf.DUMMYFUNCTION("IF($I315="""","""",IFERROR(INDEX(FILTER(Response_Lists!$B:$B,Response_Lists!$A:$A=$H316),2),""""))"),"")</f>
        <v/>
      </c>
      <c r="L316" s="28" t="str">
        <f>IFERROR(__xludf.DUMMYFUNCTION("IF($I315="""","""",IFERROR(INDEX(FILTER(Response_Lists!$B:$B,Response_Lists!$A:$A=$H316),3),""""))"),"")</f>
        <v/>
      </c>
      <c r="M316" s="28" t="str">
        <f>IFERROR(__xludf.DUMMYFUNCTION("IF($I315="""","""",IFERROR(INDEX(FILTER(Response_Lists!$B:$B,Response_Lists!$A:$A=$H316),4),""""))"),"")</f>
        <v/>
      </c>
      <c r="N316" s="28" t="str">
        <f>IFERROR(__xludf.DUMMYFUNCTION("IF($I315="""","""",IFERROR(INDEX(FILTER(Response_Lists!$B:$B,Response_Lists!$A:$A=$H316),5),""""))"),"")</f>
        <v/>
      </c>
      <c r="O316" s="28" t="str">
        <f>IFERROR(__xludf.DUMMYFUNCTION("IF($I315="""","""",IFERROR(INDEX(FILTER(Response_Lists!$B:$B,Response_Lists!$A:$A=$H316),6),""""))"),"")</f>
        <v/>
      </c>
      <c r="P316" s="28" t="str">
        <f t="shared" si="6"/>
        <v/>
      </c>
      <c r="Q316" s="28" t="str">
        <f t="array" ref="Q316">IF($I315="","",XLOOKUP(C316,FSM_State_Map!A:A,FSM_State_Map!D:D,""))</f>
        <v/>
      </c>
      <c r="R316" s="28" t="str">
        <f t="shared" si="7"/>
        <v/>
      </c>
      <c r="S316" s="28" t="str">
        <f t="array" ref="S316">IF($I315="","",
IF(
  AND(C316="B",C315&lt;&gt;"B"),
  XLOOKUP($B316,Derived_Variables!$A:$A,Derived_Variables!$K:$K,0)
  + XLOOKUP($B316,Derived_Variables!$A:$A,Derived_Variables!$AE:$AE,0),
  S315+AM315
))</f>
        <v/>
      </c>
      <c r="T316" s="28" t="str">
        <f t="shared" ref="T316:U316" si="642">IF($I315="","",T315+AN315)</f>
        <v/>
      </c>
      <c r="U316" s="28" t="str">
        <f t="shared" si="642"/>
        <v/>
      </c>
      <c r="V316" s="28" t="str">
        <f t="array" ref="V316">IF($I315="","",
IF(
  AND(C316="D",C315&lt;&gt;"D"),
  XLOOKUP($B316,Derived_Variables!$A:$A,Derived_Variables!$N:$N,0)
  + XLOOKUP($B316,Derived_Variables!$A:$A,Derived_Variables!$AE:$AE,0),
  V315+AP315
))</f>
        <v/>
      </c>
      <c r="W316" s="28" t="str">
        <f t="shared" ref="W316:X316" si="643">IF($I315="","",W315+AQ315)</f>
        <v/>
      </c>
      <c r="X316" s="28" t="str">
        <f t="shared" si="643"/>
        <v/>
      </c>
      <c r="Y316" s="28" t="str">
        <f t="array" ref="Y316">IF($I315="","",IF(AND(C316="P",C315&lt;&gt;"P"),IFERROR(XLOOKUP($B316,Lenso_Input!$A:$A,Lenso_Input!$E:$E,0),0),Y315+AS315))</f>
        <v/>
      </c>
      <c r="Z316" s="28" t="str">
        <f t="array" ref="Z316">IF($I315="","",IF(AND(C316="Q",C315&lt;&gt;"Q"),IFERROR(XLOOKUP($B316,Lenso_Input!$A:$A,Lenso_Input!$I:$I,0),0),Z315+AT315))</f>
        <v/>
      </c>
      <c r="AA316" s="28" t="str">
        <f t="array" ref="AA316">IF($I315="","",IF(XLOOKUP($B316,Derived_Variables!$A:$A,Derived_Variables!$R:$R,"6/6_target")="6/6_target","20_20_20","40_30_25"))</f>
        <v/>
      </c>
      <c r="AB316" s="28" t="str">
        <f t="array" ref="AB316">IF($I315="","",XLOOKUP(LOWER(XLOOKUP($B316,Derived_Variables!$A:$A,Derived_Variables!$T:$T,"Standard"))&amp;"_sph_step",Calibration!$B:$B,Calibration!$C:$C,0.25))</f>
        <v/>
      </c>
      <c r="AC316" s="28" t="str">
        <f t="array" ref="AC316">IF($I315="","",XLOOKUP(LOWER(XLOOKUP($B316,Derived_Variables!$A:$A,Derived_Variables!$T:$T,"Standard"))&amp;"_cyl_step",Calibration!$B:$B,Calibration!$C:$C,0.25))</f>
        <v/>
      </c>
      <c r="AD316" s="28" t="str">
        <f t="array" ref="AD316">IF($I315="","",IF(OR(C316="E",C316="H"),LET(startStep,XLOOKUP("axis_start_step",Calibration!$B:$B,Calibration!$C:$C,5),step1,XLOOKUP("axis_reversal_step_1",Calibration!$B:$B,Calibration!$C:$C,3),step2,XLOOKUP("axis_reversal_step_2",Calibration!$B:$B,Calibration!$C:$C,1),IF(OR(C315&lt;&gt;C316,AZ316="",AZ316="SAME",AZ316="CANT_TELL",I316="",I316="SAME",I316="CANT_TELL"),startStep,IF(OR(AND(AZ316="BETTER_1",I316="BETTER_2"),AND(AZ316="BETTER_2",I316="BETTER_1")),IF(AD315&gt;step1,step1,step2),AD315))),0))</f>
        <v/>
      </c>
      <c r="AE316" s="28" t="str">
        <f t="array" ref="AE316">IF($I315="","",XLOOKUP($B316,Derived_Variables!$A:$A,Derived_Variables!$AD:$AD,"No_Fog"))</f>
        <v/>
      </c>
      <c r="AF316" s="28" t="str">
        <f t="array" ref="AF316">IF($I315="","",XLOOKUP($B316,Derived_Variables!$A:$A,Derived_Variables!$AE:$AE,0))</f>
        <v/>
      </c>
      <c r="AG316" s="28" t="str">
        <f t="array" ref="AG316">IF($I315="","",XLOOKUP($B316,Derived_Variables!$A:$A,Derived_Variables!$AF:$AF,""))</f>
        <v/>
      </c>
      <c r="AH316" s="28" t="str">
        <f t="array" ref="AH316">IF($I315="","",XLOOKUP($B316,Derived_Variables!$A:$A,Derived_Variables!$AG:$AG,""))</f>
        <v/>
      </c>
      <c r="AI316" s="28" t="str">
        <f t="array" ref="AI316">IF($I315="","",XLOOKUP($B316,Derived_Variables!$A:$A,Derived_Variables!$AC:$AC,"Medium"))</f>
        <v/>
      </c>
      <c r="AJ316" s="28" t="str">
        <f t="array" ref="AJ316">IF($I315="","",XLOOKUP($B316,Derived_Variables!$A:$A,Derived_Variables!$Y:$Y,FALSE))</f>
        <v/>
      </c>
      <c r="AK316" s="28" t="str">
        <f t="array" ref="AK316">IF($I315="","",XLOOKUP($B316,Derived_Variables!$A:$A,Derived_Variables!$AA:$AA,"Normal"))</f>
        <v/>
      </c>
      <c r="AL316" s="28" t="str">
        <f t="array" ref="AL316">IF($I315="","",XLOOKUP($B316,Derived_Variables!$A:$A,Derived_Variables!$AB:$AB,"Normal"))</f>
        <v/>
      </c>
      <c r="AM316" s="28" t="str">
        <f t="array" ref="AM316">IF($I316="","",IFS(C316="B",IF(OR(I316="NOT_READABLE",I316="BLURRY"),-AB316,0),C316="G",IFS(I316="RED_CLEARER",XLOOKUP("duochrome_red_step",Calibration!$B:$B,Calibration!$C:$C,-0.25),I316="GREEN_CLEARER",XLOOKUP("duochrome_green_step",Calibration!$B:$B,Calibration!$C:$C,0.25),I316="EQUAL",IF(XLOOKUP($B316,Derived_Variables!$A:$A,Derived_Variables!$S:$S,"Neutral")="Undercorrect",XLOOKUP("undercorrect_step",Calibration!$B:$B,Calibration!$C:$C,0.25),IF(XLOOKUP($B316,Derived_Variables!$A:$A,Derived_Variables!$S:$S,"Neutral")="Overcorrect",-XLOOKUP("overcorrect_step",Calibration!$B:$B,Calibration!$C:$C,0.25),0)),TRUE,0),C316="K",IF(I316="TOP_CLEARER",XLOOKUP("bino_balance_step",Calibration!$B:$B,Calibration!$C:$C,0.25),0),TRUE,0))</f>
        <v/>
      </c>
      <c r="AN316" s="28" t="str">
        <f t="shared" si="10"/>
        <v/>
      </c>
      <c r="AO316" s="28" t="str">
        <f t="shared" si="11"/>
        <v/>
      </c>
      <c r="AP316" s="28" t="str">
        <f t="array" ref="AP316">IF($I316="","",IFS(C316="D",IF(OR(I316="NOT_READABLE",I316="BLURRY"),-AB316,0),C316="J",IFS(I316="RED_CLEARER",XLOOKUP("duochrome_red_step",Calibration!$B:$B,Calibration!$C:$C,-0.25),I316="GREEN_CLEARER",XLOOKUP("duochrome_green_step",Calibration!$B:$B,Calibration!$C:$C,0.25),I316="EQUAL",IF(XLOOKUP($B316,Derived_Variables!$A:$A,Derived_Variables!$S:$S,"Neutral")="Undercorrect",XLOOKUP("undercorrect_step",Calibration!$B:$B,Calibration!$C:$C,0.25),IF(XLOOKUP($B316,Derived_Variables!$A:$A,Derived_Variables!$S:$S,"Neutral")="Overcorrect",-XLOOKUP("overcorrect_step",Calibration!$B:$B,Calibration!$C:$C,0.25),0)),TRUE,0),C316="K",IF(I316="BOTTOM_CLEARER",XLOOKUP("bino_balance_step",Calibration!$B:$B,Calibration!$C:$C,0.25),0),TRUE,0))</f>
        <v/>
      </c>
      <c r="AQ316" s="28" t="str">
        <f t="shared" si="12"/>
        <v/>
      </c>
      <c r="AR316" s="28" t="str">
        <f t="shared" si="13"/>
        <v/>
      </c>
      <c r="AS316" s="28" t="str">
        <f t="array" ref="AS316">IF($I316="","",IF(C316="P",IF(OR(I316="NOT_READABLE",I316="BLURRY"),XLOOKUP("near_add_step",Calibration!$B:$B,Calibration!$C:$C,0.25),0),IF(C316="R",IF(I316="NOT_CLEAR",XLOOKUP("near_add_step",Calibration!$B:$B,Calibration!$C:$C,0.25),0),0)))</f>
        <v/>
      </c>
      <c r="AT316" s="28" t="str">
        <f t="array" ref="AT316">IF($I316="","",IF(C316="Q",IF(OR(I316="NOT_READABLE",I316="BLURRY"),XLOOKUP("near_add_step",Calibration!$B:$B,Calibration!$C:$C,0.25),0),IF(C316="R",IF(I316="NOT_CLEAR",XLOOKUP("near_add_step",Calibration!$B:$B,Calibration!$C:$C,0.25),0),0)))</f>
        <v/>
      </c>
      <c r="AU316" s="28" t="str">
        <f t="array" ref="AU316">IF($I316="","",IF(G316="SNELLEN_FEET",IF(I316="READABLE",IFERROR(XLOOKUP(XLOOKUP(R316,Chart_Scale_Distance!B:B,Chart_Scale_Distance!A:A)+1,Chart_Scale_Distance!A:A,Chart_Scale_Distance!B:B),R316),R316),R316))</f>
        <v/>
      </c>
      <c r="AV316" s="28" t="str">
        <f t="array" ref="AV316">IF($I315="","",IFERROR(XLOOKUP(R316,Chart_Scale_Distance!$B:$B,Chart_Scale_Distance!$A:$A,""),""))</f>
        <v/>
      </c>
      <c r="AW316" s="28" t="str">
        <f t="array" ref="AW316">IF($I315="","",IFERROR(XLOOKUP(AA316,Chart_Scale_Distance!$B:$B,Chart_Scale_Distance!$A:$A,""),""))</f>
        <v/>
      </c>
      <c r="AX316" s="28" t="str">
        <f t="shared" si="14"/>
        <v/>
      </c>
      <c r="AY316" s="28" t="str">
        <f t="shared" si="15"/>
        <v/>
      </c>
      <c r="AZ316" s="28" t="str">
        <f t="shared" si="16"/>
        <v/>
      </c>
      <c r="BA316" s="28" t="str">
        <f t="shared" si="17"/>
        <v/>
      </c>
      <c r="BB316" s="28" t="str">
        <f t="shared" si="18"/>
        <v/>
      </c>
      <c r="BC316" s="28" t="str">
        <f t="array" ref="BC316">IF($I316="","",LET(
conf,AI316,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duoMax,XLOOKUP($B316,Derived_Variables!$A:$A,Derived_Variables!$AI:$AI,4),
axisTol,XLOOKUP($B316,Derived_Variables!$A:$A,Derived_Variables!$W:$W,1),
maxStart,XLOOKUP($B316,Derived_Variables!$A:$A,Derived_Variables!$U:$U,1.25),
maxAR,XLOOKUP($B316,Derived_Variables!$A:$A,Derived_Variables!$V:$V,3),
anom,XLOOKUP($B316,Derived_Variables!$A:$A,Derived_Variables!$Z:$Z,FALSE),
reStart,XLOOKUP($B316,Derived_Variables!$A:$A,Derived_Variables!$K:$K,0),
leStart,XLOOKUP($B316,Derived_Variables!$A:$A,Derived_Variables!$N:$N,0),
reAR,XLOOKUP($B316,AR_Input!$A:$A,AR_Input!$B:$B,reStart),
leAR,XLOOKUP($B316,AR_Input!$A:$A,AR_Input!$E:$E,leStart),
reEsc,AND(anom,OR(ABS((S316+AM316)-reStart)&gt;maxStart,ABS((S316+AM316)-reAR)&gt;maxAR)),
leEsc,AND(anom,OR(ABS((V316+AP316)-leStart)&gt;maxStart,ABS((V316+AP316)-leAR)&gt;maxAR)),
phaseMax,IFS(
 AK316="Fast",
   IFS(
     OR(C316="B",C316="D"),XLOOKUP("timeout_coarse_fast",Calibration!$B:$B,Calibration!$C:$C,24),
     OR(C316="E",C316="F",C316="H",C316="I"),XLOOKUP("timeout_jcc_fast",Calibration!$B:$B,Calibration!$C:$C,10),
     OR(C316="G",C316="J"),XLOOKUP("timeout_duochrome_fast",Calibration!$B:$B,Calibration!$C:$C,8),
     C316="K",XLOOKUP("timeout_bino_fast",Calibration!$B:$B,Calibration!$C:$C,10),
     OR(C316="P",C316="Q",C316="R"),XLOOKUP("timeout_near_fast",Calibration!$B:$B,Calibration!$C:$C,16),
     TRUE,XLOOKUP("timeout_coarse_fast",Calibration!$B:$B,Calibration!$C:$C,24)
   ),
 AK316="Normal",
   IFS(
     OR(C316="B",C316="D"),XLOOKUP("timeout_coarse_normal",Calibration!$B:$B,Calibration!$C:$C,36),
     OR(C316="E",C316="F",C316="H",C316="I"),XLOOKUP("timeout_jcc_normal",Calibration!$B:$B,Calibration!$C:$C,14),
     OR(C316="G",C316="J"),XLOOKUP("timeout_duochrome_normal",Calibration!$B:$B,Calibration!$C:$C,10),
     C316="K",XLOOKUP("timeout_bino_normal",Calibration!$B:$B,Calibration!$C:$C,14),
     OR(C316="P",C316="Q",C316="R"),XLOOKUP("timeout_near_normal",Calibration!$B:$B,Calibration!$C:$C,22),
     TRUE,XLOOKUP("timeout_coarse_normal",Calibration!$B:$B,Calibration!$C:$C,36)
   ),
 TRUE,
   IFS(
     OR(C316="B",C316="D"),XLOOKUP("timeout_coarse_slow",Calibration!$B:$B,Calibration!$C:$C,48),
     OR(C316="E",C316="F",C316="H",C316="I"),XLOOKUP("timeout_jcc_slow",Calibration!$B:$B,Calibration!$C:$C,18),
     OR(C316="G",C316="J"),XLOOKUP("timeout_duochrome_slow",Calibration!$B:$B,Calibration!$C:$C,12),
     C316="K",XLOOKUP("timeout_bino_slow",Calibration!$B:$B,Calibration!$C:$C,18),
     OR(C316="P",C316="Q",C316="R"),XLOOKUP("timeout_near_slow",Calibration!$B:$B,Calibration!$C:$C,28),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AJ316=TRUE,"ESCALATE",
C316="A",
IF(OR(I316="NOT_READABLE",I316="BLURRY",AND(R316="20_20_20",I316="READABLE")),"B","A"),
C316="B",
IF(reEsc,"ESCALATE",IF(AY316&gt;=phaseMax,"ESCALATE",IF(AND(AV316&gt;=AW316,I316="READABLE"),"E","B"))),
C316="E",
IF(AY316&gt;=phaseMax,"ESCALATE",IF(OR(I316="SAME",I316="CANT_TELL",AD316&lt;axisTol),"F","E")),
C316="F",
IF(AY316&gt;=phaseMax,"ESCALATE",IF(AX316&gt;=powerSameN,"G","F")),
C316="G",
IF(AY316&gt;=phaseMax,"ESCALATE",IF(OR(AX316&gt;=duoEqualN,BB316&gt;=duoMax),"D","G")),
C316="D",
IF(leEsc,"ESCALATE",IF(AY316&gt;=phaseMax,"ESCALATE",IF(AND(AV316&gt;=AW316,I316="READABLE"),"H","D"))),
C316="H",
IF(AY316&gt;=phaseMax,"ESCALATE",IF(OR(I316="SAME",I316="CANT_TELL",AD316&lt;axisTol),"I","H")),
C316="I",
IF(AY316&gt;=phaseMax,"ESCALATE",IF(AX316&gt;=powerSameN,"J","I")),
C316="J",
IF(AY316&gt;=phaseMax,"ESCALATE",IF(OR(AX316&gt;=duoEqualN,BB316&gt;=duoMax),"K","J")),
C316="K",
IF(AY316&gt;=phaseMax,"ESCALATE",IF(AX316&gt;=binoSameN,IF(XLOOKUP($B316,Derived_Variables!$A:$A,Derived_Variables!$AJ:$AJ,FALSE)=TRUE,"P","END"),"K")),
C316="P",
IF(AY316&gt;=phaseMax,"ESCALATE",IF(OR(I316="READABLE",I316="SAME"),"Q","P")),
C316="Q",
IF(AY316&gt;=phaseMax,"ESCALATE",IF(OR(I316="READABLE",I316="SAME"),"R","Q")),
C316="R",
IF(AY316&gt;=phaseMax,"ESCALATE",IF(OR(I316=nearTarget,I316="SAME"),"END","R")),
TRUE,"END"
)))</f>
        <v/>
      </c>
      <c r="BD316" s="28" t="b">
        <f t="shared" si="19"/>
        <v>0</v>
      </c>
    </row>
    <row r="317" ht="15.75" customHeight="1">
      <c r="A317" s="28">
        <f t="shared" si="3"/>
        <v>316</v>
      </c>
      <c r="B317" s="28">
        <f t="shared" si="4"/>
        <v>6</v>
      </c>
      <c r="C317" s="28" t="str">
        <f t="shared" si="5"/>
        <v/>
      </c>
      <c r="D317" s="28" t="str">
        <f t="array" ref="D317">IF($I316="","",XLOOKUP(C317,FSM_State_Map!A:A,FSM_State_Map!B:B,""))</f>
        <v/>
      </c>
      <c r="E317" s="28" t="str">
        <f t="array" ref="E317">IF($I316="","",XLOOKUP(C317,FSM_State_Map!A:A,FSM_State_Map!C:C,""))</f>
        <v/>
      </c>
      <c r="F317" s="28" t="str">
        <f t="array" ref="F317">IF($I316="","",XLOOKUP(E317,Phase_UI_Map!A:A,Phase_UI_Map!B:B,""))</f>
        <v/>
      </c>
      <c r="G317" s="28" t="str">
        <f t="array" ref="G317">IF($I316="","",XLOOKUP(E317,Phase_UI_Map!A:A,Phase_UI_Map!C:C,""))</f>
        <v/>
      </c>
      <c r="H317" s="28" t="str">
        <f t="array" ref="H317">IF($I316="","",XLOOKUP(E317,Phase_UI_Map!A:A,Phase_UI_Map!D:D,""))</f>
        <v/>
      </c>
      <c r="I317" s="29"/>
      <c r="J317" s="28" t="str">
        <f>IFERROR(__xludf.DUMMYFUNCTION("IF($I316="""","""",IFERROR(INDEX(FILTER(Response_Lists!$B:$B,Response_Lists!$A:$A=$H317),1),""""))"),"")</f>
        <v/>
      </c>
      <c r="K317" s="28" t="str">
        <f>IFERROR(__xludf.DUMMYFUNCTION("IF($I316="""","""",IFERROR(INDEX(FILTER(Response_Lists!$B:$B,Response_Lists!$A:$A=$H317),2),""""))"),"")</f>
        <v/>
      </c>
      <c r="L317" s="28" t="str">
        <f>IFERROR(__xludf.DUMMYFUNCTION("IF($I316="""","""",IFERROR(INDEX(FILTER(Response_Lists!$B:$B,Response_Lists!$A:$A=$H317),3),""""))"),"")</f>
        <v/>
      </c>
      <c r="M317" s="28" t="str">
        <f>IFERROR(__xludf.DUMMYFUNCTION("IF($I316="""","""",IFERROR(INDEX(FILTER(Response_Lists!$B:$B,Response_Lists!$A:$A=$H317),4),""""))"),"")</f>
        <v/>
      </c>
      <c r="N317" s="28" t="str">
        <f>IFERROR(__xludf.DUMMYFUNCTION("IF($I316="""","""",IFERROR(INDEX(FILTER(Response_Lists!$B:$B,Response_Lists!$A:$A=$H317),5),""""))"),"")</f>
        <v/>
      </c>
      <c r="O317" s="28" t="str">
        <f>IFERROR(__xludf.DUMMYFUNCTION("IF($I316="""","""",IFERROR(INDEX(FILTER(Response_Lists!$B:$B,Response_Lists!$A:$A=$H317),6),""""))"),"")</f>
        <v/>
      </c>
      <c r="P317" s="28" t="str">
        <f t="shared" si="6"/>
        <v/>
      </c>
      <c r="Q317" s="28" t="str">
        <f t="array" ref="Q317">IF($I316="","",XLOOKUP(C317,FSM_State_Map!A:A,FSM_State_Map!D:D,""))</f>
        <v/>
      </c>
      <c r="R317" s="28" t="str">
        <f t="shared" si="7"/>
        <v/>
      </c>
      <c r="S317" s="28" t="str">
        <f t="array" ref="S317">IF($I316="","",
IF(
  AND(C317="B",C316&lt;&gt;"B"),
  XLOOKUP($B317,Derived_Variables!$A:$A,Derived_Variables!$K:$K,0)
  + XLOOKUP($B317,Derived_Variables!$A:$A,Derived_Variables!$AE:$AE,0),
  S316+AM316
))</f>
        <v/>
      </c>
      <c r="T317" s="28" t="str">
        <f t="shared" ref="T317:U317" si="644">IF($I316="","",T316+AN316)</f>
        <v/>
      </c>
      <c r="U317" s="28" t="str">
        <f t="shared" si="644"/>
        <v/>
      </c>
      <c r="V317" s="28" t="str">
        <f t="array" ref="V317">IF($I316="","",
IF(
  AND(C317="D",C316&lt;&gt;"D"),
  XLOOKUP($B317,Derived_Variables!$A:$A,Derived_Variables!$N:$N,0)
  + XLOOKUP($B317,Derived_Variables!$A:$A,Derived_Variables!$AE:$AE,0),
  V316+AP316
))</f>
        <v/>
      </c>
      <c r="W317" s="28" t="str">
        <f t="shared" ref="W317:X317" si="645">IF($I316="","",W316+AQ316)</f>
        <v/>
      </c>
      <c r="X317" s="28" t="str">
        <f t="shared" si="645"/>
        <v/>
      </c>
      <c r="Y317" s="28" t="str">
        <f t="array" ref="Y317">IF($I316="","",IF(AND(C317="P",C316&lt;&gt;"P"),IFERROR(XLOOKUP($B317,Lenso_Input!$A:$A,Lenso_Input!$E:$E,0),0),Y316+AS316))</f>
        <v/>
      </c>
      <c r="Z317" s="28" t="str">
        <f t="array" ref="Z317">IF($I316="","",IF(AND(C317="Q",C316&lt;&gt;"Q"),IFERROR(XLOOKUP($B317,Lenso_Input!$A:$A,Lenso_Input!$I:$I,0),0),Z316+AT316))</f>
        <v/>
      </c>
      <c r="AA317" s="28" t="str">
        <f t="array" ref="AA317">IF($I316="","",IF(XLOOKUP($B317,Derived_Variables!$A:$A,Derived_Variables!$R:$R,"6/6_target")="6/6_target","20_20_20","40_30_25"))</f>
        <v/>
      </c>
      <c r="AB317" s="28" t="str">
        <f t="array" ref="AB317">IF($I316="","",XLOOKUP(LOWER(XLOOKUP($B317,Derived_Variables!$A:$A,Derived_Variables!$T:$T,"Standard"))&amp;"_sph_step",Calibration!$B:$B,Calibration!$C:$C,0.25))</f>
        <v/>
      </c>
      <c r="AC317" s="28" t="str">
        <f t="array" ref="AC317">IF($I316="","",XLOOKUP(LOWER(XLOOKUP($B317,Derived_Variables!$A:$A,Derived_Variables!$T:$T,"Standard"))&amp;"_cyl_step",Calibration!$B:$B,Calibration!$C:$C,0.25))</f>
        <v/>
      </c>
      <c r="AD317" s="28" t="str">
        <f t="array" ref="AD317">IF($I316="","",IF(OR(C317="E",C317="H"),LET(startStep,XLOOKUP("axis_start_step",Calibration!$B:$B,Calibration!$C:$C,5),step1,XLOOKUP("axis_reversal_step_1",Calibration!$B:$B,Calibration!$C:$C,3),step2,XLOOKUP("axis_reversal_step_2",Calibration!$B:$B,Calibration!$C:$C,1),IF(OR(C316&lt;&gt;C317,AZ317="",AZ317="SAME",AZ317="CANT_TELL",I317="",I317="SAME",I317="CANT_TELL"),startStep,IF(OR(AND(AZ317="BETTER_1",I317="BETTER_2"),AND(AZ317="BETTER_2",I317="BETTER_1")),IF(AD316&gt;step1,step1,step2),AD316))),0))</f>
        <v/>
      </c>
      <c r="AE317" s="28" t="str">
        <f t="array" ref="AE317">IF($I316="","",XLOOKUP($B317,Derived_Variables!$A:$A,Derived_Variables!$AD:$AD,"No_Fog"))</f>
        <v/>
      </c>
      <c r="AF317" s="28" t="str">
        <f t="array" ref="AF317">IF($I316="","",XLOOKUP($B317,Derived_Variables!$A:$A,Derived_Variables!$AE:$AE,0))</f>
        <v/>
      </c>
      <c r="AG317" s="28" t="str">
        <f t="array" ref="AG317">IF($I316="","",XLOOKUP($B317,Derived_Variables!$A:$A,Derived_Variables!$AF:$AF,""))</f>
        <v/>
      </c>
      <c r="AH317" s="28" t="str">
        <f t="array" ref="AH317">IF($I316="","",XLOOKUP($B317,Derived_Variables!$A:$A,Derived_Variables!$AG:$AG,""))</f>
        <v/>
      </c>
      <c r="AI317" s="28" t="str">
        <f t="array" ref="AI317">IF($I316="","",XLOOKUP($B317,Derived_Variables!$A:$A,Derived_Variables!$AC:$AC,"Medium"))</f>
        <v/>
      </c>
      <c r="AJ317" s="28" t="str">
        <f t="array" ref="AJ317">IF($I316="","",XLOOKUP($B317,Derived_Variables!$A:$A,Derived_Variables!$Y:$Y,FALSE))</f>
        <v/>
      </c>
      <c r="AK317" s="28" t="str">
        <f t="array" ref="AK317">IF($I316="","",XLOOKUP($B317,Derived_Variables!$A:$A,Derived_Variables!$AA:$AA,"Normal"))</f>
        <v/>
      </c>
      <c r="AL317" s="28" t="str">
        <f t="array" ref="AL317">IF($I316="","",XLOOKUP($B317,Derived_Variables!$A:$A,Derived_Variables!$AB:$AB,"Normal"))</f>
        <v/>
      </c>
      <c r="AM317" s="28" t="str">
        <f t="array" ref="AM317">IF($I317="","",IFS(C317="B",IF(OR(I317="NOT_READABLE",I317="BLURRY"),-AB317,0),C317="G",IFS(I317="RED_CLEARER",XLOOKUP("duochrome_red_step",Calibration!$B:$B,Calibration!$C:$C,-0.25),I317="GREEN_CLEARER",XLOOKUP("duochrome_green_step",Calibration!$B:$B,Calibration!$C:$C,0.25),I317="EQUAL",IF(XLOOKUP($B317,Derived_Variables!$A:$A,Derived_Variables!$S:$S,"Neutral")="Undercorrect",XLOOKUP("undercorrect_step",Calibration!$B:$B,Calibration!$C:$C,0.25),IF(XLOOKUP($B317,Derived_Variables!$A:$A,Derived_Variables!$S:$S,"Neutral")="Overcorrect",-XLOOKUP("overcorrect_step",Calibration!$B:$B,Calibration!$C:$C,0.25),0)),TRUE,0),C317="K",IF(I317="TOP_CLEARER",XLOOKUP("bino_balance_step",Calibration!$B:$B,Calibration!$C:$C,0.25),0),TRUE,0))</f>
        <v/>
      </c>
      <c r="AN317" s="28" t="str">
        <f t="shared" si="10"/>
        <v/>
      </c>
      <c r="AO317" s="28" t="str">
        <f t="shared" si="11"/>
        <v/>
      </c>
      <c r="AP317" s="28" t="str">
        <f t="array" ref="AP317">IF($I317="","",IFS(C317="D",IF(OR(I317="NOT_READABLE",I317="BLURRY"),-AB317,0),C317="J",IFS(I317="RED_CLEARER",XLOOKUP("duochrome_red_step",Calibration!$B:$B,Calibration!$C:$C,-0.25),I317="GREEN_CLEARER",XLOOKUP("duochrome_green_step",Calibration!$B:$B,Calibration!$C:$C,0.25),I317="EQUAL",IF(XLOOKUP($B317,Derived_Variables!$A:$A,Derived_Variables!$S:$S,"Neutral")="Undercorrect",XLOOKUP("undercorrect_step",Calibration!$B:$B,Calibration!$C:$C,0.25),IF(XLOOKUP($B317,Derived_Variables!$A:$A,Derived_Variables!$S:$S,"Neutral")="Overcorrect",-XLOOKUP("overcorrect_step",Calibration!$B:$B,Calibration!$C:$C,0.25),0)),TRUE,0),C317="K",IF(I317="BOTTOM_CLEARER",XLOOKUP("bino_balance_step",Calibration!$B:$B,Calibration!$C:$C,0.25),0),TRUE,0))</f>
        <v/>
      </c>
      <c r="AQ317" s="28" t="str">
        <f t="shared" si="12"/>
        <v/>
      </c>
      <c r="AR317" s="28" t="str">
        <f t="shared" si="13"/>
        <v/>
      </c>
      <c r="AS317" s="28" t="str">
        <f t="array" ref="AS317">IF($I317="","",IF(C317="P",IF(OR(I317="NOT_READABLE",I317="BLURRY"),XLOOKUP("near_add_step",Calibration!$B:$B,Calibration!$C:$C,0.25),0),IF(C317="R",IF(I317="NOT_CLEAR",XLOOKUP("near_add_step",Calibration!$B:$B,Calibration!$C:$C,0.25),0),0)))</f>
        <v/>
      </c>
      <c r="AT317" s="28" t="str">
        <f t="array" ref="AT317">IF($I317="","",IF(C317="Q",IF(OR(I317="NOT_READABLE",I317="BLURRY"),XLOOKUP("near_add_step",Calibration!$B:$B,Calibration!$C:$C,0.25),0),IF(C317="R",IF(I317="NOT_CLEAR",XLOOKUP("near_add_step",Calibration!$B:$B,Calibration!$C:$C,0.25),0),0)))</f>
        <v/>
      </c>
      <c r="AU317" s="28" t="str">
        <f t="array" ref="AU317">IF($I317="","",IF(G317="SNELLEN_FEET",IF(I317="READABLE",IFERROR(XLOOKUP(XLOOKUP(R317,Chart_Scale_Distance!B:B,Chart_Scale_Distance!A:A)+1,Chart_Scale_Distance!A:A,Chart_Scale_Distance!B:B),R317),R317),R317))</f>
        <v/>
      </c>
      <c r="AV317" s="28" t="str">
        <f t="array" ref="AV317">IF($I316="","",IFERROR(XLOOKUP(R317,Chart_Scale_Distance!$B:$B,Chart_Scale_Distance!$A:$A,""),""))</f>
        <v/>
      </c>
      <c r="AW317" s="28" t="str">
        <f t="array" ref="AW317">IF($I316="","",IFERROR(XLOOKUP(AA317,Chart_Scale_Distance!$B:$B,Chart_Scale_Distance!$A:$A,""),""))</f>
        <v/>
      </c>
      <c r="AX317" s="28" t="str">
        <f t="shared" si="14"/>
        <v/>
      </c>
      <c r="AY317" s="28" t="str">
        <f t="shared" si="15"/>
        <v/>
      </c>
      <c r="AZ317" s="28" t="str">
        <f t="shared" si="16"/>
        <v/>
      </c>
      <c r="BA317" s="28" t="str">
        <f t="shared" si="17"/>
        <v/>
      </c>
      <c r="BB317" s="28" t="str">
        <f t="shared" si="18"/>
        <v/>
      </c>
      <c r="BC317" s="28" t="str">
        <f t="array" ref="BC317">IF($I317="","",LET(
conf,AI317,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duoMax,XLOOKUP($B317,Derived_Variables!$A:$A,Derived_Variables!$AI:$AI,4),
axisTol,XLOOKUP($B317,Derived_Variables!$A:$A,Derived_Variables!$W:$W,1),
maxStart,XLOOKUP($B317,Derived_Variables!$A:$A,Derived_Variables!$U:$U,1.25),
maxAR,XLOOKUP($B317,Derived_Variables!$A:$A,Derived_Variables!$V:$V,3),
anom,XLOOKUP($B317,Derived_Variables!$A:$A,Derived_Variables!$Z:$Z,FALSE),
reStart,XLOOKUP($B317,Derived_Variables!$A:$A,Derived_Variables!$K:$K,0),
leStart,XLOOKUP($B317,Derived_Variables!$A:$A,Derived_Variables!$N:$N,0),
reAR,XLOOKUP($B317,AR_Input!$A:$A,AR_Input!$B:$B,reStart),
leAR,XLOOKUP($B317,AR_Input!$A:$A,AR_Input!$E:$E,leStart),
reEsc,AND(anom,OR(ABS((S317+AM317)-reStart)&gt;maxStart,ABS((S317+AM317)-reAR)&gt;maxAR)),
leEsc,AND(anom,OR(ABS((V317+AP317)-leStart)&gt;maxStart,ABS((V317+AP317)-leAR)&gt;maxAR)),
phaseMax,IFS(
 AK317="Fast",
   IFS(
     OR(C317="B",C317="D"),XLOOKUP("timeout_coarse_fast",Calibration!$B:$B,Calibration!$C:$C,24),
     OR(C317="E",C317="F",C317="H",C317="I"),XLOOKUP("timeout_jcc_fast",Calibration!$B:$B,Calibration!$C:$C,10),
     OR(C317="G",C317="J"),XLOOKUP("timeout_duochrome_fast",Calibration!$B:$B,Calibration!$C:$C,8),
     C317="K",XLOOKUP("timeout_bino_fast",Calibration!$B:$B,Calibration!$C:$C,10),
     OR(C317="P",C317="Q",C317="R"),XLOOKUP("timeout_near_fast",Calibration!$B:$B,Calibration!$C:$C,16),
     TRUE,XLOOKUP("timeout_coarse_fast",Calibration!$B:$B,Calibration!$C:$C,24)
   ),
 AK317="Normal",
   IFS(
     OR(C317="B",C317="D"),XLOOKUP("timeout_coarse_normal",Calibration!$B:$B,Calibration!$C:$C,36),
     OR(C317="E",C317="F",C317="H",C317="I"),XLOOKUP("timeout_jcc_normal",Calibration!$B:$B,Calibration!$C:$C,14),
     OR(C317="G",C317="J"),XLOOKUP("timeout_duochrome_normal",Calibration!$B:$B,Calibration!$C:$C,10),
     C317="K",XLOOKUP("timeout_bino_normal",Calibration!$B:$B,Calibration!$C:$C,14),
     OR(C317="P",C317="Q",C317="R"),XLOOKUP("timeout_near_normal",Calibration!$B:$B,Calibration!$C:$C,22),
     TRUE,XLOOKUP("timeout_coarse_normal",Calibration!$B:$B,Calibration!$C:$C,36)
   ),
 TRUE,
   IFS(
     OR(C317="B",C317="D"),XLOOKUP("timeout_coarse_slow",Calibration!$B:$B,Calibration!$C:$C,48),
     OR(C317="E",C317="F",C317="H",C317="I"),XLOOKUP("timeout_jcc_slow",Calibration!$B:$B,Calibration!$C:$C,18),
     OR(C317="G",C317="J"),XLOOKUP("timeout_duochrome_slow",Calibration!$B:$B,Calibration!$C:$C,12),
     C317="K",XLOOKUP("timeout_bino_slow",Calibration!$B:$B,Calibration!$C:$C,18),
     OR(C317="P",C317="Q",C317="R"),XLOOKUP("timeout_near_slow",Calibration!$B:$B,Calibration!$C:$C,28),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AJ317=TRUE,"ESCALATE",
C317="A",
IF(OR(I317="NOT_READABLE",I317="BLURRY",AND(R317="20_20_20",I317="READABLE")),"B","A"),
C317="B",
IF(reEsc,"ESCALATE",IF(AY317&gt;=phaseMax,"ESCALATE",IF(AND(AV317&gt;=AW317,I317="READABLE"),"E","B"))),
C317="E",
IF(AY317&gt;=phaseMax,"ESCALATE",IF(OR(I317="SAME",I317="CANT_TELL",AD317&lt;axisTol),"F","E")),
C317="F",
IF(AY317&gt;=phaseMax,"ESCALATE",IF(AX317&gt;=powerSameN,"G","F")),
C317="G",
IF(AY317&gt;=phaseMax,"ESCALATE",IF(OR(AX317&gt;=duoEqualN,BB317&gt;=duoMax),"D","G")),
C317="D",
IF(leEsc,"ESCALATE",IF(AY317&gt;=phaseMax,"ESCALATE",IF(AND(AV317&gt;=AW317,I317="READABLE"),"H","D"))),
C317="H",
IF(AY317&gt;=phaseMax,"ESCALATE",IF(OR(I317="SAME",I317="CANT_TELL",AD317&lt;axisTol),"I","H")),
C317="I",
IF(AY317&gt;=phaseMax,"ESCALATE",IF(AX317&gt;=powerSameN,"J","I")),
C317="J",
IF(AY317&gt;=phaseMax,"ESCALATE",IF(OR(AX317&gt;=duoEqualN,BB317&gt;=duoMax),"K","J")),
C317="K",
IF(AY317&gt;=phaseMax,"ESCALATE",IF(AX317&gt;=binoSameN,IF(XLOOKUP($B317,Derived_Variables!$A:$A,Derived_Variables!$AJ:$AJ,FALSE)=TRUE,"P","END"),"K")),
C317="P",
IF(AY317&gt;=phaseMax,"ESCALATE",IF(OR(I317="READABLE",I317="SAME"),"Q","P")),
C317="Q",
IF(AY317&gt;=phaseMax,"ESCALATE",IF(OR(I317="READABLE",I317="SAME"),"R","Q")),
C317="R",
IF(AY317&gt;=phaseMax,"ESCALATE",IF(OR(I317=nearTarget,I317="SAME"),"END","R")),
TRUE,"END"
)))</f>
        <v/>
      </c>
      <c r="BD317" s="28" t="b">
        <f t="shared" si="19"/>
        <v>0</v>
      </c>
    </row>
    <row r="318" ht="15.75" customHeight="1">
      <c r="A318" s="28">
        <f t="shared" si="3"/>
        <v>317</v>
      </c>
      <c r="B318" s="28">
        <f t="shared" si="4"/>
        <v>6</v>
      </c>
      <c r="C318" s="28" t="str">
        <f t="shared" si="5"/>
        <v/>
      </c>
      <c r="D318" s="28" t="str">
        <f t="array" ref="D318">IF($I317="","",XLOOKUP(C318,FSM_State_Map!A:A,FSM_State_Map!B:B,""))</f>
        <v/>
      </c>
      <c r="E318" s="28" t="str">
        <f t="array" ref="E318">IF($I317="","",XLOOKUP(C318,FSM_State_Map!A:A,FSM_State_Map!C:C,""))</f>
        <v/>
      </c>
      <c r="F318" s="28" t="str">
        <f t="array" ref="F318">IF($I317="","",XLOOKUP(E318,Phase_UI_Map!A:A,Phase_UI_Map!B:B,""))</f>
        <v/>
      </c>
      <c r="G318" s="28" t="str">
        <f t="array" ref="G318">IF($I317="","",XLOOKUP(E318,Phase_UI_Map!A:A,Phase_UI_Map!C:C,""))</f>
        <v/>
      </c>
      <c r="H318" s="28" t="str">
        <f t="array" ref="H318">IF($I317="","",XLOOKUP(E318,Phase_UI_Map!A:A,Phase_UI_Map!D:D,""))</f>
        <v/>
      </c>
      <c r="I318" s="29"/>
      <c r="J318" s="28" t="str">
        <f>IFERROR(__xludf.DUMMYFUNCTION("IF($I317="""","""",IFERROR(INDEX(FILTER(Response_Lists!$B:$B,Response_Lists!$A:$A=$H318),1),""""))"),"")</f>
        <v/>
      </c>
      <c r="K318" s="28" t="str">
        <f>IFERROR(__xludf.DUMMYFUNCTION("IF($I317="""","""",IFERROR(INDEX(FILTER(Response_Lists!$B:$B,Response_Lists!$A:$A=$H318),2),""""))"),"")</f>
        <v/>
      </c>
      <c r="L318" s="28" t="str">
        <f>IFERROR(__xludf.DUMMYFUNCTION("IF($I317="""","""",IFERROR(INDEX(FILTER(Response_Lists!$B:$B,Response_Lists!$A:$A=$H318),3),""""))"),"")</f>
        <v/>
      </c>
      <c r="M318" s="28" t="str">
        <f>IFERROR(__xludf.DUMMYFUNCTION("IF($I317="""","""",IFERROR(INDEX(FILTER(Response_Lists!$B:$B,Response_Lists!$A:$A=$H318),4),""""))"),"")</f>
        <v/>
      </c>
      <c r="N318" s="28" t="str">
        <f>IFERROR(__xludf.DUMMYFUNCTION("IF($I317="""","""",IFERROR(INDEX(FILTER(Response_Lists!$B:$B,Response_Lists!$A:$A=$H318),5),""""))"),"")</f>
        <v/>
      </c>
      <c r="O318" s="28" t="str">
        <f>IFERROR(__xludf.DUMMYFUNCTION("IF($I317="""","""",IFERROR(INDEX(FILTER(Response_Lists!$B:$B,Response_Lists!$A:$A=$H318),6),""""))"),"")</f>
        <v/>
      </c>
      <c r="P318" s="28" t="str">
        <f t="shared" si="6"/>
        <v/>
      </c>
      <c r="Q318" s="28" t="str">
        <f t="array" ref="Q318">IF($I317="","",XLOOKUP(C318,FSM_State_Map!A:A,FSM_State_Map!D:D,""))</f>
        <v/>
      </c>
      <c r="R318" s="28" t="str">
        <f t="shared" si="7"/>
        <v/>
      </c>
      <c r="S318" s="28" t="str">
        <f t="array" ref="S318">IF($I317="","",
IF(
  AND(C318="B",C317&lt;&gt;"B"),
  XLOOKUP($B318,Derived_Variables!$A:$A,Derived_Variables!$K:$K,0)
  + XLOOKUP($B318,Derived_Variables!$A:$A,Derived_Variables!$AE:$AE,0),
  S317+AM317
))</f>
        <v/>
      </c>
      <c r="T318" s="28" t="str">
        <f t="shared" ref="T318:U318" si="646">IF($I317="","",T317+AN317)</f>
        <v/>
      </c>
      <c r="U318" s="28" t="str">
        <f t="shared" si="646"/>
        <v/>
      </c>
      <c r="V318" s="28" t="str">
        <f t="array" ref="V318">IF($I317="","",
IF(
  AND(C318="D",C317&lt;&gt;"D"),
  XLOOKUP($B318,Derived_Variables!$A:$A,Derived_Variables!$N:$N,0)
  + XLOOKUP($B318,Derived_Variables!$A:$A,Derived_Variables!$AE:$AE,0),
  V317+AP317
))</f>
        <v/>
      </c>
      <c r="W318" s="28" t="str">
        <f t="shared" ref="W318:X318" si="647">IF($I317="","",W317+AQ317)</f>
        <v/>
      </c>
      <c r="X318" s="28" t="str">
        <f t="shared" si="647"/>
        <v/>
      </c>
      <c r="Y318" s="28" t="str">
        <f t="array" ref="Y318">IF($I317="","",IF(AND(C318="P",C317&lt;&gt;"P"),IFERROR(XLOOKUP($B318,Lenso_Input!$A:$A,Lenso_Input!$E:$E,0),0),Y317+AS317))</f>
        <v/>
      </c>
      <c r="Z318" s="28" t="str">
        <f t="array" ref="Z318">IF($I317="","",IF(AND(C318="Q",C317&lt;&gt;"Q"),IFERROR(XLOOKUP($B318,Lenso_Input!$A:$A,Lenso_Input!$I:$I,0),0),Z317+AT317))</f>
        <v/>
      </c>
      <c r="AA318" s="28" t="str">
        <f t="array" ref="AA318">IF($I317="","",IF(XLOOKUP($B318,Derived_Variables!$A:$A,Derived_Variables!$R:$R,"6/6_target")="6/6_target","20_20_20","40_30_25"))</f>
        <v/>
      </c>
      <c r="AB318" s="28" t="str">
        <f t="array" ref="AB318">IF($I317="","",XLOOKUP(LOWER(XLOOKUP($B318,Derived_Variables!$A:$A,Derived_Variables!$T:$T,"Standard"))&amp;"_sph_step",Calibration!$B:$B,Calibration!$C:$C,0.25))</f>
        <v/>
      </c>
      <c r="AC318" s="28" t="str">
        <f t="array" ref="AC318">IF($I317="","",XLOOKUP(LOWER(XLOOKUP($B318,Derived_Variables!$A:$A,Derived_Variables!$T:$T,"Standard"))&amp;"_cyl_step",Calibration!$B:$B,Calibration!$C:$C,0.25))</f>
        <v/>
      </c>
      <c r="AD318" s="28" t="str">
        <f t="array" ref="AD318">IF($I317="","",IF(OR(C318="E",C318="H"),LET(startStep,XLOOKUP("axis_start_step",Calibration!$B:$B,Calibration!$C:$C,5),step1,XLOOKUP("axis_reversal_step_1",Calibration!$B:$B,Calibration!$C:$C,3),step2,XLOOKUP("axis_reversal_step_2",Calibration!$B:$B,Calibration!$C:$C,1),IF(OR(C317&lt;&gt;C318,AZ318="",AZ318="SAME",AZ318="CANT_TELL",I318="",I318="SAME",I318="CANT_TELL"),startStep,IF(OR(AND(AZ318="BETTER_1",I318="BETTER_2"),AND(AZ318="BETTER_2",I318="BETTER_1")),IF(AD317&gt;step1,step1,step2),AD317))),0))</f>
        <v/>
      </c>
      <c r="AE318" s="28" t="str">
        <f t="array" ref="AE318">IF($I317="","",XLOOKUP($B318,Derived_Variables!$A:$A,Derived_Variables!$AD:$AD,"No_Fog"))</f>
        <v/>
      </c>
      <c r="AF318" s="28" t="str">
        <f t="array" ref="AF318">IF($I317="","",XLOOKUP($B318,Derived_Variables!$A:$A,Derived_Variables!$AE:$AE,0))</f>
        <v/>
      </c>
      <c r="AG318" s="28" t="str">
        <f t="array" ref="AG318">IF($I317="","",XLOOKUP($B318,Derived_Variables!$A:$A,Derived_Variables!$AF:$AF,""))</f>
        <v/>
      </c>
      <c r="AH318" s="28" t="str">
        <f t="array" ref="AH318">IF($I317="","",XLOOKUP($B318,Derived_Variables!$A:$A,Derived_Variables!$AG:$AG,""))</f>
        <v/>
      </c>
      <c r="AI318" s="28" t="str">
        <f t="array" ref="AI318">IF($I317="","",XLOOKUP($B318,Derived_Variables!$A:$A,Derived_Variables!$AC:$AC,"Medium"))</f>
        <v/>
      </c>
      <c r="AJ318" s="28" t="str">
        <f t="array" ref="AJ318">IF($I317="","",XLOOKUP($B318,Derived_Variables!$A:$A,Derived_Variables!$Y:$Y,FALSE))</f>
        <v/>
      </c>
      <c r="AK318" s="28" t="str">
        <f t="array" ref="AK318">IF($I317="","",XLOOKUP($B318,Derived_Variables!$A:$A,Derived_Variables!$AA:$AA,"Normal"))</f>
        <v/>
      </c>
      <c r="AL318" s="28" t="str">
        <f t="array" ref="AL318">IF($I317="","",XLOOKUP($B318,Derived_Variables!$A:$A,Derived_Variables!$AB:$AB,"Normal"))</f>
        <v/>
      </c>
      <c r="AM318" s="28" t="str">
        <f t="array" ref="AM318">IF($I318="","",IFS(C318="B",IF(OR(I318="NOT_READABLE",I318="BLURRY"),-AB318,0),C318="G",IFS(I318="RED_CLEARER",XLOOKUP("duochrome_red_step",Calibration!$B:$B,Calibration!$C:$C,-0.25),I318="GREEN_CLEARER",XLOOKUP("duochrome_green_step",Calibration!$B:$B,Calibration!$C:$C,0.25),I318="EQUAL",IF(XLOOKUP($B318,Derived_Variables!$A:$A,Derived_Variables!$S:$S,"Neutral")="Undercorrect",XLOOKUP("undercorrect_step",Calibration!$B:$B,Calibration!$C:$C,0.25),IF(XLOOKUP($B318,Derived_Variables!$A:$A,Derived_Variables!$S:$S,"Neutral")="Overcorrect",-XLOOKUP("overcorrect_step",Calibration!$B:$B,Calibration!$C:$C,0.25),0)),TRUE,0),C318="K",IF(I318="TOP_CLEARER",XLOOKUP("bino_balance_step",Calibration!$B:$B,Calibration!$C:$C,0.25),0),TRUE,0))</f>
        <v/>
      </c>
      <c r="AN318" s="28" t="str">
        <f t="shared" si="10"/>
        <v/>
      </c>
      <c r="AO318" s="28" t="str">
        <f t="shared" si="11"/>
        <v/>
      </c>
      <c r="AP318" s="28" t="str">
        <f t="array" ref="AP318">IF($I318="","",IFS(C318="D",IF(OR(I318="NOT_READABLE",I318="BLURRY"),-AB318,0),C318="J",IFS(I318="RED_CLEARER",XLOOKUP("duochrome_red_step",Calibration!$B:$B,Calibration!$C:$C,-0.25),I318="GREEN_CLEARER",XLOOKUP("duochrome_green_step",Calibration!$B:$B,Calibration!$C:$C,0.25),I318="EQUAL",IF(XLOOKUP($B318,Derived_Variables!$A:$A,Derived_Variables!$S:$S,"Neutral")="Undercorrect",XLOOKUP("undercorrect_step",Calibration!$B:$B,Calibration!$C:$C,0.25),IF(XLOOKUP($B318,Derived_Variables!$A:$A,Derived_Variables!$S:$S,"Neutral")="Overcorrect",-XLOOKUP("overcorrect_step",Calibration!$B:$B,Calibration!$C:$C,0.25),0)),TRUE,0),C318="K",IF(I318="BOTTOM_CLEARER",XLOOKUP("bino_balance_step",Calibration!$B:$B,Calibration!$C:$C,0.25),0),TRUE,0))</f>
        <v/>
      </c>
      <c r="AQ318" s="28" t="str">
        <f t="shared" si="12"/>
        <v/>
      </c>
      <c r="AR318" s="28" t="str">
        <f t="shared" si="13"/>
        <v/>
      </c>
      <c r="AS318" s="28" t="str">
        <f t="array" ref="AS318">IF($I318="","",IF(C318="P",IF(OR(I318="NOT_READABLE",I318="BLURRY"),XLOOKUP("near_add_step",Calibration!$B:$B,Calibration!$C:$C,0.25),0),IF(C318="R",IF(I318="NOT_CLEAR",XLOOKUP("near_add_step",Calibration!$B:$B,Calibration!$C:$C,0.25),0),0)))</f>
        <v/>
      </c>
      <c r="AT318" s="28" t="str">
        <f t="array" ref="AT318">IF($I318="","",IF(C318="Q",IF(OR(I318="NOT_READABLE",I318="BLURRY"),XLOOKUP("near_add_step",Calibration!$B:$B,Calibration!$C:$C,0.25),0),IF(C318="R",IF(I318="NOT_CLEAR",XLOOKUP("near_add_step",Calibration!$B:$B,Calibration!$C:$C,0.25),0),0)))</f>
        <v/>
      </c>
      <c r="AU318" s="28" t="str">
        <f t="array" ref="AU318">IF($I318="","",IF(G318="SNELLEN_FEET",IF(I318="READABLE",IFERROR(XLOOKUP(XLOOKUP(R318,Chart_Scale_Distance!B:B,Chart_Scale_Distance!A:A)+1,Chart_Scale_Distance!A:A,Chart_Scale_Distance!B:B),R318),R318),R318))</f>
        <v/>
      </c>
      <c r="AV318" s="28" t="str">
        <f t="array" ref="AV318">IF($I317="","",IFERROR(XLOOKUP(R318,Chart_Scale_Distance!$B:$B,Chart_Scale_Distance!$A:$A,""),""))</f>
        <v/>
      </c>
      <c r="AW318" s="28" t="str">
        <f t="array" ref="AW318">IF($I317="","",IFERROR(XLOOKUP(AA318,Chart_Scale_Distance!$B:$B,Chart_Scale_Distance!$A:$A,""),""))</f>
        <v/>
      </c>
      <c r="AX318" s="28" t="str">
        <f t="shared" si="14"/>
        <v/>
      </c>
      <c r="AY318" s="28" t="str">
        <f t="shared" si="15"/>
        <v/>
      </c>
      <c r="AZ318" s="28" t="str">
        <f t="shared" si="16"/>
        <v/>
      </c>
      <c r="BA318" s="28" t="str">
        <f t="shared" si="17"/>
        <v/>
      </c>
      <c r="BB318" s="28" t="str">
        <f t="shared" si="18"/>
        <v/>
      </c>
      <c r="BC318" s="28" t="str">
        <f t="array" ref="BC318">IF($I318="","",LET(
conf,AI318,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duoMax,XLOOKUP($B318,Derived_Variables!$A:$A,Derived_Variables!$AI:$AI,4),
axisTol,XLOOKUP($B318,Derived_Variables!$A:$A,Derived_Variables!$W:$W,1),
maxStart,XLOOKUP($B318,Derived_Variables!$A:$A,Derived_Variables!$U:$U,1.25),
maxAR,XLOOKUP($B318,Derived_Variables!$A:$A,Derived_Variables!$V:$V,3),
anom,XLOOKUP($B318,Derived_Variables!$A:$A,Derived_Variables!$Z:$Z,FALSE),
reStart,XLOOKUP($B318,Derived_Variables!$A:$A,Derived_Variables!$K:$K,0),
leStart,XLOOKUP($B318,Derived_Variables!$A:$A,Derived_Variables!$N:$N,0),
reAR,XLOOKUP($B318,AR_Input!$A:$A,AR_Input!$B:$B,reStart),
leAR,XLOOKUP($B318,AR_Input!$A:$A,AR_Input!$E:$E,leStart),
reEsc,AND(anom,OR(ABS((S318+AM318)-reStart)&gt;maxStart,ABS((S318+AM318)-reAR)&gt;maxAR)),
leEsc,AND(anom,OR(ABS((V318+AP318)-leStart)&gt;maxStart,ABS((V318+AP318)-leAR)&gt;maxAR)),
phaseMax,IFS(
 AK318="Fast",
   IFS(
     OR(C318="B",C318="D"),XLOOKUP("timeout_coarse_fast",Calibration!$B:$B,Calibration!$C:$C,24),
     OR(C318="E",C318="F",C318="H",C318="I"),XLOOKUP("timeout_jcc_fast",Calibration!$B:$B,Calibration!$C:$C,10),
     OR(C318="G",C318="J"),XLOOKUP("timeout_duochrome_fast",Calibration!$B:$B,Calibration!$C:$C,8),
     C318="K",XLOOKUP("timeout_bino_fast",Calibration!$B:$B,Calibration!$C:$C,10),
     OR(C318="P",C318="Q",C318="R"),XLOOKUP("timeout_near_fast",Calibration!$B:$B,Calibration!$C:$C,16),
     TRUE,XLOOKUP("timeout_coarse_fast",Calibration!$B:$B,Calibration!$C:$C,24)
   ),
 AK318="Normal",
   IFS(
     OR(C318="B",C318="D"),XLOOKUP("timeout_coarse_normal",Calibration!$B:$B,Calibration!$C:$C,36),
     OR(C318="E",C318="F",C318="H",C318="I"),XLOOKUP("timeout_jcc_normal",Calibration!$B:$B,Calibration!$C:$C,14),
     OR(C318="G",C318="J"),XLOOKUP("timeout_duochrome_normal",Calibration!$B:$B,Calibration!$C:$C,10),
     C318="K",XLOOKUP("timeout_bino_normal",Calibration!$B:$B,Calibration!$C:$C,14),
     OR(C318="P",C318="Q",C318="R"),XLOOKUP("timeout_near_normal",Calibration!$B:$B,Calibration!$C:$C,22),
     TRUE,XLOOKUP("timeout_coarse_normal",Calibration!$B:$B,Calibration!$C:$C,36)
   ),
 TRUE,
   IFS(
     OR(C318="B",C318="D"),XLOOKUP("timeout_coarse_slow",Calibration!$B:$B,Calibration!$C:$C,48),
     OR(C318="E",C318="F",C318="H",C318="I"),XLOOKUP("timeout_jcc_slow",Calibration!$B:$B,Calibration!$C:$C,18),
     OR(C318="G",C318="J"),XLOOKUP("timeout_duochrome_slow",Calibration!$B:$B,Calibration!$C:$C,12),
     C318="K",XLOOKUP("timeout_bino_slow",Calibration!$B:$B,Calibration!$C:$C,18),
     OR(C318="P",C318="Q",C318="R"),XLOOKUP("timeout_near_slow",Calibration!$B:$B,Calibration!$C:$C,28),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AJ318=TRUE,"ESCALATE",
C318="A",
IF(OR(I318="NOT_READABLE",I318="BLURRY",AND(R318="20_20_20",I318="READABLE")),"B","A"),
C318="B",
IF(reEsc,"ESCALATE",IF(AY318&gt;=phaseMax,"ESCALATE",IF(AND(AV318&gt;=AW318,I318="READABLE"),"E","B"))),
C318="E",
IF(AY318&gt;=phaseMax,"ESCALATE",IF(OR(I318="SAME",I318="CANT_TELL",AD318&lt;axisTol),"F","E")),
C318="F",
IF(AY318&gt;=phaseMax,"ESCALATE",IF(AX318&gt;=powerSameN,"G","F")),
C318="G",
IF(AY318&gt;=phaseMax,"ESCALATE",IF(OR(AX318&gt;=duoEqualN,BB318&gt;=duoMax),"D","G")),
C318="D",
IF(leEsc,"ESCALATE",IF(AY318&gt;=phaseMax,"ESCALATE",IF(AND(AV318&gt;=AW318,I318="READABLE"),"H","D"))),
C318="H",
IF(AY318&gt;=phaseMax,"ESCALATE",IF(OR(I318="SAME",I318="CANT_TELL",AD318&lt;axisTol),"I","H")),
C318="I",
IF(AY318&gt;=phaseMax,"ESCALATE",IF(AX318&gt;=powerSameN,"J","I")),
C318="J",
IF(AY318&gt;=phaseMax,"ESCALATE",IF(OR(AX318&gt;=duoEqualN,BB318&gt;=duoMax),"K","J")),
C318="K",
IF(AY318&gt;=phaseMax,"ESCALATE",IF(AX318&gt;=binoSameN,IF(XLOOKUP($B318,Derived_Variables!$A:$A,Derived_Variables!$AJ:$AJ,FALSE)=TRUE,"P","END"),"K")),
C318="P",
IF(AY318&gt;=phaseMax,"ESCALATE",IF(OR(I318="READABLE",I318="SAME"),"Q","P")),
C318="Q",
IF(AY318&gt;=phaseMax,"ESCALATE",IF(OR(I318="READABLE",I318="SAME"),"R","Q")),
C318="R",
IF(AY318&gt;=phaseMax,"ESCALATE",IF(OR(I318=nearTarget,I318="SAME"),"END","R")),
TRUE,"END"
)))</f>
        <v/>
      </c>
      <c r="BD318" s="28" t="b">
        <f t="shared" si="19"/>
        <v>0</v>
      </c>
    </row>
    <row r="319" ht="15.75" customHeight="1">
      <c r="A319" s="28">
        <f t="shared" si="3"/>
        <v>318</v>
      </c>
      <c r="B319" s="28">
        <f t="shared" si="4"/>
        <v>6</v>
      </c>
      <c r="C319" s="28" t="str">
        <f t="shared" si="5"/>
        <v/>
      </c>
      <c r="D319" s="28" t="str">
        <f t="array" ref="D319">IF($I318="","",XLOOKUP(C319,FSM_State_Map!A:A,FSM_State_Map!B:B,""))</f>
        <v/>
      </c>
      <c r="E319" s="28" t="str">
        <f t="array" ref="E319">IF($I318="","",XLOOKUP(C319,FSM_State_Map!A:A,FSM_State_Map!C:C,""))</f>
        <v/>
      </c>
      <c r="F319" s="28" t="str">
        <f t="array" ref="F319">IF($I318="","",XLOOKUP(E319,Phase_UI_Map!A:A,Phase_UI_Map!B:B,""))</f>
        <v/>
      </c>
      <c r="G319" s="28" t="str">
        <f t="array" ref="G319">IF($I318="","",XLOOKUP(E319,Phase_UI_Map!A:A,Phase_UI_Map!C:C,""))</f>
        <v/>
      </c>
      <c r="H319" s="28" t="str">
        <f t="array" ref="H319">IF($I318="","",XLOOKUP(E319,Phase_UI_Map!A:A,Phase_UI_Map!D:D,""))</f>
        <v/>
      </c>
      <c r="I319" s="29"/>
      <c r="J319" s="28" t="str">
        <f>IFERROR(__xludf.DUMMYFUNCTION("IF($I318="""","""",IFERROR(INDEX(FILTER(Response_Lists!$B:$B,Response_Lists!$A:$A=$H319),1),""""))"),"")</f>
        <v/>
      </c>
      <c r="K319" s="28" t="str">
        <f>IFERROR(__xludf.DUMMYFUNCTION("IF($I318="""","""",IFERROR(INDEX(FILTER(Response_Lists!$B:$B,Response_Lists!$A:$A=$H319),2),""""))"),"")</f>
        <v/>
      </c>
      <c r="L319" s="28" t="str">
        <f>IFERROR(__xludf.DUMMYFUNCTION("IF($I318="""","""",IFERROR(INDEX(FILTER(Response_Lists!$B:$B,Response_Lists!$A:$A=$H319),3),""""))"),"")</f>
        <v/>
      </c>
      <c r="M319" s="28" t="str">
        <f>IFERROR(__xludf.DUMMYFUNCTION("IF($I318="""","""",IFERROR(INDEX(FILTER(Response_Lists!$B:$B,Response_Lists!$A:$A=$H319),4),""""))"),"")</f>
        <v/>
      </c>
      <c r="N319" s="28" t="str">
        <f>IFERROR(__xludf.DUMMYFUNCTION("IF($I318="""","""",IFERROR(INDEX(FILTER(Response_Lists!$B:$B,Response_Lists!$A:$A=$H319),5),""""))"),"")</f>
        <v/>
      </c>
      <c r="O319" s="28" t="str">
        <f>IFERROR(__xludf.DUMMYFUNCTION("IF($I318="""","""",IFERROR(INDEX(FILTER(Response_Lists!$B:$B,Response_Lists!$A:$A=$H319),6),""""))"),"")</f>
        <v/>
      </c>
      <c r="P319" s="28" t="str">
        <f t="shared" si="6"/>
        <v/>
      </c>
      <c r="Q319" s="28" t="str">
        <f t="array" ref="Q319">IF($I318="","",XLOOKUP(C319,FSM_State_Map!A:A,FSM_State_Map!D:D,""))</f>
        <v/>
      </c>
      <c r="R319" s="28" t="str">
        <f t="shared" si="7"/>
        <v/>
      </c>
      <c r="S319" s="28" t="str">
        <f t="array" ref="S319">IF($I318="","",
IF(
  AND(C319="B",C318&lt;&gt;"B"),
  XLOOKUP($B319,Derived_Variables!$A:$A,Derived_Variables!$K:$K,0)
  + XLOOKUP($B319,Derived_Variables!$A:$A,Derived_Variables!$AE:$AE,0),
  S318+AM318
))</f>
        <v/>
      </c>
      <c r="T319" s="28" t="str">
        <f t="shared" ref="T319:U319" si="648">IF($I318="","",T318+AN318)</f>
        <v/>
      </c>
      <c r="U319" s="28" t="str">
        <f t="shared" si="648"/>
        <v/>
      </c>
      <c r="V319" s="28" t="str">
        <f t="array" ref="V319">IF($I318="","",
IF(
  AND(C319="D",C318&lt;&gt;"D"),
  XLOOKUP($B319,Derived_Variables!$A:$A,Derived_Variables!$N:$N,0)
  + XLOOKUP($B319,Derived_Variables!$A:$A,Derived_Variables!$AE:$AE,0),
  V318+AP318
))</f>
        <v/>
      </c>
      <c r="W319" s="28" t="str">
        <f t="shared" ref="W319:X319" si="649">IF($I318="","",W318+AQ318)</f>
        <v/>
      </c>
      <c r="X319" s="28" t="str">
        <f t="shared" si="649"/>
        <v/>
      </c>
      <c r="Y319" s="28" t="str">
        <f t="array" ref="Y319">IF($I318="","",IF(AND(C319="P",C318&lt;&gt;"P"),IFERROR(XLOOKUP($B319,Lenso_Input!$A:$A,Lenso_Input!$E:$E,0),0),Y318+AS318))</f>
        <v/>
      </c>
      <c r="Z319" s="28" t="str">
        <f t="array" ref="Z319">IF($I318="","",IF(AND(C319="Q",C318&lt;&gt;"Q"),IFERROR(XLOOKUP($B319,Lenso_Input!$A:$A,Lenso_Input!$I:$I,0),0),Z318+AT318))</f>
        <v/>
      </c>
      <c r="AA319" s="28" t="str">
        <f t="array" ref="AA319">IF($I318="","",IF(XLOOKUP($B319,Derived_Variables!$A:$A,Derived_Variables!$R:$R,"6/6_target")="6/6_target","20_20_20","40_30_25"))</f>
        <v/>
      </c>
      <c r="AB319" s="28" t="str">
        <f t="array" ref="AB319">IF($I318="","",XLOOKUP(LOWER(XLOOKUP($B319,Derived_Variables!$A:$A,Derived_Variables!$T:$T,"Standard"))&amp;"_sph_step",Calibration!$B:$B,Calibration!$C:$C,0.25))</f>
        <v/>
      </c>
      <c r="AC319" s="28" t="str">
        <f t="array" ref="AC319">IF($I318="","",XLOOKUP(LOWER(XLOOKUP($B319,Derived_Variables!$A:$A,Derived_Variables!$T:$T,"Standard"))&amp;"_cyl_step",Calibration!$B:$B,Calibration!$C:$C,0.25))</f>
        <v/>
      </c>
      <c r="AD319" s="28" t="str">
        <f t="array" ref="AD319">IF($I318="","",IF(OR(C319="E",C319="H"),LET(startStep,XLOOKUP("axis_start_step",Calibration!$B:$B,Calibration!$C:$C,5),step1,XLOOKUP("axis_reversal_step_1",Calibration!$B:$B,Calibration!$C:$C,3),step2,XLOOKUP("axis_reversal_step_2",Calibration!$B:$B,Calibration!$C:$C,1),IF(OR(C318&lt;&gt;C319,AZ319="",AZ319="SAME",AZ319="CANT_TELL",I319="",I319="SAME",I319="CANT_TELL"),startStep,IF(OR(AND(AZ319="BETTER_1",I319="BETTER_2"),AND(AZ319="BETTER_2",I319="BETTER_1")),IF(AD318&gt;step1,step1,step2),AD318))),0))</f>
        <v/>
      </c>
      <c r="AE319" s="28" t="str">
        <f t="array" ref="AE319">IF($I318="","",XLOOKUP($B319,Derived_Variables!$A:$A,Derived_Variables!$AD:$AD,"No_Fog"))</f>
        <v/>
      </c>
      <c r="AF319" s="28" t="str">
        <f t="array" ref="AF319">IF($I318="","",XLOOKUP($B319,Derived_Variables!$A:$A,Derived_Variables!$AE:$AE,0))</f>
        <v/>
      </c>
      <c r="AG319" s="28" t="str">
        <f t="array" ref="AG319">IF($I318="","",XLOOKUP($B319,Derived_Variables!$A:$A,Derived_Variables!$AF:$AF,""))</f>
        <v/>
      </c>
      <c r="AH319" s="28" t="str">
        <f t="array" ref="AH319">IF($I318="","",XLOOKUP($B319,Derived_Variables!$A:$A,Derived_Variables!$AG:$AG,""))</f>
        <v/>
      </c>
      <c r="AI319" s="28" t="str">
        <f t="array" ref="AI319">IF($I318="","",XLOOKUP($B319,Derived_Variables!$A:$A,Derived_Variables!$AC:$AC,"Medium"))</f>
        <v/>
      </c>
      <c r="AJ319" s="28" t="str">
        <f t="array" ref="AJ319">IF($I318="","",XLOOKUP($B319,Derived_Variables!$A:$A,Derived_Variables!$Y:$Y,FALSE))</f>
        <v/>
      </c>
      <c r="AK319" s="28" t="str">
        <f t="array" ref="AK319">IF($I318="","",XLOOKUP($B319,Derived_Variables!$A:$A,Derived_Variables!$AA:$AA,"Normal"))</f>
        <v/>
      </c>
      <c r="AL319" s="28" t="str">
        <f t="array" ref="AL319">IF($I318="","",XLOOKUP($B319,Derived_Variables!$A:$A,Derived_Variables!$AB:$AB,"Normal"))</f>
        <v/>
      </c>
      <c r="AM319" s="28" t="str">
        <f t="array" ref="AM319">IF($I319="","",IFS(C319="B",IF(OR(I319="NOT_READABLE",I319="BLURRY"),-AB319,0),C319="G",IFS(I319="RED_CLEARER",XLOOKUP("duochrome_red_step",Calibration!$B:$B,Calibration!$C:$C,-0.25),I319="GREEN_CLEARER",XLOOKUP("duochrome_green_step",Calibration!$B:$B,Calibration!$C:$C,0.25),I319="EQUAL",IF(XLOOKUP($B319,Derived_Variables!$A:$A,Derived_Variables!$S:$S,"Neutral")="Undercorrect",XLOOKUP("undercorrect_step",Calibration!$B:$B,Calibration!$C:$C,0.25),IF(XLOOKUP($B319,Derived_Variables!$A:$A,Derived_Variables!$S:$S,"Neutral")="Overcorrect",-XLOOKUP("overcorrect_step",Calibration!$B:$B,Calibration!$C:$C,0.25),0)),TRUE,0),C319="K",IF(I319="TOP_CLEARER",XLOOKUP("bino_balance_step",Calibration!$B:$B,Calibration!$C:$C,0.25),0),TRUE,0))</f>
        <v/>
      </c>
      <c r="AN319" s="28" t="str">
        <f t="shared" si="10"/>
        <v/>
      </c>
      <c r="AO319" s="28" t="str">
        <f t="shared" si="11"/>
        <v/>
      </c>
      <c r="AP319" s="28" t="str">
        <f t="array" ref="AP319">IF($I319="","",IFS(C319="D",IF(OR(I319="NOT_READABLE",I319="BLURRY"),-AB319,0),C319="J",IFS(I319="RED_CLEARER",XLOOKUP("duochrome_red_step",Calibration!$B:$B,Calibration!$C:$C,-0.25),I319="GREEN_CLEARER",XLOOKUP("duochrome_green_step",Calibration!$B:$B,Calibration!$C:$C,0.25),I319="EQUAL",IF(XLOOKUP($B319,Derived_Variables!$A:$A,Derived_Variables!$S:$S,"Neutral")="Undercorrect",XLOOKUP("undercorrect_step",Calibration!$B:$B,Calibration!$C:$C,0.25),IF(XLOOKUP($B319,Derived_Variables!$A:$A,Derived_Variables!$S:$S,"Neutral")="Overcorrect",-XLOOKUP("overcorrect_step",Calibration!$B:$B,Calibration!$C:$C,0.25),0)),TRUE,0),C319="K",IF(I319="BOTTOM_CLEARER",XLOOKUP("bino_balance_step",Calibration!$B:$B,Calibration!$C:$C,0.25),0),TRUE,0))</f>
        <v/>
      </c>
      <c r="AQ319" s="28" t="str">
        <f t="shared" si="12"/>
        <v/>
      </c>
      <c r="AR319" s="28" t="str">
        <f t="shared" si="13"/>
        <v/>
      </c>
      <c r="AS319" s="28" t="str">
        <f t="array" ref="AS319">IF($I319="","",IF(C319="P",IF(OR(I319="NOT_READABLE",I319="BLURRY"),XLOOKUP("near_add_step",Calibration!$B:$B,Calibration!$C:$C,0.25),0),IF(C319="R",IF(I319="NOT_CLEAR",XLOOKUP("near_add_step",Calibration!$B:$B,Calibration!$C:$C,0.25),0),0)))</f>
        <v/>
      </c>
      <c r="AT319" s="28" t="str">
        <f t="array" ref="AT319">IF($I319="","",IF(C319="Q",IF(OR(I319="NOT_READABLE",I319="BLURRY"),XLOOKUP("near_add_step",Calibration!$B:$B,Calibration!$C:$C,0.25),0),IF(C319="R",IF(I319="NOT_CLEAR",XLOOKUP("near_add_step",Calibration!$B:$B,Calibration!$C:$C,0.25),0),0)))</f>
        <v/>
      </c>
      <c r="AU319" s="28" t="str">
        <f t="array" ref="AU319">IF($I319="","",IF(G319="SNELLEN_FEET",IF(I319="READABLE",IFERROR(XLOOKUP(XLOOKUP(R319,Chart_Scale_Distance!B:B,Chart_Scale_Distance!A:A)+1,Chart_Scale_Distance!A:A,Chart_Scale_Distance!B:B),R319),R319),R319))</f>
        <v/>
      </c>
      <c r="AV319" s="28" t="str">
        <f t="array" ref="AV319">IF($I318="","",IFERROR(XLOOKUP(R319,Chart_Scale_Distance!$B:$B,Chart_Scale_Distance!$A:$A,""),""))</f>
        <v/>
      </c>
      <c r="AW319" s="28" t="str">
        <f t="array" ref="AW319">IF($I318="","",IFERROR(XLOOKUP(AA319,Chart_Scale_Distance!$B:$B,Chart_Scale_Distance!$A:$A,""),""))</f>
        <v/>
      </c>
      <c r="AX319" s="28" t="str">
        <f t="shared" si="14"/>
        <v/>
      </c>
      <c r="AY319" s="28" t="str">
        <f t="shared" si="15"/>
        <v/>
      </c>
      <c r="AZ319" s="28" t="str">
        <f t="shared" si="16"/>
        <v/>
      </c>
      <c r="BA319" s="28" t="str">
        <f t="shared" si="17"/>
        <v/>
      </c>
      <c r="BB319" s="28" t="str">
        <f t="shared" si="18"/>
        <v/>
      </c>
      <c r="BC319" s="28" t="str">
        <f t="array" ref="BC319">IF($I319="","",LET(
conf,AI319,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duoMax,XLOOKUP($B319,Derived_Variables!$A:$A,Derived_Variables!$AI:$AI,4),
axisTol,XLOOKUP($B319,Derived_Variables!$A:$A,Derived_Variables!$W:$W,1),
maxStart,XLOOKUP($B319,Derived_Variables!$A:$A,Derived_Variables!$U:$U,1.25),
maxAR,XLOOKUP($B319,Derived_Variables!$A:$A,Derived_Variables!$V:$V,3),
anom,XLOOKUP($B319,Derived_Variables!$A:$A,Derived_Variables!$Z:$Z,FALSE),
reStart,XLOOKUP($B319,Derived_Variables!$A:$A,Derived_Variables!$K:$K,0),
leStart,XLOOKUP($B319,Derived_Variables!$A:$A,Derived_Variables!$N:$N,0),
reAR,XLOOKUP($B319,AR_Input!$A:$A,AR_Input!$B:$B,reStart),
leAR,XLOOKUP($B319,AR_Input!$A:$A,AR_Input!$E:$E,leStart),
reEsc,AND(anom,OR(ABS((S319+AM319)-reStart)&gt;maxStart,ABS((S319+AM319)-reAR)&gt;maxAR)),
leEsc,AND(anom,OR(ABS((V319+AP319)-leStart)&gt;maxStart,ABS((V319+AP319)-leAR)&gt;maxAR)),
phaseMax,IFS(
 AK319="Fast",
   IFS(
     OR(C319="B",C319="D"),XLOOKUP("timeout_coarse_fast",Calibration!$B:$B,Calibration!$C:$C,24),
     OR(C319="E",C319="F",C319="H",C319="I"),XLOOKUP("timeout_jcc_fast",Calibration!$B:$B,Calibration!$C:$C,10),
     OR(C319="G",C319="J"),XLOOKUP("timeout_duochrome_fast",Calibration!$B:$B,Calibration!$C:$C,8),
     C319="K",XLOOKUP("timeout_bino_fast",Calibration!$B:$B,Calibration!$C:$C,10),
     OR(C319="P",C319="Q",C319="R"),XLOOKUP("timeout_near_fast",Calibration!$B:$B,Calibration!$C:$C,16),
     TRUE,XLOOKUP("timeout_coarse_fast",Calibration!$B:$B,Calibration!$C:$C,24)
   ),
 AK319="Normal",
   IFS(
     OR(C319="B",C319="D"),XLOOKUP("timeout_coarse_normal",Calibration!$B:$B,Calibration!$C:$C,36),
     OR(C319="E",C319="F",C319="H",C319="I"),XLOOKUP("timeout_jcc_normal",Calibration!$B:$B,Calibration!$C:$C,14),
     OR(C319="G",C319="J"),XLOOKUP("timeout_duochrome_normal",Calibration!$B:$B,Calibration!$C:$C,10),
     C319="K",XLOOKUP("timeout_bino_normal",Calibration!$B:$B,Calibration!$C:$C,14),
     OR(C319="P",C319="Q",C319="R"),XLOOKUP("timeout_near_normal",Calibration!$B:$B,Calibration!$C:$C,22),
     TRUE,XLOOKUP("timeout_coarse_normal",Calibration!$B:$B,Calibration!$C:$C,36)
   ),
 TRUE,
   IFS(
     OR(C319="B",C319="D"),XLOOKUP("timeout_coarse_slow",Calibration!$B:$B,Calibration!$C:$C,48),
     OR(C319="E",C319="F",C319="H",C319="I"),XLOOKUP("timeout_jcc_slow",Calibration!$B:$B,Calibration!$C:$C,18),
     OR(C319="G",C319="J"),XLOOKUP("timeout_duochrome_slow",Calibration!$B:$B,Calibration!$C:$C,12),
     C319="K",XLOOKUP("timeout_bino_slow",Calibration!$B:$B,Calibration!$C:$C,18),
     OR(C319="P",C319="Q",C319="R"),XLOOKUP("timeout_near_slow",Calibration!$B:$B,Calibration!$C:$C,28),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AJ319=TRUE,"ESCALATE",
C319="A",
IF(OR(I319="NOT_READABLE",I319="BLURRY",AND(R319="20_20_20",I319="READABLE")),"B","A"),
C319="B",
IF(reEsc,"ESCALATE",IF(AY319&gt;=phaseMax,"ESCALATE",IF(AND(AV319&gt;=AW319,I319="READABLE"),"E","B"))),
C319="E",
IF(AY319&gt;=phaseMax,"ESCALATE",IF(OR(I319="SAME",I319="CANT_TELL",AD319&lt;axisTol),"F","E")),
C319="F",
IF(AY319&gt;=phaseMax,"ESCALATE",IF(AX319&gt;=powerSameN,"G","F")),
C319="G",
IF(AY319&gt;=phaseMax,"ESCALATE",IF(OR(AX319&gt;=duoEqualN,BB319&gt;=duoMax),"D","G")),
C319="D",
IF(leEsc,"ESCALATE",IF(AY319&gt;=phaseMax,"ESCALATE",IF(AND(AV319&gt;=AW319,I319="READABLE"),"H","D"))),
C319="H",
IF(AY319&gt;=phaseMax,"ESCALATE",IF(OR(I319="SAME",I319="CANT_TELL",AD319&lt;axisTol),"I","H")),
C319="I",
IF(AY319&gt;=phaseMax,"ESCALATE",IF(AX319&gt;=powerSameN,"J","I")),
C319="J",
IF(AY319&gt;=phaseMax,"ESCALATE",IF(OR(AX319&gt;=duoEqualN,BB319&gt;=duoMax),"K","J")),
C319="K",
IF(AY319&gt;=phaseMax,"ESCALATE",IF(AX319&gt;=binoSameN,IF(XLOOKUP($B319,Derived_Variables!$A:$A,Derived_Variables!$AJ:$AJ,FALSE)=TRUE,"P","END"),"K")),
C319="P",
IF(AY319&gt;=phaseMax,"ESCALATE",IF(OR(I319="READABLE",I319="SAME"),"Q","P")),
C319="Q",
IF(AY319&gt;=phaseMax,"ESCALATE",IF(OR(I319="READABLE",I319="SAME"),"R","Q")),
C319="R",
IF(AY319&gt;=phaseMax,"ESCALATE",IF(OR(I319=nearTarget,I319="SAME"),"END","R")),
TRUE,"END"
)))</f>
        <v/>
      </c>
      <c r="BD319" s="28" t="b">
        <f t="shared" si="19"/>
        <v>0</v>
      </c>
    </row>
    <row r="320" ht="15.75" customHeight="1">
      <c r="A320" s="28">
        <f t="shared" si="3"/>
        <v>319</v>
      </c>
      <c r="B320" s="28">
        <f t="shared" si="4"/>
        <v>6</v>
      </c>
      <c r="C320" s="28" t="str">
        <f t="shared" si="5"/>
        <v/>
      </c>
      <c r="D320" s="28" t="str">
        <f t="array" ref="D320">IF($I319="","",XLOOKUP(C320,FSM_State_Map!A:A,FSM_State_Map!B:B,""))</f>
        <v/>
      </c>
      <c r="E320" s="28" t="str">
        <f t="array" ref="E320">IF($I319="","",XLOOKUP(C320,FSM_State_Map!A:A,FSM_State_Map!C:C,""))</f>
        <v/>
      </c>
      <c r="F320" s="28" t="str">
        <f t="array" ref="F320">IF($I319="","",XLOOKUP(E320,Phase_UI_Map!A:A,Phase_UI_Map!B:B,""))</f>
        <v/>
      </c>
      <c r="G320" s="28" t="str">
        <f t="array" ref="G320">IF($I319="","",XLOOKUP(E320,Phase_UI_Map!A:A,Phase_UI_Map!C:C,""))</f>
        <v/>
      </c>
      <c r="H320" s="28" t="str">
        <f t="array" ref="H320">IF($I319="","",XLOOKUP(E320,Phase_UI_Map!A:A,Phase_UI_Map!D:D,""))</f>
        <v/>
      </c>
      <c r="I320" s="29"/>
      <c r="J320" s="28" t="str">
        <f>IFERROR(__xludf.DUMMYFUNCTION("IF($I319="""","""",IFERROR(INDEX(FILTER(Response_Lists!$B:$B,Response_Lists!$A:$A=$H320),1),""""))"),"")</f>
        <v/>
      </c>
      <c r="K320" s="28" t="str">
        <f>IFERROR(__xludf.DUMMYFUNCTION("IF($I319="""","""",IFERROR(INDEX(FILTER(Response_Lists!$B:$B,Response_Lists!$A:$A=$H320),2),""""))"),"")</f>
        <v/>
      </c>
      <c r="L320" s="28" t="str">
        <f>IFERROR(__xludf.DUMMYFUNCTION("IF($I319="""","""",IFERROR(INDEX(FILTER(Response_Lists!$B:$B,Response_Lists!$A:$A=$H320),3),""""))"),"")</f>
        <v/>
      </c>
      <c r="M320" s="28" t="str">
        <f>IFERROR(__xludf.DUMMYFUNCTION("IF($I319="""","""",IFERROR(INDEX(FILTER(Response_Lists!$B:$B,Response_Lists!$A:$A=$H320),4),""""))"),"")</f>
        <v/>
      </c>
      <c r="N320" s="28" t="str">
        <f>IFERROR(__xludf.DUMMYFUNCTION("IF($I319="""","""",IFERROR(INDEX(FILTER(Response_Lists!$B:$B,Response_Lists!$A:$A=$H320),5),""""))"),"")</f>
        <v/>
      </c>
      <c r="O320" s="28" t="str">
        <f>IFERROR(__xludf.DUMMYFUNCTION("IF($I319="""","""",IFERROR(INDEX(FILTER(Response_Lists!$B:$B,Response_Lists!$A:$A=$H320),6),""""))"),"")</f>
        <v/>
      </c>
      <c r="P320" s="28" t="str">
        <f t="shared" si="6"/>
        <v/>
      </c>
      <c r="Q320" s="28" t="str">
        <f t="array" ref="Q320">IF($I319="","",XLOOKUP(C320,FSM_State_Map!A:A,FSM_State_Map!D:D,""))</f>
        <v/>
      </c>
      <c r="R320" s="28" t="str">
        <f t="shared" si="7"/>
        <v/>
      </c>
      <c r="S320" s="28" t="str">
        <f t="array" ref="S320">IF($I319="","",
IF(
  AND(C320="B",C319&lt;&gt;"B"),
  XLOOKUP($B320,Derived_Variables!$A:$A,Derived_Variables!$K:$K,0)
  + XLOOKUP($B320,Derived_Variables!$A:$A,Derived_Variables!$AE:$AE,0),
  S319+AM319
))</f>
        <v/>
      </c>
      <c r="T320" s="28" t="str">
        <f t="shared" ref="T320:U320" si="650">IF($I319="","",T319+AN319)</f>
        <v/>
      </c>
      <c r="U320" s="28" t="str">
        <f t="shared" si="650"/>
        <v/>
      </c>
      <c r="V320" s="28" t="str">
        <f t="array" ref="V320">IF($I319="","",
IF(
  AND(C320="D",C319&lt;&gt;"D"),
  XLOOKUP($B320,Derived_Variables!$A:$A,Derived_Variables!$N:$N,0)
  + XLOOKUP($B320,Derived_Variables!$A:$A,Derived_Variables!$AE:$AE,0),
  V319+AP319
))</f>
        <v/>
      </c>
      <c r="W320" s="28" t="str">
        <f t="shared" ref="W320:X320" si="651">IF($I319="","",W319+AQ319)</f>
        <v/>
      </c>
      <c r="X320" s="28" t="str">
        <f t="shared" si="651"/>
        <v/>
      </c>
      <c r="Y320" s="28" t="str">
        <f t="array" ref="Y320">IF($I319="","",IF(AND(C320="P",C319&lt;&gt;"P"),IFERROR(XLOOKUP($B320,Lenso_Input!$A:$A,Lenso_Input!$E:$E,0),0),Y319+AS319))</f>
        <v/>
      </c>
      <c r="Z320" s="28" t="str">
        <f t="array" ref="Z320">IF($I319="","",IF(AND(C320="Q",C319&lt;&gt;"Q"),IFERROR(XLOOKUP($B320,Lenso_Input!$A:$A,Lenso_Input!$I:$I,0),0),Z319+AT319))</f>
        <v/>
      </c>
      <c r="AA320" s="28" t="str">
        <f t="array" ref="AA320">IF($I319="","",IF(XLOOKUP($B320,Derived_Variables!$A:$A,Derived_Variables!$R:$R,"6/6_target")="6/6_target","20_20_20","40_30_25"))</f>
        <v/>
      </c>
      <c r="AB320" s="28" t="str">
        <f t="array" ref="AB320">IF($I319="","",XLOOKUP(LOWER(XLOOKUP($B320,Derived_Variables!$A:$A,Derived_Variables!$T:$T,"Standard"))&amp;"_sph_step",Calibration!$B:$B,Calibration!$C:$C,0.25))</f>
        <v/>
      </c>
      <c r="AC320" s="28" t="str">
        <f t="array" ref="AC320">IF($I319="","",XLOOKUP(LOWER(XLOOKUP($B320,Derived_Variables!$A:$A,Derived_Variables!$T:$T,"Standard"))&amp;"_cyl_step",Calibration!$B:$B,Calibration!$C:$C,0.25))</f>
        <v/>
      </c>
      <c r="AD320" s="28" t="str">
        <f t="array" ref="AD320">IF($I319="","",IF(OR(C320="E",C320="H"),LET(startStep,XLOOKUP("axis_start_step",Calibration!$B:$B,Calibration!$C:$C,5),step1,XLOOKUP("axis_reversal_step_1",Calibration!$B:$B,Calibration!$C:$C,3),step2,XLOOKUP("axis_reversal_step_2",Calibration!$B:$B,Calibration!$C:$C,1),IF(OR(C319&lt;&gt;C320,AZ320="",AZ320="SAME",AZ320="CANT_TELL",I320="",I320="SAME",I320="CANT_TELL"),startStep,IF(OR(AND(AZ320="BETTER_1",I320="BETTER_2"),AND(AZ320="BETTER_2",I320="BETTER_1")),IF(AD319&gt;step1,step1,step2),AD319))),0))</f>
        <v/>
      </c>
      <c r="AE320" s="28" t="str">
        <f t="array" ref="AE320">IF($I319="","",XLOOKUP($B320,Derived_Variables!$A:$A,Derived_Variables!$AD:$AD,"No_Fog"))</f>
        <v/>
      </c>
      <c r="AF320" s="28" t="str">
        <f t="array" ref="AF320">IF($I319="","",XLOOKUP($B320,Derived_Variables!$A:$A,Derived_Variables!$AE:$AE,0))</f>
        <v/>
      </c>
      <c r="AG320" s="28" t="str">
        <f t="array" ref="AG320">IF($I319="","",XLOOKUP($B320,Derived_Variables!$A:$A,Derived_Variables!$AF:$AF,""))</f>
        <v/>
      </c>
      <c r="AH320" s="28" t="str">
        <f t="array" ref="AH320">IF($I319="","",XLOOKUP($B320,Derived_Variables!$A:$A,Derived_Variables!$AG:$AG,""))</f>
        <v/>
      </c>
      <c r="AI320" s="28" t="str">
        <f t="array" ref="AI320">IF($I319="","",XLOOKUP($B320,Derived_Variables!$A:$A,Derived_Variables!$AC:$AC,"Medium"))</f>
        <v/>
      </c>
      <c r="AJ320" s="28" t="str">
        <f t="array" ref="AJ320">IF($I319="","",XLOOKUP($B320,Derived_Variables!$A:$A,Derived_Variables!$Y:$Y,FALSE))</f>
        <v/>
      </c>
      <c r="AK320" s="28" t="str">
        <f t="array" ref="AK320">IF($I319="","",XLOOKUP($B320,Derived_Variables!$A:$A,Derived_Variables!$AA:$AA,"Normal"))</f>
        <v/>
      </c>
      <c r="AL320" s="28" t="str">
        <f t="array" ref="AL320">IF($I319="","",XLOOKUP($B320,Derived_Variables!$A:$A,Derived_Variables!$AB:$AB,"Normal"))</f>
        <v/>
      </c>
      <c r="AM320" s="28" t="str">
        <f t="array" ref="AM320">IF($I320="","",IFS(C320="B",IF(OR(I320="NOT_READABLE",I320="BLURRY"),-AB320,0),C320="G",IFS(I320="RED_CLEARER",XLOOKUP("duochrome_red_step",Calibration!$B:$B,Calibration!$C:$C,-0.25),I320="GREEN_CLEARER",XLOOKUP("duochrome_green_step",Calibration!$B:$B,Calibration!$C:$C,0.25),I320="EQUAL",IF(XLOOKUP($B320,Derived_Variables!$A:$A,Derived_Variables!$S:$S,"Neutral")="Undercorrect",XLOOKUP("undercorrect_step",Calibration!$B:$B,Calibration!$C:$C,0.25),IF(XLOOKUP($B320,Derived_Variables!$A:$A,Derived_Variables!$S:$S,"Neutral")="Overcorrect",-XLOOKUP("overcorrect_step",Calibration!$B:$B,Calibration!$C:$C,0.25),0)),TRUE,0),C320="K",IF(I320="TOP_CLEARER",XLOOKUP("bino_balance_step",Calibration!$B:$B,Calibration!$C:$C,0.25),0),TRUE,0))</f>
        <v/>
      </c>
      <c r="AN320" s="28" t="str">
        <f t="shared" si="10"/>
        <v/>
      </c>
      <c r="AO320" s="28" t="str">
        <f t="shared" si="11"/>
        <v/>
      </c>
      <c r="AP320" s="28" t="str">
        <f t="array" ref="AP320">IF($I320="","",IFS(C320="D",IF(OR(I320="NOT_READABLE",I320="BLURRY"),-AB320,0),C320="J",IFS(I320="RED_CLEARER",XLOOKUP("duochrome_red_step",Calibration!$B:$B,Calibration!$C:$C,-0.25),I320="GREEN_CLEARER",XLOOKUP("duochrome_green_step",Calibration!$B:$B,Calibration!$C:$C,0.25),I320="EQUAL",IF(XLOOKUP($B320,Derived_Variables!$A:$A,Derived_Variables!$S:$S,"Neutral")="Undercorrect",XLOOKUP("undercorrect_step",Calibration!$B:$B,Calibration!$C:$C,0.25),IF(XLOOKUP($B320,Derived_Variables!$A:$A,Derived_Variables!$S:$S,"Neutral")="Overcorrect",-XLOOKUP("overcorrect_step",Calibration!$B:$B,Calibration!$C:$C,0.25),0)),TRUE,0),C320="K",IF(I320="BOTTOM_CLEARER",XLOOKUP("bino_balance_step",Calibration!$B:$B,Calibration!$C:$C,0.25),0),TRUE,0))</f>
        <v/>
      </c>
      <c r="AQ320" s="28" t="str">
        <f t="shared" si="12"/>
        <v/>
      </c>
      <c r="AR320" s="28" t="str">
        <f t="shared" si="13"/>
        <v/>
      </c>
      <c r="AS320" s="28" t="str">
        <f t="array" ref="AS320">IF($I320="","",IF(C320="P",IF(OR(I320="NOT_READABLE",I320="BLURRY"),XLOOKUP("near_add_step",Calibration!$B:$B,Calibration!$C:$C,0.25),0),IF(C320="R",IF(I320="NOT_CLEAR",XLOOKUP("near_add_step",Calibration!$B:$B,Calibration!$C:$C,0.25),0),0)))</f>
        <v/>
      </c>
      <c r="AT320" s="28" t="str">
        <f t="array" ref="AT320">IF($I320="","",IF(C320="Q",IF(OR(I320="NOT_READABLE",I320="BLURRY"),XLOOKUP("near_add_step",Calibration!$B:$B,Calibration!$C:$C,0.25),0),IF(C320="R",IF(I320="NOT_CLEAR",XLOOKUP("near_add_step",Calibration!$B:$B,Calibration!$C:$C,0.25),0),0)))</f>
        <v/>
      </c>
      <c r="AU320" s="28" t="str">
        <f t="array" ref="AU320">IF($I320="","",IF(G320="SNELLEN_FEET",IF(I320="READABLE",IFERROR(XLOOKUP(XLOOKUP(R320,Chart_Scale_Distance!B:B,Chart_Scale_Distance!A:A)+1,Chart_Scale_Distance!A:A,Chart_Scale_Distance!B:B),R320),R320),R320))</f>
        <v/>
      </c>
      <c r="AV320" s="28" t="str">
        <f t="array" ref="AV320">IF($I319="","",IFERROR(XLOOKUP(R320,Chart_Scale_Distance!$B:$B,Chart_Scale_Distance!$A:$A,""),""))</f>
        <v/>
      </c>
      <c r="AW320" s="28" t="str">
        <f t="array" ref="AW320">IF($I319="","",IFERROR(XLOOKUP(AA320,Chart_Scale_Distance!$B:$B,Chart_Scale_Distance!$A:$A,""),""))</f>
        <v/>
      </c>
      <c r="AX320" s="28" t="str">
        <f t="shared" si="14"/>
        <v/>
      </c>
      <c r="AY320" s="28" t="str">
        <f t="shared" si="15"/>
        <v/>
      </c>
      <c r="AZ320" s="28" t="str">
        <f t="shared" si="16"/>
        <v/>
      </c>
      <c r="BA320" s="28" t="str">
        <f t="shared" si="17"/>
        <v/>
      </c>
      <c r="BB320" s="28" t="str">
        <f t="shared" si="18"/>
        <v/>
      </c>
      <c r="BC320" s="28" t="str">
        <f t="array" ref="BC320">IF($I320="","",LET(
conf,AI320,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duoMax,XLOOKUP($B320,Derived_Variables!$A:$A,Derived_Variables!$AI:$AI,4),
axisTol,XLOOKUP($B320,Derived_Variables!$A:$A,Derived_Variables!$W:$W,1),
maxStart,XLOOKUP($B320,Derived_Variables!$A:$A,Derived_Variables!$U:$U,1.25),
maxAR,XLOOKUP($B320,Derived_Variables!$A:$A,Derived_Variables!$V:$V,3),
anom,XLOOKUP($B320,Derived_Variables!$A:$A,Derived_Variables!$Z:$Z,FALSE),
reStart,XLOOKUP($B320,Derived_Variables!$A:$A,Derived_Variables!$K:$K,0),
leStart,XLOOKUP($B320,Derived_Variables!$A:$A,Derived_Variables!$N:$N,0),
reAR,XLOOKUP($B320,AR_Input!$A:$A,AR_Input!$B:$B,reStart),
leAR,XLOOKUP($B320,AR_Input!$A:$A,AR_Input!$E:$E,leStart),
reEsc,AND(anom,OR(ABS((S320+AM320)-reStart)&gt;maxStart,ABS((S320+AM320)-reAR)&gt;maxAR)),
leEsc,AND(anom,OR(ABS((V320+AP320)-leStart)&gt;maxStart,ABS((V320+AP320)-leAR)&gt;maxAR)),
phaseMax,IFS(
 AK320="Fast",
   IFS(
     OR(C320="B",C320="D"),XLOOKUP("timeout_coarse_fast",Calibration!$B:$B,Calibration!$C:$C,24),
     OR(C320="E",C320="F",C320="H",C320="I"),XLOOKUP("timeout_jcc_fast",Calibration!$B:$B,Calibration!$C:$C,10),
     OR(C320="G",C320="J"),XLOOKUP("timeout_duochrome_fast",Calibration!$B:$B,Calibration!$C:$C,8),
     C320="K",XLOOKUP("timeout_bino_fast",Calibration!$B:$B,Calibration!$C:$C,10),
     OR(C320="P",C320="Q",C320="R"),XLOOKUP("timeout_near_fast",Calibration!$B:$B,Calibration!$C:$C,16),
     TRUE,XLOOKUP("timeout_coarse_fast",Calibration!$B:$B,Calibration!$C:$C,24)
   ),
 AK320="Normal",
   IFS(
     OR(C320="B",C320="D"),XLOOKUP("timeout_coarse_normal",Calibration!$B:$B,Calibration!$C:$C,36),
     OR(C320="E",C320="F",C320="H",C320="I"),XLOOKUP("timeout_jcc_normal",Calibration!$B:$B,Calibration!$C:$C,14),
     OR(C320="G",C320="J"),XLOOKUP("timeout_duochrome_normal",Calibration!$B:$B,Calibration!$C:$C,10),
     C320="K",XLOOKUP("timeout_bino_normal",Calibration!$B:$B,Calibration!$C:$C,14),
     OR(C320="P",C320="Q",C320="R"),XLOOKUP("timeout_near_normal",Calibration!$B:$B,Calibration!$C:$C,22),
     TRUE,XLOOKUP("timeout_coarse_normal",Calibration!$B:$B,Calibration!$C:$C,36)
   ),
 TRUE,
   IFS(
     OR(C320="B",C320="D"),XLOOKUP("timeout_coarse_slow",Calibration!$B:$B,Calibration!$C:$C,48),
     OR(C320="E",C320="F",C320="H",C320="I"),XLOOKUP("timeout_jcc_slow",Calibration!$B:$B,Calibration!$C:$C,18),
     OR(C320="G",C320="J"),XLOOKUP("timeout_duochrome_slow",Calibration!$B:$B,Calibration!$C:$C,12),
     C320="K",XLOOKUP("timeout_bino_slow",Calibration!$B:$B,Calibration!$C:$C,18),
     OR(C320="P",C320="Q",C320="R"),XLOOKUP("timeout_near_slow",Calibration!$B:$B,Calibration!$C:$C,28),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AJ320=TRUE,"ESCALATE",
C320="A",
IF(OR(I320="NOT_READABLE",I320="BLURRY",AND(R320="20_20_20",I320="READABLE")),"B","A"),
C320="B",
IF(reEsc,"ESCALATE",IF(AY320&gt;=phaseMax,"ESCALATE",IF(AND(AV320&gt;=AW320,I320="READABLE"),"E","B"))),
C320="E",
IF(AY320&gt;=phaseMax,"ESCALATE",IF(OR(I320="SAME",I320="CANT_TELL",AD320&lt;axisTol),"F","E")),
C320="F",
IF(AY320&gt;=phaseMax,"ESCALATE",IF(AX320&gt;=powerSameN,"G","F")),
C320="G",
IF(AY320&gt;=phaseMax,"ESCALATE",IF(OR(AX320&gt;=duoEqualN,BB320&gt;=duoMax),"D","G")),
C320="D",
IF(leEsc,"ESCALATE",IF(AY320&gt;=phaseMax,"ESCALATE",IF(AND(AV320&gt;=AW320,I320="READABLE"),"H","D"))),
C320="H",
IF(AY320&gt;=phaseMax,"ESCALATE",IF(OR(I320="SAME",I320="CANT_TELL",AD320&lt;axisTol),"I","H")),
C320="I",
IF(AY320&gt;=phaseMax,"ESCALATE",IF(AX320&gt;=powerSameN,"J","I")),
C320="J",
IF(AY320&gt;=phaseMax,"ESCALATE",IF(OR(AX320&gt;=duoEqualN,BB320&gt;=duoMax),"K","J")),
C320="K",
IF(AY320&gt;=phaseMax,"ESCALATE",IF(AX320&gt;=binoSameN,IF(XLOOKUP($B320,Derived_Variables!$A:$A,Derived_Variables!$AJ:$AJ,FALSE)=TRUE,"P","END"),"K")),
C320="P",
IF(AY320&gt;=phaseMax,"ESCALATE",IF(OR(I320="READABLE",I320="SAME"),"Q","P")),
C320="Q",
IF(AY320&gt;=phaseMax,"ESCALATE",IF(OR(I320="READABLE",I320="SAME"),"R","Q")),
C320="R",
IF(AY320&gt;=phaseMax,"ESCALATE",IF(OR(I320=nearTarget,I320="SAME"),"END","R")),
TRUE,"END"
)))</f>
        <v/>
      </c>
      <c r="BD320" s="28" t="b">
        <f t="shared" si="19"/>
        <v>0</v>
      </c>
    </row>
    <row r="321" ht="15.75" customHeight="1">
      <c r="A321" s="28">
        <f t="shared" si="3"/>
        <v>320</v>
      </c>
      <c r="B321" s="28">
        <f t="shared" si="4"/>
        <v>6</v>
      </c>
      <c r="C321" s="28" t="str">
        <f t="shared" si="5"/>
        <v/>
      </c>
      <c r="D321" s="28" t="str">
        <f t="array" ref="D321">IF($I320="","",XLOOKUP(C321,FSM_State_Map!A:A,FSM_State_Map!B:B,""))</f>
        <v/>
      </c>
      <c r="E321" s="28" t="str">
        <f t="array" ref="E321">IF($I320="","",XLOOKUP(C321,FSM_State_Map!A:A,FSM_State_Map!C:C,""))</f>
        <v/>
      </c>
      <c r="F321" s="28" t="str">
        <f t="array" ref="F321">IF($I320="","",XLOOKUP(E321,Phase_UI_Map!A:A,Phase_UI_Map!B:B,""))</f>
        <v/>
      </c>
      <c r="G321" s="28" t="str">
        <f t="array" ref="G321">IF($I320="","",XLOOKUP(E321,Phase_UI_Map!A:A,Phase_UI_Map!C:C,""))</f>
        <v/>
      </c>
      <c r="H321" s="28" t="str">
        <f t="array" ref="H321">IF($I320="","",XLOOKUP(E321,Phase_UI_Map!A:A,Phase_UI_Map!D:D,""))</f>
        <v/>
      </c>
      <c r="I321" s="29"/>
      <c r="J321" s="28" t="str">
        <f>IFERROR(__xludf.DUMMYFUNCTION("IF($I320="""","""",IFERROR(INDEX(FILTER(Response_Lists!$B:$B,Response_Lists!$A:$A=$H321),1),""""))"),"")</f>
        <v/>
      </c>
      <c r="K321" s="28" t="str">
        <f>IFERROR(__xludf.DUMMYFUNCTION("IF($I320="""","""",IFERROR(INDEX(FILTER(Response_Lists!$B:$B,Response_Lists!$A:$A=$H321),2),""""))"),"")</f>
        <v/>
      </c>
      <c r="L321" s="28" t="str">
        <f>IFERROR(__xludf.DUMMYFUNCTION("IF($I320="""","""",IFERROR(INDEX(FILTER(Response_Lists!$B:$B,Response_Lists!$A:$A=$H321),3),""""))"),"")</f>
        <v/>
      </c>
      <c r="M321" s="28" t="str">
        <f>IFERROR(__xludf.DUMMYFUNCTION("IF($I320="""","""",IFERROR(INDEX(FILTER(Response_Lists!$B:$B,Response_Lists!$A:$A=$H321),4),""""))"),"")</f>
        <v/>
      </c>
      <c r="N321" s="28" t="str">
        <f>IFERROR(__xludf.DUMMYFUNCTION("IF($I320="""","""",IFERROR(INDEX(FILTER(Response_Lists!$B:$B,Response_Lists!$A:$A=$H321),5),""""))"),"")</f>
        <v/>
      </c>
      <c r="O321" s="28" t="str">
        <f>IFERROR(__xludf.DUMMYFUNCTION("IF($I320="""","""",IFERROR(INDEX(FILTER(Response_Lists!$B:$B,Response_Lists!$A:$A=$H321),6),""""))"),"")</f>
        <v/>
      </c>
      <c r="P321" s="28" t="str">
        <f t="shared" si="6"/>
        <v/>
      </c>
      <c r="Q321" s="28" t="str">
        <f t="array" ref="Q321">IF($I320="","",XLOOKUP(C321,FSM_State_Map!A:A,FSM_State_Map!D:D,""))</f>
        <v/>
      </c>
      <c r="R321" s="28" t="str">
        <f t="shared" si="7"/>
        <v/>
      </c>
      <c r="S321" s="28" t="str">
        <f t="array" ref="S321">IF($I320="","",
IF(
  AND(C321="B",C320&lt;&gt;"B"),
  XLOOKUP($B321,Derived_Variables!$A:$A,Derived_Variables!$K:$K,0)
  + XLOOKUP($B321,Derived_Variables!$A:$A,Derived_Variables!$AE:$AE,0),
  S320+AM320
))</f>
        <v/>
      </c>
      <c r="T321" s="28" t="str">
        <f t="shared" ref="T321:U321" si="652">IF($I320="","",T320+AN320)</f>
        <v/>
      </c>
      <c r="U321" s="28" t="str">
        <f t="shared" si="652"/>
        <v/>
      </c>
      <c r="V321" s="28" t="str">
        <f t="array" ref="V321">IF($I320="","",
IF(
  AND(C321="D",C320&lt;&gt;"D"),
  XLOOKUP($B321,Derived_Variables!$A:$A,Derived_Variables!$N:$N,0)
  + XLOOKUP($B321,Derived_Variables!$A:$A,Derived_Variables!$AE:$AE,0),
  V320+AP320
))</f>
        <v/>
      </c>
      <c r="W321" s="28" t="str">
        <f t="shared" ref="W321:X321" si="653">IF($I320="","",W320+AQ320)</f>
        <v/>
      </c>
      <c r="X321" s="28" t="str">
        <f t="shared" si="653"/>
        <v/>
      </c>
      <c r="Y321" s="28" t="str">
        <f t="array" ref="Y321">IF($I320="","",IF(AND(C321="P",C320&lt;&gt;"P"),IFERROR(XLOOKUP($B321,Lenso_Input!$A:$A,Lenso_Input!$E:$E,0),0),Y320+AS320))</f>
        <v/>
      </c>
      <c r="Z321" s="28" t="str">
        <f t="array" ref="Z321">IF($I320="","",IF(AND(C321="Q",C320&lt;&gt;"Q"),IFERROR(XLOOKUP($B321,Lenso_Input!$A:$A,Lenso_Input!$I:$I,0),0),Z320+AT320))</f>
        <v/>
      </c>
      <c r="AA321" s="28" t="str">
        <f t="array" ref="AA321">IF($I320="","",IF(XLOOKUP($B321,Derived_Variables!$A:$A,Derived_Variables!$R:$R,"6/6_target")="6/6_target","20_20_20","40_30_25"))</f>
        <v/>
      </c>
      <c r="AB321" s="28" t="str">
        <f t="array" ref="AB321">IF($I320="","",XLOOKUP(LOWER(XLOOKUP($B321,Derived_Variables!$A:$A,Derived_Variables!$T:$T,"Standard"))&amp;"_sph_step",Calibration!$B:$B,Calibration!$C:$C,0.25))</f>
        <v/>
      </c>
      <c r="AC321" s="28" t="str">
        <f t="array" ref="AC321">IF($I320="","",XLOOKUP(LOWER(XLOOKUP($B321,Derived_Variables!$A:$A,Derived_Variables!$T:$T,"Standard"))&amp;"_cyl_step",Calibration!$B:$B,Calibration!$C:$C,0.25))</f>
        <v/>
      </c>
      <c r="AD321" s="28" t="str">
        <f t="array" ref="AD321">IF($I320="","",IF(OR(C321="E",C321="H"),LET(startStep,XLOOKUP("axis_start_step",Calibration!$B:$B,Calibration!$C:$C,5),step1,XLOOKUP("axis_reversal_step_1",Calibration!$B:$B,Calibration!$C:$C,3),step2,XLOOKUP("axis_reversal_step_2",Calibration!$B:$B,Calibration!$C:$C,1),IF(OR(C320&lt;&gt;C321,AZ321="",AZ321="SAME",AZ321="CANT_TELL",I321="",I321="SAME",I321="CANT_TELL"),startStep,IF(OR(AND(AZ321="BETTER_1",I321="BETTER_2"),AND(AZ321="BETTER_2",I321="BETTER_1")),IF(AD320&gt;step1,step1,step2),AD320))),0))</f>
        <v/>
      </c>
      <c r="AE321" s="28" t="str">
        <f t="array" ref="AE321">IF($I320="","",XLOOKUP($B321,Derived_Variables!$A:$A,Derived_Variables!$AD:$AD,"No_Fog"))</f>
        <v/>
      </c>
      <c r="AF321" s="28" t="str">
        <f t="array" ref="AF321">IF($I320="","",XLOOKUP($B321,Derived_Variables!$A:$A,Derived_Variables!$AE:$AE,0))</f>
        <v/>
      </c>
      <c r="AG321" s="28" t="str">
        <f t="array" ref="AG321">IF($I320="","",XLOOKUP($B321,Derived_Variables!$A:$A,Derived_Variables!$AF:$AF,""))</f>
        <v/>
      </c>
      <c r="AH321" s="28" t="str">
        <f t="array" ref="AH321">IF($I320="","",XLOOKUP($B321,Derived_Variables!$A:$A,Derived_Variables!$AG:$AG,""))</f>
        <v/>
      </c>
      <c r="AI321" s="28" t="str">
        <f t="array" ref="AI321">IF($I320="","",XLOOKUP($B321,Derived_Variables!$A:$A,Derived_Variables!$AC:$AC,"Medium"))</f>
        <v/>
      </c>
      <c r="AJ321" s="28" t="str">
        <f t="array" ref="AJ321">IF($I320="","",XLOOKUP($B321,Derived_Variables!$A:$A,Derived_Variables!$Y:$Y,FALSE))</f>
        <v/>
      </c>
      <c r="AK321" s="28" t="str">
        <f t="array" ref="AK321">IF($I320="","",XLOOKUP($B321,Derived_Variables!$A:$A,Derived_Variables!$AA:$AA,"Normal"))</f>
        <v/>
      </c>
      <c r="AL321" s="28" t="str">
        <f t="array" ref="AL321">IF($I320="","",XLOOKUP($B321,Derived_Variables!$A:$A,Derived_Variables!$AB:$AB,"Normal"))</f>
        <v/>
      </c>
      <c r="AM321" s="28" t="str">
        <f t="array" ref="AM321">IF($I321="","",IFS(C321="B",IF(OR(I321="NOT_READABLE",I321="BLURRY"),-AB321,0),C321="G",IFS(I321="RED_CLEARER",XLOOKUP("duochrome_red_step",Calibration!$B:$B,Calibration!$C:$C,-0.25),I321="GREEN_CLEARER",XLOOKUP("duochrome_green_step",Calibration!$B:$B,Calibration!$C:$C,0.25),I321="EQUAL",IF(XLOOKUP($B321,Derived_Variables!$A:$A,Derived_Variables!$S:$S,"Neutral")="Undercorrect",XLOOKUP("undercorrect_step",Calibration!$B:$B,Calibration!$C:$C,0.25),IF(XLOOKUP($B321,Derived_Variables!$A:$A,Derived_Variables!$S:$S,"Neutral")="Overcorrect",-XLOOKUP("overcorrect_step",Calibration!$B:$B,Calibration!$C:$C,0.25),0)),TRUE,0),C321="K",IF(I321="TOP_CLEARER",XLOOKUP("bino_balance_step",Calibration!$B:$B,Calibration!$C:$C,0.25),0),TRUE,0))</f>
        <v/>
      </c>
      <c r="AN321" s="28" t="str">
        <f t="shared" si="10"/>
        <v/>
      </c>
      <c r="AO321" s="28" t="str">
        <f t="shared" si="11"/>
        <v/>
      </c>
      <c r="AP321" s="28" t="str">
        <f t="array" ref="AP321">IF($I321="","",IFS(C321="D",IF(OR(I321="NOT_READABLE",I321="BLURRY"),-AB321,0),C321="J",IFS(I321="RED_CLEARER",XLOOKUP("duochrome_red_step",Calibration!$B:$B,Calibration!$C:$C,-0.25),I321="GREEN_CLEARER",XLOOKUP("duochrome_green_step",Calibration!$B:$B,Calibration!$C:$C,0.25),I321="EQUAL",IF(XLOOKUP($B321,Derived_Variables!$A:$A,Derived_Variables!$S:$S,"Neutral")="Undercorrect",XLOOKUP("undercorrect_step",Calibration!$B:$B,Calibration!$C:$C,0.25),IF(XLOOKUP($B321,Derived_Variables!$A:$A,Derived_Variables!$S:$S,"Neutral")="Overcorrect",-XLOOKUP("overcorrect_step",Calibration!$B:$B,Calibration!$C:$C,0.25),0)),TRUE,0),C321="K",IF(I321="BOTTOM_CLEARER",XLOOKUP("bino_balance_step",Calibration!$B:$B,Calibration!$C:$C,0.25),0),TRUE,0))</f>
        <v/>
      </c>
      <c r="AQ321" s="28" t="str">
        <f t="shared" si="12"/>
        <v/>
      </c>
      <c r="AR321" s="28" t="str">
        <f t="shared" si="13"/>
        <v/>
      </c>
      <c r="AS321" s="28" t="str">
        <f t="array" ref="AS321">IF($I321="","",IF(C321="P",IF(OR(I321="NOT_READABLE",I321="BLURRY"),XLOOKUP("near_add_step",Calibration!$B:$B,Calibration!$C:$C,0.25),0),IF(C321="R",IF(I321="NOT_CLEAR",XLOOKUP("near_add_step",Calibration!$B:$B,Calibration!$C:$C,0.25),0),0)))</f>
        <v/>
      </c>
      <c r="AT321" s="28" t="str">
        <f t="array" ref="AT321">IF($I321="","",IF(C321="Q",IF(OR(I321="NOT_READABLE",I321="BLURRY"),XLOOKUP("near_add_step",Calibration!$B:$B,Calibration!$C:$C,0.25),0),IF(C321="R",IF(I321="NOT_CLEAR",XLOOKUP("near_add_step",Calibration!$B:$B,Calibration!$C:$C,0.25),0),0)))</f>
        <v/>
      </c>
      <c r="AU321" s="28" t="str">
        <f t="array" ref="AU321">IF($I321="","",IF(G321="SNELLEN_FEET",IF(I321="READABLE",IFERROR(XLOOKUP(XLOOKUP(R321,Chart_Scale_Distance!B:B,Chart_Scale_Distance!A:A)+1,Chart_Scale_Distance!A:A,Chart_Scale_Distance!B:B),R321),R321),R321))</f>
        <v/>
      </c>
      <c r="AV321" s="28" t="str">
        <f t="array" ref="AV321">IF($I320="","",IFERROR(XLOOKUP(R321,Chart_Scale_Distance!$B:$B,Chart_Scale_Distance!$A:$A,""),""))</f>
        <v/>
      </c>
      <c r="AW321" s="28" t="str">
        <f t="array" ref="AW321">IF($I320="","",IFERROR(XLOOKUP(AA321,Chart_Scale_Distance!$B:$B,Chart_Scale_Distance!$A:$A,""),""))</f>
        <v/>
      </c>
      <c r="AX321" s="28" t="str">
        <f t="shared" si="14"/>
        <v/>
      </c>
      <c r="AY321" s="28" t="str">
        <f t="shared" si="15"/>
        <v/>
      </c>
      <c r="AZ321" s="28" t="str">
        <f t="shared" si="16"/>
        <v/>
      </c>
      <c r="BA321" s="28" t="str">
        <f t="shared" si="17"/>
        <v/>
      </c>
      <c r="BB321" s="28" t="str">
        <f t="shared" si="18"/>
        <v/>
      </c>
      <c r="BC321" s="28" t="str">
        <f t="array" ref="BC321">IF($I321="","",LET(
conf,AI321,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duoMax,XLOOKUP($B321,Derived_Variables!$A:$A,Derived_Variables!$AI:$AI,4),
axisTol,XLOOKUP($B321,Derived_Variables!$A:$A,Derived_Variables!$W:$W,1),
maxStart,XLOOKUP($B321,Derived_Variables!$A:$A,Derived_Variables!$U:$U,1.25),
maxAR,XLOOKUP($B321,Derived_Variables!$A:$A,Derived_Variables!$V:$V,3),
anom,XLOOKUP($B321,Derived_Variables!$A:$A,Derived_Variables!$Z:$Z,FALSE),
reStart,XLOOKUP($B321,Derived_Variables!$A:$A,Derived_Variables!$K:$K,0),
leStart,XLOOKUP($B321,Derived_Variables!$A:$A,Derived_Variables!$N:$N,0),
reAR,XLOOKUP($B321,AR_Input!$A:$A,AR_Input!$B:$B,reStart),
leAR,XLOOKUP($B321,AR_Input!$A:$A,AR_Input!$E:$E,leStart),
reEsc,AND(anom,OR(ABS((S321+AM321)-reStart)&gt;maxStart,ABS((S321+AM321)-reAR)&gt;maxAR)),
leEsc,AND(anom,OR(ABS((V321+AP321)-leStart)&gt;maxStart,ABS((V321+AP321)-leAR)&gt;maxAR)),
phaseMax,IFS(
 AK321="Fast",
   IFS(
     OR(C321="B",C321="D"),XLOOKUP("timeout_coarse_fast",Calibration!$B:$B,Calibration!$C:$C,24),
     OR(C321="E",C321="F",C321="H",C321="I"),XLOOKUP("timeout_jcc_fast",Calibration!$B:$B,Calibration!$C:$C,10),
     OR(C321="G",C321="J"),XLOOKUP("timeout_duochrome_fast",Calibration!$B:$B,Calibration!$C:$C,8),
     C321="K",XLOOKUP("timeout_bino_fast",Calibration!$B:$B,Calibration!$C:$C,10),
     OR(C321="P",C321="Q",C321="R"),XLOOKUP("timeout_near_fast",Calibration!$B:$B,Calibration!$C:$C,16),
     TRUE,XLOOKUP("timeout_coarse_fast",Calibration!$B:$B,Calibration!$C:$C,24)
   ),
 AK321="Normal",
   IFS(
     OR(C321="B",C321="D"),XLOOKUP("timeout_coarse_normal",Calibration!$B:$B,Calibration!$C:$C,36),
     OR(C321="E",C321="F",C321="H",C321="I"),XLOOKUP("timeout_jcc_normal",Calibration!$B:$B,Calibration!$C:$C,14),
     OR(C321="G",C321="J"),XLOOKUP("timeout_duochrome_normal",Calibration!$B:$B,Calibration!$C:$C,10),
     C321="K",XLOOKUP("timeout_bino_normal",Calibration!$B:$B,Calibration!$C:$C,14),
     OR(C321="P",C321="Q",C321="R"),XLOOKUP("timeout_near_normal",Calibration!$B:$B,Calibration!$C:$C,22),
     TRUE,XLOOKUP("timeout_coarse_normal",Calibration!$B:$B,Calibration!$C:$C,36)
   ),
 TRUE,
   IFS(
     OR(C321="B",C321="D"),XLOOKUP("timeout_coarse_slow",Calibration!$B:$B,Calibration!$C:$C,48),
     OR(C321="E",C321="F",C321="H",C321="I"),XLOOKUP("timeout_jcc_slow",Calibration!$B:$B,Calibration!$C:$C,18),
     OR(C321="G",C321="J"),XLOOKUP("timeout_duochrome_slow",Calibration!$B:$B,Calibration!$C:$C,12),
     C321="K",XLOOKUP("timeout_bino_slow",Calibration!$B:$B,Calibration!$C:$C,18),
     OR(C321="P",C321="Q",C321="R"),XLOOKUP("timeout_near_slow",Calibration!$B:$B,Calibration!$C:$C,28),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AJ321=TRUE,"ESCALATE",
C321="A",
IF(OR(I321="NOT_READABLE",I321="BLURRY",AND(R321="20_20_20",I321="READABLE")),"B","A"),
C321="B",
IF(reEsc,"ESCALATE",IF(AY321&gt;=phaseMax,"ESCALATE",IF(AND(AV321&gt;=AW321,I321="READABLE"),"E","B"))),
C321="E",
IF(AY321&gt;=phaseMax,"ESCALATE",IF(OR(I321="SAME",I321="CANT_TELL",AD321&lt;axisTol),"F","E")),
C321="F",
IF(AY321&gt;=phaseMax,"ESCALATE",IF(AX321&gt;=powerSameN,"G","F")),
C321="G",
IF(AY321&gt;=phaseMax,"ESCALATE",IF(OR(AX321&gt;=duoEqualN,BB321&gt;=duoMax),"D","G")),
C321="D",
IF(leEsc,"ESCALATE",IF(AY321&gt;=phaseMax,"ESCALATE",IF(AND(AV321&gt;=AW321,I321="READABLE"),"H","D"))),
C321="H",
IF(AY321&gt;=phaseMax,"ESCALATE",IF(OR(I321="SAME",I321="CANT_TELL",AD321&lt;axisTol),"I","H")),
C321="I",
IF(AY321&gt;=phaseMax,"ESCALATE",IF(AX321&gt;=powerSameN,"J","I")),
C321="J",
IF(AY321&gt;=phaseMax,"ESCALATE",IF(OR(AX321&gt;=duoEqualN,BB321&gt;=duoMax),"K","J")),
C321="K",
IF(AY321&gt;=phaseMax,"ESCALATE",IF(AX321&gt;=binoSameN,IF(XLOOKUP($B321,Derived_Variables!$A:$A,Derived_Variables!$AJ:$AJ,FALSE)=TRUE,"P","END"),"K")),
C321="P",
IF(AY321&gt;=phaseMax,"ESCALATE",IF(OR(I321="READABLE",I321="SAME"),"Q","P")),
C321="Q",
IF(AY321&gt;=phaseMax,"ESCALATE",IF(OR(I321="READABLE",I321="SAME"),"R","Q")),
C321="R",
IF(AY321&gt;=phaseMax,"ESCALATE",IF(OR(I321=nearTarget,I321="SAME"),"END","R")),
TRUE,"END"
)))</f>
        <v/>
      </c>
      <c r="BD321" s="28" t="b">
        <f t="shared" si="19"/>
        <v>0</v>
      </c>
    </row>
    <row r="322" ht="15.75" customHeight="1">
      <c r="A322" s="28">
        <f t="shared" si="3"/>
        <v>321</v>
      </c>
      <c r="B322" s="28">
        <f t="shared" si="4"/>
        <v>6</v>
      </c>
      <c r="C322" s="28" t="str">
        <f t="shared" si="5"/>
        <v/>
      </c>
      <c r="D322" s="28" t="str">
        <f t="array" ref="D322">IF($I321="","",XLOOKUP(C322,FSM_State_Map!A:A,FSM_State_Map!B:B,""))</f>
        <v/>
      </c>
      <c r="E322" s="28" t="str">
        <f t="array" ref="E322">IF($I321="","",XLOOKUP(C322,FSM_State_Map!A:A,FSM_State_Map!C:C,""))</f>
        <v/>
      </c>
      <c r="F322" s="28" t="str">
        <f t="array" ref="F322">IF($I321="","",XLOOKUP(E322,Phase_UI_Map!A:A,Phase_UI_Map!B:B,""))</f>
        <v/>
      </c>
      <c r="G322" s="28" t="str">
        <f t="array" ref="G322">IF($I321="","",XLOOKUP(E322,Phase_UI_Map!A:A,Phase_UI_Map!C:C,""))</f>
        <v/>
      </c>
      <c r="H322" s="28" t="str">
        <f t="array" ref="H322">IF($I321="","",XLOOKUP(E322,Phase_UI_Map!A:A,Phase_UI_Map!D:D,""))</f>
        <v/>
      </c>
      <c r="I322" s="29"/>
      <c r="J322" s="28" t="str">
        <f>IFERROR(__xludf.DUMMYFUNCTION("IF($I321="""","""",IFERROR(INDEX(FILTER(Response_Lists!$B:$B,Response_Lists!$A:$A=$H322),1),""""))"),"")</f>
        <v/>
      </c>
      <c r="K322" s="28" t="str">
        <f>IFERROR(__xludf.DUMMYFUNCTION("IF($I321="""","""",IFERROR(INDEX(FILTER(Response_Lists!$B:$B,Response_Lists!$A:$A=$H322),2),""""))"),"")</f>
        <v/>
      </c>
      <c r="L322" s="28" t="str">
        <f>IFERROR(__xludf.DUMMYFUNCTION("IF($I321="""","""",IFERROR(INDEX(FILTER(Response_Lists!$B:$B,Response_Lists!$A:$A=$H322),3),""""))"),"")</f>
        <v/>
      </c>
      <c r="M322" s="28" t="str">
        <f>IFERROR(__xludf.DUMMYFUNCTION("IF($I321="""","""",IFERROR(INDEX(FILTER(Response_Lists!$B:$B,Response_Lists!$A:$A=$H322),4),""""))"),"")</f>
        <v/>
      </c>
      <c r="N322" s="28" t="str">
        <f>IFERROR(__xludf.DUMMYFUNCTION("IF($I321="""","""",IFERROR(INDEX(FILTER(Response_Lists!$B:$B,Response_Lists!$A:$A=$H322),5),""""))"),"")</f>
        <v/>
      </c>
      <c r="O322" s="28" t="str">
        <f>IFERROR(__xludf.DUMMYFUNCTION("IF($I321="""","""",IFERROR(INDEX(FILTER(Response_Lists!$B:$B,Response_Lists!$A:$A=$H322),6),""""))"),"")</f>
        <v/>
      </c>
      <c r="P322" s="28" t="str">
        <f t="shared" si="6"/>
        <v/>
      </c>
      <c r="Q322" s="28" t="str">
        <f t="array" ref="Q322">IF($I321="","",XLOOKUP(C322,FSM_State_Map!A:A,FSM_State_Map!D:D,""))</f>
        <v/>
      </c>
      <c r="R322" s="28" t="str">
        <f t="shared" si="7"/>
        <v/>
      </c>
      <c r="S322" s="28" t="str">
        <f t="array" ref="S322">IF($I321="","",
IF(
  AND(C322="B",C321&lt;&gt;"B"),
  XLOOKUP($B322,Derived_Variables!$A:$A,Derived_Variables!$K:$K,0)
  + XLOOKUP($B322,Derived_Variables!$A:$A,Derived_Variables!$AE:$AE,0),
  S321+AM321
))</f>
        <v/>
      </c>
      <c r="T322" s="28" t="str">
        <f t="shared" ref="T322:U322" si="654">IF($I321="","",T321+AN321)</f>
        <v/>
      </c>
      <c r="U322" s="28" t="str">
        <f t="shared" si="654"/>
        <v/>
      </c>
      <c r="V322" s="28" t="str">
        <f t="array" ref="V322">IF($I321="","",
IF(
  AND(C322="D",C321&lt;&gt;"D"),
  XLOOKUP($B322,Derived_Variables!$A:$A,Derived_Variables!$N:$N,0)
  + XLOOKUP($B322,Derived_Variables!$A:$A,Derived_Variables!$AE:$AE,0),
  V321+AP321
))</f>
        <v/>
      </c>
      <c r="W322" s="28" t="str">
        <f t="shared" ref="W322:X322" si="655">IF($I321="","",W321+AQ321)</f>
        <v/>
      </c>
      <c r="X322" s="28" t="str">
        <f t="shared" si="655"/>
        <v/>
      </c>
      <c r="Y322" s="28" t="str">
        <f t="array" ref="Y322">IF($I321="","",IF(AND(C322="P",C321&lt;&gt;"P"),IFERROR(XLOOKUP($B322,Lenso_Input!$A:$A,Lenso_Input!$E:$E,0),0),Y321+AS321))</f>
        <v/>
      </c>
      <c r="Z322" s="28" t="str">
        <f t="array" ref="Z322">IF($I321="","",IF(AND(C322="Q",C321&lt;&gt;"Q"),IFERROR(XLOOKUP($B322,Lenso_Input!$A:$A,Lenso_Input!$I:$I,0),0),Z321+AT321))</f>
        <v/>
      </c>
      <c r="AA322" s="28" t="str">
        <f t="array" ref="AA322">IF($I321="","",IF(XLOOKUP($B322,Derived_Variables!$A:$A,Derived_Variables!$R:$R,"6/6_target")="6/6_target","20_20_20","40_30_25"))</f>
        <v/>
      </c>
      <c r="AB322" s="28" t="str">
        <f t="array" ref="AB322">IF($I321="","",XLOOKUP(LOWER(XLOOKUP($B322,Derived_Variables!$A:$A,Derived_Variables!$T:$T,"Standard"))&amp;"_sph_step",Calibration!$B:$B,Calibration!$C:$C,0.25))</f>
        <v/>
      </c>
      <c r="AC322" s="28" t="str">
        <f t="array" ref="AC322">IF($I321="","",XLOOKUP(LOWER(XLOOKUP($B322,Derived_Variables!$A:$A,Derived_Variables!$T:$T,"Standard"))&amp;"_cyl_step",Calibration!$B:$B,Calibration!$C:$C,0.25))</f>
        <v/>
      </c>
      <c r="AD322" s="28" t="str">
        <f t="array" ref="AD322">IF($I321="","",IF(OR(C322="E",C322="H"),LET(startStep,XLOOKUP("axis_start_step",Calibration!$B:$B,Calibration!$C:$C,5),step1,XLOOKUP("axis_reversal_step_1",Calibration!$B:$B,Calibration!$C:$C,3),step2,XLOOKUP("axis_reversal_step_2",Calibration!$B:$B,Calibration!$C:$C,1),IF(OR(C321&lt;&gt;C322,AZ322="",AZ322="SAME",AZ322="CANT_TELL",I322="",I322="SAME",I322="CANT_TELL"),startStep,IF(OR(AND(AZ322="BETTER_1",I322="BETTER_2"),AND(AZ322="BETTER_2",I322="BETTER_1")),IF(AD321&gt;step1,step1,step2),AD321))),0))</f>
        <v/>
      </c>
      <c r="AE322" s="28" t="str">
        <f t="array" ref="AE322">IF($I321="","",XLOOKUP($B322,Derived_Variables!$A:$A,Derived_Variables!$AD:$AD,"No_Fog"))</f>
        <v/>
      </c>
      <c r="AF322" s="28" t="str">
        <f t="array" ref="AF322">IF($I321="","",XLOOKUP($B322,Derived_Variables!$A:$A,Derived_Variables!$AE:$AE,0))</f>
        <v/>
      </c>
      <c r="AG322" s="28" t="str">
        <f t="array" ref="AG322">IF($I321="","",XLOOKUP($B322,Derived_Variables!$A:$A,Derived_Variables!$AF:$AF,""))</f>
        <v/>
      </c>
      <c r="AH322" s="28" t="str">
        <f t="array" ref="AH322">IF($I321="","",XLOOKUP($B322,Derived_Variables!$A:$A,Derived_Variables!$AG:$AG,""))</f>
        <v/>
      </c>
      <c r="AI322" s="28" t="str">
        <f t="array" ref="AI322">IF($I321="","",XLOOKUP($B322,Derived_Variables!$A:$A,Derived_Variables!$AC:$AC,"Medium"))</f>
        <v/>
      </c>
      <c r="AJ322" s="28" t="str">
        <f t="array" ref="AJ322">IF($I321="","",XLOOKUP($B322,Derived_Variables!$A:$A,Derived_Variables!$Y:$Y,FALSE))</f>
        <v/>
      </c>
      <c r="AK322" s="28" t="str">
        <f t="array" ref="AK322">IF($I321="","",XLOOKUP($B322,Derived_Variables!$A:$A,Derived_Variables!$AA:$AA,"Normal"))</f>
        <v/>
      </c>
      <c r="AL322" s="28" t="str">
        <f t="array" ref="AL322">IF($I321="","",XLOOKUP($B322,Derived_Variables!$A:$A,Derived_Variables!$AB:$AB,"Normal"))</f>
        <v/>
      </c>
      <c r="AM322" s="28" t="str">
        <f t="array" ref="AM322">IF($I322="","",IFS(C322="B",IF(OR(I322="NOT_READABLE",I322="BLURRY"),-AB322,0),C322="G",IFS(I322="RED_CLEARER",XLOOKUP("duochrome_red_step",Calibration!$B:$B,Calibration!$C:$C,-0.25),I322="GREEN_CLEARER",XLOOKUP("duochrome_green_step",Calibration!$B:$B,Calibration!$C:$C,0.25),I322="EQUAL",IF(XLOOKUP($B322,Derived_Variables!$A:$A,Derived_Variables!$S:$S,"Neutral")="Undercorrect",XLOOKUP("undercorrect_step",Calibration!$B:$B,Calibration!$C:$C,0.25),IF(XLOOKUP($B322,Derived_Variables!$A:$A,Derived_Variables!$S:$S,"Neutral")="Overcorrect",-XLOOKUP("overcorrect_step",Calibration!$B:$B,Calibration!$C:$C,0.25),0)),TRUE,0),C322="K",IF(I322="TOP_CLEARER",XLOOKUP("bino_balance_step",Calibration!$B:$B,Calibration!$C:$C,0.25),0),TRUE,0))</f>
        <v/>
      </c>
      <c r="AN322" s="28" t="str">
        <f t="shared" si="10"/>
        <v/>
      </c>
      <c r="AO322" s="28" t="str">
        <f t="shared" si="11"/>
        <v/>
      </c>
      <c r="AP322" s="28" t="str">
        <f t="array" ref="AP322">IF($I322="","",IFS(C322="D",IF(OR(I322="NOT_READABLE",I322="BLURRY"),-AB322,0),C322="J",IFS(I322="RED_CLEARER",XLOOKUP("duochrome_red_step",Calibration!$B:$B,Calibration!$C:$C,-0.25),I322="GREEN_CLEARER",XLOOKUP("duochrome_green_step",Calibration!$B:$B,Calibration!$C:$C,0.25),I322="EQUAL",IF(XLOOKUP($B322,Derived_Variables!$A:$A,Derived_Variables!$S:$S,"Neutral")="Undercorrect",XLOOKUP("undercorrect_step",Calibration!$B:$B,Calibration!$C:$C,0.25),IF(XLOOKUP($B322,Derived_Variables!$A:$A,Derived_Variables!$S:$S,"Neutral")="Overcorrect",-XLOOKUP("overcorrect_step",Calibration!$B:$B,Calibration!$C:$C,0.25),0)),TRUE,0),C322="K",IF(I322="BOTTOM_CLEARER",XLOOKUP("bino_balance_step",Calibration!$B:$B,Calibration!$C:$C,0.25),0),TRUE,0))</f>
        <v/>
      </c>
      <c r="AQ322" s="28" t="str">
        <f t="shared" si="12"/>
        <v/>
      </c>
      <c r="AR322" s="28" t="str">
        <f t="shared" si="13"/>
        <v/>
      </c>
      <c r="AS322" s="28" t="str">
        <f t="array" ref="AS322">IF($I322="","",IF(C322="P",IF(OR(I322="NOT_READABLE",I322="BLURRY"),XLOOKUP("near_add_step",Calibration!$B:$B,Calibration!$C:$C,0.25),0),IF(C322="R",IF(I322="NOT_CLEAR",XLOOKUP("near_add_step",Calibration!$B:$B,Calibration!$C:$C,0.25),0),0)))</f>
        <v/>
      </c>
      <c r="AT322" s="28" t="str">
        <f t="array" ref="AT322">IF($I322="","",IF(C322="Q",IF(OR(I322="NOT_READABLE",I322="BLURRY"),XLOOKUP("near_add_step",Calibration!$B:$B,Calibration!$C:$C,0.25),0),IF(C322="R",IF(I322="NOT_CLEAR",XLOOKUP("near_add_step",Calibration!$B:$B,Calibration!$C:$C,0.25),0),0)))</f>
        <v/>
      </c>
      <c r="AU322" s="28" t="str">
        <f t="array" ref="AU322">IF($I322="","",IF(G322="SNELLEN_FEET",IF(I322="READABLE",IFERROR(XLOOKUP(XLOOKUP(R322,Chart_Scale_Distance!B:B,Chart_Scale_Distance!A:A)+1,Chart_Scale_Distance!A:A,Chart_Scale_Distance!B:B),R322),R322),R322))</f>
        <v/>
      </c>
      <c r="AV322" s="28" t="str">
        <f t="array" ref="AV322">IF($I321="","",IFERROR(XLOOKUP(R322,Chart_Scale_Distance!$B:$B,Chart_Scale_Distance!$A:$A,""),""))</f>
        <v/>
      </c>
      <c r="AW322" s="28" t="str">
        <f t="array" ref="AW322">IF($I321="","",IFERROR(XLOOKUP(AA322,Chart_Scale_Distance!$B:$B,Chart_Scale_Distance!$A:$A,""),""))</f>
        <v/>
      </c>
      <c r="AX322" s="28" t="str">
        <f t="shared" si="14"/>
        <v/>
      </c>
      <c r="AY322" s="28" t="str">
        <f t="shared" si="15"/>
        <v/>
      </c>
      <c r="AZ322" s="28" t="str">
        <f t="shared" si="16"/>
        <v/>
      </c>
      <c r="BA322" s="28" t="str">
        <f t="shared" si="17"/>
        <v/>
      </c>
      <c r="BB322" s="28" t="str">
        <f t="shared" si="18"/>
        <v/>
      </c>
      <c r="BC322" s="28" t="str">
        <f t="array" ref="BC322">IF($I322="","",LET(
conf,AI322,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duoMax,XLOOKUP($B322,Derived_Variables!$A:$A,Derived_Variables!$AI:$AI,4),
axisTol,XLOOKUP($B322,Derived_Variables!$A:$A,Derived_Variables!$W:$W,1),
maxStart,XLOOKUP($B322,Derived_Variables!$A:$A,Derived_Variables!$U:$U,1.25),
maxAR,XLOOKUP($B322,Derived_Variables!$A:$A,Derived_Variables!$V:$V,3),
anom,XLOOKUP($B322,Derived_Variables!$A:$A,Derived_Variables!$Z:$Z,FALSE),
reStart,XLOOKUP($B322,Derived_Variables!$A:$A,Derived_Variables!$K:$K,0),
leStart,XLOOKUP($B322,Derived_Variables!$A:$A,Derived_Variables!$N:$N,0),
reAR,XLOOKUP($B322,AR_Input!$A:$A,AR_Input!$B:$B,reStart),
leAR,XLOOKUP($B322,AR_Input!$A:$A,AR_Input!$E:$E,leStart),
reEsc,AND(anom,OR(ABS((S322+AM322)-reStart)&gt;maxStart,ABS((S322+AM322)-reAR)&gt;maxAR)),
leEsc,AND(anom,OR(ABS((V322+AP322)-leStart)&gt;maxStart,ABS((V322+AP322)-leAR)&gt;maxAR)),
phaseMax,IFS(
 AK322="Fast",
   IFS(
     OR(C322="B",C322="D"),XLOOKUP("timeout_coarse_fast",Calibration!$B:$B,Calibration!$C:$C,24),
     OR(C322="E",C322="F",C322="H",C322="I"),XLOOKUP("timeout_jcc_fast",Calibration!$B:$B,Calibration!$C:$C,10),
     OR(C322="G",C322="J"),XLOOKUP("timeout_duochrome_fast",Calibration!$B:$B,Calibration!$C:$C,8),
     C322="K",XLOOKUP("timeout_bino_fast",Calibration!$B:$B,Calibration!$C:$C,10),
     OR(C322="P",C322="Q",C322="R"),XLOOKUP("timeout_near_fast",Calibration!$B:$B,Calibration!$C:$C,16),
     TRUE,XLOOKUP("timeout_coarse_fast",Calibration!$B:$B,Calibration!$C:$C,24)
   ),
 AK322="Normal",
   IFS(
     OR(C322="B",C322="D"),XLOOKUP("timeout_coarse_normal",Calibration!$B:$B,Calibration!$C:$C,36),
     OR(C322="E",C322="F",C322="H",C322="I"),XLOOKUP("timeout_jcc_normal",Calibration!$B:$B,Calibration!$C:$C,14),
     OR(C322="G",C322="J"),XLOOKUP("timeout_duochrome_normal",Calibration!$B:$B,Calibration!$C:$C,10),
     C322="K",XLOOKUP("timeout_bino_normal",Calibration!$B:$B,Calibration!$C:$C,14),
     OR(C322="P",C322="Q",C322="R"),XLOOKUP("timeout_near_normal",Calibration!$B:$B,Calibration!$C:$C,22),
     TRUE,XLOOKUP("timeout_coarse_normal",Calibration!$B:$B,Calibration!$C:$C,36)
   ),
 TRUE,
   IFS(
     OR(C322="B",C322="D"),XLOOKUP("timeout_coarse_slow",Calibration!$B:$B,Calibration!$C:$C,48),
     OR(C322="E",C322="F",C322="H",C322="I"),XLOOKUP("timeout_jcc_slow",Calibration!$B:$B,Calibration!$C:$C,18),
     OR(C322="G",C322="J"),XLOOKUP("timeout_duochrome_slow",Calibration!$B:$B,Calibration!$C:$C,12),
     C322="K",XLOOKUP("timeout_bino_slow",Calibration!$B:$B,Calibration!$C:$C,18),
     OR(C322="P",C322="Q",C322="R"),XLOOKUP("timeout_near_slow",Calibration!$B:$B,Calibration!$C:$C,28),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AJ322=TRUE,"ESCALATE",
C322="A",
IF(OR(I322="NOT_READABLE",I322="BLURRY",AND(R322="20_20_20",I322="READABLE")),"B","A"),
C322="B",
IF(reEsc,"ESCALATE",IF(AY322&gt;=phaseMax,"ESCALATE",IF(AND(AV322&gt;=AW322,I322="READABLE"),"E","B"))),
C322="E",
IF(AY322&gt;=phaseMax,"ESCALATE",IF(OR(I322="SAME",I322="CANT_TELL",AD322&lt;axisTol),"F","E")),
C322="F",
IF(AY322&gt;=phaseMax,"ESCALATE",IF(AX322&gt;=powerSameN,"G","F")),
C322="G",
IF(AY322&gt;=phaseMax,"ESCALATE",IF(OR(AX322&gt;=duoEqualN,BB322&gt;=duoMax),"D","G")),
C322="D",
IF(leEsc,"ESCALATE",IF(AY322&gt;=phaseMax,"ESCALATE",IF(AND(AV322&gt;=AW322,I322="READABLE"),"H","D"))),
C322="H",
IF(AY322&gt;=phaseMax,"ESCALATE",IF(OR(I322="SAME",I322="CANT_TELL",AD322&lt;axisTol),"I","H")),
C322="I",
IF(AY322&gt;=phaseMax,"ESCALATE",IF(AX322&gt;=powerSameN,"J","I")),
C322="J",
IF(AY322&gt;=phaseMax,"ESCALATE",IF(OR(AX322&gt;=duoEqualN,BB322&gt;=duoMax),"K","J")),
C322="K",
IF(AY322&gt;=phaseMax,"ESCALATE",IF(AX322&gt;=binoSameN,IF(XLOOKUP($B322,Derived_Variables!$A:$A,Derived_Variables!$AJ:$AJ,FALSE)=TRUE,"P","END"),"K")),
C322="P",
IF(AY322&gt;=phaseMax,"ESCALATE",IF(OR(I322="READABLE",I322="SAME"),"Q","P")),
C322="Q",
IF(AY322&gt;=phaseMax,"ESCALATE",IF(OR(I322="READABLE",I322="SAME"),"R","Q")),
C322="R",
IF(AY322&gt;=phaseMax,"ESCALATE",IF(OR(I322=nearTarget,I322="SAME"),"END","R")),
TRUE,"END"
)))</f>
        <v/>
      </c>
      <c r="BD322" s="28" t="b">
        <f t="shared" si="19"/>
        <v>0</v>
      </c>
    </row>
    <row r="323" ht="15.75" customHeight="1">
      <c r="A323" s="28">
        <f t="shared" si="3"/>
        <v>322</v>
      </c>
      <c r="B323" s="28">
        <f t="shared" si="4"/>
        <v>6</v>
      </c>
      <c r="C323" s="28" t="str">
        <f t="shared" si="5"/>
        <v/>
      </c>
      <c r="D323" s="28" t="str">
        <f t="array" ref="D323">IF($I322="","",XLOOKUP(C323,FSM_State_Map!A:A,FSM_State_Map!B:B,""))</f>
        <v/>
      </c>
      <c r="E323" s="28" t="str">
        <f t="array" ref="E323">IF($I322="","",XLOOKUP(C323,FSM_State_Map!A:A,FSM_State_Map!C:C,""))</f>
        <v/>
      </c>
      <c r="F323" s="28" t="str">
        <f t="array" ref="F323">IF($I322="","",XLOOKUP(E323,Phase_UI_Map!A:A,Phase_UI_Map!B:B,""))</f>
        <v/>
      </c>
      <c r="G323" s="28" t="str">
        <f t="array" ref="G323">IF($I322="","",XLOOKUP(E323,Phase_UI_Map!A:A,Phase_UI_Map!C:C,""))</f>
        <v/>
      </c>
      <c r="H323" s="28" t="str">
        <f t="array" ref="H323">IF($I322="","",XLOOKUP(E323,Phase_UI_Map!A:A,Phase_UI_Map!D:D,""))</f>
        <v/>
      </c>
      <c r="I323" s="29"/>
      <c r="J323" s="28" t="str">
        <f>IFERROR(__xludf.DUMMYFUNCTION("IF($I322="""","""",IFERROR(INDEX(FILTER(Response_Lists!$B:$B,Response_Lists!$A:$A=$H323),1),""""))"),"")</f>
        <v/>
      </c>
      <c r="K323" s="28" t="str">
        <f>IFERROR(__xludf.DUMMYFUNCTION("IF($I322="""","""",IFERROR(INDEX(FILTER(Response_Lists!$B:$B,Response_Lists!$A:$A=$H323),2),""""))"),"")</f>
        <v/>
      </c>
      <c r="L323" s="28" t="str">
        <f>IFERROR(__xludf.DUMMYFUNCTION("IF($I322="""","""",IFERROR(INDEX(FILTER(Response_Lists!$B:$B,Response_Lists!$A:$A=$H323),3),""""))"),"")</f>
        <v/>
      </c>
      <c r="M323" s="28" t="str">
        <f>IFERROR(__xludf.DUMMYFUNCTION("IF($I322="""","""",IFERROR(INDEX(FILTER(Response_Lists!$B:$B,Response_Lists!$A:$A=$H323),4),""""))"),"")</f>
        <v/>
      </c>
      <c r="N323" s="28" t="str">
        <f>IFERROR(__xludf.DUMMYFUNCTION("IF($I322="""","""",IFERROR(INDEX(FILTER(Response_Lists!$B:$B,Response_Lists!$A:$A=$H323),5),""""))"),"")</f>
        <v/>
      </c>
      <c r="O323" s="28" t="str">
        <f>IFERROR(__xludf.DUMMYFUNCTION("IF($I322="""","""",IFERROR(INDEX(FILTER(Response_Lists!$B:$B,Response_Lists!$A:$A=$H323),6),""""))"),"")</f>
        <v/>
      </c>
      <c r="P323" s="28" t="str">
        <f t="shared" si="6"/>
        <v/>
      </c>
      <c r="Q323" s="28" t="str">
        <f t="array" ref="Q323">IF($I322="","",XLOOKUP(C323,FSM_State_Map!A:A,FSM_State_Map!D:D,""))</f>
        <v/>
      </c>
      <c r="R323" s="28" t="str">
        <f t="shared" si="7"/>
        <v/>
      </c>
      <c r="S323" s="28" t="str">
        <f t="array" ref="S323">IF($I322="","",
IF(
  AND(C323="B",C322&lt;&gt;"B"),
  XLOOKUP($B323,Derived_Variables!$A:$A,Derived_Variables!$K:$K,0)
  + XLOOKUP($B323,Derived_Variables!$A:$A,Derived_Variables!$AE:$AE,0),
  S322+AM322
))</f>
        <v/>
      </c>
      <c r="T323" s="28" t="str">
        <f t="shared" ref="T323:U323" si="656">IF($I322="","",T322+AN322)</f>
        <v/>
      </c>
      <c r="U323" s="28" t="str">
        <f t="shared" si="656"/>
        <v/>
      </c>
      <c r="V323" s="28" t="str">
        <f t="array" ref="V323">IF($I322="","",
IF(
  AND(C323="D",C322&lt;&gt;"D"),
  XLOOKUP($B323,Derived_Variables!$A:$A,Derived_Variables!$N:$N,0)
  + XLOOKUP($B323,Derived_Variables!$A:$A,Derived_Variables!$AE:$AE,0),
  V322+AP322
))</f>
        <v/>
      </c>
      <c r="W323" s="28" t="str">
        <f t="shared" ref="W323:X323" si="657">IF($I322="","",W322+AQ322)</f>
        <v/>
      </c>
      <c r="X323" s="28" t="str">
        <f t="shared" si="657"/>
        <v/>
      </c>
      <c r="Y323" s="28" t="str">
        <f t="array" ref="Y323">IF($I322="","",IF(AND(C323="P",C322&lt;&gt;"P"),IFERROR(XLOOKUP($B323,Lenso_Input!$A:$A,Lenso_Input!$E:$E,0),0),Y322+AS322))</f>
        <v/>
      </c>
      <c r="Z323" s="28" t="str">
        <f t="array" ref="Z323">IF($I322="","",IF(AND(C323="Q",C322&lt;&gt;"Q"),IFERROR(XLOOKUP($B323,Lenso_Input!$A:$A,Lenso_Input!$I:$I,0),0),Z322+AT322))</f>
        <v/>
      </c>
      <c r="AA323" s="28" t="str">
        <f t="array" ref="AA323">IF($I322="","",IF(XLOOKUP($B323,Derived_Variables!$A:$A,Derived_Variables!$R:$R,"6/6_target")="6/6_target","20_20_20","40_30_25"))</f>
        <v/>
      </c>
      <c r="AB323" s="28" t="str">
        <f t="array" ref="AB323">IF($I322="","",XLOOKUP(LOWER(XLOOKUP($B323,Derived_Variables!$A:$A,Derived_Variables!$T:$T,"Standard"))&amp;"_sph_step",Calibration!$B:$B,Calibration!$C:$C,0.25))</f>
        <v/>
      </c>
      <c r="AC323" s="28" t="str">
        <f t="array" ref="AC323">IF($I322="","",XLOOKUP(LOWER(XLOOKUP($B323,Derived_Variables!$A:$A,Derived_Variables!$T:$T,"Standard"))&amp;"_cyl_step",Calibration!$B:$B,Calibration!$C:$C,0.25))</f>
        <v/>
      </c>
      <c r="AD323" s="28" t="str">
        <f t="array" ref="AD323">IF($I322="","",IF(OR(C323="E",C323="H"),LET(startStep,XLOOKUP("axis_start_step",Calibration!$B:$B,Calibration!$C:$C,5),step1,XLOOKUP("axis_reversal_step_1",Calibration!$B:$B,Calibration!$C:$C,3),step2,XLOOKUP("axis_reversal_step_2",Calibration!$B:$B,Calibration!$C:$C,1),IF(OR(C322&lt;&gt;C323,AZ323="",AZ323="SAME",AZ323="CANT_TELL",I323="",I323="SAME",I323="CANT_TELL"),startStep,IF(OR(AND(AZ323="BETTER_1",I323="BETTER_2"),AND(AZ323="BETTER_2",I323="BETTER_1")),IF(AD322&gt;step1,step1,step2),AD322))),0))</f>
        <v/>
      </c>
      <c r="AE323" s="28" t="str">
        <f t="array" ref="AE323">IF($I322="","",XLOOKUP($B323,Derived_Variables!$A:$A,Derived_Variables!$AD:$AD,"No_Fog"))</f>
        <v/>
      </c>
      <c r="AF323" s="28" t="str">
        <f t="array" ref="AF323">IF($I322="","",XLOOKUP($B323,Derived_Variables!$A:$A,Derived_Variables!$AE:$AE,0))</f>
        <v/>
      </c>
      <c r="AG323" s="28" t="str">
        <f t="array" ref="AG323">IF($I322="","",XLOOKUP($B323,Derived_Variables!$A:$A,Derived_Variables!$AF:$AF,""))</f>
        <v/>
      </c>
      <c r="AH323" s="28" t="str">
        <f t="array" ref="AH323">IF($I322="","",XLOOKUP($B323,Derived_Variables!$A:$A,Derived_Variables!$AG:$AG,""))</f>
        <v/>
      </c>
      <c r="AI323" s="28" t="str">
        <f t="array" ref="AI323">IF($I322="","",XLOOKUP($B323,Derived_Variables!$A:$A,Derived_Variables!$AC:$AC,"Medium"))</f>
        <v/>
      </c>
      <c r="AJ323" s="28" t="str">
        <f t="array" ref="AJ323">IF($I322="","",XLOOKUP($B323,Derived_Variables!$A:$A,Derived_Variables!$Y:$Y,FALSE))</f>
        <v/>
      </c>
      <c r="AK323" s="28" t="str">
        <f t="array" ref="AK323">IF($I322="","",XLOOKUP($B323,Derived_Variables!$A:$A,Derived_Variables!$AA:$AA,"Normal"))</f>
        <v/>
      </c>
      <c r="AL323" s="28" t="str">
        <f t="array" ref="AL323">IF($I322="","",XLOOKUP($B323,Derived_Variables!$A:$A,Derived_Variables!$AB:$AB,"Normal"))</f>
        <v/>
      </c>
      <c r="AM323" s="28" t="str">
        <f t="array" ref="AM323">IF($I323="","",IFS(C323="B",IF(OR(I323="NOT_READABLE",I323="BLURRY"),-AB323,0),C323="G",IFS(I323="RED_CLEARER",XLOOKUP("duochrome_red_step",Calibration!$B:$B,Calibration!$C:$C,-0.25),I323="GREEN_CLEARER",XLOOKUP("duochrome_green_step",Calibration!$B:$B,Calibration!$C:$C,0.25),I323="EQUAL",IF(XLOOKUP($B323,Derived_Variables!$A:$A,Derived_Variables!$S:$S,"Neutral")="Undercorrect",XLOOKUP("undercorrect_step",Calibration!$B:$B,Calibration!$C:$C,0.25),IF(XLOOKUP($B323,Derived_Variables!$A:$A,Derived_Variables!$S:$S,"Neutral")="Overcorrect",-XLOOKUP("overcorrect_step",Calibration!$B:$B,Calibration!$C:$C,0.25),0)),TRUE,0),C323="K",IF(I323="TOP_CLEARER",XLOOKUP("bino_balance_step",Calibration!$B:$B,Calibration!$C:$C,0.25),0),TRUE,0))</f>
        <v/>
      </c>
      <c r="AN323" s="28" t="str">
        <f t="shared" si="10"/>
        <v/>
      </c>
      <c r="AO323" s="28" t="str">
        <f t="shared" si="11"/>
        <v/>
      </c>
      <c r="AP323" s="28" t="str">
        <f t="array" ref="AP323">IF($I323="","",IFS(C323="D",IF(OR(I323="NOT_READABLE",I323="BLURRY"),-AB323,0),C323="J",IFS(I323="RED_CLEARER",XLOOKUP("duochrome_red_step",Calibration!$B:$B,Calibration!$C:$C,-0.25),I323="GREEN_CLEARER",XLOOKUP("duochrome_green_step",Calibration!$B:$B,Calibration!$C:$C,0.25),I323="EQUAL",IF(XLOOKUP($B323,Derived_Variables!$A:$A,Derived_Variables!$S:$S,"Neutral")="Undercorrect",XLOOKUP("undercorrect_step",Calibration!$B:$B,Calibration!$C:$C,0.25),IF(XLOOKUP($B323,Derived_Variables!$A:$A,Derived_Variables!$S:$S,"Neutral")="Overcorrect",-XLOOKUP("overcorrect_step",Calibration!$B:$B,Calibration!$C:$C,0.25),0)),TRUE,0),C323="K",IF(I323="BOTTOM_CLEARER",XLOOKUP("bino_balance_step",Calibration!$B:$B,Calibration!$C:$C,0.25),0),TRUE,0))</f>
        <v/>
      </c>
      <c r="AQ323" s="28" t="str">
        <f t="shared" si="12"/>
        <v/>
      </c>
      <c r="AR323" s="28" t="str">
        <f t="shared" si="13"/>
        <v/>
      </c>
      <c r="AS323" s="28" t="str">
        <f t="array" ref="AS323">IF($I323="","",IF(C323="P",IF(OR(I323="NOT_READABLE",I323="BLURRY"),XLOOKUP("near_add_step",Calibration!$B:$B,Calibration!$C:$C,0.25),0),IF(C323="R",IF(I323="NOT_CLEAR",XLOOKUP("near_add_step",Calibration!$B:$B,Calibration!$C:$C,0.25),0),0)))</f>
        <v/>
      </c>
      <c r="AT323" s="28" t="str">
        <f t="array" ref="AT323">IF($I323="","",IF(C323="Q",IF(OR(I323="NOT_READABLE",I323="BLURRY"),XLOOKUP("near_add_step",Calibration!$B:$B,Calibration!$C:$C,0.25),0),IF(C323="R",IF(I323="NOT_CLEAR",XLOOKUP("near_add_step",Calibration!$B:$B,Calibration!$C:$C,0.25),0),0)))</f>
        <v/>
      </c>
      <c r="AU323" s="28" t="str">
        <f t="array" ref="AU323">IF($I323="","",IF(G323="SNELLEN_FEET",IF(I323="READABLE",IFERROR(XLOOKUP(XLOOKUP(R323,Chart_Scale_Distance!B:B,Chart_Scale_Distance!A:A)+1,Chart_Scale_Distance!A:A,Chart_Scale_Distance!B:B),R323),R323),R323))</f>
        <v/>
      </c>
      <c r="AV323" s="28" t="str">
        <f t="array" ref="AV323">IF($I322="","",IFERROR(XLOOKUP(R323,Chart_Scale_Distance!$B:$B,Chart_Scale_Distance!$A:$A,""),""))</f>
        <v/>
      </c>
      <c r="AW323" s="28" t="str">
        <f t="array" ref="AW323">IF($I322="","",IFERROR(XLOOKUP(AA323,Chart_Scale_Distance!$B:$B,Chart_Scale_Distance!$A:$A,""),""))</f>
        <v/>
      </c>
      <c r="AX323" s="28" t="str">
        <f t="shared" si="14"/>
        <v/>
      </c>
      <c r="AY323" s="28" t="str">
        <f t="shared" si="15"/>
        <v/>
      </c>
      <c r="AZ323" s="28" t="str">
        <f t="shared" si="16"/>
        <v/>
      </c>
      <c r="BA323" s="28" t="str">
        <f t="shared" si="17"/>
        <v/>
      </c>
      <c r="BB323" s="28" t="str">
        <f t="shared" si="18"/>
        <v/>
      </c>
      <c r="BC323" s="28" t="str">
        <f t="array" ref="BC323">IF($I323="","",LET(
conf,AI323,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duoMax,XLOOKUP($B323,Derived_Variables!$A:$A,Derived_Variables!$AI:$AI,4),
axisTol,XLOOKUP($B323,Derived_Variables!$A:$A,Derived_Variables!$W:$W,1),
maxStart,XLOOKUP($B323,Derived_Variables!$A:$A,Derived_Variables!$U:$U,1.25),
maxAR,XLOOKUP($B323,Derived_Variables!$A:$A,Derived_Variables!$V:$V,3),
anom,XLOOKUP($B323,Derived_Variables!$A:$A,Derived_Variables!$Z:$Z,FALSE),
reStart,XLOOKUP($B323,Derived_Variables!$A:$A,Derived_Variables!$K:$K,0),
leStart,XLOOKUP($B323,Derived_Variables!$A:$A,Derived_Variables!$N:$N,0),
reAR,XLOOKUP($B323,AR_Input!$A:$A,AR_Input!$B:$B,reStart),
leAR,XLOOKUP($B323,AR_Input!$A:$A,AR_Input!$E:$E,leStart),
reEsc,AND(anom,OR(ABS((S323+AM323)-reStart)&gt;maxStart,ABS((S323+AM323)-reAR)&gt;maxAR)),
leEsc,AND(anom,OR(ABS((V323+AP323)-leStart)&gt;maxStart,ABS((V323+AP323)-leAR)&gt;maxAR)),
phaseMax,IFS(
 AK323="Fast",
   IFS(
     OR(C323="B",C323="D"),XLOOKUP("timeout_coarse_fast",Calibration!$B:$B,Calibration!$C:$C,24),
     OR(C323="E",C323="F",C323="H",C323="I"),XLOOKUP("timeout_jcc_fast",Calibration!$B:$B,Calibration!$C:$C,10),
     OR(C323="G",C323="J"),XLOOKUP("timeout_duochrome_fast",Calibration!$B:$B,Calibration!$C:$C,8),
     C323="K",XLOOKUP("timeout_bino_fast",Calibration!$B:$B,Calibration!$C:$C,10),
     OR(C323="P",C323="Q",C323="R"),XLOOKUP("timeout_near_fast",Calibration!$B:$B,Calibration!$C:$C,16),
     TRUE,XLOOKUP("timeout_coarse_fast",Calibration!$B:$B,Calibration!$C:$C,24)
   ),
 AK323="Normal",
   IFS(
     OR(C323="B",C323="D"),XLOOKUP("timeout_coarse_normal",Calibration!$B:$B,Calibration!$C:$C,36),
     OR(C323="E",C323="F",C323="H",C323="I"),XLOOKUP("timeout_jcc_normal",Calibration!$B:$B,Calibration!$C:$C,14),
     OR(C323="G",C323="J"),XLOOKUP("timeout_duochrome_normal",Calibration!$B:$B,Calibration!$C:$C,10),
     C323="K",XLOOKUP("timeout_bino_normal",Calibration!$B:$B,Calibration!$C:$C,14),
     OR(C323="P",C323="Q",C323="R"),XLOOKUP("timeout_near_normal",Calibration!$B:$B,Calibration!$C:$C,22),
     TRUE,XLOOKUP("timeout_coarse_normal",Calibration!$B:$B,Calibration!$C:$C,36)
   ),
 TRUE,
   IFS(
     OR(C323="B",C323="D"),XLOOKUP("timeout_coarse_slow",Calibration!$B:$B,Calibration!$C:$C,48),
     OR(C323="E",C323="F",C323="H",C323="I"),XLOOKUP("timeout_jcc_slow",Calibration!$B:$B,Calibration!$C:$C,18),
     OR(C323="G",C323="J"),XLOOKUP("timeout_duochrome_slow",Calibration!$B:$B,Calibration!$C:$C,12),
     C323="K",XLOOKUP("timeout_bino_slow",Calibration!$B:$B,Calibration!$C:$C,18),
     OR(C323="P",C323="Q",C323="R"),XLOOKUP("timeout_near_slow",Calibration!$B:$B,Calibration!$C:$C,28),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AJ323=TRUE,"ESCALATE",
C323="A",
IF(OR(I323="NOT_READABLE",I323="BLURRY",AND(R323="20_20_20",I323="READABLE")),"B","A"),
C323="B",
IF(reEsc,"ESCALATE",IF(AY323&gt;=phaseMax,"ESCALATE",IF(AND(AV323&gt;=AW323,I323="READABLE"),"E","B"))),
C323="E",
IF(AY323&gt;=phaseMax,"ESCALATE",IF(OR(I323="SAME",I323="CANT_TELL",AD323&lt;axisTol),"F","E")),
C323="F",
IF(AY323&gt;=phaseMax,"ESCALATE",IF(AX323&gt;=powerSameN,"G","F")),
C323="G",
IF(AY323&gt;=phaseMax,"ESCALATE",IF(OR(AX323&gt;=duoEqualN,BB323&gt;=duoMax),"D","G")),
C323="D",
IF(leEsc,"ESCALATE",IF(AY323&gt;=phaseMax,"ESCALATE",IF(AND(AV323&gt;=AW323,I323="READABLE"),"H","D"))),
C323="H",
IF(AY323&gt;=phaseMax,"ESCALATE",IF(OR(I323="SAME",I323="CANT_TELL",AD323&lt;axisTol),"I","H")),
C323="I",
IF(AY323&gt;=phaseMax,"ESCALATE",IF(AX323&gt;=powerSameN,"J","I")),
C323="J",
IF(AY323&gt;=phaseMax,"ESCALATE",IF(OR(AX323&gt;=duoEqualN,BB323&gt;=duoMax),"K","J")),
C323="K",
IF(AY323&gt;=phaseMax,"ESCALATE",IF(AX323&gt;=binoSameN,IF(XLOOKUP($B323,Derived_Variables!$A:$A,Derived_Variables!$AJ:$AJ,FALSE)=TRUE,"P","END"),"K")),
C323="P",
IF(AY323&gt;=phaseMax,"ESCALATE",IF(OR(I323="READABLE",I323="SAME"),"Q","P")),
C323="Q",
IF(AY323&gt;=phaseMax,"ESCALATE",IF(OR(I323="READABLE",I323="SAME"),"R","Q")),
C323="R",
IF(AY323&gt;=phaseMax,"ESCALATE",IF(OR(I323=nearTarget,I323="SAME"),"END","R")),
TRUE,"END"
)))</f>
        <v/>
      </c>
      <c r="BD323" s="28" t="b">
        <f t="shared" si="19"/>
        <v>0</v>
      </c>
    </row>
    <row r="324" ht="15.75" customHeight="1">
      <c r="A324" s="28">
        <f t="shared" si="3"/>
        <v>323</v>
      </c>
      <c r="B324" s="28">
        <f t="shared" si="4"/>
        <v>6</v>
      </c>
      <c r="C324" s="28" t="str">
        <f t="shared" si="5"/>
        <v/>
      </c>
      <c r="D324" s="28" t="str">
        <f t="array" ref="D324">IF($I323="","",XLOOKUP(C324,FSM_State_Map!A:A,FSM_State_Map!B:B,""))</f>
        <v/>
      </c>
      <c r="E324" s="28" t="str">
        <f t="array" ref="E324">IF($I323="","",XLOOKUP(C324,FSM_State_Map!A:A,FSM_State_Map!C:C,""))</f>
        <v/>
      </c>
      <c r="F324" s="28" t="str">
        <f t="array" ref="F324">IF($I323="","",XLOOKUP(E324,Phase_UI_Map!A:A,Phase_UI_Map!B:B,""))</f>
        <v/>
      </c>
      <c r="G324" s="28" t="str">
        <f t="array" ref="G324">IF($I323="","",XLOOKUP(E324,Phase_UI_Map!A:A,Phase_UI_Map!C:C,""))</f>
        <v/>
      </c>
      <c r="H324" s="28" t="str">
        <f t="array" ref="H324">IF($I323="","",XLOOKUP(E324,Phase_UI_Map!A:A,Phase_UI_Map!D:D,""))</f>
        <v/>
      </c>
      <c r="I324" s="29"/>
      <c r="J324" s="28" t="str">
        <f>IFERROR(__xludf.DUMMYFUNCTION("IF($I323="""","""",IFERROR(INDEX(FILTER(Response_Lists!$B:$B,Response_Lists!$A:$A=$H324),1),""""))"),"")</f>
        <v/>
      </c>
      <c r="K324" s="28" t="str">
        <f>IFERROR(__xludf.DUMMYFUNCTION("IF($I323="""","""",IFERROR(INDEX(FILTER(Response_Lists!$B:$B,Response_Lists!$A:$A=$H324),2),""""))"),"")</f>
        <v/>
      </c>
      <c r="L324" s="28" t="str">
        <f>IFERROR(__xludf.DUMMYFUNCTION("IF($I323="""","""",IFERROR(INDEX(FILTER(Response_Lists!$B:$B,Response_Lists!$A:$A=$H324),3),""""))"),"")</f>
        <v/>
      </c>
      <c r="M324" s="28" t="str">
        <f>IFERROR(__xludf.DUMMYFUNCTION("IF($I323="""","""",IFERROR(INDEX(FILTER(Response_Lists!$B:$B,Response_Lists!$A:$A=$H324),4),""""))"),"")</f>
        <v/>
      </c>
      <c r="N324" s="28" t="str">
        <f>IFERROR(__xludf.DUMMYFUNCTION("IF($I323="""","""",IFERROR(INDEX(FILTER(Response_Lists!$B:$B,Response_Lists!$A:$A=$H324),5),""""))"),"")</f>
        <v/>
      </c>
      <c r="O324" s="28" t="str">
        <f>IFERROR(__xludf.DUMMYFUNCTION("IF($I323="""","""",IFERROR(INDEX(FILTER(Response_Lists!$B:$B,Response_Lists!$A:$A=$H324),6),""""))"),"")</f>
        <v/>
      </c>
      <c r="P324" s="28" t="str">
        <f t="shared" si="6"/>
        <v/>
      </c>
      <c r="Q324" s="28" t="str">
        <f t="array" ref="Q324">IF($I323="","",XLOOKUP(C324,FSM_State_Map!A:A,FSM_State_Map!D:D,""))</f>
        <v/>
      </c>
      <c r="R324" s="28" t="str">
        <f t="shared" si="7"/>
        <v/>
      </c>
      <c r="S324" s="28" t="str">
        <f t="array" ref="S324">IF($I323="","",
IF(
  AND(C324="B",C323&lt;&gt;"B"),
  XLOOKUP($B324,Derived_Variables!$A:$A,Derived_Variables!$K:$K,0)
  + XLOOKUP($B324,Derived_Variables!$A:$A,Derived_Variables!$AE:$AE,0),
  S323+AM323
))</f>
        <v/>
      </c>
      <c r="T324" s="28" t="str">
        <f t="shared" ref="T324:U324" si="658">IF($I323="","",T323+AN323)</f>
        <v/>
      </c>
      <c r="U324" s="28" t="str">
        <f t="shared" si="658"/>
        <v/>
      </c>
      <c r="V324" s="28" t="str">
        <f t="array" ref="V324">IF($I323="","",
IF(
  AND(C324="D",C323&lt;&gt;"D"),
  XLOOKUP($B324,Derived_Variables!$A:$A,Derived_Variables!$N:$N,0)
  + XLOOKUP($B324,Derived_Variables!$A:$A,Derived_Variables!$AE:$AE,0),
  V323+AP323
))</f>
        <v/>
      </c>
      <c r="W324" s="28" t="str">
        <f t="shared" ref="W324:X324" si="659">IF($I323="","",W323+AQ323)</f>
        <v/>
      </c>
      <c r="X324" s="28" t="str">
        <f t="shared" si="659"/>
        <v/>
      </c>
      <c r="Y324" s="28" t="str">
        <f t="array" ref="Y324">IF($I323="","",IF(AND(C324="P",C323&lt;&gt;"P"),IFERROR(XLOOKUP($B324,Lenso_Input!$A:$A,Lenso_Input!$E:$E,0),0),Y323+AS323))</f>
        <v/>
      </c>
      <c r="Z324" s="28" t="str">
        <f t="array" ref="Z324">IF($I323="","",IF(AND(C324="Q",C323&lt;&gt;"Q"),IFERROR(XLOOKUP($B324,Lenso_Input!$A:$A,Lenso_Input!$I:$I,0),0),Z323+AT323))</f>
        <v/>
      </c>
      <c r="AA324" s="28" t="str">
        <f t="array" ref="AA324">IF($I323="","",IF(XLOOKUP($B324,Derived_Variables!$A:$A,Derived_Variables!$R:$R,"6/6_target")="6/6_target","20_20_20","40_30_25"))</f>
        <v/>
      </c>
      <c r="AB324" s="28" t="str">
        <f t="array" ref="AB324">IF($I323="","",XLOOKUP(LOWER(XLOOKUP($B324,Derived_Variables!$A:$A,Derived_Variables!$T:$T,"Standard"))&amp;"_sph_step",Calibration!$B:$B,Calibration!$C:$C,0.25))</f>
        <v/>
      </c>
      <c r="AC324" s="28" t="str">
        <f t="array" ref="AC324">IF($I323="","",XLOOKUP(LOWER(XLOOKUP($B324,Derived_Variables!$A:$A,Derived_Variables!$T:$T,"Standard"))&amp;"_cyl_step",Calibration!$B:$B,Calibration!$C:$C,0.25))</f>
        <v/>
      </c>
      <c r="AD324" s="28" t="str">
        <f t="array" ref="AD324">IF($I323="","",IF(OR(C324="E",C324="H"),LET(startStep,XLOOKUP("axis_start_step",Calibration!$B:$B,Calibration!$C:$C,5),step1,XLOOKUP("axis_reversal_step_1",Calibration!$B:$B,Calibration!$C:$C,3),step2,XLOOKUP("axis_reversal_step_2",Calibration!$B:$B,Calibration!$C:$C,1),IF(OR(C323&lt;&gt;C324,AZ324="",AZ324="SAME",AZ324="CANT_TELL",I324="",I324="SAME",I324="CANT_TELL"),startStep,IF(OR(AND(AZ324="BETTER_1",I324="BETTER_2"),AND(AZ324="BETTER_2",I324="BETTER_1")),IF(AD323&gt;step1,step1,step2),AD323))),0))</f>
        <v/>
      </c>
      <c r="AE324" s="28" t="str">
        <f t="array" ref="AE324">IF($I323="","",XLOOKUP($B324,Derived_Variables!$A:$A,Derived_Variables!$AD:$AD,"No_Fog"))</f>
        <v/>
      </c>
      <c r="AF324" s="28" t="str">
        <f t="array" ref="AF324">IF($I323="","",XLOOKUP($B324,Derived_Variables!$A:$A,Derived_Variables!$AE:$AE,0))</f>
        <v/>
      </c>
      <c r="AG324" s="28" t="str">
        <f t="array" ref="AG324">IF($I323="","",XLOOKUP($B324,Derived_Variables!$A:$A,Derived_Variables!$AF:$AF,""))</f>
        <v/>
      </c>
      <c r="AH324" s="28" t="str">
        <f t="array" ref="AH324">IF($I323="","",XLOOKUP($B324,Derived_Variables!$A:$A,Derived_Variables!$AG:$AG,""))</f>
        <v/>
      </c>
      <c r="AI324" s="28" t="str">
        <f t="array" ref="AI324">IF($I323="","",XLOOKUP($B324,Derived_Variables!$A:$A,Derived_Variables!$AC:$AC,"Medium"))</f>
        <v/>
      </c>
      <c r="AJ324" s="28" t="str">
        <f t="array" ref="AJ324">IF($I323="","",XLOOKUP($B324,Derived_Variables!$A:$A,Derived_Variables!$Y:$Y,FALSE))</f>
        <v/>
      </c>
      <c r="AK324" s="28" t="str">
        <f t="array" ref="AK324">IF($I323="","",XLOOKUP($B324,Derived_Variables!$A:$A,Derived_Variables!$AA:$AA,"Normal"))</f>
        <v/>
      </c>
      <c r="AL324" s="28" t="str">
        <f t="array" ref="AL324">IF($I323="","",XLOOKUP($B324,Derived_Variables!$A:$A,Derived_Variables!$AB:$AB,"Normal"))</f>
        <v/>
      </c>
      <c r="AM324" s="28" t="str">
        <f t="array" ref="AM324">IF($I324="","",IFS(C324="B",IF(OR(I324="NOT_READABLE",I324="BLURRY"),-AB324,0),C324="G",IFS(I324="RED_CLEARER",XLOOKUP("duochrome_red_step",Calibration!$B:$B,Calibration!$C:$C,-0.25),I324="GREEN_CLEARER",XLOOKUP("duochrome_green_step",Calibration!$B:$B,Calibration!$C:$C,0.25),I324="EQUAL",IF(XLOOKUP($B324,Derived_Variables!$A:$A,Derived_Variables!$S:$S,"Neutral")="Undercorrect",XLOOKUP("undercorrect_step",Calibration!$B:$B,Calibration!$C:$C,0.25),IF(XLOOKUP($B324,Derived_Variables!$A:$A,Derived_Variables!$S:$S,"Neutral")="Overcorrect",-XLOOKUP("overcorrect_step",Calibration!$B:$B,Calibration!$C:$C,0.25),0)),TRUE,0),C324="K",IF(I324="TOP_CLEARER",XLOOKUP("bino_balance_step",Calibration!$B:$B,Calibration!$C:$C,0.25),0),TRUE,0))</f>
        <v/>
      </c>
      <c r="AN324" s="28" t="str">
        <f t="shared" si="10"/>
        <v/>
      </c>
      <c r="AO324" s="28" t="str">
        <f t="shared" si="11"/>
        <v/>
      </c>
      <c r="AP324" s="28" t="str">
        <f t="array" ref="AP324">IF($I324="","",IFS(C324="D",IF(OR(I324="NOT_READABLE",I324="BLURRY"),-AB324,0),C324="J",IFS(I324="RED_CLEARER",XLOOKUP("duochrome_red_step",Calibration!$B:$B,Calibration!$C:$C,-0.25),I324="GREEN_CLEARER",XLOOKUP("duochrome_green_step",Calibration!$B:$B,Calibration!$C:$C,0.25),I324="EQUAL",IF(XLOOKUP($B324,Derived_Variables!$A:$A,Derived_Variables!$S:$S,"Neutral")="Undercorrect",XLOOKUP("undercorrect_step",Calibration!$B:$B,Calibration!$C:$C,0.25),IF(XLOOKUP($B324,Derived_Variables!$A:$A,Derived_Variables!$S:$S,"Neutral")="Overcorrect",-XLOOKUP("overcorrect_step",Calibration!$B:$B,Calibration!$C:$C,0.25),0)),TRUE,0),C324="K",IF(I324="BOTTOM_CLEARER",XLOOKUP("bino_balance_step",Calibration!$B:$B,Calibration!$C:$C,0.25),0),TRUE,0))</f>
        <v/>
      </c>
      <c r="AQ324" s="28" t="str">
        <f t="shared" si="12"/>
        <v/>
      </c>
      <c r="AR324" s="28" t="str">
        <f t="shared" si="13"/>
        <v/>
      </c>
      <c r="AS324" s="28" t="str">
        <f t="array" ref="AS324">IF($I324="","",IF(C324="P",IF(OR(I324="NOT_READABLE",I324="BLURRY"),XLOOKUP("near_add_step",Calibration!$B:$B,Calibration!$C:$C,0.25),0),IF(C324="R",IF(I324="NOT_CLEAR",XLOOKUP("near_add_step",Calibration!$B:$B,Calibration!$C:$C,0.25),0),0)))</f>
        <v/>
      </c>
      <c r="AT324" s="28" t="str">
        <f t="array" ref="AT324">IF($I324="","",IF(C324="Q",IF(OR(I324="NOT_READABLE",I324="BLURRY"),XLOOKUP("near_add_step",Calibration!$B:$B,Calibration!$C:$C,0.25),0),IF(C324="R",IF(I324="NOT_CLEAR",XLOOKUP("near_add_step",Calibration!$B:$B,Calibration!$C:$C,0.25),0),0)))</f>
        <v/>
      </c>
      <c r="AU324" s="28" t="str">
        <f t="array" ref="AU324">IF($I324="","",IF(G324="SNELLEN_FEET",IF(I324="READABLE",IFERROR(XLOOKUP(XLOOKUP(R324,Chart_Scale_Distance!B:B,Chart_Scale_Distance!A:A)+1,Chart_Scale_Distance!A:A,Chart_Scale_Distance!B:B),R324),R324),R324))</f>
        <v/>
      </c>
      <c r="AV324" s="28" t="str">
        <f t="array" ref="AV324">IF($I323="","",IFERROR(XLOOKUP(R324,Chart_Scale_Distance!$B:$B,Chart_Scale_Distance!$A:$A,""),""))</f>
        <v/>
      </c>
      <c r="AW324" s="28" t="str">
        <f t="array" ref="AW324">IF($I323="","",IFERROR(XLOOKUP(AA324,Chart_Scale_Distance!$B:$B,Chart_Scale_Distance!$A:$A,""),""))</f>
        <v/>
      </c>
      <c r="AX324" s="28" t="str">
        <f t="shared" si="14"/>
        <v/>
      </c>
      <c r="AY324" s="28" t="str">
        <f t="shared" si="15"/>
        <v/>
      </c>
      <c r="AZ324" s="28" t="str">
        <f t="shared" si="16"/>
        <v/>
      </c>
      <c r="BA324" s="28" t="str">
        <f t="shared" si="17"/>
        <v/>
      </c>
      <c r="BB324" s="28" t="str">
        <f t="shared" si="18"/>
        <v/>
      </c>
      <c r="BC324" s="28" t="str">
        <f t="array" ref="BC324">IF($I324="","",LET(
conf,AI324,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duoMax,XLOOKUP($B324,Derived_Variables!$A:$A,Derived_Variables!$AI:$AI,4),
axisTol,XLOOKUP($B324,Derived_Variables!$A:$A,Derived_Variables!$W:$W,1),
maxStart,XLOOKUP($B324,Derived_Variables!$A:$A,Derived_Variables!$U:$U,1.25),
maxAR,XLOOKUP($B324,Derived_Variables!$A:$A,Derived_Variables!$V:$V,3),
anom,XLOOKUP($B324,Derived_Variables!$A:$A,Derived_Variables!$Z:$Z,FALSE),
reStart,XLOOKUP($B324,Derived_Variables!$A:$A,Derived_Variables!$K:$K,0),
leStart,XLOOKUP($B324,Derived_Variables!$A:$A,Derived_Variables!$N:$N,0),
reAR,XLOOKUP($B324,AR_Input!$A:$A,AR_Input!$B:$B,reStart),
leAR,XLOOKUP($B324,AR_Input!$A:$A,AR_Input!$E:$E,leStart),
reEsc,AND(anom,OR(ABS((S324+AM324)-reStart)&gt;maxStart,ABS((S324+AM324)-reAR)&gt;maxAR)),
leEsc,AND(anom,OR(ABS((V324+AP324)-leStart)&gt;maxStart,ABS((V324+AP324)-leAR)&gt;maxAR)),
phaseMax,IFS(
 AK324="Fast",
   IFS(
     OR(C324="B",C324="D"),XLOOKUP("timeout_coarse_fast",Calibration!$B:$B,Calibration!$C:$C,24),
     OR(C324="E",C324="F",C324="H",C324="I"),XLOOKUP("timeout_jcc_fast",Calibration!$B:$B,Calibration!$C:$C,10),
     OR(C324="G",C324="J"),XLOOKUP("timeout_duochrome_fast",Calibration!$B:$B,Calibration!$C:$C,8),
     C324="K",XLOOKUP("timeout_bino_fast",Calibration!$B:$B,Calibration!$C:$C,10),
     OR(C324="P",C324="Q",C324="R"),XLOOKUP("timeout_near_fast",Calibration!$B:$B,Calibration!$C:$C,16),
     TRUE,XLOOKUP("timeout_coarse_fast",Calibration!$B:$B,Calibration!$C:$C,24)
   ),
 AK324="Normal",
   IFS(
     OR(C324="B",C324="D"),XLOOKUP("timeout_coarse_normal",Calibration!$B:$B,Calibration!$C:$C,36),
     OR(C324="E",C324="F",C324="H",C324="I"),XLOOKUP("timeout_jcc_normal",Calibration!$B:$B,Calibration!$C:$C,14),
     OR(C324="G",C324="J"),XLOOKUP("timeout_duochrome_normal",Calibration!$B:$B,Calibration!$C:$C,10),
     C324="K",XLOOKUP("timeout_bino_normal",Calibration!$B:$B,Calibration!$C:$C,14),
     OR(C324="P",C324="Q",C324="R"),XLOOKUP("timeout_near_normal",Calibration!$B:$B,Calibration!$C:$C,22),
     TRUE,XLOOKUP("timeout_coarse_normal",Calibration!$B:$B,Calibration!$C:$C,36)
   ),
 TRUE,
   IFS(
     OR(C324="B",C324="D"),XLOOKUP("timeout_coarse_slow",Calibration!$B:$B,Calibration!$C:$C,48),
     OR(C324="E",C324="F",C324="H",C324="I"),XLOOKUP("timeout_jcc_slow",Calibration!$B:$B,Calibration!$C:$C,18),
     OR(C324="G",C324="J"),XLOOKUP("timeout_duochrome_slow",Calibration!$B:$B,Calibration!$C:$C,12),
     C324="K",XLOOKUP("timeout_bino_slow",Calibration!$B:$B,Calibration!$C:$C,18),
     OR(C324="P",C324="Q",C324="R"),XLOOKUP("timeout_near_slow",Calibration!$B:$B,Calibration!$C:$C,28),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AJ324=TRUE,"ESCALATE",
C324="A",
IF(OR(I324="NOT_READABLE",I324="BLURRY",AND(R324="20_20_20",I324="READABLE")),"B","A"),
C324="B",
IF(reEsc,"ESCALATE",IF(AY324&gt;=phaseMax,"ESCALATE",IF(AND(AV324&gt;=AW324,I324="READABLE"),"E","B"))),
C324="E",
IF(AY324&gt;=phaseMax,"ESCALATE",IF(OR(I324="SAME",I324="CANT_TELL",AD324&lt;axisTol),"F","E")),
C324="F",
IF(AY324&gt;=phaseMax,"ESCALATE",IF(AX324&gt;=powerSameN,"G","F")),
C324="G",
IF(AY324&gt;=phaseMax,"ESCALATE",IF(OR(AX324&gt;=duoEqualN,BB324&gt;=duoMax),"D","G")),
C324="D",
IF(leEsc,"ESCALATE",IF(AY324&gt;=phaseMax,"ESCALATE",IF(AND(AV324&gt;=AW324,I324="READABLE"),"H","D"))),
C324="H",
IF(AY324&gt;=phaseMax,"ESCALATE",IF(OR(I324="SAME",I324="CANT_TELL",AD324&lt;axisTol),"I","H")),
C324="I",
IF(AY324&gt;=phaseMax,"ESCALATE",IF(AX324&gt;=powerSameN,"J","I")),
C324="J",
IF(AY324&gt;=phaseMax,"ESCALATE",IF(OR(AX324&gt;=duoEqualN,BB324&gt;=duoMax),"K","J")),
C324="K",
IF(AY324&gt;=phaseMax,"ESCALATE",IF(AX324&gt;=binoSameN,IF(XLOOKUP($B324,Derived_Variables!$A:$A,Derived_Variables!$AJ:$AJ,FALSE)=TRUE,"P","END"),"K")),
C324="P",
IF(AY324&gt;=phaseMax,"ESCALATE",IF(OR(I324="READABLE",I324="SAME"),"Q","P")),
C324="Q",
IF(AY324&gt;=phaseMax,"ESCALATE",IF(OR(I324="READABLE",I324="SAME"),"R","Q")),
C324="R",
IF(AY324&gt;=phaseMax,"ESCALATE",IF(OR(I324=nearTarget,I324="SAME"),"END","R")),
TRUE,"END"
)))</f>
        <v/>
      </c>
      <c r="BD324" s="28" t="b">
        <f t="shared" si="19"/>
        <v>0</v>
      </c>
    </row>
    <row r="325" ht="15.75" customHeight="1">
      <c r="A325" s="28">
        <f t="shared" si="3"/>
        <v>324</v>
      </c>
      <c r="B325" s="28">
        <f t="shared" si="4"/>
        <v>6</v>
      </c>
      <c r="C325" s="28" t="str">
        <f t="shared" si="5"/>
        <v/>
      </c>
      <c r="D325" s="28" t="str">
        <f t="array" ref="D325">IF($I324="","",XLOOKUP(C325,FSM_State_Map!A:A,FSM_State_Map!B:B,""))</f>
        <v/>
      </c>
      <c r="E325" s="28" t="str">
        <f t="array" ref="E325">IF($I324="","",XLOOKUP(C325,FSM_State_Map!A:A,FSM_State_Map!C:C,""))</f>
        <v/>
      </c>
      <c r="F325" s="28" t="str">
        <f t="array" ref="F325">IF($I324="","",XLOOKUP(E325,Phase_UI_Map!A:A,Phase_UI_Map!B:B,""))</f>
        <v/>
      </c>
      <c r="G325" s="28" t="str">
        <f t="array" ref="G325">IF($I324="","",XLOOKUP(E325,Phase_UI_Map!A:A,Phase_UI_Map!C:C,""))</f>
        <v/>
      </c>
      <c r="H325" s="28" t="str">
        <f t="array" ref="H325">IF($I324="","",XLOOKUP(E325,Phase_UI_Map!A:A,Phase_UI_Map!D:D,""))</f>
        <v/>
      </c>
      <c r="I325" s="29"/>
      <c r="J325" s="28" t="str">
        <f>IFERROR(__xludf.DUMMYFUNCTION("IF($I324="""","""",IFERROR(INDEX(FILTER(Response_Lists!$B:$B,Response_Lists!$A:$A=$H325),1),""""))"),"")</f>
        <v/>
      </c>
      <c r="K325" s="28" t="str">
        <f>IFERROR(__xludf.DUMMYFUNCTION("IF($I324="""","""",IFERROR(INDEX(FILTER(Response_Lists!$B:$B,Response_Lists!$A:$A=$H325),2),""""))"),"")</f>
        <v/>
      </c>
      <c r="L325" s="28" t="str">
        <f>IFERROR(__xludf.DUMMYFUNCTION("IF($I324="""","""",IFERROR(INDEX(FILTER(Response_Lists!$B:$B,Response_Lists!$A:$A=$H325),3),""""))"),"")</f>
        <v/>
      </c>
      <c r="M325" s="28" t="str">
        <f>IFERROR(__xludf.DUMMYFUNCTION("IF($I324="""","""",IFERROR(INDEX(FILTER(Response_Lists!$B:$B,Response_Lists!$A:$A=$H325),4),""""))"),"")</f>
        <v/>
      </c>
      <c r="N325" s="28" t="str">
        <f>IFERROR(__xludf.DUMMYFUNCTION("IF($I324="""","""",IFERROR(INDEX(FILTER(Response_Lists!$B:$B,Response_Lists!$A:$A=$H325),5),""""))"),"")</f>
        <v/>
      </c>
      <c r="O325" s="28" t="str">
        <f>IFERROR(__xludf.DUMMYFUNCTION("IF($I324="""","""",IFERROR(INDEX(FILTER(Response_Lists!$B:$B,Response_Lists!$A:$A=$H325),6),""""))"),"")</f>
        <v/>
      </c>
      <c r="P325" s="28" t="str">
        <f t="shared" si="6"/>
        <v/>
      </c>
      <c r="Q325" s="28" t="str">
        <f t="array" ref="Q325">IF($I324="","",XLOOKUP(C325,FSM_State_Map!A:A,FSM_State_Map!D:D,""))</f>
        <v/>
      </c>
      <c r="R325" s="28" t="str">
        <f t="shared" si="7"/>
        <v/>
      </c>
      <c r="S325" s="28" t="str">
        <f t="array" ref="S325">IF($I324="","",
IF(
  AND(C325="B",C324&lt;&gt;"B"),
  XLOOKUP($B325,Derived_Variables!$A:$A,Derived_Variables!$K:$K,0)
  + XLOOKUP($B325,Derived_Variables!$A:$A,Derived_Variables!$AE:$AE,0),
  S324+AM324
))</f>
        <v/>
      </c>
      <c r="T325" s="28" t="str">
        <f t="shared" ref="T325:U325" si="660">IF($I324="","",T324+AN324)</f>
        <v/>
      </c>
      <c r="U325" s="28" t="str">
        <f t="shared" si="660"/>
        <v/>
      </c>
      <c r="V325" s="28" t="str">
        <f t="array" ref="V325">IF($I324="","",
IF(
  AND(C325="D",C324&lt;&gt;"D"),
  XLOOKUP($B325,Derived_Variables!$A:$A,Derived_Variables!$N:$N,0)
  + XLOOKUP($B325,Derived_Variables!$A:$A,Derived_Variables!$AE:$AE,0),
  V324+AP324
))</f>
        <v/>
      </c>
      <c r="W325" s="28" t="str">
        <f t="shared" ref="W325:X325" si="661">IF($I324="","",W324+AQ324)</f>
        <v/>
      </c>
      <c r="X325" s="28" t="str">
        <f t="shared" si="661"/>
        <v/>
      </c>
      <c r="Y325" s="28" t="str">
        <f t="array" ref="Y325">IF($I324="","",IF(AND(C325="P",C324&lt;&gt;"P"),IFERROR(XLOOKUP($B325,Lenso_Input!$A:$A,Lenso_Input!$E:$E,0),0),Y324+AS324))</f>
        <v/>
      </c>
      <c r="Z325" s="28" t="str">
        <f t="array" ref="Z325">IF($I324="","",IF(AND(C325="Q",C324&lt;&gt;"Q"),IFERROR(XLOOKUP($B325,Lenso_Input!$A:$A,Lenso_Input!$I:$I,0),0),Z324+AT324))</f>
        <v/>
      </c>
      <c r="AA325" s="28" t="str">
        <f t="array" ref="AA325">IF($I324="","",IF(XLOOKUP($B325,Derived_Variables!$A:$A,Derived_Variables!$R:$R,"6/6_target")="6/6_target","20_20_20","40_30_25"))</f>
        <v/>
      </c>
      <c r="AB325" s="28" t="str">
        <f t="array" ref="AB325">IF($I324="","",XLOOKUP(LOWER(XLOOKUP($B325,Derived_Variables!$A:$A,Derived_Variables!$T:$T,"Standard"))&amp;"_sph_step",Calibration!$B:$B,Calibration!$C:$C,0.25))</f>
        <v/>
      </c>
      <c r="AC325" s="28" t="str">
        <f t="array" ref="AC325">IF($I324="","",XLOOKUP(LOWER(XLOOKUP($B325,Derived_Variables!$A:$A,Derived_Variables!$T:$T,"Standard"))&amp;"_cyl_step",Calibration!$B:$B,Calibration!$C:$C,0.25))</f>
        <v/>
      </c>
      <c r="AD325" s="28" t="str">
        <f t="array" ref="AD325">IF($I324="","",IF(OR(C325="E",C325="H"),LET(startStep,XLOOKUP("axis_start_step",Calibration!$B:$B,Calibration!$C:$C,5),step1,XLOOKUP("axis_reversal_step_1",Calibration!$B:$B,Calibration!$C:$C,3),step2,XLOOKUP("axis_reversal_step_2",Calibration!$B:$B,Calibration!$C:$C,1),IF(OR(C324&lt;&gt;C325,AZ325="",AZ325="SAME",AZ325="CANT_TELL",I325="",I325="SAME",I325="CANT_TELL"),startStep,IF(OR(AND(AZ325="BETTER_1",I325="BETTER_2"),AND(AZ325="BETTER_2",I325="BETTER_1")),IF(AD324&gt;step1,step1,step2),AD324))),0))</f>
        <v/>
      </c>
      <c r="AE325" s="28" t="str">
        <f t="array" ref="AE325">IF($I324="","",XLOOKUP($B325,Derived_Variables!$A:$A,Derived_Variables!$AD:$AD,"No_Fog"))</f>
        <v/>
      </c>
      <c r="AF325" s="28" t="str">
        <f t="array" ref="AF325">IF($I324="","",XLOOKUP($B325,Derived_Variables!$A:$A,Derived_Variables!$AE:$AE,0))</f>
        <v/>
      </c>
      <c r="AG325" s="28" t="str">
        <f t="array" ref="AG325">IF($I324="","",XLOOKUP($B325,Derived_Variables!$A:$A,Derived_Variables!$AF:$AF,""))</f>
        <v/>
      </c>
      <c r="AH325" s="28" t="str">
        <f t="array" ref="AH325">IF($I324="","",XLOOKUP($B325,Derived_Variables!$A:$A,Derived_Variables!$AG:$AG,""))</f>
        <v/>
      </c>
      <c r="AI325" s="28" t="str">
        <f t="array" ref="AI325">IF($I324="","",XLOOKUP($B325,Derived_Variables!$A:$A,Derived_Variables!$AC:$AC,"Medium"))</f>
        <v/>
      </c>
      <c r="AJ325" s="28" t="str">
        <f t="array" ref="AJ325">IF($I324="","",XLOOKUP($B325,Derived_Variables!$A:$A,Derived_Variables!$Y:$Y,FALSE))</f>
        <v/>
      </c>
      <c r="AK325" s="28" t="str">
        <f t="array" ref="AK325">IF($I324="","",XLOOKUP($B325,Derived_Variables!$A:$A,Derived_Variables!$AA:$AA,"Normal"))</f>
        <v/>
      </c>
      <c r="AL325" s="28" t="str">
        <f t="array" ref="AL325">IF($I324="","",XLOOKUP($B325,Derived_Variables!$A:$A,Derived_Variables!$AB:$AB,"Normal"))</f>
        <v/>
      </c>
      <c r="AM325" s="28" t="str">
        <f t="array" ref="AM325">IF($I325="","",IFS(C325="B",IF(OR(I325="NOT_READABLE",I325="BLURRY"),-AB325,0),C325="G",IFS(I325="RED_CLEARER",XLOOKUP("duochrome_red_step",Calibration!$B:$B,Calibration!$C:$C,-0.25),I325="GREEN_CLEARER",XLOOKUP("duochrome_green_step",Calibration!$B:$B,Calibration!$C:$C,0.25),I325="EQUAL",IF(XLOOKUP($B325,Derived_Variables!$A:$A,Derived_Variables!$S:$S,"Neutral")="Undercorrect",XLOOKUP("undercorrect_step",Calibration!$B:$B,Calibration!$C:$C,0.25),IF(XLOOKUP($B325,Derived_Variables!$A:$A,Derived_Variables!$S:$S,"Neutral")="Overcorrect",-XLOOKUP("overcorrect_step",Calibration!$B:$B,Calibration!$C:$C,0.25),0)),TRUE,0),C325="K",IF(I325="TOP_CLEARER",XLOOKUP("bino_balance_step",Calibration!$B:$B,Calibration!$C:$C,0.25),0),TRUE,0))</f>
        <v/>
      </c>
      <c r="AN325" s="28" t="str">
        <f t="shared" si="10"/>
        <v/>
      </c>
      <c r="AO325" s="28" t="str">
        <f t="shared" si="11"/>
        <v/>
      </c>
      <c r="AP325" s="28" t="str">
        <f t="array" ref="AP325">IF($I325="","",IFS(C325="D",IF(OR(I325="NOT_READABLE",I325="BLURRY"),-AB325,0),C325="J",IFS(I325="RED_CLEARER",XLOOKUP("duochrome_red_step",Calibration!$B:$B,Calibration!$C:$C,-0.25),I325="GREEN_CLEARER",XLOOKUP("duochrome_green_step",Calibration!$B:$B,Calibration!$C:$C,0.25),I325="EQUAL",IF(XLOOKUP($B325,Derived_Variables!$A:$A,Derived_Variables!$S:$S,"Neutral")="Undercorrect",XLOOKUP("undercorrect_step",Calibration!$B:$B,Calibration!$C:$C,0.25),IF(XLOOKUP($B325,Derived_Variables!$A:$A,Derived_Variables!$S:$S,"Neutral")="Overcorrect",-XLOOKUP("overcorrect_step",Calibration!$B:$B,Calibration!$C:$C,0.25),0)),TRUE,0),C325="K",IF(I325="BOTTOM_CLEARER",XLOOKUP("bino_balance_step",Calibration!$B:$B,Calibration!$C:$C,0.25),0),TRUE,0))</f>
        <v/>
      </c>
      <c r="AQ325" s="28" t="str">
        <f t="shared" si="12"/>
        <v/>
      </c>
      <c r="AR325" s="28" t="str">
        <f t="shared" si="13"/>
        <v/>
      </c>
      <c r="AS325" s="28" t="str">
        <f t="array" ref="AS325">IF($I325="","",IF(C325="P",IF(OR(I325="NOT_READABLE",I325="BLURRY"),XLOOKUP("near_add_step",Calibration!$B:$B,Calibration!$C:$C,0.25),0),IF(C325="R",IF(I325="NOT_CLEAR",XLOOKUP("near_add_step",Calibration!$B:$B,Calibration!$C:$C,0.25),0),0)))</f>
        <v/>
      </c>
      <c r="AT325" s="28" t="str">
        <f t="array" ref="AT325">IF($I325="","",IF(C325="Q",IF(OR(I325="NOT_READABLE",I325="BLURRY"),XLOOKUP("near_add_step",Calibration!$B:$B,Calibration!$C:$C,0.25),0),IF(C325="R",IF(I325="NOT_CLEAR",XLOOKUP("near_add_step",Calibration!$B:$B,Calibration!$C:$C,0.25),0),0)))</f>
        <v/>
      </c>
      <c r="AU325" s="28" t="str">
        <f t="array" ref="AU325">IF($I325="","",IF(G325="SNELLEN_FEET",IF(I325="READABLE",IFERROR(XLOOKUP(XLOOKUP(R325,Chart_Scale_Distance!B:B,Chart_Scale_Distance!A:A)+1,Chart_Scale_Distance!A:A,Chart_Scale_Distance!B:B),R325),R325),R325))</f>
        <v/>
      </c>
      <c r="AV325" s="28" t="str">
        <f t="array" ref="AV325">IF($I324="","",IFERROR(XLOOKUP(R325,Chart_Scale_Distance!$B:$B,Chart_Scale_Distance!$A:$A,""),""))</f>
        <v/>
      </c>
      <c r="AW325" s="28" t="str">
        <f t="array" ref="AW325">IF($I324="","",IFERROR(XLOOKUP(AA325,Chart_Scale_Distance!$B:$B,Chart_Scale_Distance!$A:$A,""),""))</f>
        <v/>
      </c>
      <c r="AX325" s="28" t="str">
        <f t="shared" si="14"/>
        <v/>
      </c>
      <c r="AY325" s="28" t="str">
        <f t="shared" si="15"/>
        <v/>
      </c>
      <c r="AZ325" s="28" t="str">
        <f t="shared" si="16"/>
        <v/>
      </c>
      <c r="BA325" s="28" t="str">
        <f t="shared" si="17"/>
        <v/>
      </c>
      <c r="BB325" s="28" t="str">
        <f t="shared" si="18"/>
        <v/>
      </c>
      <c r="BC325" s="28" t="str">
        <f t="array" ref="BC325">IF($I325="","",LET(
conf,AI325,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duoMax,XLOOKUP($B325,Derived_Variables!$A:$A,Derived_Variables!$AI:$AI,4),
axisTol,XLOOKUP($B325,Derived_Variables!$A:$A,Derived_Variables!$W:$W,1),
maxStart,XLOOKUP($B325,Derived_Variables!$A:$A,Derived_Variables!$U:$U,1.25),
maxAR,XLOOKUP($B325,Derived_Variables!$A:$A,Derived_Variables!$V:$V,3),
anom,XLOOKUP($B325,Derived_Variables!$A:$A,Derived_Variables!$Z:$Z,FALSE),
reStart,XLOOKUP($B325,Derived_Variables!$A:$A,Derived_Variables!$K:$K,0),
leStart,XLOOKUP($B325,Derived_Variables!$A:$A,Derived_Variables!$N:$N,0),
reAR,XLOOKUP($B325,AR_Input!$A:$A,AR_Input!$B:$B,reStart),
leAR,XLOOKUP($B325,AR_Input!$A:$A,AR_Input!$E:$E,leStart),
reEsc,AND(anom,OR(ABS((S325+AM325)-reStart)&gt;maxStart,ABS((S325+AM325)-reAR)&gt;maxAR)),
leEsc,AND(anom,OR(ABS((V325+AP325)-leStart)&gt;maxStart,ABS((V325+AP325)-leAR)&gt;maxAR)),
phaseMax,IFS(
 AK325="Fast",
   IFS(
     OR(C325="B",C325="D"),XLOOKUP("timeout_coarse_fast",Calibration!$B:$B,Calibration!$C:$C,24),
     OR(C325="E",C325="F",C325="H",C325="I"),XLOOKUP("timeout_jcc_fast",Calibration!$B:$B,Calibration!$C:$C,10),
     OR(C325="G",C325="J"),XLOOKUP("timeout_duochrome_fast",Calibration!$B:$B,Calibration!$C:$C,8),
     C325="K",XLOOKUP("timeout_bino_fast",Calibration!$B:$B,Calibration!$C:$C,10),
     OR(C325="P",C325="Q",C325="R"),XLOOKUP("timeout_near_fast",Calibration!$B:$B,Calibration!$C:$C,16),
     TRUE,XLOOKUP("timeout_coarse_fast",Calibration!$B:$B,Calibration!$C:$C,24)
   ),
 AK325="Normal",
   IFS(
     OR(C325="B",C325="D"),XLOOKUP("timeout_coarse_normal",Calibration!$B:$B,Calibration!$C:$C,36),
     OR(C325="E",C325="F",C325="H",C325="I"),XLOOKUP("timeout_jcc_normal",Calibration!$B:$B,Calibration!$C:$C,14),
     OR(C325="G",C325="J"),XLOOKUP("timeout_duochrome_normal",Calibration!$B:$B,Calibration!$C:$C,10),
     C325="K",XLOOKUP("timeout_bino_normal",Calibration!$B:$B,Calibration!$C:$C,14),
     OR(C325="P",C325="Q",C325="R"),XLOOKUP("timeout_near_normal",Calibration!$B:$B,Calibration!$C:$C,22),
     TRUE,XLOOKUP("timeout_coarse_normal",Calibration!$B:$B,Calibration!$C:$C,36)
   ),
 TRUE,
   IFS(
     OR(C325="B",C325="D"),XLOOKUP("timeout_coarse_slow",Calibration!$B:$B,Calibration!$C:$C,48),
     OR(C325="E",C325="F",C325="H",C325="I"),XLOOKUP("timeout_jcc_slow",Calibration!$B:$B,Calibration!$C:$C,18),
     OR(C325="G",C325="J"),XLOOKUP("timeout_duochrome_slow",Calibration!$B:$B,Calibration!$C:$C,12),
     C325="K",XLOOKUP("timeout_bino_slow",Calibration!$B:$B,Calibration!$C:$C,18),
     OR(C325="P",C325="Q",C325="R"),XLOOKUP("timeout_near_slow",Calibration!$B:$B,Calibration!$C:$C,28),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AJ325=TRUE,"ESCALATE",
C325="A",
IF(OR(I325="NOT_READABLE",I325="BLURRY",AND(R325="20_20_20",I325="READABLE")),"B","A"),
C325="B",
IF(reEsc,"ESCALATE",IF(AY325&gt;=phaseMax,"ESCALATE",IF(AND(AV325&gt;=AW325,I325="READABLE"),"E","B"))),
C325="E",
IF(AY325&gt;=phaseMax,"ESCALATE",IF(OR(I325="SAME",I325="CANT_TELL",AD325&lt;axisTol),"F","E")),
C325="F",
IF(AY325&gt;=phaseMax,"ESCALATE",IF(AX325&gt;=powerSameN,"G","F")),
C325="G",
IF(AY325&gt;=phaseMax,"ESCALATE",IF(OR(AX325&gt;=duoEqualN,BB325&gt;=duoMax),"D","G")),
C325="D",
IF(leEsc,"ESCALATE",IF(AY325&gt;=phaseMax,"ESCALATE",IF(AND(AV325&gt;=AW325,I325="READABLE"),"H","D"))),
C325="H",
IF(AY325&gt;=phaseMax,"ESCALATE",IF(OR(I325="SAME",I325="CANT_TELL",AD325&lt;axisTol),"I","H")),
C325="I",
IF(AY325&gt;=phaseMax,"ESCALATE",IF(AX325&gt;=powerSameN,"J","I")),
C325="J",
IF(AY325&gt;=phaseMax,"ESCALATE",IF(OR(AX325&gt;=duoEqualN,BB325&gt;=duoMax),"K","J")),
C325="K",
IF(AY325&gt;=phaseMax,"ESCALATE",IF(AX325&gt;=binoSameN,IF(XLOOKUP($B325,Derived_Variables!$A:$A,Derived_Variables!$AJ:$AJ,FALSE)=TRUE,"P","END"),"K")),
C325="P",
IF(AY325&gt;=phaseMax,"ESCALATE",IF(OR(I325="READABLE",I325="SAME"),"Q","P")),
C325="Q",
IF(AY325&gt;=phaseMax,"ESCALATE",IF(OR(I325="READABLE",I325="SAME"),"R","Q")),
C325="R",
IF(AY325&gt;=phaseMax,"ESCALATE",IF(OR(I325=nearTarget,I325="SAME"),"END","R")),
TRUE,"END"
)))</f>
        <v/>
      </c>
      <c r="BD325" s="28" t="b">
        <f t="shared" si="19"/>
        <v>0</v>
      </c>
    </row>
    <row r="326" ht="15.75" customHeight="1">
      <c r="A326" s="28">
        <f t="shared" si="3"/>
        <v>325</v>
      </c>
      <c r="B326" s="28">
        <f t="shared" si="4"/>
        <v>6</v>
      </c>
      <c r="C326" s="28" t="str">
        <f t="shared" si="5"/>
        <v/>
      </c>
      <c r="D326" s="28" t="str">
        <f t="array" ref="D326">IF($I325="","",XLOOKUP(C326,FSM_State_Map!A:A,FSM_State_Map!B:B,""))</f>
        <v/>
      </c>
      <c r="E326" s="28" t="str">
        <f t="array" ref="E326">IF($I325="","",XLOOKUP(C326,FSM_State_Map!A:A,FSM_State_Map!C:C,""))</f>
        <v/>
      </c>
      <c r="F326" s="28" t="str">
        <f t="array" ref="F326">IF($I325="","",XLOOKUP(E326,Phase_UI_Map!A:A,Phase_UI_Map!B:B,""))</f>
        <v/>
      </c>
      <c r="G326" s="28" t="str">
        <f t="array" ref="G326">IF($I325="","",XLOOKUP(E326,Phase_UI_Map!A:A,Phase_UI_Map!C:C,""))</f>
        <v/>
      </c>
      <c r="H326" s="28" t="str">
        <f t="array" ref="H326">IF($I325="","",XLOOKUP(E326,Phase_UI_Map!A:A,Phase_UI_Map!D:D,""))</f>
        <v/>
      </c>
      <c r="I326" s="29"/>
      <c r="J326" s="28" t="str">
        <f>IFERROR(__xludf.DUMMYFUNCTION("IF($I325="""","""",IFERROR(INDEX(FILTER(Response_Lists!$B:$B,Response_Lists!$A:$A=$H326),1),""""))"),"")</f>
        <v/>
      </c>
      <c r="K326" s="28" t="str">
        <f>IFERROR(__xludf.DUMMYFUNCTION("IF($I325="""","""",IFERROR(INDEX(FILTER(Response_Lists!$B:$B,Response_Lists!$A:$A=$H326),2),""""))"),"")</f>
        <v/>
      </c>
      <c r="L326" s="28" t="str">
        <f>IFERROR(__xludf.DUMMYFUNCTION("IF($I325="""","""",IFERROR(INDEX(FILTER(Response_Lists!$B:$B,Response_Lists!$A:$A=$H326),3),""""))"),"")</f>
        <v/>
      </c>
      <c r="M326" s="28" t="str">
        <f>IFERROR(__xludf.DUMMYFUNCTION("IF($I325="""","""",IFERROR(INDEX(FILTER(Response_Lists!$B:$B,Response_Lists!$A:$A=$H326),4),""""))"),"")</f>
        <v/>
      </c>
      <c r="N326" s="28" t="str">
        <f>IFERROR(__xludf.DUMMYFUNCTION("IF($I325="""","""",IFERROR(INDEX(FILTER(Response_Lists!$B:$B,Response_Lists!$A:$A=$H326),5),""""))"),"")</f>
        <v/>
      </c>
      <c r="O326" s="28" t="str">
        <f>IFERROR(__xludf.DUMMYFUNCTION("IF($I325="""","""",IFERROR(INDEX(FILTER(Response_Lists!$B:$B,Response_Lists!$A:$A=$H326),6),""""))"),"")</f>
        <v/>
      </c>
      <c r="P326" s="28" t="str">
        <f t="shared" si="6"/>
        <v/>
      </c>
      <c r="Q326" s="28" t="str">
        <f t="array" ref="Q326">IF($I325="","",XLOOKUP(C326,FSM_State_Map!A:A,FSM_State_Map!D:D,""))</f>
        <v/>
      </c>
      <c r="R326" s="28" t="str">
        <f t="shared" si="7"/>
        <v/>
      </c>
      <c r="S326" s="28" t="str">
        <f t="array" ref="S326">IF($I325="","",
IF(
  AND(C326="B",C325&lt;&gt;"B"),
  XLOOKUP($B326,Derived_Variables!$A:$A,Derived_Variables!$K:$K,0)
  + XLOOKUP($B326,Derived_Variables!$A:$A,Derived_Variables!$AE:$AE,0),
  S325+AM325
))</f>
        <v/>
      </c>
      <c r="T326" s="28" t="str">
        <f t="shared" ref="T326:U326" si="662">IF($I325="","",T325+AN325)</f>
        <v/>
      </c>
      <c r="U326" s="28" t="str">
        <f t="shared" si="662"/>
        <v/>
      </c>
      <c r="V326" s="28" t="str">
        <f t="array" ref="V326">IF($I325="","",
IF(
  AND(C326="D",C325&lt;&gt;"D"),
  XLOOKUP($B326,Derived_Variables!$A:$A,Derived_Variables!$N:$N,0)
  + XLOOKUP($B326,Derived_Variables!$A:$A,Derived_Variables!$AE:$AE,0),
  V325+AP325
))</f>
        <v/>
      </c>
      <c r="W326" s="28" t="str">
        <f t="shared" ref="W326:X326" si="663">IF($I325="","",W325+AQ325)</f>
        <v/>
      </c>
      <c r="X326" s="28" t="str">
        <f t="shared" si="663"/>
        <v/>
      </c>
      <c r="Y326" s="28" t="str">
        <f t="array" ref="Y326">IF($I325="","",IF(AND(C326="P",C325&lt;&gt;"P"),IFERROR(XLOOKUP($B326,Lenso_Input!$A:$A,Lenso_Input!$E:$E,0),0),Y325+AS325))</f>
        <v/>
      </c>
      <c r="Z326" s="28" t="str">
        <f t="array" ref="Z326">IF($I325="","",IF(AND(C326="Q",C325&lt;&gt;"Q"),IFERROR(XLOOKUP($B326,Lenso_Input!$A:$A,Lenso_Input!$I:$I,0),0),Z325+AT325))</f>
        <v/>
      </c>
      <c r="AA326" s="28" t="str">
        <f t="array" ref="AA326">IF($I325="","",IF(XLOOKUP($B326,Derived_Variables!$A:$A,Derived_Variables!$R:$R,"6/6_target")="6/6_target","20_20_20","40_30_25"))</f>
        <v/>
      </c>
      <c r="AB326" s="28" t="str">
        <f t="array" ref="AB326">IF($I325="","",XLOOKUP(LOWER(XLOOKUP($B326,Derived_Variables!$A:$A,Derived_Variables!$T:$T,"Standard"))&amp;"_sph_step",Calibration!$B:$B,Calibration!$C:$C,0.25))</f>
        <v/>
      </c>
      <c r="AC326" s="28" t="str">
        <f t="array" ref="AC326">IF($I325="","",XLOOKUP(LOWER(XLOOKUP($B326,Derived_Variables!$A:$A,Derived_Variables!$T:$T,"Standard"))&amp;"_cyl_step",Calibration!$B:$B,Calibration!$C:$C,0.25))</f>
        <v/>
      </c>
      <c r="AD326" s="28" t="str">
        <f t="array" ref="AD326">IF($I325="","",IF(OR(C326="E",C326="H"),LET(startStep,XLOOKUP("axis_start_step",Calibration!$B:$B,Calibration!$C:$C,5),step1,XLOOKUP("axis_reversal_step_1",Calibration!$B:$B,Calibration!$C:$C,3),step2,XLOOKUP("axis_reversal_step_2",Calibration!$B:$B,Calibration!$C:$C,1),IF(OR(C325&lt;&gt;C326,AZ326="",AZ326="SAME",AZ326="CANT_TELL",I326="",I326="SAME",I326="CANT_TELL"),startStep,IF(OR(AND(AZ326="BETTER_1",I326="BETTER_2"),AND(AZ326="BETTER_2",I326="BETTER_1")),IF(AD325&gt;step1,step1,step2),AD325))),0))</f>
        <v/>
      </c>
      <c r="AE326" s="28" t="str">
        <f t="array" ref="AE326">IF($I325="","",XLOOKUP($B326,Derived_Variables!$A:$A,Derived_Variables!$AD:$AD,"No_Fog"))</f>
        <v/>
      </c>
      <c r="AF326" s="28" t="str">
        <f t="array" ref="AF326">IF($I325="","",XLOOKUP($B326,Derived_Variables!$A:$A,Derived_Variables!$AE:$AE,0))</f>
        <v/>
      </c>
      <c r="AG326" s="28" t="str">
        <f t="array" ref="AG326">IF($I325="","",XLOOKUP($B326,Derived_Variables!$A:$A,Derived_Variables!$AF:$AF,""))</f>
        <v/>
      </c>
      <c r="AH326" s="28" t="str">
        <f t="array" ref="AH326">IF($I325="","",XLOOKUP($B326,Derived_Variables!$A:$A,Derived_Variables!$AG:$AG,""))</f>
        <v/>
      </c>
      <c r="AI326" s="28" t="str">
        <f t="array" ref="AI326">IF($I325="","",XLOOKUP($B326,Derived_Variables!$A:$A,Derived_Variables!$AC:$AC,"Medium"))</f>
        <v/>
      </c>
      <c r="AJ326" s="28" t="str">
        <f t="array" ref="AJ326">IF($I325="","",XLOOKUP($B326,Derived_Variables!$A:$A,Derived_Variables!$Y:$Y,FALSE))</f>
        <v/>
      </c>
      <c r="AK326" s="28" t="str">
        <f t="array" ref="AK326">IF($I325="","",XLOOKUP($B326,Derived_Variables!$A:$A,Derived_Variables!$AA:$AA,"Normal"))</f>
        <v/>
      </c>
      <c r="AL326" s="28" t="str">
        <f t="array" ref="AL326">IF($I325="","",XLOOKUP($B326,Derived_Variables!$A:$A,Derived_Variables!$AB:$AB,"Normal"))</f>
        <v/>
      </c>
      <c r="AM326" s="28" t="str">
        <f t="array" ref="AM326">IF($I326="","",IFS(C326="B",IF(OR(I326="NOT_READABLE",I326="BLURRY"),-AB326,0),C326="G",IFS(I326="RED_CLEARER",XLOOKUP("duochrome_red_step",Calibration!$B:$B,Calibration!$C:$C,-0.25),I326="GREEN_CLEARER",XLOOKUP("duochrome_green_step",Calibration!$B:$B,Calibration!$C:$C,0.25),I326="EQUAL",IF(XLOOKUP($B326,Derived_Variables!$A:$A,Derived_Variables!$S:$S,"Neutral")="Undercorrect",XLOOKUP("undercorrect_step",Calibration!$B:$B,Calibration!$C:$C,0.25),IF(XLOOKUP($B326,Derived_Variables!$A:$A,Derived_Variables!$S:$S,"Neutral")="Overcorrect",-XLOOKUP("overcorrect_step",Calibration!$B:$B,Calibration!$C:$C,0.25),0)),TRUE,0),C326="K",IF(I326="TOP_CLEARER",XLOOKUP("bino_balance_step",Calibration!$B:$B,Calibration!$C:$C,0.25),0),TRUE,0))</f>
        <v/>
      </c>
      <c r="AN326" s="28" t="str">
        <f t="shared" si="10"/>
        <v/>
      </c>
      <c r="AO326" s="28" t="str">
        <f t="shared" si="11"/>
        <v/>
      </c>
      <c r="AP326" s="28" t="str">
        <f t="array" ref="AP326">IF($I326="","",IFS(C326="D",IF(OR(I326="NOT_READABLE",I326="BLURRY"),-AB326,0),C326="J",IFS(I326="RED_CLEARER",XLOOKUP("duochrome_red_step",Calibration!$B:$B,Calibration!$C:$C,-0.25),I326="GREEN_CLEARER",XLOOKUP("duochrome_green_step",Calibration!$B:$B,Calibration!$C:$C,0.25),I326="EQUAL",IF(XLOOKUP($B326,Derived_Variables!$A:$A,Derived_Variables!$S:$S,"Neutral")="Undercorrect",XLOOKUP("undercorrect_step",Calibration!$B:$B,Calibration!$C:$C,0.25),IF(XLOOKUP($B326,Derived_Variables!$A:$A,Derived_Variables!$S:$S,"Neutral")="Overcorrect",-XLOOKUP("overcorrect_step",Calibration!$B:$B,Calibration!$C:$C,0.25),0)),TRUE,0),C326="K",IF(I326="BOTTOM_CLEARER",XLOOKUP("bino_balance_step",Calibration!$B:$B,Calibration!$C:$C,0.25),0),TRUE,0))</f>
        <v/>
      </c>
      <c r="AQ326" s="28" t="str">
        <f t="shared" si="12"/>
        <v/>
      </c>
      <c r="AR326" s="28" t="str">
        <f t="shared" si="13"/>
        <v/>
      </c>
      <c r="AS326" s="28" t="str">
        <f t="array" ref="AS326">IF($I326="","",IF(C326="P",IF(OR(I326="NOT_READABLE",I326="BLURRY"),XLOOKUP("near_add_step",Calibration!$B:$B,Calibration!$C:$C,0.25),0),IF(C326="R",IF(I326="NOT_CLEAR",XLOOKUP("near_add_step",Calibration!$B:$B,Calibration!$C:$C,0.25),0),0)))</f>
        <v/>
      </c>
      <c r="AT326" s="28" t="str">
        <f t="array" ref="AT326">IF($I326="","",IF(C326="Q",IF(OR(I326="NOT_READABLE",I326="BLURRY"),XLOOKUP("near_add_step",Calibration!$B:$B,Calibration!$C:$C,0.25),0),IF(C326="R",IF(I326="NOT_CLEAR",XLOOKUP("near_add_step",Calibration!$B:$B,Calibration!$C:$C,0.25),0),0)))</f>
        <v/>
      </c>
      <c r="AU326" s="28" t="str">
        <f t="array" ref="AU326">IF($I326="","",IF(G326="SNELLEN_FEET",IF(I326="READABLE",IFERROR(XLOOKUP(XLOOKUP(R326,Chart_Scale_Distance!B:B,Chart_Scale_Distance!A:A)+1,Chart_Scale_Distance!A:A,Chart_Scale_Distance!B:B),R326),R326),R326))</f>
        <v/>
      </c>
      <c r="AV326" s="28" t="str">
        <f t="array" ref="AV326">IF($I325="","",IFERROR(XLOOKUP(R326,Chart_Scale_Distance!$B:$B,Chart_Scale_Distance!$A:$A,""),""))</f>
        <v/>
      </c>
      <c r="AW326" s="28" t="str">
        <f t="array" ref="AW326">IF($I325="","",IFERROR(XLOOKUP(AA326,Chart_Scale_Distance!$B:$B,Chart_Scale_Distance!$A:$A,""),""))</f>
        <v/>
      </c>
      <c r="AX326" s="28" t="str">
        <f t="shared" si="14"/>
        <v/>
      </c>
      <c r="AY326" s="28" t="str">
        <f t="shared" si="15"/>
        <v/>
      </c>
      <c r="AZ326" s="28" t="str">
        <f t="shared" si="16"/>
        <v/>
      </c>
      <c r="BA326" s="28" t="str">
        <f t="shared" si="17"/>
        <v/>
      </c>
      <c r="BB326" s="28" t="str">
        <f t="shared" si="18"/>
        <v/>
      </c>
      <c r="BC326" s="28" t="str">
        <f t="array" ref="BC326">IF($I326="","",LET(
conf,AI326,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duoMax,XLOOKUP($B326,Derived_Variables!$A:$A,Derived_Variables!$AI:$AI,4),
axisTol,XLOOKUP($B326,Derived_Variables!$A:$A,Derived_Variables!$W:$W,1),
maxStart,XLOOKUP($B326,Derived_Variables!$A:$A,Derived_Variables!$U:$U,1.25),
maxAR,XLOOKUP($B326,Derived_Variables!$A:$A,Derived_Variables!$V:$V,3),
anom,XLOOKUP($B326,Derived_Variables!$A:$A,Derived_Variables!$Z:$Z,FALSE),
reStart,XLOOKUP($B326,Derived_Variables!$A:$A,Derived_Variables!$K:$K,0),
leStart,XLOOKUP($B326,Derived_Variables!$A:$A,Derived_Variables!$N:$N,0),
reAR,XLOOKUP($B326,AR_Input!$A:$A,AR_Input!$B:$B,reStart),
leAR,XLOOKUP($B326,AR_Input!$A:$A,AR_Input!$E:$E,leStart),
reEsc,AND(anom,OR(ABS((S326+AM326)-reStart)&gt;maxStart,ABS((S326+AM326)-reAR)&gt;maxAR)),
leEsc,AND(anom,OR(ABS((V326+AP326)-leStart)&gt;maxStart,ABS((V326+AP326)-leAR)&gt;maxAR)),
phaseMax,IFS(
 AK326="Fast",
   IFS(
     OR(C326="B",C326="D"),XLOOKUP("timeout_coarse_fast",Calibration!$B:$B,Calibration!$C:$C,24),
     OR(C326="E",C326="F",C326="H",C326="I"),XLOOKUP("timeout_jcc_fast",Calibration!$B:$B,Calibration!$C:$C,10),
     OR(C326="G",C326="J"),XLOOKUP("timeout_duochrome_fast",Calibration!$B:$B,Calibration!$C:$C,8),
     C326="K",XLOOKUP("timeout_bino_fast",Calibration!$B:$B,Calibration!$C:$C,10),
     OR(C326="P",C326="Q",C326="R"),XLOOKUP("timeout_near_fast",Calibration!$B:$B,Calibration!$C:$C,16),
     TRUE,XLOOKUP("timeout_coarse_fast",Calibration!$B:$B,Calibration!$C:$C,24)
   ),
 AK326="Normal",
   IFS(
     OR(C326="B",C326="D"),XLOOKUP("timeout_coarse_normal",Calibration!$B:$B,Calibration!$C:$C,36),
     OR(C326="E",C326="F",C326="H",C326="I"),XLOOKUP("timeout_jcc_normal",Calibration!$B:$B,Calibration!$C:$C,14),
     OR(C326="G",C326="J"),XLOOKUP("timeout_duochrome_normal",Calibration!$B:$B,Calibration!$C:$C,10),
     C326="K",XLOOKUP("timeout_bino_normal",Calibration!$B:$B,Calibration!$C:$C,14),
     OR(C326="P",C326="Q",C326="R"),XLOOKUP("timeout_near_normal",Calibration!$B:$B,Calibration!$C:$C,22),
     TRUE,XLOOKUP("timeout_coarse_normal",Calibration!$B:$B,Calibration!$C:$C,36)
   ),
 TRUE,
   IFS(
     OR(C326="B",C326="D"),XLOOKUP("timeout_coarse_slow",Calibration!$B:$B,Calibration!$C:$C,48),
     OR(C326="E",C326="F",C326="H",C326="I"),XLOOKUP("timeout_jcc_slow",Calibration!$B:$B,Calibration!$C:$C,18),
     OR(C326="G",C326="J"),XLOOKUP("timeout_duochrome_slow",Calibration!$B:$B,Calibration!$C:$C,12),
     C326="K",XLOOKUP("timeout_bino_slow",Calibration!$B:$B,Calibration!$C:$C,18),
     OR(C326="P",C326="Q",C326="R"),XLOOKUP("timeout_near_slow",Calibration!$B:$B,Calibration!$C:$C,28),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AJ326=TRUE,"ESCALATE",
C326="A",
IF(OR(I326="NOT_READABLE",I326="BLURRY",AND(R326="20_20_20",I326="READABLE")),"B","A"),
C326="B",
IF(reEsc,"ESCALATE",IF(AY326&gt;=phaseMax,"ESCALATE",IF(AND(AV326&gt;=AW326,I326="READABLE"),"E","B"))),
C326="E",
IF(AY326&gt;=phaseMax,"ESCALATE",IF(OR(I326="SAME",I326="CANT_TELL",AD326&lt;axisTol),"F","E")),
C326="F",
IF(AY326&gt;=phaseMax,"ESCALATE",IF(AX326&gt;=powerSameN,"G","F")),
C326="G",
IF(AY326&gt;=phaseMax,"ESCALATE",IF(OR(AX326&gt;=duoEqualN,BB326&gt;=duoMax),"D","G")),
C326="D",
IF(leEsc,"ESCALATE",IF(AY326&gt;=phaseMax,"ESCALATE",IF(AND(AV326&gt;=AW326,I326="READABLE"),"H","D"))),
C326="H",
IF(AY326&gt;=phaseMax,"ESCALATE",IF(OR(I326="SAME",I326="CANT_TELL",AD326&lt;axisTol),"I","H")),
C326="I",
IF(AY326&gt;=phaseMax,"ESCALATE",IF(AX326&gt;=powerSameN,"J","I")),
C326="J",
IF(AY326&gt;=phaseMax,"ESCALATE",IF(OR(AX326&gt;=duoEqualN,BB326&gt;=duoMax),"K","J")),
C326="K",
IF(AY326&gt;=phaseMax,"ESCALATE",IF(AX326&gt;=binoSameN,IF(XLOOKUP($B326,Derived_Variables!$A:$A,Derived_Variables!$AJ:$AJ,FALSE)=TRUE,"P","END"),"K")),
C326="P",
IF(AY326&gt;=phaseMax,"ESCALATE",IF(OR(I326="READABLE",I326="SAME"),"Q","P")),
C326="Q",
IF(AY326&gt;=phaseMax,"ESCALATE",IF(OR(I326="READABLE",I326="SAME"),"R","Q")),
C326="R",
IF(AY326&gt;=phaseMax,"ESCALATE",IF(OR(I326=nearTarget,I326="SAME"),"END","R")),
TRUE,"END"
)))</f>
        <v/>
      </c>
      <c r="BD326" s="28" t="b">
        <f t="shared" si="19"/>
        <v>0</v>
      </c>
    </row>
    <row r="327" ht="15.75" customHeight="1">
      <c r="A327" s="28">
        <f t="shared" si="3"/>
        <v>326</v>
      </c>
      <c r="B327" s="28">
        <f t="shared" si="4"/>
        <v>6</v>
      </c>
      <c r="C327" s="28" t="str">
        <f t="shared" si="5"/>
        <v/>
      </c>
      <c r="D327" s="28" t="str">
        <f t="array" ref="D327">IF($I326="","",XLOOKUP(C327,FSM_State_Map!A:A,FSM_State_Map!B:B,""))</f>
        <v/>
      </c>
      <c r="E327" s="28" t="str">
        <f t="array" ref="E327">IF($I326="","",XLOOKUP(C327,FSM_State_Map!A:A,FSM_State_Map!C:C,""))</f>
        <v/>
      </c>
      <c r="F327" s="28" t="str">
        <f t="array" ref="F327">IF($I326="","",XLOOKUP(E327,Phase_UI_Map!A:A,Phase_UI_Map!B:B,""))</f>
        <v/>
      </c>
      <c r="G327" s="28" t="str">
        <f t="array" ref="G327">IF($I326="","",XLOOKUP(E327,Phase_UI_Map!A:A,Phase_UI_Map!C:C,""))</f>
        <v/>
      </c>
      <c r="H327" s="28" t="str">
        <f t="array" ref="H327">IF($I326="","",XLOOKUP(E327,Phase_UI_Map!A:A,Phase_UI_Map!D:D,""))</f>
        <v/>
      </c>
      <c r="I327" s="29"/>
      <c r="J327" s="28" t="str">
        <f>IFERROR(__xludf.DUMMYFUNCTION("IF($I326="""","""",IFERROR(INDEX(FILTER(Response_Lists!$B:$B,Response_Lists!$A:$A=$H327),1),""""))"),"")</f>
        <v/>
      </c>
      <c r="K327" s="28" t="str">
        <f>IFERROR(__xludf.DUMMYFUNCTION("IF($I326="""","""",IFERROR(INDEX(FILTER(Response_Lists!$B:$B,Response_Lists!$A:$A=$H327),2),""""))"),"")</f>
        <v/>
      </c>
      <c r="L327" s="28" t="str">
        <f>IFERROR(__xludf.DUMMYFUNCTION("IF($I326="""","""",IFERROR(INDEX(FILTER(Response_Lists!$B:$B,Response_Lists!$A:$A=$H327),3),""""))"),"")</f>
        <v/>
      </c>
      <c r="M327" s="28" t="str">
        <f>IFERROR(__xludf.DUMMYFUNCTION("IF($I326="""","""",IFERROR(INDEX(FILTER(Response_Lists!$B:$B,Response_Lists!$A:$A=$H327),4),""""))"),"")</f>
        <v/>
      </c>
      <c r="N327" s="28" t="str">
        <f>IFERROR(__xludf.DUMMYFUNCTION("IF($I326="""","""",IFERROR(INDEX(FILTER(Response_Lists!$B:$B,Response_Lists!$A:$A=$H327),5),""""))"),"")</f>
        <v/>
      </c>
      <c r="O327" s="28" t="str">
        <f>IFERROR(__xludf.DUMMYFUNCTION("IF($I326="""","""",IFERROR(INDEX(FILTER(Response_Lists!$B:$B,Response_Lists!$A:$A=$H327),6),""""))"),"")</f>
        <v/>
      </c>
      <c r="P327" s="28" t="str">
        <f t="shared" si="6"/>
        <v/>
      </c>
      <c r="Q327" s="28" t="str">
        <f t="array" ref="Q327">IF($I326="","",XLOOKUP(C327,FSM_State_Map!A:A,FSM_State_Map!D:D,""))</f>
        <v/>
      </c>
      <c r="R327" s="28" t="str">
        <f t="shared" si="7"/>
        <v/>
      </c>
      <c r="S327" s="28" t="str">
        <f t="array" ref="S327">IF($I326="","",
IF(
  AND(C327="B",C326&lt;&gt;"B"),
  XLOOKUP($B327,Derived_Variables!$A:$A,Derived_Variables!$K:$K,0)
  + XLOOKUP($B327,Derived_Variables!$A:$A,Derived_Variables!$AE:$AE,0),
  S326+AM326
))</f>
        <v/>
      </c>
      <c r="T327" s="28" t="str">
        <f t="shared" ref="T327:U327" si="664">IF($I326="","",T326+AN326)</f>
        <v/>
      </c>
      <c r="U327" s="28" t="str">
        <f t="shared" si="664"/>
        <v/>
      </c>
      <c r="V327" s="28" t="str">
        <f t="array" ref="V327">IF($I326="","",
IF(
  AND(C327="D",C326&lt;&gt;"D"),
  XLOOKUP($B327,Derived_Variables!$A:$A,Derived_Variables!$N:$N,0)
  + XLOOKUP($B327,Derived_Variables!$A:$A,Derived_Variables!$AE:$AE,0),
  V326+AP326
))</f>
        <v/>
      </c>
      <c r="W327" s="28" t="str">
        <f t="shared" ref="W327:X327" si="665">IF($I326="","",W326+AQ326)</f>
        <v/>
      </c>
      <c r="X327" s="28" t="str">
        <f t="shared" si="665"/>
        <v/>
      </c>
      <c r="Y327" s="28" t="str">
        <f t="array" ref="Y327">IF($I326="","",IF(AND(C327="P",C326&lt;&gt;"P"),IFERROR(XLOOKUP($B327,Lenso_Input!$A:$A,Lenso_Input!$E:$E,0),0),Y326+AS326))</f>
        <v/>
      </c>
      <c r="Z327" s="28" t="str">
        <f t="array" ref="Z327">IF($I326="","",IF(AND(C327="Q",C326&lt;&gt;"Q"),IFERROR(XLOOKUP($B327,Lenso_Input!$A:$A,Lenso_Input!$I:$I,0),0),Z326+AT326))</f>
        <v/>
      </c>
      <c r="AA327" s="28" t="str">
        <f t="array" ref="AA327">IF($I326="","",IF(XLOOKUP($B327,Derived_Variables!$A:$A,Derived_Variables!$R:$R,"6/6_target")="6/6_target","20_20_20","40_30_25"))</f>
        <v/>
      </c>
      <c r="AB327" s="28" t="str">
        <f t="array" ref="AB327">IF($I326="","",XLOOKUP(LOWER(XLOOKUP($B327,Derived_Variables!$A:$A,Derived_Variables!$T:$T,"Standard"))&amp;"_sph_step",Calibration!$B:$B,Calibration!$C:$C,0.25))</f>
        <v/>
      </c>
      <c r="AC327" s="28" t="str">
        <f t="array" ref="AC327">IF($I326="","",XLOOKUP(LOWER(XLOOKUP($B327,Derived_Variables!$A:$A,Derived_Variables!$T:$T,"Standard"))&amp;"_cyl_step",Calibration!$B:$B,Calibration!$C:$C,0.25))</f>
        <v/>
      </c>
      <c r="AD327" s="28" t="str">
        <f t="array" ref="AD327">IF($I326="","",IF(OR(C327="E",C327="H"),LET(startStep,XLOOKUP("axis_start_step",Calibration!$B:$B,Calibration!$C:$C,5),step1,XLOOKUP("axis_reversal_step_1",Calibration!$B:$B,Calibration!$C:$C,3),step2,XLOOKUP("axis_reversal_step_2",Calibration!$B:$B,Calibration!$C:$C,1),IF(OR(C326&lt;&gt;C327,AZ327="",AZ327="SAME",AZ327="CANT_TELL",I327="",I327="SAME",I327="CANT_TELL"),startStep,IF(OR(AND(AZ327="BETTER_1",I327="BETTER_2"),AND(AZ327="BETTER_2",I327="BETTER_1")),IF(AD326&gt;step1,step1,step2),AD326))),0))</f>
        <v/>
      </c>
      <c r="AE327" s="28" t="str">
        <f t="array" ref="AE327">IF($I326="","",XLOOKUP($B327,Derived_Variables!$A:$A,Derived_Variables!$AD:$AD,"No_Fog"))</f>
        <v/>
      </c>
      <c r="AF327" s="28" t="str">
        <f t="array" ref="AF327">IF($I326="","",XLOOKUP($B327,Derived_Variables!$A:$A,Derived_Variables!$AE:$AE,0))</f>
        <v/>
      </c>
      <c r="AG327" s="28" t="str">
        <f t="array" ref="AG327">IF($I326="","",XLOOKUP($B327,Derived_Variables!$A:$A,Derived_Variables!$AF:$AF,""))</f>
        <v/>
      </c>
      <c r="AH327" s="28" t="str">
        <f t="array" ref="AH327">IF($I326="","",XLOOKUP($B327,Derived_Variables!$A:$A,Derived_Variables!$AG:$AG,""))</f>
        <v/>
      </c>
      <c r="AI327" s="28" t="str">
        <f t="array" ref="AI327">IF($I326="","",XLOOKUP($B327,Derived_Variables!$A:$A,Derived_Variables!$AC:$AC,"Medium"))</f>
        <v/>
      </c>
      <c r="AJ327" s="28" t="str">
        <f t="array" ref="AJ327">IF($I326="","",XLOOKUP($B327,Derived_Variables!$A:$A,Derived_Variables!$Y:$Y,FALSE))</f>
        <v/>
      </c>
      <c r="AK327" s="28" t="str">
        <f t="array" ref="AK327">IF($I326="","",XLOOKUP($B327,Derived_Variables!$A:$A,Derived_Variables!$AA:$AA,"Normal"))</f>
        <v/>
      </c>
      <c r="AL327" s="28" t="str">
        <f t="array" ref="AL327">IF($I326="","",XLOOKUP($B327,Derived_Variables!$A:$A,Derived_Variables!$AB:$AB,"Normal"))</f>
        <v/>
      </c>
      <c r="AM327" s="28" t="str">
        <f t="array" ref="AM327">IF($I327="","",IFS(C327="B",IF(OR(I327="NOT_READABLE",I327="BLURRY"),-AB327,0),C327="G",IFS(I327="RED_CLEARER",XLOOKUP("duochrome_red_step",Calibration!$B:$B,Calibration!$C:$C,-0.25),I327="GREEN_CLEARER",XLOOKUP("duochrome_green_step",Calibration!$B:$B,Calibration!$C:$C,0.25),I327="EQUAL",IF(XLOOKUP($B327,Derived_Variables!$A:$A,Derived_Variables!$S:$S,"Neutral")="Undercorrect",XLOOKUP("undercorrect_step",Calibration!$B:$B,Calibration!$C:$C,0.25),IF(XLOOKUP($B327,Derived_Variables!$A:$A,Derived_Variables!$S:$S,"Neutral")="Overcorrect",-XLOOKUP("overcorrect_step",Calibration!$B:$B,Calibration!$C:$C,0.25),0)),TRUE,0),C327="K",IF(I327="TOP_CLEARER",XLOOKUP("bino_balance_step",Calibration!$B:$B,Calibration!$C:$C,0.25),0),TRUE,0))</f>
        <v/>
      </c>
      <c r="AN327" s="28" t="str">
        <f t="shared" si="10"/>
        <v/>
      </c>
      <c r="AO327" s="28" t="str">
        <f t="shared" si="11"/>
        <v/>
      </c>
      <c r="AP327" s="28" t="str">
        <f t="array" ref="AP327">IF($I327="","",IFS(C327="D",IF(OR(I327="NOT_READABLE",I327="BLURRY"),-AB327,0),C327="J",IFS(I327="RED_CLEARER",XLOOKUP("duochrome_red_step",Calibration!$B:$B,Calibration!$C:$C,-0.25),I327="GREEN_CLEARER",XLOOKUP("duochrome_green_step",Calibration!$B:$B,Calibration!$C:$C,0.25),I327="EQUAL",IF(XLOOKUP($B327,Derived_Variables!$A:$A,Derived_Variables!$S:$S,"Neutral")="Undercorrect",XLOOKUP("undercorrect_step",Calibration!$B:$B,Calibration!$C:$C,0.25),IF(XLOOKUP($B327,Derived_Variables!$A:$A,Derived_Variables!$S:$S,"Neutral")="Overcorrect",-XLOOKUP("overcorrect_step",Calibration!$B:$B,Calibration!$C:$C,0.25),0)),TRUE,0),C327="K",IF(I327="BOTTOM_CLEARER",XLOOKUP("bino_balance_step",Calibration!$B:$B,Calibration!$C:$C,0.25),0),TRUE,0))</f>
        <v/>
      </c>
      <c r="AQ327" s="28" t="str">
        <f t="shared" si="12"/>
        <v/>
      </c>
      <c r="AR327" s="28" t="str">
        <f t="shared" si="13"/>
        <v/>
      </c>
      <c r="AS327" s="28" t="str">
        <f t="array" ref="AS327">IF($I327="","",IF(C327="P",IF(OR(I327="NOT_READABLE",I327="BLURRY"),XLOOKUP("near_add_step",Calibration!$B:$B,Calibration!$C:$C,0.25),0),IF(C327="R",IF(I327="NOT_CLEAR",XLOOKUP("near_add_step",Calibration!$B:$B,Calibration!$C:$C,0.25),0),0)))</f>
        <v/>
      </c>
      <c r="AT327" s="28" t="str">
        <f t="array" ref="AT327">IF($I327="","",IF(C327="Q",IF(OR(I327="NOT_READABLE",I327="BLURRY"),XLOOKUP("near_add_step",Calibration!$B:$B,Calibration!$C:$C,0.25),0),IF(C327="R",IF(I327="NOT_CLEAR",XLOOKUP("near_add_step",Calibration!$B:$B,Calibration!$C:$C,0.25),0),0)))</f>
        <v/>
      </c>
      <c r="AU327" s="28" t="str">
        <f t="array" ref="AU327">IF($I327="","",IF(G327="SNELLEN_FEET",IF(I327="READABLE",IFERROR(XLOOKUP(XLOOKUP(R327,Chart_Scale_Distance!B:B,Chart_Scale_Distance!A:A)+1,Chart_Scale_Distance!A:A,Chart_Scale_Distance!B:B),R327),R327),R327))</f>
        <v/>
      </c>
      <c r="AV327" s="28" t="str">
        <f t="array" ref="AV327">IF($I326="","",IFERROR(XLOOKUP(R327,Chart_Scale_Distance!$B:$B,Chart_Scale_Distance!$A:$A,""),""))</f>
        <v/>
      </c>
      <c r="AW327" s="28" t="str">
        <f t="array" ref="AW327">IF($I326="","",IFERROR(XLOOKUP(AA327,Chart_Scale_Distance!$B:$B,Chart_Scale_Distance!$A:$A,""),""))</f>
        <v/>
      </c>
      <c r="AX327" s="28" t="str">
        <f t="shared" si="14"/>
        <v/>
      </c>
      <c r="AY327" s="28" t="str">
        <f t="shared" si="15"/>
        <v/>
      </c>
      <c r="AZ327" s="28" t="str">
        <f t="shared" si="16"/>
        <v/>
      </c>
      <c r="BA327" s="28" t="str">
        <f t="shared" si="17"/>
        <v/>
      </c>
      <c r="BB327" s="28" t="str">
        <f t="shared" si="18"/>
        <v/>
      </c>
      <c r="BC327" s="28" t="str">
        <f t="array" ref="BC327">IF($I327="","",LET(
conf,AI327,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duoMax,XLOOKUP($B327,Derived_Variables!$A:$A,Derived_Variables!$AI:$AI,4),
axisTol,XLOOKUP($B327,Derived_Variables!$A:$A,Derived_Variables!$W:$W,1),
maxStart,XLOOKUP($B327,Derived_Variables!$A:$A,Derived_Variables!$U:$U,1.25),
maxAR,XLOOKUP($B327,Derived_Variables!$A:$A,Derived_Variables!$V:$V,3),
anom,XLOOKUP($B327,Derived_Variables!$A:$A,Derived_Variables!$Z:$Z,FALSE),
reStart,XLOOKUP($B327,Derived_Variables!$A:$A,Derived_Variables!$K:$K,0),
leStart,XLOOKUP($B327,Derived_Variables!$A:$A,Derived_Variables!$N:$N,0),
reAR,XLOOKUP($B327,AR_Input!$A:$A,AR_Input!$B:$B,reStart),
leAR,XLOOKUP($B327,AR_Input!$A:$A,AR_Input!$E:$E,leStart),
reEsc,AND(anom,OR(ABS((S327+AM327)-reStart)&gt;maxStart,ABS((S327+AM327)-reAR)&gt;maxAR)),
leEsc,AND(anom,OR(ABS((V327+AP327)-leStart)&gt;maxStart,ABS((V327+AP327)-leAR)&gt;maxAR)),
phaseMax,IFS(
 AK327="Fast",
   IFS(
     OR(C327="B",C327="D"),XLOOKUP("timeout_coarse_fast",Calibration!$B:$B,Calibration!$C:$C,24),
     OR(C327="E",C327="F",C327="H",C327="I"),XLOOKUP("timeout_jcc_fast",Calibration!$B:$B,Calibration!$C:$C,10),
     OR(C327="G",C327="J"),XLOOKUP("timeout_duochrome_fast",Calibration!$B:$B,Calibration!$C:$C,8),
     C327="K",XLOOKUP("timeout_bino_fast",Calibration!$B:$B,Calibration!$C:$C,10),
     OR(C327="P",C327="Q",C327="R"),XLOOKUP("timeout_near_fast",Calibration!$B:$B,Calibration!$C:$C,16),
     TRUE,XLOOKUP("timeout_coarse_fast",Calibration!$B:$B,Calibration!$C:$C,24)
   ),
 AK327="Normal",
   IFS(
     OR(C327="B",C327="D"),XLOOKUP("timeout_coarse_normal",Calibration!$B:$B,Calibration!$C:$C,36),
     OR(C327="E",C327="F",C327="H",C327="I"),XLOOKUP("timeout_jcc_normal",Calibration!$B:$B,Calibration!$C:$C,14),
     OR(C327="G",C327="J"),XLOOKUP("timeout_duochrome_normal",Calibration!$B:$B,Calibration!$C:$C,10),
     C327="K",XLOOKUP("timeout_bino_normal",Calibration!$B:$B,Calibration!$C:$C,14),
     OR(C327="P",C327="Q",C327="R"),XLOOKUP("timeout_near_normal",Calibration!$B:$B,Calibration!$C:$C,22),
     TRUE,XLOOKUP("timeout_coarse_normal",Calibration!$B:$B,Calibration!$C:$C,36)
   ),
 TRUE,
   IFS(
     OR(C327="B",C327="D"),XLOOKUP("timeout_coarse_slow",Calibration!$B:$B,Calibration!$C:$C,48),
     OR(C327="E",C327="F",C327="H",C327="I"),XLOOKUP("timeout_jcc_slow",Calibration!$B:$B,Calibration!$C:$C,18),
     OR(C327="G",C327="J"),XLOOKUP("timeout_duochrome_slow",Calibration!$B:$B,Calibration!$C:$C,12),
     C327="K",XLOOKUP("timeout_bino_slow",Calibration!$B:$B,Calibration!$C:$C,18),
     OR(C327="P",C327="Q",C327="R"),XLOOKUP("timeout_near_slow",Calibration!$B:$B,Calibration!$C:$C,28),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AJ327=TRUE,"ESCALATE",
C327="A",
IF(OR(I327="NOT_READABLE",I327="BLURRY",AND(R327="20_20_20",I327="READABLE")),"B","A"),
C327="B",
IF(reEsc,"ESCALATE",IF(AY327&gt;=phaseMax,"ESCALATE",IF(AND(AV327&gt;=AW327,I327="READABLE"),"E","B"))),
C327="E",
IF(AY327&gt;=phaseMax,"ESCALATE",IF(OR(I327="SAME",I327="CANT_TELL",AD327&lt;axisTol),"F","E")),
C327="F",
IF(AY327&gt;=phaseMax,"ESCALATE",IF(AX327&gt;=powerSameN,"G","F")),
C327="G",
IF(AY327&gt;=phaseMax,"ESCALATE",IF(OR(AX327&gt;=duoEqualN,BB327&gt;=duoMax),"D","G")),
C327="D",
IF(leEsc,"ESCALATE",IF(AY327&gt;=phaseMax,"ESCALATE",IF(AND(AV327&gt;=AW327,I327="READABLE"),"H","D"))),
C327="H",
IF(AY327&gt;=phaseMax,"ESCALATE",IF(OR(I327="SAME",I327="CANT_TELL",AD327&lt;axisTol),"I","H")),
C327="I",
IF(AY327&gt;=phaseMax,"ESCALATE",IF(AX327&gt;=powerSameN,"J","I")),
C327="J",
IF(AY327&gt;=phaseMax,"ESCALATE",IF(OR(AX327&gt;=duoEqualN,BB327&gt;=duoMax),"K","J")),
C327="K",
IF(AY327&gt;=phaseMax,"ESCALATE",IF(AX327&gt;=binoSameN,IF(XLOOKUP($B327,Derived_Variables!$A:$A,Derived_Variables!$AJ:$AJ,FALSE)=TRUE,"P","END"),"K")),
C327="P",
IF(AY327&gt;=phaseMax,"ESCALATE",IF(OR(I327="READABLE",I327="SAME"),"Q","P")),
C327="Q",
IF(AY327&gt;=phaseMax,"ESCALATE",IF(OR(I327="READABLE",I327="SAME"),"R","Q")),
C327="R",
IF(AY327&gt;=phaseMax,"ESCALATE",IF(OR(I327=nearTarget,I327="SAME"),"END","R")),
TRUE,"END"
)))</f>
        <v/>
      </c>
      <c r="BD327" s="28" t="b">
        <f t="shared" si="19"/>
        <v>0</v>
      </c>
    </row>
    <row r="328" ht="15.75" customHeight="1">
      <c r="A328" s="28">
        <f t="shared" si="3"/>
        <v>327</v>
      </c>
      <c r="B328" s="28">
        <f t="shared" si="4"/>
        <v>6</v>
      </c>
      <c r="C328" s="28" t="str">
        <f t="shared" si="5"/>
        <v/>
      </c>
      <c r="D328" s="28" t="str">
        <f t="array" ref="D328">IF($I327="","",XLOOKUP(C328,FSM_State_Map!A:A,FSM_State_Map!B:B,""))</f>
        <v/>
      </c>
      <c r="E328" s="28" t="str">
        <f t="array" ref="E328">IF($I327="","",XLOOKUP(C328,FSM_State_Map!A:A,FSM_State_Map!C:C,""))</f>
        <v/>
      </c>
      <c r="F328" s="28" t="str">
        <f t="array" ref="F328">IF($I327="","",XLOOKUP(E328,Phase_UI_Map!A:A,Phase_UI_Map!B:B,""))</f>
        <v/>
      </c>
      <c r="G328" s="28" t="str">
        <f t="array" ref="G328">IF($I327="","",XLOOKUP(E328,Phase_UI_Map!A:A,Phase_UI_Map!C:C,""))</f>
        <v/>
      </c>
      <c r="H328" s="28" t="str">
        <f t="array" ref="H328">IF($I327="","",XLOOKUP(E328,Phase_UI_Map!A:A,Phase_UI_Map!D:D,""))</f>
        <v/>
      </c>
      <c r="I328" s="29"/>
      <c r="J328" s="28" t="str">
        <f>IFERROR(__xludf.DUMMYFUNCTION("IF($I327="""","""",IFERROR(INDEX(FILTER(Response_Lists!$B:$B,Response_Lists!$A:$A=$H328),1),""""))"),"")</f>
        <v/>
      </c>
      <c r="K328" s="28" t="str">
        <f>IFERROR(__xludf.DUMMYFUNCTION("IF($I327="""","""",IFERROR(INDEX(FILTER(Response_Lists!$B:$B,Response_Lists!$A:$A=$H328),2),""""))"),"")</f>
        <v/>
      </c>
      <c r="L328" s="28" t="str">
        <f>IFERROR(__xludf.DUMMYFUNCTION("IF($I327="""","""",IFERROR(INDEX(FILTER(Response_Lists!$B:$B,Response_Lists!$A:$A=$H328),3),""""))"),"")</f>
        <v/>
      </c>
      <c r="M328" s="28" t="str">
        <f>IFERROR(__xludf.DUMMYFUNCTION("IF($I327="""","""",IFERROR(INDEX(FILTER(Response_Lists!$B:$B,Response_Lists!$A:$A=$H328),4),""""))"),"")</f>
        <v/>
      </c>
      <c r="N328" s="28" t="str">
        <f>IFERROR(__xludf.DUMMYFUNCTION("IF($I327="""","""",IFERROR(INDEX(FILTER(Response_Lists!$B:$B,Response_Lists!$A:$A=$H328),5),""""))"),"")</f>
        <v/>
      </c>
      <c r="O328" s="28" t="str">
        <f>IFERROR(__xludf.DUMMYFUNCTION("IF($I327="""","""",IFERROR(INDEX(FILTER(Response_Lists!$B:$B,Response_Lists!$A:$A=$H328),6),""""))"),"")</f>
        <v/>
      </c>
      <c r="P328" s="28" t="str">
        <f t="shared" si="6"/>
        <v/>
      </c>
      <c r="Q328" s="28" t="str">
        <f t="array" ref="Q328">IF($I327="","",XLOOKUP(C328,FSM_State_Map!A:A,FSM_State_Map!D:D,""))</f>
        <v/>
      </c>
      <c r="R328" s="28" t="str">
        <f t="shared" si="7"/>
        <v/>
      </c>
      <c r="S328" s="28" t="str">
        <f t="array" ref="S328">IF($I327="","",
IF(
  AND(C328="B",C327&lt;&gt;"B"),
  XLOOKUP($B328,Derived_Variables!$A:$A,Derived_Variables!$K:$K,0)
  + XLOOKUP($B328,Derived_Variables!$A:$A,Derived_Variables!$AE:$AE,0),
  S327+AM327
))</f>
        <v/>
      </c>
      <c r="T328" s="28" t="str">
        <f t="shared" ref="T328:U328" si="666">IF($I327="","",T327+AN327)</f>
        <v/>
      </c>
      <c r="U328" s="28" t="str">
        <f t="shared" si="666"/>
        <v/>
      </c>
      <c r="V328" s="28" t="str">
        <f t="array" ref="V328">IF($I327="","",
IF(
  AND(C328="D",C327&lt;&gt;"D"),
  XLOOKUP($B328,Derived_Variables!$A:$A,Derived_Variables!$N:$N,0)
  + XLOOKUP($B328,Derived_Variables!$A:$A,Derived_Variables!$AE:$AE,0),
  V327+AP327
))</f>
        <v/>
      </c>
      <c r="W328" s="28" t="str">
        <f t="shared" ref="W328:X328" si="667">IF($I327="","",W327+AQ327)</f>
        <v/>
      </c>
      <c r="X328" s="28" t="str">
        <f t="shared" si="667"/>
        <v/>
      </c>
      <c r="Y328" s="28" t="str">
        <f t="array" ref="Y328">IF($I327="","",IF(AND(C328="P",C327&lt;&gt;"P"),IFERROR(XLOOKUP($B328,Lenso_Input!$A:$A,Lenso_Input!$E:$E,0),0),Y327+AS327))</f>
        <v/>
      </c>
      <c r="Z328" s="28" t="str">
        <f t="array" ref="Z328">IF($I327="","",IF(AND(C328="Q",C327&lt;&gt;"Q"),IFERROR(XLOOKUP($B328,Lenso_Input!$A:$A,Lenso_Input!$I:$I,0),0),Z327+AT327))</f>
        <v/>
      </c>
      <c r="AA328" s="28" t="str">
        <f t="array" ref="AA328">IF($I327="","",IF(XLOOKUP($B328,Derived_Variables!$A:$A,Derived_Variables!$R:$R,"6/6_target")="6/6_target","20_20_20","40_30_25"))</f>
        <v/>
      </c>
      <c r="AB328" s="28" t="str">
        <f t="array" ref="AB328">IF($I327="","",XLOOKUP(LOWER(XLOOKUP($B328,Derived_Variables!$A:$A,Derived_Variables!$T:$T,"Standard"))&amp;"_sph_step",Calibration!$B:$B,Calibration!$C:$C,0.25))</f>
        <v/>
      </c>
      <c r="AC328" s="28" t="str">
        <f t="array" ref="AC328">IF($I327="","",XLOOKUP(LOWER(XLOOKUP($B328,Derived_Variables!$A:$A,Derived_Variables!$T:$T,"Standard"))&amp;"_cyl_step",Calibration!$B:$B,Calibration!$C:$C,0.25))</f>
        <v/>
      </c>
      <c r="AD328" s="28" t="str">
        <f t="array" ref="AD328">IF($I327="","",IF(OR(C328="E",C328="H"),LET(startStep,XLOOKUP("axis_start_step",Calibration!$B:$B,Calibration!$C:$C,5),step1,XLOOKUP("axis_reversal_step_1",Calibration!$B:$B,Calibration!$C:$C,3),step2,XLOOKUP("axis_reversal_step_2",Calibration!$B:$B,Calibration!$C:$C,1),IF(OR(C327&lt;&gt;C328,AZ328="",AZ328="SAME",AZ328="CANT_TELL",I328="",I328="SAME",I328="CANT_TELL"),startStep,IF(OR(AND(AZ328="BETTER_1",I328="BETTER_2"),AND(AZ328="BETTER_2",I328="BETTER_1")),IF(AD327&gt;step1,step1,step2),AD327))),0))</f>
        <v/>
      </c>
      <c r="AE328" s="28" t="str">
        <f t="array" ref="AE328">IF($I327="","",XLOOKUP($B328,Derived_Variables!$A:$A,Derived_Variables!$AD:$AD,"No_Fog"))</f>
        <v/>
      </c>
      <c r="AF328" s="28" t="str">
        <f t="array" ref="AF328">IF($I327="","",XLOOKUP($B328,Derived_Variables!$A:$A,Derived_Variables!$AE:$AE,0))</f>
        <v/>
      </c>
      <c r="AG328" s="28" t="str">
        <f t="array" ref="AG328">IF($I327="","",XLOOKUP($B328,Derived_Variables!$A:$A,Derived_Variables!$AF:$AF,""))</f>
        <v/>
      </c>
      <c r="AH328" s="28" t="str">
        <f t="array" ref="AH328">IF($I327="","",XLOOKUP($B328,Derived_Variables!$A:$A,Derived_Variables!$AG:$AG,""))</f>
        <v/>
      </c>
      <c r="AI328" s="28" t="str">
        <f t="array" ref="AI328">IF($I327="","",XLOOKUP($B328,Derived_Variables!$A:$A,Derived_Variables!$AC:$AC,"Medium"))</f>
        <v/>
      </c>
      <c r="AJ328" s="28" t="str">
        <f t="array" ref="AJ328">IF($I327="","",XLOOKUP($B328,Derived_Variables!$A:$A,Derived_Variables!$Y:$Y,FALSE))</f>
        <v/>
      </c>
      <c r="AK328" s="28" t="str">
        <f t="array" ref="AK328">IF($I327="","",XLOOKUP($B328,Derived_Variables!$A:$A,Derived_Variables!$AA:$AA,"Normal"))</f>
        <v/>
      </c>
      <c r="AL328" s="28" t="str">
        <f t="array" ref="AL328">IF($I327="","",XLOOKUP($B328,Derived_Variables!$A:$A,Derived_Variables!$AB:$AB,"Normal"))</f>
        <v/>
      </c>
      <c r="AM328" s="28" t="str">
        <f t="array" ref="AM328">IF($I328="","",IFS(C328="B",IF(OR(I328="NOT_READABLE",I328="BLURRY"),-AB328,0),C328="G",IFS(I328="RED_CLEARER",XLOOKUP("duochrome_red_step",Calibration!$B:$B,Calibration!$C:$C,-0.25),I328="GREEN_CLEARER",XLOOKUP("duochrome_green_step",Calibration!$B:$B,Calibration!$C:$C,0.25),I328="EQUAL",IF(XLOOKUP($B328,Derived_Variables!$A:$A,Derived_Variables!$S:$S,"Neutral")="Undercorrect",XLOOKUP("undercorrect_step",Calibration!$B:$B,Calibration!$C:$C,0.25),IF(XLOOKUP($B328,Derived_Variables!$A:$A,Derived_Variables!$S:$S,"Neutral")="Overcorrect",-XLOOKUP("overcorrect_step",Calibration!$B:$B,Calibration!$C:$C,0.25),0)),TRUE,0),C328="K",IF(I328="TOP_CLEARER",XLOOKUP("bino_balance_step",Calibration!$B:$B,Calibration!$C:$C,0.25),0),TRUE,0))</f>
        <v/>
      </c>
      <c r="AN328" s="28" t="str">
        <f t="shared" si="10"/>
        <v/>
      </c>
      <c r="AO328" s="28" t="str">
        <f t="shared" si="11"/>
        <v/>
      </c>
      <c r="AP328" s="28" t="str">
        <f t="array" ref="AP328">IF($I328="","",IFS(C328="D",IF(OR(I328="NOT_READABLE",I328="BLURRY"),-AB328,0),C328="J",IFS(I328="RED_CLEARER",XLOOKUP("duochrome_red_step",Calibration!$B:$B,Calibration!$C:$C,-0.25),I328="GREEN_CLEARER",XLOOKUP("duochrome_green_step",Calibration!$B:$B,Calibration!$C:$C,0.25),I328="EQUAL",IF(XLOOKUP($B328,Derived_Variables!$A:$A,Derived_Variables!$S:$S,"Neutral")="Undercorrect",XLOOKUP("undercorrect_step",Calibration!$B:$B,Calibration!$C:$C,0.25),IF(XLOOKUP($B328,Derived_Variables!$A:$A,Derived_Variables!$S:$S,"Neutral")="Overcorrect",-XLOOKUP("overcorrect_step",Calibration!$B:$B,Calibration!$C:$C,0.25),0)),TRUE,0),C328="K",IF(I328="BOTTOM_CLEARER",XLOOKUP("bino_balance_step",Calibration!$B:$B,Calibration!$C:$C,0.25),0),TRUE,0))</f>
        <v/>
      </c>
      <c r="AQ328" s="28" t="str">
        <f t="shared" si="12"/>
        <v/>
      </c>
      <c r="AR328" s="28" t="str">
        <f t="shared" si="13"/>
        <v/>
      </c>
      <c r="AS328" s="28" t="str">
        <f t="array" ref="AS328">IF($I328="","",IF(C328="P",IF(OR(I328="NOT_READABLE",I328="BLURRY"),XLOOKUP("near_add_step",Calibration!$B:$B,Calibration!$C:$C,0.25),0),IF(C328="R",IF(I328="NOT_CLEAR",XLOOKUP("near_add_step",Calibration!$B:$B,Calibration!$C:$C,0.25),0),0)))</f>
        <v/>
      </c>
      <c r="AT328" s="28" t="str">
        <f t="array" ref="AT328">IF($I328="","",IF(C328="Q",IF(OR(I328="NOT_READABLE",I328="BLURRY"),XLOOKUP("near_add_step",Calibration!$B:$B,Calibration!$C:$C,0.25),0),IF(C328="R",IF(I328="NOT_CLEAR",XLOOKUP("near_add_step",Calibration!$B:$B,Calibration!$C:$C,0.25),0),0)))</f>
        <v/>
      </c>
      <c r="AU328" s="28" t="str">
        <f t="array" ref="AU328">IF($I328="","",IF(G328="SNELLEN_FEET",IF(I328="READABLE",IFERROR(XLOOKUP(XLOOKUP(R328,Chart_Scale_Distance!B:B,Chart_Scale_Distance!A:A)+1,Chart_Scale_Distance!A:A,Chart_Scale_Distance!B:B),R328),R328),R328))</f>
        <v/>
      </c>
      <c r="AV328" s="28" t="str">
        <f t="array" ref="AV328">IF($I327="","",IFERROR(XLOOKUP(R328,Chart_Scale_Distance!$B:$B,Chart_Scale_Distance!$A:$A,""),""))</f>
        <v/>
      </c>
      <c r="AW328" s="28" t="str">
        <f t="array" ref="AW328">IF($I327="","",IFERROR(XLOOKUP(AA328,Chart_Scale_Distance!$B:$B,Chart_Scale_Distance!$A:$A,""),""))</f>
        <v/>
      </c>
      <c r="AX328" s="28" t="str">
        <f t="shared" si="14"/>
        <v/>
      </c>
      <c r="AY328" s="28" t="str">
        <f t="shared" si="15"/>
        <v/>
      </c>
      <c r="AZ328" s="28" t="str">
        <f t="shared" si="16"/>
        <v/>
      </c>
      <c r="BA328" s="28" t="str">
        <f t="shared" si="17"/>
        <v/>
      </c>
      <c r="BB328" s="28" t="str">
        <f t="shared" si="18"/>
        <v/>
      </c>
      <c r="BC328" s="28" t="str">
        <f t="array" ref="BC328">IF($I328="","",LET(
conf,AI328,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duoMax,XLOOKUP($B328,Derived_Variables!$A:$A,Derived_Variables!$AI:$AI,4),
axisTol,XLOOKUP($B328,Derived_Variables!$A:$A,Derived_Variables!$W:$W,1),
maxStart,XLOOKUP($B328,Derived_Variables!$A:$A,Derived_Variables!$U:$U,1.25),
maxAR,XLOOKUP($B328,Derived_Variables!$A:$A,Derived_Variables!$V:$V,3),
anom,XLOOKUP($B328,Derived_Variables!$A:$A,Derived_Variables!$Z:$Z,FALSE),
reStart,XLOOKUP($B328,Derived_Variables!$A:$A,Derived_Variables!$K:$K,0),
leStart,XLOOKUP($B328,Derived_Variables!$A:$A,Derived_Variables!$N:$N,0),
reAR,XLOOKUP($B328,AR_Input!$A:$A,AR_Input!$B:$B,reStart),
leAR,XLOOKUP($B328,AR_Input!$A:$A,AR_Input!$E:$E,leStart),
reEsc,AND(anom,OR(ABS((S328+AM328)-reStart)&gt;maxStart,ABS((S328+AM328)-reAR)&gt;maxAR)),
leEsc,AND(anom,OR(ABS((V328+AP328)-leStart)&gt;maxStart,ABS((V328+AP328)-leAR)&gt;maxAR)),
phaseMax,IFS(
 AK328="Fast",
   IFS(
     OR(C328="B",C328="D"),XLOOKUP("timeout_coarse_fast",Calibration!$B:$B,Calibration!$C:$C,24),
     OR(C328="E",C328="F",C328="H",C328="I"),XLOOKUP("timeout_jcc_fast",Calibration!$B:$B,Calibration!$C:$C,10),
     OR(C328="G",C328="J"),XLOOKUP("timeout_duochrome_fast",Calibration!$B:$B,Calibration!$C:$C,8),
     C328="K",XLOOKUP("timeout_bino_fast",Calibration!$B:$B,Calibration!$C:$C,10),
     OR(C328="P",C328="Q",C328="R"),XLOOKUP("timeout_near_fast",Calibration!$B:$B,Calibration!$C:$C,16),
     TRUE,XLOOKUP("timeout_coarse_fast",Calibration!$B:$B,Calibration!$C:$C,24)
   ),
 AK328="Normal",
   IFS(
     OR(C328="B",C328="D"),XLOOKUP("timeout_coarse_normal",Calibration!$B:$B,Calibration!$C:$C,36),
     OR(C328="E",C328="F",C328="H",C328="I"),XLOOKUP("timeout_jcc_normal",Calibration!$B:$B,Calibration!$C:$C,14),
     OR(C328="G",C328="J"),XLOOKUP("timeout_duochrome_normal",Calibration!$B:$B,Calibration!$C:$C,10),
     C328="K",XLOOKUP("timeout_bino_normal",Calibration!$B:$B,Calibration!$C:$C,14),
     OR(C328="P",C328="Q",C328="R"),XLOOKUP("timeout_near_normal",Calibration!$B:$B,Calibration!$C:$C,22),
     TRUE,XLOOKUP("timeout_coarse_normal",Calibration!$B:$B,Calibration!$C:$C,36)
   ),
 TRUE,
   IFS(
     OR(C328="B",C328="D"),XLOOKUP("timeout_coarse_slow",Calibration!$B:$B,Calibration!$C:$C,48),
     OR(C328="E",C328="F",C328="H",C328="I"),XLOOKUP("timeout_jcc_slow",Calibration!$B:$B,Calibration!$C:$C,18),
     OR(C328="G",C328="J"),XLOOKUP("timeout_duochrome_slow",Calibration!$B:$B,Calibration!$C:$C,12),
     C328="K",XLOOKUP("timeout_bino_slow",Calibration!$B:$B,Calibration!$C:$C,18),
     OR(C328="P",C328="Q",C328="R"),XLOOKUP("timeout_near_slow",Calibration!$B:$B,Calibration!$C:$C,28),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AJ328=TRUE,"ESCALATE",
C328="A",
IF(OR(I328="NOT_READABLE",I328="BLURRY",AND(R328="20_20_20",I328="READABLE")),"B","A"),
C328="B",
IF(reEsc,"ESCALATE",IF(AY328&gt;=phaseMax,"ESCALATE",IF(AND(AV328&gt;=AW328,I328="READABLE"),"E","B"))),
C328="E",
IF(AY328&gt;=phaseMax,"ESCALATE",IF(OR(I328="SAME",I328="CANT_TELL",AD328&lt;axisTol),"F","E")),
C328="F",
IF(AY328&gt;=phaseMax,"ESCALATE",IF(AX328&gt;=powerSameN,"G","F")),
C328="G",
IF(AY328&gt;=phaseMax,"ESCALATE",IF(OR(AX328&gt;=duoEqualN,BB328&gt;=duoMax),"D","G")),
C328="D",
IF(leEsc,"ESCALATE",IF(AY328&gt;=phaseMax,"ESCALATE",IF(AND(AV328&gt;=AW328,I328="READABLE"),"H","D"))),
C328="H",
IF(AY328&gt;=phaseMax,"ESCALATE",IF(OR(I328="SAME",I328="CANT_TELL",AD328&lt;axisTol),"I","H")),
C328="I",
IF(AY328&gt;=phaseMax,"ESCALATE",IF(AX328&gt;=powerSameN,"J","I")),
C328="J",
IF(AY328&gt;=phaseMax,"ESCALATE",IF(OR(AX328&gt;=duoEqualN,BB328&gt;=duoMax),"K","J")),
C328="K",
IF(AY328&gt;=phaseMax,"ESCALATE",IF(AX328&gt;=binoSameN,IF(XLOOKUP($B328,Derived_Variables!$A:$A,Derived_Variables!$AJ:$AJ,FALSE)=TRUE,"P","END"),"K")),
C328="P",
IF(AY328&gt;=phaseMax,"ESCALATE",IF(OR(I328="READABLE",I328="SAME"),"Q","P")),
C328="Q",
IF(AY328&gt;=phaseMax,"ESCALATE",IF(OR(I328="READABLE",I328="SAME"),"R","Q")),
C328="R",
IF(AY328&gt;=phaseMax,"ESCALATE",IF(OR(I328=nearTarget,I328="SAME"),"END","R")),
TRUE,"END"
)))</f>
        <v/>
      </c>
      <c r="BD328" s="28" t="b">
        <f t="shared" si="19"/>
        <v>0</v>
      </c>
    </row>
    <row r="329" ht="15.75" customHeight="1">
      <c r="A329" s="28">
        <f t="shared" si="3"/>
        <v>328</v>
      </c>
      <c r="B329" s="28">
        <f t="shared" si="4"/>
        <v>6</v>
      </c>
      <c r="C329" s="28" t="str">
        <f t="shared" si="5"/>
        <v/>
      </c>
      <c r="D329" s="28" t="str">
        <f t="array" ref="D329">IF($I328="","",XLOOKUP(C329,FSM_State_Map!A:A,FSM_State_Map!B:B,""))</f>
        <v/>
      </c>
      <c r="E329" s="28" t="str">
        <f t="array" ref="E329">IF($I328="","",XLOOKUP(C329,FSM_State_Map!A:A,FSM_State_Map!C:C,""))</f>
        <v/>
      </c>
      <c r="F329" s="28" t="str">
        <f t="array" ref="F329">IF($I328="","",XLOOKUP(E329,Phase_UI_Map!A:A,Phase_UI_Map!B:B,""))</f>
        <v/>
      </c>
      <c r="G329" s="28" t="str">
        <f t="array" ref="G329">IF($I328="","",XLOOKUP(E329,Phase_UI_Map!A:A,Phase_UI_Map!C:C,""))</f>
        <v/>
      </c>
      <c r="H329" s="28" t="str">
        <f t="array" ref="H329">IF($I328="","",XLOOKUP(E329,Phase_UI_Map!A:A,Phase_UI_Map!D:D,""))</f>
        <v/>
      </c>
      <c r="I329" s="29"/>
      <c r="J329" s="28" t="str">
        <f>IFERROR(__xludf.DUMMYFUNCTION("IF($I328="""","""",IFERROR(INDEX(FILTER(Response_Lists!$B:$B,Response_Lists!$A:$A=$H329),1),""""))"),"")</f>
        <v/>
      </c>
      <c r="K329" s="28" t="str">
        <f>IFERROR(__xludf.DUMMYFUNCTION("IF($I328="""","""",IFERROR(INDEX(FILTER(Response_Lists!$B:$B,Response_Lists!$A:$A=$H329),2),""""))"),"")</f>
        <v/>
      </c>
      <c r="L329" s="28" t="str">
        <f>IFERROR(__xludf.DUMMYFUNCTION("IF($I328="""","""",IFERROR(INDEX(FILTER(Response_Lists!$B:$B,Response_Lists!$A:$A=$H329),3),""""))"),"")</f>
        <v/>
      </c>
      <c r="M329" s="28" t="str">
        <f>IFERROR(__xludf.DUMMYFUNCTION("IF($I328="""","""",IFERROR(INDEX(FILTER(Response_Lists!$B:$B,Response_Lists!$A:$A=$H329),4),""""))"),"")</f>
        <v/>
      </c>
      <c r="N329" s="28" t="str">
        <f>IFERROR(__xludf.DUMMYFUNCTION("IF($I328="""","""",IFERROR(INDEX(FILTER(Response_Lists!$B:$B,Response_Lists!$A:$A=$H329),5),""""))"),"")</f>
        <v/>
      </c>
      <c r="O329" s="28" t="str">
        <f>IFERROR(__xludf.DUMMYFUNCTION("IF($I328="""","""",IFERROR(INDEX(FILTER(Response_Lists!$B:$B,Response_Lists!$A:$A=$H329),6),""""))"),"")</f>
        <v/>
      </c>
      <c r="P329" s="28" t="str">
        <f t="shared" si="6"/>
        <v/>
      </c>
      <c r="Q329" s="28" t="str">
        <f t="array" ref="Q329">IF($I328="","",XLOOKUP(C329,FSM_State_Map!A:A,FSM_State_Map!D:D,""))</f>
        <v/>
      </c>
      <c r="R329" s="28" t="str">
        <f t="shared" si="7"/>
        <v/>
      </c>
      <c r="S329" s="28" t="str">
        <f t="array" ref="S329">IF($I328="","",
IF(
  AND(C329="B",C328&lt;&gt;"B"),
  XLOOKUP($B329,Derived_Variables!$A:$A,Derived_Variables!$K:$K,0)
  + XLOOKUP($B329,Derived_Variables!$A:$A,Derived_Variables!$AE:$AE,0),
  S328+AM328
))</f>
        <v/>
      </c>
      <c r="T329" s="28" t="str">
        <f t="shared" ref="T329:U329" si="668">IF($I328="","",T328+AN328)</f>
        <v/>
      </c>
      <c r="U329" s="28" t="str">
        <f t="shared" si="668"/>
        <v/>
      </c>
      <c r="V329" s="28" t="str">
        <f t="array" ref="V329">IF($I328="","",
IF(
  AND(C329="D",C328&lt;&gt;"D"),
  XLOOKUP($B329,Derived_Variables!$A:$A,Derived_Variables!$N:$N,0)
  + XLOOKUP($B329,Derived_Variables!$A:$A,Derived_Variables!$AE:$AE,0),
  V328+AP328
))</f>
        <v/>
      </c>
      <c r="W329" s="28" t="str">
        <f t="shared" ref="W329:X329" si="669">IF($I328="","",W328+AQ328)</f>
        <v/>
      </c>
      <c r="X329" s="28" t="str">
        <f t="shared" si="669"/>
        <v/>
      </c>
      <c r="Y329" s="28" t="str">
        <f t="array" ref="Y329">IF($I328="","",IF(AND(C329="P",C328&lt;&gt;"P"),IFERROR(XLOOKUP($B329,Lenso_Input!$A:$A,Lenso_Input!$E:$E,0),0),Y328+AS328))</f>
        <v/>
      </c>
      <c r="Z329" s="28" t="str">
        <f t="array" ref="Z329">IF($I328="","",IF(AND(C329="Q",C328&lt;&gt;"Q"),IFERROR(XLOOKUP($B329,Lenso_Input!$A:$A,Lenso_Input!$I:$I,0),0),Z328+AT328))</f>
        <v/>
      </c>
      <c r="AA329" s="28" t="str">
        <f t="array" ref="AA329">IF($I328="","",IF(XLOOKUP($B329,Derived_Variables!$A:$A,Derived_Variables!$R:$R,"6/6_target")="6/6_target","20_20_20","40_30_25"))</f>
        <v/>
      </c>
      <c r="AB329" s="28" t="str">
        <f t="array" ref="AB329">IF($I328="","",XLOOKUP(LOWER(XLOOKUP($B329,Derived_Variables!$A:$A,Derived_Variables!$T:$T,"Standard"))&amp;"_sph_step",Calibration!$B:$B,Calibration!$C:$C,0.25))</f>
        <v/>
      </c>
      <c r="AC329" s="28" t="str">
        <f t="array" ref="AC329">IF($I328="","",XLOOKUP(LOWER(XLOOKUP($B329,Derived_Variables!$A:$A,Derived_Variables!$T:$T,"Standard"))&amp;"_cyl_step",Calibration!$B:$B,Calibration!$C:$C,0.25))</f>
        <v/>
      </c>
      <c r="AD329" s="28" t="str">
        <f t="array" ref="AD329">IF($I328="","",IF(OR(C329="E",C329="H"),LET(startStep,XLOOKUP("axis_start_step",Calibration!$B:$B,Calibration!$C:$C,5),step1,XLOOKUP("axis_reversal_step_1",Calibration!$B:$B,Calibration!$C:$C,3),step2,XLOOKUP("axis_reversal_step_2",Calibration!$B:$B,Calibration!$C:$C,1),IF(OR(C328&lt;&gt;C329,AZ329="",AZ329="SAME",AZ329="CANT_TELL",I329="",I329="SAME",I329="CANT_TELL"),startStep,IF(OR(AND(AZ329="BETTER_1",I329="BETTER_2"),AND(AZ329="BETTER_2",I329="BETTER_1")),IF(AD328&gt;step1,step1,step2),AD328))),0))</f>
        <v/>
      </c>
      <c r="AE329" s="28" t="str">
        <f t="array" ref="AE329">IF($I328="","",XLOOKUP($B329,Derived_Variables!$A:$A,Derived_Variables!$AD:$AD,"No_Fog"))</f>
        <v/>
      </c>
      <c r="AF329" s="28" t="str">
        <f t="array" ref="AF329">IF($I328="","",XLOOKUP($B329,Derived_Variables!$A:$A,Derived_Variables!$AE:$AE,0))</f>
        <v/>
      </c>
      <c r="AG329" s="28" t="str">
        <f t="array" ref="AG329">IF($I328="","",XLOOKUP($B329,Derived_Variables!$A:$A,Derived_Variables!$AF:$AF,""))</f>
        <v/>
      </c>
      <c r="AH329" s="28" t="str">
        <f t="array" ref="AH329">IF($I328="","",XLOOKUP($B329,Derived_Variables!$A:$A,Derived_Variables!$AG:$AG,""))</f>
        <v/>
      </c>
      <c r="AI329" s="28" t="str">
        <f t="array" ref="AI329">IF($I328="","",XLOOKUP($B329,Derived_Variables!$A:$A,Derived_Variables!$AC:$AC,"Medium"))</f>
        <v/>
      </c>
      <c r="AJ329" s="28" t="str">
        <f t="array" ref="AJ329">IF($I328="","",XLOOKUP($B329,Derived_Variables!$A:$A,Derived_Variables!$Y:$Y,FALSE))</f>
        <v/>
      </c>
      <c r="AK329" s="28" t="str">
        <f t="array" ref="AK329">IF($I328="","",XLOOKUP($B329,Derived_Variables!$A:$A,Derived_Variables!$AA:$AA,"Normal"))</f>
        <v/>
      </c>
      <c r="AL329" s="28" t="str">
        <f t="array" ref="AL329">IF($I328="","",XLOOKUP($B329,Derived_Variables!$A:$A,Derived_Variables!$AB:$AB,"Normal"))</f>
        <v/>
      </c>
      <c r="AM329" s="28" t="str">
        <f t="array" ref="AM329">IF($I329="","",IFS(C329="B",IF(OR(I329="NOT_READABLE",I329="BLURRY"),-AB329,0),C329="G",IFS(I329="RED_CLEARER",XLOOKUP("duochrome_red_step",Calibration!$B:$B,Calibration!$C:$C,-0.25),I329="GREEN_CLEARER",XLOOKUP("duochrome_green_step",Calibration!$B:$B,Calibration!$C:$C,0.25),I329="EQUAL",IF(XLOOKUP($B329,Derived_Variables!$A:$A,Derived_Variables!$S:$S,"Neutral")="Undercorrect",XLOOKUP("undercorrect_step",Calibration!$B:$B,Calibration!$C:$C,0.25),IF(XLOOKUP($B329,Derived_Variables!$A:$A,Derived_Variables!$S:$S,"Neutral")="Overcorrect",-XLOOKUP("overcorrect_step",Calibration!$B:$B,Calibration!$C:$C,0.25),0)),TRUE,0),C329="K",IF(I329="TOP_CLEARER",XLOOKUP("bino_balance_step",Calibration!$B:$B,Calibration!$C:$C,0.25),0),TRUE,0))</f>
        <v/>
      </c>
      <c r="AN329" s="28" t="str">
        <f t="shared" si="10"/>
        <v/>
      </c>
      <c r="AO329" s="28" t="str">
        <f t="shared" si="11"/>
        <v/>
      </c>
      <c r="AP329" s="28" t="str">
        <f t="array" ref="AP329">IF($I329="","",IFS(C329="D",IF(OR(I329="NOT_READABLE",I329="BLURRY"),-AB329,0),C329="J",IFS(I329="RED_CLEARER",XLOOKUP("duochrome_red_step",Calibration!$B:$B,Calibration!$C:$C,-0.25),I329="GREEN_CLEARER",XLOOKUP("duochrome_green_step",Calibration!$B:$B,Calibration!$C:$C,0.25),I329="EQUAL",IF(XLOOKUP($B329,Derived_Variables!$A:$A,Derived_Variables!$S:$S,"Neutral")="Undercorrect",XLOOKUP("undercorrect_step",Calibration!$B:$B,Calibration!$C:$C,0.25),IF(XLOOKUP($B329,Derived_Variables!$A:$A,Derived_Variables!$S:$S,"Neutral")="Overcorrect",-XLOOKUP("overcorrect_step",Calibration!$B:$B,Calibration!$C:$C,0.25),0)),TRUE,0),C329="K",IF(I329="BOTTOM_CLEARER",XLOOKUP("bino_balance_step",Calibration!$B:$B,Calibration!$C:$C,0.25),0),TRUE,0))</f>
        <v/>
      </c>
      <c r="AQ329" s="28" t="str">
        <f t="shared" si="12"/>
        <v/>
      </c>
      <c r="AR329" s="28" t="str">
        <f t="shared" si="13"/>
        <v/>
      </c>
      <c r="AS329" s="28" t="str">
        <f t="array" ref="AS329">IF($I329="","",IF(C329="P",IF(OR(I329="NOT_READABLE",I329="BLURRY"),XLOOKUP("near_add_step",Calibration!$B:$B,Calibration!$C:$C,0.25),0),IF(C329="R",IF(I329="NOT_CLEAR",XLOOKUP("near_add_step",Calibration!$B:$B,Calibration!$C:$C,0.25),0),0)))</f>
        <v/>
      </c>
      <c r="AT329" s="28" t="str">
        <f t="array" ref="AT329">IF($I329="","",IF(C329="Q",IF(OR(I329="NOT_READABLE",I329="BLURRY"),XLOOKUP("near_add_step",Calibration!$B:$B,Calibration!$C:$C,0.25),0),IF(C329="R",IF(I329="NOT_CLEAR",XLOOKUP("near_add_step",Calibration!$B:$B,Calibration!$C:$C,0.25),0),0)))</f>
        <v/>
      </c>
      <c r="AU329" s="28" t="str">
        <f t="array" ref="AU329">IF($I329="","",IF(G329="SNELLEN_FEET",IF(I329="READABLE",IFERROR(XLOOKUP(XLOOKUP(R329,Chart_Scale_Distance!B:B,Chart_Scale_Distance!A:A)+1,Chart_Scale_Distance!A:A,Chart_Scale_Distance!B:B),R329),R329),R329))</f>
        <v/>
      </c>
      <c r="AV329" s="28" t="str">
        <f t="array" ref="AV329">IF($I328="","",IFERROR(XLOOKUP(R329,Chart_Scale_Distance!$B:$B,Chart_Scale_Distance!$A:$A,""),""))</f>
        <v/>
      </c>
      <c r="AW329" s="28" t="str">
        <f t="array" ref="AW329">IF($I328="","",IFERROR(XLOOKUP(AA329,Chart_Scale_Distance!$B:$B,Chart_Scale_Distance!$A:$A,""),""))</f>
        <v/>
      </c>
      <c r="AX329" s="28" t="str">
        <f t="shared" si="14"/>
        <v/>
      </c>
      <c r="AY329" s="28" t="str">
        <f t="shared" si="15"/>
        <v/>
      </c>
      <c r="AZ329" s="28" t="str">
        <f t="shared" si="16"/>
        <v/>
      </c>
      <c r="BA329" s="28" t="str">
        <f t="shared" si="17"/>
        <v/>
      </c>
      <c r="BB329" s="28" t="str">
        <f t="shared" si="18"/>
        <v/>
      </c>
      <c r="BC329" s="28" t="str">
        <f t="array" ref="BC329">IF($I329="","",LET(
conf,AI329,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duoMax,XLOOKUP($B329,Derived_Variables!$A:$A,Derived_Variables!$AI:$AI,4),
axisTol,XLOOKUP($B329,Derived_Variables!$A:$A,Derived_Variables!$W:$W,1),
maxStart,XLOOKUP($B329,Derived_Variables!$A:$A,Derived_Variables!$U:$U,1.25),
maxAR,XLOOKUP($B329,Derived_Variables!$A:$A,Derived_Variables!$V:$V,3),
anom,XLOOKUP($B329,Derived_Variables!$A:$A,Derived_Variables!$Z:$Z,FALSE),
reStart,XLOOKUP($B329,Derived_Variables!$A:$A,Derived_Variables!$K:$K,0),
leStart,XLOOKUP($B329,Derived_Variables!$A:$A,Derived_Variables!$N:$N,0),
reAR,XLOOKUP($B329,AR_Input!$A:$A,AR_Input!$B:$B,reStart),
leAR,XLOOKUP($B329,AR_Input!$A:$A,AR_Input!$E:$E,leStart),
reEsc,AND(anom,OR(ABS((S329+AM329)-reStart)&gt;maxStart,ABS((S329+AM329)-reAR)&gt;maxAR)),
leEsc,AND(anom,OR(ABS((V329+AP329)-leStart)&gt;maxStart,ABS((V329+AP329)-leAR)&gt;maxAR)),
phaseMax,IFS(
 AK329="Fast",
   IFS(
     OR(C329="B",C329="D"),XLOOKUP("timeout_coarse_fast",Calibration!$B:$B,Calibration!$C:$C,24),
     OR(C329="E",C329="F",C329="H",C329="I"),XLOOKUP("timeout_jcc_fast",Calibration!$B:$B,Calibration!$C:$C,10),
     OR(C329="G",C329="J"),XLOOKUP("timeout_duochrome_fast",Calibration!$B:$B,Calibration!$C:$C,8),
     C329="K",XLOOKUP("timeout_bino_fast",Calibration!$B:$B,Calibration!$C:$C,10),
     OR(C329="P",C329="Q",C329="R"),XLOOKUP("timeout_near_fast",Calibration!$B:$B,Calibration!$C:$C,16),
     TRUE,XLOOKUP("timeout_coarse_fast",Calibration!$B:$B,Calibration!$C:$C,24)
   ),
 AK329="Normal",
   IFS(
     OR(C329="B",C329="D"),XLOOKUP("timeout_coarse_normal",Calibration!$B:$B,Calibration!$C:$C,36),
     OR(C329="E",C329="F",C329="H",C329="I"),XLOOKUP("timeout_jcc_normal",Calibration!$B:$B,Calibration!$C:$C,14),
     OR(C329="G",C329="J"),XLOOKUP("timeout_duochrome_normal",Calibration!$B:$B,Calibration!$C:$C,10),
     C329="K",XLOOKUP("timeout_bino_normal",Calibration!$B:$B,Calibration!$C:$C,14),
     OR(C329="P",C329="Q",C329="R"),XLOOKUP("timeout_near_normal",Calibration!$B:$B,Calibration!$C:$C,22),
     TRUE,XLOOKUP("timeout_coarse_normal",Calibration!$B:$B,Calibration!$C:$C,36)
   ),
 TRUE,
   IFS(
     OR(C329="B",C329="D"),XLOOKUP("timeout_coarse_slow",Calibration!$B:$B,Calibration!$C:$C,48),
     OR(C329="E",C329="F",C329="H",C329="I"),XLOOKUP("timeout_jcc_slow",Calibration!$B:$B,Calibration!$C:$C,18),
     OR(C329="G",C329="J"),XLOOKUP("timeout_duochrome_slow",Calibration!$B:$B,Calibration!$C:$C,12),
     C329="K",XLOOKUP("timeout_bino_slow",Calibration!$B:$B,Calibration!$C:$C,18),
     OR(C329="P",C329="Q",C329="R"),XLOOKUP("timeout_near_slow",Calibration!$B:$B,Calibration!$C:$C,28),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AJ329=TRUE,"ESCALATE",
C329="A",
IF(OR(I329="NOT_READABLE",I329="BLURRY",AND(R329="20_20_20",I329="READABLE")),"B","A"),
C329="B",
IF(reEsc,"ESCALATE",IF(AY329&gt;=phaseMax,"ESCALATE",IF(AND(AV329&gt;=AW329,I329="READABLE"),"E","B"))),
C329="E",
IF(AY329&gt;=phaseMax,"ESCALATE",IF(OR(I329="SAME",I329="CANT_TELL",AD329&lt;axisTol),"F","E")),
C329="F",
IF(AY329&gt;=phaseMax,"ESCALATE",IF(AX329&gt;=powerSameN,"G","F")),
C329="G",
IF(AY329&gt;=phaseMax,"ESCALATE",IF(OR(AX329&gt;=duoEqualN,BB329&gt;=duoMax),"D","G")),
C329="D",
IF(leEsc,"ESCALATE",IF(AY329&gt;=phaseMax,"ESCALATE",IF(AND(AV329&gt;=AW329,I329="READABLE"),"H","D"))),
C329="H",
IF(AY329&gt;=phaseMax,"ESCALATE",IF(OR(I329="SAME",I329="CANT_TELL",AD329&lt;axisTol),"I","H")),
C329="I",
IF(AY329&gt;=phaseMax,"ESCALATE",IF(AX329&gt;=powerSameN,"J","I")),
C329="J",
IF(AY329&gt;=phaseMax,"ESCALATE",IF(OR(AX329&gt;=duoEqualN,BB329&gt;=duoMax),"K","J")),
C329="K",
IF(AY329&gt;=phaseMax,"ESCALATE",IF(AX329&gt;=binoSameN,IF(XLOOKUP($B329,Derived_Variables!$A:$A,Derived_Variables!$AJ:$AJ,FALSE)=TRUE,"P","END"),"K")),
C329="P",
IF(AY329&gt;=phaseMax,"ESCALATE",IF(OR(I329="READABLE",I329="SAME"),"Q","P")),
C329="Q",
IF(AY329&gt;=phaseMax,"ESCALATE",IF(OR(I329="READABLE",I329="SAME"),"R","Q")),
C329="R",
IF(AY329&gt;=phaseMax,"ESCALATE",IF(OR(I329=nearTarget,I329="SAME"),"END","R")),
TRUE,"END"
)))</f>
        <v/>
      </c>
      <c r="BD329" s="28" t="b">
        <f t="shared" si="19"/>
        <v>0</v>
      </c>
    </row>
    <row r="330" ht="15.75" customHeight="1">
      <c r="A330" s="28">
        <f t="shared" si="3"/>
        <v>329</v>
      </c>
      <c r="B330" s="28">
        <f t="shared" si="4"/>
        <v>6</v>
      </c>
      <c r="C330" s="28" t="str">
        <f t="shared" si="5"/>
        <v/>
      </c>
      <c r="D330" s="28" t="str">
        <f t="array" ref="D330">IF($I329="","",XLOOKUP(C330,FSM_State_Map!A:A,FSM_State_Map!B:B,""))</f>
        <v/>
      </c>
      <c r="E330" s="28" t="str">
        <f t="array" ref="E330">IF($I329="","",XLOOKUP(C330,FSM_State_Map!A:A,FSM_State_Map!C:C,""))</f>
        <v/>
      </c>
      <c r="F330" s="28" t="str">
        <f t="array" ref="F330">IF($I329="","",XLOOKUP(E330,Phase_UI_Map!A:A,Phase_UI_Map!B:B,""))</f>
        <v/>
      </c>
      <c r="G330" s="28" t="str">
        <f t="array" ref="G330">IF($I329="","",XLOOKUP(E330,Phase_UI_Map!A:A,Phase_UI_Map!C:C,""))</f>
        <v/>
      </c>
      <c r="H330" s="28" t="str">
        <f t="array" ref="H330">IF($I329="","",XLOOKUP(E330,Phase_UI_Map!A:A,Phase_UI_Map!D:D,""))</f>
        <v/>
      </c>
      <c r="I330" s="29"/>
      <c r="J330" s="28" t="str">
        <f>IFERROR(__xludf.DUMMYFUNCTION("IF($I329="""","""",IFERROR(INDEX(FILTER(Response_Lists!$B:$B,Response_Lists!$A:$A=$H330),1),""""))"),"")</f>
        <v/>
      </c>
      <c r="K330" s="28" t="str">
        <f>IFERROR(__xludf.DUMMYFUNCTION("IF($I329="""","""",IFERROR(INDEX(FILTER(Response_Lists!$B:$B,Response_Lists!$A:$A=$H330),2),""""))"),"")</f>
        <v/>
      </c>
      <c r="L330" s="28" t="str">
        <f>IFERROR(__xludf.DUMMYFUNCTION("IF($I329="""","""",IFERROR(INDEX(FILTER(Response_Lists!$B:$B,Response_Lists!$A:$A=$H330),3),""""))"),"")</f>
        <v/>
      </c>
      <c r="M330" s="28" t="str">
        <f>IFERROR(__xludf.DUMMYFUNCTION("IF($I329="""","""",IFERROR(INDEX(FILTER(Response_Lists!$B:$B,Response_Lists!$A:$A=$H330),4),""""))"),"")</f>
        <v/>
      </c>
      <c r="N330" s="28" t="str">
        <f>IFERROR(__xludf.DUMMYFUNCTION("IF($I329="""","""",IFERROR(INDEX(FILTER(Response_Lists!$B:$B,Response_Lists!$A:$A=$H330),5),""""))"),"")</f>
        <v/>
      </c>
      <c r="O330" s="28" t="str">
        <f>IFERROR(__xludf.DUMMYFUNCTION("IF($I329="""","""",IFERROR(INDEX(FILTER(Response_Lists!$B:$B,Response_Lists!$A:$A=$H330),6),""""))"),"")</f>
        <v/>
      </c>
      <c r="P330" s="28" t="str">
        <f t="shared" si="6"/>
        <v/>
      </c>
      <c r="Q330" s="28" t="str">
        <f t="array" ref="Q330">IF($I329="","",XLOOKUP(C330,FSM_State_Map!A:A,FSM_State_Map!D:D,""))</f>
        <v/>
      </c>
      <c r="R330" s="28" t="str">
        <f t="shared" si="7"/>
        <v/>
      </c>
      <c r="S330" s="28" t="str">
        <f t="array" ref="S330">IF($I329="","",
IF(
  AND(C330="B",C329&lt;&gt;"B"),
  XLOOKUP($B330,Derived_Variables!$A:$A,Derived_Variables!$K:$K,0)
  + XLOOKUP($B330,Derived_Variables!$A:$A,Derived_Variables!$AE:$AE,0),
  S329+AM329
))</f>
        <v/>
      </c>
      <c r="T330" s="28" t="str">
        <f t="shared" ref="T330:U330" si="670">IF($I329="","",T329+AN329)</f>
        <v/>
      </c>
      <c r="U330" s="28" t="str">
        <f t="shared" si="670"/>
        <v/>
      </c>
      <c r="V330" s="28" t="str">
        <f t="array" ref="V330">IF($I329="","",
IF(
  AND(C330="D",C329&lt;&gt;"D"),
  XLOOKUP($B330,Derived_Variables!$A:$A,Derived_Variables!$N:$N,0)
  + XLOOKUP($B330,Derived_Variables!$A:$A,Derived_Variables!$AE:$AE,0),
  V329+AP329
))</f>
        <v/>
      </c>
      <c r="W330" s="28" t="str">
        <f t="shared" ref="W330:X330" si="671">IF($I329="","",W329+AQ329)</f>
        <v/>
      </c>
      <c r="X330" s="28" t="str">
        <f t="shared" si="671"/>
        <v/>
      </c>
      <c r="Y330" s="28" t="str">
        <f t="array" ref="Y330">IF($I329="","",IF(AND(C330="P",C329&lt;&gt;"P"),IFERROR(XLOOKUP($B330,Lenso_Input!$A:$A,Lenso_Input!$E:$E,0),0),Y329+AS329))</f>
        <v/>
      </c>
      <c r="Z330" s="28" t="str">
        <f t="array" ref="Z330">IF($I329="","",IF(AND(C330="Q",C329&lt;&gt;"Q"),IFERROR(XLOOKUP($B330,Lenso_Input!$A:$A,Lenso_Input!$I:$I,0),0),Z329+AT329))</f>
        <v/>
      </c>
      <c r="AA330" s="28" t="str">
        <f t="array" ref="AA330">IF($I329="","",IF(XLOOKUP($B330,Derived_Variables!$A:$A,Derived_Variables!$R:$R,"6/6_target")="6/6_target","20_20_20","40_30_25"))</f>
        <v/>
      </c>
      <c r="AB330" s="28" t="str">
        <f t="array" ref="AB330">IF($I329="","",XLOOKUP(LOWER(XLOOKUP($B330,Derived_Variables!$A:$A,Derived_Variables!$T:$T,"Standard"))&amp;"_sph_step",Calibration!$B:$B,Calibration!$C:$C,0.25))</f>
        <v/>
      </c>
      <c r="AC330" s="28" t="str">
        <f t="array" ref="AC330">IF($I329="","",XLOOKUP(LOWER(XLOOKUP($B330,Derived_Variables!$A:$A,Derived_Variables!$T:$T,"Standard"))&amp;"_cyl_step",Calibration!$B:$B,Calibration!$C:$C,0.25))</f>
        <v/>
      </c>
      <c r="AD330" s="28" t="str">
        <f t="array" ref="AD330">IF($I329="","",IF(OR(C330="E",C330="H"),LET(startStep,XLOOKUP("axis_start_step",Calibration!$B:$B,Calibration!$C:$C,5),step1,XLOOKUP("axis_reversal_step_1",Calibration!$B:$B,Calibration!$C:$C,3),step2,XLOOKUP("axis_reversal_step_2",Calibration!$B:$B,Calibration!$C:$C,1),IF(OR(C329&lt;&gt;C330,AZ330="",AZ330="SAME",AZ330="CANT_TELL",I330="",I330="SAME",I330="CANT_TELL"),startStep,IF(OR(AND(AZ330="BETTER_1",I330="BETTER_2"),AND(AZ330="BETTER_2",I330="BETTER_1")),IF(AD329&gt;step1,step1,step2),AD329))),0))</f>
        <v/>
      </c>
      <c r="AE330" s="28" t="str">
        <f t="array" ref="AE330">IF($I329="","",XLOOKUP($B330,Derived_Variables!$A:$A,Derived_Variables!$AD:$AD,"No_Fog"))</f>
        <v/>
      </c>
      <c r="AF330" s="28" t="str">
        <f t="array" ref="AF330">IF($I329="","",XLOOKUP($B330,Derived_Variables!$A:$A,Derived_Variables!$AE:$AE,0))</f>
        <v/>
      </c>
      <c r="AG330" s="28" t="str">
        <f t="array" ref="AG330">IF($I329="","",XLOOKUP($B330,Derived_Variables!$A:$A,Derived_Variables!$AF:$AF,""))</f>
        <v/>
      </c>
      <c r="AH330" s="28" t="str">
        <f t="array" ref="AH330">IF($I329="","",XLOOKUP($B330,Derived_Variables!$A:$A,Derived_Variables!$AG:$AG,""))</f>
        <v/>
      </c>
      <c r="AI330" s="28" t="str">
        <f t="array" ref="AI330">IF($I329="","",XLOOKUP($B330,Derived_Variables!$A:$A,Derived_Variables!$AC:$AC,"Medium"))</f>
        <v/>
      </c>
      <c r="AJ330" s="28" t="str">
        <f t="array" ref="AJ330">IF($I329="","",XLOOKUP($B330,Derived_Variables!$A:$A,Derived_Variables!$Y:$Y,FALSE))</f>
        <v/>
      </c>
      <c r="AK330" s="28" t="str">
        <f t="array" ref="AK330">IF($I329="","",XLOOKUP($B330,Derived_Variables!$A:$A,Derived_Variables!$AA:$AA,"Normal"))</f>
        <v/>
      </c>
      <c r="AL330" s="28" t="str">
        <f t="array" ref="AL330">IF($I329="","",XLOOKUP($B330,Derived_Variables!$A:$A,Derived_Variables!$AB:$AB,"Normal"))</f>
        <v/>
      </c>
      <c r="AM330" s="28" t="str">
        <f t="array" ref="AM330">IF($I330="","",IFS(C330="B",IF(OR(I330="NOT_READABLE",I330="BLURRY"),-AB330,0),C330="G",IFS(I330="RED_CLEARER",XLOOKUP("duochrome_red_step",Calibration!$B:$B,Calibration!$C:$C,-0.25),I330="GREEN_CLEARER",XLOOKUP("duochrome_green_step",Calibration!$B:$B,Calibration!$C:$C,0.25),I330="EQUAL",IF(XLOOKUP($B330,Derived_Variables!$A:$A,Derived_Variables!$S:$S,"Neutral")="Undercorrect",XLOOKUP("undercorrect_step",Calibration!$B:$B,Calibration!$C:$C,0.25),IF(XLOOKUP($B330,Derived_Variables!$A:$A,Derived_Variables!$S:$S,"Neutral")="Overcorrect",-XLOOKUP("overcorrect_step",Calibration!$B:$B,Calibration!$C:$C,0.25),0)),TRUE,0),C330="K",IF(I330="TOP_CLEARER",XLOOKUP("bino_balance_step",Calibration!$B:$B,Calibration!$C:$C,0.25),0),TRUE,0))</f>
        <v/>
      </c>
      <c r="AN330" s="28" t="str">
        <f t="shared" si="10"/>
        <v/>
      </c>
      <c r="AO330" s="28" t="str">
        <f t="shared" si="11"/>
        <v/>
      </c>
      <c r="AP330" s="28" t="str">
        <f t="array" ref="AP330">IF($I330="","",IFS(C330="D",IF(OR(I330="NOT_READABLE",I330="BLURRY"),-AB330,0),C330="J",IFS(I330="RED_CLEARER",XLOOKUP("duochrome_red_step",Calibration!$B:$B,Calibration!$C:$C,-0.25),I330="GREEN_CLEARER",XLOOKUP("duochrome_green_step",Calibration!$B:$B,Calibration!$C:$C,0.25),I330="EQUAL",IF(XLOOKUP($B330,Derived_Variables!$A:$A,Derived_Variables!$S:$S,"Neutral")="Undercorrect",XLOOKUP("undercorrect_step",Calibration!$B:$B,Calibration!$C:$C,0.25),IF(XLOOKUP($B330,Derived_Variables!$A:$A,Derived_Variables!$S:$S,"Neutral")="Overcorrect",-XLOOKUP("overcorrect_step",Calibration!$B:$B,Calibration!$C:$C,0.25),0)),TRUE,0),C330="K",IF(I330="BOTTOM_CLEARER",XLOOKUP("bino_balance_step",Calibration!$B:$B,Calibration!$C:$C,0.25),0),TRUE,0))</f>
        <v/>
      </c>
      <c r="AQ330" s="28" t="str">
        <f t="shared" si="12"/>
        <v/>
      </c>
      <c r="AR330" s="28" t="str">
        <f t="shared" si="13"/>
        <v/>
      </c>
      <c r="AS330" s="28" t="str">
        <f t="array" ref="AS330">IF($I330="","",IF(C330="P",IF(OR(I330="NOT_READABLE",I330="BLURRY"),XLOOKUP("near_add_step",Calibration!$B:$B,Calibration!$C:$C,0.25),0),IF(C330="R",IF(I330="NOT_CLEAR",XLOOKUP("near_add_step",Calibration!$B:$B,Calibration!$C:$C,0.25),0),0)))</f>
        <v/>
      </c>
      <c r="AT330" s="28" t="str">
        <f t="array" ref="AT330">IF($I330="","",IF(C330="Q",IF(OR(I330="NOT_READABLE",I330="BLURRY"),XLOOKUP("near_add_step",Calibration!$B:$B,Calibration!$C:$C,0.25),0),IF(C330="R",IF(I330="NOT_CLEAR",XLOOKUP("near_add_step",Calibration!$B:$B,Calibration!$C:$C,0.25),0),0)))</f>
        <v/>
      </c>
      <c r="AU330" s="28" t="str">
        <f t="array" ref="AU330">IF($I330="","",IF(G330="SNELLEN_FEET",IF(I330="READABLE",IFERROR(XLOOKUP(XLOOKUP(R330,Chart_Scale_Distance!B:B,Chart_Scale_Distance!A:A)+1,Chart_Scale_Distance!A:A,Chart_Scale_Distance!B:B),R330),R330),R330))</f>
        <v/>
      </c>
      <c r="AV330" s="28" t="str">
        <f t="array" ref="AV330">IF($I329="","",IFERROR(XLOOKUP(R330,Chart_Scale_Distance!$B:$B,Chart_Scale_Distance!$A:$A,""),""))</f>
        <v/>
      </c>
      <c r="AW330" s="28" t="str">
        <f t="array" ref="AW330">IF($I329="","",IFERROR(XLOOKUP(AA330,Chart_Scale_Distance!$B:$B,Chart_Scale_Distance!$A:$A,""),""))</f>
        <v/>
      </c>
      <c r="AX330" s="28" t="str">
        <f t="shared" si="14"/>
        <v/>
      </c>
      <c r="AY330" s="28" t="str">
        <f t="shared" si="15"/>
        <v/>
      </c>
      <c r="AZ330" s="28" t="str">
        <f t="shared" si="16"/>
        <v/>
      </c>
      <c r="BA330" s="28" t="str">
        <f t="shared" si="17"/>
        <v/>
      </c>
      <c r="BB330" s="28" t="str">
        <f t="shared" si="18"/>
        <v/>
      </c>
      <c r="BC330" s="28" t="str">
        <f t="array" ref="BC330">IF($I330="","",LET(
conf,AI330,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duoMax,XLOOKUP($B330,Derived_Variables!$A:$A,Derived_Variables!$AI:$AI,4),
axisTol,XLOOKUP($B330,Derived_Variables!$A:$A,Derived_Variables!$W:$W,1),
maxStart,XLOOKUP($B330,Derived_Variables!$A:$A,Derived_Variables!$U:$U,1.25),
maxAR,XLOOKUP($B330,Derived_Variables!$A:$A,Derived_Variables!$V:$V,3),
anom,XLOOKUP($B330,Derived_Variables!$A:$A,Derived_Variables!$Z:$Z,FALSE),
reStart,XLOOKUP($B330,Derived_Variables!$A:$A,Derived_Variables!$K:$K,0),
leStart,XLOOKUP($B330,Derived_Variables!$A:$A,Derived_Variables!$N:$N,0),
reAR,XLOOKUP($B330,AR_Input!$A:$A,AR_Input!$B:$B,reStart),
leAR,XLOOKUP($B330,AR_Input!$A:$A,AR_Input!$E:$E,leStart),
reEsc,AND(anom,OR(ABS((S330+AM330)-reStart)&gt;maxStart,ABS((S330+AM330)-reAR)&gt;maxAR)),
leEsc,AND(anom,OR(ABS((V330+AP330)-leStart)&gt;maxStart,ABS((V330+AP330)-leAR)&gt;maxAR)),
phaseMax,IFS(
 AK330="Fast",
   IFS(
     OR(C330="B",C330="D"),XLOOKUP("timeout_coarse_fast",Calibration!$B:$B,Calibration!$C:$C,24),
     OR(C330="E",C330="F",C330="H",C330="I"),XLOOKUP("timeout_jcc_fast",Calibration!$B:$B,Calibration!$C:$C,10),
     OR(C330="G",C330="J"),XLOOKUP("timeout_duochrome_fast",Calibration!$B:$B,Calibration!$C:$C,8),
     C330="K",XLOOKUP("timeout_bino_fast",Calibration!$B:$B,Calibration!$C:$C,10),
     OR(C330="P",C330="Q",C330="R"),XLOOKUP("timeout_near_fast",Calibration!$B:$B,Calibration!$C:$C,16),
     TRUE,XLOOKUP("timeout_coarse_fast",Calibration!$B:$B,Calibration!$C:$C,24)
   ),
 AK330="Normal",
   IFS(
     OR(C330="B",C330="D"),XLOOKUP("timeout_coarse_normal",Calibration!$B:$B,Calibration!$C:$C,36),
     OR(C330="E",C330="F",C330="H",C330="I"),XLOOKUP("timeout_jcc_normal",Calibration!$B:$B,Calibration!$C:$C,14),
     OR(C330="G",C330="J"),XLOOKUP("timeout_duochrome_normal",Calibration!$B:$B,Calibration!$C:$C,10),
     C330="K",XLOOKUP("timeout_bino_normal",Calibration!$B:$B,Calibration!$C:$C,14),
     OR(C330="P",C330="Q",C330="R"),XLOOKUP("timeout_near_normal",Calibration!$B:$B,Calibration!$C:$C,22),
     TRUE,XLOOKUP("timeout_coarse_normal",Calibration!$B:$B,Calibration!$C:$C,36)
   ),
 TRUE,
   IFS(
     OR(C330="B",C330="D"),XLOOKUP("timeout_coarse_slow",Calibration!$B:$B,Calibration!$C:$C,48),
     OR(C330="E",C330="F",C330="H",C330="I"),XLOOKUP("timeout_jcc_slow",Calibration!$B:$B,Calibration!$C:$C,18),
     OR(C330="G",C330="J"),XLOOKUP("timeout_duochrome_slow",Calibration!$B:$B,Calibration!$C:$C,12),
     C330="K",XLOOKUP("timeout_bino_slow",Calibration!$B:$B,Calibration!$C:$C,18),
     OR(C330="P",C330="Q",C330="R"),XLOOKUP("timeout_near_slow",Calibration!$B:$B,Calibration!$C:$C,28),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AJ330=TRUE,"ESCALATE",
C330="A",
IF(OR(I330="NOT_READABLE",I330="BLURRY",AND(R330="20_20_20",I330="READABLE")),"B","A"),
C330="B",
IF(reEsc,"ESCALATE",IF(AY330&gt;=phaseMax,"ESCALATE",IF(AND(AV330&gt;=AW330,I330="READABLE"),"E","B"))),
C330="E",
IF(AY330&gt;=phaseMax,"ESCALATE",IF(OR(I330="SAME",I330="CANT_TELL",AD330&lt;axisTol),"F","E")),
C330="F",
IF(AY330&gt;=phaseMax,"ESCALATE",IF(AX330&gt;=powerSameN,"G","F")),
C330="G",
IF(AY330&gt;=phaseMax,"ESCALATE",IF(OR(AX330&gt;=duoEqualN,BB330&gt;=duoMax),"D","G")),
C330="D",
IF(leEsc,"ESCALATE",IF(AY330&gt;=phaseMax,"ESCALATE",IF(AND(AV330&gt;=AW330,I330="READABLE"),"H","D"))),
C330="H",
IF(AY330&gt;=phaseMax,"ESCALATE",IF(OR(I330="SAME",I330="CANT_TELL",AD330&lt;axisTol),"I","H")),
C330="I",
IF(AY330&gt;=phaseMax,"ESCALATE",IF(AX330&gt;=powerSameN,"J","I")),
C330="J",
IF(AY330&gt;=phaseMax,"ESCALATE",IF(OR(AX330&gt;=duoEqualN,BB330&gt;=duoMax),"K","J")),
C330="K",
IF(AY330&gt;=phaseMax,"ESCALATE",IF(AX330&gt;=binoSameN,IF(XLOOKUP($B330,Derived_Variables!$A:$A,Derived_Variables!$AJ:$AJ,FALSE)=TRUE,"P","END"),"K")),
C330="P",
IF(AY330&gt;=phaseMax,"ESCALATE",IF(OR(I330="READABLE",I330="SAME"),"Q","P")),
C330="Q",
IF(AY330&gt;=phaseMax,"ESCALATE",IF(OR(I330="READABLE",I330="SAME"),"R","Q")),
C330="R",
IF(AY330&gt;=phaseMax,"ESCALATE",IF(OR(I330=nearTarget,I330="SAME"),"END","R")),
TRUE,"END"
)))</f>
        <v/>
      </c>
      <c r="BD330" s="28" t="b">
        <f t="shared" si="19"/>
        <v>0</v>
      </c>
    </row>
    <row r="331" ht="15.75" customHeight="1">
      <c r="A331" s="28">
        <f t="shared" si="3"/>
        <v>330</v>
      </c>
      <c r="B331" s="28">
        <f t="shared" si="4"/>
        <v>6</v>
      </c>
      <c r="C331" s="28" t="str">
        <f t="shared" si="5"/>
        <v/>
      </c>
      <c r="D331" s="28" t="str">
        <f t="array" ref="D331">IF($I330="","",XLOOKUP(C331,FSM_State_Map!A:A,FSM_State_Map!B:B,""))</f>
        <v/>
      </c>
      <c r="E331" s="28" t="str">
        <f t="array" ref="E331">IF($I330="","",XLOOKUP(C331,FSM_State_Map!A:A,FSM_State_Map!C:C,""))</f>
        <v/>
      </c>
      <c r="F331" s="28" t="str">
        <f t="array" ref="F331">IF($I330="","",XLOOKUP(E331,Phase_UI_Map!A:A,Phase_UI_Map!B:B,""))</f>
        <v/>
      </c>
      <c r="G331" s="28" t="str">
        <f t="array" ref="G331">IF($I330="","",XLOOKUP(E331,Phase_UI_Map!A:A,Phase_UI_Map!C:C,""))</f>
        <v/>
      </c>
      <c r="H331" s="28" t="str">
        <f t="array" ref="H331">IF($I330="","",XLOOKUP(E331,Phase_UI_Map!A:A,Phase_UI_Map!D:D,""))</f>
        <v/>
      </c>
      <c r="I331" s="29"/>
      <c r="J331" s="28" t="str">
        <f>IFERROR(__xludf.DUMMYFUNCTION("IF($I330="""","""",IFERROR(INDEX(FILTER(Response_Lists!$B:$B,Response_Lists!$A:$A=$H331),1),""""))"),"")</f>
        <v/>
      </c>
      <c r="K331" s="28" t="str">
        <f>IFERROR(__xludf.DUMMYFUNCTION("IF($I330="""","""",IFERROR(INDEX(FILTER(Response_Lists!$B:$B,Response_Lists!$A:$A=$H331),2),""""))"),"")</f>
        <v/>
      </c>
      <c r="L331" s="28" t="str">
        <f>IFERROR(__xludf.DUMMYFUNCTION("IF($I330="""","""",IFERROR(INDEX(FILTER(Response_Lists!$B:$B,Response_Lists!$A:$A=$H331),3),""""))"),"")</f>
        <v/>
      </c>
      <c r="M331" s="28" t="str">
        <f>IFERROR(__xludf.DUMMYFUNCTION("IF($I330="""","""",IFERROR(INDEX(FILTER(Response_Lists!$B:$B,Response_Lists!$A:$A=$H331),4),""""))"),"")</f>
        <v/>
      </c>
      <c r="N331" s="28" t="str">
        <f>IFERROR(__xludf.DUMMYFUNCTION("IF($I330="""","""",IFERROR(INDEX(FILTER(Response_Lists!$B:$B,Response_Lists!$A:$A=$H331),5),""""))"),"")</f>
        <v/>
      </c>
      <c r="O331" s="28" t="str">
        <f>IFERROR(__xludf.DUMMYFUNCTION("IF($I330="""","""",IFERROR(INDEX(FILTER(Response_Lists!$B:$B,Response_Lists!$A:$A=$H331),6),""""))"),"")</f>
        <v/>
      </c>
      <c r="P331" s="28" t="str">
        <f t="shared" si="6"/>
        <v/>
      </c>
      <c r="Q331" s="28" t="str">
        <f t="array" ref="Q331">IF($I330="","",XLOOKUP(C331,FSM_State_Map!A:A,FSM_State_Map!D:D,""))</f>
        <v/>
      </c>
      <c r="R331" s="28" t="str">
        <f t="shared" si="7"/>
        <v/>
      </c>
      <c r="S331" s="28" t="str">
        <f t="array" ref="S331">IF($I330="","",
IF(
  AND(C331="B",C330&lt;&gt;"B"),
  XLOOKUP($B331,Derived_Variables!$A:$A,Derived_Variables!$K:$K,0)
  + XLOOKUP($B331,Derived_Variables!$A:$A,Derived_Variables!$AE:$AE,0),
  S330+AM330
))</f>
        <v/>
      </c>
      <c r="T331" s="28" t="str">
        <f t="shared" ref="T331:U331" si="672">IF($I330="","",T330+AN330)</f>
        <v/>
      </c>
      <c r="U331" s="28" t="str">
        <f t="shared" si="672"/>
        <v/>
      </c>
      <c r="V331" s="28" t="str">
        <f t="array" ref="V331">IF($I330="","",
IF(
  AND(C331="D",C330&lt;&gt;"D"),
  XLOOKUP($B331,Derived_Variables!$A:$A,Derived_Variables!$N:$N,0)
  + XLOOKUP($B331,Derived_Variables!$A:$A,Derived_Variables!$AE:$AE,0),
  V330+AP330
))</f>
        <v/>
      </c>
      <c r="W331" s="28" t="str">
        <f t="shared" ref="W331:X331" si="673">IF($I330="","",W330+AQ330)</f>
        <v/>
      </c>
      <c r="X331" s="28" t="str">
        <f t="shared" si="673"/>
        <v/>
      </c>
      <c r="Y331" s="28" t="str">
        <f t="array" ref="Y331">IF($I330="","",IF(AND(C331="P",C330&lt;&gt;"P"),IFERROR(XLOOKUP($B331,Lenso_Input!$A:$A,Lenso_Input!$E:$E,0),0),Y330+AS330))</f>
        <v/>
      </c>
      <c r="Z331" s="28" t="str">
        <f t="array" ref="Z331">IF($I330="","",IF(AND(C331="Q",C330&lt;&gt;"Q"),IFERROR(XLOOKUP($B331,Lenso_Input!$A:$A,Lenso_Input!$I:$I,0),0),Z330+AT330))</f>
        <v/>
      </c>
      <c r="AA331" s="28" t="str">
        <f t="array" ref="AA331">IF($I330="","",IF(XLOOKUP($B331,Derived_Variables!$A:$A,Derived_Variables!$R:$R,"6/6_target")="6/6_target","20_20_20","40_30_25"))</f>
        <v/>
      </c>
      <c r="AB331" s="28" t="str">
        <f t="array" ref="AB331">IF($I330="","",XLOOKUP(LOWER(XLOOKUP($B331,Derived_Variables!$A:$A,Derived_Variables!$T:$T,"Standard"))&amp;"_sph_step",Calibration!$B:$B,Calibration!$C:$C,0.25))</f>
        <v/>
      </c>
      <c r="AC331" s="28" t="str">
        <f t="array" ref="AC331">IF($I330="","",XLOOKUP(LOWER(XLOOKUP($B331,Derived_Variables!$A:$A,Derived_Variables!$T:$T,"Standard"))&amp;"_cyl_step",Calibration!$B:$B,Calibration!$C:$C,0.25))</f>
        <v/>
      </c>
      <c r="AD331" s="28" t="str">
        <f t="array" ref="AD331">IF($I330="","",IF(OR(C331="E",C331="H"),LET(startStep,XLOOKUP("axis_start_step",Calibration!$B:$B,Calibration!$C:$C,5),step1,XLOOKUP("axis_reversal_step_1",Calibration!$B:$B,Calibration!$C:$C,3),step2,XLOOKUP("axis_reversal_step_2",Calibration!$B:$B,Calibration!$C:$C,1),IF(OR(C330&lt;&gt;C331,AZ331="",AZ331="SAME",AZ331="CANT_TELL",I331="",I331="SAME",I331="CANT_TELL"),startStep,IF(OR(AND(AZ331="BETTER_1",I331="BETTER_2"),AND(AZ331="BETTER_2",I331="BETTER_1")),IF(AD330&gt;step1,step1,step2),AD330))),0))</f>
        <v/>
      </c>
      <c r="AE331" s="28" t="str">
        <f t="array" ref="AE331">IF($I330="","",XLOOKUP($B331,Derived_Variables!$A:$A,Derived_Variables!$AD:$AD,"No_Fog"))</f>
        <v/>
      </c>
      <c r="AF331" s="28" t="str">
        <f t="array" ref="AF331">IF($I330="","",XLOOKUP($B331,Derived_Variables!$A:$A,Derived_Variables!$AE:$AE,0))</f>
        <v/>
      </c>
      <c r="AG331" s="28" t="str">
        <f t="array" ref="AG331">IF($I330="","",XLOOKUP($B331,Derived_Variables!$A:$A,Derived_Variables!$AF:$AF,""))</f>
        <v/>
      </c>
      <c r="AH331" s="28" t="str">
        <f t="array" ref="AH331">IF($I330="","",XLOOKUP($B331,Derived_Variables!$A:$A,Derived_Variables!$AG:$AG,""))</f>
        <v/>
      </c>
      <c r="AI331" s="28" t="str">
        <f t="array" ref="AI331">IF($I330="","",XLOOKUP($B331,Derived_Variables!$A:$A,Derived_Variables!$AC:$AC,"Medium"))</f>
        <v/>
      </c>
      <c r="AJ331" s="28" t="str">
        <f t="array" ref="AJ331">IF($I330="","",XLOOKUP($B331,Derived_Variables!$A:$A,Derived_Variables!$Y:$Y,FALSE))</f>
        <v/>
      </c>
      <c r="AK331" s="28" t="str">
        <f t="array" ref="AK331">IF($I330="","",XLOOKUP($B331,Derived_Variables!$A:$A,Derived_Variables!$AA:$AA,"Normal"))</f>
        <v/>
      </c>
      <c r="AL331" s="28" t="str">
        <f t="array" ref="AL331">IF($I330="","",XLOOKUP($B331,Derived_Variables!$A:$A,Derived_Variables!$AB:$AB,"Normal"))</f>
        <v/>
      </c>
      <c r="AM331" s="28" t="str">
        <f t="array" ref="AM331">IF($I331="","",IFS(C331="B",IF(OR(I331="NOT_READABLE",I331="BLURRY"),-AB331,0),C331="G",IFS(I331="RED_CLEARER",XLOOKUP("duochrome_red_step",Calibration!$B:$B,Calibration!$C:$C,-0.25),I331="GREEN_CLEARER",XLOOKUP("duochrome_green_step",Calibration!$B:$B,Calibration!$C:$C,0.25),I331="EQUAL",IF(XLOOKUP($B331,Derived_Variables!$A:$A,Derived_Variables!$S:$S,"Neutral")="Undercorrect",XLOOKUP("undercorrect_step",Calibration!$B:$B,Calibration!$C:$C,0.25),IF(XLOOKUP($B331,Derived_Variables!$A:$A,Derived_Variables!$S:$S,"Neutral")="Overcorrect",-XLOOKUP("overcorrect_step",Calibration!$B:$B,Calibration!$C:$C,0.25),0)),TRUE,0),C331="K",IF(I331="TOP_CLEARER",XLOOKUP("bino_balance_step",Calibration!$B:$B,Calibration!$C:$C,0.25),0),TRUE,0))</f>
        <v/>
      </c>
      <c r="AN331" s="28" t="str">
        <f t="shared" si="10"/>
        <v/>
      </c>
      <c r="AO331" s="28" t="str">
        <f t="shared" si="11"/>
        <v/>
      </c>
      <c r="AP331" s="28" t="str">
        <f t="array" ref="AP331">IF($I331="","",IFS(C331="D",IF(OR(I331="NOT_READABLE",I331="BLURRY"),-AB331,0),C331="J",IFS(I331="RED_CLEARER",XLOOKUP("duochrome_red_step",Calibration!$B:$B,Calibration!$C:$C,-0.25),I331="GREEN_CLEARER",XLOOKUP("duochrome_green_step",Calibration!$B:$B,Calibration!$C:$C,0.25),I331="EQUAL",IF(XLOOKUP($B331,Derived_Variables!$A:$A,Derived_Variables!$S:$S,"Neutral")="Undercorrect",XLOOKUP("undercorrect_step",Calibration!$B:$B,Calibration!$C:$C,0.25),IF(XLOOKUP($B331,Derived_Variables!$A:$A,Derived_Variables!$S:$S,"Neutral")="Overcorrect",-XLOOKUP("overcorrect_step",Calibration!$B:$B,Calibration!$C:$C,0.25),0)),TRUE,0),C331="K",IF(I331="BOTTOM_CLEARER",XLOOKUP("bino_balance_step",Calibration!$B:$B,Calibration!$C:$C,0.25),0),TRUE,0))</f>
        <v/>
      </c>
      <c r="AQ331" s="28" t="str">
        <f t="shared" si="12"/>
        <v/>
      </c>
      <c r="AR331" s="28" t="str">
        <f t="shared" si="13"/>
        <v/>
      </c>
      <c r="AS331" s="28" t="str">
        <f t="array" ref="AS331">IF($I331="","",IF(C331="P",IF(OR(I331="NOT_READABLE",I331="BLURRY"),XLOOKUP("near_add_step",Calibration!$B:$B,Calibration!$C:$C,0.25),0),IF(C331="R",IF(I331="NOT_CLEAR",XLOOKUP("near_add_step",Calibration!$B:$B,Calibration!$C:$C,0.25),0),0)))</f>
        <v/>
      </c>
      <c r="AT331" s="28" t="str">
        <f t="array" ref="AT331">IF($I331="","",IF(C331="Q",IF(OR(I331="NOT_READABLE",I331="BLURRY"),XLOOKUP("near_add_step",Calibration!$B:$B,Calibration!$C:$C,0.25),0),IF(C331="R",IF(I331="NOT_CLEAR",XLOOKUP("near_add_step",Calibration!$B:$B,Calibration!$C:$C,0.25),0),0)))</f>
        <v/>
      </c>
      <c r="AU331" s="28" t="str">
        <f t="array" ref="AU331">IF($I331="","",IF(G331="SNELLEN_FEET",IF(I331="READABLE",IFERROR(XLOOKUP(XLOOKUP(R331,Chart_Scale_Distance!B:B,Chart_Scale_Distance!A:A)+1,Chart_Scale_Distance!A:A,Chart_Scale_Distance!B:B),R331),R331),R331))</f>
        <v/>
      </c>
      <c r="AV331" s="28" t="str">
        <f t="array" ref="AV331">IF($I330="","",IFERROR(XLOOKUP(R331,Chart_Scale_Distance!$B:$B,Chart_Scale_Distance!$A:$A,""),""))</f>
        <v/>
      </c>
      <c r="AW331" s="28" t="str">
        <f t="array" ref="AW331">IF($I330="","",IFERROR(XLOOKUP(AA331,Chart_Scale_Distance!$B:$B,Chart_Scale_Distance!$A:$A,""),""))</f>
        <v/>
      </c>
      <c r="AX331" s="28" t="str">
        <f t="shared" si="14"/>
        <v/>
      </c>
      <c r="AY331" s="28" t="str">
        <f t="shared" si="15"/>
        <v/>
      </c>
      <c r="AZ331" s="28" t="str">
        <f t="shared" si="16"/>
        <v/>
      </c>
      <c r="BA331" s="28" t="str">
        <f t="shared" si="17"/>
        <v/>
      </c>
      <c r="BB331" s="28" t="str">
        <f t="shared" si="18"/>
        <v/>
      </c>
      <c r="BC331" s="28" t="str">
        <f t="array" ref="BC331">IF($I331="","",LET(
conf,AI331,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duoMax,XLOOKUP($B331,Derived_Variables!$A:$A,Derived_Variables!$AI:$AI,4),
axisTol,XLOOKUP($B331,Derived_Variables!$A:$A,Derived_Variables!$W:$W,1),
maxStart,XLOOKUP($B331,Derived_Variables!$A:$A,Derived_Variables!$U:$U,1.25),
maxAR,XLOOKUP($B331,Derived_Variables!$A:$A,Derived_Variables!$V:$V,3),
anom,XLOOKUP($B331,Derived_Variables!$A:$A,Derived_Variables!$Z:$Z,FALSE),
reStart,XLOOKUP($B331,Derived_Variables!$A:$A,Derived_Variables!$K:$K,0),
leStart,XLOOKUP($B331,Derived_Variables!$A:$A,Derived_Variables!$N:$N,0),
reAR,XLOOKUP($B331,AR_Input!$A:$A,AR_Input!$B:$B,reStart),
leAR,XLOOKUP($B331,AR_Input!$A:$A,AR_Input!$E:$E,leStart),
reEsc,AND(anom,OR(ABS((S331+AM331)-reStart)&gt;maxStart,ABS((S331+AM331)-reAR)&gt;maxAR)),
leEsc,AND(anom,OR(ABS((V331+AP331)-leStart)&gt;maxStart,ABS((V331+AP331)-leAR)&gt;maxAR)),
phaseMax,IFS(
 AK331="Fast",
   IFS(
     OR(C331="B",C331="D"),XLOOKUP("timeout_coarse_fast",Calibration!$B:$B,Calibration!$C:$C,24),
     OR(C331="E",C331="F",C331="H",C331="I"),XLOOKUP("timeout_jcc_fast",Calibration!$B:$B,Calibration!$C:$C,10),
     OR(C331="G",C331="J"),XLOOKUP("timeout_duochrome_fast",Calibration!$B:$B,Calibration!$C:$C,8),
     C331="K",XLOOKUP("timeout_bino_fast",Calibration!$B:$B,Calibration!$C:$C,10),
     OR(C331="P",C331="Q",C331="R"),XLOOKUP("timeout_near_fast",Calibration!$B:$B,Calibration!$C:$C,16),
     TRUE,XLOOKUP("timeout_coarse_fast",Calibration!$B:$B,Calibration!$C:$C,24)
   ),
 AK331="Normal",
   IFS(
     OR(C331="B",C331="D"),XLOOKUP("timeout_coarse_normal",Calibration!$B:$B,Calibration!$C:$C,36),
     OR(C331="E",C331="F",C331="H",C331="I"),XLOOKUP("timeout_jcc_normal",Calibration!$B:$B,Calibration!$C:$C,14),
     OR(C331="G",C331="J"),XLOOKUP("timeout_duochrome_normal",Calibration!$B:$B,Calibration!$C:$C,10),
     C331="K",XLOOKUP("timeout_bino_normal",Calibration!$B:$B,Calibration!$C:$C,14),
     OR(C331="P",C331="Q",C331="R"),XLOOKUP("timeout_near_normal",Calibration!$B:$B,Calibration!$C:$C,22),
     TRUE,XLOOKUP("timeout_coarse_normal",Calibration!$B:$B,Calibration!$C:$C,36)
   ),
 TRUE,
   IFS(
     OR(C331="B",C331="D"),XLOOKUP("timeout_coarse_slow",Calibration!$B:$B,Calibration!$C:$C,48),
     OR(C331="E",C331="F",C331="H",C331="I"),XLOOKUP("timeout_jcc_slow",Calibration!$B:$B,Calibration!$C:$C,18),
     OR(C331="G",C331="J"),XLOOKUP("timeout_duochrome_slow",Calibration!$B:$B,Calibration!$C:$C,12),
     C331="K",XLOOKUP("timeout_bino_slow",Calibration!$B:$B,Calibration!$C:$C,18),
     OR(C331="P",C331="Q",C331="R"),XLOOKUP("timeout_near_slow",Calibration!$B:$B,Calibration!$C:$C,28),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AJ331=TRUE,"ESCALATE",
C331="A",
IF(OR(I331="NOT_READABLE",I331="BLURRY",AND(R331="20_20_20",I331="READABLE")),"B","A"),
C331="B",
IF(reEsc,"ESCALATE",IF(AY331&gt;=phaseMax,"ESCALATE",IF(AND(AV331&gt;=AW331,I331="READABLE"),"E","B"))),
C331="E",
IF(AY331&gt;=phaseMax,"ESCALATE",IF(OR(I331="SAME",I331="CANT_TELL",AD331&lt;axisTol),"F","E")),
C331="F",
IF(AY331&gt;=phaseMax,"ESCALATE",IF(AX331&gt;=powerSameN,"G","F")),
C331="G",
IF(AY331&gt;=phaseMax,"ESCALATE",IF(OR(AX331&gt;=duoEqualN,BB331&gt;=duoMax),"D","G")),
C331="D",
IF(leEsc,"ESCALATE",IF(AY331&gt;=phaseMax,"ESCALATE",IF(AND(AV331&gt;=AW331,I331="READABLE"),"H","D"))),
C331="H",
IF(AY331&gt;=phaseMax,"ESCALATE",IF(OR(I331="SAME",I331="CANT_TELL",AD331&lt;axisTol),"I","H")),
C331="I",
IF(AY331&gt;=phaseMax,"ESCALATE",IF(AX331&gt;=powerSameN,"J","I")),
C331="J",
IF(AY331&gt;=phaseMax,"ESCALATE",IF(OR(AX331&gt;=duoEqualN,BB331&gt;=duoMax),"K","J")),
C331="K",
IF(AY331&gt;=phaseMax,"ESCALATE",IF(AX331&gt;=binoSameN,IF(XLOOKUP($B331,Derived_Variables!$A:$A,Derived_Variables!$AJ:$AJ,FALSE)=TRUE,"P","END"),"K")),
C331="P",
IF(AY331&gt;=phaseMax,"ESCALATE",IF(OR(I331="READABLE",I331="SAME"),"Q","P")),
C331="Q",
IF(AY331&gt;=phaseMax,"ESCALATE",IF(OR(I331="READABLE",I331="SAME"),"R","Q")),
C331="R",
IF(AY331&gt;=phaseMax,"ESCALATE",IF(OR(I331=nearTarget,I331="SAME"),"END","R")),
TRUE,"END"
)))</f>
        <v/>
      </c>
      <c r="BD331" s="28" t="b">
        <f t="shared" si="19"/>
        <v>0</v>
      </c>
    </row>
    <row r="332" ht="15.75" customHeight="1">
      <c r="A332" s="28">
        <f t="shared" si="3"/>
        <v>331</v>
      </c>
      <c r="B332" s="28">
        <f t="shared" si="4"/>
        <v>6</v>
      </c>
      <c r="C332" s="28" t="str">
        <f t="shared" si="5"/>
        <v/>
      </c>
      <c r="D332" s="28" t="str">
        <f t="array" ref="D332">IF($I331="","",XLOOKUP(C332,FSM_State_Map!A:A,FSM_State_Map!B:B,""))</f>
        <v/>
      </c>
      <c r="E332" s="28" t="str">
        <f t="array" ref="E332">IF($I331="","",XLOOKUP(C332,FSM_State_Map!A:A,FSM_State_Map!C:C,""))</f>
        <v/>
      </c>
      <c r="F332" s="28" t="str">
        <f t="array" ref="F332">IF($I331="","",XLOOKUP(E332,Phase_UI_Map!A:A,Phase_UI_Map!B:B,""))</f>
        <v/>
      </c>
      <c r="G332" s="28" t="str">
        <f t="array" ref="G332">IF($I331="","",XLOOKUP(E332,Phase_UI_Map!A:A,Phase_UI_Map!C:C,""))</f>
        <v/>
      </c>
      <c r="H332" s="28" t="str">
        <f t="array" ref="H332">IF($I331="","",XLOOKUP(E332,Phase_UI_Map!A:A,Phase_UI_Map!D:D,""))</f>
        <v/>
      </c>
      <c r="I332" s="29"/>
      <c r="J332" s="28" t="str">
        <f>IFERROR(__xludf.DUMMYFUNCTION("IF($I331="""","""",IFERROR(INDEX(FILTER(Response_Lists!$B:$B,Response_Lists!$A:$A=$H332),1),""""))"),"")</f>
        <v/>
      </c>
      <c r="K332" s="28" t="str">
        <f>IFERROR(__xludf.DUMMYFUNCTION("IF($I331="""","""",IFERROR(INDEX(FILTER(Response_Lists!$B:$B,Response_Lists!$A:$A=$H332),2),""""))"),"")</f>
        <v/>
      </c>
      <c r="L332" s="28" t="str">
        <f>IFERROR(__xludf.DUMMYFUNCTION("IF($I331="""","""",IFERROR(INDEX(FILTER(Response_Lists!$B:$B,Response_Lists!$A:$A=$H332),3),""""))"),"")</f>
        <v/>
      </c>
      <c r="M332" s="28" t="str">
        <f>IFERROR(__xludf.DUMMYFUNCTION("IF($I331="""","""",IFERROR(INDEX(FILTER(Response_Lists!$B:$B,Response_Lists!$A:$A=$H332),4),""""))"),"")</f>
        <v/>
      </c>
      <c r="N332" s="28" t="str">
        <f>IFERROR(__xludf.DUMMYFUNCTION("IF($I331="""","""",IFERROR(INDEX(FILTER(Response_Lists!$B:$B,Response_Lists!$A:$A=$H332),5),""""))"),"")</f>
        <v/>
      </c>
      <c r="O332" s="28" t="str">
        <f>IFERROR(__xludf.DUMMYFUNCTION("IF($I331="""","""",IFERROR(INDEX(FILTER(Response_Lists!$B:$B,Response_Lists!$A:$A=$H332),6),""""))"),"")</f>
        <v/>
      </c>
      <c r="P332" s="28" t="str">
        <f t="shared" si="6"/>
        <v/>
      </c>
      <c r="Q332" s="28" t="str">
        <f t="array" ref="Q332">IF($I331="","",XLOOKUP(C332,FSM_State_Map!A:A,FSM_State_Map!D:D,""))</f>
        <v/>
      </c>
      <c r="R332" s="28" t="str">
        <f t="shared" si="7"/>
        <v/>
      </c>
      <c r="S332" s="28" t="str">
        <f t="array" ref="S332">IF($I331="","",
IF(
  AND(C332="B",C331&lt;&gt;"B"),
  XLOOKUP($B332,Derived_Variables!$A:$A,Derived_Variables!$K:$K,0)
  + XLOOKUP($B332,Derived_Variables!$A:$A,Derived_Variables!$AE:$AE,0),
  S331+AM331
))</f>
        <v/>
      </c>
      <c r="T332" s="28" t="str">
        <f t="shared" ref="T332:U332" si="674">IF($I331="","",T331+AN331)</f>
        <v/>
      </c>
      <c r="U332" s="28" t="str">
        <f t="shared" si="674"/>
        <v/>
      </c>
      <c r="V332" s="28" t="str">
        <f t="array" ref="V332">IF($I331="","",
IF(
  AND(C332="D",C331&lt;&gt;"D"),
  XLOOKUP($B332,Derived_Variables!$A:$A,Derived_Variables!$N:$N,0)
  + XLOOKUP($B332,Derived_Variables!$A:$A,Derived_Variables!$AE:$AE,0),
  V331+AP331
))</f>
        <v/>
      </c>
      <c r="W332" s="28" t="str">
        <f t="shared" ref="W332:X332" si="675">IF($I331="","",W331+AQ331)</f>
        <v/>
      </c>
      <c r="X332" s="28" t="str">
        <f t="shared" si="675"/>
        <v/>
      </c>
      <c r="Y332" s="28" t="str">
        <f t="array" ref="Y332">IF($I331="","",IF(AND(C332="P",C331&lt;&gt;"P"),IFERROR(XLOOKUP($B332,Lenso_Input!$A:$A,Lenso_Input!$E:$E,0),0),Y331+AS331))</f>
        <v/>
      </c>
      <c r="Z332" s="28" t="str">
        <f t="array" ref="Z332">IF($I331="","",IF(AND(C332="Q",C331&lt;&gt;"Q"),IFERROR(XLOOKUP($B332,Lenso_Input!$A:$A,Lenso_Input!$I:$I,0),0),Z331+AT331))</f>
        <v/>
      </c>
      <c r="AA332" s="28" t="str">
        <f t="array" ref="AA332">IF($I331="","",IF(XLOOKUP($B332,Derived_Variables!$A:$A,Derived_Variables!$R:$R,"6/6_target")="6/6_target","20_20_20","40_30_25"))</f>
        <v/>
      </c>
      <c r="AB332" s="28" t="str">
        <f t="array" ref="AB332">IF($I331="","",XLOOKUP(LOWER(XLOOKUP($B332,Derived_Variables!$A:$A,Derived_Variables!$T:$T,"Standard"))&amp;"_sph_step",Calibration!$B:$B,Calibration!$C:$C,0.25))</f>
        <v/>
      </c>
      <c r="AC332" s="28" t="str">
        <f t="array" ref="AC332">IF($I331="","",XLOOKUP(LOWER(XLOOKUP($B332,Derived_Variables!$A:$A,Derived_Variables!$T:$T,"Standard"))&amp;"_cyl_step",Calibration!$B:$B,Calibration!$C:$C,0.25))</f>
        <v/>
      </c>
      <c r="AD332" s="28" t="str">
        <f t="array" ref="AD332">IF($I331="","",IF(OR(C332="E",C332="H"),LET(startStep,XLOOKUP("axis_start_step",Calibration!$B:$B,Calibration!$C:$C,5),step1,XLOOKUP("axis_reversal_step_1",Calibration!$B:$B,Calibration!$C:$C,3),step2,XLOOKUP("axis_reversal_step_2",Calibration!$B:$B,Calibration!$C:$C,1),IF(OR(C331&lt;&gt;C332,AZ332="",AZ332="SAME",AZ332="CANT_TELL",I332="",I332="SAME",I332="CANT_TELL"),startStep,IF(OR(AND(AZ332="BETTER_1",I332="BETTER_2"),AND(AZ332="BETTER_2",I332="BETTER_1")),IF(AD331&gt;step1,step1,step2),AD331))),0))</f>
        <v/>
      </c>
      <c r="AE332" s="28" t="str">
        <f t="array" ref="AE332">IF($I331="","",XLOOKUP($B332,Derived_Variables!$A:$A,Derived_Variables!$AD:$AD,"No_Fog"))</f>
        <v/>
      </c>
      <c r="AF332" s="28" t="str">
        <f t="array" ref="AF332">IF($I331="","",XLOOKUP($B332,Derived_Variables!$A:$A,Derived_Variables!$AE:$AE,0))</f>
        <v/>
      </c>
      <c r="AG332" s="28" t="str">
        <f t="array" ref="AG332">IF($I331="","",XLOOKUP($B332,Derived_Variables!$A:$A,Derived_Variables!$AF:$AF,""))</f>
        <v/>
      </c>
      <c r="AH332" s="28" t="str">
        <f t="array" ref="AH332">IF($I331="","",XLOOKUP($B332,Derived_Variables!$A:$A,Derived_Variables!$AG:$AG,""))</f>
        <v/>
      </c>
      <c r="AI332" s="28" t="str">
        <f t="array" ref="AI332">IF($I331="","",XLOOKUP($B332,Derived_Variables!$A:$A,Derived_Variables!$AC:$AC,"Medium"))</f>
        <v/>
      </c>
      <c r="AJ332" s="28" t="str">
        <f t="array" ref="AJ332">IF($I331="","",XLOOKUP($B332,Derived_Variables!$A:$A,Derived_Variables!$Y:$Y,FALSE))</f>
        <v/>
      </c>
      <c r="AK332" s="28" t="str">
        <f t="array" ref="AK332">IF($I331="","",XLOOKUP($B332,Derived_Variables!$A:$A,Derived_Variables!$AA:$AA,"Normal"))</f>
        <v/>
      </c>
      <c r="AL332" s="28" t="str">
        <f t="array" ref="AL332">IF($I331="","",XLOOKUP($B332,Derived_Variables!$A:$A,Derived_Variables!$AB:$AB,"Normal"))</f>
        <v/>
      </c>
      <c r="AM332" s="28" t="str">
        <f t="array" ref="AM332">IF($I332="","",IFS(C332="B",IF(OR(I332="NOT_READABLE",I332="BLURRY"),-AB332,0),C332="G",IFS(I332="RED_CLEARER",XLOOKUP("duochrome_red_step",Calibration!$B:$B,Calibration!$C:$C,-0.25),I332="GREEN_CLEARER",XLOOKUP("duochrome_green_step",Calibration!$B:$B,Calibration!$C:$C,0.25),I332="EQUAL",IF(XLOOKUP($B332,Derived_Variables!$A:$A,Derived_Variables!$S:$S,"Neutral")="Undercorrect",XLOOKUP("undercorrect_step",Calibration!$B:$B,Calibration!$C:$C,0.25),IF(XLOOKUP($B332,Derived_Variables!$A:$A,Derived_Variables!$S:$S,"Neutral")="Overcorrect",-XLOOKUP("overcorrect_step",Calibration!$B:$B,Calibration!$C:$C,0.25),0)),TRUE,0),C332="K",IF(I332="TOP_CLEARER",XLOOKUP("bino_balance_step",Calibration!$B:$B,Calibration!$C:$C,0.25),0),TRUE,0))</f>
        <v/>
      </c>
      <c r="AN332" s="28" t="str">
        <f t="shared" si="10"/>
        <v/>
      </c>
      <c r="AO332" s="28" t="str">
        <f t="shared" si="11"/>
        <v/>
      </c>
      <c r="AP332" s="28" t="str">
        <f t="array" ref="AP332">IF($I332="","",IFS(C332="D",IF(OR(I332="NOT_READABLE",I332="BLURRY"),-AB332,0),C332="J",IFS(I332="RED_CLEARER",XLOOKUP("duochrome_red_step",Calibration!$B:$B,Calibration!$C:$C,-0.25),I332="GREEN_CLEARER",XLOOKUP("duochrome_green_step",Calibration!$B:$B,Calibration!$C:$C,0.25),I332="EQUAL",IF(XLOOKUP($B332,Derived_Variables!$A:$A,Derived_Variables!$S:$S,"Neutral")="Undercorrect",XLOOKUP("undercorrect_step",Calibration!$B:$B,Calibration!$C:$C,0.25),IF(XLOOKUP($B332,Derived_Variables!$A:$A,Derived_Variables!$S:$S,"Neutral")="Overcorrect",-XLOOKUP("overcorrect_step",Calibration!$B:$B,Calibration!$C:$C,0.25),0)),TRUE,0),C332="K",IF(I332="BOTTOM_CLEARER",XLOOKUP("bino_balance_step",Calibration!$B:$B,Calibration!$C:$C,0.25),0),TRUE,0))</f>
        <v/>
      </c>
      <c r="AQ332" s="28" t="str">
        <f t="shared" si="12"/>
        <v/>
      </c>
      <c r="AR332" s="28" t="str">
        <f t="shared" si="13"/>
        <v/>
      </c>
      <c r="AS332" s="28" t="str">
        <f t="array" ref="AS332">IF($I332="","",IF(C332="P",IF(OR(I332="NOT_READABLE",I332="BLURRY"),XLOOKUP("near_add_step",Calibration!$B:$B,Calibration!$C:$C,0.25),0),IF(C332="R",IF(I332="NOT_CLEAR",XLOOKUP("near_add_step",Calibration!$B:$B,Calibration!$C:$C,0.25),0),0)))</f>
        <v/>
      </c>
      <c r="AT332" s="28" t="str">
        <f t="array" ref="AT332">IF($I332="","",IF(C332="Q",IF(OR(I332="NOT_READABLE",I332="BLURRY"),XLOOKUP("near_add_step",Calibration!$B:$B,Calibration!$C:$C,0.25),0),IF(C332="R",IF(I332="NOT_CLEAR",XLOOKUP("near_add_step",Calibration!$B:$B,Calibration!$C:$C,0.25),0),0)))</f>
        <v/>
      </c>
      <c r="AU332" s="28" t="str">
        <f t="array" ref="AU332">IF($I332="","",IF(G332="SNELLEN_FEET",IF(I332="READABLE",IFERROR(XLOOKUP(XLOOKUP(R332,Chart_Scale_Distance!B:B,Chart_Scale_Distance!A:A)+1,Chart_Scale_Distance!A:A,Chart_Scale_Distance!B:B),R332),R332),R332))</f>
        <v/>
      </c>
      <c r="AV332" s="28" t="str">
        <f t="array" ref="AV332">IF($I331="","",IFERROR(XLOOKUP(R332,Chart_Scale_Distance!$B:$B,Chart_Scale_Distance!$A:$A,""),""))</f>
        <v/>
      </c>
      <c r="AW332" s="28" t="str">
        <f t="array" ref="AW332">IF($I331="","",IFERROR(XLOOKUP(AA332,Chart_Scale_Distance!$B:$B,Chart_Scale_Distance!$A:$A,""),""))</f>
        <v/>
      </c>
      <c r="AX332" s="28" t="str">
        <f t="shared" si="14"/>
        <v/>
      </c>
      <c r="AY332" s="28" t="str">
        <f t="shared" si="15"/>
        <v/>
      </c>
      <c r="AZ332" s="28" t="str">
        <f t="shared" si="16"/>
        <v/>
      </c>
      <c r="BA332" s="28" t="str">
        <f t="shared" si="17"/>
        <v/>
      </c>
      <c r="BB332" s="28" t="str">
        <f t="shared" si="18"/>
        <v/>
      </c>
      <c r="BC332" s="28" t="str">
        <f t="array" ref="BC332">IF($I332="","",LET(
conf,AI332,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duoMax,XLOOKUP($B332,Derived_Variables!$A:$A,Derived_Variables!$AI:$AI,4),
axisTol,XLOOKUP($B332,Derived_Variables!$A:$A,Derived_Variables!$W:$W,1),
maxStart,XLOOKUP($B332,Derived_Variables!$A:$A,Derived_Variables!$U:$U,1.25),
maxAR,XLOOKUP($B332,Derived_Variables!$A:$A,Derived_Variables!$V:$V,3),
anom,XLOOKUP($B332,Derived_Variables!$A:$A,Derived_Variables!$Z:$Z,FALSE),
reStart,XLOOKUP($B332,Derived_Variables!$A:$A,Derived_Variables!$K:$K,0),
leStart,XLOOKUP($B332,Derived_Variables!$A:$A,Derived_Variables!$N:$N,0),
reAR,XLOOKUP($B332,AR_Input!$A:$A,AR_Input!$B:$B,reStart),
leAR,XLOOKUP($B332,AR_Input!$A:$A,AR_Input!$E:$E,leStart),
reEsc,AND(anom,OR(ABS((S332+AM332)-reStart)&gt;maxStart,ABS((S332+AM332)-reAR)&gt;maxAR)),
leEsc,AND(anom,OR(ABS((V332+AP332)-leStart)&gt;maxStart,ABS((V332+AP332)-leAR)&gt;maxAR)),
phaseMax,IFS(
 AK332="Fast",
   IFS(
     OR(C332="B",C332="D"),XLOOKUP("timeout_coarse_fast",Calibration!$B:$B,Calibration!$C:$C,24),
     OR(C332="E",C332="F",C332="H",C332="I"),XLOOKUP("timeout_jcc_fast",Calibration!$B:$B,Calibration!$C:$C,10),
     OR(C332="G",C332="J"),XLOOKUP("timeout_duochrome_fast",Calibration!$B:$B,Calibration!$C:$C,8),
     C332="K",XLOOKUP("timeout_bino_fast",Calibration!$B:$B,Calibration!$C:$C,10),
     OR(C332="P",C332="Q",C332="R"),XLOOKUP("timeout_near_fast",Calibration!$B:$B,Calibration!$C:$C,16),
     TRUE,XLOOKUP("timeout_coarse_fast",Calibration!$B:$B,Calibration!$C:$C,24)
   ),
 AK332="Normal",
   IFS(
     OR(C332="B",C332="D"),XLOOKUP("timeout_coarse_normal",Calibration!$B:$B,Calibration!$C:$C,36),
     OR(C332="E",C332="F",C332="H",C332="I"),XLOOKUP("timeout_jcc_normal",Calibration!$B:$B,Calibration!$C:$C,14),
     OR(C332="G",C332="J"),XLOOKUP("timeout_duochrome_normal",Calibration!$B:$B,Calibration!$C:$C,10),
     C332="K",XLOOKUP("timeout_bino_normal",Calibration!$B:$B,Calibration!$C:$C,14),
     OR(C332="P",C332="Q",C332="R"),XLOOKUP("timeout_near_normal",Calibration!$B:$B,Calibration!$C:$C,22),
     TRUE,XLOOKUP("timeout_coarse_normal",Calibration!$B:$B,Calibration!$C:$C,36)
   ),
 TRUE,
   IFS(
     OR(C332="B",C332="D"),XLOOKUP("timeout_coarse_slow",Calibration!$B:$B,Calibration!$C:$C,48),
     OR(C332="E",C332="F",C332="H",C332="I"),XLOOKUP("timeout_jcc_slow",Calibration!$B:$B,Calibration!$C:$C,18),
     OR(C332="G",C332="J"),XLOOKUP("timeout_duochrome_slow",Calibration!$B:$B,Calibration!$C:$C,12),
     C332="K",XLOOKUP("timeout_bino_slow",Calibration!$B:$B,Calibration!$C:$C,18),
     OR(C332="P",C332="Q",C332="R"),XLOOKUP("timeout_near_slow",Calibration!$B:$B,Calibration!$C:$C,28),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AJ332=TRUE,"ESCALATE",
C332="A",
IF(OR(I332="NOT_READABLE",I332="BLURRY",AND(R332="20_20_20",I332="READABLE")),"B","A"),
C332="B",
IF(reEsc,"ESCALATE",IF(AY332&gt;=phaseMax,"ESCALATE",IF(AND(AV332&gt;=AW332,I332="READABLE"),"E","B"))),
C332="E",
IF(AY332&gt;=phaseMax,"ESCALATE",IF(OR(I332="SAME",I332="CANT_TELL",AD332&lt;axisTol),"F","E")),
C332="F",
IF(AY332&gt;=phaseMax,"ESCALATE",IF(AX332&gt;=powerSameN,"G","F")),
C332="G",
IF(AY332&gt;=phaseMax,"ESCALATE",IF(OR(AX332&gt;=duoEqualN,BB332&gt;=duoMax),"D","G")),
C332="D",
IF(leEsc,"ESCALATE",IF(AY332&gt;=phaseMax,"ESCALATE",IF(AND(AV332&gt;=AW332,I332="READABLE"),"H","D"))),
C332="H",
IF(AY332&gt;=phaseMax,"ESCALATE",IF(OR(I332="SAME",I332="CANT_TELL",AD332&lt;axisTol),"I","H")),
C332="I",
IF(AY332&gt;=phaseMax,"ESCALATE",IF(AX332&gt;=powerSameN,"J","I")),
C332="J",
IF(AY332&gt;=phaseMax,"ESCALATE",IF(OR(AX332&gt;=duoEqualN,BB332&gt;=duoMax),"K","J")),
C332="K",
IF(AY332&gt;=phaseMax,"ESCALATE",IF(AX332&gt;=binoSameN,IF(XLOOKUP($B332,Derived_Variables!$A:$A,Derived_Variables!$AJ:$AJ,FALSE)=TRUE,"P","END"),"K")),
C332="P",
IF(AY332&gt;=phaseMax,"ESCALATE",IF(OR(I332="READABLE",I332="SAME"),"Q","P")),
C332="Q",
IF(AY332&gt;=phaseMax,"ESCALATE",IF(OR(I332="READABLE",I332="SAME"),"R","Q")),
C332="R",
IF(AY332&gt;=phaseMax,"ESCALATE",IF(OR(I332=nearTarget,I332="SAME"),"END","R")),
TRUE,"END"
)))</f>
        <v/>
      </c>
      <c r="BD332" s="28" t="b">
        <f t="shared" si="19"/>
        <v>0</v>
      </c>
    </row>
    <row r="333" ht="15.75" customHeight="1">
      <c r="A333" s="28">
        <f t="shared" si="3"/>
        <v>332</v>
      </c>
      <c r="B333" s="28">
        <f t="shared" si="4"/>
        <v>6</v>
      </c>
      <c r="C333" s="28" t="str">
        <f t="shared" si="5"/>
        <v/>
      </c>
      <c r="D333" s="28" t="str">
        <f t="array" ref="D333">IF($I332="","",XLOOKUP(C333,FSM_State_Map!A:A,FSM_State_Map!B:B,""))</f>
        <v/>
      </c>
      <c r="E333" s="28" t="str">
        <f t="array" ref="E333">IF($I332="","",XLOOKUP(C333,FSM_State_Map!A:A,FSM_State_Map!C:C,""))</f>
        <v/>
      </c>
      <c r="F333" s="28" t="str">
        <f t="array" ref="F333">IF($I332="","",XLOOKUP(E333,Phase_UI_Map!A:A,Phase_UI_Map!B:B,""))</f>
        <v/>
      </c>
      <c r="G333" s="28" t="str">
        <f t="array" ref="G333">IF($I332="","",XLOOKUP(E333,Phase_UI_Map!A:A,Phase_UI_Map!C:C,""))</f>
        <v/>
      </c>
      <c r="H333" s="28" t="str">
        <f t="array" ref="H333">IF($I332="","",XLOOKUP(E333,Phase_UI_Map!A:A,Phase_UI_Map!D:D,""))</f>
        <v/>
      </c>
      <c r="I333" s="29"/>
      <c r="J333" s="28" t="str">
        <f>IFERROR(__xludf.DUMMYFUNCTION("IF($I332="""","""",IFERROR(INDEX(FILTER(Response_Lists!$B:$B,Response_Lists!$A:$A=$H333),1),""""))"),"")</f>
        <v/>
      </c>
      <c r="K333" s="28" t="str">
        <f>IFERROR(__xludf.DUMMYFUNCTION("IF($I332="""","""",IFERROR(INDEX(FILTER(Response_Lists!$B:$B,Response_Lists!$A:$A=$H333),2),""""))"),"")</f>
        <v/>
      </c>
      <c r="L333" s="28" t="str">
        <f>IFERROR(__xludf.DUMMYFUNCTION("IF($I332="""","""",IFERROR(INDEX(FILTER(Response_Lists!$B:$B,Response_Lists!$A:$A=$H333),3),""""))"),"")</f>
        <v/>
      </c>
      <c r="M333" s="28" t="str">
        <f>IFERROR(__xludf.DUMMYFUNCTION("IF($I332="""","""",IFERROR(INDEX(FILTER(Response_Lists!$B:$B,Response_Lists!$A:$A=$H333),4),""""))"),"")</f>
        <v/>
      </c>
      <c r="N333" s="28" t="str">
        <f>IFERROR(__xludf.DUMMYFUNCTION("IF($I332="""","""",IFERROR(INDEX(FILTER(Response_Lists!$B:$B,Response_Lists!$A:$A=$H333),5),""""))"),"")</f>
        <v/>
      </c>
      <c r="O333" s="28" t="str">
        <f>IFERROR(__xludf.DUMMYFUNCTION("IF($I332="""","""",IFERROR(INDEX(FILTER(Response_Lists!$B:$B,Response_Lists!$A:$A=$H333),6),""""))"),"")</f>
        <v/>
      </c>
      <c r="P333" s="28" t="str">
        <f t="shared" si="6"/>
        <v/>
      </c>
      <c r="Q333" s="28" t="str">
        <f t="array" ref="Q333">IF($I332="","",XLOOKUP(C333,FSM_State_Map!A:A,FSM_State_Map!D:D,""))</f>
        <v/>
      </c>
      <c r="R333" s="28" t="str">
        <f t="shared" si="7"/>
        <v/>
      </c>
      <c r="S333" s="28" t="str">
        <f t="array" ref="S333">IF($I332="","",
IF(
  AND(C333="B",C332&lt;&gt;"B"),
  XLOOKUP($B333,Derived_Variables!$A:$A,Derived_Variables!$K:$K,0)
  + XLOOKUP($B333,Derived_Variables!$A:$A,Derived_Variables!$AE:$AE,0),
  S332+AM332
))</f>
        <v/>
      </c>
      <c r="T333" s="28" t="str">
        <f t="shared" ref="T333:U333" si="676">IF($I332="","",T332+AN332)</f>
        <v/>
      </c>
      <c r="U333" s="28" t="str">
        <f t="shared" si="676"/>
        <v/>
      </c>
      <c r="V333" s="28" t="str">
        <f t="array" ref="V333">IF($I332="","",
IF(
  AND(C333="D",C332&lt;&gt;"D"),
  XLOOKUP($B333,Derived_Variables!$A:$A,Derived_Variables!$N:$N,0)
  + XLOOKUP($B333,Derived_Variables!$A:$A,Derived_Variables!$AE:$AE,0),
  V332+AP332
))</f>
        <v/>
      </c>
      <c r="W333" s="28" t="str">
        <f t="shared" ref="W333:X333" si="677">IF($I332="","",W332+AQ332)</f>
        <v/>
      </c>
      <c r="X333" s="28" t="str">
        <f t="shared" si="677"/>
        <v/>
      </c>
      <c r="Y333" s="28" t="str">
        <f t="array" ref="Y333">IF($I332="","",IF(AND(C333="P",C332&lt;&gt;"P"),IFERROR(XLOOKUP($B333,Lenso_Input!$A:$A,Lenso_Input!$E:$E,0),0),Y332+AS332))</f>
        <v/>
      </c>
      <c r="Z333" s="28" t="str">
        <f t="array" ref="Z333">IF($I332="","",IF(AND(C333="Q",C332&lt;&gt;"Q"),IFERROR(XLOOKUP($B333,Lenso_Input!$A:$A,Lenso_Input!$I:$I,0),0),Z332+AT332))</f>
        <v/>
      </c>
      <c r="AA333" s="28" t="str">
        <f t="array" ref="AA333">IF($I332="","",IF(XLOOKUP($B333,Derived_Variables!$A:$A,Derived_Variables!$R:$R,"6/6_target")="6/6_target","20_20_20","40_30_25"))</f>
        <v/>
      </c>
      <c r="AB333" s="28" t="str">
        <f t="array" ref="AB333">IF($I332="","",XLOOKUP(LOWER(XLOOKUP($B333,Derived_Variables!$A:$A,Derived_Variables!$T:$T,"Standard"))&amp;"_sph_step",Calibration!$B:$B,Calibration!$C:$C,0.25))</f>
        <v/>
      </c>
      <c r="AC333" s="28" t="str">
        <f t="array" ref="AC333">IF($I332="","",XLOOKUP(LOWER(XLOOKUP($B333,Derived_Variables!$A:$A,Derived_Variables!$T:$T,"Standard"))&amp;"_cyl_step",Calibration!$B:$B,Calibration!$C:$C,0.25))</f>
        <v/>
      </c>
      <c r="AD333" s="28" t="str">
        <f t="array" ref="AD333">IF($I332="","",IF(OR(C333="E",C333="H"),LET(startStep,XLOOKUP("axis_start_step",Calibration!$B:$B,Calibration!$C:$C,5),step1,XLOOKUP("axis_reversal_step_1",Calibration!$B:$B,Calibration!$C:$C,3),step2,XLOOKUP("axis_reversal_step_2",Calibration!$B:$B,Calibration!$C:$C,1),IF(OR(C332&lt;&gt;C333,AZ333="",AZ333="SAME",AZ333="CANT_TELL",I333="",I333="SAME",I333="CANT_TELL"),startStep,IF(OR(AND(AZ333="BETTER_1",I333="BETTER_2"),AND(AZ333="BETTER_2",I333="BETTER_1")),IF(AD332&gt;step1,step1,step2),AD332))),0))</f>
        <v/>
      </c>
      <c r="AE333" s="28" t="str">
        <f t="array" ref="AE333">IF($I332="","",XLOOKUP($B333,Derived_Variables!$A:$A,Derived_Variables!$AD:$AD,"No_Fog"))</f>
        <v/>
      </c>
      <c r="AF333" s="28" t="str">
        <f t="array" ref="AF333">IF($I332="","",XLOOKUP($B333,Derived_Variables!$A:$A,Derived_Variables!$AE:$AE,0))</f>
        <v/>
      </c>
      <c r="AG333" s="28" t="str">
        <f t="array" ref="AG333">IF($I332="","",XLOOKUP($B333,Derived_Variables!$A:$A,Derived_Variables!$AF:$AF,""))</f>
        <v/>
      </c>
      <c r="AH333" s="28" t="str">
        <f t="array" ref="AH333">IF($I332="","",XLOOKUP($B333,Derived_Variables!$A:$A,Derived_Variables!$AG:$AG,""))</f>
        <v/>
      </c>
      <c r="AI333" s="28" t="str">
        <f t="array" ref="AI333">IF($I332="","",XLOOKUP($B333,Derived_Variables!$A:$A,Derived_Variables!$AC:$AC,"Medium"))</f>
        <v/>
      </c>
      <c r="AJ333" s="28" t="str">
        <f t="array" ref="AJ333">IF($I332="","",XLOOKUP($B333,Derived_Variables!$A:$A,Derived_Variables!$Y:$Y,FALSE))</f>
        <v/>
      </c>
      <c r="AK333" s="28" t="str">
        <f t="array" ref="AK333">IF($I332="","",XLOOKUP($B333,Derived_Variables!$A:$A,Derived_Variables!$AA:$AA,"Normal"))</f>
        <v/>
      </c>
      <c r="AL333" s="28" t="str">
        <f t="array" ref="AL333">IF($I332="","",XLOOKUP($B333,Derived_Variables!$A:$A,Derived_Variables!$AB:$AB,"Normal"))</f>
        <v/>
      </c>
      <c r="AM333" s="28" t="str">
        <f t="array" ref="AM333">IF($I333="","",IFS(C333="B",IF(OR(I333="NOT_READABLE",I333="BLURRY"),-AB333,0),C333="G",IFS(I333="RED_CLEARER",XLOOKUP("duochrome_red_step",Calibration!$B:$B,Calibration!$C:$C,-0.25),I333="GREEN_CLEARER",XLOOKUP("duochrome_green_step",Calibration!$B:$B,Calibration!$C:$C,0.25),I333="EQUAL",IF(XLOOKUP($B333,Derived_Variables!$A:$A,Derived_Variables!$S:$S,"Neutral")="Undercorrect",XLOOKUP("undercorrect_step",Calibration!$B:$B,Calibration!$C:$C,0.25),IF(XLOOKUP($B333,Derived_Variables!$A:$A,Derived_Variables!$S:$S,"Neutral")="Overcorrect",-XLOOKUP("overcorrect_step",Calibration!$B:$B,Calibration!$C:$C,0.25),0)),TRUE,0),C333="K",IF(I333="TOP_CLEARER",XLOOKUP("bino_balance_step",Calibration!$B:$B,Calibration!$C:$C,0.25),0),TRUE,0))</f>
        <v/>
      </c>
      <c r="AN333" s="28" t="str">
        <f t="shared" si="10"/>
        <v/>
      </c>
      <c r="AO333" s="28" t="str">
        <f t="shared" si="11"/>
        <v/>
      </c>
      <c r="AP333" s="28" t="str">
        <f t="array" ref="AP333">IF($I333="","",IFS(C333="D",IF(OR(I333="NOT_READABLE",I333="BLURRY"),-AB333,0),C333="J",IFS(I333="RED_CLEARER",XLOOKUP("duochrome_red_step",Calibration!$B:$B,Calibration!$C:$C,-0.25),I333="GREEN_CLEARER",XLOOKUP("duochrome_green_step",Calibration!$B:$B,Calibration!$C:$C,0.25),I333="EQUAL",IF(XLOOKUP($B333,Derived_Variables!$A:$A,Derived_Variables!$S:$S,"Neutral")="Undercorrect",XLOOKUP("undercorrect_step",Calibration!$B:$B,Calibration!$C:$C,0.25),IF(XLOOKUP($B333,Derived_Variables!$A:$A,Derived_Variables!$S:$S,"Neutral")="Overcorrect",-XLOOKUP("overcorrect_step",Calibration!$B:$B,Calibration!$C:$C,0.25),0)),TRUE,0),C333="K",IF(I333="BOTTOM_CLEARER",XLOOKUP("bino_balance_step",Calibration!$B:$B,Calibration!$C:$C,0.25),0),TRUE,0))</f>
        <v/>
      </c>
      <c r="AQ333" s="28" t="str">
        <f t="shared" si="12"/>
        <v/>
      </c>
      <c r="AR333" s="28" t="str">
        <f t="shared" si="13"/>
        <v/>
      </c>
      <c r="AS333" s="28" t="str">
        <f t="array" ref="AS333">IF($I333="","",IF(C333="P",IF(OR(I333="NOT_READABLE",I333="BLURRY"),XLOOKUP("near_add_step",Calibration!$B:$B,Calibration!$C:$C,0.25),0),IF(C333="R",IF(I333="NOT_CLEAR",XLOOKUP("near_add_step",Calibration!$B:$B,Calibration!$C:$C,0.25),0),0)))</f>
        <v/>
      </c>
      <c r="AT333" s="28" t="str">
        <f t="array" ref="AT333">IF($I333="","",IF(C333="Q",IF(OR(I333="NOT_READABLE",I333="BLURRY"),XLOOKUP("near_add_step",Calibration!$B:$B,Calibration!$C:$C,0.25),0),IF(C333="R",IF(I333="NOT_CLEAR",XLOOKUP("near_add_step",Calibration!$B:$B,Calibration!$C:$C,0.25),0),0)))</f>
        <v/>
      </c>
      <c r="AU333" s="28" t="str">
        <f t="array" ref="AU333">IF($I333="","",IF(G333="SNELLEN_FEET",IF(I333="READABLE",IFERROR(XLOOKUP(XLOOKUP(R333,Chart_Scale_Distance!B:B,Chart_Scale_Distance!A:A)+1,Chart_Scale_Distance!A:A,Chart_Scale_Distance!B:B),R333),R333),R333))</f>
        <v/>
      </c>
      <c r="AV333" s="28" t="str">
        <f t="array" ref="AV333">IF($I332="","",IFERROR(XLOOKUP(R333,Chart_Scale_Distance!$B:$B,Chart_Scale_Distance!$A:$A,""),""))</f>
        <v/>
      </c>
      <c r="AW333" s="28" t="str">
        <f t="array" ref="AW333">IF($I332="","",IFERROR(XLOOKUP(AA333,Chart_Scale_Distance!$B:$B,Chart_Scale_Distance!$A:$A,""),""))</f>
        <v/>
      </c>
      <c r="AX333" s="28" t="str">
        <f t="shared" si="14"/>
        <v/>
      </c>
      <c r="AY333" s="28" t="str">
        <f t="shared" si="15"/>
        <v/>
      </c>
      <c r="AZ333" s="28" t="str">
        <f t="shared" si="16"/>
        <v/>
      </c>
      <c r="BA333" s="28" t="str">
        <f t="shared" si="17"/>
        <v/>
      </c>
      <c r="BB333" s="28" t="str">
        <f t="shared" si="18"/>
        <v/>
      </c>
      <c r="BC333" s="28" t="str">
        <f t="array" ref="BC333">IF($I333="","",LET(
conf,AI333,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duoMax,XLOOKUP($B333,Derived_Variables!$A:$A,Derived_Variables!$AI:$AI,4),
axisTol,XLOOKUP($B333,Derived_Variables!$A:$A,Derived_Variables!$W:$W,1),
maxStart,XLOOKUP($B333,Derived_Variables!$A:$A,Derived_Variables!$U:$U,1.25),
maxAR,XLOOKUP($B333,Derived_Variables!$A:$A,Derived_Variables!$V:$V,3),
anom,XLOOKUP($B333,Derived_Variables!$A:$A,Derived_Variables!$Z:$Z,FALSE),
reStart,XLOOKUP($B333,Derived_Variables!$A:$A,Derived_Variables!$K:$K,0),
leStart,XLOOKUP($B333,Derived_Variables!$A:$A,Derived_Variables!$N:$N,0),
reAR,XLOOKUP($B333,AR_Input!$A:$A,AR_Input!$B:$B,reStart),
leAR,XLOOKUP($B333,AR_Input!$A:$A,AR_Input!$E:$E,leStart),
reEsc,AND(anom,OR(ABS((S333+AM333)-reStart)&gt;maxStart,ABS((S333+AM333)-reAR)&gt;maxAR)),
leEsc,AND(anom,OR(ABS((V333+AP333)-leStart)&gt;maxStart,ABS((V333+AP333)-leAR)&gt;maxAR)),
phaseMax,IFS(
 AK333="Fast",
   IFS(
     OR(C333="B",C333="D"),XLOOKUP("timeout_coarse_fast",Calibration!$B:$B,Calibration!$C:$C,24),
     OR(C333="E",C333="F",C333="H",C333="I"),XLOOKUP("timeout_jcc_fast",Calibration!$B:$B,Calibration!$C:$C,10),
     OR(C333="G",C333="J"),XLOOKUP("timeout_duochrome_fast",Calibration!$B:$B,Calibration!$C:$C,8),
     C333="K",XLOOKUP("timeout_bino_fast",Calibration!$B:$B,Calibration!$C:$C,10),
     OR(C333="P",C333="Q",C333="R"),XLOOKUP("timeout_near_fast",Calibration!$B:$B,Calibration!$C:$C,16),
     TRUE,XLOOKUP("timeout_coarse_fast",Calibration!$B:$B,Calibration!$C:$C,24)
   ),
 AK333="Normal",
   IFS(
     OR(C333="B",C333="D"),XLOOKUP("timeout_coarse_normal",Calibration!$B:$B,Calibration!$C:$C,36),
     OR(C333="E",C333="F",C333="H",C333="I"),XLOOKUP("timeout_jcc_normal",Calibration!$B:$B,Calibration!$C:$C,14),
     OR(C333="G",C333="J"),XLOOKUP("timeout_duochrome_normal",Calibration!$B:$B,Calibration!$C:$C,10),
     C333="K",XLOOKUP("timeout_bino_normal",Calibration!$B:$B,Calibration!$C:$C,14),
     OR(C333="P",C333="Q",C333="R"),XLOOKUP("timeout_near_normal",Calibration!$B:$B,Calibration!$C:$C,22),
     TRUE,XLOOKUP("timeout_coarse_normal",Calibration!$B:$B,Calibration!$C:$C,36)
   ),
 TRUE,
   IFS(
     OR(C333="B",C333="D"),XLOOKUP("timeout_coarse_slow",Calibration!$B:$B,Calibration!$C:$C,48),
     OR(C333="E",C333="F",C333="H",C333="I"),XLOOKUP("timeout_jcc_slow",Calibration!$B:$B,Calibration!$C:$C,18),
     OR(C333="G",C333="J"),XLOOKUP("timeout_duochrome_slow",Calibration!$B:$B,Calibration!$C:$C,12),
     C333="K",XLOOKUP("timeout_bino_slow",Calibration!$B:$B,Calibration!$C:$C,18),
     OR(C333="P",C333="Q",C333="R"),XLOOKUP("timeout_near_slow",Calibration!$B:$B,Calibration!$C:$C,28),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AJ333=TRUE,"ESCALATE",
C333="A",
IF(OR(I333="NOT_READABLE",I333="BLURRY",AND(R333="20_20_20",I333="READABLE")),"B","A"),
C333="B",
IF(reEsc,"ESCALATE",IF(AY333&gt;=phaseMax,"ESCALATE",IF(AND(AV333&gt;=AW333,I333="READABLE"),"E","B"))),
C333="E",
IF(AY333&gt;=phaseMax,"ESCALATE",IF(OR(I333="SAME",I333="CANT_TELL",AD333&lt;axisTol),"F","E")),
C333="F",
IF(AY333&gt;=phaseMax,"ESCALATE",IF(AX333&gt;=powerSameN,"G","F")),
C333="G",
IF(AY333&gt;=phaseMax,"ESCALATE",IF(OR(AX333&gt;=duoEqualN,BB333&gt;=duoMax),"D","G")),
C333="D",
IF(leEsc,"ESCALATE",IF(AY333&gt;=phaseMax,"ESCALATE",IF(AND(AV333&gt;=AW333,I333="READABLE"),"H","D"))),
C333="H",
IF(AY333&gt;=phaseMax,"ESCALATE",IF(OR(I333="SAME",I333="CANT_TELL",AD333&lt;axisTol),"I","H")),
C333="I",
IF(AY333&gt;=phaseMax,"ESCALATE",IF(AX333&gt;=powerSameN,"J","I")),
C333="J",
IF(AY333&gt;=phaseMax,"ESCALATE",IF(OR(AX333&gt;=duoEqualN,BB333&gt;=duoMax),"K","J")),
C333="K",
IF(AY333&gt;=phaseMax,"ESCALATE",IF(AX333&gt;=binoSameN,IF(XLOOKUP($B333,Derived_Variables!$A:$A,Derived_Variables!$AJ:$AJ,FALSE)=TRUE,"P","END"),"K")),
C333="P",
IF(AY333&gt;=phaseMax,"ESCALATE",IF(OR(I333="READABLE",I333="SAME"),"Q","P")),
C333="Q",
IF(AY333&gt;=phaseMax,"ESCALATE",IF(OR(I333="READABLE",I333="SAME"),"R","Q")),
C333="R",
IF(AY333&gt;=phaseMax,"ESCALATE",IF(OR(I333=nearTarget,I333="SAME"),"END","R")),
TRUE,"END"
)))</f>
        <v/>
      </c>
      <c r="BD333" s="28" t="b">
        <f t="shared" si="19"/>
        <v>0</v>
      </c>
    </row>
    <row r="334" ht="15.75" customHeight="1">
      <c r="A334" s="28">
        <f t="shared" si="3"/>
        <v>333</v>
      </c>
      <c r="B334" s="28">
        <f t="shared" si="4"/>
        <v>6</v>
      </c>
      <c r="C334" s="28" t="str">
        <f t="shared" si="5"/>
        <v/>
      </c>
      <c r="D334" s="28" t="str">
        <f t="array" ref="D334">IF($I333="","",XLOOKUP(C334,FSM_State_Map!A:A,FSM_State_Map!B:B,""))</f>
        <v/>
      </c>
      <c r="E334" s="28" t="str">
        <f t="array" ref="E334">IF($I333="","",XLOOKUP(C334,FSM_State_Map!A:A,FSM_State_Map!C:C,""))</f>
        <v/>
      </c>
      <c r="F334" s="28" t="str">
        <f t="array" ref="F334">IF($I333="","",XLOOKUP(E334,Phase_UI_Map!A:A,Phase_UI_Map!B:B,""))</f>
        <v/>
      </c>
      <c r="G334" s="28" t="str">
        <f t="array" ref="G334">IF($I333="","",XLOOKUP(E334,Phase_UI_Map!A:A,Phase_UI_Map!C:C,""))</f>
        <v/>
      </c>
      <c r="H334" s="28" t="str">
        <f t="array" ref="H334">IF($I333="","",XLOOKUP(E334,Phase_UI_Map!A:A,Phase_UI_Map!D:D,""))</f>
        <v/>
      </c>
      <c r="I334" s="29"/>
      <c r="J334" s="28" t="str">
        <f>IFERROR(__xludf.DUMMYFUNCTION("IF($I333="""","""",IFERROR(INDEX(FILTER(Response_Lists!$B:$B,Response_Lists!$A:$A=$H334),1),""""))"),"")</f>
        <v/>
      </c>
      <c r="K334" s="28" t="str">
        <f>IFERROR(__xludf.DUMMYFUNCTION("IF($I333="""","""",IFERROR(INDEX(FILTER(Response_Lists!$B:$B,Response_Lists!$A:$A=$H334),2),""""))"),"")</f>
        <v/>
      </c>
      <c r="L334" s="28" t="str">
        <f>IFERROR(__xludf.DUMMYFUNCTION("IF($I333="""","""",IFERROR(INDEX(FILTER(Response_Lists!$B:$B,Response_Lists!$A:$A=$H334),3),""""))"),"")</f>
        <v/>
      </c>
      <c r="M334" s="28" t="str">
        <f>IFERROR(__xludf.DUMMYFUNCTION("IF($I333="""","""",IFERROR(INDEX(FILTER(Response_Lists!$B:$B,Response_Lists!$A:$A=$H334),4),""""))"),"")</f>
        <v/>
      </c>
      <c r="N334" s="28" t="str">
        <f>IFERROR(__xludf.DUMMYFUNCTION("IF($I333="""","""",IFERROR(INDEX(FILTER(Response_Lists!$B:$B,Response_Lists!$A:$A=$H334),5),""""))"),"")</f>
        <v/>
      </c>
      <c r="O334" s="28" t="str">
        <f>IFERROR(__xludf.DUMMYFUNCTION("IF($I333="""","""",IFERROR(INDEX(FILTER(Response_Lists!$B:$B,Response_Lists!$A:$A=$H334),6),""""))"),"")</f>
        <v/>
      </c>
      <c r="P334" s="28" t="str">
        <f t="shared" si="6"/>
        <v/>
      </c>
      <c r="Q334" s="28" t="str">
        <f t="array" ref="Q334">IF($I333="","",XLOOKUP(C334,FSM_State_Map!A:A,FSM_State_Map!D:D,""))</f>
        <v/>
      </c>
      <c r="R334" s="28" t="str">
        <f t="shared" si="7"/>
        <v/>
      </c>
      <c r="S334" s="28" t="str">
        <f t="array" ref="S334">IF($I333="","",
IF(
  AND(C334="B",C333&lt;&gt;"B"),
  XLOOKUP($B334,Derived_Variables!$A:$A,Derived_Variables!$K:$K,0)
  + XLOOKUP($B334,Derived_Variables!$A:$A,Derived_Variables!$AE:$AE,0),
  S333+AM333
))</f>
        <v/>
      </c>
      <c r="T334" s="28" t="str">
        <f t="shared" ref="T334:U334" si="678">IF($I333="","",T333+AN333)</f>
        <v/>
      </c>
      <c r="U334" s="28" t="str">
        <f t="shared" si="678"/>
        <v/>
      </c>
      <c r="V334" s="28" t="str">
        <f t="array" ref="V334">IF($I333="","",
IF(
  AND(C334="D",C333&lt;&gt;"D"),
  XLOOKUP($B334,Derived_Variables!$A:$A,Derived_Variables!$N:$N,0)
  + XLOOKUP($B334,Derived_Variables!$A:$A,Derived_Variables!$AE:$AE,0),
  V333+AP333
))</f>
        <v/>
      </c>
      <c r="W334" s="28" t="str">
        <f t="shared" ref="W334:X334" si="679">IF($I333="","",W333+AQ333)</f>
        <v/>
      </c>
      <c r="X334" s="28" t="str">
        <f t="shared" si="679"/>
        <v/>
      </c>
      <c r="Y334" s="28" t="str">
        <f t="array" ref="Y334">IF($I333="","",IF(AND(C334="P",C333&lt;&gt;"P"),IFERROR(XLOOKUP($B334,Lenso_Input!$A:$A,Lenso_Input!$E:$E,0),0),Y333+AS333))</f>
        <v/>
      </c>
      <c r="Z334" s="28" t="str">
        <f t="array" ref="Z334">IF($I333="","",IF(AND(C334="Q",C333&lt;&gt;"Q"),IFERROR(XLOOKUP($B334,Lenso_Input!$A:$A,Lenso_Input!$I:$I,0),0),Z333+AT333))</f>
        <v/>
      </c>
      <c r="AA334" s="28" t="str">
        <f t="array" ref="AA334">IF($I333="","",IF(XLOOKUP($B334,Derived_Variables!$A:$A,Derived_Variables!$R:$R,"6/6_target")="6/6_target","20_20_20","40_30_25"))</f>
        <v/>
      </c>
      <c r="AB334" s="28" t="str">
        <f t="array" ref="AB334">IF($I333="","",XLOOKUP(LOWER(XLOOKUP($B334,Derived_Variables!$A:$A,Derived_Variables!$T:$T,"Standard"))&amp;"_sph_step",Calibration!$B:$B,Calibration!$C:$C,0.25))</f>
        <v/>
      </c>
      <c r="AC334" s="28" t="str">
        <f t="array" ref="AC334">IF($I333="","",XLOOKUP(LOWER(XLOOKUP($B334,Derived_Variables!$A:$A,Derived_Variables!$T:$T,"Standard"))&amp;"_cyl_step",Calibration!$B:$B,Calibration!$C:$C,0.25))</f>
        <v/>
      </c>
      <c r="AD334" s="28" t="str">
        <f t="array" ref="AD334">IF($I333="","",IF(OR(C334="E",C334="H"),LET(startStep,XLOOKUP("axis_start_step",Calibration!$B:$B,Calibration!$C:$C,5),step1,XLOOKUP("axis_reversal_step_1",Calibration!$B:$B,Calibration!$C:$C,3),step2,XLOOKUP("axis_reversal_step_2",Calibration!$B:$B,Calibration!$C:$C,1),IF(OR(C333&lt;&gt;C334,AZ334="",AZ334="SAME",AZ334="CANT_TELL",I334="",I334="SAME",I334="CANT_TELL"),startStep,IF(OR(AND(AZ334="BETTER_1",I334="BETTER_2"),AND(AZ334="BETTER_2",I334="BETTER_1")),IF(AD333&gt;step1,step1,step2),AD333))),0))</f>
        <v/>
      </c>
      <c r="AE334" s="28" t="str">
        <f t="array" ref="AE334">IF($I333="","",XLOOKUP($B334,Derived_Variables!$A:$A,Derived_Variables!$AD:$AD,"No_Fog"))</f>
        <v/>
      </c>
      <c r="AF334" s="28" t="str">
        <f t="array" ref="AF334">IF($I333="","",XLOOKUP($B334,Derived_Variables!$A:$A,Derived_Variables!$AE:$AE,0))</f>
        <v/>
      </c>
      <c r="AG334" s="28" t="str">
        <f t="array" ref="AG334">IF($I333="","",XLOOKUP($B334,Derived_Variables!$A:$A,Derived_Variables!$AF:$AF,""))</f>
        <v/>
      </c>
      <c r="AH334" s="28" t="str">
        <f t="array" ref="AH334">IF($I333="","",XLOOKUP($B334,Derived_Variables!$A:$A,Derived_Variables!$AG:$AG,""))</f>
        <v/>
      </c>
      <c r="AI334" s="28" t="str">
        <f t="array" ref="AI334">IF($I333="","",XLOOKUP($B334,Derived_Variables!$A:$A,Derived_Variables!$AC:$AC,"Medium"))</f>
        <v/>
      </c>
      <c r="AJ334" s="28" t="str">
        <f t="array" ref="AJ334">IF($I333="","",XLOOKUP($B334,Derived_Variables!$A:$A,Derived_Variables!$Y:$Y,FALSE))</f>
        <v/>
      </c>
      <c r="AK334" s="28" t="str">
        <f t="array" ref="AK334">IF($I333="","",XLOOKUP($B334,Derived_Variables!$A:$A,Derived_Variables!$AA:$AA,"Normal"))</f>
        <v/>
      </c>
      <c r="AL334" s="28" t="str">
        <f t="array" ref="AL334">IF($I333="","",XLOOKUP($B334,Derived_Variables!$A:$A,Derived_Variables!$AB:$AB,"Normal"))</f>
        <v/>
      </c>
      <c r="AM334" s="28" t="str">
        <f t="array" ref="AM334">IF($I334="","",IFS(C334="B",IF(OR(I334="NOT_READABLE",I334="BLURRY"),-AB334,0),C334="G",IFS(I334="RED_CLEARER",XLOOKUP("duochrome_red_step",Calibration!$B:$B,Calibration!$C:$C,-0.25),I334="GREEN_CLEARER",XLOOKUP("duochrome_green_step",Calibration!$B:$B,Calibration!$C:$C,0.25),I334="EQUAL",IF(XLOOKUP($B334,Derived_Variables!$A:$A,Derived_Variables!$S:$S,"Neutral")="Undercorrect",XLOOKUP("undercorrect_step",Calibration!$B:$B,Calibration!$C:$C,0.25),IF(XLOOKUP($B334,Derived_Variables!$A:$A,Derived_Variables!$S:$S,"Neutral")="Overcorrect",-XLOOKUP("overcorrect_step",Calibration!$B:$B,Calibration!$C:$C,0.25),0)),TRUE,0),C334="K",IF(I334="TOP_CLEARER",XLOOKUP("bino_balance_step",Calibration!$B:$B,Calibration!$C:$C,0.25),0),TRUE,0))</f>
        <v/>
      </c>
      <c r="AN334" s="28" t="str">
        <f t="shared" si="10"/>
        <v/>
      </c>
      <c r="AO334" s="28" t="str">
        <f t="shared" si="11"/>
        <v/>
      </c>
      <c r="AP334" s="28" t="str">
        <f t="array" ref="AP334">IF($I334="","",IFS(C334="D",IF(OR(I334="NOT_READABLE",I334="BLURRY"),-AB334,0),C334="J",IFS(I334="RED_CLEARER",XLOOKUP("duochrome_red_step",Calibration!$B:$B,Calibration!$C:$C,-0.25),I334="GREEN_CLEARER",XLOOKUP("duochrome_green_step",Calibration!$B:$B,Calibration!$C:$C,0.25),I334="EQUAL",IF(XLOOKUP($B334,Derived_Variables!$A:$A,Derived_Variables!$S:$S,"Neutral")="Undercorrect",XLOOKUP("undercorrect_step",Calibration!$B:$B,Calibration!$C:$C,0.25),IF(XLOOKUP($B334,Derived_Variables!$A:$A,Derived_Variables!$S:$S,"Neutral")="Overcorrect",-XLOOKUP("overcorrect_step",Calibration!$B:$B,Calibration!$C:$C,0.25),0)),TRUE,0),C334="K",IF(I334="BOTTOM_CLEARER",XLOOKUP("bino_balance_step",Calibration!$B:$B,Calibration!$C:$C,0.25),0),TRUE,0))</f>
        <v/>
      </c>
      <c r="AQ334" s="28" t="str">
        <f t="shared" si="12"/>
        <v/>
      </c>
      <c r="AR334" s="28" t="str">
        <f t="shared" si="13"/>
        <v/>
      </c>
      <c r="AS334" s="28" t="str">
        <f t="array" ref="AS334">IF($I334="","",IF(C334="P",IF(OR(I334="NOT_READABLE",I334="BLURRY"),XLOOKUP("near_add_step",Calibration!$B:$B,Calibration!$C:$C,0.25),0),IF(C334="R",IF(I334="NOT_CLEAR",XLOOKUP("near_add_step",Calibration!$B:$B,Calibration!$C:$C,0.25),0),0)))</f>
        <v/>
      </c>
      <c r="AT334" s="28" t="str">
        <f t="array" ref="AT334">IF($I334="","",IF(C334="Q",IF(OR(I334="NOT_READABLE",I334="BLURRY"),XLOOKUP("near_add_step",Calibration!$B:$B,Calibration!$C:$C,0.25),0),IF(C334="R",IF(I334="NOT_CLEAR",XLOOKUP("near_add_step",Calibration!$B:$B,Calibration!$C:$C,0.25),0),0)))</f>
        <v/>
      </c>
      <c r="AU334" s="28" t="str">
        <f t="array" ref="AU334">IF($I334="","",IF(G334="SNELLEN_FEET",IF(I334="READABLE",IFERROR(XLOOKUP(XLOOKUP(R334,Chart_Scale_Distance!B:B,Chart_Scale_Distance!A:A)+1,Chart_Scale_Distance!A:A,Chart_Scale_Distance!B:B),R334),R334),R334))</f>
        <v/>
      </c>
      <c r="AV334" s="28" t="str">
        <f t="array" ref="AV334">IF($I333="","",IFERROR(XLOOKUP(R334,Chart_Scale_Distance!$B:$B,Chart_Scale_Distance!$A:$A,""),""))</f>
        <v/>
      </c>
      <c r="AW334" s="28" t="str">
        <f t="array" ref="AW334">IF($I333="","",IFERROR(XLOOKUP(AA334,Chart_Scale_Distance!$B:$B,Chart_Scale_Distance!$A:$A,""),""))</f>
        <v/>
      </c>
      <c r="AX334" s="28" t="str">
        <f t="shared" si="14"/>
        <v/>
      </c>
      <c r="AY334" s="28" t="str">
        <f t="shared" si="15"/>
        <v/>
      </c>
      <c r="AZ334" s="28" t="str">
        <f t="shared" si="16"/>
        <v/>
      </c>
      <c r="BA334" s="28" t="str">
        <f t="shared" si="17"/>
        <v/>
      </c>
      <c r="BB334" s="28" t="str">
        <f t="shared" si="18"/>
        <v/>
      </c>
      <c r="BC334" s="28" t="str">
        <f t="array" ref="BC334">IF($I334="","",LET(
conf,AI334,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duoMax,XLOOKUP($B334,Derived_Variables!$A:$A,Derived_Variables!$AI:$AI,4),
axisTol,XLOOKUP($B334,Derived_Variables!$A:$A,Derived_Variables!$W:$W,1),
maxStart,XLOOKUP($B334,Derived_Variables!$A:$A,Derived_Variables!$U:$U,1.25),
maxAR,XLOOKUP($B334,Derived_Variables!$A:$A,Derived_Variables!$V:$V,3),
anom,XLOOKUP($B334,Derived_Variables!$A:$A,Derived_Variables!$Z:$Z,FALSE),
reStart,XLOOKUP($B334,Derived_Variables!$A:$A,Derived_Variables!$K:$K,0),
leStart,XLOOKUP($B334,Derived_Variables!$A:$A,Derived_Variables!$N:$N,0),
reAR,XLOOKUP($B334,AR_Input!$A:$A,AR_Input!$B:$B,reStart),
leAR,XLOOKUP($B334,AR_Input!$A:$A,AR_Input!$E:$E,leStart),
reEsc,AND(anom,OR(ABS((S334+AM334)-reStart)&gt;maxStart,ABS((S334+AM334)-reAR)&gt;maxAR)),
leEsc,AND(anom,OR(ABS((V334+AP334)-leStart)&gt;maxStart,ABS((V334+AP334)-leAR)&gt;maxAR)),
phaseMax,IFS(
 AK334="Fast",
   IFS(
     OR(C334="B",C334="D"),XLOOKUP("timeout_coarse_fast",Calibration!$B:$B,Calibration!$C:$C,24),
     OR(C334="E",C334="F",C334="H",C334="I"),XLOOKUP("timeout_jcc_fast",Calibration!$B:$B,Calibration!$C:$C,10),
     OR(C334="G",C334="J"),XLOOKUP("timeout_duochrome_fast",Calibration!$B:$B,Calibration!$C:$C,8),
     C334="K",XLOOKUP("timeout_bino_fast",Calibration!$B:$B,Calibration!$C:$C,10),
     OR(C334="P",C334="Q",C334="R"),XLOOKUP("timeout_near_fast",Calibration!$B:$B,Calibration!$C:$C,16),
     TRUE,XLOOKUP("timeout_coarse_fast",Calibration!$B:$B,Calibration!$C:$C,24)
   ),
 AK334="Normal",
   IFS(
     OR(C334="B",C334="D"),XLOOKUP("timeout_coarse_normal",Calibration!$B:$B,Calibration!$C:$C,36),
     OR(C334="E",C334="F",C334="H",C334="I"),XLOOKUP("timeout_jcc_normal",Calibration!$B:$B,Calibration!$C:$C,14),
     OR(C334="G",C334="J"),XLOOKUP("timeout_duochrome_normal",Calibration!$B:$B,Calibration!$C:$C,10),
     C334="K",XLOOKUP("timeout_bino_normal",Calibration!$B:$B,Calibration!$C:$C,14),
     OR(C334="P",C334="Q",C334="R"),XLOOKUP("timeout_near_normal",Calibration!$B:$B,Calibration!$C:$C,22),
     TRUE,XLOOKUP("timeout_coarse_normal",Calibration!$B:$B,Calibration!$C:$C,36)
   ),
 TRUE,
   IFS(
     OR(C334="B",C334="D"),XLOOKUP("timeout_coarse_slow",Calibration!$B:$B,Calibration!$C:$C,48),
     OR(C334="E",C334="F",C334="H",C334="I"),XLOOKUP("timeout_jcc_slow",Calibration!$B:$B,Calibration!$C:$C,18),
     OR(C334="G",C334="J"),XLOOKUP("timeout_duochrome_slow",Calibration!$B:$B,Calibration!$C:$C,12),
     C334="K",XLOOKUP("timeout_bino_slow",Calibration!$B:$B,Calibration!$C:$C,18),
     OR(C334="P",C334="Q",C334="R"),XLOOKUP("timeout_near_slow",Calibration!$B:$B,Calibration!$C:$C,28),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AJ334=TRUE,"ESCALATE",
C334="A",
IF(OR(I334="NOT_READABLE",I334="BLURRY",AND(R334="20_20_20",I334="READABLE")),"B","A"),
C334="B",
IF(reEsc,"ESCALATE",IF(AY334&gt;=phaseMax,"ESCALATE",IF(AND(AV334&gt;=AW334,I334="READABLE"),"E","B"))),
C334="E",
IF(AY334&gt;=phaseMax,"ESCALATE",IF(OR(I334="SAME",I334="CANT_TELL",AD334&lt;axisTol),"F","E")),
C334="F",
IF(AY334&gt;=phaseMax,"ESCALATE",IF(AX334&gt;=powerSameN,"G","F")),
C334="G",
IF(AY334&gt;=phaseMax,"ESCALATE",IF(OR(AX334&gt;=duoEqualN,BB334&gt;=duoMax),"D","G")),
C334="D",
IF(leEsc,"ESCALATE",IF(AY334&gt;=phaseMax,"ESCALATE",IF(AND(AV334&gt;=AW334,I334="READABLE"),"H","D"))),
C334="H",
IF(AY334&gt;=phaseMax,"ESCALATE",IF(OR(I334="SAME",I334="CANT_TELL",AD334&lt;axisTol),"I","H")),
C334="I",
IF(AY334&gt;=phaseMax,"ESCALATE",IF(AX334&gt;=powerSameN,"J","I")),
C334="J",
IF(AY334&gt;=phaseMax,"ESCALATE",IF(OR(AX334&gt;=duoEqualN,BB334&gt;=duoMax),"K","J")),
C334="K",
IF(AY334&gt;=phaseMax,"ESCALATE",IF(AX334&gt;=binoSameN,IF(XLOOKUP($B334,Derived_Variables!$A:$A,Derived_Variables!$AJ:$AJ,FALSE)=TRUE,"P","END"),"K")),
C334="P",
IF(AY334&gt;=phaseMax,"ESCALATE",IF(OR(I334="READABLE",I334="SAME"),"Q","P")),
C334="Q",
IF(AY334&gt;=phaseMax,"ESCALATE",IF(OR(I334="READABLE",I334="SAME"),"R","Q")),
C334="R",
IF(AY334&gt;=phaseMax,"ESCALATE",IF(OR(I334=nearTarget,I334="SAME"),"END","R")),
TRUE,"END"
)))</f>
        <v/>
      </c>
      <c r="BD334" s="28" t="b">
        <f t="shared" si="19"/>
        <v>0</v>
      </c>
    </row>
    <row r="335" ht="15.75" customHeight="1">
      <c r="A335" s="28">
        <f t="shared" si="3"/>
        <v>334</v>
      </c>
      <c r="B335" s="28">
        <f t="shared" si="4"/>
        <v>6</v>
      </c>
      <c r="C335" s="28" t="str">
        <f t="shared" si="5"/>
        <v/>
      </c>
      <c r="D335" s="28" t="str">
        <f t="array" ref="D335">IF($I334="","",XLOOKUP(C335,FSM_State_Map!A:A,FSM_State_Map!B:B,""))</f>
        <v/>
      </c>
      <c r="E335" s="28" t="str">
        <f t="array" ref="E335">IF($I334="","",XLOOKUP(C335,FSM_State_Map!A:A,FSM_State_Map!C:C,""))</f>
        <v/>
      </c>
      <c r="F335" s="28" t="str">
        <f t="array" ref="F335">IF($I334="","",XLOOKUP(E335,Phase_UI_Map!A:A,Phase_UI_Map!B:B,""))</f>
        <v/>
      </c>
      <c r="G335" s="28" t="str">
        <f t="array" ref="G335">IF($I334="","",XLOOKUP(E335,Phase_UI_Map!A:A,Phase_UI_Map!C:C,""))</f>
        <v/>
      </c>
      <c r="H335" s="28" t="str">
        <f t="array" ref="H335">IF($I334="","",XLOOKUP(E335,Phase_UI_Map!A:A,Phase_UI_Map!D:D,""))</f>
        <v/>
      </c>
      <c r="I335" s="29"/>
      <c r="J335" s="28" t="str">
        <f>IFERROR(__xludf.DUMMYFUNCTION("IF($I334="""","""",IFERROR(INDEX(FILTER(Response_Lists!$B:$B,Response_Lists!$A:$A=$H335),1),""""))"),"")</f>
        <v/>
      </c>
      <c r="K335" s="28" t="str">
        <f>IFERROR(__xludf.DUMMYFUNCTION("IF($I334="""","""",IFERROR(INDEX(FILTER(Response_Lists!$B:$B,Response_Lists!$A:$A=$H335),2),""""))"),"")</f>
        <v/>
      </c>
      <c r="L335" s="28" t="str">
        <f>IFERROR(__xludf.DUMMYFUNCTION("IF($I334="""","""",IFERROR(INDEX(FILTER(Response_Lists!$B:$B,Response_Lists!$A:$A=$H335),3),""""))"),"")</f>
        <v/>
      </c>
      <c r="M335" s="28" t="str">
        <f>IFERROR(__xludf.DUMMYFUNCTION("IF($I334="""","""",IFERROR(INDEX(FILTER(Response_Lists!$B:$B,Response_Lists!$A:$A=$H335),4),""""))"),"")</f>
        <v/>
      </c>
      <c r="N335" s="28" t="str">
        <f>IFERROR(__xludf.DUMMYFUNCTION("IF($I334="""","""",IFERROR(INDEX(FILTER(Response_Lists!$B:$B,Response_Lists!$A:$A=$H335),5),""""))"),"")</f>
        <v/>
      </c>
      <c r="O335" s="28" t="str">
        <f>IFERROR(__xludf.DUMMYFUNCTION("IF($I334="""","""",IFERROR(INDEX(FILTER(Response_Lists!$B:$B,Response_Lists!$A:$A=$H335),6),""""))"),"")</f>
        <v/>
      </c>
      <c r="P335" s="28" t="str">
        <f t="shared" si="6"/>
        <v/>
      </c>
      <c r="Q335" s="28" t="str">
        <f t="array" ref="Q335">IF($I334="","",XLOOKUP(C335,FSM_State_Map!A:A,FSM_State_Map!D:D,""))</f>
        <v/>
      </c>
      <c r="R335" s="28" t="str">
        <f t="shared" si="7"/>
        <v/>
      </c>
      <c r="S335" s="28" t="str">
        <f t="array" ref="S335">IF($I334="","",
IF(
  AND(C335="B",C334&lt;&gt;"B"),
  XLOOKUP($B335,Derived_Variables!$A:$A,Derived_Variables!$K:$K,0)
  + XLOOKUP($B335,Derived_Variables!$A:$A,Derived_Variables!$AE:$AE,0),
  S334+AM334
))</f>
        <v/>
      </c>
      <c r="T335" s="28" t="str">
        <f t="shared" ref="T335:U335" si="680">IF($I334="","",T334+AN334)</f>
        <v/>
      </c>
      <c r="U335" s="28" t="str">
        <f t="shared" si="680"/>
        <v/>
      </c>
      <c r="V335" s="28" t="str">
        <f t="array" ref="V335">IF($I334="","",
IF(
  AND(C335="D",C334&lt;&gt;"D"),
  XLOOKUP($B335,Derived_Variables!$A:$A,Derived_Variables!$N:$N,0)
  + XLOOKUP($B335,Derived_Variables!$A:$A,Derived_Variables!$AE:$AE,0),
  V334+AP334
))</f>
        <v/>
      </c>
      <c r="W335" s="28" t="str">
        <f t="shared" ref="W335:X335" si="681">IF($I334="","",W334+AQ334)</f>
        <v/>
      </c>
      <c r="X335" s="28" t="str">
        <f t="shared" si="681"/>
        <v/>
      </c>
      <c r="Y335" s="28" t="str">
        <f t="array" ref="Y335">IF($I334="","",IF(AND(C335="P",C334&lt;&gt;"P"),IFERROR(XLOOKUP($B335,Lenso_Input!$A:$A,Lenso_Input!$E:$E,0),0),Y334+AS334))</f>
        <v/>
      </c>
      <c r="Z335" s="28" t="str">
        <f t="array" ref="Z335">IF($I334="","",IF(AND(C335="Q",C334&lt;&gt;"Q"),IFERROR(XLOOKUP($B335,Lenso_Input!$A:$A,Lenso_Input!$I:$I,0),0),Z334+AT334))</f>
        <v/>
      </c>
      <c r="AA335" s="28" t="str">
        <f t="array" ref="AA335">IF($I334="","",IF(XLOOKUP($B335,Derived_Variables!$A:$A,Derived_Variables!$R:$R,"6/6_target")="6/6_target","20_20_20","40_30_25"))</f>
        <v/>
      </c>
      <c r="AB335" s="28" t="str">
        <f t="array" ref="AB335">IF($I334="","",XLOOKUP(LOWER(XLOOKUP($B335,Derived_Variables!$A:$A,Derived_Variables!$T:$T,"Standard"))&amp;"_sph_step",Calibration!$B:$B,Calibration!$C:$C,0.25))</f>
        <v/>
      </c>
      <c r="AC335" s="28" t="str">
        <f t="array" ref="AC335">IF($I334="","",XLOOKUP(LOWER(XLOOKUP($B335,Derived_Variables!$A:$A,Derived_Variables!$T:$T,"Standard"))&amp;"_cyl_step",Calibration!$B:$B,Calibration!$C:$C,0.25))</f>
        <v/>
      </c>
      <c r="AD335" s="28" t="str">
        <f t="array" ref="AD335">IF($I334="","",IF(OR(C335="E",C335="H"),LET(startStep,XLOOKUP("axis_start_step",Calibration!$B:$B,Calibration!$C:$C,5),step1,XLOOKUP("axis_reversal_step_1",Calibration!$B:$B,Calibration!$C:$C,3),step2,XLOOKUP("axis_reversal_step_2",Calibration!$B:$B,Calibration!$C:$C,1),IF(OR(C334&lt;&gt;C335,AZ335="",AZ335="SAME",AZ335="CANT_TELL",I335="",I335="SAME",I335="CANT_TELL"),startStep,IF(OR(AND(AZ335="BETTER_1",I335="BETTER_2"),AND(AZ335="BETTER_2",I335="BETTER_1")),IF(AD334&gt;step1,step1,step2),AD334))),0))</f>
        <v/>
      </c>
      <c r="AE335" s="28" t="str">
        <f t="array" ref="AE335">IF($I334="","",XLOOKUP($B335,Derived_Variables!$A:$A,Derived_Variables!$AD:$AD,"No_Fog"))</f>
        <v/>
      </c>
      <c r="AF335" s="28" t="str">
        <f t="array" ref="AF335">IF($I334="","",XLOOKUP($B335,Derived_Variables!$A:$A,Derived_Variables!$AE:$AE,0))</f>
        <v/>
      </c>
      <c r="AG335" s="28" t="str">
        <f t="array" ref="AG335">IF($I334="","",XLOOKUP($B335,Derived_Variables!$A:$A,Derived_Variables!$AF:$AF,""))</f>
        <v/>
      </c>
      <c r="AH335" s="28" t="str">
        <f t="array" ref="AH335">IF($I334="","",XLOOKUP($B335,Derived_Variables!$A:$A,Derived_Variables!$AG:$AG,""))</f>
        <v/>
      </c>
      <c r="AI335" s="28" t="str">
        <f t="array" ref="AI335">IF($I334="","",XLOOKUP($B335,Derived_Variables!$A:$A,Derived_Variables!$AC:$AC,"Medium"))</f>
        <v/>
      </c>
      <c r="AJ335" s="28" t="str">
        <f t="array" ref="AJ335">IF($I334="","",XLOOKUP($B335,Derived_Variables!$A:$A,Derived_Variables!$Y:$Y,FALSE))</f>
        <v/>
      </c>
      <c r="AK335" s="28" t="str">
        <f t="array" ref="AK335">IF($I334="","",XLOOKUP($B335,Derived_Variables!$A:$A,Derived_Variables!$AA:$AA,"Normal"))</f>
        <v/>
      </c>
      <c r="AL335" s="28" t="str">
        <f t="array" ref="AL335">IF($I334="","",XLOOKUP($B335,Derived_Variables!$A:$A,Derived_Variables!$AB:$AB,"Normal"))</f>
        <v/>
      </c>
      <c r="AM335" s="28" t="str">
        <f t="array" ref="AM335">IF($I335="","",IFS(C335="B",IF(OR(I335="NOT_READABLE",I335="BLURRY"),-AB335,0),C335="G",IFS(I335="RED_CLEARER",XLOOKUP("duochrome_red_step",Calibration!$B:$B,Calibration!$C:$C,-0.25),I335="GREEN_CLEARER",XLOOKUP("duochrome_green_step",Calibration!$B:$B,Calibration!$C:$C,0.25),I335="EQUAL",IF(XLOOKUP($B335,Derived_Variables!$A:$A,Derived_Variables!$S:$S,"Neutral")="Undercorrect",XLOOKUP("undercorrect_step",Calibration!$B:$B,Calibration!$C:$C,0.25),IF(XLOOKUP($B335,Derived_Variables!$A:$A,Derived_Variables!$S:$S,"Neutral")="Overcorrect",-XLOOKUP("overcorrect_step",Calibration!$B:$B,Calibration!$C:$C,0.25),0)),TRUE,0),C335="K",IF(I335="TOP_CLEARER",XLOOKUP("bino_balance_step",Calibration!$B:$B,Calibration!$C:$C,0.25),0),TRUE,0))</f>
        <v/>
      </c>
      <c r="AN335" s="28" t="str">
        <f t="shared" si="10"/>
        <v/>
      </c>
      <c r="AO335" s="28" t="str">
        <f t="shared" si="11"/>
        <v/>
      </c>
      <c r="AP335" s="28" t="str">
        <f t="array" ref="AP335">IF($I335="","",IFS(C335="D",IF(OR(I335="NOT_READABLE",I335="BLURRY"),-AB335,0),C335="J",IFS(I335="RED_CLEARER",XLOOKUP("duochrome_red_step",Calibration!$B:$B,Calibration!$C:$C,-0.25),I335="GREEN_CLEARER",XLOOKUP("duochrome_green_step",Calibration!$B:$B,Calibration!$C:$C,0.25),I335="EQUAL",IF(XLOOKUP($B335,Derived_Variables!$A:$A,Derived_Variables!$S:$S,"Neutral")="Undercorrect",XLOOKUP("undercorrect_step",Calibration!$B:$B,Calibration!$C:$C,0.25),IF(XLOOKUP($B335,Derived_Variables!$A:$A,Derived_Variables!$S:$S,"Neutral")="Overcorrect",-XLOOKUP("overcorrect_step",Calibration!$B:$B,Calibration!$C:$C,0.25),0)),TRUE,0),C335="K",IF(I335="BOTTOM_CLEARER",XLOOKUP("bino_balance_step",Calibration!$B:$B,Calibration!$C:$C,0.25),0),TRUE,0))</f>
        <v/>
      </c>
      <c r="AQ335" s="28" t="str">
        <f t="shared" si="12"/>
        <v/>
      </c>
      <c r="AR335" s="28" t="str">
        <f t="shared" si="13"/>
        <v/>
      </c>
      <c r="AS335" s="28" t="str">
        <f t="array" ref="AS335">IF($I335="","",IF(C335="P",IF(OR(I335="NOT_READABLE",I335="BLURRY"),XLOOKUP("near_add_step",Calibration!$B:$B,Calibration!$C:$C,0.25),0),IF(C335="R",IF(I335="NOT_CLEAR",XLOOKUP("near_add_step",Calibration!$B:$B,Calibration!$C:$C,0.25),0),0)))</f>
        <v/>
      </c>
      <c r="AT335" s="28" t="str">
        <f t="array" ref="AT335">IF($I335="","",IF(C335="Q",IF(OR(I335="NOT_READABLE",I335="BLURRY"),XLOOKUP("near_add_step",Calibration!$B:$B,Calibration!$C:$C,0.25),0),IF(C335="R",IF(I335="NOT_CLEAR",XLOOKUP("near_add_step",Calibration!$B:$B,Calibration!$C:$C,0.25),0),0)))</f>
        <v/>
      </c>
      <c r="AU335" s="28" t="str">
        <f t="array" ref="AU335">IF($I335="","",IF(G335="SNELLEN_FEET",IF(I335="READABLE",IFERROR(XLOOKUP(XLOOKUP(R335,Chart_Scale_Distance!B:B,Chart_Scale_Distance!A:A)+1,Chart_Scale_Distance!A:A,Chart_Scale_Distance!B:B),R335),R335),R335))</f>
        <v/>
      </c>
      <c r="AV335" s="28" t="str">
        <f t="array" ref="AV335">IF($I334="","",IFERROR(XLOOKUP(R335,Chart_Scale_Distance!$B:$B,Chart_Scale_Distance!$A:$A,""),""))</f>
        <v/>
      </c>
      <c r="AW335" s="28" t="str">
        <f t="array" ref="AW335">IF($I334="","",IFERROR(XLOOKUP(AA335,Chart_Scale_Distance!$B:$B,Chart_Scale_Distance!$A:$A,""),""))</f>
        <v/>
      </c>
      <c r="AX335" s="28" t="str">
        <f t="shared" si="14"/>
        <v/>
      </c>
      <c r="AY335" s="28" t="str">
        <f t="shared" si="15"/>
        <v/>
      </c>
      <c r="AZ335" s="28" t="str">
        <f t="shared" si="16"/>
        <v/>
      </c>
      <c r="BA335" s="28" t="str">
        <f t="shared" si="17"/>
        <v/>
      </c>
      <c r="BB335" s="28" t="str">
        <f t="shared" si="18"/>
        <v/>
      </c>
      <c r="BC335" s="28" t="str">
        <f t="array" ref="BC335">IF($I335="","",LET(
conf,AI335,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duoMax,XLOOKUP($B335,Derived_Variables!$A:$A,Derived_Variables!$AI:$AI,4),
axisTol,XLOOKUP($B335,Derived_Variables!$A:$A,Derived_Variables!$W:$W,1),
maxStart,XLOOKUP($B335,Derived_Variables!$A:$A,Derived_Variables!$U:$U,1.25),
maxAR,XLOOKUP($B335,Derived_Variables!$A:$A,Derived_Variables!$V:$V,3),
anom,XLOOKUP($B335,Derived_Variables!$A:$A,Derived_Variables!$Z:$Z,FALSE),
reStart,XLOOKUP($B335,Derived_Variables!$A:$A,Derived_Variables!$K:$K,0),
leStart,XLOOKUP($B335,Derived_Variables!$A:$A,Derived_Variables!$N:$N,0),
reAR,XLOOKUP($B335,AR_Input!$A:$A,AR_Input!$B:$B,reStart),
leAR,XLOOKUP($B335,AR_Input!$A:$A,AR_Input!$E:$E,leStart),
reEsc,AND(anom,OR(ABS((S335+AM335)-reStart)&gt;maxStart,ABS((S335+AM335)-reAR)&gt;maxAR)),
leEsc,AND(anom,OR(ABS((V335+AP335)-leStart)&gt;maxStart,ABS((V335+AP335)-leAR)&gt;maxAR)),
phaseMax,IFS(
 AK335="Fast",
   IFS(
     OR(C335="B",C335="D"),XLOOKUP("timeout_coarse_fast",Calibration!$B:$B,Calibration!$C:$C,24),
     OR(C335="E",C335="F",C335="H",C335="I"),XLOOKUP("timeout_jcc_fast",Calibration!$B:$B,Calibration!$C:$C,10),
     OR(C335="G",C335="J"),XLOOKUP("timeout_duochrome_fast",Calibration!$B:$B,Calibration!$C:$C,8),
     C335="K",XLOOKUP("timeout_bino_fast",Calibration!$B:$B,Calibration!$C:$C,10),
     OR(C335="P",C335="Q",C335="R"),XLOOKUP("timeout_near_fast",Calibration!$B:$B,Calibration!$C:$C,16),
     TRUE,XLOOKUP("timeout_coarse_fast",Calibration!$B:$B,Calibration!$C:$C,24)
   ),
 AK335="Normal",
   IFS(
     OR(C335="B",C335="D"),XLOOKUP("timeout_coarse_normal",Calibration!$B:$B,Calibration!$C:$C,36),
     OR(C335="E",C335="F",C335="H",C335="I"),XLOOKUP("timeout_jcc_normal",Calibration!$B:$B,Calibration!$C:$C,14),
     OR(C335="G",C335="J"),XLOOKUP("timeout_duochrome_normal",Calibration!$B:$B,Calibration!$C:$C,10),
     C335="K",XLOOKUP("timeout_bino_normal",Calibration!$B:$B,Calibration!$C:$C,14),
     OR(C335="P",C335="Q",C335="R"),XLOOKUP("timeout_near_normal",Calibration!$B:$B,Calibration!$C:$C,22),
     TRUE,XLOOKUP("timeout_coarse_normal",Calibration!$B:$B,Calibration!$C:$C,36)
   ),
 TRUE,
   IFS(
     OR(C335="B",C335="D"),XLOOKUP("timeout_coarse_slow",Calibration!$B:$B,Calibration!$C:$C,48),
     OR(C335="E",C335="F",C335="H",C335="I"),XLOOKUP("timeout_jcc_slow",Calibration!$B:$B,Calibration!$C:$C,18),
     OR(C335="G",C335="J"),XLOOKUP("timeout_duochrome_slow",Calibration!$B:$B,Calibration!$C:$C,12),
     C335="K",XLOOKUP("timeout_bino_slow",Calibration!$B:$B,Calibration!$C:$C,18),
     OR(C335="P",C335="Q",C335="R"),XLOOKUP("timeout_near_slow",Calibration!$B:$B,Calibration!$C:$C,28),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AJ335=TRUE,"ESCALATE",
C335="A",
IF(OR(I335="NOT_READABLE",I335="BLURRY",AND(R335="20_20_20",I335="READABLE")),"B","A"),
C335="B",
IF(reEsc,"ESCALATE",IF(AY335&gt;=phaseMax,"ESCALATE",IF(AND(AV335&gt;=AW335,I335="READABLE"),"E","B"))),
C335="E",
IF(AY335&gt;=phaseMax,"ESCALATE",IF(OR(I335="SAME",I335="CANT_TELL",AD335&lt;axisTol),"F","E")),
C335="F",
IF(AY335&gt;=phaseMax,"ESCALATE",IF(AX335&gt;=powerSameN,"G","F")),
C335="G",
IF(AY335&gt;=phaseMax,"ESCALATE",IF(OR(AX335&gt;=duoEqualN,BB335&gt;=duoMax),"D","G")),
C335="D",
IF(leEsc,"ESCALATE",IF(AY335&gt;=phaseMax,"ESCALATE",IF(AND(AV335&gt;=AW335,I335="READABLE"),"H","D"))),
C335="H",
IF(AY335&gt;=phaseMax,"ESCALATE",IF(OR(I335="SAME",I335="CANT_TELL",AD335&lt;axisTol),"I","H")),
C335="I",
IF(AY335&gt;=phaseMax,"ESCALATE",IF(AX335&gt;=powerSameN,"J","I")),
C335="J",
IF(AY335&gt;=phaseMax,"ESCALATE",IF(OR(AX335&gt;=duoEqualN,BB335&gt;=duoMax),"K","J")),
C335="K",
IF(AY335&gt;=phaseMax,"ESCALATE",IF(AX335&gt;=binoSameN,IF(XLOOKUP($B335,Derived_Variables!$A:$A,Derived_Variables!$AJ:$AJ,FALSE)=TRUE,"P","END"),"K")),
C335="P",
IF(AY335&gt;=phaseMax,"ESCALATE",IF(OR(I335="READABLE",I335="SAME"),"Q","P")),
C335="Q",
IF(AY335&gt;=phaseMax,"ESCALATE",IF(OR(I335="READABLE",I335="SAME"),"R","Q")),
C335="R",
IF(AY335&gt;=phaseMax,"ESCALATE",IF(OR(I335=nearTarget,I335="SAME"),"END","R")),
TRUE,"END"
)))</f>
        <v/>
      </c>
      <c r="BD335" s="28" t="b">
        <f t="shared" si="19"/>
        <v>0</v>
      </c>
    </row>
    <row r="336" ht="15.75" customHeight="1">
      <c r="A336" s="28">
        <f t="shared" si="3"/>
        <v>335</v>
      </c>
      <c r="B336" s="28">
        <f t="shared" si="4"/>
        <v>6</v>
      </c>
      <c r="C336" s="28" t="str">
        <f t="shared" si="5"/>
        <v/>
      </c>
      <c r="D336" s="28" t="str">
        <f t="array" ref="D336">IF($I335="","",XLOOKUP(C336,FSM_State_Map!A:A,FSM_State_Map!B:B,""))</f>
        <v/>
      </c>
      <c r="E336" s="28" t="str">
        <f t="array" ref="E336">IF($I335="","",XLOOKUP(C336,FSM_State_Map!A:A,FSM_State_Map!C:C,""))</f>
        <v/>
      </c>
      <c r="F336" s="28" t="str">
        <f t="array" ref="F336">IF($I335="","",XLOOKUP(E336,Phase_UI_Map!A:A,Phase_UI_Map!B:B,""))</f>
        <v/>
      </c>
      <c r="G336" s="28" t="str">
        <f t="array" ref="G336">IF($I335="","",XLOOKUP(E336,Phase_UI_Map!A:A,Phase_UI_Map!C:C,""))</f>
        <v/>
      </c>
      <c r="H336" s="28" t="str">
        <f t="array" ref="H336">IF($I335="","",XLOOKUP(E336,Phase_UI_Map!A:A,Phase_UI_Map!D:D,""))</f>
        <v/>
      </c>
      <c r="I336" s="29"/>
      <c r="J336" s="28" t="str">
        <f>IFERROR(__xludf.DUMMYFUNCTION("IF($I335="""","""",IFERROR(INDEX(FILTER(Response_Lists!$B:$B,Response_Lists!$A:$A=$H336),1),""""))"),"")</f>
        <v/>
      </c>
      <c r="K336" s="28" t="str">
        <f>IFERROR(__xludf.DUMMYFUNCTION("IF($I335="""","""",IFERROR(INDEX(FILTER(Response_Lists!$B:$B,Response_Lists!$A:$A=$H336),2),""""))"),"")</f>
        <v/>
      </c>
      <c r="L336" s="28" t="str">
        <f>IFERROR(__xludf.DUMMYFUNCTION("IF($I335="""","""",IFERROR(INDEX(FILTER(Response_Lists!$B:$B,Response_Lists!$A:$A=$H336),3),""""))"),"")</f>
        <v/>
      </c>
      <c r="M336" s="28" t="str">
        <f>IFERROR(__xludf.DUMMYFUNCTION("IF($I335="""","""",IFERROR(INDEX(FILTER(Response_Lists!$B:$B,Response_Lists!$A:$A=$H336),4),""""))"),"")</f>
        <v/>
      </c>
      <c r="N336" s="28" t="str">
        <f>IFERROR(__xludf.DUMMYFUNCTION("IF($I335="""","""",IFERROR(INDEX(FILTER(Response_Lists!$B:$B,Response_Lists!$A:$A=$H336),5),""""))"),"")</f>
        <v/>
      </c>
      <c r="O336" s="28" t="str">
        <f>IFERROR(__xludf.DUMMYFUNCTION("IF($I335="""","""",IFERROR(INDEX(FILTER(Response_Lists!$B:$B,Response_Lists!$A:$A=$H336),6),""""))"),"")</f>
        <v/>
      </c>
      <c r="P336" s="28" t="str">
        <f t="shared" si="6"/>
        <v/>
      </c>
      <c r="Q336" s="28" t="str">
        <f t="array" ref="Q336">IF($I335="","",XLOOKUP(C336,FSM_State_Map!A:A,FSM_State_Map!D:D,""))</f>
        <v/>
      </c>
      <c r="R336" s="28" t="str">
        <f t="shared" si="7"/>
        <v/>
      </c>
      <c r="S336" s="28" t="str">
        <f t="array" ref="S336">IF($I335="","",
IF(
  AND(C336="B",C335&lt;&gt;"B"),
  XLOOKUP($B336,Derived_Variables!$A:$A,Derived_Variables!$K:$K,0)
  + XLOOKUP($B336,Derived_Variables!$A:$A,Derived_Variables!$AE:$AE,0),
  S335+AM335
))</f>
        <v/>
      </c>
      <c r="T336" s="28" t="str">
        <f t="shared" ref="T336:U336" si="682">IF($I335="","",T335+AN335)</f>
        <v/>
      </c>
      <c r="U336" s="28" t="str">
        <f t="shared" si="682"/>
        <v/>
      </c>
      <c r="V336" s="28" t="str">
        <f t="array" ref="V336">IF($I335="","",
IF(
  AND(C336="D",C335&lt;&gt;"D"),
  XLOOKUP($B336,Derived_Variables!$A:$A,Derived_Variables!$N:$N,0)
  + XLOOKUP($B336,Derived_Variables!$A:$A,Derived_Variables!$AE:$AE,0),
  V335+AP335
))</f>
        <v/>
      </c>
      <c r="W336" s="28" t="str">
        <f t="shared" ref="W336:X336" si="683">IF($I335="","",W335+AQ335)</f>
        <v/>
      </c>
      <c r="X336" s="28" t="str">
        <f t="shared" si="683"/>
        <v/>
      </c>
      <c r="Y336" s="28" t="str">
        <f t="array" ref="Y336">IF($I335="","",IF(AND(C336="P",C335&lt;&gt;"P"),IFERROR(XLOOKUP($B336,Lenso_Input!$A:$A,Lenso_Input!$E:$E,0),0),Y335+AS335))</f>
        <v/>
      </c>
      <c r="Z336" s="28" t="str">
        <f t="array" ref="Z336">IF($I335="","",IF(AND(C336="Q",C335&lt;&gt;"Q"),IFERROR(XLOOKUP($B336,Lenso_Input!$A:$A,Lenso_Input!$I:$I,0),0),Z335+AT335))</f>
        <v/>
      </c>
      <c r="AA336" s="28" t="str">
        <f t="array" ref="AA336">IF($I335="","",IF(XLOOKUP($B336,Derived_Variables!$A:$A,Derived_Variables!$R:$R,"6/6_target")="6/6_target","20_20_20","40_30_25"))</f>
        <v/>
      </c>
      <c r="AB336" s="28" t="str">
        <f t="array" ref="AB336">IF($I335="","",XLOOKUP(LOWER(XLOOKUP($B336,Derived_Variables!$A:$A,Derived_Variables!$T:$T,"Standard"))&amp;"_sph_step",Calibration!$B:$B,Calibration!$C:$C,0.25))</f>
        <v/>
      </c>
      <c r="AC336" s="28" t="str">
        <f t="array" ref="AC336">IF($I335="","",XLOOKUP(LOWER(XLOOKUP($B336,Derived_Variables!$A:$A,Derived_Variables!$T:$T,"Standard"))&amp;"_cyl_step",Calibration!$B:$B,Calibration!$C:$C,0.25))</f>
        <v/>
      </c>
      <c r="AD336" s="28" t="str">
        <f t="array" ref="AD336">IF($I335="","",IF(OR(C336="E",C336="H"),LET(startStep,XLOOKUP("axis_start_step",Calibration!$B:$B,Calibration!$C:$C,5),step1,XLOOKUP("axis_reversal_step_1",Calibration!$B:$B,Calibration!$C:$C,3),step2,XLOOKUP("axis_reversal_step_2",Calibration!$B:$B,Calibration!$C:$C,1),IF(OR(C335&lt;&gt;C336,AZ336="",AZ336="SAME",AZ336="CANT_TELL",I336="",I336="SAME",I336="CANT_TELL"),startStep,IF(OR(AND(AZ336="BETTER_1",I336="BETTER_2"),AND(AZ336="BETTER_2",I336="BETTER_1")),IF(AD335&gt;step1,step1,step2),AD335))),0))</f>
        <v/>
      </c>
      <c r="AE336" s="28" t="str">
        <f t="array" ref="AE336">IF($I335="","",XLOOKUP($B336,Derived_Variables!$A:$A,Derived_Variables!$AD:$AD,"No_Fog"))</f>
        <v/>
      </c>
      <c r="AF336" s="28" t="str">
        <f t="array" ref="AF336">IF($I335="","",XLOOKUP($B336,Derived_Variables!$A:$A,Derived_Variables!$AE:$AE,0))</f>
        <v/>
      </c>
      <c r="AG336" s="28" t="str">
        <f t="array" ref="AG336">IF($I335="","",XLOOKUP($B336,Derived_Variables!$A:$A,Derived_Variables!$AF:$AF,""))</f>
        <v/>
      </c>
      <c r="AH336" s="28" t="str">
        <f t="array" ref="AH336">IF($I335="","",XLOOKUP($B336,Derived_Variables!$A:$A,Derived_Variables!$AG:$AG,""))</f>
        <v/>
      </c>
      <c r="AI336" s="28" t="str">
        <f t="array" ref="AI336">IF($I335="","",XLOOKUP($B336,Derived_Variables!$A:$A,Derived_Variables!$AC:$AC,"Medium"))</f>
        <v/>
      </c>
      <c r="AJ336" s="28" t="str">
        <f t="array" ref="AJ336">IF($I335="","",XLOOKUP($B336,Derived_Variables!$A:$A,Derived_Variables!$Y:$Y,FALSE))</f>
        <v/>
      </c>
      <c r="AK336" s="28" t="str">
        <f t="array" ref="AK336">IF($I335="","",XLOOKUP($B336,Derived_Variables!$A:$A,Derived_Variables!$AA:$AA,"Normal"))</f>
        <v/>
      </c>
      <c r="AL336" s="28" t="str">
        <f t="array" ref="AL336">IF($I335="","",XLOOKUP($B336,Derived_Variables!$A:$A,Derived_Variables!$AB:$AB,"Normal"))</f>
        <v/>
      </c>
      <c r="AM336" s="28" t="str">
        <f t="array" ref="AM336">IF($I336="","",IFS(C336="B",IF(OR(I336="NOT_READABLE",I336="BLURRY"),-AB336,0),C336="G",IFS(I336="RED_CLEARER",XLOOKUP("duochrome_red_step",Calibration!$B:$B,Calibration!$C:$C,-0.25),I336="GREEN_CLEARER",XLOOKUP("duochrome_green_step",Calibration!$B:$B,Calibration!$C:$C,0.25),I336="EQUAL",IF(XLOOKUP($B336,Derived_Variables!$A:$A,Derived_Variables!$S:$S,"Neutral")="Undercorrect",XLOOKUP("undercorrect_step",Calibration!$B:$B,Calibration!$C:$C,0.25),IF(XLOOKUP($B336,Derived_Variables!$A:$A,Derived_Variables!$S:$S,"Neutral")="Overcorrect",-XLOOKUP("overcorrect_step",Calibration!$B:$B,Calibration!$C:$C,0.25),0)),TRUE,0),C336="K",IF(I336="TOP_CLEARER",XLOOKUP("bino_balance_step",Calibration!$B:$B,Calibration!$C:$C,0.25),0),TRUE,0))</f>
        <v/>
      </c>
      <c r="AN336" s="28" t="str">
        <f t="shared" si="10"/>
        <v/>
      </c>
      <c r="AO336" s="28" t="str">
        <f t="shared" si="11"/>
        <v/>
      </c>
      <c r="AP336" s="28" t="str">
        <f t="array" ref="AP336">IF($I336="","",IFS(C336="D",IF(OR(I336="NOT_READABLE",I336="BLURRY"),-AB336,0),C336="J",IFS(I336="RED_CLEARER",XLOOKUP("duochrome_red_step",Calibration!$B:$B,Calibration!$C:$C,-0.25),I336="GREEN_CLEARER",XLOOKUP("duochrome_green_step",Calibration!$B:$B,Calibration!$C:$C,0.25),I336="EQUAL",IF(XLOOKUP($B336,Derived_Variables!$A:$A,Derived_Variables!$S:$S,"Neutral")="Undercorrect",XLOOKUP("undercorrect_step",Calibration!$B:$B,Calibration!$C:$C,0.25),IF(XLOOKUP($B336,Derived_Variables!$A:$A,Derived_Variables!$S:$S,"Neutral")="Overcorrect",-XLOOKUP("overcorrect_step",Calibration!$B:$B,Calibration!$C:$C,0.25),0)),TRUE,0),C336="K",IF(I336="BOTTOM_CLEARER",XLOOKUP("bino_balance_step",Calibration!$B:$B,Calibration!$C:$C,0.25),0),TRUE,0))</f>
        <v/>
      </c>
      <c r="AQ336" s="28" t="str">
        <f t="shared" si="12"/>
        <v/>
      </c>
      <c r="AR336" s="28" t="str">
        <f t="shared" si="13"/>
        <v/>
      </c>
      <c r="AS336" s="28" t="str">
        <f t="array" ref="AS336">IF($I336="","",IF(C336="P",IF(OR(I336="NOT_READABLE",I336="BLURRY"),XLOOKUP("near_add_step",Calibration!$B:$B,Calibration!$C:$C,0.25),0),IF(C336="R",IF(I336="NOT_CLEAR",XLOOKUP("near_add_step",Calibration!$B:$B,Calibration!$C:$C,0.25),0),0)))</f>
        <v/>
      </c>
      <c r="AT336" s="28" t="str">
        <f t="array" ref="AT336">IF($I336="","",IF(C336="Q",IF(OR(I336="NOT_READABLE",I336="BLURRY"),XLOOKUP("near_add_step",Calibration!$B:$B,Calibration!$C:$C,0.25),0),IF(C336="R",IF(I336="NOT_CLEAR",XLOOKUP("near_add_step",Calibration!$B:$B,Calibration!$C:$C,0.25),0),0)))</f>
        <v/>
      </c>
      <c r="AU336" s="28" t="str">
        <f t="array" ref="AU336">IF($I336="","",IF(G336="SNELLEN_FEET",IF(I336="READABLE",IFERROR(XLOOKUP(XLOOKUP(R336,Chart_Scale_Distance!B:B,Chart_Scale_Distance!A:A)+1,Chart_Scale_Distance!A:A,Chart_Scale_Distance!B:B),R336),R336),R336))</f>
        <v/>
      </c>
      <c r="AV336" s="28" t="str">
        <f t="array" ref="AV336">IF($I335="","",IFERROR(XLOOKUP(R336,Chart_Scale_Distance!$B:$B,Chart_Scale_Distance!$A:$A,""),""))</f>
        <v/>
      </c>
      <c r="AW336" s="28" t="str">
        <f t="array" ref="AW336">IF($I335="","",IFERROR(XLOOKUP(AA336,Chart_Scale_Distance!$B:$B,Chart_Scale_Distance!$A:$A,""),""))</f>
        <v/>
      </c>
      <c r="AX336" s="28" t="str">
        <f t="shared" si="14"/>
        <v/>
      </c>
      <c r="AY336" s="28" t="str">
        <f t="shared" si="15"/>
        <v/>
      </c>
      <c r="AZ336" s="28" t="str">
        <f t="shared" si="16"/>
        <v/>
      </c>
      <c r="BA336" s="28" t="str">
        <f t="shared" si="17"/>
        <v/>
      </c>
      <c r="BB336" s="28" t="str">
        <f t="shared" si="18"/>
        <v/>
      </c>
      <c r="BC336" s="28" t="str">
        <f t="array" ref="BC336">IF($I336="","",LET(
conf,AI336,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duoMax,XLOOKUP($B336,Derived_Variables!$A:$A,Derived_Variables!$AI:$AI,4),
axisTol,XLOOKUP($B336,Derived_Variables!$A:$A,Derived_Variables!$W:$W,1),
maxStart,XLOOKUP($B336,Derived_Variables!$A:$A,Derived_Variables!$U:$U,1.25),
maxAR,XLOOKUP($B336,Derived_Variables!$A:$A,Derived_Variables!$V:$V,3),
anom,XLOOKUP($B336,Derived_Variables!$A:$A,Derived_Variables!$Z:$Z,FALSE),
reStart,XLOOKUP($B336,Derived_Variables!$A:$A,Derived_Variables!$K:$K,0),
leStart,XLOOKUP($B336,Derived_Variables!$A:$A,Derived_Variables!$N:$N,0),
reAR,XLOOKUP($B336,AR_Input!$A:$A,AR_Input!$B:$B,reStart),
leAR,XLOOKUP($B336,AR_Input!$A:$A,AR_Input!$E:$E,leStart),
reEsc,AND(anom,OR(ABS((S336+AM336)-reStart)&gt;maxStart,ABS((S336+AM336)-reAR)&gt;maxAR)),
leEsc,AND(anom,OR(ABS((V336+AP336)-leStart)&gt;maxStart,ABS((V336+AP336)-leAR)&gt;maxAR)),
phaseMax,IFS(
 AK336="Fast",
   IFS(
     OR(C336="B",C336="D"),XLOOKUP("timeout_coarse_fast",Calibration!$B:$B,Calibration!$C:$C,24),
     OR(C336="E",C336="F",C336="H",C336="I"),XLOOKUP("timeout_jcc_fast",Calibration!$B:$B,Calibration!$C:$C,10),
     OR(C336="G",C336="J"),XLOOKUP("timeout_duochrome_fast",Calibration!$B:$B,Calibration!$C:$C,8),
     C336="K",XLOOKUP("timeout_bino_fast",Calibration!$B:$B,Calibration!$C:$C,10),
     OR(C336="P",C336="Q",C336="R"),XLOOKUP("timeout_near_fast",Calibration!$B:$B,Calibration!$C:$C,16),
     TRUE,XLOOKUP("timeout_coarse_fast",Calibration!$B:$B,Calibration!$C:$C,24)
   ),
 AK336="Normal",
   IFS(
     OR(C336="B",C336="D"),XLOOKUP("timeout_coarse_normal",Calibration!$B:$B,Calibration!$C:$C,36),
     OR(C336="E",C336="F",C336="H",C336="I"),XLOOKUP("timeout_jcc_normal",Calibration!$B:$B,Calibration!$C:$C,14),
     OR(C336="G",C336="J"),XLOOKUP("timeout_duochrome_normal",Calibration!$B:$B,Calibration!$C:$C,10),
     C336="K",XLOOKUP("timeout_bino_normal",Calibration!$B:$B,Calibration!$C:$C,14),
     OR(C336="P",C336="Q",C336="R"),XLOOKUP("timeout_near_normal",Calibration!$B:$B,Calibration!$C:$C,22),
     TRUE,XLOOKUP("timeout_coarse_normal",Calibration!$B:$B,Calibration!$C:$C,36)
   ),
 TRUE,
   IFS(
     OR(C336="B",C336="D"),XLOOKUP("timeout_coarse_slow",Calibration!$B:$B,Calibration!$C:$C,48),
     OR(C336="E",C336="F",C336="H",C336="I"),XLOOKUP("timeout_jcc_slow",Calibration!$B:$B,Calibration!$C:$C,18),
     OR(C336="G",C336="J"),XLOOKUP("timeout_duochrome_slow",Calibration!$B:$B,Calibration!$C:$C,12),
     C336="K",XLOOKUP("timeout_bino_slow",Calibration!$B:$B,Calibration!$C:$C,18),
     OR(C336="P",C336="Q",C336="R"),XLOOKUP("timeout_near_slow",Calibration!$B:$B,Calibration!$C:$C,28),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AJ336=TRUE,"ESCALATE",
C336="A",
IF(OR(I336="NOT_READABLE",I336="BLURRY",AND(R336="20_20_20",I336="READABLE")),"B","A"),
C336="B",
IF(reEsc,"ESCALATE",IF(AY336&gt;=phaseMax,"ESCALATE",IF(AND(AV336&gt;=AW336,I336="READABLE"),"E","B"))),
C336="E",
IF(AY336&gt;=phaseMax,"ESCALATE",IF(OR(I336="SAME",I336="CANT_TELL",AD336&lt;axisTol),"F","E")),
C336="F",
IF(AY336&gt;=phaseMax,"ESCALATE",IF(AX336&gt;=powerSameN,"G","F")),
C336="G",
IF(AY336&gt;=phaseMax,"ESCALATE",IF(OR(AX336&gt;=duoEqualN,BB336&gt;=duoMax),"D","G")),
C336="D",
IF(leEsc,"ESCALATE",IF(AY336&gt;=phaseMax,"ESCALATE",IF(AND(AV336&gt;=AW336,I336="READABLE"),"H","D"))),
C336="H",
IF(AY336&gt;=phaseMax,"ESCALATE",IF(OR(I336="SAME",I336="CANT_TELL",AD336&lt;axisTol),"I","H")),
C336="I",
IF(AY336&gt;=phaseMax,"ESCALATE",IF(AX336&gt;=powerSameN,"J","I")),
C336="J",
IF(AY336&gt;=phaseMax,"ESCALATE",IF(OR(AX336&gt;=duoEqualN,BB336&gt;=duoMax),"K","J")),
C336="K",
IF(AY336&gt;=phaseMax,"ESCALATE",IF(AX336&gt;=binoSameN,IF(XLOOKUP($B336,Derived_Variables!$A:$A,Derived_Variables!$AJ:$AJ,FALSE)=TRUE,"P","END"),"K")),
C336="P",
IF(AY336&gt;=phaseMax,"ESCALATE",IF(OR(I336="READABLE",I336="SAME"),"Q","P")),
C336="Q",
IF(AY336&gt;=phaseMax,"ESCALATE",IF(OR(I336="READABLE",I336="SAME"),"R","Q")),
C336="R",
IF(AY336&gt;=phaseMax,"ESCALATE",IF(OR(I336=nearTarget,I336="SAME"),"END","R")),
TRUE,"END"
)))</f>
        <v/>
      </c>
      <c r="BD336" s="28" t="b">
        <f t="shared" si="19"/>
        <v>0</v>
      </c>
    </row>
    <row r="337" ht="15.75" customHeight="1">
      <c r="A337" s="28">
        <f t="shared" si="3"/>
        <v>336</v>
      </c>
      <c r="B337" s="28">
        <f t="shared" si="4"/>
        <v>6</v>
      </c>
      <c r="C337" s="28" t="str">
        <f t="shared" si="5"/>
        <v/>
      </c>
      <c r="D337" s="28" t="str">
        <f t="array" ref="D337">IF($I336="","",XLOOKUP(C337,FSM_State_Map!A:A,FSM_State_Map!B:B,""))</f>
        <v/>
      </c>
      <c r="E337" s="28" t="str">
        <f t="array" ref="E337">IF($I336="","",XLOOKUP(C337,FSM_State_Map!A:A,FSM_State_Map!C:C,""))</f>
        <v/>
      </c>
      <c r="F337" s="28" t="str">
        <f t="array" ref="F337">IF($I336="","",XLOOKUP(E337,Phase_UI_Map!A:A,Phase_UI_Map!B:B,""))</f>
        <v/>
      </c>
      <c r="G337" s="28" t="str">
        <f t="array" ref="G337">IF($I336="","",XLOOKUP(E337,Phase_UI_Map!A:A,Phase_UI_Map!C:C,""))</f>
        <v/>
      </c>
      <c r="H337" s="28" t="str">
        <f t="array" ref="H337">IF($I336="","",XLOOKUP(E337,Phase_UI_Map!A:A,Phase_UI_Map!D:D,""))</f>
        <v/>
      </c>
      <c r="I337" s="29"/>
      <c r="J337" s="28" t="str">
        <f>IFERROR(__xludf.DUMMYFUNCTION("IF($I336="""","""",IFERROR(INDEX(FILTER(Response_Lists!$B:$B,Response_Lists!$A:$A=$H337),1),""""))"),"")</f>
        <v/>
      </c>
      <c r="K337" s="28" t="str">
        <f>IFERROR(__xludf.DUMMYFUNCTION("IF($I336="""","""",IFERROR(INDEX(FILTER(Response_Lists!$B:$B,Response_Lists!$A:$A=$H337),2),""""))"),"")</f>
        <v/>
      </c>
      <c r="L337" s="28" t="str">
        <f>IFERROR(__xludf.DUMMYFUNCTION("IF($I336="""","""",IFERROR(INDEX(FILTER(Response_Lists!$B:$B,Response_Lists!$A:$A=$H337),3),""""))"),"")</f>
        <v/>
      </c>
      <c r="M337" s="28" t="str">
        <f>IFERROR(__xludf.DUMMYFUNCTION("IF($I336="""","""",IFERROR(INDEX(FILTER(Response_Lists!$B:$B,Response_Lists!$A:$A=$H337),4),""""))"),"")</f>
        <v/>
      </c>
      <c r="N337" s="28" t="str">
        <f>IFERROR(__xludf.DUMMYFUNCTION("IF($I336="""","""",IFERROR(INDEX(FILTER(Response_Lists!$B:$B,Response_Lists!$A:$A=$H337),5),""""))"),"")</f>
        <v/>
      </c>
      <c r="O337" s="28" t="str">
        <f>IFERROR(__xludf.DUMMYFUNCTION("IF($I336="""","""",IFERROR(INDEX(FILTER(Response_Lists!$B:$B,Response_Lists!$A:$A=$H337),6),""""))"),"")</f>
        <v/>
      </c>
      <c r="P337" s="28" t="str">
        <f t="shared" si="6"/>
        <v/>
      </c>
      <c r="Q337" s="28" t="str">
        <f t="array" ref="Q337">IF($I336="","",XLOOKUP(C337,FSM_State_Map!A:A,FSM_State_Map!D:D,""))</f>
        <v/>
      </c>
      <c r="R337" s="28" t="str">
        <f t="shared" si="7"/>
        <v/>
      </c>
      <c r="S337" s="28" t="str">
        <f t="array" ref="S337">IF($I336="","",
IF(
  AND(C337="B",C336&lt;&gt;"B"),
  XLOOKUP($B337,Derived_Variables!$A:$A,Derived_Variables!$K:$K,0)
  + XLOOKUP($B337,Derived_Variables!$A:$A,Derived_Variables!$AE:$AE,0),
  S336+AM336
))</f>
        <v/>
      </c>
      <c r="T337" s="28" t="str">
        <f t="shared" ref="T337:U337" si="684">IF($I336="","",T336+AN336)</f>
        <v/>
      </c>
      <c r="U337" s="28" t="str">
        <f t="shared" si="684"/>
        <v/>
      </c>
      <c r="V337" s="28" t="str">
        <f t="array" ref="V337">IF($I336="","",
IF(
  AND(C337="D",C336&lt;&gt;"D"),
  XLOOKUP($B337,Derived_Variables!$A:$A,Derived_Variables!$N:$N,0)
  + XLOOKUP($B337,Derived_Variables!$A:$A,Derived_Variables!$AE:$AE,0),
  V336+AP336
))</f>
        <v/>
      </c>
      <c r="W337" s="28" t="str">
        <f t="shared" ref="W337:X337" si="685">IF($I336="","",W336+AQ336)</f>
        <v/>
      </c>
      <c r="X337" s="28" t="str">
        <f t="shared" si="685"/>
        <v/>
      </c>
      <c r="Y337" s="28" t="str">
        <f t="array" ref="Y337">IF($I336="","",IF(AND(C337="P",C336&lt;&gt;"P"),IFERROR(XLOOKUP($B337,Lenso_Input!$A:$A,Lenso_Input!$E:$E,0),0),Y336+AS336))</f>
        <v/>
      </c>
      <c r="Z337" s="28" t="str">
        <f t="array" ref="Z337">IF($I336="","",IF(AND(C337="Q",C336&lt;&gt;"Q"),IFERROR(XLOOKUP($B337,Lenso_Input!$A:$A,Lenso_Input!$I:$I,0),0),Z336+AT336))</f>
        <v/>
      </c>
      <c r="AA337" s="28" t="str">
        <f t="array" ref="AA337">IF($I336="","",IF(XLOOKUP($B337,Derived_Variables!$A:$A,Derived_Variables!$R:$R,"6/6_target")="6/6_target","20_20_20","40_30_25"))</f>
        <v/>
      </c>
      <c r="AB337" s="28" t="str">
        <f t="array" ref="AB337">IF($I336="","",XLOOKUP(LOWER(XLOOKUP($B337,Derived_Variables!$A:$A,Derived_Variables!$T:$T,"Standard"))&amp;"_sph_step",Calibration!$B:$B,Calibration!$C:$C,0.25))</f>
        <v/>
      </c>
      <c r="AC337" s="28" t="str">
        <f t="array" ref="AC337">IF($I336="","",XLOOKUP(LOWER(XLOOKUP($B337,Derived_Variables!$A:$A,Derived_Variables!$T:$T,"Standard"))&amp;"_cyl_step",Calibration!$B:$B,Calibration!$C:$C,0.25))</f>
        <v/>
      </c>
      <c r="AD337" s="28" t="str">
        <f t="array" ref="AD337">IF($I336="","",IF(OR(C337="E",C337="H"),LET(startStep,XLOOKUP("axis_start_step",Calibration!$B:$B,Calibration!$C:$C,5),step1,XLOOKUP("axis_reversal_step_1",Calibration!$B:$B,Calibration!$C:$C,3),step2,XLOOKUP("axis_reversal_step_2",Calibration!$B:$B,Calibration!$C:$C,1),IF(OR(C336&lt;&gt;C337,AZ337="",AZ337="SAME",AZ337="CANT_TELL",I337="",I337="SAME",I337="CANT_TELL"),startStep,IF(OR(AND(AZ337="BETTER_1",I337="BETTER_2"),AND(AZ337="BETTER_2",I337="BETTER_1")),IF(AD336&gt;step1,step1,step2),AD336))),0))</f>
        <v/>
      </c>
      <c r="AE337" s="28" t="str">
        <f t="array" ref="AE337">IF($I336="","",XLOOKUP($B337,Derived_Variables!$A:$A,Derived_Variables!$AD:$AD,"No_Fog"))</f>
        <v/>
      </c>
      <c r="AF337" s="28" t="str">
        <f t="array" ref="AF337">IF($I336="","",XLOOKUP($B337,Derived_Variables!$A:$A,Derived_Variables!$AE:$AE,0))</f>
        <v/>
      </c>
      <c r="AG337" s="28" t="str">
        <f t="array" ref="AG337">IF($I336="","",XLOOKUP($B337,Derived_Variables!$A:$A,Derived_Variables!$AF:$AF,""))</f>
        <v/>
      </c>
      <c r="AH337" s="28" t="str">
        <f t="array" ref="AH337">IF($I336="","",XLOOKUP($B337,Derived_Variables!$A:$A,Derived_Variables!$AG:$AG,""))</f>
        <v/>
      </c>
      <c r="AI337" s="28" t="str">
        <f t="array" ref="AI337">IF($I336="","",XLOOKUP($B337,Derived_Variables!$A:$A,Derived_Variables!$AC:$AC,"Medium"))</f>
        <v/>
      </c>
      <c r="AJ337" s="28" t="str">
        <f t="array" ref="AJ337">IF($I336="","",XLOOKUP($B337,Derived_Variables!$A:$A,Derived_Variables!$Y:$Y,FALSE))</f>
        <v/>
      </c>
      <c r="AK337" s="28" t="str">
        <f t="array" ref="AK337">IF($I336="","",XLOOKUP($B337,Derived_Variables!$A:$A,Derived_Variables!$AA:$AA,"Normal"))</f>
        <v/>
      </c>
      <c r="AL337" s="28" t="str">
        <f t="array" ref="AL337">IF($I336="","",XLOOKUP($B337,Derived_Variables!$A:$A,Derived_Variables!$AB:$AB,"Normal"))</f>
        <v/>
      </c>
      <c r="AM337" s="28" t="str">
        <f t="array" ref="AM337">IF($I337="","",IFS(C337="B",IF(OR(I337="NOT_READABLE",I337="BLURRY"),-AB337,0),C337="G",IFS(I337="RED_CLEARER",XLOOKUP("duochrome_red_step",Calibration!$B:$B,Calibration!$C:$C,-0.25),I337="GREEN_CLEARER",XLOOKUP("duochrome_green_step",Calibration!$B:$B,Calibration!$C:$C,0.25),I337="EQUAL",IF(XLOOKUP($B337,Derived_Variables!$A:$A,Derived_Variables!$S:$S,"Neutral")="Undercorrect",XLOOKUP("undercorrect_step",Calibration!$B:$B,Calibration!$C:$C,0.25),IF(XLOOKUP($B337,Derived_Variables!$A:$A,Derived_Variables!$S:$S,"Neutral")="Overcorrect",-XLOOKUP("overcorrect_step",Calibration!$B:$B,Calibration!$C:$C,0.25),0)),TRUE,0),C337="K",IF(I337="TOP_CLEARER",XLOOKUP("bino_balance_step",Calibration!$B:$B,Calibration!$C:$C,0.25),0),TRUE,0))</f>
        <v/>
      </c>
      <c r="AN337" s="28" t="str">
        <f t="shared" si="10"/>
        <v/>
      </c>
      <c r="AO337" s="28" t="str">
        <f t="shared" si="11"/>
        <v/>
      </c>
      <c r="AP337" s="28" t="str">
        <f t="array" ref="AP337">IF($I337="","",IFS(C337="D",IF(OR(I337="NOT_READABLE",I337="BLURRY"),-AB337,0),C337="J",IFS(I337="RED_CLEARER",XLOOKUP("duochrome_red_step",Calibration!$B:$B,Calibration!$C:$C,-0.25),I337="GREEN_CLEARER",XLOOKUP("duochrome_green_step",Calibration!$B:$B,Calibration!$C:$C,0.25),I337="EQUAL",IF(XLOOKUP($B337,Derived_Variables!$A:$A,Derived_Variables!$S:$S,"Neutral")="Undercorrect",XLOOKUP("undercorrect_step",Calibration!$B:$B,Calibration!$C:$C,0.25),IF(XLOOKUP($B337,Derived_Variables!$A:$A,Derived_Variables!$S:$S,"Neutral")="Overcorrect",-XLOOKUP("overcorrect_step",Calibration!$B:$B,Calibration!$C:$C,0.25),0)),TRUE,0),C337="K",IF(I337="BOTTOM_CLEARER",XLOOKUP("bino_balance_step",Calibration!$B:$B,Calibration!$C:$C,0.25),0),TRUE,0))</f>
        <v/>
      </c>
      <c r="AQ337" s="28" t="str">
        <f t="shared" si="12"/>
        <v/>
      </c>
      <c r="AR337" s="28" t="str">
        <f t="shared" si="13"/>
        <v/>
      </c>
      <c r="AS337" s="28" t="str">
        <f t="array" ref="AS337">IF($I337="","",IF(C337="P",IF(OR(I337="NOT_READABLE",I337="BLURRY"),XLOOKUP("near_add_step",Calibration!$B:$B,Calibration!$C:$C,0.25),0),IF(C337="R",IF(I337="NOT_CLEAR",XLOOKUP("near_add_step",Calibration!$B:$B,Calibration!$C:$C,0.25),0),0)))</f>
        <v/>
      </c>
      <c r="AT337" s="28" t="str">
        <f t="array" ref="AT337">IF($I337="","",IF(C337="Q",IF(OR(I337="NOT_READABLE",I337="BLURRY"),XLOOKUP("near_add_step",Calibration!$B:$B,Calibration!$C:$C,0.25),0),IF(C337="R",IF(I337="NOT_CLEAR",XLOOKUP("near_add_step",Calibration!$B:$B,Calibration!$C:$C,0.25),0),0)))</f>
        <v/>
      </c>
      <c r="AU337" s="28" t="str">
        <f t="array" ref="AU337">IF($I337="","",IF(G337="SNELLEN_FEET",IF(I337="READABLE",IFERROR(XLOOKUP(XLOOKUP(R337,Chart_Scale_Distance!B:B,Chart_Scale_Distance!A:A)+1,Chart_Scale_Distance!A:A,Chart_Scale_Distance!B:B),R337),R337),R337))</f>
        <v/>
      </c>
      <c r="AV337" s="28" t="str">
        <f t="array" ref="AV337">IF($I336="","",IFERROR(XLOOKUP(R337,Chart_Scale_Distance!$B:$B,Chart_Scale_Distance!$A:$A,""),""))</f>
        <v/>
      </c>
      <c r="AW337" s="28" t="str">
        <f t="array" ref="AW337">IF($I336="","",IFERROR(XLOOKUP(AA337,Chart_Scale_Distance!$B:$B,Chart_Scale_Distance!$A:$A,""),""))</f>
        <v/>
      </c>
      <c r="AX337" s="28" t="str">
        <f t="shared" si="14"/>
        <v/>
      </c>
      <c r="AY337" s="28" t="str">
        <f t="shared" si="15"/>
        <v/>
      </c>
      <c r="AZ337" s="28" t="str">
        <f t="shared" si="16"/>
        <v/>
      </c>
      <c r="BA337" s="28" t="str">
        <f t="shared" si="17"/>
        <v/>
      </c>
      <c r="BB337" s="28" t="str">
        <f t="shared" si="18"/>
        <v/>
      </c>
      <c r="BC337" s="28" t="str">
        <f t="array" ref="BC337">IF($I337="","",LET(
conf,AI337,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duoMax,XLOOKUP($B337,Derived_Variables!$A:$A,Derived_Variables!$AI:$AI,4),
axisTol,XLOOKUP($B337,Derived_Variables!$A:$A,Derived_Variables!$W:$W,1),
maxStart,XLOOKUP($B337,Derived_Variables!$A:$A,Derived_Variables!$U:$U,1.25),
maxAR,XLOOKUP($B337,Derived_Variables!$A:$A,Derived_Variables!$V:$V,3),
anom,XLOOKUP($B337,Derived_Variables!$A:$A,Derived_Variables!$Z:$Z,FALSE),
reStart,XLOOKUP($B337,Derived_Variables!$A:$A,Derived_Variables!$K:$K,0),
leStart,XLOOKUP($B337,Derived_Variables!$A:$A,Derived_Variables!$N:$N,0),
reAR,XLOOKUP($B337,AR_Input!$A:$A,AR_Input!$B:$B,reStart),
leAR,XLOOKUP($B337,AR_Input!$A:$A,AR_Input!$E:$E,leStart),
reEsc,AND(anom,OR(ABS((S337+AM337)-reStart)&gt;maxStart,ABS((S337+AM337)-reAR)&gt;maxAR)),
leEsc,AND(anom,OR(ABS((V337+AP337)-leStart)&gt;maxStart,ABS((V337+AP337)-leAR)&gt;maxAR)),
phaseMax,IFS(
 AK337="Fast",
   IFS(
     OR(C337="B",C337="D"),XLOOKUP("timeout_coarse_fast",Calibration!$B:$B,Calibration!$C:$C,24),
     OR(C337="E",C337="F",C337="H",C337="I"),XLOOKUP("timeout_jcc_fast",Calibration!$B:$B,Calibration!$C:$C,10),
     OR(C337="G",C337="J"),XLOOKUP("timeout_duochrome_fast",Calibration!$B:$B,Calibration!$C:$C,8),
     C337="K",XLOOKUP("timeout_bino_fast",Calibration!$B:$B,Calibration!$C:$C,10),
     OR(C337="P",C337="Q",C337="R"),XLOOKUP("timeout_near_fast",Calibration!$B:$B,Calibration!$C:$C,16),
     TRUE,XLOOKUP("timeout_coarse_fast",Calibration!$B:$B,Calibration!$C:$C,24)
   ),
 AK337="Normal",
   IFS(
     OR(C337="B",C337="D"),XLOOKUP("timeout_coarse_normal",Calibration!$B:$B,Calibration!$C:$C,36),
     OR(C337="E",C337="F",C337="H",C337="I"),XLOOKUP("timeout_jcc_normal",Calibration!$B:$B,Calibration!$C:$C,14),
     OR(C337="G",C337="J"),XLOOKUP("timeout_duochrome_normal",Calibration!$B:$B,Calibration!$C:$C,10),
     C337="K",XLOOKUP("timeout_bino_normal",Calibration!$B:$B,Calibration!$C:$C,14),
     OR(C337="P",C337="Q",C337="R"),XLOOKUP("timeout_near_normal",Calibration!$B:$B,Calibration!$C:$C,22),
     TRUE,XLOOKUP("timeout_coarse_normal",Calibration!$B:$B,Calibration!$C:$C,36)
   ),
 TRUE,
   IFS(
     OR(C337="B",C337="D"),XLOOKUP("timeout_coarse_slow",Calibration!$B:$B,Calibration!$C:$C,48),
     OR(C337="E",C337="F",C337="H",C337="I"),XLOOKUP("timeout_jcc_slow",Calibration!$B:$B,Calibration!$C:$C,18),
     OR(C337="G",C337="J"),XLOOKUP("timeout_duochrome_slow",Calibration!$B:$B,Calibration!$C:$C,12),
     C337="K",XLOOKUP("timeout_bino_slow",Calibration!$B:$B,Calibration!$C:$C,18),
     OR(C337="P",C337="Q",C337="R"),XLOOKUP("timeout_near_slow",Calibration!$B:$B,Calibration!$C:$C,28),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AJ337=TRUE,"ESCALATE",
C337="A",
IF(OR(I337="NOT_READABLE",I337="BLURRY",AND(R337="20_20_20",I337="READABLE")),"B","A"),
C337="B",
IF(reEsc,"ESCALATE",IF(AY337&gt;=phaseMax,"ESCALATE",IF(AND(AV337&gt;=AW337,I337="READABLE"),"E","B"))),
C337="E",
IF(AY337&gt;=phaseMax,"ESCALATE",IF(OR(I337="SAME",I337="CANT_TELL",AD337&lt;axisTol),"F","E")),
C337="F",
IF(AY337&gt;=phaseMax,"ESCALATE",IF(AX337&gt;=powerSameN,"G","F")),
C337="G",
IF(AY337&gt;=phaseMax,"ESCALATE",IF(OR(AX337&gt;=duoEqualN,BB337&gt;=duoMax),"D","G")),
C337="D",
IF(leEsc,"ESCALATE",IF(AY337&gt;=phaseMax,"ESCALATE",IF(AND(AV337&gt;=AW337,I337="READABLE"),"H","D"))),
C337="H",
IF(AY337&gt;=phaseMax,"ESCALATE",IF(OR(I337="SAME",I337="CANT_TELL",AD337&lt;axisTol),"I","H")),
C337="I",
IF(AY337&gt;=phaseMax,"ESCALATE",IF(AX337&gt;=powerSameN,"J","I")),
C337="J",
IF(AY337&gt;=phaseMax,"ESCALATE",IF(OR(AX337&gt;=duoEqualN,BB337&gt;=duoMax),"K","J")),
C337="K",
IF(AY337&gt;=phaseMax,"ESCALATE",IF(AX337&gt;=binoSameN,IF(XLOOKUP($B337,Derived_Variables!$A:$A,Derived_Variables!$AJ:$AJ,FALSE)=TRUE,"P","END"),"K")),
C337="P",
IF(AY337&gt;=phaseMax,"ESCALATE",IF(OR(I337="READABLE",I337="SAME"),"Q","P")),
C337="Q",
IF(AY337&gt;=phaseMax,"ESCALATE",IF(OR(I337="READABLE",I337="SAME"),"R","Q")),
C337="R",
IF(AY337&gt;=phaseMax,"ESCALATE",IF(OR(I337=nearTarget,I337="SAME"),"END","R")),
TRUE,"END"
)))</f>
        <v/>
      </c>
      <c r="BD337" s="28" t="b">
        <f t="shared" si="19"/>
        <v>0</v>
      </c>
    </row>
    <row r="338" ht="15.75" customHeight="1">
      <c r="A338" s="28">
        <f t="shared" si="3"/>
        <v>337</v>
      </c>
      <c r="B338" s="28">
        <f t="shared" si="4"/>
        <v>6</v>
      </c>
      <c r="C338" s="28" t="str">
        <f t="shared" si="5"/>
        <v/>
      </c>
      <c r="D338" s="28" t="str">
        <f t="array" ref="D338">IF($I337="","",XLOOKUP(C338,FSM_State_Map!A:A,FSM_State_Map!B:B,""))</f>
        <v/>
      </c>
      <c r="E338" s="28" t="str">
        <f t="array" ref="E338">IF($I337="","",XLOOKUP(C338,FSM_State_Map!A:A,FSM_State_Map!C:C,""))</f>
        <v/>
      </c>
      <c r="F338" s="28" t="str">
        <f t="array" ref="F338">IF($I337="","",XLOOKUP(E338,Phase_UI_Map!A:A,Phase_UI_Map!B:B,""))</f>
        <v/>
      </c>
      <c r="G338" s="28" t="str">
        <f t="array" ref="G338">IF($I337="","",XLOOKUP(E338,Phase_UI_Map!A:A,Phase_UI_Map!C:C,""))</f>
        <v/>
      </c>
      <c r="H338" s="28" t="str">
        <f t="array" ref="H338">IF($I337="","",XLOOKUP(E338,Phase_UI_Map!A:A,Phase_UI_Map!D:D,""))</f>
        <v/>
      </c>
      <c r="I338" s="29"/>
      <c r="J338" s="28" t="str">
        <f>IFERROR(__xludf.DUMMYFUNCTION("IF($I337="""","""",IFERROR(INDEX(FILTER(Response_Lists!$B:$B,Response_Lists!$A:$A=$H338),1),""""))"),"")</f>
        <v/>
      </c>
      <c r="K338" s="28" t="str">
        <f>IFERROR(__xludf.DUMMYFUNCTION("IF($I337="""","""",IFERROR(INDEX(FILTER(Response_Lists!$B:$B,Response_Lists!$A:$A=$H338),2),""""))"),"")</f>
        <v/>
      </c>
      <c r="L338" s="28" t="str">
        <f>IFERROR(__xludf.DUMMYFUNCTION("IF($I337="""","""",IFERROR(INDEX(FILTER(Response_Lists!$B:$B,Response_Lists!$A:$A=$H338),3),""""))"),"")</f>
        <v/>
      </c>
      <c r="M338" s="28" t="str">
        <f>IFERROR(__xludf.DUMMYFUNCTION("IF($I337="""","""",IFERROR(INDEX(FILTER(Response_Lists!$B:$B,Response_Lists!$A:$A=$H338),4),""""))"),"")</f>
        <v/>
      </c>
      <c r="N338" s="28" t="str">
        <f>IFERROR(__xludf.DUMMYFUNCTION("IF($I337="""","""",IFERROR(INDEX(FILTER(Response_Lists!$B:$B,Response_Lists!$A:$A=$H338),5),""""))"),"")</f>
        <v/>
      </c>
      <c r="O338" s="28" t="str">
        <f>IFERROR(__xludf.DUMMYFUNCTION("IF($I337="""","""",IFERROR(INDEX(FILTER(Response_Lists!$B:$B,Response_Lists!$A:$A=$H338),6),""""))"),"")</f>
        <v/>
      </c>
      <c r="P338" s="28" t="str">
        <f t="shared" si="6"/>
        <v/>
      </c>
      <c r="Q338" s="28" t="str">
        <f t="array" ref="Q338">IF($I337="","",XLOOKUP(C338,FSM_State_Map!A:A,FSM_State_Map!D:D,""))</f>
        <v/>
      </c>
      <c r="R338" s="28" t="str">
        <f t="shared" si="7"/>
        <v/>
      </c>
      <c r="S338" s="28" t="str">
        <f t="array" ref="S338">IF($I337="","",
IF(
  AND(C338="B",C337&lt;&gt;"B"),
  XLOOKUP($B338,Derived_Variables!$A:$A,Derived_Variables!$K:$K,0)
  + XLOOKUP($B338,Derived_Variables!$A:$A,Derived_Variables!$AE:$AE,0),
  S337+AM337
))</f>
        <v/>
      </c>
      <c r="T338" s="28" t="str">
        <f t="shared" ref="T338:U338" si="686">IF($I337="","",T337+AN337)</f>
        <v/>
      </c>
      <c r="U338" s="28" t="str">
        <f t="shared" si="686"/>
        <v/>
      </c>
      <c r="V338" s="28" t="str">
        <f t="array" ref="V338">IF($I337="","",
IF(
  AND(C338="D",C337&lt;&gt;"D"),
  XLOOKUP($B338,Derived_Variables!$A:$A,Derived_Variables!$N:$N,0)
  + XLOOKUP($B338,Derived_Variables!$A:$A,Derived_Variables!$AE:$AE,0),
  V337+AP337
))</f>
        <v/>
      </c>
      <c r="W338" s="28" t="str">
        <f t="shared" ref="W338:X338" si="687">IF($I337="","",W337+AQ337)</f>
        <v/>
      </c>
      <c r="X338" s="28" t="str">
        <f t="shared" si="687"/>
        <v/>
      </c>
      <c r="Y338" s="28" t="str">
        <f t="array" ref="Y338">IF($I337="","",IF(AND(C338="P",C337&lt;&gt;"P"),IFERROR(XLOOKUP($B338,Lenso_Input!$A:$A,Lenso_Input!$E:$E,0),0),Y337+AS337))</f>
        <v/>
      </c>
      <c r="Z338" s="28" t="str">
        <f t="array" ref="Z338">IF($I337="","",IF(AND(C338="Q",C337&lt;&gt;"Q"),IFERROR(XLOOKUP($B338,Lenso_Input!$A:$A,Lenso_Input!$I:$I,0),0),Z337+AT337))</f>
        <v/>
      </c>
      <c r="AA338" s="28" t="str">
        <f t="array" ref="AA338">IF($I337="","",IF(XLOOKUP($B338,Derived_Variables!$A:$A,Derived_Variables!$R:$R,"6/6_target")="6/6_target","20_20_20","40_30_25"))</f>
        <v/>
      </c>
      <c r="AB338" s="28" t="str">
        <f t="array" ref="AB338">IF($I337="","",XLOOKUP(LOWER(XLOOKUP($B338,Derived_Variables!$A:$A,Derived_Variables!$T:$T,"Standard"))&amp;"_sph_step",Calibration!$B:$B,Calibration!$C:$C,0.25))</f>
        <v/>
      </c>
      <c r="AC338" s="28" t="str">
        <f t="array" ref="AC338">IF($I337="","",XLOOKUP(LOWER(XLOOKUP($B338,Derived_Variables!$A:$A,Derived_Variables!$T:$T,"Standard"))&amp;"_cyl_step",Calibration!$B:$B,Calibration!$C:$C,0.25))</f>
        <v/>
      </c>
      <c r="AD338" s="28" t="str">
        <f t="array" ref="AD338">IF($I337="","",IF(OR(C338="E",C338="H"),LET(startStep,XLOOKUP("axis_start_step",Calibration!$B:$B,Calibration!$C:$C,5),step1,XLOOKUP("axis_reversal_step_1",Calibration!$B:$B,Calibration!$C:$C,3),step2,XLOOKUP("axis_reversal_step_2",Calibration!$B:$B,Calibration!$C:$C,1),IF(OR(C337&lt;&gt;C338,AZ338="",AZ338="SAME",AZ338="CANT_TELL",I338="",I338="SAME",I338="CANT_TELL"),startStep,IF(OR(AND(AZ338="BETTER_1",I338="BETTER_2"),AND(AZ338="BETTER_2",I338="BETTER_1")),IF(AD337&gt;step1,step1,step2),AD337))),0))</f>
        <v/>
      </c>
      <c r="AE338" s="28" t="str">
        <f t="array" ref="AE338">IF($I337="","",XLOOKUP($B338,Derived_Variables!$A:$A,Derived_Variables!$AD:$AD,"No_Fog"))</f>
        <v/>
      </c>
      <c r="AF338" s="28" t="str">
        <f t="array" ref="AF338">IF($I337="","",XLOOKUP($B338,Derived_Variables!$A:$A,Derived_Variables!$AE:$AE,0))</f>
        <v/>
      </c>
      <c r="AG338" s="28" t="str">
        <f t="array" ref="AG338">IF($I337="","",XLOOKUP($B338,Derived_Variables!$A:$A,Derived_Variables!$AF:$AF,""))</f>
        <v/>
      </c>
      <c r="AH338" s="28" t="str">
        <f t="array" ref="AH338">IF($I337="","",XLOOKUP($B338,Derived_Variables!$A:$A,Derived_Variables!$AG:$AG,""))</f>
        <v/>
      </c>
      <c r="AI338" s="28" t="str">
        <f t="array" ref="AI338">IF($I337="","",XLOOKUP($B338,Derived_Variables!$A:$A,Derived_Variables!$AC:$AC,"Medium"))</f>
        <v/>
      </c>
      <c r="AJ338" s="28" t="str">
        <f t="array" ref="AJ338">IF($I337="","",XLOOKUP($B338,Derived_Variables!$A:$A,Derived_Variables!$Y:$Y,FALSE))</f>
        <v/>
      </c>
      <c r="AK338" s="28" t="str">
        <f t="array" ref="AK338">IF($I337="","",XLOOKUP($B338,Derived_Variables!$A:$A,Derived_Variables!$AA:$AA,"Normal"))</f>
        <v/>
      </c>
      <c r="AL338" s="28" t="str">
        <f t="array" ref="AL338">IF($I337="","",XLOOKUP($B338,Derived_Variables!$A:$A,Derived_Variables!$AB:$AB,"Normal"))</f>
        <v/>
      </c>
      <c r="AM338" s="28" t="str">
        <f t="array" ref="AM338">IF($I338="","",IFS(C338="B",IF(OR(I338="NOT_READABLE",I338="BLURRY"),-AB338,0),C338="G",IFS(I338="RED_CLEARER",XLOOKUP("duochrome_red_step",Calibration!$B:$B,Calibration!$C:$C,-0.25),I338="GREEN_CLEARER",XLOOKUP("duochrome_green_step",Calibration!$B:$B,Calibration!$C:$C,0.25),I338="EQUAL",IF(XLOOKUP($B338,Derived_Variables!$A:$A,Derived_Variables!$S:$S,"Neutral")="Undercorrect",XLOOKUP("undercorrect_step",Calibration!$B:$B,Calibration!$C:$C,0.25),IF(XLOOKUP($B338,Derived_Variables!$A:$A,Derived_Variables!$S:$S,"Neutral")="Overcorrect",-XLOOKUP("overcorrect_step",Calibration!$B:$B,Calibration!$C:$C,0.25),0)),TRUE,0),C338="K",IF(I338="TOP_CLEARER",XLOOKUP("bino_balance_step",Calibration!$B:$B,Calibration!$C:$C,0.25),0),TRUE,0))</f>
        <v/>
      </c>
      <c r="AN338" s="28" t="str">
        <f t="shared" si="10"/>
        <v/>
      </c>
      <c r="AO338" s="28" t="str">
        <f t="shared" si="11"/>
        <v/>
      </c>
      <c r="AP338" s="28" t="str">
        <f t="array" ref="AP338">IF($I338="","",IFS(C338="D",IF(OR(I338="NOT_READABLE",I338="BLURRY"),-AB338,0),C338="J",IFS(I338="RED_CLEARER",XLOOKUP("duochrome_red_step",Calibration!$B:$B,Calibration!$C:$C,-0.25),I338="GREEN_CLEARER",XLOOKUP("duochrome_green_step",Calibration!$B:$B,Calibration!$C:$C,0.25),I338="EQUAL",IF(XLOOKUP($B338,Derived_Variables!$A:$A,Derived_Variables!$S:$S,"Neutral")="Undercorrect",XLOOKUP("undercorrect_step",Calibration!$B:$B,Calibration!$C:$C,0.25),IF(XLOOKUP($B338,Derived_Variables!$A:$A,Derived_Variables!$S:$S,"Neutral")="Overcorrect",-XLOOKUP("overcorrect_step",Calibration!$B:$B,Calibration!$C:$C,0.25),0)),TRUE,0),C338="K",IF(I338="BOTTOM_CLEARER",XLOOKUP("bino_balance_step",Calibration!$B:$B,Calibration!$C:$C,0.25),0),TRUE,0))</f>
        <v/>
      </c>
      <c r="AQ338" s="28" t="str">
        <f t="shared" si="12"/>
        <v/>
      </c>
      <c r="AR338" s="28" t="str">
        <f t="shared" si="13"/>
        <v/>
      </c>
      <c r="AS338" s="28" t="str">
        <f t="array" ref="AS338">IF($I338="","",IF(C338="P",IF(OR(I338="NOT_READABLE",I338="BLURRY"),XLOOKUP("near_add_step",Calibration!$B:$B,Calibration!$C:$C,0.25),0),IF(C338="R",IF(I338="NOT_CLEAR",XLOOKUP("near_add_step",Calibration!$B:$B,Calibration!$C:$C,0.25),0),0)))</f>
        <v/>
      </c>
      <c r="AT338" s="28" t="str">
        <f t="array" ref="AT338">IF($I338="","",IF(C338="Q",IF(OR(I338="NOT_READABLE",I338="BLURRY"),XLOOKUP("near_add_step",Calibration!$B:$B,Calibration!$C:$C,0.25),0),IF(C338="R",IF(I338="NOT_CLEAR",XLOOKUP("near_add_step",Calibration!$B:$B,Calibration!$C:$C,0.25),0),0)))</f>
        <v/>
      </c>
      <c r="AU338" s="28" t="str">
        <f t="array" ref="AU338">IF($I338="","",IF(G338="SNELLEN_FEET",IF(I338="READABLE",IFERROR(XLOOKUP(XLOOKUP(R338,Chart_Scale_Distance!B:B,Chart_Scale_Distance!A:A)+1,Chart_Scale_Distance!A:A,Chart_Scale_Distance!B:B),R338),R338),R338))</f>
        <v/>
      </c>
      <c r="AV338" s="28" t="str">
        <f t="array" ref="AV338">IF($I337="","",IFERROR(XLOOKUP(R338,Chart_Scale_Distance!$B:$B,Chart_Scale_Distance!$A:$A,""),""))</f>
        <v/>
      </c>
      <c r="AW338" s="28" t="str">
        <f t="array" ref="AW338">IF($I337="","",IFERROR(XLOOKUP(AA338,Chart_Scale_Distance!$B:$B,Chart_Scale_Distance!$A:$A,""),""))</f>
        <v/>
      </c>
      <c r="AX338" s="28" t="str">
        <f t="shared" si="14"/>
        <v/>
      </c>
      <c r="AY338" s="28" t="str">
        <f t="shared" si="15"/>
        <v/>
      </c>
      <c r="AZ338" s="28" t="str">
        <f t="shared" si="16"/>
        <v/>
      </c>
      <c r="BA338" s="28" t="str">
        <f t="shared" si="17"/>
        <v/>
      </c>
      <c r="BB338" s="28" t="str">
        <f t="shared" si="18"/>
        <v/>
      </c>
      <c r="BC338" s="28" t="str">
        <f t="array" ref="BC338">IF($I338="","",LET(
conf,AI338,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duoMax,XLOOKUP($B338,Derived_Variables!$A:$A,Derived_Variables!$AI:$AI,4),
axisTol,XLOOKUP($B338,Derived_Variables!$A:$A,Derived_Variables!$W:$W,1),
maxStart,XLOOKUP($B338,Derived_Variables!$A:$A,Derived_Variables!$U:$U,1.25),
maxAR,XLOOKUP($B338,Derived_Variables!$A:$A,Derived_Variables!$V:$V,3),
anom,XLOOKUP($B338,Derived_Variables!$A:$A,Derived_Variables!$Z:$Z,FALSE),
reStart,XLOOKUP($B338,Derived_Variables!$A:$A,Derived_Variables!$K:$K,0),
leStart,XLOOKUP($B338,Derived_Variables!$A:$A,Derived_Variables!$N:$N,0),
reAR,XLOOKUP($B338,AR_Input!$A:$A,AR_Input!$B:$B,reStart),
leAR,XLOOKUP($B338,AR_Input!$A:$A,AR_Input!$E:$E,leStart),
reEsc,AND(anom,OR(ABS((S338+AM338)-reStart)&gt;maxStart,ABS((S338+AM338)-reAR)&gt;maxAR)),
leEsc,AND(anom,OR(ABS((V338+AP338)-leStart)&gt;maxStart,ABS((V338+AP338)-leAR)&gt;maxAR)),
phaseMax,IFS(
 AK338="Fast",
   IFS(
     OR(C338="B",C338="D"),XLOOKUP("timeout_coarse_fast",Calibration!$B:$B,Calibration!$C:$C,24),
     OR(C338="E",C338="F",C338="H",C338="I"),XLOOKUP("timeout_jcc_fast",Calibration!$B:$B,Calibration!$C:$C,10),
     OR(C338="G",C338="J"),XLOOKUP("timeout_duochrome_fast",Calibration!$B:$B,Calibration!$C:$C,8),
     C338="K",XLOOKUP("timeout_bino_fast",Calibration!$B:$B,Calibration!$C:$C,10),
     OR(C338="P",C338="Q",C338="R"),XLOOKUP("timeout_near_fast",Calibration!$B:$B,Calibration!$C:$C,16),
     TRUE,XLOOKUP("timeout_coarse_fast",Calibration!$B:$B,Calibration!$C:$C,24)
   ),
 AK338="Normal",
   IFS(
     OR(C338="B",C338="D"),XLOOKUP("timeout_coarse_normal",Calibration!$B:$B,Calibration!$C:$C,36),
     OR(C338="E",C338="F",C338="H",C338="I"),XLOOKUP("timeout_jcc_normal",Calibration!$B:$B,Calibration!$C:$C,14),
     OR(C338="G",C338="J"),XLOOKUP("timeout_duochrome_normal",Calibration!$B:$B,Calibration!$C:$C,10),
     C338="K",XLOOKUP("timeout_bino_normal",Calibration!$B:$B,Calibration!$C:$C,14),
     OR(C338="P",C338="Q",C338="R"),XLOOKUP("timeout_near_normal",Calibration!$B:$B,Calibration!$C:$C,22),
     TRUE,XLOOKUP("timeout_coarse_normal",Calibration!$B:$B,Calibration!$C:$C,36)
   ),
 TRUE,
   IFS(
     OR(C338="B",C338="D"),XLOOKUP("timeout_coarse_slow",Calibration!$B:$B,Calibration!$C:$C,48),
     OR(C338="E",C338="F",C338="H",C338="I"),XLOOKUP("timeout_jcc_slow",Calibration!$B:$B,Calibration!$C:$C,18),
     OR(C338="G",C338="J"),XLOOKUP("timeout_duochrome_slow",Calibration!$B:$B,Calibration!$C:$C,12),
     C338="K",XLOOKUP("timeout_bino_slow",Calibration!$B:$B,Calibration!$C:$C,18),
     OR(C338="P",C338="Q",C338="R"),XLOOKUP("timeout_near_slow",Calibration!$B:$B,Calibration!$C:$C,28),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AJ338=TRUE,"ESCALATE",
C338="A",
IF(OR(I338="NOT_READABLE",I338="BLURRY",AND(R338="20_20_20",I338="READABLE")),"B","A"),
C338="B",
IF(reEsc,"ESCALATE",IF(AY338&gt;=phaseMax,"ESCALATE",IF(AND(AV338&gt;=AW338,I338="READABLE"),"E","B"))),
C338="E",
IF(AY338&gt;=phaseMax,"ESCALATE",IF(OR(I338="SAME",I338="CANT_TELL",AD338&lt;axisTol),"F","E")),
C338="F",
IF(AY338&gt;=phaseMax,"ESCALATE",IF(AX338&gt;=powerSameN,"G","F")),
C338="G",
IF(AY338&gt;=phaseMax,"ESCALATE",IF(OR(AX338&gt;=duoEqualN,BB338&gt;=duoMax),"D","G")),
C338="D",
IF(leEsc,"ESCALATE",IF(AY338&gt;=phaseMax,"ESCALATE",IF(AND(AV338&gt;=AW338,I338="READABLE"),"H","D"))),
C338="H",
IF(AY338&gt;=phaseMax,"ESCALATE",IF(OR(I338="SAME",I338="CANT_TELL",AD338&lt;axisTol),"I","H")),
C338="I",
IF(AY338&gt;=phaseMax,"ESCALATE",IF(AX338&gt;=powerSameN,"J","I")),
C338="J",
IF(AY338&gt;=phaseMax,"ESCALATE",IF(OR(AX338&gt;=duoEqualN,BB338&gt;=duoMax),"K","J")),
C338="K",
IF(AY338&gt;=phaseMax,"ESCALATE",IF(AX338&gt;=binoSameN,IF(XLOOKUP($B338,Derived_Variables!$A:$A,Derived_Variables!$AJ:$AJ,FALSE)=TRUE,"P","END"),"K")),
C338="P",
IF(AY338&gt;=phaseMax,"ESCALATE",IF(OR(I338="READABLE",I338="SAME"),"Q","P")),
C338="Q",
IF(AY338&gt;=phaseMax,"ESCALATE",IF(OR(I338="READABLE",I338="SAME"),"R","Q")),
C338="R",
IF(AY338&gt;=phaseMax,"ESCALATE",IF(OR(I338=nearTarget,I338="SAME"),"END","R")),
TRUE,"END"
)))</f>
        <v/>
      </c>
      <c r="BD338" s="28" t="b">
        <f t="shared" si="19"/>
        <v>0</v>
      </c>
    </row>
    <row r="339" ht="15.75" customHeight="1">
      <c r="A339" s="28">
        <f t="shared" si="3"/>
        <v>338</v>
      </c>
      <c r="B339" s="28">
        <f t="shared" si="4"/>
        <v>6</v>
      </c>
      <c r="C339" s="28" t="str">
        <f t="shared" si="5"/>
        <v/>
      </c>
      <c r="D339" s="28" t="str">
        <f t="array" ref="D339">IF($I338="","",XLOOKUP(C339,FSM_State_Map!A:A,FSM_State_Map!B:B,""))</f>
        <v/>
      </c>
      <c r="E339" s="28" t="str">
        <f t="array" ref="E339">IF($I338="","",XLOOKUP(C339,FSM_State_Map!A:A,FSM_State_Map!C:C,""))</f>
        <v/>
      </c>
      <c r="F339" s="28" t="str">
        <f t="array" ref="F339">IF($I338="","",XLOOKUP(E339,Phase_UI_Map!A:A,Phase_UI_Map!B:B,""))</f>
        <v/>
      </c>
      <c r="G339" s="28" t="str">
        <f t="array" ref="G339">IF($I338="","",XLOOKUP(E339,Phase_UI_Map!A:A,Phase_UI_Map!C:C,""))</f>
        <v/>
      </c>
      <c r="H339" s="28" t="str">
        <f t="array" ref="H339">IF($I338="","",XLOOKUP(E339,Phase_UI_Map!A:A,Phase_UI_Map!D:D,""))</f>
        <v/>
      </c>
      <c r="I339" s="29"/>
      <c r="J339" s="28" t="str">
        <f>IFERROR(__xludf.DUMMYFUNCTION("IF($I338="""","""",IFERROR(INDEX(FILTER(Response_Lists!$B:$B,Response_Lists!$A:$A=$H339),1),""""))"),"")</f>
        <v/>
      </c>
      <c r="K339" s="28" t="str">
        <f>IFERROR(__xludf.DUMMYFUNCTION("IF($I338="""","""",IFERROR(INDEX(FILTER(Response_Lists!$B:$B,Response_Lists!$A:$A=$H339),2),""""))"),"")</f>
        <v/>
      </c>
      <c r="L339" s="28" t="str">
        <f>IFERROR(__xludf.DUMMYFUNCTION("IF($I338="""","""",IFERROR(INDEX(FILTER(Response_Lists!$B:$B,Response_Lists!$A:$A=$H339),3),""""))"),"")</f>
        <v/>
      </c>
      <c r="M339" s="28" t="str">
        <f>IFERROR(__xludf.DUMMYFUNCTION("IF($I338="""","""",IFERROR(INDEX(FILTER(Response_Lists!$B:$B,Response_Lists!$A:$A=$H339),4),""""))"),"")</f>
        <v/>
      </c>
      <c r="N339" s="28" t="str">
        <f>IFERROR(__xludf.DUMMYFUNCTION("IF($I338="""","""",IFERROR(INDEX(FILTER(Response_Lists!$B:$B,Response_Lists!$A:$A=$H339),5),""""))"),"")</f>
        <v/>
      </c>
      <c r="O339" s="28" t="str">
        <f>IFERROR(__xludf.DUMMYFUNCTION("IF($I338="""","""",IFERROR(INDEX(FILTER(Response_Lists!$B:$B,Response_Lists!$A:$A=$H339),6),""""))"),"")</f>
        <v/>
      </c>
      <c r="P339" s="28" t="str">
        <f t="shared" si="6"/>
        <v/>
      </c>
      <c r="Q339" s="28" t="str">
        <f t="array" ref="Q339">IF($I338="","",XLOOKUP(C339,FSM_State_Map!A:A,FSM_State_Map!D:D,""))</f>
        <v/>
      </c>
      <c r="R339" s="28" t="str">
        <f t="shared" si="7"/>
        <v/>
      </c>
      <c r="S339" s="28" t="str">
        <f t="array" ref="S339">IF($I338="","",
IF(
  AND(C339="B",C338&lt;&gt;"B"),
  XLOOKUP($B339,Derived_Variables!$A:$A,Derived_Variables!$K:$K,0)
  + XLOOKUP($B339,Derived_Variables!$A:$A,Derived_Variables!$AE:$AE,0),
  S338+AM338
))</f>
        <v/>
      </c>
      <c r="T339" s="28" t="str">
        <f t="shared" ref="T339:U339" si="688">IF($I338="","",T338+AN338)</f>
        <v/>
      </c>
      <c r="U339" s="28" t="str">
        <f t="shared" si="688"/>
        <v/>
      </c>
      <c r="V339" s="28" t="str">
        <f t="array" ref="V339">IF($I338="","",
IF(
  AND(C339="D",C338&lt;&gt;"D"),
  XLOOKUP($B339,Derived_Variables!$A:$A,Derived_Variables!$N:$N,0)
  + XLOOKUP($B339,Derived_Variables!$A:$A,Derived_Variables!$AE:$AE,0),
  V338+AP338
))</f>
        <v/>
      </c>
      <c r="W339" s="28" t="str">
        <f t="shared" ref="W339:X339" si="689">IF($I338="","",W338+AQ338)</f>
        <v/>
      </c>
      <c r="X339" s="28" t="str">
        <f t="shared" si="689"/>
        <v/>
      </c>
      <c r="Y339" s="28" t="str">
        <f t="array" ref="Y339">IF($I338="","",IF(AND(C339="P",C338&lt;&gt;"P"),IFERROR(XLOOKUP($B339,Lenso_Input!$A:$A,Lenso_Input!$E:$E,0),0),Y338+AS338))</f>
        <v/>
      </c>
      <c r="Z339" s="28" t="str">
        <f t="array" ref="Z339">IF($I338="","",IF(AND(C339="Q",C338&lt;&gt;"Q"),IFERROR(XLOOKUP($B339,Lenso_Input!$A:$A,Lenso_Input!$I:$I,0),0),Z338+AT338))</f>
        <v/>
      </c>
      <c r="AA339" s="28" t="str">
        <f t="array" ref="AA339">IF($I338="","",IF(XLOOKUP($B339,Derived_Variables!$A:$A,Derived_Variables!$R:$R,"6/6_target")="6/6_target","20_20_20","40_30_25"))</f>
        <v/>
      </c>
      <c r="AB339" s="28" t="str">
        <f t="array" ref="AB339">IF($I338="","",XLOOKUP(LOWER(XLOOKUP($B339,Derived_Variables!$A:$A,Derived_Variables!$T:$T,"Standard"))&amp;"_sph_step",Calibration!$B:$B,Calibration!$C:$C,0.25))</f>
        <v/>
      </c>
      <c r="AC339" s="28" t="str">
        <f t="array" ref="AC339">IF($I338="","",XLOOKUP(LOWER(XLOOKUP($B339,Derived_Variables!$A:$A,Derived_Variables!$T:$T,"Standard"))&amp;"_cyl_step",Calibration!$B:$B,Calibration!$C:$C,0.25))</f>
        <v/>
      </c>
      <c r="AD339" s="28" t="str">
        <f t="array" ref="AD339">IF($I338="","",IF(OR(C339="E",C339="H"),LET(startStep,XLOOKUP("axis_start_step",Calibration!$B:$B,Calibration!$C:$C,5),step1,XLOOKUP("axis_reversal_step_1",Calibration!$B:$B,Calibration!$C:$C,3),step2,XLOOKUP("axis_reversal_step_2",Calibration!$B:$B,Calibration!$C:$C,1),IF(OR(C338&lt;&gt;C339,AZ339="",AZ339="SAME",AZ339="CANT_TELL",I339="",I339="SAME",I339="CANT_TELL"),startStep,IF(OR(AND(AZ339="BETTER_1",I339="BETTER_2"),AND(AZ339="BETTER_2",I339="BETTER_1")),IF(AD338&gt;step1,step1,step2),AD338))),0))</f>
        <v/>
      </c>
      <c r="AE339" s="28" t="str">
        <f t="array" ref="AE339">IF($I338="","",XLOOKUP($B339,Derived_Variables!$A:$A,Derived_Variables!$AD:$AD,"No_Fog"))</f>
        <v/>
      </c>
      <c r="AF339" s="28" t="str">
        <f t="array" ref="AF339">IF($I338="","",XLOOKUP($B339,Derived_Variables!$A:$A,Derived_Variables!$AE:$AE,0))</f>
        <v/>
      </c>
      <c r="AG339" s="28" t="str">
        <f t="array" ref="AG339">IF($I338="","",XLOOKUP($B339,Derived_Variables!$A:$A,Derived_Variables!$AF:$AF,""))</f>
        <v/>
      </c>
      <c r="AH339" s="28" t="str">
        <f t="array" ref="AH339">IF($I338="","",XLOOKUP($B339,Derived_Variables!$A:$A,Derived_Variables!$AG:$AG,""))</f>
        <v/>
      </c>
      <c r="AI339" s="28" t="str">
        <f t="array" ref="AI339">IF($I338="","",XLOOKUP($B339,Derived_Variables!$A:$A,Derived_Variables!$AC:$AC,"Medium"))</f>
        <v/>
      </c>
      <c r="AJ339" s="28" t="str">
        <f t="array" ref="AJ339">IF($I338="","",XLOOKUP($B339,Derived_Variables!$A:$A,Derived_Variables!$Y:$Y,FALSE))</f>
        <v/>
      </c>
      <c r="AK339" s="28" t="str">
        <f t="array" ref="AK339">IF($I338="","",XLOOKUP($B339,Derived_Variables!$A:$A,Derived_Variables!$AA:$AA,"Normal"))</f>
        <v/>
      </c>
      <c r="AL339" s="28" t="str">
        <f t="array" ref="AL339">IF($I338="","",XLOOKUP($B339,Derived_Variables!$A:$A,Derived_Variables!$AB:$AB,"Normal"))</f>
        <v/>
      </c>
      <c r="AM339" s="28" t="str">
        <f t="array" ref="AM339">IF($I339="","",IFS(C339="B",IF(OR(I339="NOT_READABLE",I339="BLURRY"),-AB339,0),C339="G",IFS(I339="RED_CLEARER",XLOOKUP("duochrome_red_step",Calibration!$B:$B,Calibration!$C:$C,-0.25),I339="GREEN_CLEARER",XLOOKUP("duochrome_green_step",Calibration!$B:$B,Calibration!$C:$C,0.25),I339="EQUAL",IF(XLOOKUP($B339,Derived_Variables!$A:$A,Derived_Variables!$S:$S,"Neutral")="Undercorrect",XLOOKUP("undercorrect_step",Calibration!$B:$B,Calibration!$C:$C,0.25),IF(XLOOKUP($B339,Derived_Variables!$A:$A,Derived_Variables!$S:$S,"Neutral")="Overcorrect",-XLOOKUP("overcorrect_step",Calibration!$B:$B,Calibration!$C:$C,0.25),0)),TRUE,0),C339="K",IF(I339="TOP_CLEARER",XLOOKUP("bino_balance_step",Calibration!$B:$B,Calibration!$C:$C,0.25),0),TRUE,0))</f>
        <v/>
      </c>
      <c r="AN339" s="28" t="str">
        <f t="shared" si="10"/>
        <v/>
      </c>
      <c r="AO339" s="28" t="str">
        <f t="shared" si="11"/>
        <v/>
      </c>
      <c r="AP339" s="28" t="str">
        <f t="array" ref="AP339">IF($I339="","",IFS(C339="D",IF(OR(I339="NOT_READABLE",I339="BLURRY"),-AB339,0),C339="J",IFS(I339="RED_CLEARER",XLOOKUP("duochrome_red_step",Calibration!$B:$B,Calibration!$C:$C,-0.25),I339="GREEN_CLEARER",XLOOKUP("duochrome_green_step",Calibration!$B:$B,Calibration!$C:$C,0.25),I339="EQUAL",IF(XLOOKUP($B339,Derived_Variables!$A:$A,Derived_Variables!$S:$S,"Neutral")="Undercorrect",XLOOKUP("undercorrect_step",Calibration!$B:$B,Calibration!$C:$C,0.25),IF(XLOOKUP($B339,Derived_Variables!$A:$A,Derived_Variables!$S:$S,"Neutral")="Overcorrect",-XLOOKUP("overcorrect_step",Calibration!$B:$B,Calibration!$C:$C,0.25),0)),TRUE,0),C339="K",IF(I339="BOTTOM_CLEARER",XLOOKUP("bino_balance_step",Calibration!$B:$B,Calibration!$C:$C,0.25),0),TRUE,0))</f>
        <v/>
      </c>
      <c r="AQ339" s="28" t="str">
        <f t="shared" si="12"/>
        <v/>
      </c>
      <c r="AR339" s="28" t="str">
        <f t="shared" si="13"/>
        <v/>
      </c>
      <c r="AS339" s="28" t="str">
        <f t="array" ref="AS339">IF($I339="","",IF(C339="P",IF(OR(I339="NOT_READABLE",I339="BLURRY"),XLOOKUP("near_add_step",Calibration!$B:$B,Calibration!$C:$C,0.25),0),IF(C339="R",IF(I339="NOT_CLEAR",XLOOKUP("near_add_step",Calibration!$B:$B,Calibration!$C:$C,0.25),0),0)))</f>
        <v/>
      </c>
      <c r="AT339" s="28" t="str">
        <f t="array" ref="AT339">IF($I339="","",IF(C339="Q",IF(OR(I339="NOT_READABLE",I339="BLURRY"),XLOOKUP("near_add_step",Calibration!$B:$B,Calibration!$C:$C,0.25),0),IF(C339="R",IF(I339="NOT_CLEAR",XLOOKUP("near_add_step",Calibration!$B:$B,Calibration!$C:$C,0.25),0),0)))</f>
        <v/>
      </c>
      <c r="AU339" s="28" t="str">
        <f t="array" ref="AU339">IF($I339="","",IF(G339="SNELLEN_FEET",IF(I339="READABLE",IFERROR(XLOOKUP(XLOOKUP(R339,Chart_Scale_Distance!B:B,Chart_Scale_Distance!A:A)+1,Chart_Scale_Distance!A:A,Chart_Scale_Distance!B:B),R339),R339),R339))</f>
        <v/>
      </c>
      <c r="AV339" s="28" t="str">
        <f t="array" ref="AV339">IF($I338="","",IFERROR(XLOOKUP(R339,Chart_Scale_Distance!$B:$B,Chart_Scale_Distance!$A:$A,""),""))</f>
        <v/>
      </c>
      <c r="AW339" s="28" t="str">
        <f t="array" ref="AW339">IF($I338="","",IFERROR(XLOOKUP(AA339,Chart_Scale_Distance!$B:$B,Chart_Scale_Distance!$A:$A,""),""))</f>
        <v/>
      </c>
      <c r="AX339" s="28" t="str">
        <f t="shared" si="14"/>
        <v/>
      </c>
      <c r="AY339" s="28" t="str">
        <f t="shared" si="15"/>
        <v/>
      </c>
      <c r="AZ339" s="28" t="str">
        <f t="shared" si="16"/>
        <v/>
      </c>
      <c r="BA339" s="28" t="str">
        <f t="shared" si="17"/>
        <v/>
      </c>
      <c r="BB339" s="28" t="str">
        <f t="shared" si="18"/>
        <v/>
      </c>
      <c r="BC339" s="28" t="str">
        <f t="array" ref="BC339">IF($I339="","",LET(
conf,AI339,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duoMax,XLOOKUP($B339,Derived_Variables!$A:$A,Derived_Variables!$AI:$AI,4),
axisTol,XLOOKUP($B339,Derived_Variables!$A:$A,Derived_Variables!$W:$W,1),
maxStart,XLOOKUP($B339,Derived_Variables!$A:$A,Derived_Variables!$U:$U,1.25),
maxAR,XLOOKUP($B339,Derived_Variables!$A:$A,Derived_Variables!$V:$V,3),
anom,XLOOKUP($B339,Derived_Variables!$A:$A,Derived_Variables!$Z:$Z,FALSE),
reStart,XLOOKUP($B339,Derived_Variables!$A:$A,Derived_Variables!$K:$K,0),
leStart,XLOOKUP($B339,Derived_Variables!$A:$A,Derived_Variables!$N:$N,0),
reAR,XLOOKUP($B339,AR_Input!$A:$A,AR_Input!$B:$B,reStart),
leAR,XLOOKUP($B339,AR_Input!$A:$A,AR_Input!$E:$E,leStart),
reEsc,AND(anom,OR(ABS((S339+AM339)-reStart)&gt;maxStart,ABS((S339+AM339)-reAR)&gt;maxAR)),
leEsc,AND(anom,OR(ABS((V339+AP339)-leStart)&gt;maxStart,ABS((V339+AP339)-leAR)&gt;maxAR)),
phaseMax,IFS(
 AK339="Fast",
   IFS(
     OR(C339="B",C339="D"),XLOOKUP("timeout_coarse_fast",Calibration!$B:$B,Calibration!$C:$C,24),
     OR(C339="E",C339="F",C339="H",C339="I"),XLOOKUP("timeout_jcc_fast",Calibration!$B:$B,Calibration!$C:$C,10),
     OR(C339="G",C339="J"),XLOOKUP("timeout_duochrome_fast",Calibration!$B:$B,Calibration!$C:$C,8),
     C339="K",XLOOKUP("timeout_bino_fast",Calibration!$B:$B,Calibration!$C:$C,10),
     OR(C339="P",C339="Q",C339="R"),XLOOKUP("timeout_near_fast",Calibration!$B:$B,Calibration!$C:$C,16),
     TRUE,XLOOKUP("timeout_coarse_fast",Calibration!$B:$B,Calibration!$C:$C,24)
   ),
 AK339="Normal",
   IFS(
     OR(C339="B",C339="D"),XLOOKUP("timeout_coarse_normal",Calibration!$B:$B,Calibration!$C:$C,36),
     OR(C339="E",C339="F",C339="H",C339="I"),XLOOKUP("timeout_jcc_normal",Calibration!$B:$B,Calibration!$C:$C,14),
     OR(C339="G",C339="J"),XLOOKUP("timeout_duochrome_normal",Calibration!$B:$B,Calibration!$C:$C,10),
     C339="K",XLOOKUP("timeout_bino_normal",Calibration!$B:$B,Calibration!$C:$C,14),
     OR(C339="P",C339="Q",C339="R"),XLOOKUP("timeout_near_normal",Calibration!$B:$B,Calibration!$C:$C,22),
     TRUE,XLOOKUP("timeout_coarse_normal",Calibration!$B:$B,Calibration!$C:$C,36)
   ),
 TRUE,
   IFS(
     OR(C339="B",C339="D"),XLOOKUP("timeout_coarse_slow",Calibration!$B:$B,Calibration!$C:$C,48),
     OR(C339="E",C339="F",C339="H",C339="I"),XLOOKUP("timeout_jcc_slow",Calibration!$B:$B,Calibration!$C:$C,18),
     OR(C339="G",C339="J"),XLOOKUP("timeout_duochrome_slow",Calibration!$B:$B,Calibration!$C:$C,12),
     C339="K",XLOOKUP("timeout_bino_slow",Calibration!$B:$B,Calibration!$C:$C,18),
     OR(C339="P",C339="Q",C339="R"),XLOOKUP("timeout_near_slow",Calibration!$B:$B,Calibration!$C:$C,28),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AJ339=TRUE,"ESCALATE",
C339="A",
IF(OR(I339="NOT_READABLE",I339="BLURRY",AND(R339="20_20_20",I339="READABLE")),"B","A"),
C339="B",
IF(reEsc,"ESCALATE",IF(AY339&gt;=phaseMax,"ESCALATE",IF(AND(AV339&gt;=AW339,I339="READABLE"),"E","B"))),
C339="E",
IF(AY339&gt;=phaseMax,"ESCALATE",IF(OR(I339="SAME",I339="CANT_TELL",AD339&lt;axisTol),"F","E")),
C339="F",
IF(AY339&gt;=phaseMax,"ESCALATE",IF(AX339&gt;=powerSameN,"G","F")),
C339="G",
IF(AY339&gt;=phaseMax,"ESCALATE",IF(OR(AX339&gt;=duoEqualN,BB339&gt;=duoMax),"D","G")),
C339="D",
IF(leEsc,"ESCALATE",IF(AY339&gt;=phaseMax,"ESCALATE",IF(AND(AV339&gt;=AW339,I339="READABLE"),"H","D"))),
C339="H",
IF(AY339&gt;=phaseMax,"ESCALATE",IF(OR(I339="SAME",I339="CANT_TELL",AD339&lt;axisTol),"I","H")),
C339="I",
IF(AY339&gt;=phaseMax,"ESCALATE",IF(AX339&gt;=powerSameN,"J","I")),
C339="J",
IF(AY339&gt;=phaseMax,"ESCALATE",IF(OR(AX339&gt;=duoEqualN,BB339&gt;=duoMax),"K","J")),
C339="K",
IF(AY339&gt;=phaseMax,"ESCALATE",IF(AX339&gt;=binoSameN,IF(XLOOKUP($B339,Derived_Variables!$A:$A,Derived_Variables!$AJ:$AJ,FALSE)=TRUE,"P","END"),"K")),
C339="P",
IF(AY339&gt;=phaseMax,"ESCALATE",IF(OR(I339="READABLE",I339="SAME"),"Q","P")),
C339="Q",
IF(AY339&gt;=phaseMax,"ESCALATE",IF(OR(I339="READABLE",I339="SAME"),"R","Q")),
C339="R",
IF(AY339&gt;=phaseMax,"ESCALATE",IF(OR(I339=nearTarget,I339="SAME"),"END","R")),
TRUE,"END"
)))</f>
        <v/>
      </c>
      <c r="BD339" s="28" t="b">
        <f t="shared" si="19"/>
        <v>0</v>
      </c>
    </row>
    <row r="340" ht="15.75" customHeight="1">
      <c r="A340" s="28">
        <f t="shared" si="3"/>
        <v>339</v>
      </c>
      <c r="B340" s="28">
        <f t="shared" si="4"/>
        <v>6</v>
      </c>
      <c r="C340" s="28" t="str">
        <f t="shared" si="5"/>
        <v/>
      </c>
      <c r="D340" s="28" t="str">
        <f t="array" ref="D340">IF($I339="","",XLOOKUP(C340,FSM_State_Map!A:A,FSM_State_Map!B:B,""))</f>
        <v/>
      </c>
      <c r="E340" s="28" t="str">
        <f t="array" ref="E340">IF($I339="","",XLOOKUP(C340,FSM_State_Map!A:A,FSM_State_Map!C:C,""))</f>
        <v/>
      </c>
      <c r="F340" s="28" t="str">
        <f t="array" ref="F340">IF($I339="","",XLOOKUP(E340,Phase_UI_Map!A:A,Phase_UI_Map!B:B,""))</f>
        <v/>
      </c>
      <c r="G340" s="28" t="str">
        <f t="array" ref="G340">IF($I339="","",XLOOKUP(E340,Phase_UI_Map!A:A,Phase_UI_Map!C:C,""))</f>
        <v/>
      </c>
      <c r="H340" s="28" t="str">
        <f t="array" ref="H340">IF($I339="","",XLOOKUP(E340,Phase_UI_Map!A:A,Phase_UI_Map!D:D,""))</f>
        <v/>
      </c>
      <c r="I340" s="29"/>
      <c r="J340" s="28" t="str">
        <f>IFERROR(__xludf.DUMMYFUNCTION("IF($I339="""","""",IFERROR(INDEX(FILTER(Response_Lists!$B:$B,Response_Lists!$A:$A=$H340),1),""""))"),"")</f>
        <v/>
      </c>
      <c r="K340" s="28" t="str">
        <f>IFERROR(__xludf.DUMMYFUNCTION("IF($I339="""","""",IFERROR(INDEX(FILTER(Response_Lists!$B:$B,Response_Lists!$A:$A=$H340),2),""""))"),"")</f>
        <v/>
      </c>
      <c r="L340" s="28" t="str">
        <f>IFERROR(__xludf.DUMMYFUNCTION("IF($I339="""","""",IFERROR(INDEX(FILTER(Response_Lists!$B:$B,Response_Lists!$A:$A=$H340),3),""""))"),"")</f>
        <v/>
      </c>
      <c r="M340" s="28" t="str">
        <f>IFERROR(__xludf.DUMMYFUNCTION("IF($I339="""","""",IFERROR(INDEX(FILTER(Response_Lists!$B:$B,Response_Lists!$A:$A=$H340),4),""""))"),"")</f>
        <v/>
      </c>
      <c r="N340" s="28" t="str">
        <f>IFERROR(__xludf.DUMMYFUNCTION("IF($I339="""","""",IFERROR(INDEX(FILTER(Response_Lists!$B:$B,Response_Lists!$A:$A=$H340),5),""""))"),"")</f>
        <v/>
      </c>
      <c r="O340" s="28" t="str">
        <f>IFERROR(__xludf.DUMMYFUNCTION("IF($I339="""","""",IFERROR(INDEX(FILTER(Response_Lists!$B:$B,Response_Lists!$A:$A=$H340),6),""""))"),"")</f>
        <v/>
      </c>
      <c r="P340" s="28" t="str">
        <f t="shared" si="6"/>
        <v/>
      </c>
      <c r="Q340" s="28" t="str">
        <f t="array" ref="Q340">IF($I339="","",XLOOKUP(C340,FSM_State_Map!A:A,FSM_State_Map!D:D,""))</f>
        <v/>
      </c>
      <c r="R340" s="28" t="str">
        <f t="shared" si="7"/>
        <v/>
      </c>
      <c r="S340" s="28" t="str">
        <f t="array" ref="S340">IF($I339="","",
IF(
  AND(C340="B",C339&lt;&gt;"B"),
  XLOOKUP($B340,Derived_Variables!$A:$A,Derived_Variables!$K:$K,0)
  + XLOOKUP($B340,Derived_Variables!$A:$A,Derived_Variables!$AE:$AE,0),
  S339+AM339
))</f>
        <v/>
      </c>
      <c r="T340" s="28" t="str">
        <f t="shared" ref="T340:U340" si="690">IF($I339="","",T339+AN339)</f>
        <v/>
      </c>
      <c r="U340" s="28" t="str">
        <f t="shared" si="690"/>
        <v/>
      </c>
      <c r="V340" s="28" t="str">
        <f t="array" ref="V340">IF($I339="","",
IF(
  AND(C340="D",C339&lt;&gt;"D"),
  XLOOKUP($B340,Derived_Variables!$A:$A,Derived_Variables!$N:$N,0)
  + XLOOKUP($B340,Derived_Variables!$A:$A,Derived_Variables!$AE:$AE,0),
  V339+AP339
))</f>
        <v/>
      </c>
      <c r="W340" s="28" t="str">
        <f t="shared" ref="W340:X340" si="691">IF($I339="","",W339+AQ339)</f>
        <v/>
      </c>
      <c r="X340" s="28" t="str">
        <f t="shared" si="691"/>
        <v/>
      </c>
      <c r="Y340" s="28" t="str">
        <f t="array" ref="Y340">IF($I339="","",IF(AND(C340="P",C339&lt;&gt;"P"),IFERROR(XLOOKUP($B340,Lenso_Input!$A:$A,Lenso_Input!$E:$E,0),0),Y339+AS339))</f>
        <v/>
      </c>
      <c r="Z340" s="28" t="str">
        <f t="array" ref="Z340">IF($I339="","",IF(AND(C340="Q",C339&lt;&gt;"Q"),IFERROR(XLOOKUP($B340,Lenso_Input!$A:$A,Lenso_Input!$I:$I,0),0),Z339+AT339))</f>
        <v/>
      </c>
      <c r="AA340" s="28" t="str">
        <f t="array" ref="AA340">IF($I339="","",IF(XLOOKUP($B340,Derived_Variables!$A:$A,Derived_Variables!$R:$R,"6/6_target")="6/6_target","20_20_20","40_30_25"))</f>
        <v/>
      </c>
      <c r="AB340" s="28" t="str">
        <f t="array" ref="AB340">IF($I339="","",XLOOKUP(LOWER(XLOOKUP($B340,Derived_Variables!$A:$A,Derived_Variables!$T:$T,"Standard"))&amp;"_sph_step",Calibration!$B:$B,Calibration!$C:$C,0.25))</f>
        <v/>
      </c>
      <c r="AC340" s="28" t="str">
        <f t="array" ref="AC340">IF($I339="","",XLOOKUP(LOWER(XLOOKUP($B340,Derived_Variables!$A:$A,Derived_Variables!$T:$T,"Standard"))&amp;"_cyl_step",Calibration!$B:$B,Calibration!$C:$C,0.25))</f>
        <v/>
      </c>
      <c r="AD340" s="28" t="str">
        <f t="array" ref="AD340">IF($I339="","",IF(OR(C340="E",C340="H"),LET(startStep,XLOOKUP("axis_start_step",Calibration!$B:$B,Calibration!$C:$C,5),step1,XLOOKUP("axis_reversal_step_1",Calibration!$B:$B,Calibration!$C:$C,3),step2,XLOOKUP("axis_reversal_step_2",Calibration!$B:$B,Calibration!$C:$C,1),IF(OR(C339&lt;&gt;C340,AZ340="",AZ340="SAME",AZ340="CANT_TELL",I340="",I340="SAME",I340="CANT_TELL"),startStep,IF(OR(AND(AZ340="BETTER_1",I340="BETTER_2"),AND(AZ340="BETTER_2",I340="BETTER_1")),IF(AD339&gt;step1,step1,step2),AD339))),0))</f>
        <v/>
      </c>
      <c r="AE340" s="28" t="str">
        <f t="array" ref="AE340">IF($I339="","",XLOOKUP($B340,Derived_Variables!$A:$A,Derived_Variables!$AD:$AD,"No_Fog"))</f>
        <v/>
      </c>
      <c r="AF340" s="28" t="str">
        <f t="array" ref="AF340">IF($I339="","",XLOOKUP($B340,Derived_Variables!$A:$A,Derived_Variables!$AE:$AE,0))</f>
        <v/>
      </c>
      <c r="AG340" s="28" t="str">
        <f t="array" ref="AG340">IF($I339="","",XLOOKUP($B340,Derived_Variables!$A:$A,Derived_Variables!$AF:$AF,""))</f>
        <v/>
      </c>
      <c r="AH340" s="28" t="str">
        <f t="array" ref="AH340">IF($I339="","",XLOOKUP($B340,Derived_Variables!$A:$A,Derived_Variables!$AG:$AG,""))</f>
        <v/>
      </c>
      <c r="AI340" s="28" t="str">
        <f t="array" ref="AI340">IF($I339="","",XLOOKUP($B340,Derived_Variables!$A:$A,Derived_Variables!$AC:$AC,"Medium"))</f>
        <v/>
      </c>
      <c r="AJ340" s="28" t="str">
        <f t="array" ref="AJ340">IF($I339="","",XLOOKUP($B340,Derived_Variables!$A:$A,Derived_Variables!$Y:$Y,FALSE))</f>
        <v/>
      </c>
      <c r="AK340" s="28" t="str">
        <f t="array" ref="AK340">IF($I339="","",XLOOKUP($B340,Derived_Variables!$A:$A,Derived_Variables!$AA:$AA,"Normal"))</f>
        <v/>
      </c>
      <c r="AL340" s="28" t="str">
        <f t="array" ref="AL340">IF($I339="","",XLOOKUP($B340,Derived_Variables!$A:$A,Derived_Variables!$AB:$AB,"Normal"))</f>
        <v/>
      </c>
      <c r="AM340" s="28" t="str">
        <f t="array" ref="AM340">IF($I340="","",IFS(C340="B",IF(OR(I340="NOT_READABLE",I340="BLURRY"),-AB340,0),C340="G",IFS(I340="RED_CLEARER",XLOOKUP("duochrome_red_step",Calibration!$B:$B,Calibration!$C:$C,-0.25),I340="GREEN_CLEARER",XLOOKUP("duochrome_green_step",Calibration!$B:$B,Calibration!$C:$C,0.25),I340="EQUAL",IF(XLOOKUP($B340,Derived_Variables!$A:$A,Derived_Variables!$S:$S,"Neutral")="Undercorrect",XLOOKUP("undercorrect_step",Calibration!$B:$B,Calibration!$C:$C,0.25),IF(XLOOKUP($B340,Derived_Variables!$A:$A,Derived_Variables!$S:$S,"Neutral")="Overcorrect",-XLOOKUP("overcorrect_step",Calibration!$B:$B,Calibration!$C:$C,0.25),0)),TRUE,0),C340="K",IF(I340="TOP_CLEARER",XLOOKUP("bino_balance_step",Calibration!$B:$B,Calibration!$C:$C,0.25),0),TRUE,0))</f>
        <v/>
      </c>
      <c r="AN340" s="28" t="str">
        <f t="shared" si="10"/>
        <v/>
      </c>
      <c r="AO340" s="28" t="str">
        <f t="shared" si="11"/>
        <v/>
      </c>
      <c r="AP340" s="28" t="str">
        <f t="array" ref="AP340">IF($I340="","",IFS(C340="D",IF(OR(I340="NOT_READABLE",I340="BLURRY"),-AB340,0),C340="J",IFS(I340="RED_CLEARER",XLOOKUP("duochrome_red_step",Calibration!$B:$B,Calibration!$C:$C,-0.25),I340="GREEN_CLEARER",XLOOKUP("duochrome_green_step",Calibration!$B:$B,Calibration!$C:$C,0.25),I340="EQUAL",IF(XLOOKUP($B340,Derived_Variables!$A:$A,Derived_Variables!$S:$S,"Neutral")="Undercorrect",XLOOKUP("undercorrect_step",Calibration!$B:$B,Calibration!$C:$C,0.25),IF(XLOOKUP($B340,Derived_Variables!$A:$A,Derived_Variables!$S:$S,"Neutral")="Overcorrect",-XLOOKUP("overcorrect_step",Calibration!$B:$B,Calibration!$C:$C,0.25),0)),TRUE,0),C340="K",IF(I340="BOTTOM_CLEARER",XLOOKUP("bino_balance_step",Calibration!$B:$B,Calibration!$C:$C,0.25),0),TRUE,0))</f>
        <v/>
      </c>
      <c r="AQ340" s="28" t="str">
        <f t="shared" si="12"/>
        <v/>
      </c>
      <c r="AR340" s="28" t="str">
        <f t="shared" si="13"/>
        <v/>
      </c>
      <c r="AS340" s="28" t="str">
        <f t="array" ref="AS340">IF($I340="","",IF(C340="P",IF(OR(I340="NOT_READABLE",I340="BLURRY"),XLOOKUP("near_add_step",Calibration!$B:$B,Calibration!$C:$C,0.25),0),IF(C340="R",IF(I340="NOT_CLEAR",XLOOKUP("near_add_step",Calibration!$B:$B,Calibration!$C:$C,0.25),0),0)))</f>
        <v/>
      </c>
      <c r="AT340" s="28" t="str">
        <f t="array" ref="AT340">IF($I340="","",IF(C340="Q",IF(OR(I340="NOT_READABLE",I340="BLURRY"),XLOOKUP("near_add_step",Calibration!$B:$B,Calibration!$C:$C,0.25),0),IF(C340="R",IF(I340="NOT_CLEAR",XLOOKUP("near_add_step",Calibration!$B:$B,Calibration!$C:$C,0.25),0),0)))</f>
        <v/>
      </c>
      <c r="AU340" s="28" t="str">
        <f t="array" ref="AU340">IF($I340="","",IF(G340="SNELLEN_FEET",IF(I340="READABLE",IFERROR(XLOOKUP(XLOOKUP(R340,Chart_Scale_Distance!B:B,Chart_Scale_Distance!A:A)+1,Chart_Scale_Distance!A:A,Chart_Scale_Distance!B:B),R340),R340),R340))</f>
        <v/>
      </c>
      <c r="AV340" s="28" t="str">
        <f t="array" ref="AV340">IF($I339="","",IFERROR(XLOOKUP(R340,Chart_Scale_Distance!$B:$B,Chart_Scale_Distance!$A:$A,""),""))</f>
        <v/>
      </c>
      <c r="AW340" s="28" t="str">
        <f t="array" ref="AW340">IF($I339="","",IFERROR(XLOOKUP(AA340,Chart_Scale_Distance!$B:$B,Chart_Scale_Distance!$A:$A,""),""))</f>
        <v/>
      </c>
      <c r="AX340" s="28" t="str">
        <f t="shared" si="14"/>
        <v/>
      </c>
      <c r="AY340" s="28" t="str">
        <f t="shared" si="15"/>
        <v/>
      </c>
      <c r="AZ340" s="28" t="str">
        <f t="shared" si="16"/>
        <v/>
      </c>
      <c r="BA340" s="28" t="str">
        <f t="shared" si="17"/>
        <v/>
      </c>
      <c r="BB340" s="28" t="str">
        <f t="shared" si="18"/>
        <v/>
      </c>
      <c r="BC340" s="28" t="str">
        <f t="array" ref="BC340">IF($I340="","",LET(
conf,AI340,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duoMax,XLOOKUP($B340,Derived_Variables!$A:$A,Derived_Variables!$AI:$AI,4),
axisTol,XLOOKUP($B340,Derived_Variables!$A:$A,Derived_Variables!$W:$W,1),
maxStart,XLOOKUP($B340,Derived_Variables!$A:$A,Derived_Variables!$U:$U,1.25),
maxAR,XLOOKUP($B340,Derived_Variables!$A:$A,Derived_Variables!$V:$V,3),
anom,XLOOKUP($B340,Derived_Variables!$A:$A,Derived_Variables!$Z:$Z,FALSE),
reStart,XLOOKUP($B340,Derived_Variables!$A:$A,Derived_Variables!$K:$K,0),
leStart,XLOOKUP($B340,Derived_Variables!$A:$A,Derived_Variables!$N:$N,0),
reAR,XLOOKUP($B340,AR_Input!$A:$A,AR_Input!$B:$B,reStart),
leAR,XLOOKUP($B340,AR_Input!$A:$A,AR_Input!$E:$E,leStart),
reEsc,AND(anom,OR(ABS((S340+AM340)-reStart)&gt;maxStart,ABS((S340+AM340)-reAR)&gt;maxAR)),
leEsc,AND(anom,OR(ABS((V340+AP340)-leStart)&gt;maxStart,ABS((V340+AP340)-leAR)&gt;maxAR)),
phaseMax,IFS(
 AK340="Fast",
   IFS(
     OR(C340="B",C340="D"),XLOOKUP("timeout_coarse_fast",Calibration!$B:$B,Calibration!$C:$C,24),
     OR(C340="E",C340="F",C340="H",C340="I"),XLOOKUP("timeout_jcc_fast",Calibration!$B:$B,Calibration!$C:$C,10),
     OR(C340="G",C340="J"),XLOOKUP("timeout_duochrome_fast",Calibration!$B:$B,Calibration!$C:$C,8),
     C340="K",XLOOKUP("timeout_bino_fast",Calibration!$B:$B,Calibration!$C:$C,10),
     OR(C340="P",C340="Q",C340="R"),XLOOKUP("timeout_near_fast",Calibration!$B:$B,Calibration!$C:$C,16),
     TRUE,XLOOKUP("timeout_coarse_fast",Calibration!$B:$B,Calibration!$C:$C,24)
   ),
 AK340="Normal",
   IFS(
     OR(C340="B",C340="D"),XLOOKUP("timeout_coarse_normal",Calibration!$B:$B,Calibration!$C:$C,36),
     OR(C340="E",C340="F",C340="H",C340="I"),XLOOKUP("timeout_jcc_normal",Calibration!$B:$B,Calibration!$C:$C,14),
     OR(C340="G",C340="J"),XLOOKUP("timeout_duochrome_normal",Calibration!$B:$B,Calibration!$C:$C,10),
     C340="K",XLOOKUP("timeout_bino_normal",Calibration!$B:$B,Calibration!$C:$C,14),
     OR(C340="P",C340="Q",C340="R"),XLOOKUP("timeout_near_normal",Calibration!$B:$B,Calibration!$C:$C,22),
     TRUE,XLOOKUP("timeout_coarse_normal",Calibration!$B:$B,Calibration!$C:$C,36)
   ),
 TRUE,
   IFS(
     OR(C340="B",C340="D"),XLOOKUP("timeout_coarse_slow",Calibration!$B:$B,Calibration!$C:$C,48),
     OR(C340="E",C340="F",C340="H",C340="I"),XLOOKUP("timeout_jcc_slow",Calibration!$B:$B,Calibration!$C:$C,18),
     OR(C340="G",C340="J"),XLOOKUP("timeout_duochrome_slow",Calibration!$B:$B,Calibration!$C:$C,12),
     C340="K",XLOOKUP("timeout_bino_slow",Calibration!$B:$B,Calibration!$C:$C,18),
     OR(C340="P",C340="Q",C340="R"),XLOOKUP("timeout_near_slow",Calibration!$B:$B,Calibration!$C:$C,28),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AJ340=TRUE,"ESCALATE",
C340="A",
IF(OR(I340="NOT_READABLE",I340="BLURRY",AND(R340="20_20_20",I340="READABLE")),"B","A"),
C340="B",
IF(reEsc,"ESCALATE",IF(AY340&gt;=phaseMax,"ESCALATE",IF(AND(AV340&gt;=AW340,I340="READABLE"),"E","B"))),
C340="E",
IF(AY340&gt;=phaseMax,"ESCALATE",IF(OR(I340="SAME",I340="CANT_TELL",AD340&lt;axisTol),"F","E")),
C340="F",
IF(AY340&gt;=phaseMax,"ESCALATE",IF(AX340&gt;=powerSameN,"G","F")),
C340="G",
IF(AY340&gt;=phaseMax,"ESCALATE",IF(OR(AX340&gt;=duoEqualN,BB340&gt;=duoMax),"D","G")),
C340="D",
IF(leEsc,"ESCALATE",IF(AY340&gt;=phaseMax,"ESCALATE",IF(AND(AV340&gt;=AW340,I340="READABLE"),"H","D"))),
C340="H",
IF(AY340&gt;=phaseMax,"ESCALATE",IF(OR(I340="SAME",I340="CANT_TELL",AD340&lt;axisTol),"I","H")),
C340="I",
IF(AY340&gt;=phaseMax,"ESCALATE",IF(AX340&gt;=powerSameN,"J","I")),
C340="J",
IF(AY340&gt;=phaseMax,"ESCALATE",IF(OR(AX340&gt;=duoEqualN,BB340&gt;=duoMax),"K","J")),
C340="K",
IF(AY340&gt;=phaseMax,"ESCALATE",IF(AX340&gt;=binoSameN,IF(XLOOKUP($B340,Derived_Variables!$A:$A,Derived_Variables!$AJ:$AJ,FALSE)=TRUE,"P","END"),"K")),
C340="P",
IF(AY340&gt;=phaseMax,"ESCALATE",IF(OR(I340="READABLE",I340="SAME"),"Q","P")),
C340="Q",
IF(AY340&gt;=phaseMax,"ESCALATE",IF(OR(I340="READABLE",I340="SAME"),"R","Q")),
C340="R",
IF(AY340&gt;=phaseMax,"ESCALATE",IF(OR(I340=nearTarget,I340="SAME"),"END","R")),
TRUE,"END"
)))</f>
        <v/>
      </c>
      <c r="BD340" s="28" t="b">
        <f t="shared" si="19"/>
        <v>0</v>
      </c>
    </row>
    <row r="341" ht="15.75" customHeight="1">
      <c r="A341" s="28">
        <f t="shared" si="3"/>
        <v>340</v>
      </c>
      <c r="B341" s="28">
        <f t="shared" si="4"/>
        <v>6</v>
      </c>
      <c r="C341" s="28" t="str">
        <f t="shared" si="5"/>
        <v/>
      </c>
      <c r="D341" s="28" t="str">
        <f t="array" ref="D341">IF($I340="","",XLOOKUP(C341,FSM_State_Map!A:A,FSM_State_Map!B:B,""))</f>
        <v/>
      </c>
      <c r="E341" s="28" t="str">
        <f t="array" ref="E341">IF($I340="","",XLOOKUP(C341,FSM_State_Map!A:A,FSM_State_Map!C:C,""))</f>
        <v/>
      </c>
      <c r="F341" s="28" t="str">
        <f t="array" ref="F341">IF($I340="","",XLOOKUP(E341,Phase_UI_Map!A:A,Phase_UI_Map!B:B,""))</f>
        <v/>
      </c>
      <c r="G341" s="28" t="str">
        <f t="array" ref="G341">IF($I340="","",XLOOKUP(E341,Phase_UI_Map!A:A,Phase_UI_Map!C:C,""))</f>
        <v/>
      </c>
      <c r="H341" s="28" t="str">
        <f t="array" ref="H341">IF($I340="","",XLOOKUP(E341,Phase_UI_Map!A:A,Phase_UI_Map!D:D,""))</f>
        <v/>
      </c>
      <c r="I341" s="29"/>
      <c r="J341" s="28" t="str">
        <f>IFERROR(__xludf.DUMMYFUNCTION("IF($I340="""","""",IFERROR(INDEX(FILTER(Response_Lists!$B:$B,Response_Lists!$A:$A=$H341),1),""""))"),"")</f>
        <v/>
      </c>
      <c r="K341" s="28" t="str">
        <f>IFERROR(__xludf.DUMMYFUNCTION("IF($I340="""","""",IFERROR(INDEX(FILTER(Response_Lists!$B:$B,Response_Lists!$A:$A=$H341),2),""""))"),"")</f>
        <v/>
      </c>
      <c r="L341" s="28" t="str">
        <f>IFERROR(__xludf.DUMMYFUNCTION("IF($I340="""","""",IFERROR(INDEX(FILTER(Response_Lists!$B:$B,Response_Lists!$A:$A=$H341),3),""""))"),"")</f>
        <v/>
      </c>
      <c r="M341" s="28" t="str">
        <f>IFERROR(__xludf.DUMMYFUNCTION("IF($I340="""","""",IFERROR(INDEX(FILTER(Response_Lists!$B:$B,Response_Lists!$A:$A=$H341),4),""""))"),"")</f>
        <v/>
      </c>
      <c r="N341" s="28" t="str">
        <f>IFERROR(__xludf.DUMMYFUNCTION("IF($I340="""","""",IFERROR(INDEX(FILTER(Response_Lists!$B:$B,Response_Lists!$A:$A=$H341),5),""""))"),"")</f>
        <v/>
      </c>
      <c r="O341" s="28" t="str">
        <f>IFERROR(__xludf.DUMMYFUNCTION("IF($I340="""","""",IFERROR(INDEX(FILTER(Response_Lists!$B:$B,Response_Lists!$A:$A=$H341),6),""""))"),"")</f>
        <v/>
      </c>
      <c r="P341" s="28" t="str">
        <f t="shared" si="6"/>
        <v/>
      </c>
      <c r="Q341" s="28" t="str">
        <f t="array" ref="Q341">IF($I340="","",XLOOKUP(C341,FSM_State_Map!A:A,FSM_State_Map!D:D,""))</f>
        <v/>
      </c>
      <c r="R341" s="28" t="str">
        <f t="shared" si="7"/>
        <v/>
      </c>
      <c r="S341" s="28" t="str">
        <f t="array" ref="S341">IF($I340="","",
IF(
  AND(C341="B",C340&lt;&gt;"B"),
  XLOOKUP($B341,Derived_Variables!$A:$A,Derived_Variables!$K:$K,0)
  + XLOOKUP($B341,Derived_Variables!$A:$A,Derived_Variables!$AE:$AE,0),
  S340+AM340
))</f>
        <v/>
      </c>
      <c r="T341" s="28" t="str">
        <f t="shared" ref="T341:U341" si="692">IF($I340="","",T340+AN340)</f>
        <v/>
      </c>
      <c r="U341" s="28" t="str">
        <f t="shared" si="692"/>
        <v/>
      </c>
      <c r="V341" s="28" t="str">
        <f t="array" ref="V341">IF($I340="","",
IF(
  AND(C341="D",C340&lt;&gt;"D"),
  XLOOKUP($B341,Derived_Variables!$A:$A,Derived_Variables!$N:$N,0)
  + XLOOKUP($B341,Derived_Variables!$A:$A,Derived_Variables!$AE:$AE,0),
  V340+AP340
))</f>
        <v/>
      </c>
      <c r="W341" s="28" t="str">
        <f t="shared" ref="W341:X341" si="693">IF($I340="","",W340+AQ340)</f>
        <v/>
      </c>
      <c r="X341" s="28" t="str">
        <f t="shared" si="693"/>
        <v/>
      </c>
      <c r="Y341" s="28" t="str">
        <f t="array" ref="Y341">IF($I340="","",IF(AND(C341="P",C340&lt;&gt;"P"),IFERROR(XLOOKUP($B341,Lenso_Input!$A:$A,Lenso_Input!$E:$E,0),0),Y340+AS340))</f>
        <v/>
      </c>
      <c r="Z341" s="28" t="str">
        <f t="array" ref="Z341">IF($I340="","",IF(AND(C341="Q",C340&lt;&gt;"Q"),IFERROR(XLOOKUP($B341,Lenso_Input!$A:$A,Lenso_Input!$I:$I,0),0),Z340+AT340))</f>
        <v/>
      </c>
      <c r="AA341" s="28" t="str">
        <f t="array" ref="AA341">IF($I340="","",IF(XLOOKUP($B341,Derived_Variables!$A:$A,Derived_Variables!$R:$R,"6/6_target")="6/6_target","20_20_20","40_30_25"))</f>
        <v/>
      </c>
      <c r="AB341" s="28" t="str">
        <f t="array" ref="AB341">IF($I340="","",XLOOKUP(LOWER(XLOOKUP($B341,Derived_Variables!$A:$A,Derived_Variables!$T:$T,"Standard"))&amp;"_sph_step",Calibration!$B:$B,Calibration!$C:$C,0.25))</f>
        <v/>
      </c>
      <c r="AC341" s="28" t="str">
        <f t="array" ref="AC341">IF($I340="","",XLOOKUP(LOWER(XLOOKUP($B341,Derived_Variables!$A:$A,Derived_Variables!$T:$T,"Standard"))&amp;"_cyl_step",Calibration!$B:$B,Calibration!$C:$C,0.25))</f>
        <v/>
      </c>
      <c r="AD341" s="28" t="str">
        <f t="array" ref="AD341">IF($I340="","",IF(OR(C341="E",C341="H"),LET(startStep,XLOOKUP("axis_start_step",Calibration!$B:$B,Calibration!$C:$C,5),step1,XLOOKUP("axis_reversal_step_1",Calibration!$B:$B,Calibration!$C:$C,3),step2,XLOOKUP("axis_reversal_step_2",Calibration!$B:$B,Calibration!$C:$C,1),IF(OR(C340&lt;&gt;C341,AZ341="",AZ341="SAME",AZ341="CANT_TELL",I341="",I341="SAME",I341="CANT_TELL"),startStep,IF(OR(AND(AZ341="BETTER_1",I341="BETTER_2"),AND(AZ341="BETTER_2",I341="BETTER_1")),IF(AD340&gt;step1,step1,step2),AD340))),0))</f>
        <v/>
      </c>
      <c r="AE341" s="28" t="str">
        <f t="array" ref="AE341">IF($I340="","",XLOOKUP($B341,Derived_Variables!$A:$A,Derived_Variables!$AD:$AD,"No_Fog"))</f>
        <v/>
      </c>
      <c r="AF341" s="28" t="str">
        <f t="array" ref="AF341">IF($I340="","",XLOOKUP($B341,Derived_Variables!$A:$A,Derived_Variables!$AE:$AE,0))</f>
        <v/>
      </c>
      <c r="AG341" s="28" t="str">
        <f t="array" ref="AG341">IF($I340="","",XLOOKUP($B341,Derived_Variables!$A:$A,Derived_Variables!$AF:$AF,""))</f>
        <v/>
      </c>
      <c r="AH341" s="28" t="str">
        <f t="array" ref="AH341">IF($I340="","",XLOOKUP($B341,Derived_Variables!$A:$A,Derived_Variables!$AG:$AG,""))</f>
        <v/>
      </c>
      <c r="AI341" s="28" t="str">
        <f t="array" ref="AI341">IF($I340="","",XLOOKUP($B341,Derived_Variables!$A:$A,Derived_Variables!$AC:$AC,"Medium"))</f>
        <v/>
      </c>
      <c r="AJ341" s="28" t="str">
        <f t="array" ref="AJ341">IF($I340="","",XLOOKUP($B341,Derived_Variables!$A:$A,Derived_Variables!$Y:$Y,FALSE))</f>
        <v/>
      </c>
      <c r="AK341" s="28" t="str">
        <f t="array" ref="AK341">IF($I340="","",XLOOKUP($B341,Derived_Variables!$A:$A,Derived_Variables!$AA:$AA,"Normal"))</f>
        <v/>
      </c>
      <c r="AL341" s="28" t="str">
        <f t="array" ref="AL341">IF($I340="","",XLOOKUP($B341,Derived_Variables!$A:$A,Derived_Variables!$AB:$AB,"Normal"))</f>
        <v/>
      </c>
      <c r="AM341" s="28" t="str">
        <f t="array" ref="AM341">IF($I341="","",IFS(C341="B",IF(OR(I341="NOT_READABLE",I341="BLURRY"),-AB341,0),C341="G",IFS(I341="RED_CLEARER",XLOOKUP("duochrome_red_step",Calibration!$B:$B,Calibration!$C:$C,-0.25),I341="GREEN_CLEARER",XLOOKUP("duochrome_green_step",Calibration!$B:$B,Calibration!$C:$C,0.25),I341="EQUAL",IF(XLOOKUP($B341,Derived_Variables!$A:$A,Derived_Variables!$S:$S,"Neutral")="Undercorrect",XLOOKUP("undercorrect_step",Calibration!$B:$B,Calibration!$C:$C,0.25),IF(XLOOKUP($B341,Derived_Variables!$A:$A,Derived_Variables!$S:$S,"Neutral")="Overcorrect",-XLOOKUP("overcorrect_step",Calibration!$B:$B,Calibration!$C:$C,0.25),0)),TRUE,0),C341="K",IF(I341="TOP_CLEARER",XLOOKUP("bino_balance_step",Calibration!$B:$B,Calibration!$C:$C,0.25),0),TRUE,0))</f>
        <v/>
      </c>
      <c r="AN341" s="28" t="str">
        <f t="shared" si="10"/>
        <v/>
      </c>
      <c r="AO341" s="28" t="str">
        <f t="shared" si="11"/>
        <v/>
      </c>
      <c r="AP341" s="28" t="str">
        <f t="array" ref="AP341">IF($I341="","",IFS(C341="D",IF(OR(I341="NOT_READABLE",I341="BLURRY"),-AB341,0),C341="J",IFS(I341="RED_CLEARER",XLOOKUP("duochrome_red_step",Calibration!$B:$B,Calibration!$C:$C,-0.25),I341="GREEN_CLEARER",XLOOKUP("duochrome_green_step",Calibration!$B:$B,Calibration!$C:$C,0.25),I341="EQUAL",IF(XLOOKUP($B341,Derived_Variables!$A:$A,Derived_Variables!$S:$S,"Neutral")="Undercorrect",XLOOKUP("undercorrect_step",Calibration!$B:$B,Calibration!$C:$C,0.25),IF(XLOOKUP($B341,Derived_Variables!$A:$A,Derived_Variables!$S:$S,"Neutral")="Overcorrect",-XLOOKUP("overcorrect_step",Calibration!$B:$B,Calibration!$C:$C,0.25),0)),TRUE,0),C341="K",IF(I341="BOTTOM_CLEARER",XLOOKUP("bino_balance_step",Calibration!$B:$B,Calibration!$C:$C,0.25),0),TRUE,0))</f>
        <v/>
      </c>
      <c r="AQ341" s="28" t="str">
        <f t="shared" si="12"/>
        <v/>
      </c>
      <c r="AR341" s="28" t="str">
        <f t="shared" si="13"/>
        <v/>
      </c>
      <c r="AS341" s="28" t="str">
        <f t="array" ref="AS341">IF($I341="","",IF(C341="P",IF(OR(I341="NOT_READABLE",I341="BLURRY"),XLOOKUP("near_add_step",Calibration!$B:$B,Calibration!$C:$C,0.25),0),IF(C341="R",IF(I341="NOT_CLEAR",XLOOKUP("near_add_step",Calibration!$B:$B,Calibration!$C:$C,0.25),0),0)))</f>
        <v/>
      </c>
      <c r="AT341" s="28" t="str">
        <f t="array" ref="AT341">IF($I341="","",IF(C341="Q",IF(OR(I341="NOT_READABLE",I341="BLURRY"),XLOOKUP("near_add_step",Calibration!$B:$B,Calibration!$C:$C,0.25),0),IF(C341="R",IF(I341="NOT_CLEAR",XLOOKUP("near_add_step",Calibration!$B:$B,Calibration!$C:$C,0.25),0),0)))</f>
        <v/>
      </c>
      <c r="AU341" s="28" t="str">
        <f t="array" ref="AU341">IF($I341="","",IF(G341="SNELLEN_FEET",IF(I341="READABLE",IFERROR(XLOOKUP(XLOOKUP(R341,Chart_Scale_Distance!B:B,Chart_Scale_Distance!A:A)+1,Chart_Scale_Distance!A:A,Chart_Scale_Distance!B:B),R341),R341),R341))</f>
        <v/>
      </c>
      <c r="AV341" s="28" t="str">
        <f t="array" ref="AV341">IF($I340="","",IFERROR(XLOOKUP(R341,Chart_Scale_Distance!$B:$B,Chart_Scale_Distance!$A:$A,""),""))</f>
        <v/>
      </c>
      <c r="AW341" s="28" t="str">
        <f t="array" ref="AW341">IF($I340="","",IFERROR(XLOOKUP(AA341,Chart_Scale_Distance!$B:$B,Chart_Scale_Distance!$A:$A,""),""))</f>
        <v/>
      </c>
      <c r="AX341" s="28" t="str">
        <f t="shared" si="14"/>
        <v/>
      </c>
      <c r="AY341" s="28" t="str">
        <f t="shared" si="15"/>
        <v/>
      </c>
      <c r="AZ341" s="28" t="str">
        <f t="shared" si="16"/>
        <v/>
      </c>
      <c r="BA341" s="28" t="str">
        <f t="shared" si="17"/>
        <v/>
      </c>
      <c r="BB341" s="28" t="str">
        <f t="shared" si="18"/>
        <v/>
      </c>
      <c r="BC341" s="28" t="str">
        <f t="array" ref="BC341">IF($I341="","",LET(
conf,AI341,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duoMax,XLOOKUP($B341,Derived_Variables!$A:$A,Derived_Variables!$AI:$AI,4),
axisTol,XLOOKUP($B341,Derived_Variables!$A:$A,Derived_Variables!$W:$W,1),
maxStart,XLOOKUP($B341,Derived_Variables!$A:$A,Derived_Variables!$U:$U,1.25),
maxAR,XLOOKUP($B341,Derived_Variables!$A:$A,Derived_Variables!$V:$V,3),
anom,XLOOKUP($B341,Derived_Variables!$A:$A,Derived_Variables!$Z:$Z,FALSE),
reStart,XLOOKUP($B341,Derived_Variables!$A:$A,Derived_Variables!$K:$K,0),
leStart,XLOOKUP($B341,Derived_Variables!$A:$A,Derived_Variables!$N:$N,0),
reAR,XLOOKUP($B341,AR_Input!$A:$A,AR_Input!$B:$B,reStart),
leAR,XLOOKUP($B341,AR_Input!$A:$A,AR_Input!$E:$E,leStart),
reEsc,AND(anom,OR(ABS((S341+AM341)-reStart)&gt;maxStart,ABS((S341+AM341)-reAR)&gt;maxAR)),
leEsc,AND(anom,OR(ABS((V341+AP341)-leStart)&gt;maxStart,ABS((V341+AP341)-leAR)&gt;maxAR)),
phaseMax,IFS(
 AK341="Fast",
   IFS(
     OR(C341="B",C341="D"),XLOOKUP("timeout_coarse_fast",Calibration!$B:$B,Calibration!$C:$C,24),
     OR(C341="E",C341="F",C341="H",C341="I"),XLOOKUP("timeout_jcc_fast",Calibration!$B:$B,Calibration!$C:$C,10),
     OR(C341="G",C341="J"),XLOOKUP("timeout_duochrome_fast",Calibration!$B:$B,Calibration!$C:$C,8),
     C341="K",XLOOKUP("timeout_bino_fast",Calibration!$B:$B,Calibration!$C:$C,10),
     OR(C341="P",C341="Q",C341="R"),XLOOKUP("timeout_near_fast",Calibration!$B:$B,Calibration!$C:$C,16),
     TRUE,XLOOKUP("timeout_coarse_fast",Calibration!$B:$B,Calibration!$C:$C,24)
   ),
 AK341="Normal",
   IFS(
     OR(C341="B",C341="D"),XLOOKUP("timeout_coarse_normal",Calibration!$B:$B,Calibration!$C:$C,36),
     OR(C341="E",C341="F",C341="H",C341="I"),XLOOKUP("timeout_jcc_normal",Calibration!$B:$B,Calibration!$C:$C,14),
     OR(C341="G",C341="J"),XLOOKUP("timeout_duochrome_normal",Calibration!$B:$B,Calibration!$C:$C,10),
     C341="K",XLOOKUP("timeout_bino_normal",Calibration!$B:$B,Calibration!$C:$C,14),
     OR(C341="P",C341="Q",C341="R"),XLOOKUP("timeout_near_normal",Calibration!$B:$B,Calibration!$C:$C,22),
     TRUE,XLOOKUP("timeout_coarse_normal",Calibration!$B:$B,Calibration!$C:$C,36)
   ),
 TRUE,
   IFS(
     OR(C341="B",C341="D"),XLOOKUP("timeout_coarse_slow",Calibration!$B:$B,Calibration!$C:$C,48),
     OR(C341="E",C341="F",C341="H",C341="I"),XLOOKUP("timeout_jcc_slow",Calibration!$B:$B,Calibration!$C:$C,18),
     OR(C341="G",C341="J"),XLOOKUP("timeout_duochrome_slow",Calibration!$B:$B,Calibration!$C:$C,12),
     C341="K",XLOOKUP("timeout_bino_slow",Calibration!$B:$B,Calibration!$C:$C,18),
     OR(C341="P",C341="Q",C341="R"),XLOOKUP("timeout_near_slow",Calibration!$B:$B,Calibration!$C:$C,28),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AJ341=TRUE,"ESCALATE",
C341="A",
IF(OR(I341="NOT_READABLE",I341="BLURRY",AND(R341="20_20_20",I341="READABLE")),"B","A"),
C341="B",
IF(reEsc,"ESCALATE",IF(AY341&gt;=phaseMax,"ESCALATE",IF(AND(AV341&gt;=AW341,I341="READABLE"),"E","B"))),
C341="E",
IF(AY341&gt;=phaseMax,"ESCALATE",IF(OR(I341="SAME",I341="CANT_TELL",AD341&lt;axisTol),"F","E")),
C341="F",
IF(AY341&gt;=phaseMax,"ESCALATE",IF(AX341&gt;=powerSameN,"G","F")),
C341="G",
IF(AY341&gt;=phaseMax,"ESCALATE",IF(OR(AX341&gt;=duoEqualN,BB341&gt;=duoMax),"D","G")),
C341="D",
IF(leEsc,"ESCALATE",IF(AY341&gt;=phaseMax,"ESCALATE",IF(AND(AV341&gt;=AW341,I341="READABLE"),"H","D"))),
C341="H",
IF(AY341&gt;=phaseMax,"ESCALATE",IF(OR(I341="SAME",I341="CANT_TELL",AD341&lt;axisTol),"I","H")),
C341="I",
IF(AY341&gt;=phaseMax,"ESCALATE",IF(AX341&gt;=powerSameN,"J","I")),
C341="J",
IF(AY341&gt;=phaseMax,"ESCALATE",IF(OR(AX341&gt;=duoEqualN,BB341&gt;=duoMax),"K","J")),
C341="K",
IF(AY341&gt;=phaseMax,"ESCALATE",IF(AX341&gt;=binoSameN,IF(XLOOKUP($B341,Derived_Variables!$A:$A,Derived_Variables!$AJ:$AJ,FALSE)=TRUE,"P","END"),"K")),
C341="P",
IF(AY341&gt;=phaseMax,"ESCALATE",IF(OR(I341="READABLE",I341="SAME"),"Q","P")),
C341="Q",
IF(AY341&gt;=phaseMax,"ESCALATE",IF(OR(I341="READABLE",I341="SAME"),"R","Q")),
C341="R",
IF(AY341&gt;=phaseMax,"ESCALATE",IF(OR(I341=nearTarget,I341="SAME"),"END","R")),
TRUE,"END"
)))</f>
        <v/>
      </c>
      <c r="BD341" s="28" t="b">
        <f t="shared" si="19"/>
        <v>0</v>
      </c>
    </row>
    <row r="342" ht="15.75" customHeight="1">
      <c r="A342" s="28">
        <f t="shared" si="3"/>
        <v>341</v>
      </c>
      <c r="B342" s="28">
        <f t="shared" si="4"/>
        <v>6</v>
      </c>
      <c r="C342" s="28" t="str">
        <f t="shared" si="5"/>
        <v/>
      </c>
      <c r="D342" s="28" t="str">
        <f t="array" ref="D342">IF($I341="","",XLOOKUP(C342,FSM_State_Map!A:A,FSM_State_Map!B:B,""))</f>
        <v/>
      </c>
      <c r="E342" s="28" t="str">
        <f t="array" ref="E342">IF($I341="","",XLOOKUP(C342,FSM_State_Map!A:A,FSM_State_Map!C:C,""))</f>
        <v/>
      </c>
      <c r="F342" s="28" t="str">
        <f t="array" ref="F342">IF($I341="","",XLOOKUP(E342,Phase_UI_Map!A:A,Phase_UI_Map!B:B,""))</f>
        <v/>
      </c>
      <c r="G342" s="28" t="str">
        <f t="array" ref="G342">IF($I341="","",XLOOKUP(E342,Phase_UI_Map!A:A,Phase_UI_Map!C:C,""))</f>
        <v/>
      </c>
      <c r="H342" s="28" t="str">
        <f t="array" ref="H342">IF($I341="","",XLOOKUP(E342,Phase_UI_Map!A:A,Phase_UI_Map!D:D,""))</f>
        <v/>
      </c>
      <c r="I342" s="29"/>
      <c r="J342" s="28" t="str">
        <f>IFERROR(__xludf.DUMMYFUNCTION("IF($I341="""","""",IFERROR(INDEX(FILTER(Response_Lists!$B:$B,Response_Lists!$A:$A=$H342),1),""""))"),"")</f>
        <v/>
      </c>
      <c r="K342" s="28" t="str">
        <f>IFERROR(__xludf.DUMMYFUNCTION("IF($I341="""","""",IFERROR(INDEX(FILTER(Response_Lists!$B:$B,Response_Lists!$A:$A=$H342),2),""""))"),"")</f>
        <v/>
      </c>
      <c r="L342" s="28" t="str">
        <f>IFERROR(__xludf.DUMMYFUNCTION("IF($I341="""","""",IFERROR(INDEX(FILTER(Response_Lists!$B:$B,Response_Lists!$A:$A=$H342),3),""""))"),"")</f>
        <v/>
      </c>
      <c r="M342" s="28" t="str">
        <f>IFERROR(__xludf.DUMMYFUNCTION("IF($I341="""","""",IFERROR(INDEX(FILTER(Response_Lists!$B:$B,Response_Lists!$A:$A=$H342),4),""""))"),"")</f>
        <v/>
      </c>
      <c r="N342" s="28" t="str">
        <f>IFERROR(__xludf.DUMMYFUNCTION("IF($I341="""","""",IFERROR(INDEX(FILTER(Response_Lists!$B:$B,Response_Lists!$A:$A=$H342),5),""""))"),"")</f>
        <v/>
      </c>
      <c r="O342" s="28" t="str">
        <f>IFERROR(__xludf.DUMMYFUNCTION("IF($I341="""","""",IFERROR(INDEX(FILTER(Response_Lists!$B:$B,Response_Lists!$A:$A=$H342),6),""""))"),"")</f>
        <v/>
      </c>
      <c r="P342" s="28" t="str">
        <f t="shared" si="6"/>
        <v/>
      </c>
      <c r="Q342" s="28" t="str">
        <f t="array" ref="Q342">IF($I341="","",XLOOKUP(C342,FSM_State_Map!A:A,FSM_State_Map!D:D,""))</f>
        <v/>
      </c>
      <c r="R342" s="28" t="str">
        <f t="shared" si="7"/>
        <v/>
      </c>
      <c r="S342" s="28" t="str">
        <f t="array" ref="S342">IF($I341="","",
IF(
  AND(C342="B",C341&lt;&gt;"B"),
  XLOOKUP($B342,Derived_Variables!$A:$A,Derived_Variables!$K:$K,0)
  + XLOOKUP($B342,Derived_Variables!$A:$A,Derived_Variables!$AE:$AE,0),
  S341+AM341
))</f>
        <v/>
      </c>
      <c r="T342" s="28" t="str">
        <f t="shared" ref="T342:U342" si="694">IF($I341="","",T341+AN341)</f>
        <v/>
      </c>
      <c r="U342" s="28" t="str">
        <f t="shared" si="694"/>
        <v/>
      </c>
      <c r="V342" s="28" t="str">
        <f t="array" ref="V342">IF($I341="","",
IF(
  AND(C342="D",C341&lt;&gt;"D"),
  XLOOKUP($B342,Derived_Variables!$A:$A,Derived_Variables!$N:$N,0)
  + XLOOKUP($B342,Derived_Variables!$A:$A,Derived_Variables!$AE:$AE,0),
  V341+AP341
))</f>
        <v/>
      </c>
      <c r="W342" s="28" t="str">
        <f t="shared" ref="W342:X342" si="695">IF($I341="","",W341+AQ341)</f>
        <v/>
      </c>
      <c r="X342" s="28" t="str">
        <f t="shared" si="695"/>
        <v/>
      </c>
      <c r="Y342" s="28" t="str">
        <f t="array" ref="Y342">IF($I341="","",IF(AND(C342="P",C341&lt;&gt;"P"),IFERROR(XLOOKUP($B342,Lenso_Input!$A:$A,Lenso_Input!$E:$E,0),0),Y341+AS341))</f>
        <v/>
      </c>
      <c r="Z342" s="28" t="str">
        <f t="array" ref="Z342">IF($I341="","",IF(AND(C342="Q",C341&lt;&gt;"Q"),IFERROR(XLOOKUP($B342,Lenso_Input!$A:$A,Lenso_Input!$I:$I,0),0),Z341+AT341))</f>
        <v/>
      </c>
      <c r="AA342" s="28" t="str">
        <f t="array" ref="AA342">IF($I341="","",IF(XLOOKUP($B342,Derived_Variables!$A:$A,Derived_Variables!$R:$R,"6/6_target")="6/6_target","20_20_20","40_30_25"))</f>
        <v/>
      </c>
      <c r="AB342" s="28" t="str">
        <f t="array" ref="AB342">IF($I341="","",XLOOKUP(LOWER(XLOOKUP($B342,Derived_Variables!$A:$A,Derived_Variables!$T:$T,"Standard"))&amp;"_sph_step",Calibration!$B:$B,Calibration!$C:$C,0.25))</f>
        <v/>
      </c>
      <c r="AC342" s="28" t="str">
        <f t="array" ref="AC342">IF($I341="","",XLOOKUP(LOWER(XLOOKUP($B342,Derived_Variables!$A:$A,Derived_Variables!$T:$T,"Standard"))&amp;"_cyl_step",Calibration!$B:$B,Calibration!$C:$C,0.25))</f>
        <v/>
      </c>
      <c r="AD342" s="28" t="str">
        <f t="array" ref="AD342">IF($I341="","",IF(OR(C342="E",C342="H"),LET(startStep,XLOOKUP("axis_start_step",Calibration!$B:$B,Calibration!$C:$C,5),step1,XLOOKUP("axis_reversal_step_1",Calibration!$B:$B,Calibration!$C:$C,3),step2,XLOOKUP("axis_reversal_step_2",Calibration!$B:$B,Calibration!$C:$C,1),IF(OR(C341&lt;&gt;C342,AZ342="",AZ342="SAME",AZ342="CANT_TELL",I342="",I342="SAME",I342="CANT_TELL"),startStep,IF(OR(AND(AZ342="BETTER_1",I342="BETTER_2"),AND(AZ342="BETTER_2",I342="BETTER_1")),IF(AD341&gt;step1,step1,step2),AD341))),0))</f>
        <v/>
      </c>
      <c r="AE342" s="28" t="str">
        <f t="array" ref="AE342">IF($I341="","",XLOOKUP($B342,Derived_Variables!$A:$A,Derived_Variables!$AD:$AD,"No_Fog"))</f>
        <v/>
      </c>
      <c r="AF342" s="28" t="str">
        <f t="array" ref="AF342">IF($I341="","",XLOOKUP($B342,Derived_Variables!$A:$A,Derived_Variables!$AE:$AE,0))</f>
        <v/>
      </c>
      <c r="AG342" s="28" t="str">
        <f t="array" ref="AG342">IF($I341="","",XLOOKUP($B342,Derived_Variables!$A:$A,Derived_Variables!$AF:$AF,""))</f>
        <v/>
      </c>
      <c r="AH342" s="28" t="str">
        <f t="array" ref="AH342">IF($I341="","",XLOOKUP($B342,Derived_Variables!$A:$A,Derived_Variables!$AG:$AG,""))</f>
        <v/>
      </c>
      <c r="AI342" s="28" t="str">
        <f t="array" ref="AI342">IF($I341="","",XLOOKUP($B342,Derived_Variables!$A:$A,Derived_Variables!$AC:$AC,"Medium"))</f>
        <v/>
      </c>
      <c r="AJ342" s="28" t="str">
        <f t="array" ref="AJ342">IF($I341="","",XLOOKUP($B342,Derived_Variables!$A:$A,Derived_Variables!$Y:$Y,FALSE))</f>
        <v/>
      </c>
      <c r="AK342" s="28" t="str">
        <f t="array" ref="AK342">IF($I341="","",XLOOKUP($B342,Derived_Variables!$A:$A,Derived_Variables!$AA:$AA,"Normal"))</f>
        <v/>
      </c>
      <c r="AL342" s="28" t="str">
        <f t="array" ref="AL342">IF($I341="","",XLOOKUP($B342,Derived_Variables!$A:$A,Derived_Variables!$AB:$AB,"Normal"))</f>
        <v/>
      </c>
      <c r="AM342" s="28" t="str">
        <f t="array" ref="AM342">IF($I342="","",IFS(C342="B",IF(OR(I342="NOT_READABLE",I342="BLURRY"),-AB342,0),C342="G",IFS(I342="RED_CLEARER",XLOOKUP("duochrome_red_step",Calibration!$B:$B,Calibration!$C:$C,-0.25),I342="GREEN_CLEARER",XLOOKUP("duochrome_green_step",Calibration!$B:$B,Calibration!$C:$C,0.25),I342="EQUAL",IF(XLOOKUP($B342,Derived_Variables!$A:$A,Derived_Variables!$S:$S,"Neutral")="Undercorrect",XLOOKUP("undercorrect_step",Calibration!$B:$B,Calibration!$C:$C,0.25),IF(XLOOKUP($B342,Derived_Variables!$A:$A,Derived_Variables!$S:$S,"Neutral")="Overcorrect",-XLOOKUP("overcorrect_step",Calibration!$B:$B,Calibration!$C:$C,0.25),0)),TRUE,0),C342="K",IF(I342="TOP_CLEARER",XLOOKUP("bino_balance_step",Calibration!$B:$B,Calibration!$C:$C,0.25),0),TRUE,0))</f>
        <v/>
      </c>
      <c r="AN342" s="28" t="str">
        <f t="shared" si="10"/>
        <v/>
      </c>
      <c r="AO342" s="28" t="str">
        <f t="shared" si="11"/>
        <v/>
      </c>
      <c r="AP342" s="28" t="str">
        <f t="array" ref="AP342">IF($I342="","",IFS(C342="D",IF(OR(I342="NOT_READABLE",I342="BLURRY"),-AB342,0),C342="J",IFS(I342="RED_CLEARER",XLOOKUP("duochrome_red_step",Calibration!$B:$B,Calibration!$C:$C,-0.25),I342="GREEN_CLEARER",XLOOKUP("duochrome_green_step",Calibration!$B:$B,Calibration!$C:$C,0.25),I342="EQUAL",IF(XLOOKUP($B342,Derived_Variables!$A:$A,Derived_Variables!$S:$S,"Neutral")="Undercorrect",XLOOKUP("undercorrect_step",Calibration!$B:$B,Calibration!$C:$C,0.25),IF(XLOOKUP($B342,Derived_Variables!$A:$A,Derived_Variables!$S:$S,"Neutral")="Overcorrect",-XLOOKUP("overcorrect_step",Calibration!$B:$B,Calibration!$C:$C,0.25),0)),TRUE,0),C342="K",IF(I342="BOTTOM_CLEARER",XLOOKUP("bino_balance_step",Calibration!$B:$B,Calibration!$C:$C,0.25),0),TRUE,0))</f>
        <v/>
      </c>
      <c r="AQ342" s="28" t="str">
        <f t="shared" si="12"/>
        <v/>
      </c>
      <c r="AR342" s="28" t="str">
        <f t="shared" si="13"/>
        <v/>
      </c>
      <c r="AS342" s="28" t="str">
        <f t="array" ref="AS342">IF($I342="","",IF(C342="P",IF(OR(I342="NOT_READABLE",I342="BLURRY"),XLOOKUP("near_add_step",Calibration!$B:$B,Calibration!$C:$C,0.25),0),IF(C342="R",IF(I342="NOT_CLEAR",XLOOKUP("near_add_step",Calibration!$B:$B,Calibration!$C:$C,0.25),0),0)))</f>
        <v/>
      </c>
      <c r="AT342" s="28" t="str">
        <f t="array" ref="AT342">IF($I342="","",IF(C342="Q",IF(OR(I342="NOT_READABLE",I342="BLURRY"),XLOOKUP("near_add_step",Calibration!$B:$B,Calibration!$C:$C,0.25),0),IF(C342="R",IF(I342="NOT_CLEAR",XLOOKUP("near_add_step",Calibration!$B:$B,Calibration!$C:$C,0.25),0),0)))</f>
        <v/>
      </c>
      <c r="AU342" s="28" t="str">
        <f t="array" ref="AU342">IF($I342="","",IF(G342="SNELLEN_FEET",IF(I342="READABLE",IFERROR(XLOOKUP(XLOOKUP(R342,Chart_Scale_Distance!B:B,Chart_Scale_Distance!A:A)+1,Chart_Scale_Distance!A:A,Chart_Scale_Distance!B:B),R342),R342),R342))</f>
        <v/>
      </c>
      <c r="AV342" s="28" t="str">
        <f t="array" ref="AV342">IF($I341="","",IFERROR(XLOOKUP(R342,Chart_Scale_Distance!$B:$B,Chart_Scale_Distance!$A:$A,""),""))</f>
        <v/>
      </c>
      <c r="AW342" s="28" t="str">
        <f t="array" ref="AW342">IF($I341="","",IFERROR(XLOOKUP(AA342,Chart_Scale_Distance!$B:$B,Chart_Scale_Distance!$A:$A,""),""))</f>
        <v/>
      </c>
      <c r="AX342" s="28" t="str">
        <f t="shared" si="14"/>
        <v/>
      </c>
      <c r="AY342" s="28" t="str">
        <f t="shared" si="15"/>
        <v/>
      </c>
      <c r="AZ342" s="28" t="str">
        <f t="shared" si="16"/>
        <v/>
      </c>
      <c r="BA342" s="28" t="str">
        <f t="shared" si="17"/>
        <v/>
      </c>
      <c r="BB342" s="28" t="str">
        <f t="shared" si="18"/>
        <v/>
      </c>
      <c r="BC342" s="28" t="str">
        <f t="array" ref="BC342">IF($I342="","",LET(
conf,AI342,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duoMax,XLOOKUP($B342,Derived_Variables!$A:$A,Derived_Variables!$AI:$AI,4),
axisTol,XLOOKUP($B342,Derived_Variables!$A:$A,Derived_Variables!$W:$W,1),
maxStart,XLOOKUP($B342,Derived_Variables!$A:$A,Derived_Variables!$U:$U,1.25),
maxAR,XLOOKUP($B342,Derived_Variables!$A:$A,Derived_Variables!$V:$V,3),
anom,XLOOKUP($B342,Derived_Variables!$A:$A,Derived_Variables!$Z:$Z,FALSE),
reStart,XLOOKUP($B342,Derived_Variables!$A:$A,Derived_Variables!$K:$K,0),
leStart,XLOOKUP($B342,Derived_Variables!$A:$A,Derived_Variables!$N:$N,0),
reAR,XLOOKUP($B342,AR_Input!$A:$A,AR_Input!$B:$B,reStart),
leAR,XLOOKUP($B342,AR_Input!$A:$A,AR_Input!$E:$E,leStart),
reEsc,AND(anom,OR(ABS((S342+AM342)-reStart)&gt;maxStart,ABS((S342+AM342)-reAR)&gt;maxAR)),
leEsc,AND(anom,OR(ABS((V342+AP342)-leStart)&gt;maxStart,ABS((V342+AP342)-leAR)&gt;maxAR)),
phaseMax,IFS(
 AK342="Fast",
   IFS(
     OR(C342="B",C342="D"),XLOOKUP("timeout_coarse_fast",Calibration!$B:$B,Calibration!$C:$C,24),
     OR(C342="E",C342="F",C342="H",C342="I"),XLOOKUP("timeout_jcc_fast",Calibration!$B:$B,Calibration!$C:$C,10),
     OR(C342="G",C342="J"),XLOOKUP("timeout_duochrome_fast",Calibration!$B:$B,Calibration!$C:$C,8),
     C342="K",XLOOKUP("timeout_bino_fast",Calibration!$B:$B,Calibration!$C:$C,10),
     OR(C342="P",C342="Q",C342="R"),XLOOKUP("timeout_near_fast",Calibration!$B:$B,Calibration!$C:$C,16),
     TRUE,XLOOKUP("timeout_coarse_fast",Calibration!$B:$B,Calibration!$C:$C,24)
   ),
 AK342="Normal",
   IFS(
     OR(C342="B",C342="D"),XLOOKUP("timeout_coarse_normal",Calibration!$B:$B,Calibration!$C:$C,36),
     OR(C342="E",C342="F",C342="H",C342="I"),XLOOKUP("timeout_jcc_normal",Calibration!$B:$B,Calibration!$C:$C,14),
     OR(C342="G",C342="J"),XLOOKUP("timeout_duochrome_normal",Calibration!$B:$B,Calibration!$C:$C,10),
     C342="K",XLOOKUP("timeout_bino_normal",Calibration!$B:$B,Calibration!$C:$C,14),
     OR(C342="P",C342="Q",C342="R"),XLOOKUP("timeout_near_normal",Calibration!$B:$B,Calibration!$C:$C,22),
     TRUE,XLOOKUP("timeout_coarse_normal",Calibration!$B:$B,Calibration!$C:$C,36)
   ),
 TRUE,
   IFS(
     OR(C342="B",C342="D"),XLOOKUP("timeout_coarse_slow",Calibration!$B:$B,Calibration!$C:$C,48),
     OR(C342="E",C342="F",C342="H",C342="I"),XLOOKUP("timeout_jcc_slow",Calibration!$B:$B,Calibration!$C:$C,18),
     OR(C342="G",C342="J"),XLOOKUP("timeout_duochrome_slow",Calibration!$B:$B,Calibration!$C:$C,12),
     C342="K",XLOOKUP("timeout_bino_slow",Calibration!$B:$B,Calibration!$C:$C,18),
     OR(C342="P",C342="Q",C342="R"),XLOOKUP("timeout_near_slow",Calibration!$B:$B,Calibration!$C:$C,28),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AJ342=TRUE,"ESCALATE",
C342="A",
IF(OR(I342="NOT_READABLE",I342="BLURRY",AND(R342="20_20_20",I342="READABLE")),"B","A"),
C342="B",
IF(reEsc,"ESCALATE",IF(AY342&gt;=phaseMax,"ESCALATE",IF(AND(AV342&gt;=AW342,I342="READABLE"),"E","B"))),
C342="E",
IF(AY342&gt;=phaseMax,"ESCALATE",IF(OR(I342="SAME",I342="CANT_TELL",AD342&lt;axisTol),"F","E")),
C342="F",
IF(AY342&gt;=phaseMax,"ESCALATE",IF(AX342&gt;=powerSameN,"G","F")),
C342="G",
IF(AY342&gt;=phaseMax,"ESCALATE",IF(OR(AX342&gt;=duoEqualN,BB342&gt;=duoMax),"D","G")),
C342="D",
IF(leEsc,"ESCALATE",IF(AY342&gt;=phaseMax,"ESCALATE",IF(AND(AV342&gt;=AW342,I342="READABLE"),"H","D"))),
C342="H",
IF(AY342&gt;=phaseMax,"ESCALATE",IF(OR(I342="SAME",I342="CANT_TELL",AD342&lt;axisTol),"I","H")),
C342="I",
IF(AY342&gt;=phaseMax,"ESCALATE",IF(AX342&gt;=powerSameN,"J","I")),
C342="J",
IF(AY342&gt;=phaseMax,"ESCALATE",IF(OR(AX342&gt;=duoEqualN,BB342&gt;=duoMax),"K","J")),
C342="K",
IF(AY342&gt;=phaseMax,"ESCALATE",IF(AX342&gt;=binoSameN,IF(XLOOKUP($B342,Derived_Variables!$A:$A,Derived_Variables!$AJ:$AJ,FALSE)=TRUE,"P","END"),"K")),
C342="P",
IF(AY342&gt;=phaseMax,"ESCALATE",IF(OR(I342="READABLE",I342="SAME"),"Q","P")),
C342="Q",
IF(AY342&gt;=phaseMax,"ESCALATE",IF(OR(I342="READABLE",I342="SAME"),"R","Q")),
C342="R",
IF(AY342&gt;=phaseMax,"ESCALATE",IF(OR(I342=nearTarget,I342="SAME"),"END","R")),
TRUE,"END"
)))</f>
        <v/>
      </c>
      <c r="BD342" s="28" t="b">
        <f t="shared" si="19"/>
        <v>0</v>
      </c>
    </row>
    <row r="343" ht="15.75" customHeight="1">
      <c r="A343" s="28">
        <f t="shared" si="3"/>
        <v>342</v>
      </c>
      <c r="B343" s="28">
        <f t="shared" si="4"/>
        <v>6</v>
      </c>
      <c r="C343" s="28" t="str">
        <f t="shared" si="5"/>
        <v/>
      </c>
      <c r="D343" s="28" t="str">
        <f t="array" ref="D343">IF($I342="","",XLOOKUP(C343,FSM_State_Map!A:A,FSM_State_Map!B:B,""))</f>
        <v/>
      </c>
      <c r="E343" s="28" t="str">
        <f t="array" ref="E343">IF($I342="","",XLOOKUP(C343,FSM_State_Map!A:A,FSM_State_Map!C:C,""))</f>
        <v/>
      </c>
      <c r="F343" s="28" t="str">
        <f t="array" ref="F343">IF($I342="","",XLOOKUP(E343,Phase_UI_Map!A:A,Phase_UI_Map!B:B,""))</f>
        <v/>
      </c>
      <c r="G343" s="28" t="str">
        <f t="array" ref="G343">IF($I342="","",XLOOKUP(E343,Phase_UI_Map!A:A,Phase_UI_Map!C:C,""))</f>
        <v/>
      </c>
      <c r="H343" s="28" t="str">
        <f t="array" ref="H343">IF($I342="","",XLOOKUP(E343,Phase_UI_Map!A:A,Phase_UI_Map!D:D,""))</f>
        <v/>
      </c>
      <c r="I343" s="29"/>
      <c r="J343" s="28" t="str">
        <f>IFERROR(__xludf.DUMMYFUNCTION("IF($I342="""","""",IFERROR(INDEX(FILTER(Response_Lists!$B:$B,Response_Lists!$A:$A=$H343),1),""""))"),"")</f>
        <v/>
      </c>
      <c r="K343" s="28" t="str">
        <f>IFERROR(__xludf.DUMMYFUNCTION("IF($I342="""","""",IFERROR(INDEX(FILTER(Response_Lists!$B:$B,Response_Lists!$A:$A=$H343),2),""""))"),"")</f>
        <v/>
      </c>
      <c r="L343" s="28" t="str">
        <f>IFERROR(__xludf.DUMMYFUNCTION("IF($I342="""","""",IFERROR(INDEX(FILTER(Response_Lists!$B:$B,Response_Lists!$A:$A=$H343),3),""""))"),"")</f>
        <v/>
      </c>
      <c r="M343" s="28" t="str">
        <f>IFERROR(__xludf.DUMMYFUNCTION("IF($I342="""","""",IFERROR(INDEX(FILTER(Response_Lists!$B:$B,Response_Lists!$A:$A=$H343),4),""""))"),"")</f>
        <v/>
      </c>
      <c r="N343" s="28" t="str">
        <f>IFERROR(__xludf.DUMMYFUNCTION("IF($I342="""","""",IFERROR(INDEX(FILTER(Response_Lists!$B:$B,Response_Lists!$A:$A=$H343),5),""""))"),"")</f>
        <v/>
      </c>
      <c r="O343" s="28" t="str">
        <f>IFERROR(__xludf.DUMMYFUNCTION("IF($I342="""","""",IFERROR(INDEX(FILTER(Response_Lists!$B:$B,Response_Lists!$A:$A=$H343),6),""""))"),"")</f>
        <v/>
      </c>
      <c r="P343" s="28" t="str">
        <f t="shared" si="6"/>
        <v/>
      </c>
      <c r="Q343" s="28" t="str">
        <f t="array" ref="Q343">IF($I342="","",XLOOKUP(C343,FSM_State_Map!A:A,FSM_State_Map!D:D,""))</f>
        <v/>
      </c>
      <c r="R343" s="28" t="str">
        <f t="shared" si="7"/>
        <v/>
      </c>
      <c r="S343" s="28" t="str">
        <f t="array" ref="S343">IF($I342="","",
IF(
  AND(C343="B",C342&lt;&gt;"B"),
  XLOOKUP($B343,Derived_Variables!$A:$A,Derived_Variables!$K:$K,0)
  + XLOOKUP($B343,Derived_Variables!$A:$A,Derived_Variables!$AE:$AE,0),
  S342+AM342
))</f>
        <v/>
      </c>
      <c r="T343" s="28" t="str">
        <f t="shared" ref="T343:U343" si="696">IF($I342="","",T342+AN342)</f>
        <v/>
      </c>
      <c r="U343" s="28" t="str">
        <f t="shared" si="696"/>
        <v/>
      </c>
      <c r="V343" s="28" t="str">
        <f t="array" ref="V343">IF($I342="","",
IF(
  AND(C343="D",C342&lt;&gt;"D"),
  XLOOKUP($B343,Derived_Variables!$A:$A,Derived_Variables!$N:$N,0)
  + XLOOKUP($B343,Derived_Variables!$A:$A,Derived_Variables!$AE:$AE,0),
  V342+AP342
))</f>
        <v/>
      </c>
      <c r="W343" s="28" t="str">
        <f t="shared" ref="W343:X343" si="697">IF($I342="","",W342+AQ342)</f>
        <v/>
      </c>
      <c r="X343" s="28" t="str">
        <f t="shared" si="697"/>
        <v/>
      </c>
      <c r="Y343" s="28" t="str">
        <f t="array" ref="Y343">IF($I342="","",IF(AND(C343="P",C342&lt;&gt;"P"),IFERROR(XLOOKUP($B343,Lenso_Input!$A:$A,Lenso_Input!$E:$E,0),0),Y342+AS342))</f>
        <v/>
      </c>
      <c r="Z343" s="28" t="str">
        <f t="array" ref="Z343">IF($I342="","",IF(AND(C343="Q",C342&lt;&gt;"Q"),IFERROR(XLOOKUP($B343,Lenso_Input!$A:$A,Lenso_Input!$I:$I,0),0),Z342+AT342))</f>
        <v/>
      </c>
      <c r="AA343" s="28" t="str">
        <f t="array" ref="AA343">IF($I342="","",IF(XLOOKUP($B343,Derived_Variables!$A:$A,Derived_Variables!$R:$R,"6/6_target")="6/6_target","20_20_20","40_30_25"))</f>
        <v/>
      </c>
      <c r="AB343" s="28" t="str">
        <f t="array" ref="AB343">IF($I342="","",XLOOKUP(LOWER(XLOOKUP($B343,Derived_Variables!$A:$A,Derived_Variables!$T:$T,"Standard"))&amp;"_sph_step",Calibration!$B:$B,Calibration!$C:$C,0.25))</f>
        <v/>
      </c>
      <c r="AC343" s="28" t="str">
        <f t="array" ref="AC343">IF($I342="","",XLOOKUP(LOWER(XLOOKUP($B343,Derived_Variables!$A:$A,Derived_Variables!$T:$T,"Standard"))&amp;"_cyl_step",Calibration!$B:$B,Calibration!$C:$C,0.25))</f>
        <v/>
      </c>
      <c r="AD343" s="28" t="str">
        <f t="array" ref="AD343">IF($I342="","",IF(OR(C343="E",C343="H"),LET(startStep,XLOOKUP("axis_start_step",Calibration!$B:$B,Calibration!$C:$C,5),step1,XLOOKUP("axis_reversal_step_1",Calibration!$B:$B,Calibration!$C:$C,3),step2,XLOOKUP("axis_reversal_step_2",Calibration!$B:$B,Calibration!$C:$C,1),IF(OR(C342&lt;&gt;C343,AZ343="",AZ343="SAME",AZ343="CANT_TELL",I343="",I343="SAME",I343="CANT_TELL"),startStep,IF(OR(AND(AZ343="BETTER_1",I343="BETTER_2"),AND(AZ343="BETTER_2",I343="BETTER_1")),IF(AD342&gt;step1,step1,step2),AD342))),0))</f>
        <v/>
      </c>
      <c r="AE343" s="28" t="str">
        <f t="array" ref="AE343">IF($I342="","",XLOOKUP($B343,Derived_Variables!$A:$A,Derived_Variables!$AD:$AD,"No_Fog"))</f>
        <v/>
      </c>
      <c r="AF343" s="28" t="str">
        <f t="array" ref="AF343">IF($I342="","",XLOOKUP($B343,Derived_Variables!$A:$A,Derived_Variables!$AE:$AE,0))</f>
        <v/>
      </c>
      <c r="AG343" s="28" t="str">
        <f t="array" ref="AG343">IF($I342="","",XLOOKUP($B343,Derived_Variables!$A:$A,Derived_Variables!$AF:$AF,""))</f>
        <v/>
      </c>
      <c r="AH343" s="28" t="str">
        <f t="array" ref="AH343">IF($I342="","",XLOOKUP($B343,Derived_Variables!$A:$A,Derived_Variables!$AG:$AG,""))</f>
        <v/>
      </c>
      <c r="AI343" s="28" t="str">
        <f t="array" ref="AI343">IF($I342="","",XLOOKUP($B343,Derived_Variables!$A:$A,Derived_Variables!$AC:$AC,"Medium"))</f>
        <v/>
      </c>
      <c r="AJ343" s="28" t="str">
        <f t="array" ref="AJ343">IF($I342="","",XLOOKUP($B343,Derived_Variables!$A:$A,Derived_Variables!$Y:$Y,FALSE))</f>
        <v/>
      </c>
      <c r="AK343" s="28" t="str">
        <f t="array" ref="AK343">IF($I342="","",XLOOKUP($B343,Derived_Variables!$A:$A,Derived_Variables!$AA:$AA,"Normal"))</f>
        <v/>
      </c>
      <c r="AL343" s="28" t="str">
        <f t="array" ref="AL343">IF($I342="","",XLOOKUP($B343,Derived_Variables!$A:$A,Derived_Variables!$AB:$AB,"Normal"))</f>
        <v/>
      </c>
      <c r="AM343" s="28" t="str">
        <f t="array" ref="AM343">IF($I343="","",IFS(C343="B",IF(OR(I343="NOT_READABLE",I343="BLURRY"),-AB343,0),C343="G",IFS(I343="RED_CLEARER",XLOOKUP("duochrome_red_step",Calibration!$B:$B,Calibration!$C:$C,-0.25),I343="GREEN_CLEARER",XLOOKUP("duochrome_green_step",Calibration!$B:$B,Calibration!$C:$C,0.25),I343="EQUAL",IF(XLOOKUP($B343,Derived_Variables!$A:$A,Derived_Variables!$S:$S,"Neutral")="Undercorrect",XLOOKUP("undercorrect_step",Calibration!$B:$B,Calibration!$C:$C,0.25),IF(XLOOKUP($B343,Derived_Variables!$A:$A,Derived_Variables!$S:$S,"Neutral")="Overcorrect",-XLOOKUP("overcorrect_step",Calibration!$B:$B,Calibration!$C:$C,0.25),0)),TRUE,0),C343="K",IF(I343="TOP_CLEARER",XLOOKUP("bino_balance_step",Calibration!$B:$B,Calibration!$C:$C,0.25),0),TRUE,0))</f>
        <v/>
      </c>
      <c r="AN343" s="28" t="str">
        <f t="shared" si="10"/>
        <v/>
      </c>
      <c r="AO343" s="28" t="str">
        <f t="shared" si="11"/>
        <v/>
      </c>
      <c r="AP343" s="28" t="str">
        <f t="array" ref="AP343">IF($I343="","",IFS(C343="D",IF(OR(I343="NOT_READABLE",I343="BLURRY"),-AB343,0),C343="J",IFS(I343="RED_CLEARER",XLOOKUP("duochrome_red_step",Calibration!$B:$B,Calibration!$C:$C,-0.25),I343="GREEN_CLEARER",XLOOKUP("duochrome_green_step",Calibration!$B:$B,Calibration!$C:$C,0.25),I343="EQUAL",IF(XLOOKUP($B343,Derived_Variables!$A:$A,Derived_Variables!$S:$S,"Neutral")="Undercorrect",XLOOKUP("undercorrect_step",Calibration!$B:$B,Calibration!$C:$C,0.25),IF(XLOOKUP($B343,Derived_Variables!$A:$A,Derived_Variables!$S:$S,"Neutral")="Overcorrect",-XLOOKUP("overcorrect_step",Calibration!$B:$B,Calibration!$C:$C,0.25),0)),TRUE,0),C343="K",IF(I343="BOTTOM_CLEARER",XLOOKUP("bino_balance_step",Calibration!$B:$B,Calibration!$C:$C,0.25),0),TRUE,0))</f>
        <v/>
      </c>
      <c r="AQ343" s="28" t="str">
        <f t="shared" si="12"/>
        <v/>
      </c>
      <c r="AR343" s="28" t="str">
        <f t="shared" si="13"/>
        <v/>
      </c>
      <c r="AS343" s="28" t="str">
        <f t="array" ref="AS343">IF($I343="","",IF(C343="P",IF(OR(I343="NOT_READABLE",I343="BLURRY"),XLOOKUP("near_add_step",Calibration!$B:$B,Calibration!$C:$C,0.25),0),IF(C343="R",IF(I343="NOT_CLEAR",XLOOKUP("near_add_step",Calibration!$B:$B,Calibration!$C:$C,0.25),0),0)))</f>
        <v/>
      </c>
      <c r="AT343" s="28" t="str">
        <f t="array" ref="AT343">IF($I343="","",IF(C343="Q",IF(OR(I343="NOT_READABLE",I343="BLURRY"),XLOOKUP("near_add_step",Calibration!$B:$B,Calibration!$C:$C,0.25),0),IF(C343="R",IF(I343="NOT_CLEAR",XLOOKUP("near_add_step",Calibration!$B:$B,Calibration!$C:$C,0.25),0),0)))</f>
        <v/>
      </c>
      <c r="AU343" s="28" t="str">
        <f t="array" ref="AU343">IF($I343="","",IF(G343="SNELLEN_FEET",IF(I343="READABLE",IFERROR(XLOOKUP(XLOOKUP(R343,Chart_Scale_Distance!B:B,Chart_Scale_Distance!A:A)+1,Chart_Scale_Distance!A:A,Chart_Scale_Distance!B:B),R343),R343),R343))</f>
        <v/>
      </c>
      <c r="AV343" s="28" t="str">
        <f t="array" ref="AV343">IF($I342="","",IFERROR(XLOOKUP(R343,Chart_Scale_Distance!$B:$B,Chart_Scale_Distance!$A:$A,""),""))</f>
        <v/>
      </c>
      <c r="AW343" s="28" t="str">
        <f t="array" ref="AW343">IF($I342="","",IFERROR(XLOOKUP(AA343,Chart_Scale_Distance!$B:$B,Chart_Scale_Distance!$A:$A,""),""))</f>
        <v/>
      </c>
      <c r="AX343" s="28" t="str">
        <f t="shared" si="14"/>
        <v/>
      </c>
      <c r="AY343" s="28" t="str">
        <f t="shared" si="15"/>
        <v/>
      </c>
      <c r="AZ343" s="28" t="str">
        <f t="shared" si="16"/>
        <v/>
      </c>
      <c r="BA343" s="28" t="str">
        <f t="shared" si="17"/>
        <v/>
      </c>
      <c r="BB343" s="28" t="str">
        <f t="shared" si="18"/>
        <v/>
      </c>
      <c r="BC343" s="28" t="str">
        <f t="array" ref="BC343">IF($I343="","",LET(
conf,AI343,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duoMax,XLOOKUP($B343,Derived_Variables!$A:$A,Derived_Variables!$AI:$AI,4),
axisTol,XLOOKUP($B343,Derived_Variables!$A:$A,Derived_Variables!$W:$W,1),
maxStart,XLOOKUP($B343,Derived_Variables!$A:$A,Derived_Variables!$U:$U,1.25),
maxAR,XLOOKUP($B343,Derived_Variables!$A:$A,Derived_Variables!$V:$V,3),
anom,XLOOKUP($B343,Derived_Variables!$A:$A,Derived_Variables!$Z:$Z,FALSE),
reStart,XLOOKUP($B343,Derived_Variables!$A:$A,Derived_Variables!$K:$K,0),
leStart,XLOOKUP($B343,Derived_Variables!$A:$A,Derived_Variables!$N:$N,0),
reAR,XLOOKUP($B343,AR_Input!$A:$A,AR_Input!$B:$B,reStart),
leAR,XLOOKUP($B343,AR_Input!$A:$A,AR_Input!$E:$E,leStart),
reEsc,AND(anom,OR(ABS((S343+AM343)-reStart)&gt;maxStart,ABS((S343+AM343)-reAR)&gt;maxAR)),
leEsc,AND(anom,OR(ABS((V343+AP343)-leStart)&gt;maxStart,ABS((V343+AP343)-leAR)&gt;maxAR)),
phaseMax,IFS(
 AK343="Fast",
   IFS(
     OR(C343="B",C343="D"),XLOOKUP("timeout_coarse_fast",Calibration!$B:$B,Calibration!$C:$C,24),
     OR(C343="E",C343="F",C343="H",C343="I"),XLOOKUP("timeout_jcc_fast",Calibration!$B:$B,Calibration!$C:$C,10),
     OR(C343="G",C343="J"),XLOOKUP("timeout_duochrome_fast",Calibration!$B:$B,Calibration!$C:$C,8),
     C343="K",XLOOKUP("timeout_bino_fast",Calibration!$B:$B,Calibration!$C:$C,10),
     OR(C343="P",C343="Q",C343="R"),XLOOKUP("timeout_near_fast",Calibration!$B:$B,Calibration!$C:$C,16),
     TRUE,XLOOKUP("timeout_coarse_fast",Calibration!$B:$B,Calibration!$C:$C,24)
   ),
 AK343="Normal",
   IFS(
     OR(C343="B",C343="D"),XLOOKUP("timeout_coarse_normal",Calibration!$B:$B,Calibration!$C:$C,36),
     OR(C343="E",C343="F",C343="H",C343="I"),XLOOKUP("timeout_jcc_normal",Calibration!$B:$B,Calibration!$C:$C,14),
     OR(C343="G",C343="J"),XLOOKUP("timeout_duochrome_normal",Calibration!$B:$B,Calibration!$C:$C,10),
     C343="K",XLOOKUP("timeout_bino_normal",Calibration!$B:$B,Calibration!$C:$C,14),
     OR(C343="P",C343="Q",C343="R"),XLOOKUP("timeout_near_normal",Calibration!$B:$B,Calibration!$C:$C,22),
     TRUE,XLOOKUP("timeout_coarse_normal",Calibration!$B:$B,Calibration!$C:$C,36)
   ),
 TRUE,
   IFS(
     OR(C343="B",C343="D"),XLOOKUP("timeout_coarse_slow",Calibration!$B:$B,Calibration!$C:$C,48),
     OR(C343="E",C343="F",C343="H",C343="I"),XLOOKUP("timeout_jcc_slow",Calibration!$B:$B,Calibration!$C:$C,18),
     OR(C343="G",C343="J"),XLOOKUP("timeout_duochrome_slow",Calibration!$B:$B,Calibration!$C:$C,12),
     C343="K",XLOOKUP("timeout_bino_slow",Calibration!$B:$B,Calibration!$C:$C,18),
     OR(C343="P",C343="Q",C343="R"),XLOOKUP("timeout_near_slow",Calibration!$B:$B,Calibration!$C:$C,28),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AJ343=TRUE,"ESCALATE",
C343="A",
IF(OR(I343="NOT_READABLE",I343="BLURRY",AND(R343="20_20_20",I343="READABLE")),"B","A"),
C343="B",
IF(reEsc,"ESCALATE",IF(AY343&gt;=phaseMax,"ESCALATE",IF(AND(AV343&gt;=AW343,I343="READABLE"),"E","B"))),
C343="E",
IF(AY343&gt;=phaseMax,"ESCALATE",IF(OR(I343="SAME",I343="CANT_TELL",AD343&lt;axisTol),"F","E")),
C343="F",
IF(AY343&gt;=phaseMax,"ESCALATE",IF(AX343&gt;=powerSameN,"G","F")),
C343="G",
IF(AY343&gt;=phaseMax,"ESCALATE",IF(OR(AX343&gt;=duoEqualN,BB343&gt;=duoMax),"D","G")),
C343="D",
IF(leEsc,"ESCALATE",IF(AY343&gt;=phaseMax,"ESCALATE",IF(AND(AV343&gt;=AW343,I343="READABLE"),"H","D"))),
C343="H",
IF(AY343&gt;=phaseMax,"ESCALATE",IF(OR(I343="SAME",I343="CANT_TELL",AD343&lt;axisTol),"I","H")),
C343="I",
IF(AY343&gt;=phaseMax,"ESCALATE",IF(AX343&gt;=powerSameN,"J","I")),
C343="J",
IF(AY343&gt;=phaseMax,"ESCALATE",IF(OR(AX343&gt;=duoEqualN,BB343&gt;=duoMax),"K","J")),
C343="K",
IF(AY343&gt;=phaseMax,"ESCALATE",IF(AX343&gt;=binoSameN,IF(XLOOKUP($B343,Derived_Variables!$A:$A,Derived_Variables!$AJ:$AJ,FALSE)=TRUE,"P","END"),"K")),
C343="P",
IF(AY343&gt;=phaseMax,"ESCALATE",IF(OR(I343="READABLE",I343="SAME"),"Q","P")),
C343="Q",
IF(AY343&gt;=phaseMax,"ESCALATE",IF(OR(I343="READABLE",I343="SAME"),"R","Q")),
C343="R",
IF(AY343&gt;=phaseMax,"ESCALATE",IF(OR(I343=nearTarget,I343="SAME"),"END","R")),
TRUE,"END"
)))</f>
        <v/>
      </c>
      <c r="BD343" s="28" t="b">
        <f t="shared" si="19"/>
        <v>0</v>
      </c>
    </row>
    <row r="344" ht="15.75" customHeight="1">
      <c r="A344" s="28">
        <f t="shared" si="3"/>
        <v>343</v>
      </c>
      <c r="B344" s="28">
        <f t="shared" si="4"/>
        <v>6</v>
      </c>
      <c r="C344" s="28" t="str">
        <f t="shared" si="5"/>
        <v/>
      </c>
      <c r="D344" s="28" t="str">
        <f t="array" ref="D344">IF($I343="","",XLOOKUP(C344,FSM_State_Map!A:A,FSM_State_Map!B:B,""))</f>
        <v/>
      </c>
      <c r="E344" s="28" t="str">
        <f t="array" ref="E344">IF($I343="","",XLOOKUP(C344,FSM_State_Map!A:A,FSM_State_Map!C:C,""))</f>
        <v/>
      </c>
      <c r="F344" s="28" t="str">
        <f t="array" ref="F344">IF($I343="","",XLOOKUP(E344,Phase_UI_Map!A:A,Phase_UI_Map!B:B,""))</f>
        <v/>
      </c>
      <c r="G344" s="28" t="str">
        <f t="array" ref="G344">IF($I343="","",XLOOKUP(E344,Phase_UI_Map!A:A,Phase_UI_Map!C:C,""))</f>
        <v/>
      </c>
      <c r="H344" s="28" t="str">
        <f t="array" ref="H344">IF($I343="","",XLOOKUP(E344,Phase_UI_Map!A:A,Phase_UI_Map!D:D,""))</f>
        <v/>
      </c>
      <c r="I344" s="29"/>
      <c r="J344" s="28" t="str">
        <f>IFERROR(__xludf.DUMMYFUNCTION("IF($I343="""","""",IFERROR(INDEX(FILTER(Response_Lists!$B:$B,Response_Lists!$A:$A=$H344),1),""""))"),"")</f>
        <v/>
      </c>
      <c r="K344" s="28" t="str">
        <f>IFERROR(__xludf.DUMMYFUNCTION("IF($I343="""","""",IFERROR(INDEX(FILTER(Response_Lists!$B:$B,Response_Lists!$A:$A=$H344),2),""""))"),"")</f>
        <v/>
      </c>
      <c r="L344" s="28" t="str">
        <f>IFERROR(__xludf.DUMMYFUNCTION("IF($I343="""","""",IFERROR(INDEX(FILTER(Response_Lists!$B:$B,Response_Lists!$A:$A=$H344),3),""""))"),"")</f>
        <v/>
      </c>
      <c r="M344" s="28" t="str">
        <f>IFERROR(__xludf.DUMMYFUNCTION("IF($I343="""","""",IFERROR(INDEX(FILTER(Response_Lists!$B:$B,Response_Lists!$A:$A=$H344),4),""""))"),"")</f>
        <v/>
      </c>
      <c r="N344" s="28" t="str">
        <f>IFERROR(__xludf.DUMMYFUNCTION("IF($I343="""","""",IFERROR(INDEX(FILTER(Response_Lists!$B:$B,Response_Lists!$A:$A=$H344),5),""""))"),"")</f>
        <v/>
      </c>
      <c r="O344" s="28" t="str">
        <f>IFERROR(__xludf.DUMMYFUNCTION("IF($I343="""","""",IFERROR(INDEX(FILTER(Response_Lists!$B:$B,Response_Lists!$A:$A=$H344),6),""""))"),"")</f>
        <v/>
      </c>
      <c r="P344" s="28" t="str">
        <f t="shared" si="6"/>
        <v/>
      </c>
      <c r="Q344" s="28" t="str">
        <f t="array" ref="Q344">IF($I343="","",XLOOKUP(C344,FSM_State_Map!A:A,FSM_State_Map!D:D,""))</f>
        <v/>
      </c>
      <c r="R344" s="28" t="str">
        <f t="shared" si="7"/>
        <v/>
      </c>
      <c r="S344" s="28" t="str">
        <f t="array" ref="S344">IF($I343="","",
IF(
  AND(C344="B",C343&lt;&gt;"B"),
  XLOOKUP($B344,Derived_Variables!$A:$A,Derived_Variables!$K:$K,0)
  + XLOOKUP($B344,Derived_Variables!$A:$A,Derived_Variables!$AE:$AE,0),
  S343+AM343
))</f>
        <v/>
      </c>
      <c r="T344" s="28" t="str">
        <f t="shared" ref="T344:U344" si="698">IF($I343="","",T343+AN343)</f>
        <v/>
      </c>
      <c r="U344" s="28" t="str">
        <f t="shared" si="698"/>
        <v/>
      </c>
      <c r="V344" s="28" t="str">
        <f t="array" ref="V344">IF($I343="","",
IF(
  AND(C344="D",C343&lt;&gt;"D"),
  XLOOKUP($B344,Derived_Variables!$A:$A,Derived_Variables!$N:$N,0)
  + XLOOKUP($B344,Derived_Variables!$A:$A,Derived_Variables!$AE:$AE,0),
  V343+AP343
))</f>
        <v/>
      </c>
      <c r="W344" s="28" t="str">
        <f t="shared" ref="W344:X344" si="699">IF($I343="","",W343+AQ343)</f>
        <v/>
      </c>
      <c r="X344" s="28" t="str">
        <f t="shared" si="699"/>
        <v/>
      </c>
      <c r="Y344" s="28" t="str">
        <f t="array" ref="Y344">IF($I343="","",IF(AND(C344="P",C343&lt;&gt;"P"),IFERROR(XLOOKUP($B344,Lenso_Input!$A:$A,Lenso_Input!$E:$E,0),0),Y343+AS343))</f>
        <v/>
      </c>
      <c r="Z344" s="28" t="str">
        <f t="array" ref="Z344">IF($I343="","",IF(AND(C344="Q",C343&lt;&gt;"Q"),IFERROR(XLOOKUP($B344,Lenso_Input!$A:$A,Lenso_Input!$I:$I,0),0),Z343+AT343))</f>
        <v/>
      </c>
      <c r="AA344" s="28" t="str">
        <f t="array" ref="AA344">IF($I343="","",IF(XLOOKUP($B344,Derived_Variables!$A:$A,Derived_Variables!$R:$R,"6/6_target")="6/6_target","20_20_20","40_30_25"))</f>
        <v/>
      </c>
      <c r="AB344" s="28" t="str">
        <f t="array" ref="AB344">IF($I343="","",XLOOKUP(LOWER(XLOOKUP($B344,Derived_Variables!$A:$A,Derived_Variables!$T:$T,"Standard"))&amp;"_sph_step",Calibration!$B:$B,Calibration!$C:$C,0.25))</f>
        <v/>
      </c>
      <c r="AC344" s="28" t="str">
        <f t="array" ref="AC344">IF($I343="","",XLOOKUP(LOWER(XLOOKUP($B344,Derived_Variables!$A:$A,Derived_Variables!$T:$T,"Standard"))&amp;"_cyl_step",Calibration!$B:$B,Calibration!$C:$C,0.25))</f>
        <v/>
      </c>
      <c r="AD344" s="28" t="str">
        <f t="array" ref="AD344">IF($I343="","",IF(OR(C344="E",C344="H"),LET(startStep,XLOOKUP("axis_start_step",Calibration!$B:$B,Calibration!$C:$C,5),step1,XLOOKUP("axis_reversal_step_1",Calibration!$B:$B,Calibration!$C:$C,3),step2,XLOOKUP("axis_reversal_step_2",Calibration!$B:$B,Calibration!$C:$C,1),IF(OR(C343&lt;&gt;C344,AZ344="",AZ344="SAME",AZ344="CANT_TELL",I344="",I344="SAME",I344="CANT_TELL"),startStep,IF(OR(AND(AZ344="BETTER_1",I344="BETTER_2"),AND(AZ344="BETTER_2",I344="BETTER_1")),IF(AD343&gt;step1,step1,step2),AD343))),0))</f>
        <v/>
      </c>
      <c r="AE344" s="28" t="str">
        <f t="array" ref="AE344">IF($I343="","",XLOOKUP($B344,Derived_Variables!$A:$A,Derived_Variables!$AD:$AD,"No_Fog"))</f>
        <v/>
      </c>
      <c r="AF344" s="28" t="str">
        <f t="array" ref="AF344">IF($I343="","",XLOOKUP($B344,Derived_Variables!$A:$A,Derived_Variables!$AE:$AE,0))</f>
        <v/>
      </c>
      <c r="AG344" s="28" t="str">
        <f t="array" ref="AG344">IF($I343="","",XLOOKUP($B344,Derived_Variables!$A:$A,Derived_Variables!$AF:$AF,""))</f>
        <v/>
      </c>
      <c r="AH344" s="28" t="str">
        <f t="array" ref="AH344">IF($I343="","",XLOOKUP($B344,Derived_Variables!$A:$A,Derived_Variables!$AG:$AG,""))</f>
        <v/>
      </c>
      <c r="AI344" s="28" t="str">
        <f t="array" ref="AI344">IF($I343="","",XLOOKUP($B344,Derived_Variables!$A:$A,Derived_Variables!$AC:$AC,"Medium"))</f>
        <v/>
      </c>
      <c r="AJ344" s="28" t="str">
        <f t="array" ref="AJ344">IF($I343="","",XLOOKUP($B344,Derived_Variables!$A:$A,Derived_Variables!$Y:$Y,FALSE))</f>
        <v/>
      </c>
      <c r="AK344" s="28" t="str">
        <f t="array" ref="AK344">IF($I343="","",XLOOKUP($B344,Derived_Variables!$A:$A,Derived_Variables!$AA:$AA,"Normal"))</f>
        <v/>
      </c>
      <c r="AL344" s="28" t="str">
        <f t="array" ref="AL344">IF($I343="","",XLOOKUP($B344,Derived_Variables!$A:$A,Derived_Variables!$AB:$AB,"Normal"))</f>
        <v/>
      </c>
      <c r="AM344" s="28" t="str">
        <f t="array" ref="AM344">IF($I344="","",IFS(C344="B",IF(OR(I344="NOT_READABLE",I344="BLURRY"),-AB344,0),C344="G",IFS(I344="RED_CLEARER",XLOOKUP("duochrome_red_step",Calibration!$B:$B,Calibration!$C:$C,-0.25),I344="GREEN_CLEARER",XLOOKUP("duochrome_green_step",Calibration!$B:$B,Calibration!$C:$C,0.25),I344="EQUAL",IF(XLOOKUP($B344,Derived_Variables!$A:$A,Derived_Variables!$S:$S,"Neutral")="Undercorrect",XLOOKUP("undercorrect_step",Calibration!$B:$B,Calibration!$C:$C,0.25),IF(XLOOKUP($B344,Derived_Variables!$A:$A,Derived_Variables!$S:$S,"Neutral")="Overcorrect",-XLOOKUP("overcorrect_step",Calibration!$B:$B,Calibration!$C:$C,0.25),0)),TRUE,0),C344="K",IF(I344="TOP_CLEARER",XLOOKUP("bino_balance_step",Calibration!$B:$B,Calibration!$C:$C,0.25),0),TRUE,0))</f>
        <v/>
      </c>
      <c r="AN344" s="28" t="str">
        <f t="shared" si="10"/>
        <v/>
      </c>
      <c r="AO344" s="28" t="str">
        <f t="shared" si="11"/>
        <v/>
      </c>
      <c r="AP344" s="28" t="str">
        <f t="array" ref="AP344">IF($I344="","",IFS(C344="D",IF(OR(I344="NOT_READABLE",I344="BLURRY"),-AB344,0),C344="J",IFS(I344="RED_CLEARER",XLOOKUP("duochrome_red_step",Calibration!$B:$B,Calibration!$C:$C,-0.25),I344="GREEN_CLEARER",XLOOKUP("duochrome_green_step",Calibration!$B:$B,Calibration!$C:$C,0.25),I344="EQUAL",IF(XLOOKUP($B344,Derived_Variables!$A:$A,Derived_Variables!$S:$S,"Neutral")="Undercorrect",XLOOKUP("undercorrect_step",Calibration!$B:$B,Calibration!$C:$C,0.25),IF(XLOOKUP($B344,Derived_Variables!$A:$A,Derived_Variables!$S:$S,"Neutral")="Overcorrect",-XLOOKUP("overcorrect_step",Calibration!$B:$B,Calibration!$C:$C,0.25),0)),TRUE,0),C344="K",IF(I344="BOTTOM_CLEARER",XLOOKUP("bino_balance_step",Calibration!$B:$B,Calibration!$C:$C,0.25),0),TRUE,0))</f>
        <v/>
      </c>
      <c r="AQ344" s="28" t="str">
        <f t="shared" si="12"/>
        <v/>
      </c>
      <c r="AR344" s="28" t="str">
        <f t="shared" si="13"/>
        <v/>
      </c>
      <c r="AS344" s="28" t="str">
        <f t="array" ref="AS344">IF($I344="","",IF(C344="P",IF(OR(I344="NOT_READABLE",I344="BLURRY"),XLOOKUP("near_add_step",Calibration!$B:$B,Calibration!$C:$C,0.25),0),IF(C344="R",IF(I344="NOT_CLEAR",XLOOKUP("near_add_step",Calibration!$B:$B,Calibration!$C:$C,0.25),0),0)))</f>
        <v/>
      </c>
      <c r="AT344" s="28" t="str">
        <f t="array" ref="AT344">IF($I344="","",IF(C344="Q",IF(OR(I344="NOT_READABLE",I344="BLURRY"),XLOOKUP("near_add_step",Calibration!$B:$B,Calibration!$C:$C,0.25),0),IF(C344="R",IF(I344="NOT_CLEAR",XLOOKUP("near_add_step",Calibration!$B:$B,Calibration!$C:$C,0.25),0),0)))</f>
        <v/>
      </c>
      <c r="AU344" s="28" t="str">
        <f t="array" ref="AU344">IF($I344="","",IF(G344="SNELLEN_FEET",IF(I344="READABLE",IFERROR(XLOOKUP(XLOOKUP(R344,Chart_Scale_Distance!B:B,Chart_Scale_Distance!A:A)+1,Chart_Scale_Distance!A:A,Chart_Scale_Distance!B:B),R344),R344),R344))</f>
        <v/>
      </c>
      <c r="AV344" s="28" t="str">
        <f t="array" ref="AV344">IF($I343="","",IFERROR(XLOOKUP(R344,Chart_Scale_Distance!$B:$B,Chart_Scale_Distance!$A:$A,""),""))</f>
        <v/>
      </c>
      <c r="AW344" s="28" t="str">
        <f t="array" ref="AW344">IF($I343="","",IFERROR(XLOOKUP(AA344,Chart_Scale_Distance!$B:$B,Chart_Scale_Distance!$A:$A,""),""))</f>
        <v/>
      </c>
      <c r="AX344" s="28" t="str">
        <f t="shared" si="14"/>
        <v/>
      </c>
      <c r="AY344" s="28" t="str">
        <f t="shared" si="15"/>
        <v/>
      </c>
      <c r="AZ344" s="28" t="str">
        <f t="shared" si="16"/>
        <v/>
      </c>
      <c r="BA344" s="28" t="str">
        <f t="shared" si="17"/>
        <v/>
      </c>
      <c r="BB344" s="28" t="str">
        <f t="shared" si="18"/>
        <v/>
      </c>
      <c r="BC344" s="28" t="str">
        <f t="array" ref="BC344">IF($I344="","",LET(
conf,AI344,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duoMax,XLOOKUP($B344,Derived_Variables!$A:$A,Derived_Variables!$AI:$AI,4),
axisTol,XLOOKUP($B344,Derived_Variables!$A:$A,Derived_Variables!$W:$W,1),
maxStart,XLOOKUP($B344,Derived_Variables!$A:$A,Derived_Variables!$U:$U,1.25),
maxAR,XLOOKUP($B344,Derived_Variables!$A:$A,Derived_Variables!$V:$V,3),
anom,XLOOKUP($B344,Derived_Variables!$A:$A,Derived_Variables!$Z:$Z,FALSE),
reStart,XLOOKUP($B344,Derived_Variables!$A:$A,Derived_Variables!$K:$K,0),
leStart,XLOOKUP($B344,Derived_Variables!$A:$A,Derived_Variables!$N:$N,0),
reAR,XLOOKUP($B344,AR_Input!$A:$A,AR_Input!$B:$B,reStart),
leAR,XLOOKUP($B344,AR_Input!$A:$A,AR_Input!$E:$E,leStart),
reEsc,AND(anom,OR(ABS((S344+AM344)-reStart)&gt;maxStart,ABS((S344+AM344)-reAR)&gt;maxAR)),
leEsc,AND(anom,OR(ABS((V344+AP344)-leStart)&gt;maxStart,ABS((V344+AP344)-leAR)&gt;maxAR)),
phaseMax,IFS(
 AK344="Fast",
   IFS(
     OR(C344="B",C344="D"),XLOOKUP("timeout_coarse_fast",Calibration!$B:$B,Calibration!$C:$C,24),
     OR(C344="E",C344="F",C344="H",C344="I"),XLOOKUP("timeout_jcc_fast",Calibration!$B:$B,Calibration!$C:$C,10),
     OR(C344="G",C344="J"),XLOOKUP("timeout_duochrome_fast",Calibration!$B:$B,Calibration!$C:$C,8),
     C344="K",XLOOKUP("timeout_bino_fast",Calibration!$B:$B,Calibration!$C:$C,10),
     OR(C344="P",C344="Q",C344="R"),XLOOKUP("timeout_near_fast",Calibration!$B:$B,Calibration!$C:$C,16),
     TRUE,XLOOKUP("timeout_coarse_fast",Calibration!$B:$B,Calibration!$C:$C,24)
   ),
 AK344="Normal",
   IFS(
     OR(C344="B",C344="D"),XLOOKUP("timeout_coarse_normal",Calibration!$B:$B,Calibration!$C:$C,36),
     OR(C344="E",C344="F",C344="H",C344="I"),XLOOKUP("timeout_jcc_normal",Calibration!$B:$B,Calibration!$C:$C,14),
     OR(C344="G",C344="J"),XLOOKUP("timeout_duochrome_normal",Calibration!$B:$B,Calibration!$C:$C,10),
     C344="K",XLOOKUP("timeout_bino_normal",Calibration!$B:$B,Calibration!$C:$C,14),
     OR(C344="P",C344="Q",C344="R"),XLOOKUP("timeout_near_normal",Calibration!$B:$B,Calibration!$C:$C,22),
     TRUE,XLOOKUP("timeout_coarse_normal",Calibration!$B:$B,Calibration!$C:$C,36)
   ),
 TRUE,
   IFS(
     OR(C344="B",C344="D"),XLOOKUP("timeout_coarse_slow",Calibration!$B:$B,Calibration!$C:$C,48),
     OR(C344="E",C344="F",C344="H",C344="I"),XLOOKUP("timeout_jcc_slow",Calibration!$B:$B,Calibration!$C:$C,18),
     OR(C344="G",C344="J"),XLOOKUP("timeout_duochrome_slow",Calibration!$B:$B,Calibration!$C:$C,12),
     C344="K",XLOOKUP("timeout_bino_slow",Calibration!$B:$B,Calibration!$C:$C,18),
     OR(C344="P",C344="Q",C344="R"),XLOOKUP("timeout_near_slow",Calibration!$B:$B,Calibration!$C:$C,28),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AJ344=TRUE,"ESCALATE",
C344="A",
IF(OR(I344="NOT_READABLE",I344="BLURRY",AND(R344="20_20_20",I344="READABLE")),"B","A"),
C344="B",
IF(reEsc,"ESCALATE",IF(AY344&gt;=phaseMax,"ESCALATE",IF(AND(AV344&gt;=AW344,I344="READABLE"),"E","B"))),
C344="E",
IF(AY344&gt;=phaseMax,"ESCALATE",IF(OR(I344="SAME",I344="CANT_TELL",AD344&lt;axisTol),"F","E")),
C344="F",
IF(AY344&gt;=phaseMax,"ESCALATE",IF(AX344&gt;=powerSameN,"G","F")),
C344="G",
IF(AY344&gt;=phaseMax,"ESCALATE",IF(OR(AX344&gt;=duoEqualN,BB344&gt;=duoMax),"D","G")),
C344="D",
IF(leEsc,"ESCALATE",IF(AY344&gt;=phaseMax,"ESCALATE",IF(AND(AV344&gt;=AW344,I344="READABLE"),"H","D"))),
C344="H",
IF(AY344&gt;=phaseMax,"ESCALATE",IF(OR(I344="SAME",I344="CANT_TELL",AD344&lt;axisTol),"I","H")),
C344="I",
IF(AY344&gt;=phaseMax,"ESCALATE",IF(AX344&gt;=powerSameN,"J","I")),
C344="J",
IF(AY344&gt;=phaseMax,"ESCALATE",IF(OR(AX344&gt;=duoEqualN,BB344&gt;=duoMax),"K","J")),
C344="K",
IF(AY344&gt;=phaseMax,"ESCALATE",IF(AX344&gt;=binoSameN,IF(XLOOKUP($B344,Derived_Variables!$A:$A,Derived_Variables!$AJ:$AJ,FALSE)=TRUE,"P","END"),"K")),
C344="P",
IF(AY344&gt;=phaseMax,"ESCALATE",IF(OR(I344="READABLE",I344="SAME"),"Q","P")),
C344="Q",
IF(AY344&gt;=phaseMax,"ESCALATE",IF(OR(I344="READABLE",I344="SAME"),"R","Q")),
C344="R",
IF(AY344&gt;=phaseMax,"ESCALATE",IF(OR(I344=nearTarget,I344="SAME"),"END","R")),
TRUE,"END"
)))</f>
        <v/>
      </c>
      <c r="BD344" s="28" t="b">
        <f t="shared" si="19"/>
        <v>0</v>
      </c>
    </row>
    <row r="345" ht="15.75" customHeight="1">
      <c r="A345" s="28">
        <f t="shared" si="3"/>
        <v>344</v>
      </c>
      <c r="B345" s="28">
        <f t="shared" si="4"/>
        <v>6</v>
      </c>
      <c r="C345" s="28" t="str">
        <f t="shared" si="5"/>
        <v/>
      </c>
      <c r="D345" s="28" t="str">
        <f t="array" ref="D345">IF($I344="","",XLOOKUP(C345,FSM_State_Map!A:A,FSM_State_Map!B:B,""))</f>
        <v/>
      </c>
      <c r="E345" s="28" t="str">
        <f t="array" ref="E345">IF($I344="","",XLOOKUP(C345,FSM_State_Map!A:A,FSM_State_Map!C:C,""))</f>
        <v/>
      </c>
      <c r="F345" s="28" t="str">
        <f t="array" ref="F345">IF($I344="","",XLOOKUP(E345,Phase_UI_Map!A:A,Phase_UI_Map!B:B,""))</f>
        <v/>
      </c>
      <c r="G345" s="28" t="str">
        <f t="array" ref="G345">IF($I344="","",XLOOKUP(E345,Phase_UI_Map!A:A,Phase_UI_Map!C:C,""))</f>
        <v/>
      </c>
      <c r="H345" s="28" t="str">
        <f t="array" ref="H345">IF($I344="","",XLOOKUP(E345,Phase_UI_Map!A:A,Phase_UI_Map!D:D,""))</f>
        <v/>
      </c>
      <c r="I345" s="29"/>
      <c r="J345" s="28" t="str">
        <f>IFERROR(__xludf.DUMMYFUNCTION("IF($I344="""","""",IFERROR(INDEX(FILTER(Response_Lists!$B:$B,Response_Lists!$A:$A=$H345),1),""""))"),"")</f>
        <v/>
      </c>
      <c r="K345" s="28" t="str">
        <f>IFERROR(__xludf.DUMMYFUNCTION("IF($I344="""","""",IFERROR(INDEX(FILTER(Response_Lists!$B:$B,Response_Lists!$A:$A=$H345),2),""""))"),"")</f>
        <v/>
      </c>
      <c r="L345" s="28" t="str">
        <f>IFERROR(__xludf.DUMMYFUNCTION("IF($I344="""","""",IFERROR(INDEX(FILTER(Response_Lists!$B:$B,Response_Lists!$A:$A=$H345),3),""""))"),"")</f>
        <v/>
      </c>
      <c r="M345" s="28" t="str">
        <f>IFERROR(__xludf.DUMMYFUNCTION("IF($I344="""","""",IFERROR(INDEX(FILTER(Response_Lists!$B:$B,Response_Lists!$A:$A=$H345),4),""""))"),"")</f>
        <v/>
      </c>
      <c r="N345" s="28" t="str">
        <f>IFERROR(__xludf.DUMMYFUNCTION("IF($I344="""","""",IFERROR(INDEX(FILTER(Response_Lists!$B:$B,Response_Lists!$A:$A=$H345),5),""""))"),"")</f>
        <v/>
      </c>
      <c r="O345" s="28" t="str">
        <f>IFERROR(__xludf.DUMMYFUNCTION("IF($I344="""","""",IFERROR(INDEX(FILTER(Response_Lists!$B:$B,Response_Lists!$A:$A=$H345),6),""""))"),"")</f>
        <v/>
      </c>
      <c r="P345" s="28" t="str">
        <f t="shared" si="6"/>
        <v/>
      </c>
      <c r="Q345" s="28" t="str">
        <f t="array" ref="Q345">IF($I344="","",XLOOKUP(C345,FSM_State_Map!A:A,FSM_State_Map!D:D,""))</f>
        <v/>
      </c>
      <c r="R345" s="28" t="str">
        <f t="shared" si="7"/>
        <v/>
      </c>
      <c r="S345" s="28" t="str">
        <f t="array" ref="S345">IF($I344="","",
IF(
  AND(C345="B",C344&lt;&gt;"B"),
  XLOOKUP($B345,Derived_Variables!$A:$A,Derived_Variables!$K:$K,0)
  + XLOOKUP($B345,Derived_Variables!$A:$A,Derived_Variables!$AE:$AE,0),
  S344+AM344
))</f>
        <v/>
      </c>
      <c r="T345" s="28" t="str">
        <f t="shared" ref="T345:U345" si="700">IF($I344="","",T344+AN344)</f>
        <v/>
      </c>
      <c r="U345" s="28" t="str">
        <f t="shared" si="700"/>
        <v/>
      </c>
      <c r="V345" s="28" t="str">
        <f t="array" ref="V345">IF($I344="","",
IF(
  AND(C345="D",C344&lt;&gt;"D"),
  XLOOKUP($B345,Derived_Variables!$A:$A,Derived_Variables!$N:$N,0)
  + XLOOKUP($B345,Derived_Variables!$A:$A,Derived_Variables!$AE:$AE,0),
  V344+AP344
))</f>
        <v/>
      </c>
      <c r="W345" s="28" t="str">
        <f t="shared" ref="W345:X345" si="701">IF($I344="","",W344+AQ344)</f>
        <v/>
      </c>
      <c r="X345" s="28" t="str">
        <f t="shared" si="701"/>
        <v/>
      </c>
      <c r="Y345" s="28" t="str">
        <f t="array" ref="Y345">IF($I344="","",IF(AND(C345="P",C344&lt;&gt;"P"),IFERROR(XLOOKUP($B345,Lenso_Input!$A:$A,Lenso_Input!$E:$E,0),0),Y344+AS344))</f>
        <v/>
      </c>
      <c r="Z345" s="28" t="str">
        <f t="array" ref="Z345">IF($I344="","",IF(AND(C345="Q",C344&lt;&gt;"Q"),IFERROR(XLOOKUP($B345,Lenso_Input!$A:$A,Lenso_Input!$I:$I,0),0),Z344+AT344))</f>
        <v/>
      </c>
      <c r="AA345" s="28" t="str">
        <f t="array" ref="AA345">IF($I344="","",IF(XLOOKUP($B345,Derived_Variables!$A:$A,Derived_Variables!$R:$R,"6/6_target")="6/6_target","20_20_20","40_30_25"))</f>
        <v/>
      </c>
      <c r="AB345" s="28" t="str">
        <f t="array" ref="AB345">IF($I344="","",XLOOKUP(LOWER(XLOOKUP($B345,Derived_Variables!$A:$A,Derived_Variables!$T:$T,"Standard"))&amp;"_sph_step",Calibration!$B:$B,Calibration!$C:$C,0.25))</f>
        <v/>
      </c>
      <c r="AC345" s="28" t="str">
        <f t="array" ref="AC345">IF($I344="","",XLOOKUP(LOWER(XLOOKUP($B345,Derived_Variables!$A:$A,Derived_Variables!$T:$T,"Standard"))&amp;"_cyl_step",Calibration!$B:$B,Calibration!$C:$C,0.25))</f>
        <v/>
      </c>
      <c r="AD345" s="28" t="str">
        <f t="array" ref="AD345">IF($I344="","",IF(OR(C345="E",C345="H"),LET(startStep,XLOOKUP("axis_start_step",Calibration!$B:$B,Calibration!$C:$C,5),step1,XLOOKUP("axis_reversal_step_1",Calibration!$B:$B,Calibration!$C:$C,3),step2,XLOOKUP("axis_reversal_step_2",Calibration!$B:$B,Calibration!$C:$C,1),IF(OR(C344&lt;&gt;C345,AZ345="",AZ345="SAME",AZ345="CANT_TELL",I345="",I345="SAME",I345="CANT_TELL"),startStep,IF(OR(AND(AZ345="BETTER_1",I345="BETTER_2"),AND(AZ345="BETTER_2",I345="BETTER_1")),IF(AD344&gt;step1,step1,step2),AD344))),0))</f>
        <v/>
      </c>
      <c r="AE345" s="28" t="str">
        <f t="array" ref="AE345">IF($I344="","",XLOOKUP($B345,Derived_Variables!$A:$A,Derived_Variables!$AD:$AD,"No_Fog"))</f>
        <v/>
      </c>
      <c r="AF345" s="28" t="str">
        <f t="array" ref="AF345">IF($I344="","",XLOOKUP($B345,Derived_Variables!$A:$A,Derived_Variables!$AE:$AE,0))</f>
        <v/>
      </c>
      <c r="AG345" s="28" t="str">
        <f t="array" ref="AG345">IF($I344="","",XLOOKUP($B345,Derived_Variables!$A:$A,Derived_Variables!$AF:$AF,""))</f>
        <v/>
      </c>
      <c r="AH345" s="28" t="str">
        <f t="array" ref="AH345">IF($I344="","",XLOOKUP($B345,Derived_Variables!$A:$A,Derived_Variables!$AG:$AG,""))</f>
        <v/>
      </c>
      <c r="AI345" s="28" t="str">
        <f t="array" ref="AI345">IF($I344="","",XLOOKUP($B345,Derived_Variables!$A:$A,Derived_Variables!$AC:$AC,"Medium"))</f>
        <v/>
      </c>
      <c r="AJ345" s="28" t="str">
        <f t="array" ref="AJ345">IF($I344="","",XLOOKUP($B345,Derived_Variables!$A:$A,Derived_Variables!$Y:$Y,FALSE))</f>
        <v/>
      </c>
      <c r="AK345" s="28" t="str">
        <f t="array" ref="AK345">IF($I344="","",XLOOKUP($B345,Derived_Variables!$A:$A,Derived_Variables!$AA:$AA,"Normal"))</f>
        <v/>
      </c>
      <c r="AL345" s="28" t="str">
        <f t="array" ref="AL345">IF($I344="","",XLOOKUP($B345,Derived_Variables!$A:$A,Derived_Variables!$AB:$AB,"Normal"))</f>
        <v/>
      </c>
      <c r="AM345" s="28" t="str">
        <f t="array" ref="AM345">IF($I345="","",IFS(C345="B",IF(OR(I345="NOT_READABLE",I345="BLURRY"),-AB345,0),C345="G",IFS(I345="RED_CLEARER",XLOOKUP("duochrome_red_step",Calibration!$B:$B,Calibration!$C:$C,-0.25),I345="GREEN_CLEARER",XLOOKUP("duochrome_green_step",Calibration!$B:$B,Calibration!$C:$C,0.25),I345="EQUAL",IF(XLOOKUP($B345,Derived_Variables!$A:$A,Derived_Variables!$S:$S,"Neutral")="Undercorrect",XLOOKUP("undercorrect_step",Calibration!$B:$B,Calibration!$C:$C,0.25),IF(XLOOKUP($B345,Derived_Variables!$A:$A,Derived_Variables!$S:$S,"Neutral")="Overcorrect",-XLOOKUP("overcorrect_step",Calibration!$B:$B,Calibration!$C:$C,0.25),0)),TRUE,0),C345="K",IF(I345="TOP_CLEARER",XLOOKUP("bino_balance_step",Calibration!$B:$B,Calibration!$C:$C,0.25),0),TRUE,0))</f>
        <v/>
      </c>
      <c r="AN345" s="28" t="str">
        <f t="shared" si="10"/>
        <v/>
      </c>
      <c r="AO345" s="28" t="str">
        <f t="shared" si="11"/>
        <v/>
      </c>
      <c r="AP345" s="28" t="str">
        <f t="array" ref="AP345">IF($I345="","",IFS(C345="D",IF(OR(I345="NOT_READABLE",I345="BLURRY"),-AB345,0),C345="J",IFS(I345="RED_CLEARER",XLOOKUP("duochrome_red_step",Calibration!$B:$B,Calibration!$C:$C,-0.25),I345="GREEN_CLEARER",XLOOKUP("duochrome_green_step",Calibration!$B:$B,Calibration!$C:$C,0.25),I345="EQUAL",IF(XLOOKUP($B345,Derived_Variables!$A:$A,Derived_Variables!$S:$S,"Neutral")="Undercorrect",XLOOKUP("undercorrect_step",Calibration!$B:$B,Calibration!$C:$C,0.25),IF(XLOOKUP($B345,Derived_Variables!$A:$A,Derived_Variables!$S:$S,"Neutral")="Overcorrect",-XLOOKUP("overcorrect_step",Calibration!$B:$B,Calibration!$C:$C,0.25),0)),TRUE,0),C345="K",IF(I345="BOTTOM_CLEARER",XLOOKUP("bino_balance_step",Calibration!$B:$B,Calibration!$C:$C,0.25),0),TRUE,0))</f>
        <v/>
      </c>
      <c r="AQ345" s="28" t="str">
        <f t="shared" si="12"/>
        <v/>
      </c>
      <c r="AR345" s="28" t="str">
        <f t="shared" si="13"/>
        <v/>
      </c>
      <c r="AS345" s="28" t="str">
        <f t="array" ref="AS345">IF($I345="","",IF(C345="P",IF(OR(I345="NOT_READABLE",I345="BLURRY"),XLOOKUP("near_add_step",Calibration!$B:$B,Calibration!$C:$C,0.25),0),IF(C345="R",IF(I345="NOT_CLEAR",XLOOKUP("near_add_step",Calibration!$B:$B,Calibration!$C:$C,0.25),0),0)))</f>
        <v/>
      </c>
      <c r="AT345" s="28" t="str">
        <f t="array" ref="AT345">IF($I345="","",IF(C345="Q",IF(OR(I345="NOT_READABLE",I345="BLURRY"),XLOOKUP("near_add_step",Calibration!$B:$B,Calibration!$C:$C,0.25),0),IF(C345="R",IF(I345="NOT_CLEAR",XLOOKUP("near_add_step",Calibration!$B:$B,Calibration!$C:$C,0.25),0),0)))</f>
        <v/>
      </c>
      <c r="AU345" s="28" t="str">
        <f t="array" ref="AU345">IF($I345="","",IF(G345="SNELLEN_FEET",IF(I345="READABLE",IFERROR(XLOOKUP(XLOOKUP(R345,Chart_Scale_Distance!B:B,Chart_Scale_Distance!A:A)+1,Chart_Scale_Distance!A:A,Chart_Scale_Distance!B:B),R345),R345),R345))</f>
        <v/>
      </c>
      <c r="AV345" s="28" t="str">
        <f t="array" ref="AV345">IF($I344="","",IFERROR(XLOOKUP(R345,Chart_Scale_Distance!$B:$B,Chart_Scale_Distance!$A:$A,""),""))</f>
        <v/>
      </c>
      <c r="AW345" s="28" t="str">
        <f t="array" ref="AW345">IF($I344="","",IFERROR(XLOOKUP(AA345,Chart_Scale_Distance!$B:$B,Chart_Scale_Distance!$A:$A,""),""))</f>
        <v/>
      </c>
      <c r="AX345" s="28" t="str">
        <f t="shared" si="14"/>
        <v/>
      </c>
      <c r="AY345" s="28" t="str">
        <f t="shared" si="15"/>
        <v/>
      </c>
      <c r="AZ345" s="28" t="str">
        <f t="shared" si="16"/>
        <v/>
      </c>
      <c r="BA345" s="28" t="str">
        <f t="shared" si="17"/>
        <v/>
      </c>
      <c r="BB345" s="28" t="str">
        <f t="shared" si="18"/>
        <v/>
      </c>
      <c r="BC345" s="28" t="str">
        <f t="array" ref="BC345">IF($I345="","",LET(
conf,AI345,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duoMax,XLOOKUP($B345,Derived_Variables!$A:$A,Derived_Variables!$AI:$AI,4),
axisTol,XLOOKUP($B345,Derived_Variables!$A:$A,Derived_Variables!$W:$W,1),
maxStart,XLOOKUP($B345,Derived_Variables!$A:$A,Derived_Variables!$U:$U,1.25),
maxAR,XLOOKUP($B345,Derived_Variables!$A:$A,Derived_Variables!$V:$V,3),
anom,XLOOKUP($B345,Derived_Variables!$A:$A,Derived_Variables!$Z:$Z,FALSE),
reStart,XLOOKUP($B345,Derived_Variables!$A:$A,Derived_Variables!$K:$K,0),
leStart,XLOOKUP($B345,Derived_Variables!$A:$A,Derived_Variables!$N:$N,0),
reAR,XLOOKUP($B345,AR_Input!$A:$A,AR_Input!$B:$B,reStart),
leAR,XLOOKUP($B345,AR_Input!$A:$A,AR_Input!$E:$E,leStart),
reEsc,AND(anom,OR(ABS((S345+AM345)-reStart)&gt;maxStart,ABS((S345+AM345)-reAR)&gt;maxAR)),
leEsc,AND(anom,OR(ABS((V345+AP345)-leStart)&gt;maxStart,ABS((V345+AP345)-leAR)&gt;maxAR)),
phaseMax,IFS(
 AK345="Fast",
   IFS(
     OR(C345="B",C345="D"),XLOOKUP("timeout_coarse_fast",Calibration!$B:$B,Calibration!$C:$C,24),
     OR(C345="E",C345="F",C345="H",C345="I"),XLOOKUP("timeout_jcc_fast",Calibration!$B:$B,Calibration!$C:$C,10),
     OR(C345="G",C345="J"),XLOOKUP("timeout_duochrome_fast",Calibration!$B:$B,Calibration!$C:$C,8),
     C345="K",XLOOKUP("timeout_bino_fast",Calibration!$B:$B,Calibration!$C:$C,10),
     OR(C345="P",C345="Q",C345="R"),XLOOKUP("timeout_near_fast",Calibration!$B:$B,Calibration!$C:$C,16),
     TRUE,XLOOKUP("timeout_coarse_fast",Calibration!$B:$B,Calibration!$C:$C,24)
   ),
 AK345="Normal",
   IFS(
     OR(C345="B",C345="D"),XLOOKUP("timeout_coarse_normal",Calibration!$B:$B,Calibration!$C:$C,36),
     OR(C345="E",C345="F",C345="H",C345="I"),XLOOKUP("timeout_jcc_normal",Calibration!$B:$B,Calibration!$C:$C,14),
     OR(C345="G",C345="J"),XLOOKUP("timeout_duochrome_normal",Calibration!$B:$B,Calibration!$C:$C,10),
     C345="K",XLOOKUP("timeout_bino_normal",Calibration!$B:$B,Calibration!$C:$C,14),
     OR(C345="P",C345="Q",C345="R"),XLOOKUP("timeout_near_normal",Calibration!$B:$B,Calibration!$C:$C,22),
     TRUE,XLOOKUP("timeout_coarse_normal",Calibration!$B:$B,Calibration!$C:$C,36)
   ),
 TRUE,
   IFS(
     OR(C345="B",C345="D"),XLOOKUP("timeout_coarse_slow",Calibration!$B:$B,Calibration!$C:$C,48),
     OR(C345="E",C345="F",C345="H",C345="I"),XLOOKUP("timeout_jcc_slow",Calibration!$B:$B,Calibration!$C:$C,18),
     OR(C345="G",C345="J"),XLOOKUP("timeout_duochrome_slow",Calibration!$B:$B,Calibration!$C:$C,12),
     C345="K",XLOOKUP("timeout_bino_slow",Calibration!$B:$B,Calibration!$C:$C,18),
     OR(C345="P",C345="Q",C345="R"),XLOOKUP("timeout_near_slow",Calibration!$B:$B,Calibration!$C:$C,28),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AJ345=TRUE,"ESCALATE",
C345="A",
IF(OR(I345="NOT_READABLE",I345="BLURRY",AND(R345="20_20_20",I345="READABLE")),"B","A"),
C345="B",
IF(reEsc,"ESCALATE",IF(AY345&gt;=phaseMax,"ESCALATE",IF(AND(AV345&gt;=AW345,I345="READABLE"),"E","B"))),
C345="E",
IF(AY345&gt;=phaseMax,"ESCALATE",IF(OR(I345="SAME",I345="CANT_TELL",AD345&lt;axisTol),"F","E")),
C345="F",
IF(AY345&gt;=phaseMax,"ESCALATE",IF(AX345&gt;=powerSameN,"G","F")),
C345="G",
IF(AY345&gt;=phaseMax,"ESCALATE",IF(OR(AX345&gt;=duoEqualN,BB345&gt;=duoMax),"D","G")),
C345="D",
IF(leEsc,"ESCALATE",IF(AY345&gt;=phaseMax,"ESCALATE",IF(AND(AV345&gt;=AW345,I345="READABLE"),"H","D"))),
C345="H",
IF(AY345&gt;=phaseMax,"ESCALATE",IF(OR(I345="SAME",I345="CANT_TELL",AD345&lt;axisTol),"I","H")),
C345="I",
IF(AY345&gt;=phaseMax,"ESCALATE",IF(AX345&gt;=powerSameN,"J","I")),
C345="J",
IF(AY345&gt;=phaseMax,"ESCALATE",IF(OR(AX345&gt;=duoEqualN,BB345&gt;=duoMax),"K","J")),
C345="K",
IF(AY345&gt;=phaseMax,"ESCALATE",IF(AX345&gt;=binoSameN,IF(XLOOKUP($B345,Derived_Variables!$A:$A,Derived_Variables!$AJ:$AJ,FALSE)=TRUE,"P","END"),"K")),
C345="P",
IF(AY345&gt;=phaseMax,"ESCALATE",IF(OR(I345="READABLE",I345="SAME"),"Q","P")),
C345="Q",
IF(AY345&gt;=phaseMax,"ESCALATE",IF(OR(I345="READABLE",I345="SAME"),"R","Q")),
C345="R",
IF(AY345&gt;=phaseMax,"ESCALATE",IF(OR(I345=nearTarget,I345="SAME"),"END","R")),
TRUE,"END"
)))</f>
        <v/>
      </c>
      <c r="BD345" s="28" t="b">
        <f t="shared" si="19"/>
        <v>0</v>
      </c>
    </row>
    <row r="346" ht="15.75" customHeight="1">
      <c r="A346" s="28">
        <f t="shared" si="3"/>
        <v>345</v>
      </c>
      <c r="B346" s="28">
        <f t="shared" si="4"/>
        <v>6</v>
      </c>
      <c r="C346" s="28" t="str">
        <f t="shared" si="5"/>
        <v/>
      </c>
      <c r="D346" s="28" t="str">
        <f t="array" ref="D346">IF($I345="","",XLOOKUP(C346,FSM_State_Map!A:A,FSM_State_Map!B:B,""))</f>
        <v/>
      </c>
      <c r="E346" s="28" t="str">
        <f t="array" ref="E346">IF($I345="","",XLOOKUP(C346,FSM_State_Map!A:A,FSM_State_Map!C:C,""))</f>
        <v/>
      </c>
      <c r="F346" s="28" t="str">
        <f t="array" ref="F346">IF($I345="","",XLOOKUP(E346,Phase_UI_Map!A:A,Phase_UI_Map!B:B,""))</f>
        <v/>
      </c>
      <c r="G346" s="28" t="str">
        <f t="array" ref="G346">IF($I345="","",XLOOKUP(E346,Phase_UI_Map!A:A,Phase_UI_Map!C:C,""))</f>
        <v/>
      </c>
      <c r="H346" s="28" t="str">
        <f t="array" ref="H346">IF($I345="","",XLOOKUP(E346,Phase_UI_Map!A:A,Phase_UI_Map!D:D,""))</f>
        <v/>
      </c>
      <c r="I346" s="29"/>
      <c r="J346" s="28" t="str">
        <f>IFERROR(__xludf.DUMMYFUNCTION("IF($I345="""","""",IFERROR(INDEX(FILTER(Response_Lists!$B:$B,Response_Lists!$A:$A=$H346),1),""""))"),"")</f>
        <v/>
      </c>
      <c r="K346" s="28" t="str">
        <f>IFERROR(__xludf.DUMMYFUNCTION("IF($I345="""","""",IFERROR(INDEX(FILTER(Response_Lists!$B:$B,Response_Lists!$A:$A=$H346),2),""""))"),"")</f>
        <v/>
      </c>
      <c r="L346" s="28" t="str">
        <f>IFERROR(__xludf.DUMMYFUNCTION("IF($I345="""","""",IFERROR(INDEX(FILTER(Response_Lists!$B:$B,Response_Lists!$A:$A=$H346),3),""""))"),"")</f>
        <v/>
      </c>
      <c r="M346" s="28" t="str">
        <f>IFERROR(__xludf.DUMMYFUNCTION("IF($I345="""","""",IFERROR(INDEX(FILTER(Response_Lists!$B:$B,Response_Lists!$A:$A=$H346),4),""""))"),"")</f>
        <v/>
      </c>
      <c r="N346" s="28" t="str">
        <f>IFERROR(__xludf.DUMMYFUNCTION("IF($I345="""","""",IFERROR(INDEX(FILTER(Response_Lists!$B:$B,Response_Lists!$A:$A=$H346),5),""""))"),"")</f>
        <v/>
      </c>
      <c r="O346" s="28" t="str">
        <f>IFERROR(__xludf.DUMMYFUNCTION("IF($I345="""","""",IFERROR(INDEX(FILTER(Response_Lists!$B:$B,Response_Lists!$A:$A=$H346),6),""""))"),"")</f>
        <v/>
      </c>
      <c r="P346" s="28" t="str">
        <f t="shared" si="6"/>
        <v/>
      </c>
      <c r="Q346" s="28" t="str">
        <f t="array" ref="Q346">IF($I345="","",XLOOKUP(C346,FSM_State_Map!A:A,FSM_State_Map!D:D,""))</f>
        <v/>
      </c>
      <c r="R346" s="28" t="str">
        <f t="shared" si="7"/>
        <v/>
      </c>
      <c r="S346" s="28" t="str">
        <f t="array" ref="S346">IF($I345="","",
IF(
  AND(C346="B",C345&lt;&gt;"B"),
  XLOOKUP($B346,Derived_Variables!$A:$A,Derived_Variables!$K:$K,0)
  + XLOOKUP($B346,Derived_Variables!$A:$A,Derived_Variables!$AE:$AE,0),
  S345+AM345
))</f>
        <v/>
      </c>
      <c r="T346" s="28" t="str">
        <f t="shared" ref="T346:U346" si="702">IF($I345="","",T345+AN345)</f>
        <v/>
      </c>
      <c r="U346" s="28" t="str">
        <f t="shared" si="702"/>
        <v/>
      </c>
      <c r="V346" s="28" t="str">
        <f t="array" ref="V346">IF($I345="","",
IF(
  AND(C346="D",C345&lt;&gt;"D"),
  XLOOKUP($B346,Derived_Variables!$A:$A,Derived_Variables!$N:$N,0)
  + XLOOKUP($B346,Derived_Variables!$A:$A,Derived_Variables!$AE:$AE,0),
  V345+AP345
))</f>
        <v/>
      </c>
      <c r="W346" s="28" t="str">
        <f t="shared" ref="W346:X346" si="703">IF($I345="","",W345+AQ345)</f>
        <v/>
      </c>
      <c r="X346" s="28" t="str">
        <f t="shared" si="703"/>
        <v/>
      </c>
      <c r="Y346" s="28" t="str">
        <f t="array" ref="Y346">IF($I345="","",IF(AND(C346="P",C345&lt;&gt;"P"),IFERROR(XLOOKUP($B346,Lenso_Input!$A:$A,Lenso_Input!$E:$E,0),0),Y345+AS345))</f>
        <v/>
      </c>
      <c r="Z346" s="28" t="str">
        <f t="array" ref="Z346">IF($I345="","",IF(AND(C346="Q",C345&lt;&gt;"Q"),IFERROR(XLOOKUP($B346,Lenso_Input!$A:$A,Lenso_Input!$I:$I,0),0),Z345+AT345))</f>
        <v/>
      </c>
      <c r="AA346" s="28" t="str">
        <f t="array" ref="AA346">IF($I345="","",IF(XLOOKUP($B346,Derived_Variables!$A:$A,Derived_Variables!$R:$R,"6/6_target")="6/6_target","20_20_20","40_30_25"))</f>
        <v/>
      </c>
      <c r="AB346" s="28" t="str">
        <f t="array" ref="AB346">IF($I345="","",XLOOKUP(LOWER(XLOOKUP($B346,Derived_Variables!$A:$A,Derived_Variables!$T:$T,"Standard"))&amp;"_sph_step",Calibration!$B:$B,Calibration!$C:$C,0.25))</f>
        <v/>
      </c>
      <c r="AC346" s="28" t="str">
        <f t="array" ref="AC346">IF($I345="","",XLOOKUP(LOWER(XLOOKUP($B346,Derived_Variables!$A:$A,Derived_Variables!$T:$T,"Standard"))&amp;"_cyl_step",Calibration!$B:$B,Calibration!$C:$C,0.25))</f>
        <v/>
      </c>
      <c r="AD346" s="28" t="str">
        <f t="array" ref="AD346">IF($I345="","",IF(OR(C346="E",C346="H"),LET(startStep,XLOOKUP("axis_start_step",Calibration!$B:$B,Calibration!$C:$C,5),step1,XLOOKUP("axis_reversal_step_1",Calibration!$B:$B,Calibration!$C:$C,3),step2,XLOOKUP("axis_reversal_step_2",Calibration!$B:$B,Calibration!$C:$C,1),IF(OR(C345&lt;&gt;C346,AZ346="",AZ346="SAME",AZ346="CANT_TELL",I346="",I346="SAME",I346="CANT_TELL"),startStep,IF(OR(AND(AZ346="BETTER_1",I346="BETTER_2"),AND(AZ346="BETTER_2",I346="BETTER_1")),IF(AD345&gt;step1,step1,step2),AD345))),0))</f>
        <v/>
      </c>
      <c r="AE346" s="28" t="str">
        <f t="array" ref="AE346">IF($I345="","",XLOOKUP($B346,Derived_Variables!$A:$A,Derived_Variables!$AD:$AD,"No_Fog"))</f>
        <v/>
      </c>
      <c r="AF346" s="28" t="str">
        <f t="array" ref="AF346">IF($I345="","",XLOOKUP($B346,Derived_Variables!$A:$A,Derived_Variables!$AE:$AE,0))</f>
        <v/>
      </c>
      <c r="AG346" s="28" t="str">
        <f t="array" ref="AG346">IF($I345="","",XLOOKUP($B346,Derived_Variables!$A:$A,Derived_Variables!$AF:$AF,""))</f>
        <v/>
      </c>
      <c r="AH346" s="28" t="str">
        <f t="array" ref="AH346">IF($I345="","",XLOOKUP($B346,Derived_Variables!$A:$A,Derived_Variables!$AG:$AG,""))</f>
        <v/>
      </c>
      <c r="AI346" s="28" t="str">
        <f t="array" ref="AI346">IF($I345="","",XLOOKUP($B346,Derived_Variables!$A:$A,Derived_Variables!$AC:$AC,"Medium"))</f>
        <v/>
      </c>
      <c r="AJ346" s="28" t="str">
        <f t="array" ref="AJ346">IF($I345="","",XLOOKUP($B346,Derived_Variables!$A:$A,Derived_Variables!$Y:$Y,FALSE))</f>
        <v/>
      </c>
      <c r="AK346" s="28" t="str">
        <f t="array" ref="AK346">IF($I345="","",XLOOKUP($B346,Derived_Variables!$A:$A,Derived_Variables!$AA:$AA,"Normal"))</f>
        <v/>
      </c>
      <c r="AL346" s="28" t="str">
        <f t="array" ref="AL346">IF($I345="","",XLOOKUP($B346,Derived_Variables!$A:$A,Derived_Variables!$AB:$AB,"Normal"))</f>
        <v/>
      </c>
      <c r="AM346" s="28" t="str">
        <f t="array" ref="AM346">IF($I346="","",IFS(C346="B",IF(OR(I346="NOT_READABLE",I346="BLURRY"),-AB346,0),C346="G",IFS(I346="RED_CLEARER",XLOOKUP("duochrome_red_step",Calibration!$B:$B,Calibration!$C:$C,-0.25),I346="GREEN_CLEARER",XLOOKUP("duochrome_green_step",Calibration!$B:$B,Calibration!$C:$C,0.25),I346="EQUAL",IF(XLOOKUP($B346,Derived_Variables!$A:$A,Derived_Variables!$S:$S,"Neutral")="Undercorrect",XLOOKUP("undercorrect_step",Calibration!$B:$B,Calibration!$C:$C,0.25),IF(XLOOKUP($B346,Derived_Variables!$A:$A,Derived_Variables!$S:$S,"Neutral")="Overcorrect",-XLOOKUP("overcorrect_step",Calibration!$B:$B,Calibration!$C:$C,0.25),0)),TRUE,0),C346="K",IF(I346="TOP_CLEARER",XLOOKUP("bino_balance_step",Calibration!$B:$B,Calibration!$C:$C,0.25),0),TRUE,0))</f>
        <v/>
      </c>
      <c r="AN346" s="28" t="str">
        <f t="shared" si="10"/>
        <v/>
      </c>
      <c r="AO346" s="28" t="str">
        <f t="shared" si="11"/>
        <v/>
      </c>
      <c r="AP346" s="28" t="str">
        <f t="array" ref="AP346">IF($I346="","",IFS(C346="D",IF(OR(I346="NOT_READABLE",I346="BLURRY"),-AB346,0),C346="J",IFS(I346="RED_CLEARER",XLOOKUP("duochrome_red_step",Calibration!$B:$B,Calibration!$C:$C,-0.25),I346="GREEN_CLEARER",XLOOKUP("duochrome_green_step",Calibration!$B:$B,Calibration!$C:$C,0.25),I346="EQUAL",IF(XLOOKUP($B346,Derived_Variables!$A:$A,Derived_Variables!$S:$S,"Neutral")="Undercorrect",XLOOKUP("undercorrect_step",Calibration!$B:$B,Calibration!$C:$C,0.25),IF(XLOOKUP($B346,Derived_Variables!$A:$A,Derived_Variables!$S:$S,"Neutral")="Overcorrect",-XLOOKUP("overcorrect_step",Calibration!$B:$B,Calibration!$C:$C,0.25),0)),TRUE,0),C346="K",IF(I346="BOTTOM_CLEARER",XLOOKUP("bino_balance_step",Calibration!$B:$B,Calibration!$C:$C,0.25),0),TRUE,0))</f>
        <v/>
      </c>
      <c r="AQ346" s="28" t="str">
        <f t="shared" si="12"/>
        <v/>
      </c>
      <c r="AR346" s="28" t="str">
        <f t="shared" si="13"/>
        <v/>
      </c>
      <c r="AS346" s="28" t="str">
        <f t="array" ref="AS346">IF($I346="","",IF(C346="P",IF(OR(I346="NOT_READABLE",I346="BLURRY"),XLOOKUP("near_add_step",Calibration!$B:$B,Calibration!$C:$C,0.25),0),IF(C346="R",IF(I346="NOT_CLEAR",XLOOKUP("near_add_step",Calibration!$B:$B,Calibration!$C:$C,0.25),0),0)))</f>
        <v/>
      </c>
      <c r="AT346" s="28" t="str">
        <f t="array" ref="AT346">IF($I346="","",IF(C346="Q",IF(OR(I346="NOT_READABLE",I346="BLURRY"),XLOOKUP("near_add_step",Calibration!$B:$B,Calibration!$C:$C,0.25),0),IF(C346="R",IF(I346="NOT_CLEAR",XLOOKUP("near_add_step",Calibration!$B:$B,Calibration!$C:$C,0.25),0),0)))</f>
        <v/>
      </c>
      <c r="AU346" s="28" t="str">
        <f t="array" ref="AU346">IF($I346="","",IF(G346="SNELLEN_FEET",IF(I346="READABLE",IFERROR(XLOOKUP(XLOOKUP(R346,Chart_Scale_Distance!B:B,Chart_Scale_Distance!A:A)+1,Chart_Scale_Distance!A:A,Chart_Scale_Distance!B:B),R346),R346),R346))</f>
        <v/>
      </c>
      <c r="AV346" s="28" t="str">
        <f t="array" ref="AV346">IF($I345="","",IFERROR(XLOOKUP(R346,Chart_Scale_Distance!$B:$B,Chart_Scale_Distance!$A:$A,""),""))</f>
        <v/>
      </c>
      <c r="AW346" s="28" t="str">
        <f t="array" ref="AW346">IF($I345="","",IFERROR(XLOOKUP(AA346,Chart_Scale_Distance!$B:$B,Chart_Scale_Distance!$A:$A,""),""))</f>
        <v/>
      </c>
      <c r="AX346" s="28" t="str">
        <f t="shared" si="14"/>
        <v/>
      </c>
      <c r="AY346" s="28" t="str">
        <f t="shared" si="15"/>
        <v/>
      </c>
      <c r="AZ346" s="28" t="str">
        <f t="shared" si="16"/>
        <v/>
      </c>
      <c r="BA346" s="28" t="str">
        <f t="shared" si="17"/>
        <v/>
      </c>
      <c r="BB346" s="28" t="str">
        <f t="shared" si="18"/>
        <v/>
      </c>
      <c r="BC346" s="28" t="str">
        <f t="array" ref="BC346">IF($I346="","",LET(
conf,AI346,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duoMax,XLOOKUP($B346,Derived_Variables!$A:$A,Derived_Variables!$AI:$AI,4),
axisTol,XLOOKUP($B346,Derived_Variables!$A:$A,Derived_Variables!$W:$W,1),
maxStart,XLOOKUP($B346,Derived_Variables!$A:$A,Derived_Variables!$U:$U,1.25),
maxAR,XLOOKUP($B346,Derived_Variables!$A:$A,Derived_Variables!$V:$V,3),
anom,XLOOKUP($B346,Derived_Variables!$A:$A,Derived_Variables!$Z:$Z,FALSE),
reStart,XLOOKUP($B346,Derived_Variables!$A:$A,Derived_Variables!$K:$K,0),
leStart,XLOOKUP($B346,Derived_Variables!$A:$A,Derived_Variables!$N:$N,0),
reAR,XLOOKUP($B346,AR_Input!$A:$A,AR_Input!$B:$B,reStart),
leAR,XLOOKUP($B346,AR_Input!$A:$A,AR_Input!$E:$E,leStart),
reEsc,AND(anom,OR(ABS((S346+AM346)-reStart)&gt;maxStart,ABS((S346+AM346)-reAR)&gt;maxAR)),
leEsc,AND(anom,OR(ABS((V346+AP346)-leStart)&gt;maxStart,ABS((V346+AP346)-leAR)&gt;maxAR)),
phaseMax,IFS(
 AK346="Fast",
   IFS(
     OR(C346="B",C346="D"),XLOOKUP("timeout_coarse_fast",Calibration!$B:$B,Calibration!$C:$C,24),
     OR(C346="E",C346="F",C346="H",C346="I"),XLOOKUP("timeout_jcc_fast",Calibration!$B:$B,Calibration!$C:$C,10),
     OR(C346="G",C346="J"),XLOOKUP("timeout_duochrome_fast",Calibration!$B:$B,Calibration!$C:$C,8),
     C346="K",XLOOKUP("timeout_bino_fast",Calibration!$B:$B,Calibration!$C:$C,10),
     OR(C346="P",C346="Q",C346="R"),XLOOKUP("timeout_near_fast",Calibration!$B:$B,Calibration!$C:$C,16),
     TRUE,XLOOKUP("timeout_coarse_fast",Calibration!$B:$B,Calibration!$C:$C,24)
   ),
 AK346="Normal",
   IFS(
     OR(C346="B",C346="D"),XLOOKUP("timeout_coarse_normal",Calibration!$B:$B,Calibration!$C:$C,36),
     OR(C346="E",C346="F",C346="H",C346="I"),XLOOKUP("timeout_jcc_normal",Calibration!$B:$B,Calibration!$C:$C,14),
     OR(C346="G",C346="J"),XLOOKUP("timeout_duochrome_normal",Calibration!$B:$B,Calibration!$C:$C,10),
     C346="K",XLOOKUP("timeout_bino_normal",Calibration!$B:$B,Calibration!$C:$C,14),
     OR(C346="P",C346="Q",C346="R"),XLOOKUP("timeout_near_normal",Calibration!$B:$B,Calibration!$C:$C,22),
     TRUE,XLOOKUP("timeout_coarse_normal",Calibration!$B:$B,Calibration!$C:$C,36)
   ),
 TRUE,
   IFS(
     OR(C346="B",C346="D"),XLOOKUP("timeout_coarse_slow",Calibration!$B:$B,Calibration!$C:$C,48),
     OR(C346="E",C346="F",C346="H",C346="I"),XLOOKUP("timeout_jcc_slow",Calibration!$B:$B,Calibration!$C:$C,18),
     OR(C346="G",C346="J"),XLOOKUP("timeout_duochrome_slow",Calibration!$B:$B,Calibration!$C:$C,12),
     C346="K",XLOOKUP("timeout_bino_slow",Calibration!$B:$B,Calibration!$C:$C,18),
     OR(C346="P",C346="Q",C346="R"),XLOOKUP("timeout_near_slow",Calibration!$B:$B,Calibration!$C:$C,28),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AJ346=TRUE,"ESCALATE",
C346="A",
IF(OR(I346="NOT_READABLE",I346="BLURRY",AND(R346="20_20_20",I346="READABLE")),"B","A"),
C346="B",
IF(reEsc,"ESCALATE",IF(AY346&gt;=phaseMax,"ESCALATE",IF(AND(AV346&gt;=AW346,I346="READABLE"),"E","B"))),
C346="E",
IF(AY346&gt;=phaseMax,"ESCALATE",IF(OR(I346="SAME",I346="CANT_TELL",AD346&lt;axisTol),"F","E")),
C346="F",
IF(AY346&gt;=phaseMax,"ESCALATE",IF(AX346&gt;=powerSameN,"G","F")),
C346="G",
IF(AY346&gt;=phaseMax,"ESCALATE",IF(OR(AX346&gt;=duoEqualN,BB346&gt;=duoMax),"D","G")),
C346="D",
IF(leEsc,"ESCALATE",IF(AY346&gt;=phaseMax,"ESCALATE",IF(AND(AV346&gt;=AW346,I346="READABLE"),"H","D"))),
C346="H",
IF(AY346&gt;=phaseMax,"ESCALATE",IF(OR(I346="SAME",I346="CANT_TELL",AD346&lt;axisTol),"I","H")),
C346="I",
IF(AY346&gt;=phaseMax,"ESCALATE",IF(AX346&gt;=powerSameN,"J","I")),
C346="J",
IF(AY346&gt;=phaseMax,"ESCALATE",IF(OR(AX346&gt;=duoEqualN,BB346&gt;=duoMax),"K","J")),
C346="K",
IF(AY346&gt;=phaseMax,"ESCALATE",IF(AX346&gt;=binoSameN,IF(XLOOKUP($B346,Derived_Variables!$A:$A,Derived_Variables!$AJ:$AJ,FALSE)=TRUE,"P","END"),"K")),
C346="P",
IF(AY346&gt;=phaseMax,"ESCALATE",IF(OR(I346="READABLE",I346="SAME"),"Q","P")),
C346="Q",
IF(AY346&gt;=phaseMax,"ESCALATE",IF(OR(I346="READABLE",I346="SAME"),"R","Q")),
C346="R",
IF(AY346&gt;=phaseMax,"ESCALATE",IF(OR(I346=nearTarget,I346="SAME"),"END","R")),
TRUE,"END"
)))</f>
        <v/>
      </c>
      <c r="BD346" s="28" t="b">
        <f t="shared" si="19"/>
        <v>0</v>
      </c>
    </row>
    <row r="347" ht="15.75" customHeight="1">
      <c r="A347" s="28">
        <f t="shared" si="3"/>
        <v>346</v>
      </c>
      <c r="B347" s="28">
        <f t="shared" si="4"/>
        <v>6</v>
      </c>
      <c r="C347" s="28" t="str">
        <f t="shared" si="5"/>
        <v/>
      </c>
      <c r="D347" s="28" t="str">
        <f t="array" ref="D347">IF($I346="","",XLOOKUP(C347,FSM_State_Map!A:A,FSM_State_Map!B:B,""))</f>
        <v/>
      </c>
      <c r="E347" s="28" t="str">
        <f t="array" ref="E347">IF($I346="","",XLOOKUP(C347,FSM_State_Map!A:A,FSM_State_Map!C:C,""))</f>
        <v/>
      </c>
      <c r="F347" s="28" t="str">
        <f t="array" ref="F347">IF($I346="","",XLOOKUP(E347,Phase_UI_Map!A:A,Phase_UI_Map!B:B,""))</f>
        <v/>
      </c>
      <c r="G347" s="28" t="str">
        <f t="array" ref="G347">IF($I346="","",XLOOKUP(E347,Phase_UI_Map!A:A,Phase_UI_Map!C:C,""))</f>
        <v/>
      </c>
      <c r="H347" s="28" t="str">
        <f t="array" ref="H347">IF($I346="","",XLOOKUP(E347,Phase_UI_Map!A:A,Phase_UI_Map!D:D,""))</f>
        <v/>
      </c>
      <c r="I347" s="29"/>
      <c r="J347" s="28" t="str">
        <f>IFERROR(__xludf.DUMMYFUNCTION("IF($I346="""","""",IFERROR(INDEX(FILTER(Response_Lists!$B:$B,Response_Lists!$A:$A=$H347),1),""""))"),"")</f>
        <v/>
      </c>
      <c r="K347" s="28" t="str">
        <f>IFERROR(__xludf.DUMMYFUNCTION("IF($I346="""","""",IFERROR(INDEX(FILTER(Response_Lists!$B:$B,Response_Lists!$A:$A=$H347),2),""""))"),"")</f>
        <v/>
      </c>
      <c r="L347" s="28" t="str">
        <f>IFERROR(__xludf.DUMMYFUNCTION("IF($I346="""","""",IFERROR(INDEX(FILTER(Response_Lists!$B:$B,Response_Lists!$A:$A=$H347),3),""""))"),"")</f>
        <v/>
      </c>
      <c r="M347" s="28" t="str">
        <f>IFERROR(__xludf.DUMMYFUNCTION("IF($I346="""","""",IFERROR(INDEX(FILTER(Response_Lists!$B:$B,Response_Lists!$A:$A=$H347),4),""""))"),"")</f>
        <v/>
      </c>
      <c r="N347" s="28" t="str">
        <f>IFERROR(__xludf.DUMMYFUNCTION("IF($I346="""","""",IFERROR(INDEX(FILTER(Response_Lists!$B:$B,Response_Lists!$A:$A=$H347),5),""""))"),"")</f>
        <v/>
      </c>
      <c r="O347" s="28" t="str">
        <f>IFERROR(__xludf.DUMMYFUNCTION("IF($I346="""","""",IFERROR(INDEX(FILTER(Response_Lists!$B:$B,Response_Lists!$A:$A=$H347),6),""""))"),"")</f>
        <v/>
      </c>
      <c r="P347" s="28" t="str">
        <f t="shared" si="6"/>
        <v/>
      </c>
      <c r="Q347" s="28" t="str">
        <f t="array" ref="Q347">IF($I346="","",XLOOKUP(C347,FSM_State_Map!A:A,FSM_State_Map!D:D,""))</f>
        <v/>
      </c>
      <c r="R347" s="28" t="str">
        <f t="shared" si="7"/>
        <v/>
      </c>
      <c r="S347" s="28" t="str">
        <f t="array" ref="S347">IF($I346="","",
IF(
  AND(C347="B",C346&lt;&gt;"B"),
  XLOOKUP($B347,Derived_Variables!$A:$A,Derived_Variables!$K:$K,0)
  + XLOOKUP($B347,Derived_Variables!$A:$A,Derived_Variables!$AE:$AE,0),
  S346+AM346
))</f>
        <v/>
      </c>
      <c r="T347" s="28" t="str">
        <f t="shared" ref="T347:U347" si="704">IF($I346="","",T346+AN346)</f>
        <v/>
      </c>
      <c r="U347" s="28" t="str">
        <f t="shared" si="704"/>
        <v/>
      </c>
      <c r="V347" s="28" t="str">
        <f t="array" ref="V347">IF($I346="","",
IF(
  AND(C347="D",C346&lt;&gt;"D"),
  XLOOKUP($B347,Derived_Variables!$A:$A,Derived_Variables!$N:$N,0)
  + XLOOKUP($B347,Derived_Variables!$A:$A,Derived_Variables!$AE:$AE,0),
  V346+AP346
))</f>
        <v/>
      </c>
      <c r="W347" s="28" t="str">
        <f t="shared" ref="W347:X347" si="705">IF($I346="","",W346+AQ346)</f>
        <v/>
      </c>
      <c r="X347" s="28" t="str">
        <f t="shared" si="705"/>
        <v/>
      </c>
      <c r="Y347" s="28" t="str">
        <f t="array" ref="Y347">IF($I346="","",IF(AND(C347="P",C346&lt;&gt;"P"),IFERROR(XLOOKUP($B347,Lenso_Input!$A:$A,Lenso_Input!$E:$E,0),0),Y346+AS346))</f>
        <v/>
      </c>
      <c r="Z347" s="28" t="str">
        <f t="array" ref="Z347">IF($I346="","",IF(AND(C347="Q",C346&lt;&gt;"Q"),IFERROR(XLOOKUP($B347,Lenso_Input!$A:$A,Lenso_Input!$I:$I,0),0),Z346+AT346))</f>
        <v/>
      </c>
      <c r="AA347" s="28" t="str">
        <f t="array" ref="AA347">IF($I346="","",IF(XLOOKUP($B347,Derived_Variables!$A:$A,Derived_Variables!$R:$R,"6/6_target")="6/6_target","20_20_20","40_30_25"))</f>
        <v/>
      </c>
      <c r="AB347" s="28" t="str">
        <f t="array" ref="AB347">IF($I346="","",XLOOKUP(LOWER(XLOOKUP($B347,Derived_Variables!$A:$A,Derived_Variables!$T:$T,"Standard"))&amp;"_sph_step",Calibration!$B:$B,Calibration!$C:$C,0.25))</f>
        <v/>
      </c>
      <c r="AC347" s="28" t="str">
        <f t="array" ref="AC347">IF($I346="","",XLOOKUP(LOWER(XLOOKUP($B347,Derived_Variables!$A:$A,Derived_Variables!$T:$T,"Standard"))&amp;"_cyl_step",Calibration!$B:$B,Calibration!$C:$C,0.25))</f>
        <v/>
      </c>
      <c r="AD347" s="28" t="str">
        <f t="array" ref="AD347">IF($I346="","",IF(OR(C347="E",C347="H"),LET(startStep,XLOOKUP("axis_start_step",Calibration!$B:$B,Calibration!$C:$C,5),step1,XLOOKUP("axis_reversal_step_1",Calibration!$B:$B,Calibration!$C:$C,3),step2,XLOOKUP("axis_reversal_step_2",Calibration!$B:$B,Calibration!$C:$C,1),IF(OR(C346&lt;&gt;C347,AZ347="",AZ347="SAME",AZ347="CANT_TELL",I347="",I347="SAME",I347="CANT_TELL"),startStep,IF(OR(AND(AZ347="BETTER_1",I347="BETTER_2"),AND(AZ347="BETTER_2",I347="BETTER_1")),IF(AD346&gt;step1,step1,step2),AD346))),0))</f>
        <v/>
      </c>
      <c r="AE347" s="28" t="str">
        <f t="array" ref="AE347">IF($I346="","",XLOOKUP($B347,Derived_Variables!$A:$A,Derived_Variables!$AD:$AD,"No_Fog"))</f>
        <v/>
      </c>
      <c r="AF347" s="28" t="str">
        <f t="array" ref="AF347">IF($I346="","",XLOOKUP($B347,Derived_Variables!$A:$A,Derived_Variables!$AE:$AE,0))</f>
        <v/>
      </c>
      <c r="AG347" s="28" t="str">
        <f t="array" ref="AG347">IF($I346="","",XLOOKUP($B347,Derived_Variables!$A:$A,Derived_Variables!$AF:$AF,""))</f>
        <v/>
      </c>
      <c r="AH347" s="28" t="str">
        <f t="array" ref="AH347">IF($I346="","",XLOOKUP($B347,Derived_Variables!$A:$A,Derived_Variables!$AG:$AG,""))</f>
        <v/>
      </c>
      <c r="AI347" s="28" t="str">
        <f t="array" ref="AI347">IF($I346="","",XLOOKUP($B347,Derived_Variables!$A:$A,Derived_Variables!$AC:$AC,"Medium"))</f>
        <v/>
      </c>
      <c r="AJ347" s="28" t="str">
        <f t="array" ref="AJ347">IF($I346="","",XLOOKUP($B347,Derived_Variables!$A:$A,Derived_Variables!$Y:$Y,FALSE))</f>
        <v/>
      </c>
      <c r="AK347" s="28" t="str">
        <f t="array" ref="AK347">IF($I346="","",XLOOKUP($B347,Derived_Variables!$A:$A,Derived_Variables!$AA:$AA,"Normal"))</f>
        <v/>
      </c>
      <c r="AL347" s="28" t="str">
        <f t="array" ref="AL347">IF($I346="","",XLOOKUP($B347,Derived_Variables!$A:$A,Derived_Variables!$AB:$AB,"Normal"))</f>
        <v/>
      </c>
      <c r="AM347" s="28" t="str">
        <f t="array" ref="AM347">IF($I347="","",IFS(C347="B",IF(OR(I347="NOT_READABLE",I347="BLURRY"),-AB347,0),C347="G",IFS(I347="RED_CLEARER",XLOOKUP("duochrome_red_step",Calibration!$B:$B,Calibration!$C:$C,-0.25),I347="GREEN_CLEARER",XLOOKUP("duochrome_green_step",Calibration!$B:$B,Calibration!$C:$C,0.25),I347="EQUAL",IF(XLOOKUP($B347,Derived_Variables!$A:$A,Derived_Variables!$S:$S,"Neutral")="Undercorrect",XLOOKUP("undercorrect_step",Calibration!$B:$B,Calibration!$C:$C,0.25),IF(XLOOKUP($B347,Derived_Variables!$A:$A,Derived_Variables!$S:$S,"Neutral")="Overcorrect",-XLOOKUP("overcorrect_step",Calibration!$B:$B,Calibration!$C:$C,0.25),0)),TRUE,0),C347="K",IF(I347="TOP_CLEARER",XLOOKUP("bino_balance_step",Calibration!$B:$B,Calibration!$C:$C,0.25),0),TRUE,0))</f>
        <v/>
      </c>
      <c r="AN347" s="28" t="str">
        <f t="shared" si="10"/>
        <v/>
      </c>
      <c r="AO347" s="28" t="str">
        <f t="shared" si="11"/>
        <v/>
      </c>
      <c r="AP347" s="28" t="str">
        <f t="array" ref="AP347">IF($I347="","",IFS(C347="D",IF(OR(I347="NOT_READABLE",I347="BLURRY"),-AB347,0),C347="J",IFS(I347="RED_CLEARER",XLOOKUP("duochrome_red_step",Calibration!$B:$B,Calibration!$C:$C,-0.25),I347="GREEN_CLEARER",XLOOKUP("duochrome_green_step",Calibration!$B:$B,Calibration!$C:$C,0.25),I347="EQUAL",IF(XLOOKUP($B347,Derived_Variables!$A:$A,Derived_Variables!$S:$S,"Neutral")="Undercorrect",XLOOKUP("undercorrect_step",Calibration!$B:$B,Calibration!$C:$C,0.25),IF(XLOOKUP($B347,Derived_Variables!$A:$A,Derived_Variables!$S:$S,"Neutral")="Overcorrect",-XLOOKUP("overcorrect_step",Calibration!$B:$B,Calibration!$C:$C,0.25),0)),TRUE,0),C347="K",IF(I347="BOTTOM_CLEARER",XLOOKUP("bino_balance_step",Calibration!$B:$B,Calibration!$C:$C,0.25),0),TRUE,0))</f>
        <v/>
      </c>
      <c r="AQ347" s="28" t="str">
        <f t="shared" si="12"/>
        <v/>
      </c>
      <c r="AR347" s="28" t="str">
        <f t="shared" si="13"/>
        <v/>
      </c>
      <c r="AS347" s="28" t="str">
        <f t="array" ref="AS347">IF($I347="","",IF(C347="P",IF(OR(I347="NOT_READABLE",I347="BLURRY"),XLOOKUP("near_add_step",Calibration!$B:$B,Calibration!$C:$C,0.25),0),IF(C347="R",IF(I347="NOT_CLEAR",XLOOKUP("near_add_step",Calibration!$B:$B,Calibration!$C:$C,0.25),0),0)))</f>
        <v/>
      </c>
      <c r="AT347" s="28" t="str">
        <f t="array" ref="AT347">IF($I347="","",IF(C347="Q",IF(OR(I347="NOT_READABLE",I347="BLURRY"),XLOOKUP("near_add_step",Calibration!$B:$B,Calibration!$C:$C,0.25),0),IF(C347="R",IF(I347="NOT_CLEAR",XLOOKUP("near_add_step",Calibration!$B:$B,Calibration!$C:$C,0.25),0),0)))</f>
        <v/>
      </c>
      <c r="AU347" s="28" t="str">
        <f t="array" ref="AU347">IF($I347="","",IF(G347="SNELLEN_FEET",IF(I347="READABLE",IFERROR(XLOOKUP(XLOOKUP(R347,Chart_Scale_Distance!B:B,Chart_Scale_Distance!A:A)+1,Chart_Scale_Distance!A:A,Chart_Scale_Distance!B:B),R347),R347),R347))</f>
        <v/>
      </c>
      <c r="AV347" s="28" t="str">
        <f t="array" ref="AV347">IF($I346="","",IFERROR(XLOOKUP(R347,Chart_Scale_Distance!$B:$B,Chart_Scale_Distance!$A:$A,""),""))</f>
        <v/>
      </c>
      <c r="AW347" s="28" t="str">
        <f t="array" ref="AW347">IF($I346="","",IFERROR(XLOOKUP(AA347,Chart_Scale_Distance!$B:$B,Chart_Scale_Distance!$A:$A,""),""))</f>
        <v/>
      </c>
      <c r="AX347" s="28" t="str">
        <f t="shared" si="14"/>
        <v/>
      </c>
      <c r="AY347" s="28" t="str">
        <f t="shared" si="15"/>
        <v/>
      </c>
      <c r="AZ347" s="28" t="str">
        <f t="shared" si="16"/>
        <v/>
      </c>
      <c r="BA347" s="28" t="str">
        <f t="shared" si="17"/>
        <v/>
      </c>
      <c r="BB347" s="28" t="str">
        <f t="shared" si="18"/>
        <v/>
      </c>
      <c r="BC347" s="28" t="str">
        <f t="array" ref="BC347">IF($I347="","",LET(
conf,AI347,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duoMax,XLOOKUP($B347,Derived_Variables!$A:$A,Derived_Variables!$AI:$AI,4),
axisTol,XLOOKUP($B347,Derived_Variables!$A:$A,Derived_Variables!$W:$W,1),
maxStart,XLOOKUP($B347,Derived_Variables!$A:$A,Derived_Variables!$U:$U,1.25),
maxAR,XLOOKUP($B347,Derived_Variables!$A:$A,Derived_Variables!$V:$V,3),
anom,XLOOKUP($B347,Derived_Variables!$A:$A,Derived_Variables!$Z:$Z,FALSE),
reStart,XLOOKUP($B347,Derived_Variables!$A:$A,Derived_Variables!$K:$K,0),
leStart,XLOOKUP($B347,Derived_Variables!$A:$A,Derived_Variables!$N:$N,0),
reAR,XLOOKUP($B347,AR_Input!$A:$A,AR_Input!$B:$B,reStart),
leAR,XLOOKUP($B347,AR_Input!$A:$A,AR_Input!$E:$E,leStart),
reEsc,AND(anom,OR(ABS((S347+AM347)-reStart)&gt;maxStart,ABS((S347+AM347)-reAR)&gt;maxAR)),
leEsc,AND(anom,OR(ABS((V347+AP347)-leStart)&gt;maxStart,ABS((V347+AP347)-leAR)&gt;maxAR)),
phaseMax,IFS(
 AK347="Fast",
   IFS(
     OR(C347="B",C347="D"),XLOOKUP("timeout_coarse_fast",Calibration!$B:$B,Calibration!$C:$C,24),
     OR(C347="E",C347="F",C347="H",C347="I"),XLOOKUP("timeout_jcc_fast",Calibration!$B:$B,Calibration!$C:$C,10),
     OR(C347="G",C347="J"),XLOOKUP("timeout_duochrome_fast",Calibration!$B:$B,Calibration!$C:$C,8),
     C347="K",XLOOKUP("timeout_bino_fast",Calibration!$B:$B,Calibration!$C:$C,10),
     OR(C347="P",C347="Q",C347="R"),XLOOKUP("timeout_near_fast",Calibration!$B:$B,Calibration!$C:$C,16),
     TRUE,XLOOKUP("timeout_coarse_fast",Calibration!$B:$B,Calibration!$C:$C,24)
   ),
 AK347="Normal",
   IFS(
     OR(C347="B",C347="D"),XLOOKUP("timeout_coarse_normal",Calibration!$B:$B,Calibration!$C:$C,36),
     OR(C347="E",C347="F",C347="H",C347="I"),XLOOKUP("timeout_jcc_normal",Calibration!$B:$B,Calibration!$C:$C,14),
     OR(C347="G",C347="J"),XLOOKUP("timeout_duochrome_normal",Calibration!$B:$B,Calibration!$C:$C,10),
     C347="K",XLOOKUP("timeout_bino_normal",Calibration!$B:$B,Calibration!$C:$C,14),
     OR(C347="P",C347="Q",C347="R"),XLOOKUP("timeout_near_normal",Calibration!$B:$B,Calibration!$C:$C,22),
     TRUE,XLOOKUP("timeout_coarse_normal",Calibration!$B:$B,Calibration!$C:$C,36)
   ),
 TRUE,
   IFS(
     OR(C347="B",C347="D"),XLOOKUP("timeout_coarse_slow",Calibration!$B:$B,Calibration!$C:$C,48),
     OR(C347="E",C347="F",C347="H",C347="I"),XLOOKUP("timeout_jcc_slow",Calibration!$B:$B,Calibration!$C:$C,18),
     OR(C347="G",C347="J"),XLOOKUP("timeout_duochrome_slow",Calibration!$B:$B,Calibration!$C:$C,12),
     C347="K",XLOOKUP("timeout_bino_slow",Calibration!$B:$B,Calibration!$C:$C,18),
     OR(C347="P",C347="Q",C347="R"),XLOOKUP("timeout_near_slow",Calibration!$B:$B,Calibration!$C:$C,28),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AJ347=TRUE,"ESCALATE",
C347="A",
IF(OR(I347="NOT_READABLE",I347="BLURRY",AND(R347="20_20_20",I347="READABLE")),"B","A"),
C347="B",
IF(reEsc,"ESCALATE",IF(AY347&gt;=phaseMax,"ESCALATE",IF(AND(AV347&gt;=AW347,I347="READABLE"),"E","B"))),
C347="E",
IF(AY347&gt;=phaseMax,"ESCALATE",IF(OR(I347="SAME",I347="CANT_TELL",AD347&lt;axisTol),"F","E")),
C347="F",
IF(AY347&gt;=phaseMax,"ESCALATE",IF(AX347&gt;=powerSameN,"G","F")),
C347="G",
IF(AY347&gt;=phaseMax,"ESCALATE",IF(OR(AX347&gt;=duoEqualN,BB347&gt;=duoMax),"D","G")),
C347="D",
IF(leEsc,"ESCALATE",IF(AY347&gt;=phaseMax,"ESCALATE",IF(AND(AV347&gt;=AW347,I347="READABLE"),"H","D"))),
C347="H",
IF(AY347&gt;=phaseMax,"ESCALATE",IF(OR(I347="SAME",I347="CANT_TELL",AD347&lt;axisTol),"I","H")),
C347="I",
IF(AY347&gt;=phaseMax,"ESCALATE",IF(AX347&gt;=powerSameN,"J","I")),
C347="J",
IF(AY347&gt;=phaseMax,"ESCALATE",IF(OR(AX347&gt;=duoEqualN,BB347&gt;=duoMax),"K","J")),
C347="K",
IF(AY347&gt;=phaseMax,"ESCALATE",IF(AX347&gt;=binoSameN,IF(XLOOKUP($B347,Derived_Variables!$A:$A,Derived_Variables!$AJ:$AJ,FALSE)=TRUE,"P","END"),"K")),
C347="P",
IF(AY347&gt;=phaseMax,"ESCALATE",IF(OR(I347="READABLE",I347="SAME"),"Q","P")),
C347="Q",
IF(AY347&gt;=phaseMax,"ESCALATE",IF(OR(I347="READABLE",I347="SAME"),"R","Q")),
C347="R",
IF(AY347&gt;=phaseMax,"ESCALATE",IF(OR(I347=nearTarget,I347="SAME"),"END","R")),
TRUE,"END"
)))</f>
        <v/>
      </c>
      <c r="BD347" s="28" t="b">
        <f t="shared" si="19"/>
        <v>0</v>
      </c>
    </row>
    <row r="348" ht="15.75" customHeight="1">
      <c r="A348" s="28">
        <f t="shared" si="3"/>
        <v>347</v>
      </c>
      <c r="B348" s="28">
        <f t="shared" si="4"/>
        <v>6</v>
      </c>
      <c r="C348" s="28" t="str">
        <f t="shared" si="5"/>
        <v/>
      </c>
      <c r="D348" s="28" t="str">
        <f t="array" ref="D348">IF($I347="","",XLOOKUP(C348,FSM_State_Map!A:A,FSM_State_Map!B:B,""))</f>
        <v/>
      </c>
      <c r="E348" s="28" t="str">
        <f t="array" ref="E348">IF($I347="","",XLOOKUP(C348,FSM_State_Map!A:A,FSM_State_Map!C:C,""))</f>
        <v/>
      </c>
      <c r="F348" s="28" t="str">
        <f t="array" ref="F348">IF($I347="","",XLOOKUP(E348,Phase_UI_Map!A:A,Phase_UI_Map!B:B,""))</f>
        <v/>
      </c>
      <c r="G348" s="28" t="str">
        <f t="array" ref="G348">IF($I347="","",XLOOKUP(E348,Phase_UI_Map!A:A,Phase_UI_Map!C:C,""))</f>
        <v/>
      </c>
      <c r="H348" s="28" t="str">
        <f t="array" ref="H348">IF($I347="","",XLOOKUP(E348,Phase_UI_Map!A:A,Phase_UI_Map!D:D,""))</f>
        <v/>
      </c>
      <c r="I348" s="29"/>
      <c r="J348" s="28" t="str">
        <f>IFERROR(__xludf.DUMMYFUNCTION("IF($I347="""","""",IFERROR(INDEX(FILTER(Response_Lists!$B:$B,Response_Lists!$A:$A=$H348),1),""""))"),"")</f>
        <v/>
      </c>
      <c r="K348" s="28" t="str">
        <f>IFERROR(__xludf.DUMMYFUNCTION("IF($I347="""","""",IFERROR(INDEX(FILTER(Response_Lists!$B:$B,Response_Lists!$A:$A=$H348),2),""""))"),"")</f>
        <v/>
      </c>
      <c r="L348" s="28" t="str">
        <f>IFERROR(__xludf.DUMMYFUNCTION("IF($I347="""","""",IFERROR(INDEX(FILTER(Response_Lists!$B:$B,Response_Lists!$A:$A=$H348),3),""""))"),"")</f>
        <v/>
      </c>
      <c r="M348" s="28" t="str">
        <f>IFERROR(__xludf.DUMMYFUNCTION("IF($I347="""","""",IFERROR(INDEX(FILTER(Response_Lists!$B:$B,Response_Lists!$A:$A=$H348),4),""""))"),"")</f>
        <v/>
      </c>
      <c r="N348" s="28" t="str">
        <f>IFERROR(__xludf.DUMMYFUNCTION("IF($I347="""","""",IFERROR(INDEX(FILTER(Response_Lists!$B:$B,Response_Lists!$A:$A=$H348),5),""""))"),"")</f>
        <v/>
      </c>
      <c r="O348" s="28" t="str">
        <f>IFERROR(__xludf.DUMMYFUNCTION("IF($I347="""","""",IFERROR(INDEX(FILTER(Response_Lists!$B:$B,Response_Lists!$A:$A=$H348),6),""""))"),"")</f>
        <v/>
      </c>
      <c r="P348" s="28" t="str">
        <f t="shared" si="6"/>
        <v/>
      </c>
      <c r="Q348" s="28" t="str">
        <f t="array" ref="Q348">IF($I347="","",XLOOKUP(C348,FSM_State_Map!A:A,FSM_State_Map!D:D,""))</f>
        <v/>
      </c>
      <c r="R348" s="28" t="str">
        <f t="shared" si="7"/>
        <v/>
      </c>
      <c r="S348" s="28" t="str">
        <f t="array" ref="S348">IF($I347="","",
IF(
  AND(C348="B",C347&lt;&gt;"B"),
  XLOOKUP($B348,Derived_Variables!$A:$A,Derived_Variables!$K:$K,0)
  + XLOOKUP($B348,Derived_Variables!$A:$A,Derived_Variables!$AE:$AE,0),
  S347+AM347
))</f>
        <v/>
      </c>
      <c r="T348" s="28" t="str">
        <f t="shared" ref="T348:U348" si="706">IF($I347="","",T347+AN347)</f>
        <v/>
      </c>
      <c r="U348" s="28" t="str">
        <f t="shared" si="706"/>
        <v/>
      </c>
      <c r="V348" s="28" t="str">
        <f t="array" ref="V348">IF($I347="","",
IF(
  AND(C348="D",C347&lt;&gt;"D"),
  XLOOKUP($B348,Derived_Variables!$A:$A,Derived_Variables!$N:$N,0)
  + XLOOKUP($B348,Derived_Variables!$A:$A,Derived_Variables!$AE:$AE,0),
  V347+AP347
))</f>
        <v/>
      </c>
      <c r="W348" s="28" t="str">
        <f t="shared" ref="W348:X348" si="707">IF($I347="","",W347+AQ347)</f>
        <v/>
      </c>
      <c r="X348" s="28" t="str">
        <f t="shared" si="707"/>
        <v/>
      </c>
      <c r="Y348" s="28" t="str">
        <f t="array" ref="Y348">IF($I347="","",IF(AND(C348="P",C347&lt;&gt;"P"),IFERROR(XLOOKUP($B348,Lenso_Input!$A:$A,Lenso_Input!$E:$E,0),0),Y347+AS347))</f>
        <v/>
      </c>
      <c r="Z348" s="28" t="str">
        <f t="array" ref="Z348">IF($I347="","",IF(AND(C348="Q",C347&lt;&gt;"Q"),IFERROR(XLOOKUP($B348,Lenso_Input!$A:$A,Lenso_Input!$I:$I,0),0),Z347+AT347))</f>
        <v/>
      </c>
      <c r="AA348" s="28" t="str">
        <f t="array" ref="AA348">IF($I347="","",IF(XLOOKUP($B348,Derived_Variables!$A:$A,Derived_Variables!$R:$R,"6/6_target")="6/6_target","20_20_20","40_30_25"))</f>
        <v/>
      </c>
      <c r="AB348" s="28" t="str">
        <f t="array" ref="AB348">IF($I347="","",XLOOKUP(LOWER(XLOOKUP($B348,Derived_Variables!$A:$A,Derived_Variables!$T:$T,"Standard"))&amp;"_sph_step",Calibration!$B:$B,Calibration!$C:$C,0.25))</f>
        <v/>
      </c>
      <c r="AC348" s="28" t="str">
        <f t="array" ref="AC348">IF($I347="","",XLOOKUP(LOWER(XLOOKUP($B348,Derived_Variables!$A:$A,Derived_Variables!$T:$T,"Standard"))&amp;"_cyl_step",Calibration!$B:$B,Calibration!$C:$C,0.25))</f>
        <v/>
      </c>
      <c r="AD348" s="28" t="str">
        <f t="array" ref="AD348">IF($I347="","",IF(OR(C348="E",C348="H"),LET(startStep,XLOOKUP("axis_start_step",Calibration!$B:$B,Calibration!$C:$C,5),step1,XLOOKUP("axis_reversal_step_1",Calibration!$B:$B,Calibration!$C:$C,3),step2,XLOOKUP("axis_reversal_step_2",Calibration!$B:$B,Calibration!$C:$C,1),IF(OR(C347&lt;&gt;C348,AZ348="",AZ348="SAME",AZ348="CANT_TELL",I348="",I348="SAME",I348="CANT_TELL"),startStep,IF(OR(AND(AZ348="BETTER_1",I348="BETTER_2"),AND(AZ348="BETTER_2",I348="BETTER_1")),IF(AD347&gt;step1,step1,step2),AD347))),0))</f>
        <v/>
      </c>
      <c r="AE348" s="28" t="str">
        <f t="array" ref="AE348">IF($I347="","",XLOOKUP($B348,Derived_Variables!$A:$A,Derived_Variables!$AD:$AD,"No_Fog"))</f>
        <v/>
      </c>
      <c r="AF348" s="28" t="str">
        <f t="array" ref="AF348">IF($I347="","",XLOOKUP($B348,Derived_Variables!$A:$A,Derived_Variables!$AE:$AE,0))</f>
        <v/>
      </c>
      <c r="AG348" s="28" t="str">
        <f t="array" ref="AG348">IF($I347="","",XLOOKUP($B348,Derived_Variables!$A:$A,Derived_Variables!$AF:$AF,""))</f>
        <v/>
      </c>
      <c r="AH348" s="28" t="str">
        <f t="array" ref="AH348">IF($I347="","",XLOOKUP($B348,Derived_Variables!$A:$A,Derived_Variables!$AG:$AG,""))</f>
        <v/>
      </c>
      <c r="AI348" s="28" t="str">
        <f t="array" ref="AI348">IF($I347="","",XLOOKUP($B348,Derived_Variables!$A:$A,Derived_Variables!$AC:$AC,"Medium"))</f>
        <v/>
      </c>
      <c r="AJ348" s="28" t="str">
        <f t="array" ref="AJ348">IF($I347="","",XLOOKUP($B348,Derived_Variables!$A:$A,Derived_Variables!$Y:$Y,FALSE))</f>
        <v/>
      </c>
      <c r="AK348" s="28" t="str">
        <f t="array" ref="AK348">IF($I347="","",XLOOKUP($B348,Derived_Variables!$A:$A,Derived_Variables!$AA:$AA,"Normal"))</f>
        <v/>
      </c>
      <c r="AL348" s="28" t="str">
        <f t="array" ref="AL348">IF($I347="","",XLOOKUP($B348,Derived_Variables!$A:$A,Derived_Variables!$AB:$AB,"Normal"))</f>
        <v/>
      </c>
      <c r="AM348" s="28" t="str">
        <f t="array" ref="AM348">IF($I348="","",IFS(C348="B",IF(OR(I348="NOT_READABLE",I348="BLURRY"),-AB348,0),C348="G",IFS(I348="RED_CLEARER",XLOOKUP("duochrome_red_step",Calibration!$B:$B,Calibration!$C:$C,-0.25),I348="GREEN_CLEARER",XLOOKUP("duochrome_green_step",Calibration!$B:$B,Calibration!$C:$C,0.25),I348="EQUAL",IF(XLOOKUP($B348,Derived_Variables!$A:$A,Derived_Variables!$S:$S,"Neutral")="Undercorrect",XLOOKUP("undercorrect_step",Calibration!$B:$B,Calibration!$C:$C,0.25),IF(XLOOKUP($B348,Derived_Variables!$A:$A,Derived_Variables!$S:$S,"Neutral")="Overcorrect",-XLOOKUP("overcorrect_step",Calibration!$B:$B,Calibration!$C:$C,0.25),0)),TRUE,0),C348="K",IF(I348="TOP_CLEARER",XLOOKUP("bino_balance_step",Calibration!$B:$B,Calibration!$C:$C,0.25),0),TRUE,0))</f>
        <v/>
      </c>
      <c r="AN348" s="28" t="str">
        <f t="shared" si="10"/>
        <v/>
      </c>
      <c r="AO348" s="28" t="str">
        <f t="shared" si="11"/>
        <v/>
      </c>
      <c r="AP348" s="28" t="str">
        <f t="array" ref="AP348">IF($I348="","",IFS(C348="D",IF(OR(I348="NOT_READABLE",I348="BLURRY"),-AB348,0),C348="J",IFS(I348="RED_CLEARER",XLOOKUP("duochrome_red_step",Calibration!$B:$B,Calibration!$C:$C,-0.25),I348="GREEN_CLEARER",XLOOKUP("duochrome_green_step",Calibration!$B:$B,Calibration!$C:$C,0.25),I348="EQUAL",IF(XLOOKUP($B348,Derived_Variables!$A:$A,Derived_Variables!$S:$S,"Neutral")="Undercorrect",XLOOKUP("undercorrect_step",Calibration!$B:$B,Calibration!$C:$C,0.25),IF(XLOOKUP($B348,Derived_Variables!$A:$A,Derived_Variables!$S:$S,"Neutral")="Overcorrect",-XLOOKUP("overcorrect_step",Calibration!$B:$B,Calibration!$C:$C,0.25),0)),TRUE,0),C348="K",IF(I348="BOTTOM_CLEARER",XLOOKUP("bino_balance_step",Calibration!$B:$B,Calibration!$C:$C,0.25),0),TRUE,0))</f>
        <v/>
      </c>
      <c r="AQ348" s="28" t="str">
        <f t="shared" si="12"/>
        <v/>
      </c>
      <c r="AR348" s="28" t="str">
        <f t="shared" si="13"/>
        <v/>
      </c>
      <c r="AS348" s="28" t="str">
        <f t="array" ref="AS348">IF($I348="","",IF(C348="P",IF(OR(I348="NOT_READABLE",I348="BLURRY"),XLOOKUP("near_add_step",Calibration!$B:$B,Calibration!$C:$C,0.25),0),IF(C348="R",IF(I348="NOT_CLEAR",XLOOKUP("near_add_step",Calibration!$B:$B,Calibration!$C:$C,0.25),0),0)))</f>
        <v/>
      </c>
      <c r="AT348" s="28" t="str">
        <f t="array" ref="AT348">IF($I348="","",IF(C348="Q",IF(OR(I348="NOT_READABLE",I348="BLURRY"),XLOOKUP("near_add_step",Calibration!$B:$B,Calibration!$C:$C,0.25),0),IF(C348="R",IF(I348="NOT_CLEAR",XLOOKUP("near_add_step",Calibration!$B:$B,Calibration!$C:$C,0.25),0),0)))</f>
        <v/>
      </c>
      <c r="AU348" s="28" t="str">
        <f t="array" ref="AU348">IF($I348="","",IF(G348="SNELLEN_FEET",IF(I348="READABLE",IFERROR(XLOOKUP(XLOOKUP(R348,Chart_Scale_Distance!B:B,Chart_Scale_Distance!A:A)+1,Chart_Scale_Distance!A:A,Chart_Scale_Distance!B:B),R348),R348),R348))</f>
        <v/>
      </c>
      <c r="AV348" s="28" t="str">
        <f t="array" ref="AV348">IF($I347="","",IFERROR(XLOOKUP(R348,Chart_Scale_Distance!$B:$B,Chart_Scale_Distance!$A:$A,""),""))</f>
        <v/>
      </c>
      <c r="AW348" s="28" t="str">
        <f t="array" ref="AW348">IF($I347="","",IFERROR(XLOOKUP(AA348,Chart_Scale_Distance!$B:$B,Chart_Scale_Distance!$A:$A,""),""))</f>
        <v/>
      </c>
      <c r="AX348" s="28" t="str">
        <f t="shared" si="14"/>
        <v/>
      </c>
      <c r="AY348" s="28" t="str">
        <f t="shared" si="15"/>
        <v/>
      </c>
      <c r="AZ348" s="28" t="str">
        <f t="shared" si="16"/>
        <v/>
      </c>
      <c r="BA348" s="28" t="str">
        <f t="shared" si="17"/>
        <v/>
      </c>
      <c r="BB348" s="28" t="str">
        <f t="shared" si="18"/>
        <v/>
      </c>
      <c r="BC348" s="28" t="str">
        <f t="array" ref="BC348">IF($I348="","",LET(
conf,AI348,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duoMax,XLOOKUP($B348,Derived_Variables!$A:$A,Derived_Variables!$AI:$AI,4),
axisTol,XLOOKUP($B348,Derived_Variables!$A:$A,Derived_Variables!$W:$W,1),
maxStart,XLOOKUP($B348,Derived_Variables!$A:$A,Derived_Variables!$U:$U,1.25),
maxAR,XLOOKUP($B348,Derived_Variables!$A:$A,Derived_Variables!$V:$V,3),
anom,XLOOKUP($B348,Derived_Variables!$A:$A,Derived_Variables!$Z:$Z,FALSE),
reStart,XLOOKUP($B348,Derived_Variables!$A:$A,Derived_Variables!$K:$K,0),
leStart,XLOOKUP($B348,Derived_Variables!$A:$A,Derived_Variables!$N:$N,0),
reAR,XLOOKUP($B348,AR_Input!$A:$A,AR_Input!$B:$B,reStart),
leAR,XLOOKUP($B348,AR_Input!$A:$A,AR_Input!$E:$E,leStart),
reEsc,AND(anom,OR(ABS((S348+AM348)-reStart)&gt;maxStart,ABS((S348+AM348)-reAR)&gt;maxAR)),
leEsc,AND(anom,OR(ABS((V348+AP348)-leStart)&gt;maxStart,ABS((V348+AP348)-leAR)&gt;maxAR)),
phaseMax,IFS(
 AK348="Fast",
   IFS(
     OR(C348="B",C348="D"),XLOOKUP("timeout_coarse_fast",Calibration!$B:$B,Calibration!$C:$C,24),
     OR(C348="E",C348="F",C348="H",C348="I"),XLOOKUP("timeout_jcc_fast",Calibration!$B:$B,Calibration!$C:$C,10),
     OR(C348="G",C348="J"),XLOOKUP("timeout_duochrome_fast",Calibration!$B:$B,Calibration!$C:$C,8),
     C348="K",XLOOKUP("timeout_bino_fast",Calibration!$B:$B,Calibration!$C:$C,10),
     OR(C348="P",C348="Q",C348="R"),XLOOKUP("timeout_near_fast",Calibration!$B:$B,Calibration!$C:$C,16),
     TRUE,XLOOKUP("timeout_coarse_fast",Calibration!$B:$B,Calibration!$C:$C,24)
   ),
 AK348="Normal",
   IFS(
     OR(C348="B",C348="D"),XLOOKUP("timeout_coarse_normal",Calibration!$B:$B,Calibration!$C:$C,36),
     OR(C348="E",C348="F",C348="H",C348="I"),XLOOKUP("timeout_jcc_normal",Calibration!$B:$B,Calibration!$C:$C,14),
     OR(C348="G",C348="J"),XLOOKUP("timeout_duochrome_normal",Calibration!$B:$B,Calibration!$C:$C,10),
     C348="K",XLOOKUP("timeout_bino_normal",Calibration!$B:$B,Calibration!$C:$C,14),
     OR(C348="P",C348="Q",C348="R"),XLOOKUP("timeout_near_normal",Calibration!$B:$B,Calibration!$C:$C,22),
     TRUE,XLOOKUP("timeout_coarse_normal",Calibration!$B:$B,Calibration!$C:$C,36)
   ),
 TRUE,
   IFS(
     OR(C348="B",C348="D"),XLOOKUP("timeout_coarse_slow",Calibration!$B:$B,Calibration!$C:$C,48),
     OR(C348="E",C348="F",C348="H",C348="I"),XLOOKUP("timeout_jcc_slow",Calibration!$B:$B,Calibration!$C:$C,18),
     OR(C348="G",C348="J"),XLOOKUP("timeout_duochrome_slow",Calibration!$B:$B,Calibration!$C:$C,12),
     C348="K",XLOOKUP("timeout_bino_slow",Calibration!$B:$B,Calibration!$C:$C,18),
     OR(C348="P",C348="Q",C348="R"),XLOOKUP("timeout_near_slow",Calibration!$B:$B,Calibration!$C:$C,28),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AJ348=TRUE,"ESCALATE",
C348="A",
IF(OR(I348="NOT_READABLE",I348="BLURRY",AND(R348="20_20_20",I348="READABLE")),"B","A"),
C348="B",
IF(reEsc,"ESCALATE",IF(AY348&gt;=phaseMax,"ESCALATE",IF(AND(AV348&gt;=AW348,I348="READABLE"),"E","B"))),
C348="E",
IF(AY348&gt;=phaseMax,"ESCALATE",IF(OR(I348="SAME",I348="CANT_TELL",AD348&lt;axisTol),"F","E")),
C348="F",
IF(AY348&gt;=phaseMax,"ESCALATE",IF(AX348&gt;=powerSameN,"G","F")),
C348="G",
IF(AY348&gt;=phaseMax,"ESCALATE",IF(OR(AX348&gt;=duoEqualN,BB348&gt;=duoMax),"D","G")),
C348="D",
IF(leEsc,"ESCALATE",IF(AY348&gt;=phaseMax,"ESCALATE",IF(AND(AV348&gt;=AW348,I348="READABLE"),"H","D"))),
C348="H",
IF(AY348&gt;=phaseMax,"ESCALATE",IF(OR(I348="SAME",I348="CANT_TELL",AD348&lt;axisTol),"I","H")),
C348="I",
IF(AY348&gt;=phaseMax,"ESCALATE",IF(AX348&gt;=powerSameN,"J","I")),
C348="J",
IF(AY348&gt;=phaseMax,"ESCALATE",IF(OR(AX348&gt;=duoEqualN,BB348&gt;=duoMax),"K","J")),
C348="K",
IF(AY348&gt;=phaseMax,"ESCALATE",IF(AX348&gt;=binoSameN,IF(XLOOKUP($B348,Derived_Variables!$A:$A,Derived_Variables!$AJ:$AJ,FALSE)=TRUE,"P","END"),"K")),
C348="P",
IF(AY348&gt;=phaseMax,"ESCALATE",IF(OR(I348="READABLE",I348="SAME"),"Q","P")),
C348="Q",
IF(AY348&gt;=phaseMax,"ESCALATE",IF(OR(I348="READABLE",I348="SAME"),"R","Q")),
C348="R",
IF(AY348&gt;=phaseMax,"ESCALATE",IF(OR(I348=nearTarget,I348="SAME"),"END","R")),
TRUE,"END"
)))</f>
        <v/>
      </c>
      <c r="BD348" s="28" t="b">
        <f t="shared" si="19"/>
        <v>0</v>
      </c>
    </row>
    <row r="349" ht="15.75" customHeight="1">
      <c r="A349" s="28">
        <f t="shared" si="3"/>
        <v>348</v>
      </c>
      <c r="B349" s="28">
        <f t="shared" si="4"/>
        <v>6</v>
      </c>
      <c r="C349" s="28" t="str">
        <f t="shared" si="5"/>
        <v/>
      </c>
      <c r="D349" s="28" t="str">
        <f t="array" ref="D349">IF($I348="","",XLOOKUP(C349,FSM_State_Map!A:A,FSM_State_Map!B:B,""))</f>
        <v/>
      </c>
      <c r="E349" s="28" t="str">
        <f t="array" ref="E349">IF($I348="","",XLOOKUP(C349,FSM_State_Map!A:A,FSM_State_Map!C:C,""))</f>
        <v/>
      </c>
      <c r="F349" s="28" t="str">
        <f t="array" ref="F349">IF($I348="","",XLOOKUP(E349,Phase_UI_Map!A:A,Phase_UI_Map!B:B,""))</f>
        <v/>
      </c>
      <c r="G349" s="28" t="str">
        <f t="array" ref="G349">IF($I348="","",XLOOKUP(E349,Phase_UI_Map!A:A,Phase_UI_Map!C:C,""))</f>
        <v/>
      </c>
      <c r="H349" s="28" t="str">
        <f t="array" ref="H349">IF($I348="","",XLOOKUP(E349,Phase_UI_Map!A:A,Phase_UI_Map!D:D,""))</f>
        <v/>
      </c>
      <c r="I349" s="29"/>
      <c r="J349" s="28" t="str">
        <f>IFERROR(__xludf.DUMMYFUNCTION("IF($I348="""","""",IFERROR(INDEX(FILTER(Response_Lists!$B:$B,Response_Lists!$A:$A=$H349),1),""""))"),"")</f>
        <v/>
      </c>
      <c r="K349" s="28" t="str">
        <f>IFERROR(__xludf.DUMMYFUNCTION("IF($I348="""","""",IFERROR(INDEX(FILTER(Response_Lists!$B:$B,Response_Lists!$A:$A=$H349),2),""""))"),"")</f>
        <v/>
      </c>
      <c r="L349" s="28" t="str">
        <f>IFERROR(__xludf.DUMMYFUNCTION("IF($I348="""","""",IFERROR(INDEX(FILTER(Response_Lists!$B:$B,Response_Lists!$A:$A=$H349),3),""""))"),"")</f>
        <v/>
      </c>
      <c r="M349" s="28" t="str">
        <f>IFERROR(__xludf.DUMMYFUNCTION("IF($I348="""","""",IFERROR(INDEX(FILTER(Response_Lists!$B:$B,Response_Lists!$A:$A=$H349),4),""""))"),"")</f>
        <v/>
      </c>
      <c r="N349" s="28" t="str">
        <f>IFERROR(__xludf.DUMMYFUNCTION("IF($I348="""","""",IFERROR(INDEX(FILTER(Response_Lists!$B:$B,Response_Lists!$A:$A=$H349),5),""""))"),"")</f>
        <v/>
      </c>
      <c r="O349" s="28" t="str">
        <f>IFERROR(__xludf.DUMMYFUNCTION("IF($I348="""","""",IFERROR(INDEX(FILTER(Response_Lists!$B:$B,Response_Lists!$A:$A=$H349),6),""""))"),"")</f>
        <v/>
      </c>
      <c r="P349" s="28" t="str">
        <f t="shared" si="6"/>
        <v/>
      </c>
      <c r="Q349" s="28" t="str">
        <f t="array" ref="Q349">IF($I348="","",XLOOKUP(C349,FSM_State_Map!A:A,FSM_State_Map!D:D,""))</f>
        <v/>
      </c>
      <c r="R349" s="28" t="str">
        <f t="shared" si="7"/>
        <v/>
      </c>
      <c r="S349" s="28" t="str">
        <f t="array" ref="S349">IF($I348="","",
IF(
  AND(C349="B",C348&lt;&gt;"B"),
  XLOOKUP($B349,Derived_Variables!$A:$A,Derived_Variables!$K:$K,0)
  + XLOOKUP($B349,Derived_Variables!$A:$A,Derived_Variables!$AE:$AE,0),
  S348+AM348
))</f>
        <v/>
      </c>
      <c r="T349" s="28" t="str">
        <f t="shared" ref="T349:U349" si="708">IF($I348="","",T348+AN348)</f>
        <v/>
      </c>
      <c r="U349" s="28" t="str">
        <f t="shared" si="708"/>
        <v/>
      </c>
      <c r="V349" s="28" t="str">
        <f t="array" ref="V349">IF($I348="","",
IF(
  AND(C349="D",C348&lt;&gt;"D"),
  XLOOKUP($B349,Derived_Variables!$A:$A,Derived_Variables!$N:$N,0)
  + XLOOKUP($B349,Derived_Variables!$A:$A,Derived_Variables!$AE:$AE,0),
  V348+AP348
))</f>
        <v/>
      </c>
      <c r="W349" s="28" t="str">
        <f t="shared" ref="W349:X349" si="709">IF($I348="","",W348+AQ348)</f>
        <v/>
      </c>
      <c r="X349" s="28" t="str">
        <f t="shared" si="709"/>
        <v/>
      </c>
      <c r="Y349" s="28" t="str">
        <f t="array" ref="Y349">IF($I348="","",IF(AND(C349="P",C348&lt;&gt;"P"),IFERROR(XLOOKUP($B349,Lenso_Input!$A:$A,Lenso_Input!$E:$E,0),0),Y348+AS348))</f>
        <v/>
      </c>
      <c r="Z349" s="28" t="str">
        <f t="array" ref="Z349">IF($I348="","",IF(AND(C349="Q",C348&lt;&gt;"Q"),IFERROR(XLOOKUP($B349,Lenso_Input!$A:$A,Lenso_Input!$I:$I,0),0),Z348+AT348))</f>
        <v/>
      </c>
      <c r="AA349" s="28" t="str">
        <f t="array" ref="AA349">IF($I348="","",IF(XLOOKUP($B349,Derived_Variables!$A:$A,Derived_Variables!$R:$R,"6/6_target")="6/6_target","20_20_20","40_30_25"))</f>
        <v/>
      </c>
      <c r="AB349" s="28" t="str">
        <f t="array" ref="AB349">IF($I348="","",XLOOKUP(LOWER(XLOOKUP($B349,Derived_Variables!$A:$A,Derived_Variables!$T:$T,"Standard"))&amp;"_sph_step",Calibration!$B:$B,Calibration!$C:$C,0.25))</f>
        <v/>
      </c>
      <c r="AC349" s="28" t="str">
        <f t="array" ref="AC349">IF($I348="","",XLOOKUP(LOWER(XLOOKUP($B349,Derived_Variables!$A:$A,Derived_Variables!$T:$T,"Standard"))&amp;"_cyl_step",Calibration!$B:$B,Calibration!$C:$C,0.25))</f>
        <v/>
      </c>
      <c r="AD349" s="28" t="str">
        <f t="array" ref="AD349">IF($I348="","",IF(OR(C349="E",C349="H"),LET(startStep,XLOOKUP("axis_start_step",Calibration!$B:$B,Calibration!$C:$C,5),step1,XLOOKUP("axis_reversal_step_1",Calibration!$B:$B,Calibration!$C:$C,3),step2,XLOOKUP("axis_reversal_step_2",Calibration!$B:$B,Calibration!$C:$C,1),IF(OR(C348&lt;&gt;C349,AZ349="",AZ349="SAME",AZ349="CANT_TELL",I349="",I349="SAME",I349="CANT_TELL"),startStep,IF(OR(AND(AZ349="BETTER_1",I349="BETTER_2"),AND(AZ349="BETTER_2",I349="BETTER_1")),IF(AD348&gt;step1,step1,step2),AD348))),0))</f>
        <v/>
      </c>
      <c r="AE349" s="28" t="str">
        <f t="array" ref="AE349">IF($I348="","",XLOOKUP($B349,Derived_Variables!$A:$A,Derived_Variables!$AD:$AD,"No_Fog"))</f>
        <v/>
      </c>
      <c r="AF349" s="28" t="str">
        <f t="array" ref="AF349">IF($I348="","",XLOOKUP($B349,Derived_Variables!$A:$A,Derived_Variables!$AE:$AE,0))</f>
        <v/>
      </c>
      <c r="AG349" s="28" t="str">
        <f t="array" ref="AG349">IF($I348="","",XLOOKUP($B349,Derived_Variables!$A:$A,Derived_Variables!$AF:$AF,""))</f>
        <v/>
      </c>
      <c r="AH349" s="28" t="str">
        <f t="array" ref="AH349">IF($I348="","",XLOOKUP($B349,Derived_Variables!$A:$A,Derived_Variables!$AG:$AG,""))</f>
        <v/>
      </c>
      <c r="AI349" s="28" t="str">
        <f t="array" ref="AI349">IF($I348="","",XLOOKUP($B349,Derived_Variables!$A:$A,Derived_Variables!$AC:$AC,"Medium"))</f>
        <v/>
      </c>
      <c r="AJ349" s="28" t="str">
        <f t="array" ref="AJ349">IF($I348="","",XLOOKUP($B349,Derived_Variables!$A:$A,Derived_Variables!$Y:$Y,FALSE))</f>
        <v/>
      </c>
      <c r="AK349" s="28" t="str">
        <f t="array" ref="AK349">IF($I348="","",XLOOKUP($B349,Derived_Variables!$A:$A,Derived_Variables!$AA:$AA,"Normal"))</f>
        <v/>
      </c>
      <c r="AL349" s="28" t="str">
        <f t="array" ref="AL349">IF($I348="","",XLOOKUP($B349,Derived_Variables!$A:$A,Derived_Variables!$AB:$AB,"Normal"))</f>
        <v/>
      </c>
      <c r="AM349" s="28" t="str">
        <f t="array" ref="AM349">IF($I349="","",IFS(C349="B",IF(OR(I349="NOT_READABLE",I349="BLURRY"),-AB349,0),C349="G",IFS(I349="RED_CLEARER",XLOOKUP("duochrome_red_step",Calibration!$B:$B,Calibration!$C:$C,-0.25),I349="GREEN_CLEARER",XLOOKUP("duochrome_green_step",Calibration!$B:$B,Calibration!$C:$C,0.25),I349="EQUAL",IF(XLOOKUP($B349,Derived_Variables!$A:$A,Derived_Variables!$S:$S,"Neutral")="Undercorrect",XLOOKUP("undercorrect_step",Calibration!$B:$B,Calibration!$C:$C,0.25),IF(XLOOKUP($B349,Derived_Variables!$A:$A,Derived_Variables!$S:$S,"Neutral")="Overcorrect",-XLOOKUP("overcorrect_step",Calibration!$B:$B,Calibration!$C:$C,0.25),0)),TRUE,0),C349="K",IF(I349="TOP_CLEARER",XLOOKUP("bino_balance_step",Calibration!$B:$B,Calibration!$C:$C,0.25),0),TRUE,0))</f>
        <v/>
      </c>
      <c r="AN349" s="28" t="str">
        <f t="shared" si="10"/>
        <v/>
      </c>
      <c r="AO349" s="28" t="str">
        <f t="shared" si="11"/>
        <v/>
      </c>
      <c r="AP349" s="28" t="str">
        <f t="array" ref="AP349">IF($I349="","",IFS(C349="D",IF(OR(I349="NOT_READABLE",I349="BLURRY"),-AB349,0),C349="J",IFS(I349="RED_CLEARER",XLOOKUP("duochrome_red_step",Calibration!$B:$B,Calibration!$C:$C,-0.25),I349="GREEN_CLEARER",XLOOKUP("duochrome_green_step",Calibration!$B:$B,Calibration!$C:$C,0.25),I349="EQUAL",IF(XLOOKUP($B349,Derived_Variables!$A:$A,Derived_Variables!$S:$S,"Neutral")="Undercorrect",XLOOKUP("undercorrect_step",Calibration!$B:$B,Calibration!$C:$C,0.25),IF(XLOOKUP($B349,Derived_Variables!$A:$A,Derived_Variables!$S:$S,"Neutral")="Overcorrect",-XLOOKUP("overcorrect_step",Calibration!$B:$B,Calibration!$C:$C,0.25),0)),TRUE,0),C349="K",IF(I349="BOTTOM_CLEARER",XLOOKUP("bino_balance_step",Calibration!$B:$B,Calibration!$C:$C,0.25),0),TRUE,0))</f>
        <v/>
      </c>
      <c r="AQ349" s="28" t="str">
        <f t="shared" si="12"/>
        <v/>
      </c>
      <c r="AR349" s="28" t="str">
        <f t="shared" si="13"/>
        <v/>
      </c>
      <c r="AS349" s="28" t="str">
        <f t="array" ref="AS349">IF($I349="","",IF(C349="P",IF(OR(I349="NOT_READABLE",I349="BLURRY"),XLOOKUP("near_add_step",Calibration!$B:$B,Calibration!$C:$C,0.25),0),IF(C349="R",IF(I349="NOT_CLEAR",XLOOKUP("near_add_step",Calibration!$B:$B,Calibration!$C:$C,0.25),0),0)))</f>
        <v/>
      </c>
      <c r="AT349" s="28" t="str">
        <f t="array" ref="AT349">IF($I349="","",IF(C349="Q",IF(OR(I349="NOT_READABLE",I349="BLURRY"),XLOOKUP("near_add_step",Calibration!$B:$B,Calibration!$C:$C,0.25),0),IF(C349="R",IF(I349="NOT_CLEAR",XLOOKUP("near_add_step",Calibration!$B:$B,Calibration!$C:$C,0.25),0),0)))</f>
        <v/>
      </c>
      <c r="AU349" s="28" t="str">
        <f t="array" ref="AU349">IF($I349="","",IF(G349="SNELLEN_FEET",IF(I349="READABLE",IFERROR(XLOOKUP(XLOOKUP(R349,Chart_Scale_Distance!B:B,Chart_Scale_Distance!A:A)+1,Chart_Scale_Distance!A:A,Chart_Scale_Distance!B:B),R349),R349),R349))</f>
        <v/>
      </c>
      <c r="AV349" s="28" t="str">
        <f t="array" ref="AV349">IF($I348="","",IFERROR(XLOOKUP(R349,Chart_Scale_Distance!$B:$B,Chart_Scale_Distance!$A:$A,""),""))</f>
        <v/>
      </c>
      <c r="AW349" s="28" t="str">
        <f t="array" ref="AW349">IF($I348="","",IFERROR(XLOOKUP(AA349,Chart_Scale_Distance!$B:$B,Chart_Scale_Distance!$A:$A,""),""))</f>
        <v/>
      </c>
      <c r="AX349" s="28" t="str">
        <f t="shared" si="14"/>
        <v/>
      </c>
      <c r="AY349" s="28" t="str">
        <f t="shared" si="15"/>
        <v/>
      </c>
      <c r="AZ349" s="28" t="str">
        <f t="shared" si="16"/>
        <v/>
      </c>
      <c r="BA349" s="28" t="str">
        <f t="shared" si="17"/>
        <v/>
      </c>
      <c r="BB349" s="28" t="str">
        <f t="shared" si="18"/>
        <v/>
      </c>
      <c r="BC349" s="28" t="str">
        <f t="array" ref="BC349">IF($I349="","",LET(
conf,AI349,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duoMax,XLOOKUP($B349,Derived_Variables!$A:$A,Derived_Variables!$AI:$AI,4),
axisTol,XLOOKUP($B349,Derived_Variables!$A:$A,Derived_Variables!$W:$W,1),
maxStart,XLOOKUP($B349,Derived_Variables!$A:$A,Derived_Variables!$U:$U,1.25),
maxAR,XLOOKUP($B349,Derived_Variables!$A:$A,Derived_Variables!$V:$V,3),
anom,XLOOKUP($B349,Derived_Variables!$A:$A,Derived_Variables!$Z:$Z,FALSE),
reStart,XLOOKUP($B349,Derived_Variables!$A:$A,Derived_Variables!$K:$K,0),
leStart,XLOOKUP($B349,Derived_Variables!$A:$A,Derived_Variables!$N:$N,0),
reAR,XLOOKUP($B349,AR_Input!$A:$A,AR_Input!$B:$B,reStart),
leAR,XLOOKUP($B349,AR_Input!$A:$A,AR_Input!$E:$E,leStart),
reEsc,AND(anom,OR(ABS((S349+AM349)-reStart)&gt;maxStart,ABS((S349+AM349)-reAR)&gt;maxAR)),
leEsc,AND(anom,OR(ABS((V349+AP349)-leStart)&gt;maxStart,ABS((V349+AP349)-leAR)&gt;maxAR)),
phaseMax,IFS(
 AK349="Fast",
   IFS(
     OR(C349="B",C349="D"),XLOOKUP("timeout_coarse_fast",Calibration!$B:$B,Calibration!$C:$C,24),
     OR(C349="E",C349="F",C349="H",C349="I"),XLOOKUP("timeout_jcc_fast",Calibration!$B:$B,Calibration!$C:$C,10),
     OR(C349="G",C349="J"),XLOOKUP("timeout_duochrome_fast",Calibration!$B:$B,Calibration!$C:$C,8),
     C349="K",XLOOKUP("timeout_bino_fast",Calibration!$B:$B,Calibration!$C:$C,10),
     OR(C349="P",C349="Q",C349="R"),XLOOKUP("timeout_near_fast",Calibration!$B:$B,Calibration!$C:$C,16),
     TRUE,XLOOKUP("timeout_coarse_fast",Calibration!$B:$B,Calibration!$C:$C,24)
   ),
 AK349="Normal",
   IFS(
     OR(C349="B",C349="D"),XLOOKUP("timeout_coarse_normal",Calibration!$B:$B,Calibration!$C:$C,36),
     OR(C349="E",C349="F",C349="H",C349="I"),XLOOKUP("timeout_jcc_normal",Calibration!$B:$B,Calibration!$C:$C,14),
     OR(C349="G",C349="J"),XLOOKUP("timeout_duochrome_normal",Calibration!$B:$B,Calibration!$C:$C,10),
     C349="K",XLOOKUP("timeout_bino_normal",Calibration!$B:$B,Calibration!$C:$C,14),
     OR(C349="P",C349="Q",C349="R"),XLOOKUP("timeout_near_normal",Calibration!$B:$B,Calibration!$C:$C,22),
     TRUE,XLOOKUP("timeout_coarse_normal",Calibration!$B:$B,Calibration!$C:$C,36)
   ),
 TRUE,
   IFS(
     OR(C349="B",C349="D"),XLOOKUP("timeout_coarse_slow",Calibration!$B:$B,Calibration!$C:$C,48),
     OR(C349="E",C349="F",C349="H",C349="I"),XLOOKUP("timeout_jcc_slow",Calibration!$B:$B,Calibration!$C:$C,18),
     OR(C349="G",C349="J"),XLOOKUP("timeout_duochrome_slow",Calibration!$B:$B,Calibration!$C:$C,12),
     C349="K",XLOOKUP("timeout_bino_slow",Calibration!$B:$B,Calibration!$C:$C,18),
     OR(C349="P",C349="Q",C349="R"),XLOOKUP("timeout_near_slow",Calibration!$B:$B,Calibration!$C:$C,28),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AJ349=TRUE,"ESCALATE",
C349="A",
IF(OR(I349="NOT_READABLE",I349="BLURRY",AND(R349="20_20_20",I349="READABLE")),"B","A"),
C349="B",
IF(reEsc,"ESCALATE",IF(AY349&gt;=phaseMax,"ESCALATE",IF(AND(AV349&gt;=AW349,I349="READABLE"),"E","B"))),
C349="E",
IF(AY349&gt;=phaseMax,"ESCALATE",IF(OR(I349="SAME",I349="CANT_TELL",AD349&lt;axisTol),"F","E")),
C349="F",
IF(AY349&gt;=phaseMax,"ESCALATE",IF(AX349&gt;=powerSameN,"G","F")),
C349="G",
IF(AY349&gt;=phaseMax,"ESCALATE",IF(OR(AX349&gt;=duoEqualN,BB349&gt;=duoMax),"D","G")),
C349="D",
IF(leEsc,"ESCALATE",IF(AY349&gt;=phaseMax,"ESCALATE",IF(AND(AV349&gt;=AW349,I349="READABLE"),"H","D"))),
C349="H",
IF(AY349&gt;=phaseMax,"ESCALATE",IF(OR(I349="SAME",I349="CANT_TELL",AD349&lt;axisTol),"I","H")),
C349="I",
IF(AY349&gt;=phaseMax,"ESCALATE",IF(AX349&gt;=powerSameN,"J","I")),
C349="J",
IF(AY349&gt;=phaseMax,"ESCALATE",IF(OR(AX349&gt;=duoEqualN,BB349&gt;=duoMax),"K","J")),
C349="K",
IF(AY349&gt;=phaseMax,"ESCALATE",IF(AX349&gt;=binoSameN,IF(XLOOKUP($B349,Derived_Variables!$A:$A,Derived_Variables!$AJ:$AJ,FALSE)=TRUE,"P","END"),"K")),
C349="P",
IF(AY349&gt;=phaseMax,"ESCALATE",IF(OR(I349="READABLE",I349="SAME"),"Q","P")),
C349="Q",
IF(AY349&gt;=phaseMax,"ESCALATE",IF(OR(I349="READABLE",I349="SAME"),"R","Q")),
C349="R",
IF(AY349&gt;=phaseMax,"ESCALATE",IF(OR(I349=nearTarget,I349="SAME"),"END","R")),
TRUE,"END"
)))</f>
        <v/>
      </c>
      <c r="BD349" s="28" t="b">
        <f t="shared" si="19"/>
        <v>0</v>
      </c>
    </row>
    <row r="350" ht="15.75" customHeight="1">
      <c r="A350" s="28">
        <f t="shared" si="3"/>
        <v>349</v>
      </c>
      <c r="B350" s="28">
        <f t="shared" si="4"/>
        <v>6</v>
      </c>
      <c r="C350" s="28" t="str">
        <f t="shared" si="5"/>
        <v/>
      </c>
      <c r="D350" s="28" t="str">
        <f t="array" ref="D350">IF($I349="","",XLOOKUP(C350,FSM_State_Map!A:A,FSM_State_Map!B:B,""))</f>
        <v/>
      </c>
      <c r="E350" s="28" t="str">
        <f t="array" ref="E350">IF($I349="","",XLOOKUP(C350,FSM_State_Map!A:A,FSM_State_Map!C:C,""))</f>
        <v/>
      </c>
      <c r="F350" s="28" t="str">
        <f t="array" ref="F350">IF($I349="","",XLOOKUP(E350,Phase_UI_Map!A:A,Phase_UI_Map!B:B,""))</f>
        <v/>
      </c>
      <c r="G350" s="28" t="str">
        <f t="array" ref="G350">IF($I349="","",XLOOKUP(E350,Phase_UI_Map!A:A,Phase_UI_Map!C:C,""))</f>
        <v/>
      </c>
      <c r="H350" s="28" t="str">
        <f t="array" ref="H350">IF($I349="","",XLOOKUP(E350,Phase_UI_Map!A:A,Phase_UI_Map!D:D,""))</f>
        <v/>
      </c>
      <c r="I350" s="29"/>
      <c r="J350" s="28" t="str">
        <f>IFERROR(__xludf.DUMMYFUNCTION("IF($I349="""","""",IFERROR(INDEX(FILTER(Response_Lists!$B:$B,Response_Lists!$A:$A=$H350),1),""""))"),"")</f>
        <v/>
      </c>
      <c r="K350" s="28" t="str">
        <f>IFERROR(__xludf.DUMMYFUNCTION("IF($I349="""","""",IFERROR(INDEX(FILTER(Response_Lists!$B:$B,Response_Lists!$A:$A=$H350),2),""""))"),"")</f>
        <v/>
      </c>
      <c r="L350" s="28" t="str">
        <f>IFERROR(__xludf.DUMMYFUNCTION("IF($I349="""","""",IFERROR(INDEX(FILTER(Response_Lists!$B:$B,Response_Lists!$A:$A=$H350),3),""""))"),"")</f>
        <v/>
      </c>
      <c r="M350" s="28" t="str">
        <f>IFERROR(__xludf.DUMMYFUNCTION("IF($I349="""","""",IFERROR(INDEX(FILTER(Response_Lists!$B:$B,Response_Lists!$A:$A=$H350),4),""""))"),"")</f>
        <v/>
      </c>
      <c r="N350" s="28" t="str">
        <f>IFERROR(__xludf.DUMMYFUNCTION("IF($I349="""","""",IFERROR(INDEX(FILTER(Response_Lists!$B:$B,Response_Lists!$A:$A=$H350),5),""""))"),"")</f>
        <v/>
      </c>
      <c r="O350" s="28" t="str">
        <f>IFERROR(__xludf.DUMMYFUNCTION("IF($I349="""","""",IFERROR(INDEX(FILTER(Response_Lists!$B:$B,Response_Lists!$A:$A=$H350),6),""""))"),"")</f>
        <v/>
      </c>
      <c r="P350" s="28" t="str">
        <f t="shared" si="6"/>
        <v/>
      </c>
      <c r="Q350" s="28" t="str">
        <f t="array" ref="Q350">IF($I349="","",XLOOKUP(C350,FSM_State_Map!A:A,FSM_State_Map!D:D,""))</f>
        <v/>
      </c>
      <c r="R350" s="28" t="str">
        <f t="shared" si="7"/>
        <v/>
      </c>
      <c r="S350" s="28" t="str">
        <f t="array" ref="S350">IF($I349="","",
IF(
  AND(C350="B",C349&lt;&gt;"B"),
  XLOOKUP($B350,Derived_Variables!$A:$A,Derived_Variables!$K:$K,0)
  + XLOOKUP($B350,Derived_Variables!$A:$A,Derived_Variables!$AE:$AE,0),
  S349+AM349
))</f>
        <v/>
      </c>
      <c r="T350" s="28" t="str">
        <f t="shared" ref="T350:U350" si="710">IF($I349="","",T349+AN349)</f>
        <v/>
      </c>
      <c r="U350" s="28" t="str">
        <f t="shared" si="710"/>
        <v/>
      </c>
      <c r="V350" s="28" t="str">
        <f t="array" ref="V350">IF($I349="","",
IF(
  AND(C350="D",C349&lt;&gt;"D"),
  XLOOKUP($B350,Derived_Variables!$A:$A,Derived_Variables!$N:$N,0)
  + XLOOKUP($B350,Derived_Variables!$A:$A,Derived_Variables!$AE:$AE,0),
  V349+AP349
))</f>
        <v/>
      </c>
      <c r="W350" s="28" t="str">
        <f t="shared" ref="W350:X350" si="711">IF($I349="","",W349+AQ349)</f>
        <v/>
      </c>
      <c r="X350" s="28" t="str">
        <f t="shared" si="711"/>
        <v/>
      </c>
      <c r="Y350" s="28" t="str">
        <f t="array" ref="Y350">IF($I349="","",IF(AND(C350="P",C349&lt;&gt;"P"),IFERROR(XLOOKUP($B350,Lenso_Input!$A:$A,Lenso_Input!$E:$E,0),0),Y349+AS349))</f>
        <v/>
      </c>
      <c r="Z350" s="28" t="str">
        <f t="array" ref="Z350">IF($I349="","",IF(AND(C350="Q",C349&lt;&gt;"Q"),IFERROR(XLOOKUP($B350,Lenso_Input!$A:$A,Lenso_Input!$I:$I,0),0),Z349+AT349))</f>
        <v/>
      </c>
      <c r="AA350" s="28" t="str">
        <f t="array" ref="AA350">IF($I349="","",IF(XLOOKUP($B350,Derived_Variables!$A:$A,Derived_Variables!$R:$R,"6/6_target")="6/6_target","20_20_20","40_30_25"))</f>
        <v/>
      </c>
      <c r="AB350" s="28" t="str">
        <f t="array" ref="AB350">IF($I349="","",XLOOKUP(LOWER(XLOOKUP($B350,Derived_Variables!$A:$A,Derived_Variables!$T:$T,"Standard"))&amp;"_sph_step",Calibration!$B:$B,Calibration!$C:$C,0.25))</f>
        <v/>
      </c>
      <c r="AC350" s="28" t="str">
        <f t="array" ref="AC350">IF($I349="","",XLOOKUP(LOWER(XLOOKUP($B350,Derived_Variables!$A:$A,Derived_Variables!$T:$T,"Standard"))&amp;"_cyl_step",Calibration!$B:$B,Calibration!$C:$C,0.25))</f>
        <v/>
      </c>
      <c r="AD350" s="28" t="str">
        <f t="array" ref="AD350">IF($I349="","",IF(OR(C350="E",C350="H"),LET(startStep,XLOOKUP("axis_start_step",Calibration!$B:$B,Calibration!$C:$C,5),step1,XLOOKUP("axis_reversal_step_1",Calibration!$B:$B,Calibration!$C:$C,3),step2,XLOOKUP("axis_reversal_step_2",Calibration!$B:$B,Calibration!$C:$C,1),IF(OR(C349&lt;&gt;C350,AZ350="",AZ350="SAME",AZ350="CANT_TELL",I350="",I350="SAME",I350="CANT_TELL"),startStep,IF(OR(AND(AZ350="BETTER_1",I350="BETTER_2"),AND(AZ350="BETTER_2",I350="BETTER_1")),IF(AD349&gt;step1,step1,step2),AD349))),0))</f>
        <v/>
      </c>
      <c r="AE350" s="28" t="str">
        <f t="array" ref="AE350">IF($I349="","",XLOOKUP($B350,Derived_Variables!$A:$A,Derived_Variables!$AD:$AD,"No_Fog"))</f>
        <v/>
      </c>
      <c r="AF350" s="28" t="str">
        <f t="array" ref="AF350">IF($I349="","",XLOOKUP($B350,Derived_Variables!$A:$A,Derived_Variables!$AE:$AE,0))</f>
        <v/>
      </c>
      <c r="AG350" s="28" t="str">
        <f t="array" ref="AG350">IF($I349="","",XLOOKUP($B350,Derived_Variables!$A:$A,Derived_Variables!$AF:$AF,""))</f>
        <v/>
      </c>
      <c r="AH350" s="28" t="str">
        <f t="array" ref="AH350">IF($I349="","",XLOOKUP($B350,Derived_Variables!$A:$A,Derived_Variables!$AG:$AG,""))</f>
        <v/>
      </c>
      <c r="AI350" s="28" t="str">
        <f t="array" ref="AI350">IF($I349="","",XLOOKUP($B350,Derived_Variables!$A:$A,Derived_Variables!$AC:$AC,"Medium"))</f>
        <v/>
      </c>
      <c r="AJ350" s="28" t="str">
        <f t="array" ref="AJ350">IF($I349="","",XLOOKUP($B350,Derived_Variables!$A:$A,Derived_Variables!$Y:$Y,FALSE))</f>
        <v/>
      </c>
      <c r="AK350" s="28" t="str">
        <f t="array" ref="AK350">IF($I349="","",XLOOKUP($B350,Derived_Variables!$A:$A,Derived_Variables!$AA:$AA,"Normal"))</f>
        <v/>
      </c>
      <c r="AL350" s="28" t="str">
        <f t="array" ref="AL350">IF($I349="","",XLOOKUP($B350,Derived_Variables!$A:$A,Derived_Variables!$AB:$AB,"Normal"))</f>
        <v/>
      </c>
      <c r="AM350" s="28" t="str">
        <f t="array" ref="AM350">IF($I350="","",IFS(C350="B",IF(OR(I350="NOT_READABLE",I350="BLURRY"),-AB350,0),C350="G",IFS(I350="RED_CLEARER",XLOOKUP("duochrome_red_step",Calibration!$B:$B,Calibration!$C:$C,-0.25),I350="GREEN_CLEARER",XLOOKUP("duochrome_green_step",Calibration!$B:$B,Calibration!$C:$C,0.25),I350="EQUAL",IF(XLOOKUP($B350,Derived_Variables!$A:$A,Derived_Variables!$S:$S,"Neutral")="Undercorrect",XLOOKUP("undercorrect_step",Calibration!$B:$B,Calibration!$C:$C,0.25),IF(XLOOKUP($B350,Derived_Variables!$A:$A,Derived_Variables!$S:$S,"Neutral")="Overcorrect",-XLOOKUP("overcorrect_step",Calibration!$B:$B,Calibration!$C:$C,0.25),0)),TRUE,0),C350="K",IF(I350="TOP_CLEARER",XLOOKUP("bino_balance_step",Calibration!$B:$B,Calibration!$C:$C,0.25),0),TRUE,0))</f>
        <v/>
      </c>
      <c r="AN350" s="28" t="str">
        <f t="shared" si="10"/>
        <v/>
      </c>
      <c r="AO350" s="28" t="str">
        <f t="shared" si="11"/>
        <v/>
      </c>
      <c r="AP350" s="28" t="str">
        <f t="array" ref="AP350">IF($I350="","",IFS(C350="D",IF(OR(I350="NOT_READABLE",I350="BLURRY"),-AB350,0),C350="J",IFS(I350="RED_CLEARER",XLOOKUP("duochrome_red_step",Calibration!$B:$B,Calibration!$C:$C,-0.25),I350="GREEN_CLEARER",XLOOKUP("duochrome_green_step",Calibration!$B:$B,Calibration!$C:$C,0.25),I350="EQUAL",IF(XLOOKUP($B350,Derived_Variables!$A:$A,Derived_Variables!$S:$S,"Neutral")="Undercorrect",XLOOKUP("undercorrect_step",Calibration!$B:$B,Calibration!$C:$C,0.25),IF(XLOOKUP($B350,Derived_Variables!$A:$A,Derived_Variables!$S:$S,"Neutral")="Overcorrect",-XLOOKUP("overcorrect_step",Calibration!$B:$B,Calibration!$C:$C,0.25),0)),TRUE,0),C350="K",IF(I350="BOTTOM_CLEARER",XLOOKUP("bino_balance_step",Calibration!$B:$B,Calibration!$C:$C,0.25),0),TRUE,0))</f>
        <v/>
      </c>
      <c r="AQ350" s="28" t="str">
        <f t="shared" si="12"/>
        <v/>
      </c>
      <c r="AR350" s="28" t="str">
        <f t="shared" si="13"/>
        <v/>
      </c>
      <c r="AS350" s="28" t="str">
        <f t="array" ref="AS350">IF($I350="","",IF(C350="P",IF(OR(I350="NOT_READABLE",I350="BLURRY"),XLOOKUP("near_add_step",Calibration!$B:$B,Calibration!$C:$C,0.25),0),IF(C350="R",IF(I350="NOT_CLEAR",XLOOKUP("near_add_step",Calibration!$B:$B,Calibration!$C:$C,0.25),0),0)))</f>
        <v/>
      </c>
      <c r="AT350" s="28" t="str">
        <f t="array" ref="AT350">IF($I350="","",IF(C350="Q",IF(OR(I350="NOT_READABLE",I350="BLURRY"),XLOOKUP("near_add_step",Calibration!$B:$B,Calibration!$C:$C,0.25),0),IF(C350="R",IF(I350="NOT_CLEAR",XLOOKUP("near_add_step",Calibration!$B:$B,Calibration!$C:$C,0.25),0),0)))</f>
        <v/>
      </c>
      <c r="AU350" s="28" t="str">
        <f t="array" ref="AU350">IF($I350="","",IF(G350="SNELLEN_FEET",IF(I350="READABLE",IFERROR(XLOOKUP(XLOOKUP(R350,Chart_Scale_Distance!B:B,Chart_Scale_Distance!A:A)+1,Chart_Scale_Distance!A:A,Chart_Scale_Distance!B:B),R350),R350),R350))</f>
        <v/>
      </c>
      <c r="AV350" s="28" t="str">
        <f t="array" ref="AV350">IF($I349="","",IFERROR(XLOOKUP(R350,Chart_Scale_Distance!$B:$B,Chart_Scale_Distance!$A:$A,""),""))</f>
        <v/>
      </c>
      <c r="AW350" s="28" t="str">
        <f t="array" ref="AW350">IF($I349="","",IFERROR(XLOOKUP(AA350,Chart_Scale_Distance!$B:$B,Chart_Scale_Distance!$A:$A,""),""))</f>
        <v/>
      </c>
      <c r="AX350" s="28" t="str">
        <f t="shared" si="14"/>
        <v/>
      </c>
      <c r="AY350" s="28" t="str">
        <f t="shared" si="15"/>
        <v/>
      </c>
      <c r="AZ350" s="28" t="str">
        <f t="shared" si="16"/>
        <v/>
      </c>
      <c r="BA350" s="28" t="str">
        <f t="shared" si="17"/>
        <v/>
      </c>
      <c r="BB350" s="28" t="str">
        <f t="shared" si="18"/>
        <v/>
      </c>
      <c r="BC350" s="28" t="str">
        <f t="array" ref="BC350">IF($I350="","",LET(
conf,AI350,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duoMax,XLOOKUP($B350,Derived_Variables!$A:$A,Derived_Variables!$AI:$AI,4),
axisTol,XLOOKUP($B350,Derived_Variables!$A:$A,Derived_Variables!$W:$W,1),
maxStart,XLOOKUP($B350,Derived_Variables!$A:$A,Derived_Variables!$U:$U,1.25),
maxAR,XLOOKUP($B350,Derived_Variables!$A:$A,Derived_Variables!$V:$V,3),
anom,XLOOKUP($B350,Derived_Variables!$A:$A,Derived_Variables!$Z:$Z,FALSE),
reStart,XLOOKUP($B350,Derived_Variables!$A:$A,Derived_Variables!$K:$K,0),
leStart,XLOOKUP($B350,Derived_Variables!$A:$A,Derived_Variables!$N:$N,0),
reAR,XLOOKUP($B350,AR_Input!$A:$A,AR_Input!$B:$B,reStart),
leAR,XLOOKUP($B350,AR_Input!$A:$A,AR_Input!$E:$E,leStart),
reEsc,AND(anom,OR(ABS((S350+AM350)-reStart)&gt;maxStart,ABS((S350+AM350)-reAR)&gt;maxAR)),
leEsc,AND(anom,OR(ABS((V350+AP350)-leStart)&gt;maxStart,ABS((V350+AP350)-leAR)&gt;maxAR)),
phaseMax,IFS(
 AK350="Fast",
   IFS(
     OR(C350="B",C350="D"),XLOOKUP("timeout_coarse_fast",Calibration!$B:$B,Calibration!$C:$C,24),
     OR(C350="E",C350="F",C350="H",C350="I"),XLOOKUP("timeout_jcc_fast",Calibration!$B:$B,Calibration!$C:$C,10),
     OR(C350="G",C350="J"),XLOOKUP("timeout_duochrome_fast",Calibration!$B:$B,Calibration!$C:$C,8),
     C350="K",XLOOKUP("timeout_bino_fast",Calibration!$B:$B,Calibration!$C:$C,10),
     OR(C350="P",C350="Q",C350="R"),XLOOKUP("timeout_near_fast",Calibration!$B:$B,Calibration!$C:$C,16),
     TRUE,XLOOKUP("timeout_coarse_fast",Calibration!$B:$B,Calibration!$C:$C,24)
   ),
 AK350="Normal",
   IFS(
     OR(C350="B",C350="D"),XLOOKUP("timeout_coarse_normal",Calibration!$B:$B,Calibration!$C:$C,36),
     OR(C350="E",C350="F",C350="H",C350="I"),XLOOKUP("timeout_jcc_normal",Calibration!$B:$B,Calibration!$C:$C,14),
     OR(C350="G",C350="J"),XLOOKUP("timeout_duochrome_normal",Calibration!$B:$B,Calibration!$C:$C,10),
     C350="K",XLOOKUP("timeout_bino_normal",Calibration!$B:$B,Calibration!$C:$C,14),
     OR(C350="P",C350="Q",C350="R"),XLOOKUP("timeout_near_normal",Calibration!$B:$B,Calibration!$C:$C,22),
     TRUE,XLOOKUP("timeout_coarse_normal",Calibration!$B:$B,Calibration!$C:$C,36)
   ),
 TRUE,
   IFS(
     OR(C350="B",C350="D"),XLOOKUP("timeout_coarse_slow",Calibration!$B:$B,Calibration!$C:$C,48),
     OR(C350="E",C350="F",C350="H",C350="I"),XLOOKUP("timeout_jcc_slow",Calibration!$B:$B,Calibration!$C:$C,18),
     OR(C350="G",C350="J"),XLOOKUP("timeout_duochrome_slow",Calibration!$B:$B,Calibration!$C:$C,12),
     C350="K",XLOOKUP("timeout_bino_slow",Calibration!$B:$B,Calibration!$C:$C,18),
     OR(C350="P",C350="Q",C350="R"),XLOOKUP("timeout_near_slow",Calibration!$B:$B,Calibration!$C:$C,28),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AJ350=TRUE,"ESCALATE",
C350="A",
IF(OR(I350="NOT_READABLE",I350="BLURRY",AND(R350="20_20_20",I350="READABLE")),"B","A"),
C350="B",
IF(reEsc,"ESCALATE",IF(AY350&gt;=phaseMax,"ESCALATE",IF(AND(AV350&gt;=AW350,I350="READABLE"),"E","B"))),
C350="E",
IF(AY350&gt;=phaseMax,"ESCALATE",IF(OR(I350="SAME",I350="CANT_TELL",AD350&lt;axisTol),"F","E")),
C350="F",
IF(AY350&gt;=phaseMax,"ESCALATE",IF(AX350&gt;=powerSameN,"G","F")),
C350="G",
IF(AY350&gt;=phaseMax,"ESCALATE",IF(OR(AX350&gt;=duoEqualN,BB350&gt;=duoMax),"D","G")),
C350="D",
IF(leEsc,"ESCALATE",IF(AY350&gt;=phaseMax,"ESCALATE",IF(AND(AV350&gt;=AW350,I350="READABLE"),"H","D"))),
C350="H",
IF(AY350&gt;=phaseMax,"ESCALATE",IF(OR(I350="SAME",I350="CANT_TELL",AD350&lt;axisTol),"I","H")),
C350="I",
IF(AY350&gt;=phaseMax,"ESCALATE",IF(AX350&gt;=powerSameN,"J","I")),
C350="J",
IF(AY350&gt;=phaseMax,"ESCALATE",IF(OR(AX350&gt;=duoEqualN,BB350&gt;=duoMax),"K","J")),
C350="K",
IF(AY350&gt;=phaseMax,"ESCALATE",IF(AX350&gt;=binoSameN,IF(XLOOKUP($B350,Derived_Variables!$A:$A,Derived_Variables!$AJ:$AJ,FALSE)=TRUE,"P","END"),"K")),
C350="P",
IF(AY350&gt;=phaseMax,"ESCALATE",IF(OR(I350="READABLE",I350="SAME"),"Q","P")),
C350="Q",
IF(AY350&gt;=phaseMax,"ESCALATE",IF(OR(I350="READABLE",I350="SAME"),"R","Q")),
C350="R",
IF(AY350&gt;=phaseMax,"ESCALATE",IF(OR(I350=nearTarget,I350="SAME"),"END","R")),
TRUE,"END"
)))</f>
        <v/>
      </c>
      <c r="BD350" s="28" t="b">
        <f t="shared" si="19"/>
        <v>0</v>
      </c>
    </row>
    <row r="351" ht="15.75" customHeight="1">
      <c r="A351" s="28">
        <f t="shared" si="3"/>
        <v>350</v>
      </c>
      <c r="B351" s="28">
        <f t="shared" si="4"/>
        <v>6</v>
      </c>
      <c r="C351" s="28" t="str">
        <f t="shared" si="5"/>
        <v/>
      </c>
      <c r="D351" s="28" t="str">
        <f t="array" ref="D351">IF($I350="","",XLOOKUP(C351,FSM_State_Map!A:A,FSM_State_Map!B:B,""))</f>
        <v/>
      </c>
      <c r="E351" s="28" t="str">
        <f t="array" ref="E351">IF($I350="","",XLOOKUP(C351,FSM_State_Map!A:A,FSM_State_Map!C:C,""))</f>
        <v/>
      </c>
      <c r="F351" s="28" t="str">
        <f t="array" ref="F351">IF($I350="","",XLOOKUP(E351,Phase_UI_Map!A:A,Phase_UI_Map!B:B,""))</f>
        <v/>
      </c>
      <c r="G351" s="28" t="str">
        <f t="array" ref="G351">IF($I350="","",XLOOKUP(E351,Phase_UI_Map!A:A,Phase_UI_Map!C:C,""))</f>
        <v/>
      </c>
      <c r="H351" s="28" t="str">
        <f t="array" ref="H351">IF($I350="","",XLOOKUP(E351,Phase_UI_Map!A:A,Phase_UI_Map!D:D,""))</f>
        <v/>
      </c>
      <c r="I351" s="29"/>
      <c r="J351" s="28" t="str">
        <f>IFERROR(__xludf.DUMMYFUNCTION("IF($I350="""","""",IFERROR(INDEX(FILTER(Response_Lists!$B:$B,Response_Lists!$A:$A=$H351),1),""""))"),"")</f>
        <v/>
      </c>
      <c r="K351" s="28" t="str">
        <f>IFERROR(__xludf.DUMMYFUNCTION("IF($I350="""","""",IFERROR(INDEX(FILTER(Response_Lists!$B:$B,Response_Lists!$A:$A=$H351),2),""""))"),"")</f>
        <v/>
      </c>
      <c r="L351" s="28" t="str">
        <f>IFERROR(__xludf.DUMMYFUNCTION("IF($I350="""","""",IFERROR(INDEX(FILTER(Response_Lists!$B:$B,Response_Lists!$A:$A=$H351),3),""""))"),"")</f>
        <v/>
      </c>
      <c r="M351" s="28" t="str">
        <f>IFERROR(__xludf.DUMMYFUNCTION("IF($I350="""","""",IFERROR(INDEX(FILTER(Response_Lists!$B:$B,Response_Lists!$A:$A=$H351),4),""""))"),"")</f>
        <v/>
      </c>
      <c r="N351" s="28" t="str">
        <f>IFERROR(__xludf.DUMMYFUNCTION("IF($I350="""","""",IFERROR(INDEX(FILTER(Response_Lists!$B:$B,Response_Lists!$A:$A=$H351),5),""""))"),"")</f>
        <v/>
      </c>
      <c r="O351" s="28" t="str">
        <f>IFERROR(__xludf.DUMMYFUNCTION("IF($I350="""","""",IFERROR(INDEX(FILTER(Response_Lists!$B:$B,Response_Lists!$A:$A=$H351),6),""""))"),"")</f>
        <v/>
      </c>
      <c r="P351" s="28" t="str">
        <f t="shared" si="6"/>
        <v/>
      </c>
      <c r="Q351" s="28" t="str">
        <f t="array" ref="Q351">IF($I350="","",XLOOKUP(C351,FSM_State_Map!A:A,FSM_State_Map!D:D,""))</f>
        <v/>
      </c>
      <c r="R351" s="28" t="str">
        <f t="shared" si="7"/>
        <v/>
      </c>
      <c r="S351" s="28" t="str">
        <f t="array" ref="S351">IF($I350="","",
IF(
  AND(C351="B",C350&lt;&gt;"B"),
  XLOOKUP($B351,Derived_Variables!$A:$A,Derived_Variables!$K:$K,0)
  + XLOOKUP($B351,Derived_Variables!$A:$A,Derived_Variables!$AE:$AE,0),
  S350+AM350
))</f>
        <v/>
      </c>
      <c r="T351" s="28" t="str">
        <f t="shared" ref="T351:U351" si="712">IF($I350="","",T350+AN350)</f>
        <v/>
      </c>
      <c r="U351" s="28" t="str">
        <f t="shared" si="712"/>
        <v/>
      </c>
      <c r="V351" s="28" t="str">
        <f t="array" ref="V351">IF($I350="","",
IF(
  AND(C351="D",C350&lt;&gt;"D"),
  XLOOKUP($B351,Derived_Variables!$A:$A,Derived_Variables!$N:$N,0)
  + XLOOKUP($B351,Derived_Variables!$A:$A,Derived_Variables!$AE:$AE,0),
  V350+AP350
))</f>
        <v/>
      </c>
      <c r="W351" s="28" t="str">
        <f t="shared" ref="W351:X351" si="713">IF($I350="","",W350+AQ350)</f>
        <v/>
      </c>
      <c r="X351" s="28" t="str">
        <f t="shared" si="713"/>
        <v/>
      </c>
      <c r="Y351" s="28" t="str">
        <f t="array" ref="Y351">IF($I350="","",IF(AND(C351="P",C350&lt;&gt;"P"),IFERROR(XLOOKUP($B351,Lenso_Input!$A:$A,Lenso_Input!$E:$E,0),0),Y350+AS350))</f>
        <v/>
      </c>
      <c r="Z351" s="28" t="str">
        <f t="array" ref="Z351">IF($I350="","",IF(AND(C351="Q",C350&lt;&gt;"Q"),IFERROR(XLOOKUP($B351,Lenso_Input!$A:$A,Lenso_Input!$I:$I,0),0),Z350+AT350))</f>
        <v/>
      </c>
      <c r="AA351" s="28" t="str">
        <f t="array" ref="AA351">IF($I350="","",IF(XLOOKUP($B351,Derived_Variables!$A:$A,Derived_Variables!$R:$R,"6/6_target")="6/6_target","20_20_20","40_30_25"))</f>
        <v/>
      </c>
      <c r="AB351" s="28" t="str">
        <f t="array" ref="AB351">IF($I350="","",XLOOKUP(LOWER(XLOOKUP($B351,Derived_Variables!$A:$A,Derived_Variables!$T:$T,"Standard"))&amp;"_sph_step",Calibration!$B:$B,Calibration!$C:$C,0.25))</f>
        <v/>
      </c>
      <c r="AC351" s="28" t="str">
        <f t="array" ref="AC351">IF($I350="","",XLOOKUP(LOWER(XLOOKUP($B351,Derived_Variables!$A:$A,Derived_Variables!$T:$T,"Standard"))&amp;"_cyl_step",Calibration!$B:$B,Calibration!$C:$C,0.25))</f>
        <v/>
      </c>
      <c r="AD351" s="28" t="str">
        <f t="array" ref="AD351">IF($I350="","",IF(OR(C351="E",C351="H"),LET(startStep,XLOOKUP("axis_start_step",Calibration!$B:$B,Calibration!$C:$C,5),step1,XLOOKUP("axis_reversal_step_1",Calibration!$B:$B,Calibration!$C:$C,3),step2,XLOOKUP("axis_reversal_step_2",Calibration!$B:$B,Calibration!$C:$C,1),IF(OR(C350&lt;&gt;C351,AZ351="",AZ351="SAME",AZ351="CANT_TELL",I351="",I351="SAME",I351="CANT_TELL"),startStep,IF(OR(AND(AZ351="BETTER_1",I351="BETTER_2"),AND(AZ351="BETTER_2",I351="BETTER_1")),IF(AD350&gt;step1,step1,step2),AD350))),0))</f>
        <v/>
      </c>
      <c r="AE351" s="28" t="str">
        <f t="array" ref="AE351">IF($I350="","",XLOOKUP($B351,Derived_Variables!$A:$A,Derived_Variables!$AD:$AD,"No_Fog"))</f>
        <v/>
      </c>
      <c r="AF351" s="28" t="str">
        <f t="array" ref="AF351">IF($I350="","",XLOOKUP($B351,Derived_Variables!$A:$A,Derived_Variables!$AE:$AE,0))</f>
        <v/>
      </c>
      <c r="AG351" s="28" t="str">
        <f t="array" ref="AG351">IF($I350="","",XLOOKUP($B351,Derived_Variables!$A:$A,Derived_Variables!$AF:$AF,""))</f>
        <v/>
      </c>
      <c r="AH351" s="28" t="str">
        <f t="array" ref="AH351">IF($I350="","",XLOOKUP($B351,Derived_Variables!$A:$A,Derived_Variables!$AG:$AG,""))</f>
        <v/>
      </c>
      <c r="AI351" s="28" t="str">
        <f t="array" ref="AI351">IF($I350="","",XLOOKUP($B351,Derived_Variables!$A:$A,Derived_Variables!$AC:$AC,"Medium"))</f>
        <v/>
      </c>
      <c r="AJ351" s="28" t="str">
        <f t="array" ref="AJ351">IF($I350="","",XLOOKUP($B351,Derived_Variables!$A:$A,Derived_Variables!$Y:$Y,FALSE))</f>
        <v/>
      </c>
      <c r="AK351" s="28" t="str">
        <f t="array" ref="AK351">IF($I350="","",XLOOKUP($B351,Derived_Variables!$A:$A,Derived_Variables!$AA:$AA,"Normal"))</f>
        <v/>
      </c>
      <c r="AL351" s="28" t="str">
        <f t="array" ref="AL351">IF($I350="","",XLOOKUP($B351,Derived_Variables!$A:$A,Derived_Variables!$AB:$AB,"Normal"))</f>
        <v/>
      </c>
      <c r="AM351" s="28" t="str">
        <f t="array" ref="AM351">IF($I351="","",IFS(C351="B",IF(OR(I351="NOT_READABLE",I351="BLURRY"),-AB351,0),C351="G",IFS(I351="RED_CLEARER",XLOOKUP("duochrome_red_step",Calibration!$B:$B,Calibration!$C:$C,-0.25),I351="GREEN_CLEARER",XLOOKUP("duochrome_green_step",Calibration!$B:$B,Calibration!$C:$C,0.25),I351="EQUAL",IF(XLOOKUP($B351,Derived_Variables!$A:$A,Derived_Variables!$S:$S,"Neutral")="Undercorrect",XLOOKUP("undercorrect_step",Calibration!$B:$B,Calibration!$C:$C,0.25),IF(XLOOKUP($B351,Derived_Variables!$A:$A,Derived_Variables!$S:$S,"Neutral")="Overcorrect",-XLOOKUP("overcorrect_step",Calibration!$B:$B,Calibration!$C:$C,0.25),0)),TRUE,0),C351="K",IF(I351="TOP_CLEARER",XLOOKUP("bino_balance_step",Calibration!$B:$B,Calibration!$C:$C,0.25),0),TRUE,0))</f>
        <v/>
      </c>
      <c r="AN351" s="28" t="str">
        <f t="shared" si="10"/>
        <v/>
      </c>
      <c r="AO351" s="28" t="str">
        <f t="shared" si="11"/>
        <v/>
      </c>
      <c r="AP351" s="28" t="str">
        <f t="array" ref="AP351">IF($I351="","",IFS(C351="D",IF(OR(I351="NOT_READABLE",I351="BLURRY"),-AB351,0),C351="J",IFS(I351="RED_CLEARER",XLOOKUP("duochrome_red_step",Calibration!$B:$B,Calibration!$C:$C,-0.25),I351="GREEN_CLEARER",XLOOKUP("duochrome_green_step",Calibration!$B:$B,Calibration!$C:$C,0.25),I351="EQUAL",IF(XLOOKUP($B351,Derived_Variables!$A:$A,Derived_Variables!$S:$S,"Neutral")="Undercorrect",XLOOKUP("undercorrect_step",Calibration!$B:$B,Calibration!$C:$C,0.25),IF(XLOOKUP($B351,Derived_Variables!$A:$A,Derived_Variables!$S:$S,"Neutral")="Overcorrect",-XLOOKUP("overcorrect_step",Calibration!$B:$B,Calibration!$C:$C,0.25),0)),TRUE,0),C351="K",IF(I351="BOTTOM_CLEARER",XLOOKUP("bino_balance_step",Calibration!$B:$B,Calibration!$C:$C,0.25),0),TRUE,0))</f>
        <v/>
      </c>
      <c r="AQ351" s="28" t="str">
        <f t="shared" si="12"/>
        <v/>
      </c>
      <c r="AR351" s="28" t="str">
        <f t="shared" si="13"/>
        <v/>
      </c>
      <c r="AS351" s="28" t="str">
        <f t="array" ref="AS351">IF($I351="","",IF(C351="P",IF(OR(I351="NOT_READABLE",I351="BLURRY"),XLOOKUP("near_add_step",Calibration!$B:$B,Calibration!$C:$C,0.25),0),IF(C351="R",IF(I351="NOT_CLEAR",XLOOKUP("near_add_step",Calibration!$B:$B,Calibration!$C:$C,0.25),0),0)))</f>
        <v/>
      </c>
      <c r="AT351" s="28" t="str">
        <f t="array" ref="AT351">IF($I351="","",IF(C351="Q",IF(OR(I351="NOT_READABLE",I351="BLURRY"),XLOOKUP("near_add_step",Calibration!$B:$B,Calibration!$C:$C,0.25),0),IF(C351="R",IF(I351="NOT_CLEAR",XLOOKUP("near_add_step",Calibration!$B:$B,Calibration!$C:$C,0.25),0),0)))</f>
        <v/>
      </c>
      <c r="AU351" s="28" t="str">
        <f t="array" ref="AU351">IF($I351="","",IF(G351="SNELLEN_FEET",IF(I351="READABLE",IFERROR(XLOOKUP(XLOOKUP(R351,Chart_Scale_Distance!B:B,Chart_Scale_Distance!A:A)+1,Chart_Scale_Distance!A:A,Chart_Scale_Distance!B:B),R351),R351),R351))</f>
        <v/>
      </c>
      <c r="AV351" s="28" t="str">
        <f t="array" ref="AV351">IF($I350="","",IFERROR(XLOOKUP(R351,Chart_Scale_Distance!$B:$B,Chart_Scale_Distance!$A:$A,""),""))</f>
        <v/>
      </c>
      <c r="AW351" s="28" t="str">
        <f t="array" ref="AW351">IF($I350="","",IFERROR(XLOOKUP(AA351,Chart_Scale_Distance!$B:$B,Chart_Scale_Distance!$A:$A,""),""))</f>
        <v/>
      </c>
      <c r="AX351" s="28" t="str">
        <f t="shared" si="14"/>
        <v/>
      </c>
      <c r="AY351" s="28" t="str">
        <f t="shared" si="15"/>
        <v/>
      </c>
      <c r="AZ351" s="28" t="str">
        <f t="shared" si="16"/>
        <v/>
      </c>
      <c r="BA351" s="28" t="str">
        <f t="shared" si="17"/>
        <v/>
      </c>
      <c r="BB351" s="28" t="str">
        <f t="shared" si="18"/>
        <v/>
      </c>
      <c r="BC351" s="28" t="str">
        <f t="array" ref="BC351">IF($I351="","",LET(
conf,AI351,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duoMax,XLOOKUP($B351,Derived_Variables!$A:$A,Derived_Variables!$AI:$AI,4),
axisTol,XLOOKUP($B351,Derived_Variables!$A:$A,Derived_Variables!$W:$W,1),
maxStart,XLOOKUP($B351,Derived_Variables!$A:$A,Derived_Variables!$U:$U,1.25),
maxAR,XLOOKUP($B351,Derived_Variables!$A:$A,Derived_Variables!$V:$V,3),
anom,XLOOKUP($B351,Derived_Variables!$A:$A,Derived_Variables!$Z:$Z,FALSE),
reStart,XLOOKUP($B351,Derived_Variables!$A:$A,Derived_Variables!$K:$K,0),
leStart,XLOOKUP($B351,Derived_Variables!$A:$A,Derived_Variables!$N:$N,0),
reAR,XLOOKUP($B351,AR_Input!$A:$A,AR_Input!$B:$B,reStart),
leAR,XLOOKUP($B351,AR_Input!$A:$A,AR_Input!$E:$E,leStart),
reEsc,AND(anom,OR(ABS((S351+AM351)-reStart)&gt;maxStart,ABS((S351+AM351)-reAR)&gt;maxAR)),
leEsc,AND(anom,OR(ABS((V351+AP351)-leStart)&gt;maxStart,ABS((V351+AP351)-leAR)&gt;maxAR)),
phaseMax,IFS(
 AK351="Fast",
   IFS(
     OR(C351="B",C351="D"),XLOOKUP("timeout_coarse_fast",Calibration!$B:$B,Calibration!$C:$C,24),
     OR(C351="E",C351="F",C351="H",C351="I"),XLOOKUP("timeout_jcc_fast",Calibration!$B:$B,Calibration!$C:$C,10),
     OR(C351="G",C351="J"),XLOOKUP("timeout_duochrome_fast",Calibration!$B:$B,Calibration!$C:$C,8),
     C351="K",XLOOKUP("timeout_bino_fast",Calibration!$B:$B,Calibration!$C:$C,10),
     OR(C351="P",C351="Q",C351="R"),XLOOKUP("timeout_near_fast",Calibration!$B:$B,Calibration!$C:$C,16),
     TRUE,XLOOKUP("timeout_coarse_fast",Calibration!$B:$B,Calibration!$C:$C,24)
   ),
 AK351="Normal",
   IFS(
     OR(C351="B",C351="D"),XLOOKUP("timeout_coarse_normal",Calibration!$B:$B,Calibration!$C:$C,36),
     OR(C351="E",C351="F",C351="H",C351="I"),XLOOKUP("timeout_jcc_normal",Calibration!$B:$B,Calibration!$C:$C,14),
     OR(C351="G",C351="J"),XLOOKUP("timeout_duochrome_normal",Calibration!$B:$B,Calibration!$C:$C,10),
     C351="K",XLOOKUP("timeout_bino_normal",Calibration!$B:$B,Calibration!$C:$C,14),
     OR(C351="P",C351="Q",C351="R"),XLOOKUP("timeout_near_normal",Calibration!$B:$B,Calibration!$C:$C,22),
     TRUE,XLOOKUP("timeout_coarse_normal",Calibration!$B:$B,Calibration!$C:$C,36)
   ),
 TRUE,
   IFS(
     OR(C351="B",C351="D"),XLOOKUP("timeout_coarse_slow",Calibration!$B:$B,Calibration!$C:$C,48),
     OR(C351="E",C351="F",C351="H",C351="I"),XLOOKUP("timeout_jcc_slow",Calibration!$B:$B,Calibration!$C:$C,18),
     OR(C351="G",C351="J"),XLOOKUP("timeout_duochrome_slow",Calibration!$B:$B,Calibration!$C:$C,12),
     C351="K",XLOOKUP("timeout_bino_slow",Calibration!$B:$B,Calibration!$C:$C,18),
     OR(C351="P",C351="Q",C351="R"),XLOOKUP("timeout_near_slow",Calibration!$B:$B,Calibration!$C:$C,28),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AJ351=TRUE,"ESCALATE",
C351="A",
IF(OR(I351="NOT_READABLE",I351="BLURRY",AND(R351="20_20_20",I351="READABLE")),"B","A"),
C351="B",
IF(reEsc,"ESCALATE",IF(AY351&gt;=phaseMax,"ESCALATE",IF(AND(AV351&gt;=AW351,I351="READABLE"),"E","B"))),
C351="E",
IF(AY351&gt;=phaseMax,"ESCALATE",IF(OR(I351="SAME",I351="CANT_TELL",AD351&lt;axisTol),"F","E")),
C351="F",
IF(AY351&gt;=phaseMax,"ESCALATE",IF(AX351&gt;=powerSameN,"G","F")),
C351="G",
IF(AY351&gt;=phaseMax,"ESCALATE",IF(OR(AX351&gt;=duoEqualN,BB351&gt;=duoMax),"D","G")),
C351="D",
IF(leEsc,"ESCALATE",IF(AY351&gt;=phaseMax,"ESCALATE",IF(AND(AV351&gt;=AW351,I351="READABLE"),"H","D"))),
C351="H",
IF(AY351&gt;=phaseMax,"ESCALATE",IF(OR(I351="SAME",I351="CANT_TELL",AD351&lt;axisTol),"I","H")),
C351="I",
IF(AY351&gt;=phaseMax,"ESCALATE",IF(AX351&gt;=powerSameN,"J","I")),
C351="J",
IF(AY351&gt;=phaseMax,"ESCALATE",IF(OR(AX351&gt;=duoEqualN,BB351&gt;=duoMax),"K","J")),
C351="K",
IF(AY351&gt;=phaseMax,"ESCALATE",IF(AX351&gt;=binoSameN,IF(XLOOKUP($B351,Derived_Variables!$A:$A,Derived_Variables!$AJ:$AJ,FALSE)=TRUE,"P","END"),"K")),
C351="P",
IF(AY351&gt;=phaseMax,"ESCALATE",IF(OR(I351="READABLE",I351="SAME"),"Q","P")),
C351="Q",
IF(AY351&gt;=phaseMax,"ESCALATE",IF(OR(I351="READABLE",I351="SAME"),"R","Q")),
C351="R",
IF(AY351&gt;=phaseMax,"ESCALATE",IF(OR(I351=nearTarget,I351="SAME"),"END","R")),
TRUE,"END"
)))</f>
        <v/>
      </c>
      <c r="BD351" s="28" t="b">
        <f t="shared" si="19"/>
        <v>0</v>
      </c>
    </row>
    <row r="352" ht="15.75" customHeight="1">
      <c r="A352" s="28">
        <f t="shared" si="3"/>
        <v>351</v>
      </c>
      <c r="B352" s="28">
        <f t="shared" si="4"/>
        <v>6</v>
      </c>
      <c r="C352" s="28" t="str">
        <f t="shared" si="5"/>
        <v/>
      </c>
      <c r="D352" s="28" t="str">
        <f t="array" ref="D352">IF($I351="","",XLOOKUP(C352,FSM_State_Map!A:A,FSM_State_Map!B:B,""))</f>
        <v/>
      </c>
      <c r="E352" s="28" t="str">
        <f t="array" ref="E352">IF($I351="","",XLOOKUP(C352,FSM_State_Map!A:A,FSM_State_Map!C:C,""))</f>
        <v/>
      </c>
      <c r="F352" s="28" t="str">
        <f t="array" ref="F352">IF($I351="","",XLOOKUP(E352,Phase_UI_Map!A:A,Phase_UI_Map!B:B,""))</f>
        <v/>
      </c>
      <c r="G352" s="28" t="str">
        <f t="array" ref="G352">IF($I351="","",XLOOKUP(E352,Phase_UI_Map!A:A,Phase_UI_Map!C:C,""))</f>
        <v/>
      </c>
      <c r="H352" s="28" t="str">
        <f t="array" ref="H352">IF($I351="","",XLOOKUP(E352,Phase_UI_Map!A:A,Phase_UI_Map!D:D,""))</f>
        <v/>
      </c>
      <c r="I352" s="29"/>
      <c r="J352" s="28" t="str">
        <f>IFERROR(__xludf.DUMMYFUNCTION("IF($I351="""","""",IFERROR(INDEX(FILTER(Response_Lists!$B:$B,Response_Lists!$A:$A=$H352),1),""""))"),"")</f>
        <v/>
      </c>
      <c r="K352" s="28" t="str">
        <f>IFERROR(__xludf.DUMMYFUNCTION("IF($I351="""","""",IFERROR(INDEX(FILTER(Response_Lists!$B:$B,Response_Lists!$A:$A=$H352),2),""""))"),"")</f>
        <v/>
      </c>
      <c r="L352" s="28" t="str">
        <f>IFERROR(__xludf.DUMMYFUNCTION("IF($I351="""","""",IFERROR(INDEX(FILTER(Response_Lists!$B:$B,Response_Lists!$A:$A=$H352),3),""""))"),"")</f>
        <v/>
      </c>
      <c r="M352" s="28" t="str">
        <f>IFERROR(__xludf.DUMMYFUNCTION("IF($I351="""","""",IFERROR(INDEX(FILTER(Response_Lists!$B:$B,Response_Lists!$A:$A=$H352),4),""""))"),"")</f>
        <v/>
      </c>
      <c r="N352" s="28" t="str">
        <f>IFERROR(__xludf.DUMMYFUNCTION("IF($I351="""","""",IFERROR(INDEX(FILTER(Response_Lists!$B:$B,Response_Lists!$A:$A=$H352),5),""""))"),"")</f>
        <v/>
      </c>
      <c r="O352" s="28" t="str">
        <f>IFERROR(__xludf.DUMMYFUNCTION("IF($I351="""","""",IFERROR(INDEX(FILTER(Response_Lists!$B:$B,Response_Lists!$A:$A=$H352),6),""""))"),"")</f>
        <v/>
      </c>
      <c r="P352" s="28" t="str">
        <f t="shared" si="6"/>
        <v/>
      </c>
      <c r="Q352" s="28" t="str">
        <f t="array" ref="Q352">IF($I351="","",XLOOKUP(C352,FSM_State_Map!A:A,FSM_State_Map!D:D,""))</f>
        <v/>
      </c>
      <c r="R352" s="28" t="str">
        <f t="shared" si="7"/>
        <v/>
      </c>
      <c r="S352" s="28" t="str">
        <f t="array" ref="S352">IF($I351="","",
IF(
  AND(C352="B",C351&lt;&gt;"B"),
  XLOOKUP($B352,Derived_Variables!$A:$A,Derived_Variables!$K:$K,0)
  + XLOOKUP($B352,Derived_Variables!$A:$A,Derived_Variables!$AE:$AE,0),
  S351+AM351
))</f>
        <v/>
      </c>
      <c r="T352" s="28" t="str">
        <f t="shared" ref="T352:U352" si="714">IF($I351="","",T351+AN351)</f>
        <v/>
      </c>
      <c r="U352" s="28" t="str">
        <f t="shared" si="714"/>
        <v/>
      </c>
      <c r="V352" s="28" t="str">
        <f t="array" ref="V352">IF($I351="","",
IF(
  AND(C352="D",C351&lt;&gt;"D"),
  XLOOKUP($B352,Derived_Variables!$A:$A,Derived_Variables!$N:$N,0)
  + XLOOKUP($B352,Derived_Variables!$A:$A,Derived_Variables!$AE:$AE,0),
  V351+AP351
))</f>
        <v/>
      </c>
      <c r="W352" s="28" t="str">
        <f t="shared" ref="W352:X352" si="715">IF($I351="","",W351+AQ351)</f>
        <v/>
      </c>
      <c r="X352" s="28" t="str">
        <f t="shared" si="715"/>
        <v/>
      </c>
      <c r="Y352" s="28" t="str">
        <f t="array" ref="Y352">IF($I351="","",IF(AND(C352="P",C351&lt;&gt;"P"),IFERROR(XLOOKUP($B352,Lenso_Input!$A:$A,Lenso_Input!$E:$E,0),0),Y351+AS351))</f>
        <v/>
      </c>
      <c r="Z352" s="28" t="str">
        <f t="array" ref="Z352">IF($I351="","",IF(AND(C352="Q",C351&lt;&gt;"Q"),IFERROR(XLOOKUP($B352,Lenso_Input!$A:$A,Lenso_Input!$I:$I,0),0),Z351+AT351))</f>
        <v/>
      </c>
      <c r="AA352" s="28" t="str">
        <f t="array" ref="AA352">IF($I351="","",IF(XLOOKUP($B352,Derived_Variables!$A:$A,Derived_Variables!$R:$R,"6/6_target")="6/6_target","20_20_20","40_30_25"))</f>
        <v/>
      </c>
      <c r="AB352" s="28" t="str">
        <f t="array" ref="AB352">IF($I351="","",XLOOKUP(LOWER(XLOOKUP($B352,Derived_Variables!$A:$A,Derived_Variables!$T:$T,"Standard"))&amp;"_sph_step",Calibration!$B:$B,Calibration!$C:$C,0.25))</f>
        <v/>
      </c>
      <c r="AC352" s="28" t="str">
        <f t="array" ref="AC352">IF($I351="","",XLOOKUP(LOWER(XLOOKUP($B352,Derived_Variables!$A:$A,Derived_Variables!$T:$T,"Standard"))&amp;"_cyl_step",Calibration!$B:$B,Calibration!$C:$C,0.25))</f>
        <v/>
      </c>
      <c r="AD352" s="28" t="str">
        <f t="array" ref="AD352">IF($I351="","",IF(OR(C352="E",C352="H"),LET(startStep,XLOOKUP("axis_start_step",Calibration!$B:$B,Calibration!$C:$C,5),step1,XLOOKUP("axis_reversal_step_1",Calibration!$B:$B,Calibration!$C:$C,3),step2,XLOOKUP("axis_reversal_step_2",Calibration!$B:$B,Calibration!$C:$C,1),IF(OR(C351&lt;&gt;C352,AZ352="",AZ352="SAME",AZ352="CANT_TELL",I352="",I352="SAME",I352="CANT_TELL"),startStep,IF(OR(AND(AZ352="BETTER_1",I352="BETTER_2"),AND(AZ352="BETTER_2",I352="BETTER_1")),IF(AD351&gt;step1,step1,step2),AD351))),0))</f>
        <v/>
      </c>
      <c r="AE352" s="28" t="str">
        <f t="array" ref="AE352">IF($I351="","",XLOOKUP($B352,Derived_Variables!$A:$A,Derived_Variables!$AD:$AD,"No_Fog"))</f>
        <v/>
      </c>
      <c r="AF352" s="28" t="str">
        <f t="array" ref="AF352">IF($I351="","",XLOOKUP($B352,Derived_Variables!$A:$A,Derived_Variables!$AE:$AE,0))</f>
        <v/>
      </c>
      <c r="AG352" s="28" t="str">
        <f t="array" ref="AG352">IF($I351="","",XLOOKUP($B352,Derived_Variables!$A:$A,Derived_Variables!$AF:$AF,""))</f>
        <v/>
      </c>
      <c r="AH352" s="28" t="str">
        <f t="array" ref="AH352">IF($I351="","",XLOOKUP($B352,Derived_Variables!$A:$A,Derived_Variables!$AG:$AG,""))</f>
        <v/>
      </c>
      <c r="AI352" s="28" t="str">
        <f t="array" ref="AI352">IF($I351="","",XLOOKUP($B352,Derived_Variables!$A:$A,Derived_Variables!$AC:$AC,"Medium"))</f>
        <v/>
      </c>
      <c r="AJ352" s="28" t="str">
        <f t="array" ref="AJ352">IF($I351="","",XLOOKUP($B352,Derived_Variables!$A:$A,Derived_Variables!$Y:$Y,FALSE))</f>
        <v/>
      </c>
      <c r="AK352" s="28" t="str">
        <f t="array" ref="AK352">IF($I351="","",XLOOKUP($B352,Derived_Variables!$A:$A,Derived_Variables!$AA:$AA,"Normal"))</f>
        <v/>
      </c>
      <c r="AL352" s="28" t="str">
        <f t="array" ref="AL352">IF($I351="","",XLOOKUP($B352,Derived_Variables!$A:$A,Derived_Variables!$AB:$AB,"Normal"))</f>
        <v/>
      </c>
      <c r="AM352" s="28" t="str">
        <f t="array" ref="AM352">IF($I352="","",IFS(C352="B",IF(OR(I352="NOT_READABLE",I352="BLURRY"),-AB352,0),C352="G",IFS(I352="RED_CLEARER",XLOOKUP("duochrome_red_step",Calibration!$B:$B,Calibration!$C:$C,-0.25),I352="GREEN_CLEARER",XLOOKUP("duochrome_green_step",Calibration!$B:$B,Calibration!$C:$C,0.25),I352="EQUAL",IF(XLOOKUP($B352,Derived_Variables!$A:$A,Derived_Variables!$S:$S,"Neutral")="Undercorrect",XLOOKUP("undercorrect_step",Calibration!$B:$B,Calibration!$C:$C,0.25),IF(XLOOKUP($B352,Derived_Variables!$A:$A,Derived_Variables!$S:$S,"Neutral")="Overcorrect",-XLOOKUP("overcorrect_step",Calibration!$B:$B,Calibration!$C:$C,0.25),0)),TRUE,0),C352="K",IF(I352="TOP_CLEARER",XLOOKUP("bino_balance_step",Calibration!$B:$B,Calibration!$C:$C,0.25),0),TRUE,0))</f>
        <v/>
      </c>
      <c r="AN352" s="28" t="str">
        <f t="shared" si="10"/>
        <v/>
      </c>
      <c r="AO352" s="28" t="str">
        <f t="shared" si="11"/>
        <v/>
      </c>
      <c r="AP352" s="28" t="str">
        <f t="array" ref="AP352">IF($I352="","",IFS(C352="D",IF(OR(I352="NOT_READABLE",I352="BLURRY"),-AB352,0),C352="J",IFS(I352="RED_CLEARER",XLOOKUP("duochrome_red_step",Calibration!$B:$B,Calibration!$C:$C,-0.25),I352="GREEN_CLEARER",XLOOKUP("duochrome_green_step",Calibration!$B:$B,Calibration!$C:$C,0.25),I352="EQUAL",IF(XLOOKUP($B352,Derived_Variables!$A:$A,Derived_Variables!$S:$S,"Neutral")="Undercorrect",XLOOKUP("undercorrect_step",Calibration!$B:$B,Calibration!$C:$C,0.25),IF(XLOOKUP($B352,Derived_Variables!$A:$A,Derived_Variables!$S:$S,"Neutral")="Overcorrect",-XLOOKUP("overcorrect_step",Calibration!$B:$B,Calibration!$C:$C,0.25),0)),TRUE,0),C352="K",IF(I352="BOTTOM_CLEARER",XLOOKUP("bino_balance_step",Calibration!$B:$B,Calibration!$C:$C,0.25),0),TRUE,0))</f>
        <v/>
      </c>
      <c r="AQ352" s="28" t="str">
        <f t="shared" si="12"/>
        <v/>
      </c>
      <c r="AR352" s="28" t="str">
        <f t="shared" si="13"/>
        <v/>
      </c>
      <c r="AS352" s="28" t="str">
        <f t="array" ref="AS352">IF($I352="","",IF(C352="P",IF(OR(I352="NOT_READABLE",I352="BLURRY"),XLOOKUP("near_add_step",Calibration!$B:$B,Calibration!$C:$C,0.25),0),IF(C352="R",IF(I352="NOT_CLEAR",XLOOKUP("near_add_step",Calibration!$B:$B,Calibration!$C:$C,0.25),0),0)))</f>
        <v/>
      </c>
      <c r="AT352" s="28" t="str">
        <f t="array" ref="AT352">IF($I352="","",IF(C352="Q",IF(OR(I352="NOT_READABLE",I352="BLURRY"),XLOOKUP("near_add_step",Calibration!$B:$B,Calibration!$C:$C,0.25),0),IF(C352="R",IF(I352="NOT_CLEAR",XLOOKUP("near_add_step",Calibration!$B:$B,Calibration!$C:$C,0.25),0),0)))</f>
        <v/>
      </c>
      <c r="AU352" s="28" t="str">
        <f t="array" ref="AU352">IF($I352="","",IF(G352="SNELLEN_FEET",IF(I352="READABLE",IFERROR(XLOOKUP(XLOOKUP(R352,Chart_Scale_Distance!B:B,Chart_Scale_Distance!A:A)+1,Chart_Scale_Distance!A:A,Chart_Scale_Distance!B:B),R352),R352),R352))</f>
        <v/>
      </c>
      <c r="AV352" s="28" t="str">
        <f t="array" ref="AV352">IF($I351="","",IFERROR(XLOOKUP(R352,Chart_Scale_Distance!$B:$B,Chart_Scale_Distance!$A:$A,""),""))</f>
        <v/>
      </c>
      <c r="AW352" s="28" t="str">
        <f t="array" ref="AW352">IF($I351="","",IFERROR(XLOOKUP(AA352,Chart_Scale_Distance!$B:$B,Chart_Scale_Distance!$A:$A,""),""))</f>
        <v/>
      </c>
      <c r="AX352" s="28" t="str">
        <f t="shared" si="14"/>
        <v/>
      </c>
      <c r="AY352" s="28" t="str">
        <f t="shared" si="15"/>
        <v/>
      </c>
      <c r="AZ352" s="28" t="str">
        <f t="shared" si="16"/>
        <v/>
      </c>
      <c r="BA352" s="28" t="str">
        <f t="shared" si="17"/>
        <v/>
      </c>
      <c r="BB352" s="28" t="str">
        <f t="shared" si="18"/>
        <v/>
      </c>
      <c r="BC352" s="28" t="str">
        <f t="array" ref="BC352">IF($I352="","",LET(
conf,AI352,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duoMax,XLOOKUP($B352,Derived_Variables!$A:$A,Derived_Variables!$AI:$AI,4),
axisTol,XLOOKUP($B352,Derived_Variables!$A:$A,Derived_Variables!$W:$W,1),
maxStart,XLOOKUP($B352,Derived_Variables!$A:$A,Derived_Variables!$U:$U,1.25),
maxAR,XLOOKUP($B352,Derived_Variables!$A:$A,Derived_Variables!$V:$V,3),
anom,XLOOKUP($B352,Derived_Variables!$A:$A,Derived_Variables!$Z:$Z,FALSE),
reStart,XLOOKUP($B352,Derived_Variables!$A:$A,Derived_Variables!$K:$K,0),
leStart,XLOOKUP($B352,Derived_Variables!$A:$A,Derived_Variables!$N:$N,0),
reAR,XLOOKUP($B352,AR_Input!$A:$A,AR_Input!$B:$B,reStart),
leAR,XLOOKUP($B352,AR_Input!$A:$A,AR_Input!$E:$E,leStart),
reEsc,AND(anom,OR(ABS((S352+AM352)-reStart)&gt;maxStart,ABS((S352+AM352)-reAR)&gt;maxAR)),
leEsc,AND(anom,OR(ABS((V352+AP352)-leStart)&gt;maxStart,ABS((V352+AP352)-leAR)&gt;maxAR)),
phaseMax,IFS(
 AK352="Fast",
   IFS(
     OR(C352="B",C352="D"),XLOOKUP("timeout_coarse_fast",Calibration!$B:$B,Calibration!$C:$C,24),
     OR(C352="E",C352="F",C352="H",C352="I"),XLOOKUP("timeout_jcc_fast",Calibration!$B:$B,Calibration!$C:$C,10),
     OR(C352="G",C352="J"),XLOOKUP("timeout_duochrome_fast",Calibration!$B:$B,Calibration!$C:$C,8),
     C352="K",XLOOKUP("timeout_bino_fast",Calibration!$B:$B,Calibration!$C:$C,10),
     OR(C352="P",C352="Q",C352="R"),XLOOKUP("timeout_near_fast",Calibration!$B:$B,Calibration!$C:$C,16),
     TRUE,XLOOKUP("timeout_coarse_fast",Calibration!$B:$B,Calibration!$C:$C,24)
   ),
 AK352="Normal",
   IFS(
     OR(C352="B",C352="D"),XLOOKUP("timeout_coarse_normal",Calibration!$B:$B,Calibration!$C:$C,36),
     OR(C352="E",C352="F",C352="H",C352="I"),XLOOKUP("timeout_jcc_normal",Calibration!$B:$B,Calibration!$C:$C,14),
     OR(C352="G",C352="J"),XLOOKUP("timeout_duochrome_normal",Calibration!$B:$B,Calibration!$C:$C,10),
     C352="K",XLOOKUP("timeout_bino_normal",Calibration!$B:$B,Calibration!$C:$C,14),
     OR(C352="P",C352="Q",C352="R"),XLOOKUP("timeout_near_normal",Calibration!$B:$B,Calibration!$C:$C,22),
     TRUE,XLOOKUP("timeout_coarse_normal",Calibration!$B:$B,Calibration!$C:$C,36)
   ),
 TRUE,
   IFS(
     OR(C352="B",C352="D"),XLOOKUP("timeout_coarse_slow",Calibration!$B:$B,Calibration!$C:$C,48),
     OR(C352="E",C352="F",C352="H",C352="I"),XLOOKUP("timeout_jcc_slow",Calibration!$B:$B,Calibration!$C:$C,18),
     OR(C352="G",C352="J"),XLOOKUP("timeout_duochrome_slow",Calibration!$B:$B,Calibration!$C:$C,12),
     C352="K",XLOOKUP("timeout_bino_slow",Calibration!$B:$B,Calibration!$C:$C,18),
     OR(C352="P",C352="Q",C352="R"),XLOOKUP("timeout_near_slow",Calibration!$B:$B,Calibration!$C:$C,28),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AJ352=TRUE,"ESCALATE",
C352="A",
IF(OR(I352="NOT_READABLE",I352="BLURRY",AND(R352="20_20_20",I352="READABLE")),"B","A"),
C352="B",
IF(reEsc,"ESCALATE",IF(AY352&gt;=phaseMax,"ESCALATE",IF(AND(AV352&gt;=AW352,I352="READABLE"),"E","B"))),
C352="E",
IF(AY352&gt;=phaseMax,"ESCALATE",IF(OR(I352="SAME",I352="CANT_TELL",AD352&lt;axisTol),"F","E")),
C352="F",
IF(AY352&gt;=phaseMax,"ESCALATE",IF(AX352&gt;=powerSameN,"G","F")),
C352="G",
IF(AY352&gt;=phaseMax,"ESCALATE",IF(OR(AX352&gt;=duoEqualN,BB352&gt;=duoMax),"D","G")),
C352="D",
IF(leEsc,"ESCALATE",IF(AY352&gt;=phaseMax,"ESCALATE",IF(AND(AV352&gt;=AW352,I352="READABLE"),"H","D"))),
C352="H",
IF(AY352&gt;=phaseMax,"ESCALATE",IF(OR(I352="SAME",I352="CANT_TELL",AD352&lt;axisTol),"I","H")),
C352="I",
IF(AY352&gt;=phaseMax,"ESCALATE",IF(AX352&gt;=powerSameN,"J","I")),
C352="J",
IF(AY352&gt;=phaseMax,"ESCALATE",IF(OR(AX352&gt;=duoEqualN,BB352&gt;=duoMax),"K","J")),
C352="K",
IF(AY352&gt;=phaseMax,"ESCALATE",IF(AX352&gt;=binoSameN,IF(XLOOKUP($B352,Derived_Variables!$A:$A,Derived_Variables!$AJ:$AJ,FALSE)=TRUE,"P","END"),"K")),
C352="P",
IF(AY352&gt;=phaseMax,"ESCALATE",IF(OR(I352="READABLE",I352="SAME"),"Q","P")),
C352="Q",
IF(AY352&gt;=phaseMax,"ESCALATE",IF(OR(I352="READABLE",I352="SAME"),"R","Q")),
C352="R",
IF(AY352&gt;=phaseMax,"ESCALATE",IF(OR(I352=nearTarget,I352="SAME"),"END","R")),
TRUE,"END"
)))</f>
        <v/>
      </c>
      <c r="BD352" s="28" t="b">
        <f t="shared" si="19"/>
        <v>0</v>
      </c>
    </row>
    <row r="353" ht="15.75" customHeight="1">
      <c r="A353" s="28">
        <f t="shared" si="3"/>
        <v>352</v>
      </c>
      <c r="B353" s="28">
        <f t="shared" si="4"/>
        <v>6</v>
      </c>
      <c r="C353" s="28" t="str">
        <f t="shared" si="5"/>
        <v/>
      </c>
      <c r="D353" s="28" t="str">
        <f t="array" ref="D353">IF($I352="","",XLOOKUP(C353,FSM_State_Map!A:A,FSM_State_Map!B:B,""))</f>
        <v/>
      </c>
      <c r="E353" s="28" t="str">
        <f t="array" ref="E353">IF($I352="","",XLOOKUP(C353,FSM_State_Map!A:A,FSM_State_Map!C:C,""))</f>
        <v/>
      </c>
      <c r="F353" s="28" t="str">
        <f t="array" ref="F353">IF($I352="","",XLOOKUP(E353,Phase_UI_Map!A:A,Phase_UI_Map!B:B,""))</f>
        <v/>
      </c>
      <c r="G353" s="28" t="str">
        <f t="array" ref="G353">IF($I352="","",XLOOKUP(E353,Phase_UI_Map!A:A,Phase_UI_Map!C:C,""))</f>
        <v/>
      </c>
      <c r="H353" s="28" t="str">
        <f t="array" ref="H353">IF($I352="","",XLOOKUP(E353,Phase_UI_Map!A:A,Phase_UI_Map!D:D,""))</f>
        <v/>
      </c>
      <c r="I353" s="29"/>
      <c r="J353" s="28" t="str">
        <f>IFERROR(__xludf.DUMMYFUNCTION("IF($I352="""","""",IFERROR(INDEX(FILTER(Response_Lists!$B:$B,Response_Lists!$A:$A=$H353),1),""""))"),"")</f>
        <v/>
      </c>
      <c r="K353" s="28" t="str">
        <f>IFERROR(__xludf.DUMMYFUNCTION("IF($I352="""","""",IFERROR(INDEX(FILTER(Response_Lists!$B:$B,Response_Lists!$A:$A=$H353),2),""""))"),"")</f>
        <v/>
      </c>
      <c r="L353" s="28" t="str">
        <f>IFERROR(__xludf.DUMMYFUNCTION("IF($I352="""","""",IFERROR(INDEX(FILTER(Response_Lists!$B:$B,Response_Lists!$A:$A=$H353),3),""""))"),"")</f>
        <v/>
      </c>
      <c r="M353" s="28" t="str">
        <f>IFERROR(__xludf.DUMMYFUNCTION("IF($I352="""","""",IFERROR(INDEX(FILTER(Response_Lists!$B:$B,Response_Lists!$A:$A=$H353),4),""""))"),"")</f>
        <v/>
      </c>
      <c r="N353" s="28" t="str">
        <f>IFERROR(__xludf.DUMMYFUNCTION("IF($I352="""","""",IFERROR(INDEX(FILTER(Response_Lists!$B:$B,Response_Lists!$A:$A=$H353),5),""""))"),"")</f>
        <v/>
      </c>
      <c r="O353" s="28" t="str">
        <f>IFERROR(__xludf.DUMMYFUNCTION("IF($I352="""","""",IFERROR(INDEX(FILTER(Response_Lists!$B:$B,Response_Lists!$A:$A=$H353),6),""""))"),"")</f>
        <v/>
      </c>
      <c r="P353" s="28" t="str">
        <f t="shared" si="6"/>
        <v/>
      </c>
      <c r="Q353" s="28" t="str">
        <f t="array" ref="Q353">IF($I352="","",XLOOKUP(C353,FSM_State_Map!A:A,FSM_State_Map!D:D,""))</f>
        <v/>
      </c>
      <c r="R353" s="28" t="str">
        <f t="shared" si="7"/>
        <v/>
      </c>
      <c r="S353" s="28" t="str">
        <f t="array" ref="S353">IF($I352="","",
IF(
  AND(C353="B",C352&lt;&gt;"B"),
  XLOOKUP($B353,Derived_Variables!$A:$A,Derived_Variables!$K:$K,0)
  + XLOOKUP($B353,Derived_Variables!$A:$A,Derived_Variables!$AE:$AE,0),
  S352+AM352
))</f>
        <v/>
      </c>
      <c r="T353" s="28" t="str">
        <f t="shared" ref="T353:U353" si="716">IF($I352="","",T352+AN352)</f>
        <v/>
      </c>
      <c r="U353" s="28" t="str">
        <f t="shared" si="716"/>
        <v/>
      </c>
      <c r="V353" s="28" t="str">
        <f t="array" ref="V353">IF($I352="","",
IF(
  AND(C353="D",C352&lt;&gt;"D"),
  XLOOKUP($B353,Derived_Variables!$A:$A,Derived_Variables!$N:$N,0)
  + XLOOKUP($B353,Derived_Variables!$A:$A,Derived_Variables!$AE:$AE,0),
  V352+AP352
))</f>
        <v/>
      </c>
      <c r="W353" s="28" t="str">
        <f t="shared" ref="W353:X353" si="717">IF($I352="","",W352+AQ352)</f>
        <v/>
      </c>
      <c r="X353" s="28" t="str">
        <f t="shared" si="717"/>
        <v/>
      </c>
      <c r="Y353" s="28" t="str">
        <f t="array" ref="Y353">IF($I352="","",IF(AND(C353="P",C352&lt;&gt;"P"),IFERROR(XLOOKUP($B353,Lenso_Input!$A:$A,Lenso_Input!$E:$E,0),0),Y352+AS352))</f>
        <v/>
      </c>
      <c r="Z353" s="28" t="str">
        <f t="array" ref="Z353">IF($I352="","",IF(AND(C353="Q",C352&lt;&gt;"Q"),IFERROR(XLOOKUP($B353,Lenso_Input!$A:$A,Lenso_Input!$I:$I,0),0),Z352+AT352))</f>
        <v/>
      </c>
      <c r="AA353" s="28" t="str">
        <f t="array" ref="AA353">IF($I352="","",IF(XLOOKUP($B353,Derived_Variables!$A:$A,Derived_Variables!$R:$R,"6/6_target")="6/6_target","20_20_20","40_30_25"))</f>
        <v/>
      </c>
      <c r="AB353" s="28" t="str">
        <f t="array" ref="AB353">IF($I352="","",XLOOKUP(LOWER(XLOOKUP($B353,Derived_Variables!$A:$A,Derived_Variables!$T:$T,"Standard"))&amp;"_sph_step",Calibration!$B:$B,Calibration!$C:$C,0.25))</f>
        <v/>
      </c>
      <c r="AC353" s="28" t="str">
        <f t="array" ref="AC353">IF($I352="","",XLOOKUP(LOWER(XLOOKUP($B353,Derived_Variables!$A:$A,Derived_Variables!$T:$T,"Standard"))&amp;"_cyl_step",Calibration!$B:$B,Calibration!$C:$C,0.25))</f>
        <v/>
      </c>
      <c r="AD353" s="28" t="str">
        <f t="array" ref="AD353">IF($I352="","",IF(OR(C353="E",C353="H"),LET(startStep,XLOOKUP("axis_start_step",Calibration!$B:$B,Calibration!$C:$C,5),step1,XLOOKUP("axis_reversal_step_1",Calibration!$B:$B,Calibration!$C:$C,3),step2,XLOOKUP("axis_reversal_step_2",Calibration!$B:$B,Calibration!$C:$C,1),IF(OR(C352&lt;&gt;C353,AZ353="",AZ353="SAME",AZ353="CANT_TELL",I353="",I353="SAME",I353="CANT_TELL"),startStep,IF(OR(AND(AZ353="BETTER_1",I353="BETTER_2"),AND(AZ353="BETTER_2",I353="BETTER_1")),IF(AD352&gt;step1,step1,step2),AD352))),0))</f>
        <v/>
      </c>
      <c r="AE353" s="28" t="str">
        <f t="array" ref="AE353">IF($I352="","",XLOOKUP($B353,Derived_Variables!$A:$A,Derived_Variables!$AD:$AD,"No_Fog"))</f>
        <v/>
      </c>
      <c r="AF353" s="28" t="str">
        <f t="array" ref="AF353">IF($I352="","",XLOOKUP($B353,Derived_Variables!$A:$A,Derived_Variables!$AE:$AE,0))</f>
        <v/>
      </c>
      <c r="AG353" s="28" t="str">
        <f t="array" ref="AG353">IF($I352="","",XLOOKUP($B353,Derived_Variables!$A:$A,Derived_Variables!$AF:$AF,""))</f>
        <v/>
      </c>
      <c r="AH353" s="28" t="str">
        <f t="array" ref="AH353">IF($I352="","",XLOOKUP($B353,Derived_Variables!$A:$A,Derived_Variables!$AG:$AG,""))</f>
        <v/>
      </c>
      <c r="AI353" s="28" t="str">
        <f t="array" ref="AI353">IF($I352="","",XLOOKUP($B353,Derived_Variables!$A:$A,Derived_Variables!$AC:$AC,"Medium"))</f>
        <v/>
      </c>
      <c r="AJ353" s="28" t="str">
        <f t="array" ref="AJ353">IF($I352="","",XLOOKUP($B353,Derived_Variables!$A:$A,Derived_Variables!$Y:$Y,FALSE))</f>
        <v/>
      </c>
      <c r="AK353" s="28" t="str">
        <f t="array" ref="AK353">IF($I352="","",XLOOKUP($B353,Derived_Variables!$A:$A,Derived_Variables!$AA:$AA,"Normal"))</f>
        <v/>
      </c>
      <c r="AL353" s="28" t="str">
        <f t="array" ref="AL353">IF($I352="","",XLOOKUP($B353,Derived_Variables!$A:$A,Derived_Variables!$AB:$AB,"Normal"))</f>
        <v/>
      </c>
      <c r="AM353" s="28" t="str">
        <f t="array" ref="AM353">IF($I353="","",IFS(C353="B",IF(OR(I353="NOT_READABLE",I353="BLURRY"),-AB353,0),C353="G",IFS(I353="RED_CLEARER",XLOOKUP("duochrome_red_step",Calibration!$B:$B,Calibration!$C:$C,-0.25),I353="GREEN_CLEARER",XLOOKUP("duochrome_green_step",Calibration!$B:$B,Calibration!$C:$C,0.25),I353="EQUAL",IF(XLOOKUP($B353,Derived_Variables!$A:$A,Derived_Variables!$S:$S,"Neutral")="Undercorrect",XLOOKUP("undercorrect_step",Calibration!$B:$B,Calibration!$C:$C,0.25),IF(XLOOKUP($B353,Derived_Variables!$A:$A,Derived_Variables!$S:$S,"Neutral")="Overcorrect",-XLOOKUP("overcorrect_step",Calibration!$B:$B,Calibration!$C:$C,0.25),0)),TRUE,0),C353="K",IF(I353="TOP_CLEARER",XLOOKUP("bino_balance_step",Calibration!$B:$B,Calibration!$C:$C,0.25),0),TRUE,0))</f>
        <v/>
      </c>
      <c r="AN353" s="28" t="str">
        <f t="shared" si="10"/>
        <v/>
      </c>
      <c r="AO353" s="28" t="str">
        <f t="shared" si="11"/>
        <v/>
      </c>
      <c r="AP353" s="28" t="str">
        <f t="array" ref="AP353">IF($I353="","",IFS(C353="D",IF(OR(I353="NOT_READABLE",I353="BLURRY"),-AB353,0),C353="J",IFS(I353="RED_CLEARER",XLOOKUP("duochrome_red_step",Calibration!$B:$B,Calibration!$C:$C,-0.25),I353="GREEN_CLEARER",XLOOKUP("duochrome_green_step",Calibration!$B:$B,Calibration!$C:$C,0.25),I353="EQUAL",IF(XLOOKUP($B353,Derived_Variables!$A:$A,Derived_Variables!$S:$S,"Neutral")="Undercorrect",XLOOKUP("undercorrect_step",Calibration!$B:$B,Calibration!$C:$C,0.25),IF(XLOOKUP($B353,Derived_Variables!$A:$A,Derived_Variables!$S:$S,"Neutral")="Overcorrect",-XLOOKUP("overcorrect_step",Calibration!$B:$B,Calibration!$C:$C,0.25),0)),TRUE,0),C353="K",IF(I353="BOTTOM_CLEARER",XLOOKUP("bino_balance_step",Calibration!$B:$B,Calibration!$C:$C,0.25),0),TRUE,0))</f>
        <v/>
      </c>
      <c r="AQ353" s="28" t="str">
        <f t="shared" si="12"/>
        <v/>
      </c>
      <c r="AR353" s="28" t="str">
        <f t="shared" si="13"/>
        <v/>
      </c>
      <c r="AS353" s="28" t="str">
        <f t="array" ref="AS353">IF($I353="","",IF(C353="P",IF(OR(I353="NOT_READABLE",I353="BLURRY"),XLOOKUP("near_add_step",Calibration!$B:$B,Calibration!$C:$C,0.25),0),IF(C353="R",IF(I353="NOT_CLEAR",XLOOKUP("near_add_step",Calibration!$B:$B,Calibration!$C:$C,0.25),0),0)))</f>
        <v/>
      </c>
      <c r="AT353" s="28" t="str">
        <f t="array" ref="AT353">IF($I353="","",IF(C353="Q",IF(OR(I353="NOT_READABLE",I353="BLURRY"),XLOOKUP("near_add_step",Calibration!$B:$B,Calibration!$C:$C,0.25),0),IF(C353="R",IF(I353="NOT_CLEAR",XLOOKUP("near_add_step",Calibration!$B:$B,Calibration!$C:$C,0.25),0),0)))</f>
        <v/>
      </c>
      <c r="AU353" s="28" t="str">
        <f t="array" ref="AU353">IF($I353="","",IF(G353="SNELLEN_FEET",IF(I353="READABLE",IFERROR(XLOOKUP(XLOOKUP(R353,Chart_Scale_Distance!B:B,Chart_Scale_Distance!A:A)+1,Chart_Scale_Distance!A:A,Chart_Scale_Distance!B:B),R353),R353),R353))</f>
        <v/>
      </c>
      <c r="AV353" s="28" t="str">
        <f t="array" ref="AV353">IF($I352="","",IFERROR(XLOOKUP(R353,Chart_Scale_Distance!$B:$B,Chart_Scale_Distance!$A:$A,""),""))</f>
        <v/>
      </c>
      <c r="AW353" s="28" t="str">
        <f t="array" ref="AW353">IF($I352="","",IFERROR(XLOOKUP(AA353,Chart_Scale_Distance!$B:$B,Chart_Scale_Distance!$A:$A,""),""))</f>
        <v/>
      </c>
      <c r="AX353" s="28" t="str">
        <f t="shared" si="14"/>
        <v/>
      </c>
      <c r="AY353" s="28" t="str">
        <f t="shared" si="15"/>
        <v/>
      </c>
      <c r="AZ353" s="28" t="str">
        <f t="shared" si="16"/>
        <v/>
      </c>
      <c r="BA353" s="28" t="str">
        <f t="shared" si="17"/>
        <v/>
      </c>
      <c r="BB353" s="28" t="str">
        <f t="shared" si="18"/>
        <v/>
      </c>
      <c r="BC353" s="28" t="str">
        <f t="array" ref="BC353">IF($I353="","",LET(
conf,AI353,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duoMax,XLOOKUP($B353,Derived_Variables!$A:$A,Derived_Variables!$AI:$AI,4),
axisTol,XLOOKUP($B353,Derived_Variables!$A:$A,Derived_Variables!$W:$W,1),
maxStart,XLOOKUP($B353,Derived_Variables!$A:$A,Derived_Variables!$U:$U,1.25),
maxAR,XLOOKUP($B353,Derived_Variables!$A:$A,Derived_Variables!$V:$V,3),
anom,XLOOKUP($B353,Derived_Variables!$A:$A,Derived_Variables!$Z:$Z,FALSE),
reStart,XLOOKUP($B353,Derived_Variables!$A:$A,Derived_Variables!$K:$K,0),
leStart,XLOOKUP($B353,Derived_Variables!$A:$A,Derived_Variables!$N:$N,0),
reAR,XLOOKUP($B353,AR_Input!$A:$A,AR_Input!$B:$B,reStart),
leAR,XLOOKUP($B353,AR_Input!$A:$A,AR_Input!$E:$E,leStart),
reEsc,AND(anom,OR(ABS((S353+AM353)-reStart)&gt;maxStart,ABS((S353+AM353)-reAR)&gt;maxAR)),
leEsc,AND(anom,OR(ABS((V353+AP353)-leStart)&gt;maxStart,ABS((V353+AP353)-leAR)&gt;maxAR)),
phaseMax,IFS(
 AK353="Fast",
   IFS(
     OR(C353="B",C353="D"),XLOOKUP("timeout_coarse_fast",Calibration!$B:$B,Calibration!$C:$C,24),
     OR(C353="E",C353="F",C353="H",C353="I"),XLOOKUP("timeout_jcc_fast",Calibration!$B:$B,Calibration!$C:$C,10),
     OR(C353="G",C353="J"),XLOOKUP("timeout_duochrome_fast",Calibration!$B:$B,Calibration!$C:$C,8),
     C353="K",XLOOKUP("timeout_bino_fast",Calibration!$B:$B,Calibration!$C:$C,10),
     OR(C353="P",C353="Q",C353="R"),XLOOKUP("timeout_near_fast",Calibration!$B:$B,Calibration!$C:$C,16),
     TRUE,XLOOKUP("timeout_coarse_fast",Calibration!$B:$B,Calibration!$C:$C,24)
   ),
 AK353="Normal",
   IFS(
     OR(C353="B",C353="D"),XLOOKUP("timeout_coarse_normal",Calibration!$B:$B,Calibration!$C:$C,36),
     OR(C353="E",C353="F",C353="H",C353="I"),XLOOKUP("timeout_jcc_normal",Calibration!$B:$B,Calibration!$C:$C,14),
     OR(C353="G",C353="J"),XLOOKUP("timeout_duochrome_normal",Calibration!$B:$B,Calibration!$C:$C,10),
     C353="K",XLOOKUP("timeout_bino_normal",Calibration!$B:$B,Calibration!$C:$C,14),
     OR(C353="P",C353="Q",C353="R"),XLOOKUP("timeout_near_normal",Calibration!$B:$B,Calibration!$C:$C,22),
     TRUE,XLOOKUP("timeout_coarse_normal",Calibration!$B:$B,Calibration!$C:$C,36)
   ),
 TRUE,
   IFS(
     OR(C353="B",C353="D"),XLOOKUP("timeout_coarse_slow",Calibration!$B:$B,Calibration!$C:$C,48),
     OR(C353="E",C353="F",C353="H",C353="I"),XLOOKUP("timeout_jcc_slow",Calibration!$B:$B,Calibration!$C:$C,18),
     OR(C353="G",C353="J"),XLOOKUP("timeout_duochrome_slow",Calibration!$B:$B,Calibration!$C:$C,12),
     C353="K",XLOOKUP("timeout_bino_slow",Calibration!$B:$B,Calibration!$C:$C,18),
     OR(C353="P",C353="Q",C353="R"),XLOOKUP("timeout_near_slow",Calibration!$B:$B,Calibration!$C:$C,28),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AJ353=TRUE,"ESCALATE",
C353="A",
IF(OR(I353="NOT_READABLE",I353="BLURRY",AND(R353="20_20_20",I353="READABLE")),"B","A"),
C353="B",
IF(reEsc,"ESCALATE",IF(AY353&gt;=phaseMax,"ESCALATE",IF(AND(AV353&gt;=AW353,I353="READABLE"),"E","B"))),
C353="E",
IF(AY353&gt;=phaseMax,"ESCALATE",IF(OR(I353="SAME",I353="CANT_TELL",AD353&lt;axisTol),"F","E")),
C353="F",
IF(AY353&gt;=phaseMax,"ESCALATE",IF(AX353&gt;=powerSameN,"G","F")),
C353="G",
IF(AY353&gt;=phaseMax,"ESCALATE",IF(OR(AX353&gt;=duoEqualN,BB353&gt;=duoMax),"D","G")),
C353="D",
IF(leEsc,"ESCALATE",IF(AY353&gt;=phaseMax,"ESCALATE",IF(AND(AV353&gt;=AW353,I353="READABLE"),"H","D"))),
C353="H",
IF(AY353&gt;=phaseMax,"ESCALATE",IF(OR(I353="SAME",I353="CANT_TELL",AD353&lt;axisTol),"I","H")),
C353="I",
IF(AY353&gt;=phaseMax,"ESCALATE",IF(AX353&gt;=powerSameN,"J","I")),
C353="J",
IF(AY353&gt;=phaseMax,"ESCALATE",IF(OR(AX353&gt;=duoEqualN,BB353&gt;=duoMax),"K","J")),
C353="K",
IF(AY353&gt;=phaseMax,"ESCALATE",IF(AX353&gt;=binoSameN,IF(XLOOKUP($B353,Derived_Variables!$A:$A,Derived_Variables!$AJ:$AJ,FALSE)=TRUE,"P","END"),"K")),
C353="P",
IF(AY353&gt;=phaseMax,"ESCALATE",IF(OR(I353="READABLE",I353="SAME"),"Q","P")),
C353="Q",
IF(AY353&gt;=phaseMax,"ESCALATE",IF(OR(I353="READABLE",I353="SAME"),"R","Q")),
C353="R",
IF(AY353&gt;=phaseMax,"ESCALATE",IF(OR(I353=nearTarget,I353="SAME"),"END","R")),
TRUE,"END"
)))</f>
        <v/>
      </c>
      <c r="BD353" s="28" t="b">
        <f t="shared" si="19"/>
        <v>0</v>
      </c>
    </row>
    <row r="354" ht="15.75" customHeight="1">
      <c r="A354" s="28">
        <f t="shared" si="3"/>
        <v>353</v>
      </c>
      <c r="B354" s="28">
        <f t="shared" si="4"/>
        <v>6</v>
      </c>
      <c r="C354" s="28" t="str">
        <f t="shared" si="5"/>
        <v/>
      </c>
      <c r="D354" s="28" t="str">
        <f t="array" ref="D354">IF($I353="","",XLOOKUP(C354,FSM_State_Map!A:A,FSM_State_Map!B:B,""))</f>
        <v/>
      </c>
      <c r="E354" s="28" t="str">
        <f t="array" ref="E354">IF($I353="","",XLOOKUP(C354,FSM_State_Map!A:A,FSM_State_Map!C:C,""))</f>
        <v/>
      </c>
      <c r="F354" s="28" t="str">
        <f t="array" ref="F354">IF($I353="","",XLOOKUP(E354,Phase_UI_Map!A:A,Phase_UI_Map!B:B,""))</f>
        <v/>
      </c>
      <c r="G354" s="28" t="str">
        <f t="array" ref="G354">IF($I353="","",XLOOKUP(E354,Phase_UI_Map!A:A,Phase_UI_Map!C:C,""))</f>
        <v/>
      </c>
      <c r="H354" s="28" t="str">
        <f t="array" ref="H354">IF($I353="","",XLOOKUP(E354,Phase_UI_Map!A:A,Phase_UI_Map!D:D,""))</f>
        <v/>
      </c>
      <c r="I354" s="29"/>
      <c r="J354" s="28" t="str">
        <f>IFERROR(__xludf.DUMMYFUNCTION("IF($I353="""","""",IFERROR(INDEX(FILTER(Response_Lists!$B:$B,Response_Lists!$A:$A=$H354),1),""""))"),"")</f>
        <v/>
      </c>
      <c r="K354" s="28" t="str">
        <f>IFERROR(__xludf.DUMMYFUNCTION("IF($I353="""","""",IFERROR(INDEX(FILTER(Response_Lists!$B:$B,Response_Lists!$A:$A=$H354),2),""""))"),"")</f>
        <v/>
      </c>
      <c r="L354" s="28" t="str">
        <f>IFERROR(__xludf.DUMMYFUNCTION("IF($I353="""","""",IFERROR(INDEX(FILTER(Response_Lists!$B:$B,Response_Lists!$A:$A=$H354),3),""""))"),"")</f>
        <v/>
      </c>
      <c r="M354" s="28" t="str">
        <f>IFERROR(__xludf.DUMMYFUNCTION("IF($I353="""","""",IFERROR(INDEX(FILTER(Response_Lists!$B:$B,Response_Lists!$A:$A=$H354),4),""""))"),"")</f>
        <v/>
      </c>
      <c r="N354" s="28" t="str">
        <f>IFERROR(__xludf.DUMMYFUNCTION("IF($I353="""","""",IFERROR(INDEX(FILTER(Response_Lists!$B:$B,Response_Lists!$A:$A=$H354),5),""""))"),"")</f>
        <v/>
      </c>
      <c r="O354" s="28" t="str">
        <f>IFERROR(__xludf.DUMMYFUNCTION("IF($I353="""","""",IFERROR(INDEX(FILTER(Response_Lists!$B:$B,Response_Lists!$A:$A=$H354),6),""""))"),"")</f>
        <v/>
      </c>
      <c r="P354" s="28" t="str">
        <f t="shared" si="6"/>
        <v/>
      </c>
      <c r="Q354" s="28" t="str">
        <f t="array" ref="Q354">IF($I353="","",XLOOKUP(C354,FSM_State_Map!A:A,FSM_State_Map!D:D,""))</f>
        <v/>
      </c>
      <c r="R354" s="28" t="str">
        <f t="shared" si="7"/>
        <v/>
      </c>
      <c r="S354" s="28" t="str">
        <f t="array" ref="S354">IF($I353="","",
IF(
  AND(C354="B",C353&lt;&gt;"B"),
  XLOOKUP($B354,Derived_Variables!$A:$A,Derived_Variables!$K:$K,0)
  + XLOOKUP($B354,Derived_Variables!$A:$A,Derived_Variables!$AE:$AE,0),
  S353+AM353
))</f>
        <v/>
      </c>
      <c r="T354" s="28" t="str">
        <f t="shared" ref="T354:U354" si="718">IF($I353="","",T353+AN353)</f>
        <v/>
      </c>
      <c r="U354" s="28" t="str">
        <f t="shared" si="718"/>
        <v/>
      </c>
      <c r="V354" s="28" t="str">
        <f t="array" ref="V354">IF($I353="","",
IF(
  AND(C354="D",C353&lt;&gt;"D"),
  XLOOKUP($B354,Derived_Variables!$A:$A,Derived_Variables!$N:$N,0)
  + XLOOKUP($B354,Derived_Variables!$A:$A,Derived_Variables!$AE:$AE,0),
  V353+AP353
))</f>
        <v/>
      </c>
      <c r="W354" s="28" t="str">
        <f t="shared" ref="W354:X354" si="719">IF($I353="","",W353+AQ353)</f>
        <v/>
      </c>
      <c r="X354" s="28" t="str">
        <f t="shared" si="719"/>
        <v/>
      </c>
      <c r="Y354" s="28" t="str">
        <f t="array" ref="Y354">IF($I353="","",IF(AND(C354="P",C353&lt;&gt;"P"),IFERROR(XLOOKUP($B354,Lenso_Input!$A:$A,Lenso_Input!$E:$E,0),0),Y353+AS353))</f>
        <v/>
      </c>
      <c r="Z354" s="28" t="str">
        <f t="array" ref="Z354">IF($I353="","",IF(AND(C354="Q",C353&lt;&gt;"Q"),IFERROR(XLOOKUP($B354,Lenso_Input!$A:$A,Lenso_Input!$I:$I,0),0),Z353+AT353))</f>
        <v/>
      </c>
      <c r="AA354" s="28" t="str">
        <f t="array" ref="AA354">IF($I353="","",IF(XLOOKUP($B354,Derived_Variables!$A:$A,Derived_Variables!$R:$R,"6/6_target")="6/6_target","20_20_20","40_30_25"))</f>
        <v/>
      </c>
      <c r="AB354" s="28" t="str">
        <f t="array" ref="AB354">IF($I353="","",XLOOKUP(LOWER(XLOOKUP($B354,Derived_Variables!$A:$A,Derived_Variables!$T:$T,"Standard"))&amp;"_sph_step",Calibration!$B:$B,Calibration!$C:$C,0.25))</f>
        <v/>
      </c>
      <c r="AC354" s="28" t="str">
        <f t="array" ref="AC354">IF($I353="","",XLOOKUP(LOWER(XLOOKUP($B354,Derived_Variables!$A:$A,Derived_Variables!$T:$T,"Standard"))&amp;"_cyl_step",Calibration!$B:$B,Calibration!$C:$C,0.25))</f>
        <v/>
      </c>
      <c r="AD354" s="28" t="str">
        <f t="array" ref="AD354">IF($I353="","",IF(OR(C354="E",C354="H"),LET(startStep,XLOOKUP("axis_start_step",Calibration!$B:$B,Calibration!$C:$C,5),step1,XLOOKUP("axis_reversal_step_1",Calibration!$B:$B,Calibration!$C:$C,3),step2,XLOOKUP("axis_reversal_step_2",Calibration!$B:$B,Calibration!$C:$C,1),IF(OR(C353&lt;&gt;C354,AZ354="",AZ354="SAME",AZ354="CANT_TELL",I354="",I354="SAME",I354="CANT_TELL"),startStep,IF(OR(AND(AZ354="BETTER_1",I354="BETTER_2"),AND(AZ354="BETTER_2",I354="BETTER_1")),IF(AD353&gt;step1,step1,step2),AD353))),0))</f>
        <v/>
      </c>
      <c r="AE354" s="28" t="str">
        <f t="array" ref="AE354">IF($I353="","",XLOOKUP($B354,Derived_Variables!$A:$A,Derived_Variables!$AD:$AD,"No_Fog"))</f>
        <v/>
      </c>
      <c r="AF354" s="28" t="str">
        <f t="array" ref="AF354">IF($I353="","",XLOOKUP($B354,Derived_Variables!$A:$A,Derived_Variables!$AE:$AE,0))</f>
        <v/>
      </c>
      <c r="AG354" s="28" t="str">
        <f t="array" ref="AG354">IF($I353="","",XLOOKUP($B354,Derived_Variables!$A:$A,Derived_Variables!$AF:$AF,""))</f>
        <v/>
      </c>
      <c r="AH354" s="28" t="str">
        <f t="array" ref="AH354">IF($I353="","",XLOOKUP($B354,Derived_Variables!$A:$A,Derived_Variables!$AG:$AG,""))</f>
        <v/>
      </c>
      <c r="AI354" s="28" t="str">
        <f t="array" ref="AI354">IF($I353="","",XLOOKUP($B354,Derived_Variables!$A:$A,Derived_Variables!$AC:$AC,"Medium"))</f>
        <v/>
      </c>
      <c r="AJ354" s="28" t="str">
        <f t="array" ref="AJ354">IF($I353="","",XLOOKUP($B354,Derived_Variables!$A:$A,Derived_Variables!$Y:$Y,FALSE))</f>
        <v/>
      </c>
      <c r="AK354" s="28" t="str">
        <f t="array" ref="AK354">IF($I353="","",XLOOKUP($B354,Derived_Variables!$A:$A,Derived_Variables!$AA:$AA,"Normal"))</f>
        <v/>
      </c>
      <c r="AL354" s="28" t="str">
        <f t="array" ref="AL354">IF($I353="","",XLOOKUP($B354,Derived_Variables!$A:$A,Derived_Variables!$AB:$AB,"Normal"))</f>
        <v/>
      </c>
      <c r="AM354" s="28" t="str">
        <f t="array" ref="AM354">IF($I354="","",IFS(C354="B",IF(OR(I354="NOT_READABLE",I354="BLURRY"),-AB354,0),C354="G",IFS(I354="RED_CLEARER",XLOOKUP("duochrome_red_step",Calibration!$B:$B,Calibration!$C:$C,-0.25),I354="GREEN_CLEARER",XLOOKUP("duochrome_green_step",Calibration!$B:$B,Calibration!$C:$C,0.25),I354="EQUAL",IF(XLOOKUP($B354,Derived_Variables!$A:$A,Derived_Variables!$S:$S,"Neutral")="Undercorrect",XLOOKUP("undercorrect_step",Calibration!$B:$B,Calibration!$C:$C,0.25),IF(XLOOKUP($B354,Derived_Variables!$A:$A,Derived_Variables!$S:$S,"Neutral")="Overcorrect",-XLOOKUP("overcorrect_step",Calibration!$B:$B,Calibration!$C:$C,0.25),0)),TRUE,0),C354="K",IF(I354="TOP_CLEARER",XLOOKUP("bino_balance_step",Calibration!$B:$B,Calibration!$C:$C,0.25),0),TRUE,0))</f>
        <v/>
      </c>
      <c r="AN354" s="28" t="str">
        <f t="shared" si="10"/>
        <v/>
      </c>
      <c r="AO354" s="28" t="str">
        <f t="shared" si="11"/>
        <v/>
      </c>
      <c r="AP354" s="28" t="str">
        <f t="array" ref="AP354">IF($I354="","",IFS(C354="D",IF(OR(I354="NOT_READABLE",I354="BLURRY"),-AB354,0),C354="J",IFS(I354="RED_CLEARER",XLOOKUP("duochrome_red_step",Calibration!$B:$B,Calibration!$C:$C,-0.25),I354="GREEN_CLEARER",XLOOKUP("duochrome_green_step",Calibration!$B:$B,Calibration!$C:$C,0.25),I354="EQUAL",IF(XLOOKUP($B354,Derived_Variables!$A:$A,Derived_Variables!$S:$S,"Neutral")="Undercorrect",XLOOKUP("undercorrect_step",Calibration!$B:$B,Calibration!$C:$C,0.25),IF(XLOOKUP($B354,Derived_Variables!$A:$A,Derived_Variables!$S:$S,"Neutral")="Overcorrect",-XLOOKUP("overcorrect_step",Calibration!$B:$B,Calibration!$C:$C,0.25),0)),TRUE,0),C354="K",IF(I354="BOTTOM_CLEARER",XLOOKUP("bino_balance_step",Calibration!$B:$B,Calibration!$C:$C,0.25),0),TRUE,0))</f>
        <v/>
      </c>
      <c r="AQ354" s="28" t="str">
        <f t="shared" si="12"/>
        <v/>
      </c>
      <c r="AR354" s="28" t="str">
        <f t="shared" si="13"/>
        <v/>
      </c>
      <c r="AS354" s="28" t="str">
        <f t="array" ref="AS354">IF($I354="","",IF(C354="P",IF(OR(I354="NOT_READABLE",I354="BLURRY"),XLOOKUP("near_add_step",Calibration!$B:$B,Calibration!$C:$C,0.25),0),IF(C354="R",IF(I354="NOT_CLEAR",XLOOKUP("near_add_step",Calibration!$B:$B,Calibration!$C:$C,0.25),0),0)))</f>
        <v/>
      </c>
      <c r="AT354" s="28" t="str">
        <f t="array" ref="AT354">IF($I354="","",IF(C354="Q",IF(OR(I354="NOT_READABLE",I354="BLURRY"),XLOOKUP("near_add_step",Calibration!$B:$B,Calibration!$C:$C,0.25),0),IF(C354="R",IF(I354="NOT_CLEAR",XLOOKUP("near_add_step",Calibration!$B:$B,Calibration!$C:$C,0.25),0),0)))</f>
        <v/>
      </c>
      <c r="AU354" s="28" t="str">
        <f t="array" ref="AU354">IF($I354="","",IF(G354="SNELLEN_FEET",IF(I354="READABLE",IFERROR(XLOOKUP(XLOOKUP(R354,Chart_Scale_Distance!B:B,Chart_Scale_Distance!A:A)+1,Chart_Scale_Distance!A:A,Chart_Scale_Distance!B:B),R354),R354),R354))</f>
        <v/>
      </c>
      <c r="AV354" s="28" t="str">
        <f t="array" ref="AV354">IF($I353="","",IFERROR(XLOOKUP(R354,Chart_Scale_Distance!$B:$B,Chart_Scale_Distance!$A:$A,""),""))</f>
        <v/>
      </c>
      <c r="AW354" s="28" t="str">
        <f t="array" ref="AW354">IF($I353="","",IFERROR(XLOOKUP(AA354,Chart_Scale_Distance!$B:$B,Chart_Scale_Distance!$A:$A,""),""))</f>
        <v/>
      </c>
      <c r="AX354" s="28" t="str">
        <f t="shared" si="14"/>
        <v/>
      </c>
      <c r="AY354" s="28" t="str">
        <f t="shared" si="15"/>
        <v/>
      </c>
      <c r="AZ354" s="28" t="str">
        <f t="shared" si="16"/>
        <v/>
      </c>
      <c r="BA354" s="28" t="str">
        <f t="shared" si="17"/>
        <v/>
      </c>
      <c r="BB354" s="28" t="str">
        <f t="shared" si="18"/>
        <v/>
      </c>
      <c r="BC354" s="28" t="str">
        <f t="array" ref="BC354">IF($I354="","",LET(
conf,AI354,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duoMax,XLOOKUP($B354,Derived_Variables!$A:$A,Derived_Variables!$AI:$AI,4),
axisTol,XLOOKUP($B354,Derived_Variables!$A:$A,Derived_Variables!$W:$W,1),
maxStart,XLOOKUP($B354,Derived_Variables!$A:$A,Derived_Variables!$U:$U,1.25),
maxAR,XLOOKUP($B354,Derived_Variables!$A:$A,Derived_Variables!$V:$V,3),
anom,XLOOKUP($B354,Derived_Variables!$A:$A,Derived_Variables!$Z:$Z,FALSE),
reStart,XLOOKUP($B354,Derived_Variables!$A:$A,Derived_Variables!$K:$K,0),
leStart,XLOOKUP($B354,Derived_Variables!$A:$A,Derived_Variables!$N:$N,0),
reAR,XLOOKUP($B354,AR_Input!$A:$A,AR_Input!$B:$B,reStart),
leAR,XLOOKUP($B354,AR_Input!$A:$A,AR_Input!$E:$E,leStart),
reEsc,AND(anom,OR(ABS((S354+AM354)-reStart)&gt;maxStart,ABS((S354+AM354)-reAR)&gt;maxAR)),
leEsc,AND(anom,OR(ABS((V354+AP354)-leStart)&gt;maxStart,ABS((V354+AP354)-leAR)&gt;maxAR)),
phaseMax,IFS(
 AK354="Fast",
   IFS(
     OR(C354="B",C354="D"),XLOOKUP("timeout_coarse_fast",Calibration!$B:$B,Calibration!$C:$C,24),
     OR(C354="E",C354="F",C354="H",C354="I"),XLOOKUP("timeout_jcc_fast",Calibration!$B:$B,Calibration!$C:$C,10),
     OR(C354="G",C354="J"),XLOOKUP("timeout_duochrome_fast",Calibration!$B:$B,Calibration!$C:$C,8),
     C354="K",XLOOKUP("timeout_bino_fast",Calibration!$B:$B,Calibration!$C:$C,10),
     OR(C354="P",C354="Q",C354="R"),XLOOKUP("timeout_near_fast",Calibration!$B:$B,Calibration!$C:$C,16),
     TRUE,XLOOKUP("timeout_coarse_fast",Calibration!$B:$B,Calibration!$C:$C,24)
   ),
 AK354="Normal",
   IFS(
     OR(C354="B",C354="D"),XLOOKUP("timeout_coarse_normal",Calibration!$B:$B,Calibration!$C:$C,36),
     OR(C354="E",C354="F",C354="H",C354="I"),XLOOKUP("timeout_jcc_normal",Calibration!$B:$B,Calibration!$C:$C,14),
     OR(C354="G",C354="J"),XLOOKUP("timeout_duochrome_normal",Calibration!$B:$B,Calibration!$C:$C,10),
     C354="K",XLOOKUP("timeout_bino_normal",Calibration!$B:$B,Calibration!$C:$C,14),
     OR(C354="P",C354="Q",C354="R"),XLOOKUP("timeout_near_normal",Calibration!$B:$B,Calibration!$C:$C,22),
     TRUE,XLOOKUP("timeout_coarse_normal",Calibration!$B:$B,Calibration!$C:$C,36)
   ),
 TRUE,
   IFS(
     OR(C354="B",C354="D"),XLOOKUP("timeout_coarse_slow",Calibration!$B:$B,Calibration!$C:$C,48),
     OR(C354="E",C354="F",C354="H",C354="I"),XLOOKUP("timeout_jcc_slow",Calibration!$B:$B,Calibration!$C:$C,18),
     OR(C354="G",C354="J"),XLOOKUP("timeout_duochrome_slow",Calibration!$B:$B,Calibration!$C:$C,12),
     C354="K",XLOOKUP("timeout_bino_slow",Calibration!$B:$B,Calibration!$C:$C,18),
     OR(C354="P",C354="Q",C354="R"),XLOOKUP("timeout_near_slow",Calibration!$B:$B,Calibration!$C:$C,28),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AJ354=TRUE,"ESCALATE",
C354="A",
IF(OR(I354="NOT_READABLE",I354="BLURRY",AND(R354="20_20_20",I354="READABLE")),"B","A"),
C354="B",
IF(reEsc,"ESCALATE",IF(AY354&gt;=phaseMax,"ESCALATE",IF(AND(AV354&gt;=AW354,I354="READABLE"),"E","B"))),
C354="E",
IF(AY354&gt;=phaseMax,"ESCALATE",IF(OR(I354="SAME",I354="CANT_TELL",AD354&lt;axisTol),"F","E")),
C354="F",
IF(AY354&gt;=phaseMax,"ESCALATE",IF(AX354&gt;=powerSameN,"G","F")),
C354="G",
IF(AY354&gt;=phaseMax,"ESCALATE",IF(OR(AX354&gt;=duoEqualN,BB354&gt;=duoMax),"D","G")),
C354="D",
IF(leEsc,"ESCALATE",IF(AY354&gt;=phaseMax,"ESCALATE",IF(AND(AV354&gt;=AW354,I354="READABLE"),"H","D"))),
C354="H",
IF(AY354&gt;=phaseMax,"ESCALATE",IF(OR(I354="SAME",I354="CANT_TELL",AD354&lt;axisTol),"I","H")),
C354="I",
IF(AY354&gt;=phaseMax,"ESCALATE",IF(AX354&gt;=powerSameN,"J","I")),
C354="J",
IF(AY354&gt;=phaseMax,"ESCALATE",IF(OR(AX354&gt;=duoEqualN,BB354&gt;=duoMax),"K","J")),
C354="K",
IF(AY354&gt;=phaseMax,"ESCALATE",IF(AX354&gt;=binoSameN,IF(XLOOKUP($B354,Derived_Variables!$A:$A,Derived_Variables!$AJ:$AJ,FALSE)=TRUE,"P","END"),"K")),
C354="P",
IF(AY354&gt;=phaseMax,"ESCALATE",IF(OR(I354="READABLE",I354="SAME"),"Q","P")),
C354="Q",
IF(AY354&gt;=phaseMax,"ESCALATE",IF(OR(I354="READABLE",I354="SAME"),"R","Q")),
C354="R",
IF(AY354&gt;=phaseMax,"ESCALATE",IF(OR(I354=nearTarget,I354="SAME"),"END","R")),
TRUE,"END"
)))</f>
        <v/>
      </c>
      <c r="BD354" s="28" t="b">
        <f t="shared" si="19"/>
        <v>0</v>
      </c>
    </row>
    <row r="355" ht="15.75" customHeight="1">
      <c r="A355" s="28">
        <f t="shared" si="3"/>
        <v>354</v>
      </c>
      <c r="B355" s="28">
        <f t="shared" si="4"/>
        <v>6</v>
      </c>
      <c r="C355" s="28" t="str">
        <f t="shared" si="5"/>
        <v/>
      </c>
      <c r="D355" s="28" t="str">
        <f t="array" ref="D355">IF($I354="","",XLOOKUP(C355,FSM_State_Map!A:A,FSM_State_Map!B:B,""))</f>
        <v/>
      </c>
      <c r="E355" s="28" t="str">
        <f t="array" ref="E355">IF($I354="","",XLOOKUP(C355,FSM_State_Map!A:A,FSM_State_Map!C:C,""))</f>
        <v/>
      </c>
      <c r="F355" s="28" t="str">
        <f t="array" ref="F355">IF($I354="","",XLOOKUP(E355,Phase_UI_Map!A:A,Phase_UI_Map!B:B,""))</f>
        <v/>
      </c>
      <c r="G355" s="28" t="str">
        <f t="array" ref="G355">IF($I354="","",XLOOKUP(E355,Phase_UI_Map!A:A,Phase_UI_Map!C:C,""))</f>
        <v/>
      </c>
      <c r="H355" s="28" t="str">
        <f t="array" ref="H355">IF($I354="","",XLOOKUP(E355,Phase_UI_Map!A:A,Phase_UI_Map!D:D,""))</f>
        <v/>
      </c>
      <c r="I355" s="29"/>
      <c r="J355" s="28" t="str">
        <f>IFERROR(__xludf.DUMMYFUNCTION("IF($I354="""","""",IFERROR(INDEX(FILTER(Response_Lists!$B:$B,Response_Lists!$A:$A=$H355),1),""""))"),"")</f>
        <v/>
      </c>
      <c r="K355" s="28" t="str">
        <f>IFERROR(__xludf.DUMMYFUNCTION("IF($I354="""","""",IFERROR(INDEX(FILTER(Response_Lists!$B:$B,Response_Lists!$A:$A=$H355),2),""""))"),"")</f>
        <v/>
      </c>
      <c r="L355" s="28" t="str">
        <f>IFERROR(__xludf.DUMMYFUNCTION("IF($I354="""","""",IFERROR(INDEX(FILTER(Response_Lists!$B:$B,Response_Lists!$A:$A=$H355),3),""""))"),"")</f>
        <v/>
      </c>
      <c r="M355" s="28" t="str">
        <f>IFERROR(__xludf.DUMMYFUNCTION("IF($I354="""","""",IFERROR(INDEX(FILTER(Response_Lists!$B:$B,Response_Lists!$A:$A=$H355),4),""""))"),"")</f>
        <v/>
      </c>
      <c r="N355" s="28" t="str">
        <f>IFERROR(__xludf.DUMMYFUNCTION("IF($I354="""","""",IFERROR(INDEX(FILTER(Response_Lists!$B:$B,Response_Lists!$A:$A=$H355),5),""""))"),"")</f>
        <v/>
      </c>
      <c r="O355" s="28" t="str">
        <f>IFERROR(__xludf.DUMMYFUNCTION("IF($I354="""","""",IFERROR(INDEX(FILTER(Response_Lists!$B:$B,Response_Lists!$A:$A=$H355),6),""""))"),"")</f>
        <v/>
      </c>
      <c r="P355" s="28" t="str">
        <f t="shared" si="6"/>
        <v/>
      </c>
      <c r="Q355" s="28" t="str">
        <f t="array" ref="Q355">IF($I354="","",XLOOKUP(C355,FSM_State_Map!A:A,FSM_State_Map!D:D,""))</f>
        <v/>
      </c>
      <c r="R355" s="28" t="str">
        <f t="shared" si="7"/>
        <v/>
      </c>
      <c r="S355" s="28" t="str">
        <f t="array" ref="S355">IF($I354="","",
IF(
  AND(C355="B",C354&lt;&gt;"B"),
  XLOOKUP($B355,Derived_Variables!$A:$A,Derived_Variables!$K:$K,0)
  + XLOOKUP($B355,Derived_Variables!$A:$A,Derived_Variables!$AE:$AE,0),
  S354+AM354
))</f>
        <v/>
      </c>
      <c r="T355" s="28" t="str">
        <f t="shared" ref="T355:U355" si="720">IF($I354="","",T354+AN354)</f>
        <v/>
      </c>
      <c r="U355" s="28" t="str">
        <f t="shared" si="720"/>
        <v/>
      </c>
      <c r="V355" s="28" t="str">
        <f t="array" ref="V355">IF($I354="","",
IF(
  AND(C355="D",C354&lt;&gt;"D"),
  XLOOKUP($B355,Derived_Variables!$A:$A,Derived_Variables!$N:$N,0)
  + XLOOKUP($B355,Derived_Variables!$A:$A,Derived_Variables!$AE:$AE,0),
  V354+AP354
))</f>
        <v/>
      </c>
      <c r="W355" s="28" t="str">
        <f t="shared" ref="W355:X355" si="721">IF($I354="","",W354+AQ354)</f>
        <v/>
      </c>
      <c r="X355" s="28" t="str">
        <f t="shared" si="721"/>
        <v/>
      </c>
      <c r="Y355" s="28" t="str">
        <f t="array" ref="Y355">IF($I354="","",IF(AND(C355="P",C354&lt;&gt;"P"),IFERROR(XLOOKUP($B355,Lenso_Input!$A:$A,Lenso_Input!$E:$E,0),0),Y354+AS354))</f>
        <v/>
      </c>
      <c r="Z355" s="28" t="str">
        <f t="array" ref="Z355">IF($I354="","",IF(AND(C355="Q",C354&lt;&gt;"Q"),IFERROR(XLOOKUP($B355,Lenso_Input!$A:$A,Lenso_Input!$I:$I,0),0),Z354+AT354))</f>
        <v/>
      </c>
      <c r="AA355" s="28" t="str">
        <f t="array" ref="AA355">IF($I354="","",IF(XLOOKUP($B355,Derived_Variables!$A:$A,Derived_Variables!$R:$R,"6/6_target")="6/6_target","20_20_20","40_30_25"))</f>
        <v/>
      </c>
      <c r="AB355" s="28" t="str">
        <f t="array" ref="AB355">IF($I354="","",XLOOKUP(LOWER(XLOOKUP($B355,Derived_Variables!$A:$A,Derived_Variables!$T:$T,"Standard"))&amp;"_sph_step",Calibration!$B:$B,Calibration!$C:$C,0.25))</f>
        <v/>
      </c>
      <c r="AC355" s="28" t="str">
        <f t="array" ref="AC355">IF($I354="","",XLOOKUP(LOWER(XLOOKUP($B355,Derived_Variables!$A:$A,Derived_Variables!$T:$T,"Standard"))&amp;"_cyl_step",Calibration!$B:$B,Calibration!$C:$C,0.25))</f>
        <v/>
      </c>
      <c r="AD355" s="28" t="str">
        <f t="array" ref="AD355">IF($I354="","",IF(OR(C355="E",C355="H"),LET(startStep,XLOOKUP("axis_start_step",Calibration!$B:$B,Calibration!$C:$C,5),step1,XLOOKUP("axis_reversal_step_1",Calibration!$B:$B,Calibration!$C:$C,3),step2,XLOOKUP("axis_reversal_step_2",Calibration!$B:$B,Calibration!$C:$C,1),IF(OR(C354&lt;&gt;C355,AZ355="",AZ355="SAME",AZ355="CANT_TELL",I355="",I355="SAME",I355="CANT_TELL"),startStep,IF(OR(AND(AZ355="BETTER_1",I355="BETTER_2"),AND(AZ355="BETTER_2",I355="BETTER_1")),IF(AD354&gt;step1,step1,step2),AD354))),0))</f>
        <v/>
      </c>
      <c r="AE355" s="28" t="str">
        <f t="array" ref="AE355">IF($I354="","",XLOOKUP($B355,Derived_Variables!$A:$A,Derived_Variables!$AD:$AD,"No_Fog"))</f>
        <v/>
      </c>
      <c r="AF355" s="28" t="str">
        <f t="array" ref="AF355">IF($I354="","",XLOOKUP($B355,Derived_Variables!$A:$A,Derived_Variables!$AE:$AE,0))</f>
        <v/>
      </c>
      <c r="AG355" s="28" t="str">
        <f t="array" ref="AG355">IF($I354="","",XLOOKUP($B355,Derived_Variables!$A:$A,Derived_Variables!$AF:$AF,""))</f>
        <v/>
      </c>
      <c r="AH355" s="28" t="str">
        <f t="array" ref="AH355">IF($I354="","",XLOOKUP($B355,Derived_Variables!$A:$A,Derived_Variables!$AG:$AG,""))</f>
        <v/>
      </c>
      <c r="AI355" s="28" t="str">
        <f t="array" ref="AI355">IF($I354="","",XLOOKUP($B355,Derived_Variables!$A:$A,Derived_Variables!$AC:$AC,"Medium"))</f>
        <v/>
      </c>
      <c r="AJ355" s="28" t="str">
        <f t="array" ref="AJ355">IF($I354="","",XLOOKUP($B355,Derived_Variables!$A:$A,Derived_Variables!$Y:$Y,FALSE))</f>
        <v/>
      </c>
      <c r="AK355" s="28" t="str">
        <f t="array" ref="AK355">IF($I354="","",XLOOKUP($B355,Derived_Variables!$A:$A,Derived_Variables!$AA:$AA,"Normal"))</f>
        <v/>
      </c>
      <c r="AL355" s="28" t="str">
        <f t="array" ref="AL355">IF($I354="","",XLOOKUP($B355,Derived_Variables!$A:$A,Derived_Variables!$AB:$AB,"Normal"))</f>
        <v/>
      </c>
      <c r="AM355" s="28" t="str">
        <f t="array" ref="AM355">IF($I355="","",IFS(C355="B",IF(OR(I355="NOT_READABLE",I355="BLURRY"),-AB355,0),C355="G",IFS(I355="RED_CLEARER",XLOOKUP("duochrome_red_step",Calibration!$B:$B,Calibration!$C:$C,-0.25),I355="GREEN_CLEARER",XLOOKUP("duochrome_green_step",Calibration!$B:$B,Calibration!$C:$C,0.25),I355="EQUAL",IF(XLOOKUP($B355,Derived_Variables!$A:$A,Derived_Variables!$S:$S,"Neutral")="Undercorrect",XLOOKUP("undercorrect_step",Calibration!$B:$B,Calibration!$C:$C,0.25),IF(XLOOKUP($B355,Derived_Variables!$A:$A,Derived_Variables!$S:$S,"Neutral")="Overcorrect",-XLOOKUP("overcorrect_step",Calibration!$B:$B,Calibration!$C:$C,0.25),0)),TRUE,0),C355="K",IF(I355="TOP_CLEARER",XLOOKUP("bino_balance_step",Calibration!$B:$B,Calibration!$C:$C,0.25),0),TRUE,0))</f>
        <v/>
      </c>
      <c r="AN355" s="28" t="str">
        <f t="shared" si="10"/>
        <v/>
      </c>
      <c r="AO355" s="28" t="str">
        <f t="shared" si="11"/>
        <v/>
      </c>
      <c r="AP355" s="28" t="str">
        <f t="array" ref="AP355">IF($I355="","",IFS(C355="D",IF(OR(I355="NOT_READABLE",I355="BLURRY"),-AB355,0),C355="J",IFS(I355="RED_CLEARER",XLOOKUP("duochrome_red_step",Calibration!$B:$B,Calibration!$C:$C,-0.25),I355="GREEN_CLEARER",XLOOKUP("duochrome_green_step",Calibration!$B:$B,Calibration!$C:$C,0.25),I355="EQUAL",IF(XLOOKUP($B355,Derived_Variables!$A:$A,Derived_Variables!$S:$S,"Neutral")="Undercorrect",XLOOKUP("undercorrect_step",Calibration!$B:$B,Calibration!$C:$C,0.25),IF(XLOOKUP($B355,Derived_Variables!$A:$A,Derived_Variables!$S:$S,"Neutral")="Overcorrect",-XLOOKUP("overcorrect_step",Calibration!$B:$B,Calibration!$C:$C,0.25),0)),TRUE,0),C355="K",IF(I355="BOTTOM_CLEARER",XLOOKUP("bino_balance_step",Calibration!$B:$B,Calibration!$C:$C,0.25),0),TRUE,0))</f>
        <v/>
      </c>
      <c r="AQ355" s="28" t="str">
        <f t="shared" si="12"/>
        <v/>
      </c>
      <c r="AR355" s="28" t="str">
        <f t="shared" si="13"/>
        <v/>
      </c>
      <c r="AS355" s="28" t="str">
        <f t="array" ref="AS355">IF($I355="","",IF(C355="P",IF(OR(I355="NOT_READABLE",I355="BLURRY"),XLOOKUP("near_add_step",Calibration!$B:$B,Calibration!$C:$C,0.25),0),IF(C355="R",IF(I355="NOT_CLEAR",XLOOKUP("near_add_step",Calibration!$B:$B,Calibration!$C:$C,0.25),0),0)))</f>
        <v/>
      </c>
      <c r="AT355" s="28" t="str">
        <f t="array" ref="AT355">IF($I355="","",IF(C355="Q",IF(OR(I355="NOT_READABLE",I355="BLURRY"),XLOOKUP("near_add_step",Calibration!$B:$B,Calibration!$C:$C,0.25),0),IF(C355="R",IF(I355="NOT_CLEAR",XLOOKUP("near_add_step",Calibration!$B:$B,Calibration!$C:$C,0.25),0),0)))</f>
        <v/>
      </c>
      <c r="AU355" s="28" t="str">
        <f t="array" ref="AU355">IF($I355="","",IF(G355="SNELLEN_FEET",IF(I355="READABLE",IFERROR(XLOOKUP(XLOOKUP(R355,Chart_Scale_Distance!B:B,Chart_Scale_Distance!A:A)+1,Chart_Scale_Distance!A:A,Chart_Scale_Distance!B:B),R355),R355),R355))</f>
        <v/>
      </c>
      <c r="AV355" s="28" t="str">
        <f t="array" ref="AV355">IF($I354="","",IFERROR(XLOOKUP(R355,Chart_Scale_Distance!$B:$B,Chart_Scale_Distance!$A:$A,""),""))</f>
        <v/>
      </c>
      <c r="AW355" s="28" t="str">
        <f t="array" ref="AW355">IF($I354="","",IFERROR(XLOOKUP(AA355,Chart_Scale_Distance!$B:$B,Chart_Scale_Distance!$A:$A,""),""))</f>
        <v/>
      </c>
      <c r="AX355" s="28" t="str">
        <f t="shared" si="14"/>
        <v/>
      </c>
      <c r="AY355" s="28" t="str">
        <f t="shared" si="15"/>
        <v/>
      </c>
      <c r="AZ355" s="28" t="str">
        <f t="shared" si="16"/>
        <v/>
      </c>
      <c r="BA355" s="28" t="str">
        <f t="shared" si="17"/>
        <v/>
      </c>
      <c r="BB355" s="28" t="str">
        <f t="shared" si="18"/>
        <v/>
      </c>
      <c r="BC355" s="28" t="str">
        <f t="array" ref="BC355">IF($I355="","",LET(
conf,AI355,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duoMax,XLOOKUP($B355,Derived_Variables!$A:$A,Derived_Variables!$AI:$AI,4),
axisTol,XLOOKUP($B355,Derived_Variables!$A:$A,Derived_Variables!$W:$W,1),
maxStart,XLOOKUP($B355,Derived_Variables!$A:$A,Derived_Variables!$U:$U,1.25),
maxAR,XLOOKUP($B355,Derived_Variables!$A:$A,Derived_Variables!$V:$V,3),
anom,XLOOKUP($B355,Derived_Variables!$A:$A,Derived_Variables!$Z:$Z,FALSE),
reStart,XLOOKUP($B355,Derived_Variables!$A:$A,Derived_Variables!$K:$K,0),
leStart,XLOOKUP($B355,Derived_Variables!$A:$A,Derived_Variables!$N:$N,0),
reAR,XLOOKUP($B355,AR_Input!$A:$A,AR_Input!$B:$B,reStart),
leAR,XLOOKUP($B355,AR_Input!$A:$A,AR_Input!$E:$E,leStart),
reEsc,AND(anom,OR(ABS((S355+AM355)-reStart)&gt;maxStart,ABS((S355+AM355)-reAR)&gt;maxAR)),
leEsc,AND(anom,OR(ABS((V355+AP355)-leStart)&gt;maxStart,ABS((V355+AP355)-leAR)&gt;maxAR)),
phaseMax,IFS(
 AK355="Fast",
   IFS(
     OR(C355="B",C355="D"),XLOOKUP("timeout_coarse_fast",Calibration!$B:$B,Calibration!$C:$C,24),
     OR(C355="E",C355="F",C355="H",C355="I"),XLOOKUP("timeout_jcc_fast",Calibration!$B:$B,Calibration!$C:$C,10),
     OR(C355="G",C355="J"),XLOOKUP("timeout_duochrome_fast",Calibration!$B:$B,Calibration!$C:$C,8),
     C355="K",XLOOKUP("timeout_bino_fast",Calibration!$B:$B,Calibration!$C:$C,10),
     OR(C355="P",C355="Q",C355="R"),XLOOKUP("timeout_near_fast",Calibration!$B:$B,Calibration!$C:$C,16),
     TRUE,XLOOKUP("timeout_coarse_fast",Calibration!$B:$B,Calibration!$C:$C,24)
   ),
 AK355="Normal",
   IFS(
     OR(C355="B",C355="D"),XLOOKUP("timeout_coarse_normal",Calibration!$B:$B,Calibration!$C:$C,36),
     OR(C355="E",C355="F",C355="H",C355="I"),XLOOKUP("timeout_jcc_normal",Calibration!$B:$B,Calibration!$C:$C,14),
     OR(C355="G",C355="J"),XLOOKUP("timeout_duochrome_normal",Calibration!$B:$B,Calibration!$C:$C,10),
     C355="K",XLOOKUP("timeout_bino_normal",Calibration!$B:$B,Calibration!$C:$C,14),
     OR(C355="P",C355="Q",C355="R"),XLOOKUP("timeout_near_normal",Calibration!$B:$B,Calibration!$C:$C,22),
     TRUE,XLOOKUP("timeout_coarse_normal",Calibration!$B:$B,Calibration!$C:$C,36)
   ),
 TRUE,
   IFS(
     OR(C355="B",C355="D"),XLOOKUP("timeout_coarse_slow",Calibration!$B:$B,Calibration!$C:$C,48),
     OR(C355="E",C355="F",C355="H",C355="I"),XLOOKUP("timeout_jcc_slow",Calibration!$B:$B,Calibration!$C:$C,18),
     OR(C355="G",C355="J"),XLOOKUP("timeout_duochrome_slow",Calibration!$B:$B,Calibration!$C:$C,12),
     C355="K",XLOOKUP("timeout_bino_slow",Calibration!$B:$B,Calibration!$C:$C,18),
     OR(C355="P",C355="Q",C355="R"),XLOOKUP("timeout_near_slow",Calibration!$B:$B,Calibration!$C:$C,28),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AJ355=TRUE,"ESCALATE",
C355="A",
IF(OR(I355="NOT_READABLE",I355="BLURRY",AND(R355="20_20_20",I355="READABLE")),"B","A"),
C355="B",
IF(reEsc,"ESCALATE",IF(AY355&gt;=phaseMax,"ESCALATE",IF(AND(AV355&gt;=AW355,I355="READABLE"),"E","B"))),
C355="E",
IF(AY355&gt;=phaseMax,"ESCALATE",IF(OR(I355="SAME",I355="CANT_TELL",AD355&lt;axisTol),"F","E")),
C355="F",
IF(AY355&gt;=phaseMax,"ESCALATE",IF(AX355&gt;=powerSameN,"G","F")),
C355="G",
IF(AY355&gt;=phaseMax,"ESCALATE",IF(OR(AX355&gt;=duoEqualN,BB355&gt;=duoMax),"D","G")),
C355="D",
IF(leEsc,"ESCALATE",IF(AY355&gt;=phaseMax,"ESCALATE",IF(AND(AV355&gt;=AW355,I355="READABLE"),"H","D"))),
C355="H",
IF(AY355&gt;=phaseMax,"ESCALATE",IF(OR(I355="SAME",I355="CANT_TELL",AD355&lt;axisTol),"I","H")),
C355="I",
IF(AY355&gt;=phaseMax,"ESCALATE",IF(AX355&gt;=powerSameN,"J","I")),
C355="J",
IF(AY355&gt;=phaseMax,"ESCALATE",IF(OR(AX355&gt;=duoEqualN,BB355&gt;=duoMax),"K","J")),
C355="K",
IF(AY355&gt;=phaseMax,"ESCALATE",IF(AX355&gt;=binoSameN,IF(XLOOKUP($B355,Derived_Variables!$A:$A,Derived_Variables!$AJ:$AJ,FALSE)=TRUE,"P","END"),"K")),
C355="P",
IF(AY355&gt;=phaseMax,"ESCALATE",IF(OR(I355="READABLE",I355="SAME"),"Q","P")),
C355="Q",
IF(AY355&gt;=phaseMax,"ESCALATE",IF(OR(I355="READABLE",I355="SAME"),"R","Q")),
C355="R",
IF(AY355&gt;=phaseMax,"ESCALATE",IF(OR(I355=nearTarget,I355="SAME"),"END","R")),
TRUE,"END"
)))</f>
        <v/>
      </c>
      <c r="BD355" s="28" t="b">
        <f t="shared" si="19"/>
        <v>0</v>
      </c>
    </row>
    <row r="356" ht="15.75" customHeight="1">
      <c r="A356" s="28">
        <f t="shared" si="3"/>
        <v>355</v>
      </c>
      <c r="B356" s="28">
        <f t="shared" si="4"/>
        <v>6</v>
      </c>
      <c r="C356" s="28" t="str">
        <f t="shared" si="5"/>
        <v/>
      </c>
      <c r="D356" s="28" t="str">
        <f t="array" ref="D356">IF($I355="","",XLOOKUP(C356,FSM_State_Map!A:A,FSM_State_Map!B:B,""))</f>
        <v/>
      </c>
      <c r="E356" s="28" t="str">
        <f t="array" ref="E356">IF($I355="","",XLOOKUP(C356,FSM_State_Map!A:A,FSM_State_Map!C:C,""))</f>
        <v/>
      </c>
      <c r="F356" s="28" t="str">
        <f t="array" ref="F356">IF($I355="","",XLOOKUP(E356,Phase_UI_Map!A:A,Phase_UI_Map!B:B,""))</f>
        <v/>
      </c>
      <c r="G356" s="28" t="str">
        <f t="array" ref="G356">IF($I355="","",XLOOKUP(E356,Phase_UI_Map!A:A,Phase_UI_Map!C:C,""))</f>
        <v/>
      </c>
      <c r="H356" s="28" t="str">
        <f t="array" ref="H356">IF($I355="","",XLOOKUP(E356,Phase_UI_Map!A:A,Phase_UI_Map!D:D,""))</f>
        <v/>
      </c>
      <c r="I356" s="29"/>
      <c r="J356" s="28" t="str">
        <f>IFERROR(__xludf.DUMMYFUNCTION("IF($I355="""","""",IFERROR(INDEX(FILTER(Response_Lists!$B:$B,Response_Lists!$A:$A=$H356),1),""""))"),"")</f>
        <v/>
      </c>
      <c r="K356" s="28" t="str">
        <f>IFERROR(__xludf.DUMMYFUNCTION("IF($I355="""","""",IFERROR(INDEX(FILTER(Response_Lists!$B:$B,Response_Lists!$A:$A=$H356),2),""""))"),"")</f>
        <v/>
      </c>
      <c r="L356" s="28" t="str">
        <f>IFERROR(__xludf.DUMMYFUNCTION("IF($I355="""","""",IFERROR(INDEX(FILTER(Response_Lists!$B:$B,Response_Lists!$A:$A=$H356),3),""""))"),"")</f>
        <v/>
      </c>
      <c r="M356" s="28" t="str">
        <f>IFERROR(__xludf.DUMMYFUNCTION("IF($I355="""","""",IFERROR(INDEX(FILTER(Response_Lists!$B:$B,Response_Lists!$A:$A=$H356),4),""""))"),"")</f>
        <v/>
      </c>
      <c r="N356" s="28" t="str">
        <f>IFERROR(__xludf.DUMMYFUNCTION("IF($I355="""","""",IFERROR(INDEX(FILTER(Response_Lists!$B:$B,Response_Lists!$A:$A=$H356),5),""""))"),"")</f>
        <v/>
      </c>
      <c r="O356" s="28" t="str">
        <f>IFERROR(__xludf.DUMMYFUNCTION("IF($I355="""","""",IFERROR(INDEX(FILTER(Response_Lists!$B:$B,Response_Lists!$A:$A=$H356),6),""""))"),"")</f>
        <v/>
      </c>
      <c r="P356" s="28" t="str">
        <f t="shared" si="6"/>
        <v/>
      </c>
      <c r="Q356" s="28" t="str">
        <f t="array" ref="Q356">IF($I355="","",XLOOKUP(C356,FSM_State_Map!A:A,FSM_State_Map!D:D,""))</f>
        <v/>
      </c>
      <c r="R356" s="28" t="str">
        <f t="shared" si="7"/>
        <v/>
      </c>
      <c r="S356" s="28" t="str">
        <f t="array" ref="S356">IF($I355="","",
IF(
  AND(C356="B",C355&lt;&gt;"B"),
  XLOOKUP($B356,Derived_Variables!$A:$A,Derived_Variables!$K:$K,0)
  + XLOOKUP($B356,Derived_Variables!$A:$A,Derived_Variables!$AE:$AE,0),
  S355+AM355
))</f>
        <v/>
      </c>
      <c r="T356" s="28" t="str">
        <f t="shared" ref="T356:U356" si="722">IF($I355="","",T355+AN355)</f>
        <v/>
      </c>
      <c r="U356" s="28" t="str">
        <f t="shared" si="722"/>
        <v/>
      </c>
      <c r="V356" s="28" t="str">
        <f t="array" ref="V356">IF($I355="","",
IF(
  AND(C356="D",C355&lt;&gt;"D"),
  XLOOKUP($B356,Derived_Variables!$A:$A,Derived_Variables!$N:$N,0)
  + XLOOKUP($B356,Derived_Variables!$A:$A,Derived_Variables!$AE:$AE,0),
  V355+AP355
))</f>
        <v/>
      </c>
      <c r="W356" s="28" t="str">
        <f t="shared" ref="W356:X356" si="723">IF($I355="","",W355+AQ355)</f>
        <v/>
      </c>
      <c r="X356" s="28" t="str">
        <f t="shared" si="723"/>
        <v/>
      </c>
      <c r="Y356" s="28" t="str">
        <f t="array" ref="Y356">IF($I355="","",IF(AND(C356="P",C355&lt;&gt;"P"),IFERROR(XLOOKUP($B356,Lenso_Input!$A:$A,Lenso_Input!$E:$E,0),0),Y355+AS355))</f>
        <v/>
      </c>
      <c r="Z356" s="28" t="str">
        <f t="array" ref="Z356">IF($I355="","",IF(AND(C356="Q",C355&lt;&gt;"Q"),IFERROR(XLOOKUP($B356,Lenso_Input!$A:$A,Lenso_Input!$I:$I,0),0),Z355+AT355))</f>
        <v/>
      </c>
      <c r="AA356" s="28" t="str">
        <f t="array" ref="AA356">IF($I355="","",IF(XLOOKUP($B356,Derived_Variables!$A:$A,Derived_Variables!$R:$R,"6/6_target")="6/6_target","20_20_20","40_30_25"))</f>
        <v/>
      </c>
      <c r="AB356" s="28" t="str">
        <f t="array" ref="AB356">IF($I355="","",XLOOKUP(LOWER(XLOOKUP($B356,Derived_Variables!$A:$A,Derived_Variables!$T:$T,"Standard"))&amp;"_sph_step",Calibration!$B:$B,Calibration!$C:$C,0.25))</f>
        <v/>
      </c>
      <c r="AC356" s="28" t="str">
        <f t="array" ref="AC356">IF($I355="","",XLOOKUP(LOWER(XLOOKUP($B356,Derived_Variables!$A:$A,Derived_Variables!$T:$T,"Standard"))&amp;"_cyl_step",Calibration!$B:$B,Calibration!$C:$C,0.25))</f>
        <v/>
      </c>
      <c r="AD356" s="28" t="str">
        <f t="array" ref="AD356">IF($I355="","",IF(OR(C356="E",C356="H"),LET(startStep,XLOOKUP("axis_start_step",Calibration!$B:$B,Calibration!$C:$C,5),step1,XLOOKUP("axis_reversal_step_1",Calibration!$B:$B,Calibration!$C:$C,3),step2,XLOOKUP("axis_reversal_step_2",Calibration!$B:$B,Calibration!$C:$C,1),IF(OR(C355&lt;&gt;C356,AZ356="",AZ356="SAME",AZ356="CANT_TELL",I356="",I356="SAME",I356="CANT_TELL"),startStep,IF(OR(AND(AZ356="BETTER_1",I356="BETTER_2"),AND(AZ356="BETTER_2",I356="BETTER_1")),IF(AD355&gt;step1,step1,step2),AD355))),0))</f>
        <v/>
      </c>
      <c r="AE356" s="28" t="str">
        <f t="array" ref="AE356">IF($I355="","",XLOOKUP($B356,Derived_Variables!$A:$A,Derived_Variables!$AD:$AD,"No_Fog"))</f>
        <v/>
      </c>
      <c r="AF356" s="28" t="str">
        <f t="array" ref="AF356">IF($I355="","",XLOOKUP($B356,Derived_Variables!$A:$A,Derived_Variables!$AE:$AE,0))</f>
        <v/>
      </c>
      <c r="AG356" s="28" t="str">
        <f t="array" ref="AG356">IF($I355="","",XLOOKUP($B356,Derived_Variables!$A:$A,Derived_Variables!$AF:$AF,""))</f>
        <v/>
      </c>
      <c r="AH356" s="28" t="str">
        <f t="array" ref="AH356">IF($I355="","",XLOOKUP($B356,Derived_Variables!$A:$A,Derived_Variables!$AG:$AG,""))</f>
        <v/>
      </c>
      <c r="AI356" s="28" t="str">
        <f t="array" ref="AI356">IF($I355="","",XLOOKUP($B356,Derived_Variables!$A:$A,Derived_Variables!$AC:$AC,"Medium"))</f>
        <v/>
      </c>
      <c r="AJ356" s="28" t="str">
        <f t="array" ref="AJ356">IF($I355="","",XLOOKUP($B356,Derived_Variables!$A:$A,Derived_Variables!$Y:$Y,FALSE))</f>
        <v/>
      </c>
      <c r="AK356" s="28" t="str">
        <f t="array" ref="AK356">IF($I355="","",XLOOKUP($B356,Derived_Variables!$A:$A,Derived_Variables!$AA:$AA,"Normal"))</f>
        <v/>
      </c>
      <c r="AL356" s="28" t="str">
        <f t="array" ref="AL356">IF($I355="","",XLOOKUP($B356,Derived_Variables!$A:$A,Derived_Variables!$AB:$AB,"Normal"))</f>
        <v/>
      </c>
      <c r="AM356" s="28" t="str">
        <f t="array" ref="AM356">IF($I356="","",IFS(C356="B",IF(OR(I356="NOT_READABLE",I356="BLURRY"),-AB356,0),C356="G",IFS(I356="RED_CLEARER",XLOOKUP("duochrome_red_step",Calibration!$B:$B,Calibration!$C:$C,-0.25),I356="GREEN_CLEARER",XLOOKUP("duochrome_green_step",Calibration!$B:$B,Calibration!$C:$C,0.25),I356="EQUAL",IF(XLOOKUP($B356,Derived_Variables!$A:$A,Derived_Variables!$S:$S,"Neutral")="Undercorrect",XLOOKUP("undercorrect_step",Calibration!$B:$B,Calibration!$C:$C,0.25),IF(XLOOKUP($B356,Derived_Variables!$A:$A,Derived_Variables!$S:$S,"Neutral")="Overcorrect",-XLOOKUP("overcorrect_step",Calibration!$B:$B,Calibration!$C:$C,0.25),0)),TRUE,0),C356="K",IF(I356="TOP_CLEARER",XLOOKUP("bino_balance_step",Calibration!$B:$B,Calibration!$C:$C,0.25),0),TRUE,0))</f>
        <v/>
      </c>
      <c r="AN356" s="28" t="str">
        <f t="shared" si="10"/>
        <v/>
      </c>
      <c r="AO356" s="28" t="str">
        <f t="shared" si="11"/>
        <v/>
      </c>
      <c r="AP356" s="28" t="str">
        <f t="array" ref="AP356">IF($I356="","",IFS(C356="D",IF(OR(I356="NOT_READABLE",I356="BLURRY"),-AB356,0),C356="J",IFS(I356="RED_CLEARER",XLOOKUP("duochrome_red_step",Calibration!$B:$B,Calibration!$C:$C,-0.25),I356="GREEN_CLEARER",XLOOKUP("duochrome_green_step",Calibration!$B:$B,Calibration!$C:$C,0.25),I356="EQUAL",IF(XLOOKUP($B356,Derived_Variables!$A:$A,Derived_Variables!$S:$S,"Neutral")="Undercorrect",XLOOKUP("undercorrect_step",Calibration!$B:$B,Calibration!$C:$C,0.25),IF(XLOOKUP($B356,Derived_Variables!$A:$A,Derived_Variables!$S:$S,"Neutral")="Overcorrect",-XLOOKUP("overcorrect_step",Calibration!$B:$B,Calibration!$C:$C,0.25),0)),TRUE,0),C356="K",IF(I356="BOTTOM_CLEARER",XLOOKUP("bino_balance_step",Calibration!$B:$B,Calibration!$C:$C,0.25),0),TRUE,0))</f>
        <v/>
      </c>
      <c r="AQ356" s="28" t="str">
        <f t="shared" si="12"/>
        <v/>
      </c>
      <c r="AR356" s="28" t="str">
        <f t="shared" si="13"/>
        <v/>
      </c>
      <c r="AS356" s="28" t="str">
        <f t="array" ref="AS356">IF($I356="","",IF(C356="P",IF(OR(I356="NOT_READABLE",I356="BLURRY"),XLOOKUP("near_add_step",Calibration!$B:$B,Calibration!$C:$C,0.25),0),IF(C356="R",IF(I356="NOT_CLEAR",XLOOKUP("near_add_step",Calibration!$B:$B,Calibration!$C:$C,0.25),0),0)))</f>
        <v/>
      </c>
      <c r="AT356" s="28" t="str">
        <f t="array" ref="AT356">IF($I356="","",IF(C356="Q",IF(OR(I356="NOT_READABLE",I356="BLURRY"),XLOOKUP("near_add_step",Calibration!$B:$B,Calibration!$C:$C,0.25),0),IF(C356="R",IF(I356="NOT_CLEAR",XLOOKUP("near_add_step",Calibration!$B:$B,Calibration!$C:$C,0.25),0),0)))</f>
        <v/>
      </c>
      <c r="AU356" s="28" t="str">
        <f t="array" ref="AU356">IF($I356="","",IF(G356="SNELLEN_FEET",IF(I356="READABLE",IFERROR(XLOOKUP(XLOOKUP(R356,Chart_Scale_Distance!B:B,Chart_Scale_Distance!A:A)+1,Chart_Scale_Distance!A:A,Chart_Scale_Distance!B:B),R356),R356),R356))</f>
        <v/>
      </c>
      <c r="AV356" s="28" t="str">
        <f t="array" ref="AV356">IF($I355="","",IFERROR(XLOOKUP(R356,Chart_Scale_Distance!$B:$B,Chart_Scale_Distance!$A:$A,""),""))</f>
        <v/>
      </c>
      <c r="AW356" s="28" t="str">
        <f t="array" ref="AW356">IF($I355="","",IFERROR(XLOOKUP(AA356,Chart_Scale_Distance!$B:$B,Chart_Scale_Distance!$A:$A,""),""))</f>
        <v/>
      </c>
      <c r="AX356" s="28" t="str">
        <f t="shared" si="14"/>
        <v/>
      </c>
      <c r="AY356" s="28" t="str">
        <f t="shared" si="15"/>
        <v/>
      </c>
      <c r="AZ356" s="28" t="str">
        <f t="shared" si="16"/>
        <v/>
      </c>
      <c r="BA356" s="28" t="str">
        <f t="shared" si="17"/>
        <v/>
      </c>
      <c r="BB356" s="28" t="str">
        <f t="shared" si="18"/>
        <v/>
      </c>
      <c r="BC356" s="28" t="str">
        <f t="array" ref="BC356">IF($I356="","",LET(
conf,AI356,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duoMax,XLOOKUP($B356,Derived_Variables!$A:$A,Derived_Variables!$AI:$AI,4),
axisTol,XLOOKUP($B356,Derived_Variables!$A:$A,Derived_Variables!$W:$W,1),
maxStart,XLOOKUP($B356,Derived_Variables!$A:$A,Derived_Variables!$U:$U,1.25),
maxAR,XLOOKUP($B356,Derived_Variables!$A:$A,Derived_Variables!$V:$V,3),
anom,XLOOKUP($B356,Derived_Variables!$A:$A,Derived_Variables!$Z:$Z,FALSE),
reStart,XLOOKUP($B356,Derived_Variables!$A:$A,Derived_Variables!$K:$K,0),
leStart,XLOOKUP($B356,Derived_Variables!$A:$A,Derived_Variables!$N:$N,0),
reAR,XLOOKUP($B356,AR_Input!$A:$A,AR_Input!$B:$B,reStart),
leAR,XLOOKUP($B356,AR_Input!$A:$A,AR_Input!$E:$E,leStart),
reEsc,AND(anom,OR(ABS((S356+AM356)-reStart)&gt;maxStart,ABS((S356+AM356)-reAR)&gt;maxAR)),
leEsc,AND(anom,OR(ABS((V356+AP356)-leStart)&gt;maxStart,ABS((V356+AP356)-leAR)&gt;maxAR)),
phaseMax,IFS(
 AK356="Fast",
   IFS(
     OR(C356="B",C356="D"),XLOOKUP("timeout_coarse_fast",Calibration!$B:$B,Calibration!$C:$C,24),
     OR(C356="E",C356="F",C356="H",C356="I"),XLOOKUP("timeout_jcc_fast",Calibration!$B:$B,Calibration!$C:$C,10),
     OR(C356="G",C356="J"),XLOOKUP("timeout_duochrome_fast",Calibration!$B:$B,Calibration!$C:$C,8),
     C356="K",XLOOKUP("timeout_bino_fast",Calibration!$B:$B,Calibration!$C:$C,10),
     OR(C356="P",C356="Q",C356="R"),XLOOKUP("timeout_near_fast",Calibration!$B:$B,Calibration!$C:$C,16),
     TRUE,XLOOKUP("timeout_coarse_fast",Calibration!$B:$B,Calibration!$C:$C,24)
   ),
 AK356="Normal",
   IFS(
     OR(C356="B",C356="D"),XLOOKUP("timeout_coarse_normal",Calibration!$B:$B,Calibration!$C:$C,36),
     OR(C356="E",C356="F",C356="H",C356="I"),XLOOKUP("timeout_jcc_normal",Calibration!$B:$B,Calibration!$C:$C,14),
     OR(C356="G",C356="J"),XLOOKUP("timeout_duochrome_normal",Calibration!$B:$B,Calibration!$C:$C,10),
     C356="K",XLOOKUP("timeout_bino_normal",Calibration!$B:$B,Calibration!$C:$C,14),
     OR(C356="P",C356="Q",C356="R"),XLOOKUP("timeout_near_normal",Calibration!$B:$B,Calibration!$C:$C,22),
     TRUE,XLOOKUP("timeout_coarse_normal",Calibration!$B:$B,Calibration!$C:$C,36)
   ),
 TRUE,
   IFS(
     OR(C356="B",C356="D"),XLOOKUP("timeout_coarse_slow",Calibration!$B:$B,Calibration!$C:$C,48),
     OR(C356="E",C356="F",C356="H",C356="I"),XLOOKUP("timeout_jcc_slow",Calibration!$B:$B,Calibration!$C:$C,18),
     OR(C356="G",C356="J"),XLOOKUP("timeout_duochrome_slow",Calibration!$B:$B,Calibration!$C:$C,12),
     C356="K",XLOOKUP("timeout_bino_slow",Calibration!$B:$B,Calibration!$C:$C,18),
     OR(C356="P",C356="Q",C356="R"),XLOOKUP("timeout_near_slow",Calibration!$B:$B,Calibration!$C:$C,28),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AJ356=TRUE,"ESCALATE",
C356="A",
IF(OR(I356="NOT_READABLE",I356="BLURRY",AND(R356="20_20_20",I356="READABLE")),"B","A"),
C356="B",
IF(reEsc,"ESCALATE",IF(AY356&gt;=phaseMax,"ESCALATE",IF(AND(AV356&gt;=AW356,I356="READABLE"),"E","B"))),
C356="E",
IF(AY356&gt;=phaseMax,"ESCALATE",IF(OR(I356="SAME",I356="CANT_TELL",AD356&lt;axisTol),"F","E")),
C356="F",
IF(AY356&gt;=phaseMax,"ESCALATE",IF(AX356&gt;=powerSameN,"G","F")),
C356="G",
IF(AY356&gt;=phaseMax,"ESCALATE",IF(OR(AX356&gt;=duoEqualN,BB356&gt;=duoMax),"D","G")),
C356="D",
IF(leEsc,"ESCALATE",IF(AY356&gt;=phaseMax,"ESCALATE",IF(AND(AV356&gt;=AW356,I356="READABLE"),"H","D"))),
C356="H",
IF(AY356&gt;=phaseMax,"ESCALATE",IF(OR(I356="SAME",I356="CANT_TELL",AD356&lt;axisTol),"I","H")),
C356="I",
IF(AY356&gt;=phaseMax,"ESCALATE",IF(AX356&gt;=powerSameN,"J","I")),
C356="J",
IF(AY356&gt;=phaseMax,"ESCALATE",IF(OR(AX356&gt;=duoEqualN,BB356&gt;=duoMax),"K","J")),
C356="K",
IF(AY356&gt;=phaseMax,"ESCALATE",IF(AX356&gt;=binoSameN,IF(XLOOKUP($B356,Derived_Variables!$A:$A,Derived_Variables!$AJ:$AJ,FALSE)=TRUE,"P","END"),"K")),
C356="P",
IF(AY356&gt;=phaseMax,"ESCALATE",IF(OR(I356="READABLE",I356="SAME"),"Q","P")),
C356="Q",
IF(AY356&gt;=phaseMax,"ESCALATE",IF(OR(I356="READABLE",I356="SAME"),"R","Q")),
C356="R",
IF(AY356&gt;=phaseMax,"ESCALATE",IF(OR(I356=nearTarget,I356="SAME"),"END","R")),
TRUE,"END"
)))</f>
        <v/>
      </c>
      <c r="BD356" s="28" t="b">
        <f t="shared" si="19"/>
        <v>0</v>
      </c>
    </row>
    <row r="357" ht="15.75" customHeight="1">
      <c r="A357" s="28">
        <f t="shared" si="3"/>
        <v>356</v>
      </c>
      <c r="B357" s="28">
        <f t="shared" si="4"/>
        <v>6</v>
      </c>
      <c r="C357" s="28" t="str">
        <f t="shared" si="5"/>
        <v/>
      </c>
      <c r="D357" s="28" t="str">
        <f t="array" ref="D357">IF($I356="","",XLOOKUP(C357,FSM_State_Map!A:A,FSM_State_Map!B:B,""))</f>
        <v/>
      </c>
      <c r="E357" s="28" t="str">
        <f t="array" ref="E357">IF($I356="","",XLOOKUP(C357,FSM_State_Map!A:A,FSM_State_Map!C:C,""))</f>
        <v/>
      </c>
      <c r="F357" s="28" t="str">
        <f t="array" ref="F357">IF($I356="","",XLOOKUP(E357,Phase_UI_Map!A:A,Phase_UI_Map!B:B,""))</f>
        <v/>
      </c>
      <c r="G357" s="28" t="str">
        <f t="array" ref="G357">IF($I356="","",XLOOKUP(E357,Phase_UI_Map!A:A,Phase_UI_Map!C:C,""))</f>
        <v/>
      </c>
      <c r="H357" s="28" t="str">
        <f t="array" ref="H357">IF($I356="","",XLOOKUP(E357,Phase_UI_Map!A:A,Phase_UI_Map!D:D,""))</f>
        <v/>
      </c>
      <c r="I357" s="29"/>
      <c r="J357" s="28" t="str">
        <f>IFERROR(__xludf.DUMMYFUNCTION("IF($I356="""","""",IFERROR(INDEX(FILTER(Response_Lists!$B:$B,Response_Lists!$A:$A=$H357),1),""""))"),"")</f>
        <v/>
      </c>
      <c r="K357" s="28" t="str">
        <f>IFERROR(__xludf.DUMMYFUNCTION("IF($I356="""","""",IFERROR(INDEX(FILTER(Response_Lists!$B:$B,Response_Lists!$A:$A=$H357),2),""""))"),"")</f>
        <v/>
      </c>
      <c r="L357" s="28" t="str">
        <f>IFERROR(__xludf.DUMMYFUNCTION("IF($I356="""","""",IFERROR(INDEX(FILTER(Response_Lists!$B:$B,Response_Lists!$A:$A=$H357),3),""""))"),"")</f>
        <v/>
      </c>
      <c r="M357" s="28" t="str">
        <f>IFERROR(__xludf.DUMMYFUNCTION("IF($I356="""","""",IFERROR(INDEX(FILTER(Response_Lists!$B:$B,Response_Lists!$A:$A=$H357),4),""""))"),"")</f>
        <v/>
      </c>
      <c r="N357" s="28" t="str">
        <f>IFERROR(__xludf.DUMMYFUNCTION("IF($I356="""","""",IFERROR(INDEX(FILTER(Response_Lists!$B:$B,Response_Lists!$A:$A=$H357),5),""""))"),"")</f>
        <v/>
      </c>
      <c r="O357" s="28" t="str">
        <f>IFERROR(__xludf.DUMMYFUNCTION("IF($I356="""","""",IFERROR(INDEX(FILTER(Response_Lists!$B:$B,Response_Lists!$A:$A=$H357),6),""""))"),"")</f>
        <v/>
      </c>
      <c r="P357" s="28" t="str">
        <f t="shared" si="6"/>
        <v/>
      </c>
      <c r="Q357" s="28" t="str">
        <f t="array" ref="Q357">IF($I356="","",XLOOKUP(C357,FSM_State_Map!A:A,FSM_State_Map!D:D,""))</f>
        <v/>
      </c>
      <c r="R357" s="28" t="str">
        <f t="shared" si="7"/>
        <v/>
      </c>
      <c r="S357" s="28" t="str">
        <f t="array" ref="S357">IF($I356="","",
IF(
  AND(C357="B",C356&lt;&gt;"B"),
  XLOOKUP($B357,Derived_Variables!$A:$A,Derived_Variables!$K:$K,0)
  + XLOOKUP($B357,Derived_Variables!$A:$A,Derived_Variables!$AE:$AE,0),
  S356+AM356
))</f>
        <v/>
      </c>
      <c r="T357" s="28" t="str">
        <f t="shared" ref="T357:U357" si="724">IF($I356="","",T356+AN356)</f>
        <v/>
      </c>
      <c r="U357" s="28" t="str">
        <f t="shared" si="724"/>
        <v/>
      </c>
      <c r="V357" s="28" t="str">
        <f t="array" ref="V357">IF($I356="","",
IF(
  AND(C357="D",C356&lt;&gt;"D"),
  XLOOKUP($B357,Derived_Variables!$A:$A,Derived_Variables!$N:$N,0)
  + XLOOKUP($B357,Derived_Variables!$A:$A,Derived_Variables!$AE:$AE,0),
  V356+AP356
))</f>
        <v/>
      </c>
      <c r="W357" s="28" t="str">
        <f t="shared" ref="W357:X357" si="725">IF($I356="","",W356+AQ356)</f>
        <v/>
      </c>
      <c r="X357" s="28" t="str">
        <f t="shared" si="725"/>
        <v/>
      </c>
      <c r="Y357" s="28" t="str">
        <f t="array" ref="Y357">IF($I356="","",IF(AND(C357="P",C356&lt;&gt;"P"),IFERROR(XLOOKUP($B357,Lenso_Input!$A:$A,Lenso_Input!$E:$E,0),0),Y356+AS356))</f>
        <v/>
      </c>
      <c r="Z357" s="28" t="str">
        <f t="array" ref="Z357">IF($I356="","",IF(AND(C357="Q",C356&lt;&gt;"Q"),IFERROR(XLOOKUP($B357,Lenso_Input!$A:$A,Lenso_Input!$I:$I,0),0),Z356+AT356))</f>
        <v/>
      </c>
      <c r="AA357" s="28" t="str">
        <f t="array" ref="AA357">IF($I356="","",IF(XLOOKUP($B357,Derived_Variables!$A:$A,Derived_Variables!$R:$R,"6/6_target")="6/6_target","20_20_20","40_30_25"))</f>
        <v/>
      </c>
      <c r="AB357" s="28" t="str">
        <f t="array" ref="AB357">IF($I356="","",XLOOKUP(LOWER(XLOOKUP($B357,Derived_Variables!$A:$A,Derived_Variables!$T:$T,"Standard"))&amp;"_sph_step",Calibration!$B:$B,Calibration!$C:$C,0.25))</f>
        <v/>
      </c>
      <c r="AC357" s="28" t="str">
        <f t="array" ref="AC357">IF($I356="","",XLOOKUP(LOWER(XLOOKUP($B357,Derived_Variables!$A:$A,Derived_Variables!$T:$T,"Standard"))&amp;"_cyl_step",Calibration!$B:$B,Calibration!$C:$C,0.25))</f>
        <v/>
      </c>
      <c r="AD357" s="28" t="str">
        <f t="array" ref="AD357">IF($I356="","",IF(OR(C357="E",C357="H"),LET(startStep,XLOOKUP("axis_start_step",Calibration!$B:$B,Calibration!$C:$C,5),step1,XLOOKUP("axis_reversal_step_1",Calibration!$B:$B,Calibration!$C:$C,3),step2,XLOOKUP("axis_reversal_step_2",Calibration!$B:$B,Calibration!$C:$C,1),IF(OR(C356&lt;&gt;C357,AZ357="",AZ357="SAME",AZ357="CANT_TELL",I357="",I357="SAME",I357="CANT_TELL"),startStep,IF(OR(AND(AZ357="BETTER_1",I357="BETTER_2"),AND(AZ357="BETTER_2",I357="BETTER_1")),IF(AD356&gt;step1,step1,step2),AD356))),0))</f>
        <v/>
      </c>
      <c r="AE357" s="28" t="str">
        <f t="array" ref="AE357">IF($I356="","",XLOOKUP($B357,Derived_Variables!$A:$A,Derived_Variables!$AD:$AD,"No_Fog"))</f>
        <v/>
      </c>
      <c r="AF357" s="28" t="str">
        <f t="array" ref="AF357">IF($I356="","",XLOOKUP($B357,Derived_Variables!$A:$A,Derived_Variables!$AE:$AE,0))</f>
        <v/>
      </c>
      <c r="AG357" s="28" t="str">
        <f t="array" ref="AG357">IF($I356="","",XLOOKUP($B357,Derived_Variables!$A:$A,Derived_Variables!$AF:$AF,""))</f>
        <v/>
      </c>
      <c r="AH357" s="28" t="str">
        <f t="array" ref="AH357">IF($I356="","",XLOOKUP($B357,Derived_Variables!$A:$A,Derived_Variables!$AG:$AG,""))</f>
        <v/>
      </c>
      <c r="AI357" s="28" t="str">
        <f t="array" ref="AI357">IF($I356="","",XLOOKUP($B357,Derived_Variables!$A:$A,Derived_Variables!$AC:$AC,"Medium"))</f>
        <v/>
      </c>
      <c r="AJ357" s="28" t="str">
        <f t="array" ref="AJ357">IF($I356="","",XLOOKUP($B357,Derived_Variables!$A:$A,Derived_Variables!$Y:$Y,FALSE))</f>
        <v/>
      </c>
      <c r="AK357" s="28" t="str">
        <f t="array" ref="AK357">IF($I356="","",XLOOKUP($B357,Derived_Variables!$A:$A,Derived_Variables!$AA:$AA,"Normal"))</f>
        <v/>
      </c>
      <c r="AL357" s="28" t="str">
        <f t="array" ref="AL357">IF($I356="","",XLOOKUP($B357,Derived_Variables!$A:$A,Derived_Variables!$AB:$AB,"Normal"))</f>
        <v/>
      </c>
      <c r="AM357" s="28" t="str">
        <f t="array" ref="AM357">IF($I357="","",IFS(C357="B",IF(OR(I357="NOT_READABLE",I357="BLURRY"),-AB357,0),C357="G",IFS(I357="RED_CLEARER",XLOOKUP("duochrome_red_step",Calibration!$B:$B,Calibration!$C:$C,-0.25),I357="GREEN_CLEARER",XLOOKUP("duochrome_green_step",Calibration!$B:$B,Calibration!$C:$C,0.25),I357="EQUAL",IF(XLOOKUP($B357,Derived_Variables!$A:$A,Derived_Variables!$S:$S,"Neutral")="Undercorrect",XLOOKUP("undercorrect_step",Calibration!$B:$B,Calibration!$C:$C,0.25),IF(XLOOKUP($B357,Derived_Variables!$A:$A,Derived_Variables!$S:$S,"Neutral")="Overcorrect",-XLOOKUP("overcorrect_step",Calibration!$B:$B,Calibration!$C:$C,0.25),0)),TRUE,0),C357="K",IF(I357="TOP_CLEARER",XLOOKUP("bino_balance_step",Calibration!$B:$B,Calibration!$C:$C,0.25),0),TRUE,0))</f>
        <v/>
      </c>
      <c r="AN357" s="28" t="str">
        <f t="shared" si="10"/>
        <v/>
      </c>
      <c r="AO357" s="28" t="str">
        <f t="shared" si="11"/>
        <v/>
      </c>
      <c r="AP357" s="28" t="str">
        <f t="array" ref="AP357">IF($I357="","",IFS(C357="D",IF(OR(I357="NOT_READABLE",I357="BLURRY"),-AB357,0),C357="J",IFS(I357="RED_CLEARER",XLOOKUP("duochrome_red_step",Calibration!$B:$B,Calibration!$C:$C,-0.25),I357="GREEN_CLEARER",XLOOKUP("duochrome_green_step",Calibration!$B:$B,Calibration!$C:$C,0.25),I357="EQUAL",IF(XLOOKUP($B357,Derived_Variables!$A:$A,Derived_Variables!$S:$S,"Neutral")="Undercorrect",XLOOKUP("undercorrect_step",Calibration!$B:$B,Calibration!$C:$C,0.25),IF(XLOOKUP($B357,Derived_Variables!$A:$A,Derived_Variables!$S:$S,"Neutral")="Overcorrect",-XLOOKUP("overcorrect_step",Calibration!$B:$B,Calibration!$C:$C,0.25),0)),TRUE,0),C357="K",IF(I357="BOTTOM_CLEARER",XLOOKUP("bino_balance_step",Calibration!$B:$B,Calibration!$C:$C,0.25),0),TRUE,0))</f>
        <v/>
      </c>
      <c r="AQ357" s="28" t="str">
        <f t="shared" si="12"/>
        <v/>
      </c>
      <c r="AR357" s="28" t="str">
        <f t="shared" si="13"/>
        <v/>
      </c>
      <c r="AS357" s="28" t="str">
        <f t="array" ref="AS357">IF($I357="","",IF(C357="P",IF(OR(I357="NOT_READABLE",I357="BLURRY"),XLOOKUP("near_add_step",Calibration!$B:$B,Calibration!$C:$C,0.25),0),IF(C357="R",IF(I357="NOT_CLEAR",XLOOKUP("near_add_step",Calibration!$B:$B,Calibration!$C:$C,0.25),0),0)))</f>
        <v/>
      </c>
      <c r="AT357" s="28" t="str">
        <f t="array" ref="AT357">IF($I357="","",IF(C357="Q",IF(OR(I357="NOT_READABLE",I357="BLURRY"),XLOOKUP("near_add_step",Calibration!$B:$B,Calibration!$C:$C,0.25),0),IF(C357="R",IF(I357="NOT_CLEAR",XLOOKUP("near_add_step",Calibration!$B:$B,Calibration!$C:$C,0.25),0),0)))</f>
        <v/>
      </c>
      <c r="AU357" s="28" t="str">
        <f t="array" ref="AU357">IF($I357="","",IF(G357="SNELLEN_FEET",IF(I357="READABLE",IFERROR(XLOOKUP(XLOOKUP(R357,Chart_Scale_Distance!B:B,Chart_Scale_Distance!A:A)+1,Chart_Scale_Distance!A:A,Chart_Scale_Distance!B:B),R357),R357),R357))</f>
        <v/>
      </c>
      <c r="AV357" s="28" t="str">
        <f t="array" ref="AV357">IF($I356="","",IFERROR(XLOOKUP(R357,Chart_Scale_Distance!$B:$B,Chart_Scale_Distance!$A:$A,""),""))</f>
        <v/>
      </c>
      <c r="AW357" s="28" t="str">
        <f t="array" ref="AW357">IF($I356="","",IFERROR(XLOOKUP(AA357,Chart_Scale_Distance!$B:$B,Chart_Scale_Distance!$A:$A,""),""))</f>
        <v/>
      </c>
      <c r="AX357" s="28" t="str">
        <f t="shared" si="14"/>
        <v/>
      </c>
      <c r="AY357" s="28" t="str">
        <f t="shared" si="15"/>
        <v/>
      </c>
      <c r="AZ357" s="28" t="str">
        <f t="shared" si="16"/>
        <v/>
      </c>
      <c r="BA357" s="28" t="str">
        <f t="shared" si="17"/>
        <v/>
      </c>
      <c r="BB357" s="28" t="str">
        <f t="shared" si="18"/>
        <v/>
      </c>
      <c r="BC357" s="28" t="str">
        <f t="array" ref="BC357">IF($I357="","",LET(
conf,AI357,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duoMax,XLOOKUP($B357,Derived_Variables!$A:$A,Derived_Variables!$AI:$AI,4),
axisTol,XLOOKUP($B357,Derived_Variables!$A:$A,Derived_Variables!$W:$W,1),
maxStart,XLOOKUP($B357,Derived_Variables!$A:$A,Derived_Variables!$U:$U,1.25),
maxAR,XLOOKUP($B357,Derived_Variables!$A:$A,Derived_Variables!$V:$V,3),
anom,XLOOKUP($B357,Derived_Variables!$A:$A,Derived_Variables!$Z:$Z,FALSE),
reStart,XLOOKUP($B357,Derived_Variables!$A:$A,Derived_Variables!$K:$K,0),
leStart,XLOOKUP($B357,Derived_Variables!$A:$A,Derived_Variables!$N:$N,0),
reAR,XLOOKUP($B357,AR_Input!$A:$A,AR_Input!$B:$B,reStart),
leAR,XLOOKUP($B357,AR_Input!$A:$A,AR_Input!$E:$E,leStart),
reEsc,AND(anom,OR(ABS((S357+AM357)-reStart)&gt;maxStart,ABS((S357+AM357)-reAR)&gt;maxAR)),
leEsc,AND(anom,OR(ABS((V357+AP357)-leStart)&gt;maxStart,ABS((V357+AP357)-leAR)&gt;maxAR)),
phaseMax,IFS(
 AK357="Fast",
   IFS(
     OR(C357="B",C357="D"),XLOOKUP("timeout_coarse_fast",Calibration!$B:$B,Calibration!$C:$C,24),
     OR(C357="E",C357="F",C357="H",C357="I"),XLOOKUP("timeout_jcc_fast",Calibration!$B:$B,Calibration!$C:$C,10),
     OR(C357="G",C357="J"),XLOOKUP("timeout_duochrome_fast",Calibration!$B:$B,Calibration!$C:$C,8),
     C357="K",XLOOKUP("timeout_bino_fast",Calibration!$B:$B,Calibration!$C:$C,10),
     OR(C357="P",C357="Q",C357="R"),XLOOKUP("timeout_near_fast",Calibration!$B:$B,Calibration!$C:$C,16),
     TRUE,XLOOKUP("timeout_coarse_fast",Calibration!$B:$B,Calibration!$C:$C,24)
   ),
 AK357="Normal",
   IFS(
     OR(C357="B",C357="D"),XLOOKUP("timeout_coarse_normal",Calibration!$B:$B,Calibration!$C:$C,36),
     OR(C357="E",C357="F",C357="H",C357="I"),XLOOKUP("timeout_jcc_normal",Calibration!$B:$B,Calibration!$C:$C,14),
     OR(C357="G",C357="J"),XLOOKUP("timeout_duochrome_normal",Calibration!$B:$B,Calibration!$C:$C,10),
     C357="K",XLOOKUP("timeout_bino_normal",Calibration!$B:$B,Calibration!$C:$C,14),
     OR(C357="P",C357="Q",C357="R"),XLOOKUP("timeout_near_normal",Calibration!$B:$B,Calibration!$C:$C,22),
     TRUE,XLOOKUP("timeout_coarse_normal",Calibration!$B:$B,Calibration!$C:$C,36)
   ),
 TRUE,
   IFS(
     OR(C357="B",C357="D"),XLOOKUP("timeout_coarse_slow",Calibration!$B:$B,Calibration!$C:$C,48),
     OR(C357="E",C357="F",C357="H",C357="I"),XLOOKUP("timeout_jcc_slow",Calibration!$B:$B,Calibration!$C:$C,18),
     OR(C357="G",C357="J"),XLOOKUP("timeout_duochrome_slow",Calibration!$B:$B,Calibration!$C:$C,12),
     C357="K",XLOOKUP("timeout_bino_slow",Calibration!$B:$B,Calibration!$C:$C,18),
     OR(C357="P",C357="Q",C357="R"),XLOOKUP("timeout_near_slow",Calibration!$B:$B,Calibration!$C:$C,28),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AJ357=TRUE,"ESCALATE",
C357="A",
IF(OR(I357="NOT_READABLE",I357="BLURRY",AND(R357="20_20_20",I357="READABLE")),"B","A"),
C357="B",
IF(reEsc,"ESCALATE",IF(AY357&gt;=phaseMax,"ESCALATE",IF(AND(AV357&gt;=AW357,I357="READABLE"),"E","B"))),
C357="E",
IF(AY357&gt;=phaseMax,"ESCALATE",IF(OR(I357="SAME",I357="CANT_TELL",AD357&lt;axisTol),"F","E")),
C357="F",
IF(AY357&gt;=phaseMax,"ESCALATE",IF(AX357&gt;=powerSameN,"G","F")),
C357="G",
IF(AY357&gt;=phaseMax,"ESCALATE",IF(OR(AX357&gt;=duoEqualN,BB357&gt;=duoMax),"D","G")),
C357="D",
IF(leEsc,"ESCALATE",IF(AY357&gt;=phaseMax,"ESCALATE",IF(AND(AV357&gt;=AW357,I357="READABLE"),"H","D"))),
C357="H",
IF(AY357&gt;=phaseMax,"ESCALATE",IF(OR(I357="SAME",I357="CANT_TELL",AD357&lt;axisTol),"I","H")),
C357="I",
IF(AY357&gt;=phaseMax,"ESCALATE",IF(AX357&gt;=powerSameN,"J","I")),
C357="J",
IF(AY357&gt;=phaseMax,"ESCALATE",IF(OR(AX357&gt;=duoEqualN,BB357&gt;=duoMax),"K","J")),
C357="K",
IF(AY357&gt;=phaseMax,"ESCALATE",IF(AX357&gt;=binoSameN,IF(XLOOKUP($B357,Derived_Variables!$A:$A,Derived_Variables!$AJ:$AJ,FALSE)=TRUE,"P","END"),"K")),
C357="P",
IF(AY357&gt;=phaseMax,"ESCALATE",IF(OR(I357="READABLE",I357="SAME"),"Q","P")),
C357="Q",
IF(AY357&gt;=phaseMax,"ESCALATE",IF(OR(I357="READABLE",I357="SAME"),"R","Q")),
C357="R",
IF(AY357&gt;=phaseMax,"ESCALATE",IF(OR(I357=nearTarget,I357="SAME"),"END","R")),
TRUE,"END"
)))</f>
        <v/>
      </c>
      <c r="BD357" s="28" t="b">
        <f t="shared" si="19"/>
        <v>0</v>
      </c>
    </row>
    <row r="358" ht="15.75" customHeight="1">
      <c r="A358" s="28">
        <f t="shared" si="3"/>
        <v>357</v>
      </c>
      <c r="B358" s="28">
        <f t="shared" si="4"/>
        <v>6</v>
      </c>
      <c r="C358" s="28" t="str">
        <f t="shared" si="5"/>
        <v/>
      </c>
      <c r="D358" s="28" t="str">
        <f t="array" ref="D358">IF($I357="","",XLOOKUP(C358,FSM_State_Map!A:A,FSM_State_Map!B:B,""))</f>
        <v/>
      </c>
      <c r="E358" s="28" t="str">
        <f t="array" ref="E358">IF($I357="","",XLOOKUP(C358,FSM_State_Map!A:A,FSM_State_Map!C:C,""))</f>
        <v/>
      </c>
      <c r="F358" s="28" t="str">
        <f t="array" ref="F358">IF($I357="","",XLOOKUP(E358,Phase_UI_Map!A:A,Phase_UI_Map!B:B,""))</f>
        <v/>
      </c>
      <c r="G358" s="28" t="str">
        <f t="array" ref="G358">IF($I357="","",XLOOKUP(E358,Phase_UI_Map!A:A,Phase_UI_Map!C:C,""))</f>
        <v/>
      </c>
      <c r="H358" s="28" t="str">
        <f t="array" ref="H358">IF($I357="","",XLOOKUP(E358,Phase_UI_Map!A:A,Phase_UI_Map!D:D,""))</f>
        <v/>
      </c>
      <c r="I358" s="29"/>
      <c r="J358" s="28" t="str">
        <f>IFERROR(__xludf.DUMMYFUNCTION("IF($I357="""","""",IFERROR(INDEX(FILTER(Response_Lists!$B:$B,Response_Lists!$A:$A=$H358),1),""""))"),"")</f>
        <v/>
      </c>
      <c r="K358" s="28" t="str">
        <f>IFERROR(__xludf.DUMMYFUNCTION("IF($I357="""","""",IFERROR(INDEX(FILTER(Response_Lists!$B:$B,Response_Lists!$A:$A=$H358),2),""""))"),"")</f>
        <v/>
      </c>
      <c r="L358" s="28" t="str">
        <f>IFERROR(__xludf.DUMMYFUNCTION("IF($I357="""","""",IFERROR(INDEX(FILTER(Response_Lists!$B:$B,Response_Lists!$A:$A=$H358),3),""""))"),"")</f>
        <v/>
      </c>
      <c r="M358" s="28" t="str">
        <f>IFERROR(__xludf.DUMMYFUNCTION("IF($I357="""","""",IFERROR(INDEX(FILTER(Response_Lists!$B:$B,Response_Lists!$A:$A=$H358),4),""""))"),"")</f>
        <v/>
      </c>
      <c r="N358" s="28" t="str">
        <f>IFERROR(__xludf.DUMMYFUNCTION("IF($I357="""","""",IFERROR(INDEX(FILTER(Response_Lists!$B:$B,Response_Lists!$A:$A=$H358),5),""""))"),"")</f>
        <v/>
      </c>
      <c r="O358" s="28" t="str">
        <f>IFERROR(__xludf.DUMMYFUNCTION("IF($I357="""","""",IFERROR(INDEX(FILTER(Response_Lists!$B:$B,Response_Lists!$A:$A=$H358),6),""""))"),"")</f>
        <v/>
      </c>
      <c r="P358" s="28" t="str">
        <f t="shared" si="6"/>
        <v/>
      </c>
      <c r="Q358" s="28" t="str">
        <f t="array" ref="Q358">IF($I357="","",XLOOKUP(C358,FSM_State_Map!A:A,FSM_State_Map!D:D,""))</f>
        <v/>
      </c>
      <c r="R358" s="28" t="str">
        <f t="shared" si="7"/>
        <v/>
      </c>
      <c r="S358" s="28" t="str">
        <f t="array" ref="S358">IF($I357="","",
IF(
  AND(C358="B",C357&lt;&gt;"B"),
  XLOOKUP($B358,Derived_Variables!$A:$A,Derived_Variables!$K:$K,0)
  + XLOOKUP($B358,Derived_Variables!$A:$A,Derived_Variables!$AE:$AE,0),
  S357+AM357
))</f>
        <v/>
      </c>
      <c r="T358" s="28" t="str">
        <f t="shared" ref="T358:U358" si="726">IF($I357="","",T357+AN357)</f>
        <v/>
      </c>
      <c r="U358" s="28" t="str">
        <f t="shared" si="726"/>
        <v/>
      </c>
      <c r="V358" s="28" t="str">
        <f t="array" ref="V358">IF($I357="","",
IF(
  AND(C358="D",C357&lt;&gt;"D"),
  XLOOKUP($B358,Derived_Variables!$A:$A,Derived_Variables!$N:$N,0)
  + XLOOKUP($B358,Derived_Variables!$A:$A,Derived_Variables!$AE:$AE,0),
  V357+AP357
))</f>
        <v/>
      </c>
      <c r="W358" s="28" t="str">
        <f t="shared" ref="W358:X358" si="727">IF($I357="","",W357+AQ357)</f>
        <v/>
      </c>
      <c r="X358" s="28" t="str">
        <f t="shared" si="727"/>
        <v/>
      </c>
      <c r="Y358" s="28" t="str">
        <f t="array" ref="Y358">IF($I357="","",IF(AND(C358="P",C357&lt;&gt;"P"),IFERROR(XLOOKUP($B358,Lenso_Input!$A:$A,Lenso_Input!$E:$E,0),0),Y357+AS357))</f>
        <v/>
      </c>
      <c r="Z358" s="28" t="str">
        <f t="array" ref="Z358">IF($I357="","",IF(AND(C358="Q",C357&lt;&gt;"Q"),IFERROR(XLOOKUP($B358,Lenso_Input!$A:$A,Lenso_Input!$I:$I,0),0),Z357+AT357))</f>
        <v/>
      </c>
      <c r="AA358" s="28" t="str">
        <f t="array" ref="AA358">IF($I357="","",IF(XLOOKUP($B358,Derived_Variables!$A:$A,Derived_Variables!$R:$R,"6/6_target")="6/6_target","20_20_20","40_30_25"))</f>
        <v/>
      </c>
      <c r="AB358" s="28" t="str">
        <f t="array" ref="AB358">IF($I357="","",XLOOKUP(LOWER(XLOOKUP($B358,Derived_Variables!$A:$A,Derived_Variables!$T:$T,"Standard"))&amp;"_sph_step",Calibration!$B:$B,Calibration!$C:$C,0.25))</f>
        <v/>
      </c>
      <c r="AC358" s="28" t="str">
        <f t="array" ref="AC358">IF($I357="","",XLOOKUP(LOWER(XLOOKUP($B358,Derived_Variables!$A:$A,Derived_Variables!$T:$T,"Standard"))&amp;"_cyl_step",Calibration!$B:$B,Calibration!$C:$C,0.25))</f>
        <v/>
      </c>
      <c r="AD358" s="28" t="str">
        <f t="array" ref="AD358">IF($I357="","",IF(OR(C358="E",C358="H"),LET(startStep,XLOOKUP("axis_start_step",Calibration!$B:$B,Calibration!$C:$C,5),step1,XLOOKUP("axis_reversal_step_1",Calibration!$B:$B,Calibration!$C:$C,3),step2,XLOOKUP("axis_reversal_step_2",Calibration!$B:$B,Calibration!$C:$C,1),IF(OR(C357&lt;&gt;C358,AZ358="",AZ358="SAME",AZ358="CANT_TELL",I358="",I358="SAME",I358="CANT_TELL"),startStep,IF(OR(AND(AZ358="BETTER_1",I358="BETTER_2"),AND(AZ358="BETTER_2",I358="BETTER_1")),IF(AD357&gt;step1,step1,step2),AD357))),0))</f>
        <v/>
      </c>
      <c r="AE358" s="28" t="str">
        <f t="array" ref="AE358">IF($I357="","",XLOOKUP($B358,Derived_Variables!$A:$A,Derived_Variables!$AD:$AD,"No_Fog"))</f>
        <v/>
      </c>
      <c r="AF358" s="28" t="str">
        <f t="array" ref="AF358">IF($I357="","",XLOOKUP($B358,Derived_Variables!$A:$A,Derived_Variables!$AE:$AE,0))</f>
        <v/>
      </c>
      <c r="AG358" s="28" t="str">
        <f t="array" ref="AG358">IF($I357="","",XLOOKUP($B358,Derived_Variables!$A:$A,Derived_Variables!$AF:$AF,""))</f>
        <v/>
      </c>
      <c r="AH358" s="28" t="str">
        <f t="array" ref="AH358">IF($I357="","",XLOOKUP($B358,Derived_Variables!$A:$A,Derived_Variables!$AG:$AG,""))</f>
        <v/>
      </c>
      <c r="AI358" s="28" t="str">
        <f t="array" ref="AI358">IF($I357="","",XLOOKUP($B358,Derived_Variables!$A:$A,Derived_Variables!$AC:$AC,"Medium"))</f>
        <v/>
      </c>
      <c r="AJ358" s="28" t="str">
        <f t="array" ref="AJ358">IF($I357="","",XLOOKUP($B358,Derived_Variables!$A:$A,Derived_Variables!$Y:$Y,FALSE))</f>
        <v/>
      </c>
      <c r="AK358" s="28" t="str">
        <f t="array" ref="AK358">IF($I357="","",XLOOKUP($B358,Derived_Variables!$A:$A,Derived_Variables!$AA:$AA,"Normal"))</f>
        <v/>
      </c>
      <c r="AL358" s="28" t="str">
        <f t="array" ref="AL358">IF($I357="","",XLOOKUP($B358,Derived_Variables!$A:$A,Derived_Variables!$AB:$AB,"Normal"))</f>
        <v/>
      </c>
      <c r="AM358" s="28" t="str">
        <f t="array" ref="AM358">IF($I358="","",IFS(C358="B",IF(OR(I358="NOT_READABLE",I358="BLURRY"),-AB358,0),C358="G",IFS(I358="RED_CLEARER",XLOOKUP("duochrome_red_step",Calibration!$B:$B,Calibration!$C:$C,-0.25),I358="GREEN_CLEARER",XLOOKUP("duochrome_green_step",Calibration!$B:$B,Calibration!$C:$C,0.25),I358="EQUAL",IF(XLOOKUP($B358,Derived_Variables!$A:$A,Derived_Variables!$S:$S,"Neutral")="Undercorrect",XLOOKUP("undercorrect_step",Calibration!$B:$B,Calibration!$C:$C,0.25),IF(XLOOKUP($B358,Derived_Variables!$A:$A,Derived_Variables!$S:$S,"Neutral")="Overcorrect",-XLOOKUP("overcorrect_step",Calibration!$B:$B,Calibration!$C:$C,0.25),0)),TRUE,0),C358="K",IF(I358="TOP_CLEARER",XLOOKUP("bino_balance_step",Calibration!$B:$B,Calibration!$C:$C,0.25),0),TRUE,0))</f>
        <v/>
      </c>
      <c r="AN358" s="28" t="str">
        <f t="shared" si="10"/>
        <v/>
      </c>
      <c r="AO358" s="28" t="str">
        <f t="shared" si="11"/>
        <v/>
      </c>
      <c r="AP358" s="28" t="str">
        <f t="array" ref="AP358">IF($I358="","",IFS(C358="D",IF(OR(I358="NOT_READABLE",I358="BLURRY"),-AB358,0),C358="J",IFS(I358="RED_CLEARER",XLOOKUP("duochrome_red_step",Calibration!$B:$B,Calibration!$C:$C,-0.25),I358="GREEN_CLEARER",XLOOKUP("duochrome_green_step",Calibration!$B:$B,Calibration!$C:$C,0.25),I358="EQUAL",IF(XLOOKUP($B358,Derived_Variables!$A:$A,Derived_Variables!$S:$S,"Neutral")="Undercorrect",XLOOKUP("undercorrect_step",Calibration!$B:$B,Calibration!$C:$C,0.25),IF(XLOOKUP($B358,Derived_Variables!$A:$A,Derived_Variables!$S:$S,"Neutral")="Overcorrect",-XLOOKUP("overcorrect_step",Calibration!$B:$B,Calibration!$C:$C,0.25),0)),TRUE,0),C358="K",IF(I358="BOTTOM_CLEARER",XLOOKUP("bino_balance_step",Calibration!$B:$B,Calibration!$C:$C,0.25),0),TRUE,0))</f>
        <v/>
      </c>
      <c r="AQ358" s="28" t="str">
        <f t="shared" si="12"/>
        <v/>
      </c>
      <c r="AR358" s="28" t="str">
        <f t="shared" si="13"/>
        <v/>
      </c>
      <c r="AS358" s="28" t="str">
        <f t="array" ref="AS358">IF($I358="","",IF(C358="P",IF(OR(I358="NOT_READABLE",I358="BLURRY"),XLOOKUP("near_add_step",Calibration!$B:$B,Calibration!$C:$C,0.25),0),IF(C358="R",IF(I358="NOT_CLEAR",XLOOKUP("near_add_step",Calibration!$B:$B,Calibration!$C:$C,0.25),0),0)))</f>
        <v/>
      </c>
      <c r="AT358" s="28" t="str">
        <f t="array" ref="AT358">IF($I358="","",IF(C358="Q",IF(OR(I358="NOT_READABLE",I358="BLURRY"),XLOOKUP("near_add_step",Calibration!$B:$B,Calibration!$C:$C,0.25),0),IF(C358="R",IF(I358="NOT_CLEAR",XLOOKUP("near_add_step",Calibration!$B:$B,Calibration!$C:$C,0.25),0),0)))</f>
        <v/>
      </c>
      <c r="AU358" s="28" t="str">
        <f t="array" ref="AU358">IF($I358="","",IF(G358="SNELLEN_FEET",IF(I358="READABLE",IFERROR(XLOOKUP(XLOOKUP(R358,Chart_Scale_Distance!B:B,Chart_Scale_Distance!A:A)+1,Chart_Scale_Distance!A:A,Chart_Scale_Distance!B:B),R358),R358),R358))</f>
        <v/>
      </c>
      <c r="AV358" s="28" t="str">
        <f t="array" ref="AV358">IF($I357="","",IFERROR(XLOOKUP(R358,Chart_Scale_Distance!$B:$B,Chart_Scale_Distance!$A:$A,""),""))</f>
        <v/>
      </c>
      <c r="AW358" s="28" t="str">
        <f t="array" ref="AW358">IF($I357="","",IFERROR(XLOOKUP(AA358,Chart_Scale_Distance!$B:$B,Chart_Scale_Distance!$A:$A,""),""))</f>
        <v/>
      </c>
      <c r="AX358" s="28" t="str">
        <f t="shared" si="14"/>
        <v/>
      </c>
      <c r="AY358" s="28" t="str">
        <f t="shared" si="15"/>
        <v/>
      </c>
      <c r="AZ358" s="28" t="str">
        <f t="shared" si="16"/>
        <v/>
      </c>
      <c r="BA358" s="28" t="str">
        <f t="shared" si="17"/>
        <v/>
      </c>
      <c r="BB358" s="28" t="str">
        <f t="shared" si="18"/>
        <v/>
      </c>
      <c r="BC358" s="28" t="str">
        <f t="array" ref="BC358">IF($I358="","",LET(
conf,AI358,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duoMax,XLOOKUP($B358,Derived_Variables!$A:$A,Derived_Variables!$AI:$AI,4),
axisTol,XLOOKUP($B358,Derived_Variables!$A:$A,Derived_Variables!$W:$W,1),
maxStart,XLOOKUP($B358,Derived_Variables!$A:$A,Derived_Variables!$U:$U,1.25),
maxAR,XLOOKUP($B358,Derived_Variables!$A:$A,Derived_Variables!$V:$V,3),
anom,XLOOKUP($B358,Derived_Variables!$A:$A,Derived_Variables!$Z:$Z,FALSE),
reStart,XLOOKUP($B358,Derived_Variables!$A:$A,Derived_Variables!$K:$K,0),
leStart,XLOOKUP($B358,Derived_Variables!$A:$A,Derived_Variables!$N:$N,0),
reAR,XLOOKUP($B358,AR_Input!$A:$A,AR_Input!$B:$B,reStart),
leAR,XLOOKUP($B358,AR_Input!$A:$A,AR_Input!$E:$E,leStart),
reEsc,AND(anom,OR(ABS((S358+AM358)-reStart)&gt;maxStart,ABS((S358+AM358)-reAR)&gt;maxAR)),
leEsc,AND(anom,OR(ABS((V358+AP358)-leStart)&gt;maxStart,ABS((V358+AP358)-leAR)&gt;maxAR)),
phaseMax,IFS(
 AK358="Fast",
   IFS(
     OR(C358="B",C358="D"),XLOOKUP("timeout_coarse_fast",Calibration!$B:$B,Calibration!$C:$C,24),
     OR(C358="E",C358="F",C358="H",C358="I"),XLOOKUP("timeout_jcc_fast",Calibration!$B:$B,Calibration!$C:$C,10),
     OR(C358="G",C358="J"),XLOOKUP("timeout_duochrome_fast",Calibration!$B:$B,Calibration!$C:$C,8),
     C358="K",XLOOKUP("timeout_bino_fast",Calibration!$B:$B,Calibration!$C:$C,10),
     OR(C358="P",C358="Q",C358="R"),XLOOKUP("timeout_near_fast",Calibration!$B:$B,Calibration!$C:$C,16),
     TRUE,XLOOKUP("timeout_coarse_fast",Calibration!$B:$B,Calibration!$C:$C,24)
   ),
 AK358="Normal",
   IFS(
     OR(C358="B",C358="D"),XLOOKUP("timeout_coarse_normal",Calibration!$B:$B,Calibration!$C:$C,36),
     OR(C358="E",C358="F",C358="H",C358="I"),XLOOKUP("timeout_jcc_normal",Calibration!$B:$B,Calibration!$C:$C,14),
     OR(C358="G",C358="J"),XLOOKUP("timeout_duochrome_normal",Calibration!$B:$B,Calibration!$C:$C,10),
     C358="K",XLOOKUP("timeout_bino_normal",Calibration!$B:$B,Calibration!$C:$C,14),
     OR(C358="P",C358="Q",C358="R"),XLOOKUP("timeout_near_normal",Calibration!$B:$B,Calibration!$C:$C,22),
     TRUE,XLOOKUP("timeout_coarse_normal",Calibration!$B:$B,Calibration!$C:$C,36)
   ),
 TRUE,
   IFS(
     OR(C358="B",C358="D"),XLOOKUP("timeout_coarse_slow",Calibration!$B:$B,Calibration!$C:$C,48),
     OR(C358="E",C358="F",C358="H",C358="I"),XLOOKUP("timeout_jcc_slow",Calibration!$B:$B,Calibration!$C:$C,18),
     OR(C358="G",C358="J"),XLOOKUP("timeout_duochrome_slow",Calibration!$B:$B,Calibration!$C:$C,12),
     C358="K",XLOOKUP("timeout_bino_slow",Calibration!$B:$B,Calibration!$C:$C,18),
     OR(C358="P",C358="Q",C358="R"),XLOOKUP("timeout_near_slow",Calibration!$B:$B,Calibration!$C:$C,28),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AJ358=TRUE,"ESCALATE",
C358="A",
IF(OR(I358="NOT_READABLE",I358="BLURRY",AND(R358="20_20_20",I358="READABLE")),"B","A"),
C358="B",
IF(reEsc,"ESCALATE",IF(AY358&gt;=phaseMax,"ESCALATE",IF(AND(AV358&gt;=AW358,I358="READABLE"),"E","B"))),
C358="E",
IF(AY358&gt;=phaseMax,"ESCALATE",IF(OR(I358="SAME",I358="CANT_TELL",AD358&lt;axisTol),"F","E")),
C358="F",
IF(AY358&gt;=phaseMax,"ESCALATE",IF(AX358&gt;=powerSameN,"G","F")),
C358="G",
IF(AY358&gt;=phaseMax,"ESCALATE",IF(OR(AX358&gt;=duoEqualN,BB358&gt;=duoMax),"D","G")),
C358="D",
IF(leEsc,"ESCALATE",IF(AY358&gt;=phaseMax,"ESCALATE",IF(AND(AV358&gt;=AW358,I358="READABLE"),"H","D"))),
C358="H",
IF(AY358&gt;=phaseMax,"ESCALATE",IF(OR(I358="SAME",I358="CANT_TELL",AD358&lt;axisTol),"I","H")),
C358="I",
IF(AY358&gt;=phaseMax,"ESCALATE",IF(AX358&gt;=powerSameN,"J","I")),
C358="J",
IF(AY358&gt;=phaseMax,"ESCALATE",IF(OR(AX358&gt;=duoEqualN,BB358&gt;=duoMax),"K","J")),
C358="K",
IF(AY358&gt;=phaseMax,"ESCALATE",IF(AX358&gt;=binoSameN,IF(XLOOKUP($B358,Derived_Variables!$A:$A,Derived_Variables!$AJ:$AJ,FALSE)=TRUE,"P","END"),"K")),
C358="P",
IF(AY358&gt;=phaseMax,"ESCALATE",IF(OR(I358="READABLE",I358="SAME"),"Q","P")),
C358="Q",
IF(AY358&gt;=phaseMax,"ESCALATE",IF(OR(I358="READABLE",I358="SAME"),"R","Q")),
C358="R",
IF(AY358&gt;=phaseMax,"ESCALATE",IF(OR(I358=nearTarget,I358="SAME"),"END","R")),
TRUE,"END"
)))</f>
        <v/>
      </c>
      <c r="BD358" s="28" t="b">
        <f t="shared" si="19"/>
        <v>0</v>
      </c>
    </row>
    <row r="359" ht="15.75" customHeight="1">
      <c r="A359" s="28">
        <f t="shared" si="3"/>
        <v>358</v>
      </c>
      <c r="B359" s="28">
        <f t="shared" si="4"/>
        <v>6</v>
      </c>
      <c r="C359" s="28" t="str">
        <f t="shared" si="5"/>
        <v/>
      </c>
      <c r="D359" s="28" t="str">
        <f t="array" ref="D359">IF($I358="","",XLOOKUP(C359,FSM_State_Map!A:A,FSM_State_Map!B:B,""))</f>
        <v/>
      </c>
      <c r="E359" s="28" t="str">
        <f t="array" ref="E359">IF($I358="","",XLOOKUP(C359,FSM_State_Map!A:A,FSM_State_Map!C:C,""))</f>
        <v/>
      </c>
      <c r="F359" s="28" t="str">
        <f t="array" ref="F359">IF($I358="","",XLOOKUP(E359,Phase_UI_Map!A:A,Phase_UI_Map!B:B,""))</f>
        <v/>
      </c>
      <c r="G359" s="28" t="str">
        <f t="array" ref="G359">IF($I358="","",XLOOKUP(E359,Phase_UI_Map!A:A,Phase_UI_Map!C:C,""))</f>
        <v/>
      </c>
      <c r="H359" s="28" t="str">
        <f t="array" ref="H359">IF($I358="","",XLOOKUP(E359,Phase_UI_Map!A:A,Phase_UI_Map!D:D,""))</f>
        <v/>
      </c>
      <c r="I359" s="29"/>
      <c r="J359" s="28" t="str">
        <f>IFERROR(__xludf.DUMMYFUNCTION("IF($I358="""","""",IFERROR(INDEX(FILTER(Response_Lists!$B:$B,Response_Lists!$A:$A=$H359),1),""""))"),"")</f>
        <v/>
      </c>
      <c r="K359" s="28" t="str">
        <f>IFERROR(__xludf.DUMMYFUNCTION("IF($I358="""","""",IFERROR(INDEX(FILTER(Response_Lists!$B:$B,Response_Lists!$A:$A=$H359),2),""""))"),"")</f>
        <v/>
      </c>
      <c r="L359" s="28" t="str">
        <f>IFERROR(__xludf.DUMMYFUNCTION("IF($I358="""","""",IFERROR(INDEX(FILTER(Response_Lists!$B:$B,Response_Lists!$A:$A=$H359),3),""""))"),"")</f>
        <v/>
      </c>
      <c r="M359" s="28" t="str">
        <f>IFERROR(__xludf.DUMMYFUNCTION("IF($I358="""","""",IFERROR(INDEX(FILTER(Response_Lists!$B:$B,Response_Lists!$A:$A=$H359),4),""""))"),"")</f>
        <v/>
      </c>
      <c r="N359" s="28" t="str">
        <f>IFERROR(__xludf.DUMMYFUNCTION("IF($I358="""","""",IFERROR(INDEX(FILTER(Response_Lists!$B:$B,Response_Lists!$A:$A=$H359),5),""""))"),"")</f>
        <v/>
      </c>
      <c r="O359" s="28" t="str">
        <f>IFERROR(__xludf.DUMMYFUNCTION("IF($I358="""","""",IFERROR(INDEX(FILTER(Response_Lists!$B:$B,Response_Lists!$A:$A=$H359),6),""""))"),"")</f>
        <v/>
      </c>
      <c r="P359" s="28" t="str">
        <f t="shared" si="6"/>
        <v/>
      </c>
      <c r="Q359" s="28" t="str">
        <f t="array" ref="Q359">IF($I358="","",XLOOKUP(C359,FSM_State_Map!A:A,FSM_State_Map!D:D,""))</f>
        <v/>
      </c>
      <c r="R359" s="28" t="str">
        <f t="shared" si="7"/>
        <v/>
      </c>
      <c r="S359" s="28" t="str">
        <f t="array" ref="S359">IF($I358="","",
IF(
  AND(C359="B",C358&lt;&gt;"B"),
  XLOOKUP($B359,Derived_Variables!$A:$A,Derived_Variables!$K:$K,0)
  + XLOOKUP($B359,Derived_Variables!$A:$A,Derived_Variables!$AE:$AE,0),
  S358+AM358
))</f>
        <v/>
      </c>
      <c r="T359" s="28" t="str">
        <f t="shared" ref="T359:U359" si="728">IF($I358="","",T358+AN358)</f>
        <v/>
      </c>
      <c r="U359" s="28" t="str">
        <f t="shared" si="728"/>
        <v/>
      </c>
      <c r="V359" s="28" t="str">
        <f t="array" ref="V359">IF($I358="","",
IF(
  AND(C359="D",C358&lt;&gt;"D"),
  XLOOKUP($B359,Derived_Variables!$A:$A,Derived_Variables!$N:$N,0)
  + XLOOKUP($B359,Derived_Variables!$A:$A,Derived_Variables!$AE:$AE,0),
  V358+AP358
))</f>
        <v/>
      </c>
      <c r="W359" s="28" t="str">
        <f t="shared" ref="W359:X359" si="729">IF($I358="","",W358+AQ358)</f>
        <v/>
      </c>
      <c r="X359" s="28" t="str">
        <f t="shared" si="729"/>
        <v/>
      </c>
      <c r="Y359" s="28" t="str">
        <f t="array" ref="Y359">IF($I358="","",IF(AND(C359="P",C358&lt;&gt;"P"),IFERROR(XLOOKUP($B359,Lenso_Input!$A:$A,Lenso_Input!$E:$E,0),0),Y358+AS358))</f>
        <v/>
      </c>
      <c r="Z359" s="28" t="str">
        <f t="array" ref="Z359">IF($I358="","",IF(AND(C359="Q",C358&lt;&gt;"Q"),IFERROR(XLOOKUP($B359,Lenso_Input!$A:$A,Lenso_Input!$I:$I,0),0),Z358+AT358))</f>
        <v/>
      </c>
      <c r="AA359" s="28" t="str">
        <f t="array" ref="AA359">IF($I358="","",IF(XLOOKUP($B359,Derived_Variables!$A:$A,Derived_Variables!$R:$R,"6/6_target")="6/6_target","20_20_20","40_30_25"))</f>
        <v/>
      </c>
      <c r="AB359" s="28" t="str">
        <f t="array" ref="AB359">IF($I358="","",XLOOKUP(LOWER(XLOOKUP($B359,Derived_Variables!$A:$A,Derived_Variables!$T:$T,"Standard"))&amp;"_sph_step",Calibration!$B:$B,Calibration!$C:$C,0.25))</f>
        <v/>
      </c>
      <c r="AC359" s="28" t="str">
        <f t="array" ref="AC359">IF($I358="","",XLOOKUP(LOWER(XLOOKUP($B359,Derived_Variables!$A:$A,Derived_Variables!$T:$T,"Standard"))&amp;"_cyl_step",Calibration!$B:$B,Calibration!$C:$C,0.25))</f>
        <v/>
      </c>
      <c r="AD359" s="28" t="str">
        <f t="array" ref="AD359">IF($I358="","",IF(OR(C359="E",C359="H"),LET(startStep,XLOOKUP("axis_start_step",Calibration!$B:$B,Calibration!$C:$C,5),step1,XLOOKUP("axis_reversal_step_1",Calibration!$B:$B,Calibration!$C:$C,3),step2,XLOOKUP("axis_reversal_step_2",Calibration!$B:$B,Calibration!$C:$C,1),IF(OR(C358&lt;&gt;C359,AZ359="",AZ359="SAME",AZ359="CANT_TELL",I359="",I359="SAME",I359="CANT_TELL"),startStep,IF(OR(AND(AZ359="BETTER_1",I359="BETTER_2"),AND(AZ359="BETTER_2",I359="BETTER_1")),IF(AD358&gt;step1,step1,step2),AD358))),0))</f>
        <v/>
      </c>
      <c r="AE359" s="28" t="str">
        <f t="array" ref="AE359">IF($I358="","",XLOOKUP($B359,Derived_Variables!$A:$A,Derived_Variables!$AD:$AD,"No_Fog"))</f>
        <v/>
      </c>
      <c r="AF359" s="28" t="str">
        <f t="array" ref="AF359">IF($I358="","",XLOOKUP($B359,Derived_Variables!$A:$A,Derived_Variables!$AE:$AE,0))</f>
        <v/>
      </c>
      <c r="AG359" s="28" t="str">
        <f t="array" ref="AG359">IF($I358="","",XLOOKUP($B359,Derived_Variables!$A:$A,Derived_Variables!$AF:$AF,""))</f>
        <v/>
      </c>
      <c r="AH359" s="28" t="str">
        <f t="array" ref="AH359">IF($I358="","",XLOOKUP($B359,Derived_Variables!$A:$A,Derived_Variables!$AG:$AG,""))</f>
        <v/>
      </c>
      <c r="AI359" s="28" t="str">
        <f t="array" ref="AI359">IF($I358="","",XLOOKUP($B359,Derived_Variables!$A:$A,Derived_Variables!$AC:$AC,"Medium"))</f>
        <v/>
      </c>
      <c r="AJ359" s="28" t="str">
        <f t="array" ref="AJ359">IF($I358="","",XLOOKUP($B359,Derived_Variables!$A:$A,Derived_Variables!$Y:$Y,FALSE))</f>
        <v/>
      </c>
      <c r="AK359" s="28" t="str">
        <f t="array" ref="AK359">IF($I358="","",XLOOKUP($B359,Derived_Variables!$A:$A,Derived_Variables!$AA:$AA,"Normal"))</f>
        <v/>
      </c>
      <c r="AL359" s="28" t="str">
        <f t="array" ref="AL359">IF($I358="","",XLOOKUP($B359,Derived_Variables!$A:$A,Derived_Variables!$AB:$AB,"Normal"))</f>
        <v/>
      </c>
      <c r="AM359" s="28" t="str">
        <f t="array" ref="AM359">IF($I359="","",IFS(C359="B",IF(OR(I359="NOT_READABLE",I359="BLURRY"),-AB359,0),C359="G",IFS(I359="RED_CLEARER",XLOOKUP("duochrome_red_step",Calibration!$B:$B,Calibration!$C:$C,-0.25),I359="GREEN_CLEARER",XLOOKUP("duochrome_green_step",Calibration!$B:$B,Calibration!$C:$C,0.25),I359="EQUAL",IF(XLOOKUP($B359,Derived_Variables!$A:$A,Derived_Variables!$S:$S,"Neutral")="Undercorrect",XLOOKUP("undercorrect_step",Calibration!$B:$B,Calibration!$C:$C,0.25),IF(XLOOKUP($B359,Derived_Variables!$A:$A,Derived_Variables!$S:$S,"Neutral")="Overcorrect",-XLOOKUP("overcorrect_step",Calibration!$B:$B,Calibration!$C:$C,0.25),0)),TRUE,0),C359="K",IF(I359="TOP_CLEARER",XLOOKUP("bino_balance_step",Calibration!$B:$B,Calibration!$C:$C,0.25),0),TRUE,0))</f>
        <v/>
      </c>
      <c r="AN359" s="28" t="str">
        <f t="shared" si="10"/>
        <v/>
      </c>
      <c r="AO359" s="28" t="str">
        <f t="shared" si="11"/>
        <v/>
      </c>
      <c r="AP359" s="28" t="str">
        <f t="array" ref="AP359">IF($I359="","",IFS(C359="D",IF(OR(I359="NOT_READABLE",I359="BLURRY"),-AB359,0),C359="J",IFS(I359="RED_CLEARER",XLOOKUP("duochrome_red_step",Calibration!$B:$B,Calibration!$C:$C,-0.25),I359="GREEN_CLEARER",XLOOKUP("duochrome_green_step",Calibration!$B:$B,Calibration!$C:$C,0.25),I359="EQUAL",IF(XLOOKUP($B359,Derived_Variables!$A:$A,Derived_Variables!$S:$S,"Neutral")="Undercorrect",XLOOKUP("undercorrect_step",Calibration!$B:$B,Calibration!$C:$C,0.25),IF(XLOOKUP($B359,Derived_Variables!$A:$A,Derived_Variables!$S:$S,"Neutral")="Overcorrect",-XLOOKUP("overcorrect_step",Calibration!$B:$B,Calibration!$C:$C,0.25),0)),TRUE,0),C359="K",IF(I359="BOTTOM_CLEARER",XLOOKUP("bino_balance_step",Calibration!$B:$B,Calibration!$C:$C,0.25),0),TRUE,0))</f>
        <v/>
      </c>
      <c r="AQ359" s="28" t="str">
        <f t="shared" si="12"/>
        <v/>
      </c>
      <c r="AR359" s="28" t="str">
        <f t="shared" si="13"/>
        <v/>
      </c>
      <c r="AS359" s="28" t="str">
        <f t="array" ref="AS359">IF($I359="","",IF(C359="P",IF(OR(I359="NOT_READABLE",I359="BLURRY"),XLOOKUP("near_add_step",Calibration!$B:$B,Calibration!$C:$C,0.25),0),IF(C359="R",IF(I359="NOT_CLEAR",XLOOKUP("near_add_step",Calibration!$B:$B,Calibration!$C:$C,0.25),0),0)))</f>
        <v/>
      </c>
      <c r="AT359" s="28" t="str">
        <f t="array" ref="AT359">IF($I359="","",IF(C359="Q",IF(OR(I359="NOT_READABLE",I359="BLURRY"),XLOOKUP("near_add_step",Calibration!$B:$B,Calibration!$C:$C,0.25),0),IF(C359="R",IF(I359="NOT_CLEAR",XLOOKUP("near_add_step",Calibration!$B:$B,Calibration!$C:$C,0.25),0),0)))</f>
        <v/>
      </c>
      <c r="AU359" s="28" t="str">
        <f t="array" ref="AU359">IF($I359="","",IF(G359="SNELLEN_FEET",IF(I359="READABLE",IFERROR(XLOOKUP(XLOOKUP(R359,Chart_Scale_Distance!B:B,Chart_Scale_Distance!A:A)+1,Chart_Scale_Distance!A:A,Chart_Scale_Distance!B:B),R359),R359),R359))</f>
        <v/>
      </c>
      <c r="AV359" s="28" t="str">
        <f t="array" ref="AV359">IF($I358="","",IFERROR(XLOOKUP(R359,Chart_Scale_Distance!$B:$B,Chart_Scale_Distance!$A:$A,""),""))</f>
        <v/>
      </c>
      <c r="AW359" s="28" t="str">
        <f t="array" ref="AW359">IF($I358="","",IFERROR(XLOOKUP(AA359,Chart_Scale_Distance!$B:$B,Chart_Scale_Distance!$A:$A,""),""))</f>
        <v/>
      </c>
      <c r="AX359" s="28" t="str">
        <f t="shared" si="14"/>
        <v/>
      </c>
      <c r="AY359" s="28" t="str">
        <f t="shared" si="15"/>
        <v/>
      </c>
      <c r="AZ359" s="28" t="str">
        <f t="shared" si="16"/>
        <v/>
      </c>
      <c r="BA359" s="28" t="str">
        <f t="shared" si="17"/>
        <v/>
      </c>
      <c r="BB359" s="28" t="str">
        <f t="shared" si="18"/>
        <v/>
      </c>
      <c r="BC359" s="28" t="str">
        <f t="array" ref="BC359">IF($I359="","",LET(
conf,AI359,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duoMax,XLOOKUP($B359,Derived_Variables!$A:$A,Derived_Variables!$AI:$AI,4),
axisTol,XLOOKUP($B359,Derived_Variables!$A:$A,Derived_Variables!$W:$W,1),
maxStart,XLOOKUP($B359,Derived_Variables!$A:$A,Derived_Variables!$U:$U,1.25),
maxAR,XLOOKUP($B359,Derived_Variables!$A:$A,Derived_Variables!$V:$V,3),
anom,XLOOKUP($B359,Derived_Variables!$A:$A,Derived_Variables!$Z:$Z,FALSE),
reStart,XLOOKUP($B359,Derived_Variables!$A:$A,Derived_Variables!$K:$K,0),
leStart,XLOOKUP($B359,Derived_Variables!$A:$A,Derived_Variables!$N:$N,0),
reAR,XLOOKUP($B359,AR_Input!$A:$A,AR_Input!$B:$B,reStart),
leAR,XLOOKUP($B359,AR_Input!$A:$A,AR_Input!$E:$E,leStart),
reEsc,AND(anom,OR(ABS((S359+AM359)-reStart)&gt;maxStart,ABS((S359+AM359)-reAR)&gt;maxAR)),
leEsc,AND(anom,OR(ABS((V359+AP359)-leStart)&gt;maxStart,ABS((V359+AP359)-leAR)&gt;maxAR)),
phaseMax,IFS(
 AK359="Fast",
   IFS(
     OR(C359="B",C359="D"),XLOOKUP("timeout_coarse_fast",Calibration!$B:$B,Calibration!$C:$C,24),
     OR(C359="E",C359="F",C359="H",C359="I"),XLOOKUP("timeout_jcc_fast",Calibration!$B:$B,Calibration!$C:$C,10),
     OR(C359="G",C359="J"),XLOOKUP("timeout_duochrome_fast",Calibration!$B:$B,Calibration!$C:$C,8),
     C359="K",XLOOKUP("timeout_bino_fast",Calibration!$B:$B,Calibration!$C:$C,10),
     OR(C359="P",C359="Q",C359="R"),XLOOKUP("timeout_near_fast",Calibration!$B:$B,Calibration!$C:$C,16),
     TRUE,XLOOKUP("timeout_coarse_fast",Calibration!$B:$B,Calibration!$C:$C,24)
   ),
 AK359="Normal",
   IFS(
     OR(C359="B",C359="D"),XLOOKUP("timeout_coarse_normal",Calibration!$B:$B,Calibration!$C:$C,36),
     OR(C359="E",C359="F",C359="H",C359="I"),XLOOKUP("timeout_jcc_normal",Calibration!$B:$B,Calibration!$C:$C,14),
     OR(C359="G",C359="J"),XLOOKUP("timeout_duochrome_normal",Calibration!$B:$B,Calibration!$C:$C,10),
     C359="K",XLOOKUP("timeout_bino_normal",Calibration!$B:$B,Calibration!$C:$C,14),
     OR(C359="P",C359="Q",C359="R"),XLOOKUP("timeout_near_normal",Calibration!$B:$B,Calibration!$C:$C,22),
     TRUE,XLOOKUP("timeout_coarse_normal",Calibration!$B:$B,Calibration!$C:$C,36)
   ),
 TRUE,
   IFS(
     OR(C359="B",C359="D"),XLOOKUP("timeout_coarse_slow",Calibration!$B:$B,Calibration!$C:$C,48),
     OR(C359="E",C359="F",C359="H",C359="I"),XLOOKUP("timeout_jcc_slow",Calibration!$B:$B,Calibration!$C:$C,18),
     OR(C359="G",C359="J"),XLOOKUP("timeout_duochrome_slow",Calibration!$B:$B,Calibration!$C:$C,12),
     C359="K",XLOOKUP("timeout_bino_slow",Calibration!$B:$B,Calibration!$C:$C,18),
     OR(C359="P",C359="Q",C359="R"),XLOOKUP("timeout_near_slow",Calibration!$B:$B,Calibration!$C:$C,28),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AJ359=TRUE,"ESCALATE",
C359="A",
IF(OR(I359="NOT_READABLE",I359="BLURRY",AND(R359="20_20_20",I359="READABLE")),"B","A"),
C359="B",
IF(reEsc,"ESCALATE",IF(AY359&gt;=phaseMax,"ESCALATE",IF(AND(AV359&gt;=AW359,I359="READABLE"),"E","B"))),
C359="E",
IF(AY359&gt;=phaseMax,"ESCALATE",IF(OR(I359="SAME",I359="CANT_TELL",AD359&lt;axisTol),"F","E")),
C359="F",
IF(AY359&gt;=phaseMax,"ESCALATE",IF(AX359&gt;=powerSameN,"G","F")),
C359="G",
IF(AY359&gt;=phaseMax,"ESCALATE",IF(OR(AX359&gt;=duoEqualN,BB359&gt;=duoMax),"D","G")),
C359="D",
IF(leEsc,"ESCALATE",IF(AY359&gt;=phaseMax,"ESCALATE",IF(AND(AV359&gt;=AW359,I359="READABLE"),"H","D"))),
C359="H",
IF(AY359&gt;=phaseMax,"ESCALATE",IF(OR(I359="SAME",I359="CANT_TELL",AD359&lt;axisTol),"I","H")),
C359="I",
IF(AY359&gt;=phaseMax,"ESCALATE",IF(AX359&gt;=powerSameN,"J","I")),
C359="J",
IF(AY359&gt;=phaseMax,"ESCALATE",IF(OR(AX359&gt;=duoEqualN,BB359&gt;=duoMax),"K","J")),
C359="K",
IF(AY359&gt;=phaseMax,"ESCALATE",IF(AX359&gt;=binoSameN,IF(XLOOKUP($B359,Derived_Variables!$A:$A,Derived_Variables!$AJ:$AJ,FALSE)=TRUE,"P","END"),"K")),
C359="P",
IF(AY359&gt;=phaseMax,"ESCALATE",IF(OR(I359="READABLE",I359="SAME"),"Q","P")),
C359="Q",
IF(AY359&gt;=phaseMax,"ESCALATE",IF(OR(I359="READABLE",I359="SAME"),"R","Q")),
C359="R",
IF(AY359&gt;=phaseMax,"ESCALATE",IF(OR(I359=nearTarget,I359="SAME"),"END","R")),
TRUE,"END"
)))</f>
        <v/>
      </c>
      <c r="BD359" s="28" t="b">
        <f t="shared" si="19"/>
        <v>0</v>
      </c>
    </row>
    <row r="360" ht="15.75" customHeight="1">
      <c r="A360" s="28">
        <f t="shared" si="3"/>
        <v>359</v>
      </c>
      <c r="B360" s="28">
        <f t="shared" si="4"/>
        <v>6</v>
      </c>
      <c r="C360" s="28" t="str">
        <f t="shared" si="5"/>
        <v/>
      </c>
      <c r="D360" s="28" t="str">
        <f t="array" ref="D360">IF($I359="","",XLOOKUP(C360,FSM_State_Map!A:A,FSM_State_Map!B:B,""))</f>
        <v/>
      </c>
      <c r="E360" s="28" t="str">
        <f t="array" ref="E360">IF($I359="","",XLOOKUP(C360,FSM_State_Map!A:A,FSM_State_Map!C:C,""))</f>
        <v/>
      </c>
      <c r="F360" s="28" t="str">
        <f t="array" ref="F360">IF($I359="","",XLOOKUP(E360,Phase_UI_Map!A:A,Phase_UI_Map!B:B,""))</f>
        <v/>
      </c>
      <c r="G360" s="28" t="str">
        <f t="array" ref="G360">IF($I359="","",XLOOKUP(E360,Phase_UI_Map!A:A,Phase_UI_Map!C:C,""))</f>
        <v/>
      </c>
      <c r="H360" s="28" t="str">
        <f t="array" ref="H360">IF($I359="","",XLOOKUP(E360,Phase_UI_Map!A:A,Phase_UI_Map!D:D,""))</f>
        <v/>
      </c>
      <c r="I360" s="29"/>
      <c r="J360" s="28" t="str">
        <f>IFERROR(__xludf.DUMMYFUNCTION("IF($I359="""","""",IFERROR(INDEX(FILTER(Response_Lists!$B:$B,Response_Lists!$A:$A=$H360),1),""""))"),"")</f>
        <v/>
      </c>
      <c r="K360" s="28" t="str">
        <f>IFERROR(__xludf.DUMMYFUNCTION("IF($I359="""","""",IFERROR(INDEX(FILTER(Response_Lists!$B:$B,Response_Lists!$A:$A=$H360),2),""""))"),"")</f>
        <v/>
      </c>
      <c r="L360" s="28" t="str">
        <f>IFERROR(__xludf.DUMMYFUNCTION("IF($I359="""","""",IFERROR(INDEX(FILTER(Response_Lists!$B:$B,Response_Lists!$A:$A=$H360),3),""""))"),"")</f>
        <v/>
      </c>
      <c r="M360" s="28" t="str">
        <f>IFERROR(__xludf.DUMMYFUNCTION("IF($I359="""","""",IFERROR(INDEX(FILTER(Response_Lists!$B:$B,Response_Lists!$A:$A=$H360),4),""""))"),"")</f>
        <v/>
      </c>
      <c r="N360" s="28" t="str">
        <f>IFERROR(__xludf.DUMMYFUNCTION("IF($I359="""","""",IFERROR(INDEX(FILTER(Response_Lists!$B:$B,Response_Lists!$A:$A=$H360),5),""""))"),"")</f>
        <v/>
      </c>
      <c r="O360" s="28" t="str">
        <f>IFERROR(__xludf.DUMMYFUNCTION("IF($I359="""","""",IFERROR(INDEX(FILTER(Response_Lists!$B:$B,Response_Lists!$A:$A=$H360),6),""""))"),"")</f>
        <v/>
      </c>
      <c r="P360" s="28" t="str">
        <f t="shared" si="6"/>
        <v/>
      </c>
      <c r="Q360" s="28" t="str">
        <f t="array" ref="Q360">IF($I359="","",XLOOKUP(C360,FSM_State_Map!A:A,FSM_State_Map!D:D,""))</f>
        <v/>
      </c>
      <c r="R360" s="28" t="str">
        <f t="shared" si="7"/>
        <v/>
      </c>
      <c r="S360" s="28" t="str">
        <f t="array" ref="S360">IF($I359="","",
IF(
  AND(C360="B",C359&lt;&gt;"B"),
  XLOOKUP($B360,Derived_Variables!$A:$A,Derived_Variables!$K:$K,0)
  + XLOOKUP($B360,Derived_Variables!$A:$A,Derived_Variables!$AE:$AE,0),
  S359+AM359
))</f>
        <v/>
      </c>
      <c r="T360" s="28" t="str">
        <f t="shared" ref="T360:U360" si="730">IF($I359="","",T359+AN359)</f>
        <v/>
      </c>
      <c r="U360" s="28" t="str">
        <f t="shared" si="730"/>
        <v/>
      </c>
      <c r="V360" s="28" t="str">
        <f t="array" ref="V360">IF($I359="","",
IF(
  AND(C360="D",C359&lt;&gt;"D"),
  XLOOKUP($B360,Derived_Variables!$A:$A,Derived_Variables!$N:$N,0)
  + XLOOKUP($B360,Derived_Variables!$A:$A,Derived_Variables!$AE:$AE,0),
  V359+AP359
))</f>
        <v/>
      </c>
      <c r="W360" s="28" t="str">
        <f t="shared" ref="W360:X360" si="731">IF($I359="","",W359+AQ359)</f>
        <v/>
      </c>
      <c r="X360" s="28" t="str">
        <f t="shared" si="731"/>
        <v/>
      </c>
      <c r="Y360" s="28" t="str">
        <f t="array" ref="Y360">IF($I359="","",IF(AND(C360="P",C359&lt;&gt;"P"),IFERROR(XLOOKUP($B360,Lenso_Input!$A:$A,Lenso_Input!$E:$E,0),0),Y359+AS359))</f>
        <v/>
      </c>
      <c r="Z360" s="28" t="str">
        <f t="array" ref="Z360">IF($I359="","",IF(AND(C360="Q",C359&lt;&gt;"Q"),IFERROR(XLOOKUP($B360,Lenso_Input!$A:$A,Lenso_Input!$I:$I,0),0),Z359+AT359))</f>
        <v/>
      </c>
      <c r="AA360" s="28" t="str">
        <f t="array" ref="AA360">IF($I359="","",IF(XLOOKUP($B360,Derived_Variables!$A:$A,Derived_Variables!$R:$R,"6/6_target")="6/6_target","20_20_20","40_30_25"))</f>
        <v/>
      </c>
      <c r="AB360" s="28" t="str">
        <f t="array" ref="AB360">IF($I359="","",XLOOKUP(LOWER(XLOOKUP($B360,Derived_Variables!$A:$A,Derived_Variables!$T:$T,"Standard"))&amp;"_sph_step",Calibration!$B:$B,Calibration!$C:$C,0.25))</f>
        <v/>
      </c>
      <c r="AC360" s="28" t="str">
        <f t="array" ref="AC360">IF($I359="","",XLOOKUP(LOWER(XLOOKUP($B360,Derived_Variables!$A:$A,Derived_Variables!$T:$T,"Standard"))&amp;"_cyl_step",Calibration!$B:$B,Calibration!$C:$C,0.25))</f>
        <v/>
      </c>
      <c r="AD360" s="28" t="str">
        <f t="array" ref="AD360">IF($I359="","",IF(OR(C360="E",C360="H"),LET(startStep,XLOOKUP("axis_start_step",Calibration!$B:$B,Calibration!$C:$C,5),step1,XLOOKUP("axis_reversal_step_1",Calibration!$B:$B,Calibration!$C:$C,3),step2,XLOOKUP("axis_reversal_step_2",Calibration!$B:$B,Calibration!$C:$C,1),IF(OR(C359&lt;&gt;C360,AZ360="",AZ360="SAME",AZ360="CANT_TELL",I360="",I360="SAME",I360="CANT_TELL"),startStep,IF(OR(AND(AZ360="BETTER_1",I360="BETTER_2"),AND(AZ360="BETTER_2",I360="BETTER_1")),IF(AD359&gt;step1,step1,step2),AD359))),0))</f>
        <v/>
      </c>
      <c r="AE360" s="28" t="str">
        <f t="array" ref="AE360">IF($I359="","",XLOOKUP($B360,Derived_Variables!$A:$A,Derived_Variables!$AD:$AD,"No_Fog"))</f>
        <v/>
      </c>
      <c r="AF360" s="28" t="str">
        <f t="array" ref="AF360">IF($I359="","",XLOOKUP($B360,Derived_Variables!$A:$A,Derived_Variables!$AE:$AE,0))</f>
        <v/>
      </c>
      <c r="AG360" s="28" t="str">
        <f t="array" ref="AG360">IF($I359="","",XLOOKUP($B360,Derived_Variables!$A:$A,Derived_Variables!$AF:$AF,""))</f>
        <v/>
      </c>
      <c r="AH360" s="28" t="str">
        <f t="array" ref="AH360">IF($I359="","",XLOOKUP($B360,Derived_Variables!$A:$A,Derived_Variables!$AG:$AG,""))</f>
        <v/>
      </c>
      <c r="AI360" s="28" t="str">
        <f t="array" ref="AI360">IF($I359="","",XLOOKUP($B360,Derived_Variables!$A:$A,Derived_Variables!$AC:$AC,"Medium"))</f>
        <v/>
      </c>
      <c r="AJ360" s="28" t="str">
        <f t="array" ref="AJ360">IF($I359="","",XLOOKUP($B360,Derived_Variables!$A:$A,Derived_Variables!$Y:$Y,FALSE))</f>
        <v/>
      </c>
      <c r="AK360" s="28" t="str">
        <f t="array" ref="AK360">IF($I359="","",XLOOKUP($B360,Derived_Variables!$A:$A,Derived_Variables!$AA:$AA,"Normal"))</f>
        <v/>
      </c>
      <c r="AL360" s="28" t="str">
        <f t="array" ref="AL360">IF($I359="","",XLOOKUP($B360,Derived_Variables!$A:$A,Derived_Variables!$AB:$AB,"Normal"))</f>
        <v/>
      </c>
      <c r="AM360" s="28" t="str">
        <f t="array" ref="AM360">IF($I360="","",IFS(C360="B",IF(OR(I360="NOT_READABLE",I360="BLURRY"),-AB360,0),C360="G",IFS(I360="RED_CLEARER",XLOOKUP("duochrome_red_step",Calibration!$B:$B,Calibration!$C:$C,-0.25),I360="GREEN_CLEARER",XLOOKUP("duochrome_green_step",Calibration!$B:$B,Calibration!$C:$C,0.25),I360="EQUAL",IF(XLOOKUP($B360,Derived_Variables!$A:$A,Derived_Variables!$S:$S,"Neutral")="Undercorrect",XLOOKUP("undercorrect_step",Calibration!$B:$B,Calibration!$C:$C,0.25),IF(XLOOKUP($B360,Derived_Variables!$A:$A,Derived_Variables!$S:$S,"Neutral")="Overcorrect",-XLOOKUP("overcorrect_step",Calibration!$B:$B,Calibration!$C:$C,0.25),0)),TRUE,0),C360="K",IF(I360="TOP_CLEARER",XLOOKUP("bino_balance_step",Calibration!$B:$B,Calibration!$C:$C,0.25),0),TRUE,0))</f>
        <v/>
      </c>
      <c r="AN360" s="28" t="str">
        <f t="shared" si="10"/>
        <v/>
      </c>
      <c r="AO360" s="28" t="str">
        <f t="shared" si="11"/>
        <v/>
      </c>
      <c r="AP360" s="28" t="str">
        <f t="array" ref="AP360">IF($I360="","",IFS(C360="D",IF(OR(I360="NOT_READABLE",I360="BLURRY"),-AB360,0),C360="J",IFS(I360="RED_CLEARER",XLOOKUP("duochrome_red_step",Calibration!$B:$B,Calibration!$C:$C,-0.25),I360="GREEN_CLEARER",XLOOKUP("duochrome_green_step",Calibration!$B:$B,Calibration!$C:$C,0.25),I360="EQUAL",IF(XLOOKUP($B360,Derived_Variables!$A:$A,Derived_Variables!$S:$S,"Neutral")="Undercorrect",XLOOKUP("undercorrect_step",Calibration!$B:$B,Calibration!$C:$C,0.25),IF(XLOOKUP($B360,Derived_Variables!$A:$A,Derived_Variables!$S:$S,"Neutral")="Overcorrect",-XLOOKUP("overcorrect_step",Calibration!$B:$B,Calibration!$C:$C,0.25),0)),TRUE,0),C360="K",IF(I360="BOTTOM_CLEARER",XLOOKUP("bino_balance_step",Calibration!$B:$B,Calibration!$C:$C,0.25),0),TRUE,0))</f>
        <v/>
      </c>
      <c r="AQ360" s="28" t="str">
        <f t="shared" si="12"/>
        <v/>
      </c>
      <c r="AR360" s="28" t="str">
        <f t="shared" si="13"/>
        <v/>
      </c>
      <c r="AS360" s="28" t="str">
        <f t="array" ref="AS360">IF($I360="","",IF(C360="P",IF(OR(I360="NOT_READABLE",I360="BLURRY"),XLOOKUP("near_add_step",Calibration!$B:$B,Calibration!$C:$C,0.25),0),IF(C360="R",IF(I360="NOT_CLEAR",XLOOKUP("near_add_step",Calibration!$B:$B,Calibration!$C:$C,0.25),0),0)))</f>
        <v/>
      </c>
      <c r="AT360" s="28" t="str">
        <f t="array" ref="AT360">IF($I360="","",IF(C360="Q",IF(OR(I360="NOT_READABLE",I360="BLURRY"),XLOOKUP("near_add_step",Calibration!$B:$B,Calibration!$C:$C,0.25),0),IF(C360="R",IF(I360="NOT_CLEAR",XLOOKUP("near_add_step",Calibration!$B:$B,Calibration!$C:$C,0.25),0),0)))</f>
        <v/>
      </c>
      <c r="AU360" s="28" t="str">
        <f t="array" ref="AU360">IF($I360="","",IF(G360="SNELLEN_FEET",IF(I360="READABLE",IFERROR(XLOOKUP(XLOOKUP(R360,Chart_Scale_Distance!B:B,Chart_Scale_Distance!A:A)+1,Chart_Scale_Distance!A:A,Chart_Scale_Distance!B:B),R360),R360),R360))</f>
        <v/>
      </c>
      <c r="AV360" s="28" t="str">
        <f t="array" ref="AV360">IF($I359="","",IFERROR(XLOOKUP(R360,Chart_Scale_Distance!$B:$B,Chart_Scale_Distance!$A:$A,""),""))</f>
        <v/>
      </c>
      <c r="AW360" s="28" t="str">
        <f t="array" ref="AW360">IF($I359="","",IFERROR(XLOOKUP(AA360,Chart_Scale_Distance!$B:$B,Chart_Scale_Distance!$A:$A,""),""))</f>
        <v/>
      </c>
      <c r="AX360" s="28" t="str">
        <f t="shared" si="14"/>
        <v/>
      </c>
      <c r="AY360" s="28" t="str">
        <f t="shared" si="15"/>
        <v/>
      </c>
      <c r="AZ360" s="28" t="str">
        <f t="shared" si="16"/>
        <v/>
      </c>
      <c r="BA360" s="28" t="str">
        <f t="shared" si="17"/>
        <v/>
      </c>
      <c r="BB360" s="28" t="str">
        <f t="shared" si="18"/>
        <v/>
      </c>
      <c r="BC360" s="28" t="str">
        <f t="array" ref="BC360">IF($I360="","",LET(
conf,AI360,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duoMax,XLOOKUP($B360,Derived_Variables!$A:$A,Derived_Variables!$AI:$AI,4),
axisTol,XLOOKUP($B360,Derived_Variables!$A:$A,Derived_Variables!$W:$W,1),
maxStart,XLOOKUP($B360,Derived_Variables!$A:$A,Derived_Variables!$U:$U,1.25),
maxAR,XLOOKUP($B360,Derived_Variables!$A:$A,Derived_Variables!$V:$V,3),
anom,XLOOKUP($B360,Derived_Variables!$A:$A,Derived_Variables!$Z:$Z,FALSE),
reStart,XLOOKUP($B360,Derived_Variables!$A:$A,Derived_Variables!$K:$K,0),
leStart,XLOOKUP($B360,Derived_Variables!$A:$A,Derived_Variables!$N:$N,0),
reAR,XLOOKUP($B360,AR_Input!$A:$A,AR_Input!$B:$B,reStart),
leAR,XLOOKUP($B360,AR_Input!$A:$A,AR_Input!$E:$E,leStart),
reEsc,AND(anom,OR(ABS((S360+AM360)-reStart)&gt;maxStart,ABS((S360+AM360)-reAR)&gt;maxAR)),
leEsc,AND(anom,OR(ABS((V360+AP360)-leStart)&gt;maxStart,ABS((V360+AP360)-leAR)&gt;maxAR)),
phaseMax,IFS(
 AK360="Fast",
   IFS(
     OR(C360="B",C360="D"),XLOOKUP("timeout_coarse_fast",Calibration!$B:$B,Calibration!$C:$C,24),
     OR(C360="E",C360="F",C360="H",C360="I"),XLOOKUP("timeout_jcc_fast",Calibration!$B:$B,Calibration!$C:$C,10),
     OR(C360="G",C360="J"),XLOOKUP("timeout_duochrome_fast",Calibration!$B:$B,Calibration!$C:$C,8),
     C360="K",XLOOKUP("timeout_bino_fast",Calibration!$B:$B,Calibration!$C:$C,10),
     OR(C360="P",C360="Q",C360="R"),XLOOKUP("timeout_near_fast",Calibration!$B:$B,Calibration!$C:$C,16),
     TRUE,XLOOKUP("timeout_coarse_fast",Calibration!$B:$B,Calibration!$C:$C,24)
   ),
 AK360="Normal",
   IFS(
     OR(C360="B",C360="D"),XLOOKUP("timeout_coarse_normal",Calibration!$B:$B,Calibration!$C:$C,36),
     OR(C360="E",C360="F",C360="H",C360="I"),XLOOKUP("timeout_jcc_normal",Calibration!$B:$B,Calibration!$C:$C,14),
     OR(C360="G",C360="J"),XLOOKUP("timeout_duochrome_normal",Calibration!$B:$B,Calibration!$C:$C,10),
     C360="K",XLOOKUP("timeout_bino_normal",Calibration!$B:$B,Calibration!$C:$C,14),
     OR(C360="P",C360="Q",C360="R"),XLOOKUP("timeout_near_normal",Calibration!$B:$B,Calibration!$C:$C,22),
     TRUE,XLOOKUP("timeout_coarse_normal",Calibration!$B:$B,Calibration!$C:$C,36)
   ),
 TRUE,
   IFS(
     OR(C360="B",C360="D"),XLOOKUP("timeout_coarse_slow",Calibration!$B:$B,Calibration!$C:$C,48),
     OR(C360="E",C360="F",C360="H",C360="I"),XLOOKUP("timeout_jcc_slow",Calibration!$B:$B,Calibration!$C:$C,18),
     OR(C360="G",C360="J"),XLOOKUP("timeout_duochrome_slow",Calibration!$B:$B,Calibration!$C:$C,12),
     C360="K",XLOOKUP("timeout_bino_slow",Calibration!$B:$B,Calibration!$C:$C,18),
     OR(C360="P",C360="Q",C360="R"),XLOOKUP("timeout_near_slow",Calibration!$B:$B,Calibration!$C:$C,28),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AJ360=TRUE,"ESCALATE",
C360="A",
IF(OR(I360="NOT_READABLE",I360="BLURRY",AND(R360="20_20_20",I360="READABLE")),"B","A"),
C360="B",
IF(reEsc,"ESCALATE",IF(AY360&gt;=phaseMax,"ESCALATE",IF(AND(AV360&gt;=AW360,I360="READABLE"),"E","B"))),
C360="E",
IF(AY360&gt;=phaseMax,"ESCALATE",IF(OR(I360="SAME",I360="CANT_TELL",AD360&lt;axisTol),"F","E")),
C360="F",
IF(AY360&gt;=phaseMax,"ESCALATE",IF(AX360&gt;=powerSameN,"G","F")),
C360="G",
IF(AY360&gt;=phaseMax,"ESCALATE",IF(OR(AX360&gt;=duoEqualN,BB360&gt;=duoMax),"D","G")),
C360="D",
IF(leEsc,"ESCALATE",IF(AY360&gt;=phaseMax,"ESCALATE",IF(AND(AV360&gt;=AW360,I360="READABLE"),"H","D"))),
C360="H",
IF(AY360&gt;=phaseMax,"ESCALATE",IF(OR(I360="SAME",I360="CANT_TELL",AD360&lt;axisTol),"I","H")),
C360="I",
IF(AY360&gt;=phaseMax,"ESCALATE",IF(AX360&gt;=powerSameN,"J","I")),
C360="J",
IF(AY360&gt;=phaseMax,"ESCALATE",IF(OR(AX360&gt;=duoEqualN,BB360&gt;=duoMax),"K","J")),
C360="K",
IF(AY360&gt;=phaseMax,"ESCALATE",IF(AX360&gt;=binoSameN,IF(XLOOKUP($B360,Derived_Variables!$A:$A,Derived_Variables!$AJ:$AJ,FALSE)=TRUE,"P","END"),"K")),
C360="P",
IF(AY360&gt;=phaseMax,"ESCALATE",IF(OR(I360="READABLE",I360="SAME"),"Q","P")),
C360="Q",
IF(AY360&gt;=phaseMax,"ESCALATE",IF(OR(I360="READABLE",I360="SAME"),"R","Q")),
C360="R",
IF(AY360&gt;=phaseMax,"ESCALATE",IF(OR(I360=nearTarget,I360="SAME"),"END","R")),
TRUE,"END"
)))</f>
        <v/>
      </c>
      <c r="BD360" s="28" t="b">
        <f t="shared" si="19"/>
        <v>0</v>
      </c>
    </row>
    <row r="361" ht="15.75" customHeight="1">
      <c r="A361" s="28">
        <f t="shared" si="3"/>
        <v>360</v>
      </c>
      <c r="B361" s="28">
        <f t="shared" si="4"/>
        <v>6</v>
      </c>
      <c r="C361" s="28" t="str">
        <f t="shared" si="5"/>
        <v/>
      </c>
      <c r="D361" s="28" t="str">
        <f t="array" ref="D361">IF($I360="","",XLOOKUP(C361,FSM_State_Map!A:A,FSM_State_Map!B:B,""))</f>
        <v/>
      </c>
      <c r="E361" s="28" t="str">
        <f t="array" ref="E361">IF($I360="","",XLOOKUP(C361,FSM_State_Map!A:A,FSM_State_Map!C:C,""))</f>
        <v/>
      </c>
      <c r="F361" s="28" t="str">
        <f t="array" ref="F361">IF($I360="","",XLOOKUP(E361,Phase_UI_Map!A:A,Phase_UI_Map!B:B,""))</f>
        <v/>
      </c>
      <c r="G361" s="28" t="str">
        <f t="array" ref="G361">IF($I360="","",XLOOKUP(E361,Phase_UI_Map!A:A,Phase_UI_Map!C:C,""))</f>
        <v/>
      </c>
      <c r="H361" s="28" t="str">
        <f t="array" ref="H361">IF($I360="","",XLOOKUP(E361,Phase_UI_Map!A:A,Phase_UI_Map!D:D,""))</f>
        <v/>
      </c>
      <c r="I361" s="29"/>
      <c r="J361" s="28" t="str">
        <f>IFERROR(__xludf.DUMMYFUNCTION("IF($I360="""","""",IFERROR(INDEX(FILTER(Response_Lists!$B:$B,Response_Lists!$A:$A=$H361),1),""""))"),"")</f>
        <v/>
      </c>
      <c r="K361" s="28" t="str">
        <f>IFERROR(__xludf.DUMMYFUNCTION("IF($I360="""","""",IFERROR(INDEX(FILTER(Response_Lists!$B:$B,Response_Lists!$A:$A=$H361),2),""""))"),"")</f>
        <v/>
      </c>
      <c r="L361" s="28" t="str">
        <f>IFERROR(__xludf.DUMMYFUNCTION("IF($I360="""","""",IFERROR(INDEX(FILTER(Response_Lists!$B:$B,Response_Lists!$A:$A=$H361),3),""""))"),"")</f>
        <v/>
      </c>
      <c r="M361" s="28" t="str">
        <f>IFERROR(__xludf.DUMMYFUNCTION("IF($I360="""","""",IFERROR(INDEX(FILTER(Response_Lists!$B:$B,Response_Lists!$A:$A=$H361),4),""""))"),"")</f>
        <v/>
      </c>
      <c r="N361" s="28" t="str">
        <f>IFERROR(__xludf.DUMMYFUNCTION("IF($I360="""","""",IFERROR(INDEX(FILTER(Response_Lists!$B:$B,Response_Lists!$A:$A=$H361),5),""""))"),"")</f>
        <v/>
      </c>
      <c r="O361" s="28" t="str">
        <f>IFERROR(__xludf.DUMMYFUNCTION("IF($I360="""","""",IFERROR(INDEX(FILTER(Response_Lists!$B:$B,Response_Lists!$A:$A=$H361),6),""""))"),"")</f>
        <v/>
      </c>
      <c r="P361" s="28" t="str">
        <f t="shared" si="6"/>
        <v/>
      </c>
      <c r="Q361" s="28" t="str">
        <f t="array" ref="Q361">IF($I360="","",XLOOKUP(C361,FSM_State_Map!A:A,FSM_State_Map!D:D,""))</f>
        <v/>
      </c>
      <c r="R361" s="28" t="str">
        <f t="shared" si="7"/>
        <v/>
      </c>
      <c r="S361" s="28" t="str">
        <f t="array" ref="S361">IF($I360="","",
IF(
  AND(C361="B",C360&lt;&gt;"B"),
  XLOOKUP($B361,Derived_Variables!$A:$A,Derived_Variables!$K:$K,0)
  + XLOOKUP($B361,Derived_Variables!$A:$A,Derived_Variables!$AE:$AE,0),
  S360+AM360
))</f>
        <v/>
      </c>
      <c r="T361" s="28" t="str">
        <f t="shared" ref="T361:U361" si="732">IF($I360="","",T360+AN360)</f>
        <v/>
      </c>
      <c r="U361" s="28" t="str">
        <f t="shared" si="732"/>
        <v/>
      </c>
      <c r="V361" s="28" t="str">
        <f t="array" ref="V361">IF($I360="","",
IF(
  AND(C361="D",C360&lt;&gt;"D"),
  XLOOKUP($B361,Derived_Variables!$A:$A,Derived_Variables!$N:$N,0)
  + XLOOKUP($B361,Derived_Variables!$A:$A,Derived_Variables!$AE:$AE,0),
  V360+AP360
))</f>
        <v/>
      </c>
      <c r="W361" s="28" t="str">
        <f t="shared" ref="W361:X361" si="733">IF($I360="","",W360+AQ360)</f>
        <v/>
      </c>
      <c r="X361" s="28" t="str">
        <f t="shared" si="733"/>
        <v/>
      </c>
      <c r="Y361" s="28" t="str">
        <f t="array" ref="Y361">IF($I360="","",IF(AND(C361="P",C360&lt;&gt;"P"),IFERROR(XLOOKUP($B361,Lenso_Input!$A:$A,Lenso_Input!$E:$E,0),0),Y360+AS360))</f>
        <v/>
      </c>
      <c r="Z361" s="28" t="str">
        <f t="array" ref="Z361">IF($I360="","",IF(AND(C361="Q",C360&lt;&gt;"Q"),IFERROR(XLOOKUP($B361,Lenso_Input!$A:$A,Lenso_Input!$I:$I,0),0),Z360+AT360))</f>
        <v/>
      </c>
      <c r="AA361" s="28" t="str">
        <f t="array" ref="AA361">IF($I360="","",IF(XLOOKUP($B361,Derived_Variables!$A:$A,Derived_Variables!$R:$R,"6/6_target")="6/6_target","20_20_20","40_30_25"))</f>
        <v/>
      </c>
      <c r="AB361" s="28" t="str">
        <f t="array" ref="AB361">IF($I360="","",XLOOKUP(LOWER(XLOOKUP($B361,Derived_Variables!$A:$A,Derived_Variables!$T:$T,"Standard"))&amp;"_sph_step",Calibration!$B:$B,Calibration!$C:$C,0.25))</f>
        <v/>
      </c>
      <c r="AC361" s="28" t="str">
        <f t="array" ref="AC361">IF($I360="","",XLOOKUP(LOWER(XLOOKUP($B361,Derived_Variables!$A:$A,Derived_Variables!$T:$T,"Standard"))&amp;"_cyl_step",Calibration!$B:$B,Calibration!$C:$C,0.25))</f>
        <v/>
      </c>
      <c r="AD361" s="28" t="str">
        <f t="array" ref="AD361">IF($I360="","",IF(OR(C361="E",C361="H"),LET(startStep,XLOOKUP("axis_start_step",Calibration!$B:$B,Calibration!$C:$C,5),step1,XLOOKUP("axis_reversal_step_1",Calibration!$B:$B,Calibration!$C:$C,3),step2,XLOOKUP("axis_reversal_step_2",Calibration!$B:$B,Calibration!$C:$C,1),IF(OR(C360&lt;&gt;C361,AZ361="",AZ361="SAME",AZ361="CANT_TELL",I361="",I361="SAME",I361="CANT_TELL"),startStep,IF(OR(AND(AZ361="BETTER_1",I361="BETTER_2"),AND(AZ361="BETTER_2",I361="BETTER_1")),IF(AD360&gt;step1,step1,step2),AD360))),0))</f>
        <v/>
      </c>
      <c r="AE361" s="28" t="str">
        <f t="array" ref="AE361">IF($I360="","",XLOOKUP($B361,Derived_Variables!$A:$A,Derived_Variables!$AD:$AD,"No_Fog"))</f>
        <v/>
      </c>
      <c r="AF361" s="28" t="str">
        <f t="array" ref="AF361">IF($I360="","",XLOOKUP($B361,Derived_Variables!$A:$A,Derived_Variables!$AE:$AE,0))</f>
        <v/>
      </c>
      <c r="AG361" s="28" t="str">
        <f t="array" ref="AG361">IF($I360="","",XLOOKUP($B361,Derived_Variables!$A:$A,Derived_Variables!$AF:$AF,""))</f>
        <v/>
      </c>
      <c r="AH361" s="28" t="str">
        <f t="array" ref="AH361">IF($I360="","",XLOOKUP($B361,Derived_Variables!$A:$A,Derived_Variables!$AG:$AG,""))</f>
        <v/>
      </c>
      <c r="AI361" s="28" t="str">
        <f t="array" ref="AI361">IF($I360="","",XLOOKUP($B361,Derived_Variables!$A:$A,Derived_Variables!$AC:$AC,"Medium"))</f>
        <v/>
      </c>
      <c r="AJ361" s="28" t="str">
        <f t="array" ref="AJ361">IF($I360="","",XLOOKUP($B361,Derived_Variables!$A:$A,Derived_Variables!$Y:$Y,FALSE))</f>
        <v/>
      </c>
      <c r="AK361" s="28" t="str">
        <f t="array" ref="AK361">IF($I360="","",XLOOKUP($B361,Derived_Variables!$A:$A,Derived_Variables!$AA:$AA,"Normal"))</f>
        <v/>
      </c>
      <c r="AL361" s="28" t="str">
        <f t="array" ref="AL361">IF($I360="","",XLOOKUP($B361,Derived_Variables!$A:$A,Derived_Variables!$AB:$AB,"Normal"))</f>
        <v/>
      </c>
      <c r="AM361" s="28" t="str">
        <f t="array" ref="AM361">IF($I361="","",IFS(C361="B",IF(OR(I361="NOT_READABLE",I361="BLURRY"),-AB361,0),C361="G",IFS(I361="RED_CLEARER",XLOOKUP("duochrome_red_step",Calibration!$B:$B,Calibration!$C:$C,-0.25),I361="GREEN_CLEARER",XLOOKUP("duochrome_green_step",Calibration!$B:$B,Calibration!$C:$C,0.25),I361="EQUAL",IF(XLOOKUP($B361,Derived_Variables!$A:$A,Derived_Variables!$S:$S,"Neutral")="Undercorrect",XLOOKUP("undercorrect_step",Calibration!$B:$B,Calibration!$C:$C,0.25),IF(XLOOKUP($B361,Derived_Variables!$A:$A,Derived_Variables!$S:$S,"Neutral")="Overcorrect",-XLOOKUP("overcorrect_step",Calibration!$B:$B,Calibration!$C:$C,0.25),0)),TRUE,0),C361="K",IF(I361="TOP_CLEARER",XLOOKUP("bino_balance_step",Calibration!$B:$B,Calibration!$C:$C,0.25),0),TRUE,0))</f>
        <v/>
      </c>
      <c r="AN361" s="28" t="str">
        <f t="shared" si="10"/>
        <v/>
      </c>
      <c r="AO361" s="28" t="str">
        <f t="shared" si="11"/>
        <v/>
      </c>
      <c r="AP361" s="28" t="str">
        <f t="array" ref="AP361">IF($I361="","",IFS(C361="D",IF(OR(I361="NOT_READABLE",I361="BLURRY"),-AB361,0),C361="J",IFS(I361="RED_CLEARER",XLOOKUP("duochrome_red_step",Calibration!$B:$B,Calibration!$C:$C,-0.25),I361="GREEN_CLEARER",XLOOKUP("duochrome_green_step",Calibration!$B:$B,Calibration!$C:$C,0.25),I361="EQUAL",IF(XLOOKUP($B361,Derived_Variables!$A:$A,Derived_Variables!$S:$S,"Neutral")="Undercorrect",XLOOKUP("undercorrect_step",Calibration!$B:$B,Calibration!$C:$C,0.25),IF(XLOOKUP($B361,Derived_Variables!$A:$A,Derived_Variables!$S:$S,"Neutral")="Overcorrect",-XLOOKUP("overcorrect_step",Calibration!$B:$B,Calibration!$C:$C,0.25),0)),TRUE,0),C361="K",IF(I361="BOTTOM_CLEARER",XLOOKUP("bino_balance_step",Calibration!$B:$B,Calibration!$C:$C,0.25),0),TRUE,0))</f>
        <v/>
      </c>
      <c r="AQ361" s="28" t="str">
        <f t="shared" si="12"/>
        <v/>
      </c>
      <c r="AR361" s="28" t="str">
        <f t="shared" si="13"/>
        <v/>
      </c>
      <c r="AS361" s="28" t="str">
        <f t="array" ref="AS361">IF($I361="","",IF(C361="P",IF(OR(I361="NOT_READABLE",I361="BLURRY"),XLOOKUP("near_add_step",Calibration!$B:$B,Calibration!$C:$C,0.25),0),IF(C361="R",IF(I361="NOT_CLEAR",XLOOKUP("near_add_step",Calibration!$B:$B,Calibration!$C:$C,0.25),0),0)))</f>
        <v/>
      </c>
      <c r="AT361" s="28" t="str">
        <f t="array" ref="AT361">IF($I361="","",IF(C361="Q",IF(OR(I361="NOT_READABLE",I361="BLURRY"),XLOOKUP("near_add_step",Calibration!$B:$B,Calibration!$C:$C,0.25),0),IF(C361="R",IF(I361="NOT_CLEAR",XLOOKUP("near_add_step",Calibration!$B:$B,Calibration!$C:$C,0.25),0),0)))</f>
        <v/>
      </c>
      <c r="AU361" s="28" t="str">
        <f t="array" ref="AU361">IF($I361="","",IF(G361="SNELLEN_FEET",IF(I361="READABLE",IFERROR(XLOOKUP(XLOOKUP(R361,Chart_Scale_Distance!B:B,Chart_Scale_Distance!A:A)+1,Chart_Scale_Distance!A:A,Chart_Scale_Distance!B:B),R361),R361),R361))</f>
        <v/>
      </c>
      <c r="AV361" s="28" t="str">
        <f t="array" ref="AV361">IF($I360="","",IFERROR(XLOOKUP(R361,Chart_Scale_Distance!$B:$B,Chart_Scale_Distance!$A:$A,""),""))</f>
        <v/>
      </c>
      <c r="AW361" s="28" t="str">
        <f t="array" ref="AW361">IF($I360="","",IFERROR(XLOOKUP(AA361,Chart_Scale_Distance!$B:$B,Chart_Scale_Distance!$A:$A,""),""))</f>
        <v/>
      </c>
      <c r="AX361" s="28" t="str">
        <f t="shared" si="14"/>
        <v/>
      </c>
      <c r="AY361" s="28" t="str">
        <f t="shared" si="15"/>
        <v/>
      </c>
      <c r="AZ361" s="28" t="str">
        <f t="shared" si="16"/>
        <v/>
      </c>
      <c r="BA361" s="28" t="str">
        <f t="shared" si="17"/>
        <v/>
      </c>
      <c r="BB361" s="28" t="str">
        <f t="shared" si="18"/>
        <v/>
      </c>
      <c r="BC361" s="28" t="str">
        <f t="array" ref="BC361">IF($I361="","",LET(
conf,AI361,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duoMax,XLOOKUP($B361,Derived_Variables!$A:$A,Derived_Variables!$AI:$AI,4),
axisTol,XLOOKUP($B361,Derived_Variables!$A:$A,Derived_Variables!$W:$W,1),
maxStart,XLOOKUP($B361,Derived_Variables!$A:$A,Derived_Variables!$U:$U,1.25),
maxAR,XLOOKUP($B361,Derived_Variables!$A:$A,Derived_Variables!$V:$V,3),
anom,XLOOKUP($B361,Derived_Variables!$A:$A,Derived_Variables!$Z:$Z,FALSE),
reStart,XLOOKUP($B361,Derived_Variables!$A:$A,Derived_Variables!$K:$K,0),
leStart,XLOOKUP($B361,Derived_Variables!$A:$A,Derived_Variables!$N:$N,0),
reAR,XLOOKUP($B361,AR_Input!$A:$A,AR_Input!$B:$B,reStart),
leAR,XLOOKUP($B361,AR_Input!$A:$A,AR_Input!$E:$E,leStart),
reEsc,AND(anom,OR(ABS((S361+AM361)-reStart)&gt;maxStart,ABS((S361+AM361)-reAR)&gt;maxAR)),
leEsc,AND(anom,OR(ABS((V361+AP361)-leStart)&gt;maxStart,ABS((V361+AP361)-leAR)&gt;maxAR)),
phaseMax,IFS(
 AK361="Fast",
   IFS(
     OR(C361="B",C361="D"),XLOOKUP("timeout_coarse_fast",Calibration!$B:$B,Calibration!$C:$C,24),
     OR(C361="E",C361="F",C361="H",C361="I"),XLOOKUP("timeout_jcc_fast",Calibration!$B:$B,Calibration!$C:$C,10),
     OR(C361="G",C361="J"),XLOOKUP("timeout_duochrome_fast",Calibration!$B:$B,Calibration!$C:$C,8),
     C361="K",XLOOKUP("timeout_bino_fast",Calibration!$B:$B,Calibration!$C:$C,10),
     OR(C361="P",C361="Q",C361="R"),XLOOKUP("timeout_near_fast",Calibration!$B:$B,Calibration!$C:$C,16),
     TRUE,XLOOKUP("timeout_coarse_fast",Calibration!$B:$B,Calibration!$C:$C,24)
   ),
 AK361="Normal",
   IFS(
     OR(C361="B",C361="D"),XLOOKUP("timeout_coarse_normal",Calibration!$B:$B,Calibration!$C:$C,36),
     OR(C361="E",C361="F",C361="H",C361="I"),XLOOKUP("timeout_jcc_normal",Calibration!$B:$B,Calibration!$C:$C,14),
     OR(C361="G",C361="J"),XLOOKUP("timeout_duochrome_normal",Calibration!$B:$B,Calibration!$C:$C,10),
     C361="K",XLOOKUP("timeout_bino_normal",Calibration!$B:$B,Calibration!$C:$C,14),
     OR(C361="P",C361="Q",C361="R"),XLOOKUP("timeout_near_normal",Calibration!$B:$B,Calibration!$C:$C,22),
     TRUE,XLOOKUP("timeout_coarse_normal",Calibration!$B:$B,Calibration!$C:$C,36)
   ),
 TRUE,
   IFS(
     OR(C361="B",C361="D"),XLOOKUP("timeout_coarse_slow",Calibration!$B:$B,Calibration!$C:$C,48),
     OR(C361="E",C361="F",C361="H",C361="I"),XLOOKUP("timeout_jcc_slow",Calibration!$B:$B,Calibration!$C:$C,18),
     OR(C361="G",C361="J"),XLOOKUP("timeout_duochrome_slow",Calibration!$B:$B,Calibration!$C:$C,12),
     C361="K",XLOOKUP("timeout_bino_slow",Calibration!$B:$B,Calibration!$C:$C,18),
     OR(C361="P",C361="Q",C361="R"),XLOOKUP("timeout_near_slow",Calibration!$B:$B,Calibration!$C:$C,28),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AJ361=TRUE,"ESCALATE",
C361="A",
IF(OR(I361="NOT_READABLE",I361="BLURRY",AND(R361="20_20_20",I361="READABLE")),"B","A"),
C361="B",
IF(reEsc,"ESCALATE",IF(AY361&gt;=phaseMax,"ESCALATE",IF(AND(AV361&gt;=AW361,I361="READABLE"),"E","B"))),
C361="E",
IF(AY361&gt;=phaseMax,"ESCALATE",IF(OR(I361="SAME",I361="CANT_TELL",AD361&lt;axisTol),"F","E")),
C361="F",
IF(AY361&gt;=phaseMax,"ESCALATE",IF(AX361&gt;=powerSameN,"G","F")),
C361="G",
IF(AY361&gt;=phaseMax,"ESCALATE",IF(OR(AX361&gt;=duoEqualN,BB361&gt;=duoMax),"D","G")),
C361="D",
IF(leEsc,"ESCALATE",IF(AY361&gt;=phaseMax,"ESCALATE",IF(AND(AV361&gt;=AW361,I361="READABLE"),"H","D"))),
C361="H",
IF(AY361&gt;=phaseMax,"ESCALATE",IF(OR(I361="SAME",I361="CANT_TELL",AD361&lt;axisTol),"I","H")),
C361="I",
IF(AY361&gt;=phaseMax,"ESCALATE",IF(AX361&gt;=powerSameN,"J","I")),
C361="J",
IF(AY361&gt;=phaseMax,"ESCALATE",IF(OR(AX361&gt;=duoEqualN,BB361&gt;=duoMax),"K","J")),
C361="K",
IF(AY361&gt;=phaseMax,"ESCALATE",IF(AX361&gt;=binoSameN,IF(XLOOKUP($B361,Derived_Variables!$A:$A,Derived_Variables!$AJ:$AJ,FALSE)=TRUE,"P","END"),"K")),
C361="P",
IF(AY361&gt;=phaseMax,"ESCALATE",IF(OR(I361="READABLE",I361="SAME"),"Q","P")),
C361="Q",
IF(AY361&gt;=phaseMax,"ESCALATE",IF(OR(I361="READABLE",I361="SAME"),"R","Q")),
C361="R",
IF(AY361&gt;=phaseMax,"ESCALATE",IF(OR(I361=nearTarget,I361="SAME"),"END","R")),
TRUE,"END"
)))</f>
        <v/>
      </c>
      <c r="BD361" s="28" t="b">
        <f t="shared" si="19"/>
        <v>0</v>
      </c>
    </row>
    <row r="362" ht="15.75" customHeight="1">
      <c r="A362" s="28">
        <f t="shared" si="3"/>
        <v>361</v>
      </c>
      <c r="B362" s="28">
        <f t="shared" si="4"/>
        <v>6</v>
      </c>
      <c r="C362" s="28" t="str">
        <f t="shared" si="5"/>
        <v/>
      </c>
      <c r="D362" s="28" t="str">
        <f t="array" ref="D362">IF($I361="","",XLOOKUP(C362,FSM_State_Map!A:A,FSM_State_Map!B:B,""))</f>
        <v/>
      </c>
      <c r="E362" s="28" t="str">
        <f t="array" ref="E362">IF($I361="","",XLOOKUP(C362,FSM_State_Map!A:A,FSM_State_Map!C:C,""))</f>
        <v/>
      </c>
      <c r="F362" s="28" t="str">
        <f t="array" ref="F362">IF($I361="","",XLOOKUP(E362,Phase_UI_Map!A:A,Phase_UI_Map!B:B,""))</f>
        <v/>
      </c>
      <c r="G362" s="28" t="str">
        <f t="array" ref="G362">IF($I361="","",XLOOKUP(E362,Phase_UI_Map!A:A,Phase_UI_Map!C:C,""))</f>
        <v/>
      </c>
      <c r="H362" s="28" t="str">
        <f t="array" ref="H362">IF($I361="","",XLOOKUP(E362,Phase_UI_Map!A:A,Phase_UI_Map!D:D,""))</f>
        <v/>
      </c>
      <c r="I362" s="29"/>
      <c r="J362" s="28" t="str">
        <f>IFERROR(__xludf.DUMMYFUNCTION("IF($I361="""","""",IFERROR(INDEX(FILTER(Response_Lists!$B:$B,Response_Lists!$A:$A=$H362),1),""""))"),"")</f>
        <v/>
      </c>
      <c r="K362" s="28" t="str">
        <f>IFERROR(__xludf.DUMMYFUNCTION("IF($I361="""","""",IFERROR(INDEX(FILTER(Response_Lists!$B:$B,Response_Lists!$A:$A=$H362),2),""""))"),"")</f>
        <v/>
      </c>
      <c r="L362" s="28" t="str">
        <f>IFERROR(__xludf.DUMMYFUNCTION("IF($I361="""","""",IFERROR(INDEX(FILTER(Response_Lists!$B:$B,Response_Lists!$A:$A=$H362),3),""""))"),"")</f>
        <v/>
      </c>
      <c r="M362" s="28" t="str">
        <f>IFERROR(__xludf.DUMMYFUNCTION("IF($I361="""","""",IFERROR(INDEX(FILTER(Response_Lists!$B:$B,Response_Lists!$A:$A=$H362),4),""""))"),"")</f>
        <v/>
      </c>
      <c r="N362" s="28" t="str">
        <f>IFERROR(__xludf.DUMMYFUNCTION("IF($I361="""","""",IFERROR(INDEX(FILTER(Response_Lists!$B:$B,Response_Lists!$A:$A=$H362),5),""""))"),"")</f>
        <v/>
      </c>
      <c r="O362" s="28" t="str">
        <f>IFERROR(__xludf.DUMMYFUNCTION("IF($I361="""","""",IFERROR(INDEX(FILTER(Response_Lists!$B:$B,Response_Lists!$A:$A=$H362),6),""""))"),"")</f>
        <v/>
      </c>
      <c r="P362" s="28" t="str">
        <f t="shared" si="6"/>
        <v/>
      </c>
      <c r="Q362" s="28" t="str">
        <f t="array" ref="Q362">IF($I361="","",XLOOKUP(C362,FSM_State_Map!A:A,FSM_State_Map!D:D,""))</f>
        <v/>
      </c>
      <c r="R362" s="28" t="str">
        <f t="shared" si="7"/>
        <v/>
      </c>
      <c r="S362" s="28" t="str">
        <f t="array" ref="S362">IF($I361="","",
IF(
  AND(C362="B",C361&lt;&gt;"B"),
  XLOOKUP($B362,Derived_Variables!$A:$A,Derived_Variables!$K:$K,0)
  + XLOOKUP($B362,Derived_Variables!$A:$A,Derived_Variables!$AE:$AE,0),
  S361+AM361
))</f>
        <v/>
      </c>
      <c r="T362" s="28" t="str">
        <f t="shared" ref="T362:U362" si="734">IF($I361="","",T361+AN361)</f>
        <v/>
      </c>
      <c r="U362" s="28" t="str">
        <f t="shared" si="734"/>
        <v/>
      </c>
      <c r="V362" s="28" t="str">
        <f t="array" ref="V362">IF($I361="","",
IF(
  AND(C362="D",C361&lt;&gt;"D"),
  XLOOKUP($B362,Derived_Variables!$A:$A,Derived_Variables!$N:$N,0)
  + XLOOKUP($B362,Derived_Variables!$A:$A,Derived_Variables!$AE:$AE,0),
  V361+AP361
))</f>
        <v/>
      </c>
      <c r="W362" s="28" t="str">
        <f t="shared" ref="W362:X362" si="735">IF($I361="","",W361+AQ361)</f>
        <v/>
      </c>
      <c r="X362" s="28" t="str">
        <f t="shared" si="735"/>
        <v/>
      </c>
      <c r="Y362" s="28" t="str">
        <f t="array" ref="Y362">IF($I361="","",IF(AND(C362="P",C361&lt;&gt;"P"),IFERROR(XLOOKUP($B362,Lenso_Input!$A:$A,Lenso_Input!$E:$E,0),0),Y361+AS361))</f>
        <v/>
      </c>
      <c r="Z362" s="28" t="str">
        <f t="array" ref="Z362">IF($I361="","",IF(AND(C362="Q",C361&lt;&gt;"Q"),IFERROR(XLOOKUP($B362,Lenso_Input!$A:$A,Lenso_Input!$I:$I,0),0),Z361+AT361))</f>
        <v/>
      </c>
      <c r="AA362" s="28" t="str">
        <f t="array" ref="AA362">IF($I361="","",IF(XLOOKUP($B362,Derived_Variables!$A:$A,Derived_Variables!$R:$R,"6/6_target")="6/6_target","20_20_20","40_30_25"))</f>
        <v/>
      </c>
      <c r="AB362" s="28" t="str">
        <f t="array" ref="AB362">IF($I361="","",XLOOKUP(LOWER(XLOOKUP($B362,Derived_Variables!$A:$A,Derived_Variables!$T:$T,"Standard"))&amp;"_sph_step",Calibration!$B:$B,Calibration!$C:$C,0.25))</f>
        <v/>
      </c>
      <c r="AC362" s="28" t="str">
        <f t="array" ref="AC362">IF($I361="","",XLOOKUP(LOWER(XLOOKUP($B362,Derived_Variables!$A:$A,Derived_Variables!$T:$T,"Standard"))&amp;"_cyl_step",Calibration!$B:$B,Calibration!$C:$C,0.25))</f>
        <v/>
      </c>
      <c r="AD362" s="28" t="str">
        <f t="array" ref="AD362">IF($I361="","",IF(OR(C362="E",C362="H"),LET(startStep,XLOOKUP("axis_start_step",Calibration!$B:$B,Calibration!$C:$C,5),step1,XLOOKUP("axis_reversal_step_1",Calibration!$B:$B,Calibration!$C:$C,3),step2,XLOOKUP("axis_reversal_step_2",Calibration!$B:$B,Calibration!$C:$C,1),IF(OR(C361&lt;&gt;C362,AZ362="",AZ362="SAME",AZ362="CANT_TELL",I362="",I362="SAME",I362="CANT_TELL"),startStep,IF(OR(AND(AZ362="BETTER_1",I362="BETTER_2"),AND(AZ362="BETTER_2",I362="BETTER_1")),IF(AD361&gt;step1,step1,step2),AD361))),0))</f>
        <v/>
      </c>
      <c r="AE362" s="28" t="str">
        <f t="array" ref="AE362">IF($I361="","",XLOOKUP($B362,Derived_Variables!$A:$A,Derived_Variables!$AD:$AD,"No_Fog"))</f>
        <v/>
      </c>
      <c r="AF362" s="28" t="str">
        <f t="array" ref="AF362">IF($I361="","",XLOOKUP($B362,Derived_Variables!$A:$A,Derived_Variables!$AE:$AE,0))</f>
        <v/>
      </c>
      <c r="AG362" s="28" t="str">
        <f t="array" ref="AG362">IF($I361="","",XLOOKUP($B362,Derived_Variables!$A:$A,Derived_Variables!$AF:$AF,""))</f>
        <v/>
      </c>
      <c r="AH362" s="28" t="str">
        <f t="array" ref="AH362">IF($I361="","",XLOOKUP($B362,Derived_Variables!$A:$A,Derived_Variables!$AG:$AG,""))</f>
        <v/>
      </c>
      <c r="AI362" s="28" t="str">
        <f t="array" ref="AI362">IF($I361="","",XLOOKUP($B362,Derived_Variables!$A:$A,Derived_Variables!$AC:$AC,"Medium"))</f>
        <v/>
      </c>
      <c r="AJ362" s="28" t="str">
        <f t="array" ref="AJ362">IF($I361="","",XLOOKUP($B362,Derived_Variables!$A:$A,Derived_Variables!$Y:$Y,FALSE))</f>
        <v/>
      </c>
      <c r="AK362" s="28" t="str">
        <f t="array" ref="AK362">IF($I361="","",XLOOKUP($B362,Derived_Variables!$A:$A,Derived_Variables!$AA:$AA,"Normal"))</f>
        <v/>
      </c>
      <c r="AL362" s="28" t="str">
        <f t="array" ref="AL362">IF($I361="","",XLOOKUP($B362,Derived_Variables!$A:$A,Derived_Variables!$AB:$AB,"Normal"))</f>
        <v/>
      </c>
      <c r="AM362" s="28" t="str">
        <f t="array" ref="AM362">IF($I362="","",IFS(C362="B",IF(OR(I362="NOT_READABLE",I362="BLURRY"),-AB362,0),C362="G",IFS(I362="RED_CLEARER",XLOOKUP("duochrome_red_step",Calibration!$B:$B,Calibration!$C:$C,-0.25),I362="GREEN_CLEARER",XLOOKUP("duochrome_green_step",Calibration!$B:$B,Calibration!$C:$C,0.25),I362="EQUAL",IF(XLOOKUP($B362,Derived_Variables!$A:$A,Derived_Variables!$S:$S,"Neutral")="Undercorrect",XLOOKUP("undercorrect_step",Calibration!$B:$B,Calibration!$C:$C,0.25),IF(XLOOKUP($B362,Derived_Variables!$A:$A,Derived_Variables!$S:$S,"Neutral")="Overcorrect",-XLOOKUP("overcorrect_step",Calibration!$B:$B,Calibration!$C:$C,0.25),0)),TRUE,0),C362="K",IF(I362="TOP_CLEARER",XLOOKUP("bino_balance_step",Calibration!$B:$B,Calibration!$C:$C,0.25),0),TRUE,0))</f>
        <v/>
      </c>
      <c r="AN362" s="28" t="str">
        <f t="shared" si="10"/>
        <v/>
      </c>
      <c r="AO362" s="28" t="str">
        <f t="shared" si="11"/>
        <v/>
      </c>
      <c r="AP362" s="28" t="str">
        <f t="array" ref="AP362">IF($I362="","",IFS(C362="D",IF(OR(I362="NOT_READABLE",I362="BLURRY"),-AB362,0),C362="J",IFS(I362="RED_CLEARER",XLOOKUP("duochrome_red_step",Calibration!$B:$B,Calibration!$C:$C,-0.25),I362="GREEN_CLEARER",XLOOKUP("duochrome_green_step",Calibration!$B:$B,Calibration!$C:$C,0.25),I362="EQUAL",IF(XLOOKUP($B362,Derived_Variables!$A:$A,Derived_Variables!$S:$S,"Neutral")="Undercorrect",XLOOKUP("undercorrect_step",Calibration!$B:$B,Calibration!$C:$C,0.25),IF(XLOOKUP($B362,Derived_Variables!$A:$A,Derived_Variables!$S:$S,"Neutral")="Overcorrect",-XLOOKUP("overcorrect_step",Calibration!$B:$B,Calibration!$C:$C,0.25),0)),TRUE,0),C362="K",IF(I362="BOTTOM_CLEARER",XLOOKUP("bino_balance_step",Calibration!$B:$B,Calibration!$C:$C,0.25),0),TRUE,0))</f>
        <v/>
      </c>
      <c r="AQ362" s="28" t="str">
        <f t="shared" si="12"/>
        <v/>
      </c>
      <c r="AR362" s="28" t="str">
        <f t="shared" si="13"/>
        <v/>
      </c>
      <c r="AS362" s="28" t="str">
        <f t="array" ref="AS362">IF($I362="","",IF(C362="P",IF(OR(I362="NOT_READABLE",I362="BLURRY"),XLOOKUP("near_add_step",Calibration!$B:$B,Calibration!$C:$C,0.25),0),IF(C362="R",IF(I362="NOT_CLEAR",XLOOKUP("near_add_step",Calibration!$B:$B,Calibration!$C:$C,0.25),0),0)))</f>
        <v/>
      </c>
      <c r="AT362" s="28" t="str">
        <f t="array" ref="AT362">IF($I362="","",IF(C362="Q",IF(OR(I362="NOT_READABLE",I362="BLURRY"),XLOOKUP("near_add_step",Calibration!$B:$B,Calibration!$C:$C,0.25),0),IF(C362="R",IF(I362="NOT_CLEAR",XLOOKUP("near_add_step",Calibration!$B:$B,Calibration!$C:$C,0.25),0),0)))</f>
        <v/>
      </c>
      <c r="AU362" s="28" t="str">
        <f t="array" ref="AU362">IF($I362="","",IF(G362="SNELLEN_FEET",IF(I362="READABLE",IFERROR(XLOOKUP(XLOOKUP(R362,Chart_Scale_Distance!B:B,Chart_Scale_Distance!A:A)+1,Chart_Scale_Distance!A:A,Chart_Scale_Distance!B:B),R362),R362),R362))</f>
        <v/>
      </c>
      <c r="AV362" s="28" t="str">
        <f t="array" ref="AV362">IF($I361="","",IFERROR(XLOOKUP(R362,Chart_Scale_Distance!$B:$B,Chart_Scale_Distance!$A:$A,""),""))</f>
        <v/>
      </c>
      <c r="AW362" s="28" t="str">
        <f t="array" ref="AW362">IF($I361="","",IFERROR(XLOOKUP(AA362,Chart_Scale_Distance!$B:$B,Chart_Scale_Distance!$A:$A,""),""))</f>
        <v/>
      </c>
      <c r="AX362" s="28" t="str">
        <f t="shared" si="14"/>
        <v/>
      </c>
      <c r="AY362" s="28" t="str">
        <f t="shared" si="15"/>
        <v/>
      </c>
      <c r="AZ362" s="28" t="str">
        <f t="shared" si="16"/>
        <v/>
      </c>
      <c r="BA362" s="28" t="str">
        <f t="shared" si="17"/>
        <v/>
      </c>
      <c r="BB362" s="28" t="str">
        <f t="shared" si="18"/>
        <v/>
      </c>
      <c r="BC362" s="28" t="str">
        <f t="array" ref="BC362">IF($I362="","",LET(
conf,AI362,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duoMax,XLOOKUP($B362,Derived_Variables!$A:$A,Derived_Variables!$AI:$AI,4),
axisTol,XLOOKUP($B362,Derived_Variables!$A:$A,Derived_Variables!$W:$W,1),
maxStart,XLOOKUP($B362,Derived_Variables!$A:$A,Derived_Variables!$U:$U,1.25),
maxAR,XLOOKUP($B362,Derived_Variables!$A:$A,Derived_Variables!$V:$V,3),
anom,XLOOKUP($B362,Derived_Variables!$A:$A,Derived_Variables!$Z:$Z,FALSE),
reStart,XLOOKUP($B362,Derived_Variables!$A:$A,Derived_Variables!$K:$K,0),
leStart,XLOOKUP($B362,Derived_Variables!$A:$A,Derived_Variables!$N:$N,0),
reAR,XLOOKUP($B362,AR_Input!$A:$A,AR_Input!$B:$B,reStart),
leAR,XLOOKUP($B362,AR_Input!$A:$A,AR_Input!$E:$E,leStart),
reEsc,AND(anom,OR(ABS((S362+AM362)-reStart)&gt;maxStart,ABS((S362+AM362)-reAR)&gt;maxAR)),
leEsc,AND(anom,OR(ABS((V362+AP362)-leStart)&gt;maxStart,ABS((V362+AP362)-leAR)&gt;maxAR)),
phaseMax,IFS(
 AK362="Fast",
   IFS(
     OR(C362="B",C362="D"),XLOOKUP("timeout_coarse_fast",Calibration!$B:$B,Calibration!$C:$C,24),
     OR(C362="E",C362="F",C362="H",C362="I"),XLOOKUP("timeout_jcc_fast",Calibration!$B:$B,Calibration!$C:$C,10),
     OR(C362="G",C362="J"),XLOOKUP("timeout_duochrome_fast",Calibration!$B:$B,Calibration!$C:$C,8),
     C362="K",XLOOKUP("timeout_bino_fast",Calibration!$B:$B,Calibration!$C:$C,10),
     OR(C362="P",C362="Q",C362="R"),XLOOKUP("timeout_near_fast",Calibration!$B:$B,Calibration!$C:$C,16),
     TRUE,XLOOKUP("timeout_coarse_fast",Calibration!$B:$B,Calibration!$C:$C,24)
   ),
 AK362="Normal",
   IFS(
     OR(C362="B",C362="D"),XLOOKUP("timeout_coarse_normal",Calibration!$B:$B,Calibration!$C:$C,36),
     OR(C362="E",C362="F",C362="H",C362="I"),XLOOKUP("timeout_jcc_normal",Calibration!$B:$B,Calibration!$C:$C,14),
     OR(C362="G",C362="J"),XLOOKUP("timeout_duochrome_normal",Calibration!$B:$B,Calibration!$C:$C,10),
     C362="K",XLOOKUP("timeout_bino_normal",Calibration!$B:$B,Calibration!$C:$C,14),
     OR(C362="P",C362="Q",C362="R"),XLOOKUP("timeout_near_normal",Calibration!$B:$B,Calibration!$C:$C,22),
     TRUE,XLOOKUP("timeout_coarse_normal",Calibration!$B:$B,Calibration!$C:$C,36)
   ),
 TRUE,
   IFS(
     OR(C362="B",C362="D"),XLOOKUP("timeout_coarse_slow",Calibration!$B:$B,Calibration!$C:$C,48),
     OR(C362="E",C362="F",C362="H",C362="I"),XLOOKUP("timeout_jcc_slow",Calibration!$B:$B,Calibration!$C:$C,18),
     OR(C362="G",C362="J"),XLOOKUP("timeout_duochrome_slow",Calibration!$B:$B,Calibration!$C:$C,12),
     C362="K",XLOOKUP("timeout_bino_slow",Calibration!$B:$B,Calibration!$C:$C,18),
     OR(C362="P",C362="Q",C362="R"),XLOOKUP("timeout_near_slow",Calibration!$B:$B,Calibration!$C:$C,28),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AJ362=TRUE,"ESCALATE",
C362="A",
IF(OR(I362="NOT_READABLE",I362="BLURRY",AND(R362="20_20_20",I362="READABLE")),"B","A"),
C362="B",
IF(reEsc,"ESCALATE",IF(AY362&gt;=phaseMax,"ESCALATE",IF(AND(AV362&gt;=AW362,I362="READABLE"),"E","B"))),
C362="E",
IF(AY362&gt;=phaseMax,"ESCALATE",IF(OR(I362="SAME",I362="CANT_TELL",AD362&lt;axisTol),"F","E")),
C362="F",
IF(AY362&gt;=phaseMax,"ESCALATE",IF(AX362&gt;=powerSameN,"G","F")),
C362="G",
IF(AY362&gt;=phaseMax,"ESCALATE",IF(OR(AX362&gt;=duoEqualN,BB362&gt;=duoMax),"D","G")),
C362="D",
IF(leEsc,"ESCALATE",IF(AY362&gt;=phaseMax,"ESCALATE",IF(AND(AV362&gt;=AW362,I362="READABLE"),"H","D"))),
C362="H",
IF(AY362&gt;=phaseMax,"ESCALATE",IF(OR(I362="SAME",I362="CANT_TELL",AD362&lt;axisTol),"I","H")),
C362="I",
IF(AY362&gt;=phaseMax,"ESCALATE",IF(AX362&gt;=powerSameN,"J","I")),
C362="J",
IF(AY362&gt;=phaseMax,"ESCALATE",IF(OR(AX362&gt;=duoEqualN,BB362&gt;=duoMax),"K","J")),
C362="K",
IF(AY362&gt;=phaseMax,"ESCALATE",IF(AX362&gt;=binoSameN,IF(XLOOKUP($B362,Derived_Variables!$A:$A,Derived_Variables!$AJ:$AJ,FALSE)=TRUE,"P","END"),"K")),
C362="P",
IF(AY362&gt;=phaseMax,"ESCALATE",IF(OR(I362="READABLE",I362="SAME"),"Q","P")),
C362="Q",
IF(AY362&gt;=phaseMax,"ESCALATE",IF(OR(I362="READABLE",I362="SAME"),"R","Q")),
C362="R",
IF(AY362&gt;=phaseMax,"ESCALATE",IF(OR(I362=nearTarget,I362="SAME"),"END","R")),
TRUE,"END"
)))</f>
        <v/>
      </c>
      <c r="BD362" s="28" t="b">
        <f t="shared" si="19"/>
        <v>0</v>
      </c>
    </row>
    <row r="363" ht="15.75" customHeight="1">
      <c r="A363" s="28">
        <f t="shared" si="3"/>
        <v>362</v>
      </c>
      <c r="B363" s="28">
        <f t="shared" si="4"/>
        <v>6</v>
      </c>
      <c r="C363" s="28" t="str">
        <f t="shared" si="5"/>
        <v/>
      </c>
      <c r="D363" s="28" t="str">
        <f t="array" ref="D363">IF($I362="","",XLOOKUP(C363,FSM_State_Map!A:A,FSM_State_Map!B:B,""))</f>
        <v/>
      </c>
      <c r="E363" s="28" t="str">
        <f t="array" ref="E363">IF($I362="","",XLOOKUP(C363,FSM_State_Map!A:A,FSM_State_Map!C:C,""))</f>
        <v/>
      </c>
      <c r="F363" s="28" t="str">
        <f t="array" ref="F363">IF($I362="","",XLOOKUP(E363,Phase_UI_Map!A:A,Phase_UI_Map!B:B,""))</f>
        <v/>
      </c>
      <c r="G363" s="28" t="str">
        <f t="array" ref="G363">IF($I362="","",XLOOKUP(E363,Phase_UI_Map!A:A,Phase_UI_Map!C:C,""))</f>
        <v/>
      </c>
      <c r="H363" s="28" t="str">
        <f t="array" ref="H363">IF($I362="","",XLOOKUP(E363,Phase_UI_Map!A:A,Phase_UI_Map!D:D,""))</f>
        <v/>
      </c>
      <c r="I363" s="29"/>
      <c r="J363" s="28" t="str">
        <f>IFERROR(__xludf.DUMMYFUNCTION("IF($I362="""","""",IFERROR(INDEX(FILTER(Response_Lists!$B:$B,Response_Lists!$A:$A=$H363),1),""""))"),"")</f>
        <v/>
      </c>
      <c r="K363" s="28" t="str">
        <f>IFERROR(__xludf.DUMMYFUNCTION("IF($I362="""","""",IFERROR(INDEX(FILTER(Response_Lists!$B:$B,Response_Lists!$A:$A=$H363),2),""""))"),"")</f>
        <v/>
      </c>
      <c r="L363" s="28" t="str">
        <f>IFERROR(__xludf.DUMMYFUNCTION("IF($I362="""","""",IFERROR(INDEX(FILTER(Response_Lists!$B:$B,Response_Lists!$A:$A=$H363),3),""""))"),"")</f>
        <v/>
      </c>
      <c r="M363" s="28" t="str">
        <f>IFERROR(__xludf.DUMMYFUNCTION("IF($I362="""","""",IFERROR(INDEX(FILTER(Response_Lists!$B:$B,Response_Lists!$A:$A=$H363),4),""""))"),"")</f>
        <v/>
      </c>
      <c r="N363" s="28" t="str">
        <f>IFERROR(__xludf.DUMMYFUNCTION("IF($I362="""","""",IFERROR(INDEX(FILTER(Response_Lists!$B:$B,Response_Lists!$A:$A=$H363),5),""""))"),"")</f>
        <v/>
      </c>
      <c r="O363" s="28" t="str">
        <f>IFERROR(__xludf.DUMMYFUNCTION("IF($I362="""","""",IFERROR(INDEX(FILTER(Response_Lists!$B:$B,Response_Lists!$A:$A=$H363),6),""""))"),"")</f>
        <v/>
      </c>
      <c r="P363" s="28" t="str">
        <f t="shared" si="6"/>
        <v/>
      </c>
      <c r="Q363" s="28" t="str">
        <f t="array" ref="Q363">IF($I362="","",XLOOKUP(C363,FSM_State_Map!A:A,FSM_State_Map!D:D,""))</f>
        <v/>
      </c>
      <c r="R363" s="28" t="str">
        <f t="shared" si="7"/>
        <v/>
      </c>
      <c r="S363" s="28" t="str">
        <f t="array" ref="S363">IF($I362="","",
IF(
  AND(C363="B",C362&lt;&gt;"B"),
  XLOOKUP($B363,Derived_Variables!$A:$A,Derived_Variables!$K:$K,0)
  + XLOOKUP($B363,Derived_Variables!$A:$A,Derived_Variables!$AE:$AE,0),
  S362+AM362
))</f>
        <v/>
      </c>
      <c r="T363" s="28" t="str">
        <f t="shared" ref="T363:U363" si="736">IF($I362="","",T362+AN362)</f>
        <v/>
      </c>
      <c r="U363" s="28" t="str">
        <f t="shared" si="736"/>
        <v/>
      </c>
      <c r="V363" s="28" t="str">
        <f t="array" ref="V363">IF($I362="","",
IF(
  AND(C363="D",C362&lt;&gt;"D"),
  XLOOKUP($B363,Derived_Variables!$A:$A,Derived_Variables!$N:$N,0)
  + XLOOKUP($B363,Derived_Variables!$A:$A,Derived_Variables!$AE:$AE,0),
  V362+AP362
))</f>
        <v/>
      </c>
      <c r="W363" s="28" t="str">
        <f t="shared" ref="W363:X363" si="737">IF($I362="","",W362+AQ362)</f>
        <v/>
      </c>
      <c r="X363" s="28" t="str">
        <f t="shared" si="737"/>
        <v/>
      </c>
      <c r="Y363" s="28" t="str">
        <f t="array" ref="Y363">IF($I362="","",IF(AND(C363="P",C362&lt;&gt;"P"),IFERROR(XLOOKUP($B363,Lenso_Input!$A:$A,Lenso_Input!$E:$E,0),0),Y362+AS362))</f>
        <v/>
      </c>
      <c r="Z363" s="28" t="str">
        <f t="array" ref="Z363">IF($I362="","",IF(AND(C363="Q",C362&lt;&gt;"Q"),IFERROR(XLOOKUP($B363,Lenso_Input!$A:$A,Lenso_Input!$I:$I,0),0),Z362+AT362))</f>
        <v/>
      </c>
      <c r="AA363" s="28" t="str">
        <f t="array" ref="AA363">IF($I362="","",IF(XLOOKUP($B363,Derived_Variables!$A:$A,Derived_Variables!$R:$R,"6/6_target")="6/6_target","20_20_20","40_30_25"))</f>
        <v/>
      </c>
      <c r="AB363" s="28" t="str">
        <f t="array" ref="AB363">IF($I362="","",XLOOKUP(LOWER(XLOOKUP($B363,Derived_Variables!$A:$A,Derived_Variables!$T:$T,"Standard"))&amp;"_sph_step",Calibration!$B:$B,Calibration!$C:$C,0.25))</f>
        <v/>
      </c>
      <c r="AC363" s="28" t="str">
        <f t="array" ref="AC363">IF($I362="","",XLOOKUP(LOWER(XLOOKUP($B363,Derived_Variables!$A:$A,Derived_Variables!$T:$T,"Standard"))&amp;"_cyl_step",Calibration!$B:$B,Calibration!$C:$C,0.25))</f>
        <v/>
      </c>
      <c r="AD363" s="28" t="str">
        <f t="array" ref="AD363">IF($I362="","",IF(OR(C363="E",C363="H"),LET(startStep,XLOOKUP("axis_start_step",Calibration!$B:$B,Calibration!$C:$C,5),step1,XLOOKUP("axis_reversal_step_1",Calibration!$B:$B,Calibration!$C:$C,3),step2,XLOOKUP("axis_reversal_step_2",Calibration!$B:$B,Calibration!$C:$C,1),IF(OR(C362&lt;&gt;C363,AZ363="",AZ363="SAME",AZ363="CANT_TELL",I363="",I363="SAME",I363="CANT_TELL"),startStep,IF(OR(AND(AZ363="BETTER_1",I363="BETTER_2"),AND(AZ363="BETTER_2",I363="BETTER_1")),IF(AD362&gt;step1,step1,step2),AD362))),0))</f>
        <v/>
      </c>
      <c r="AE363" s="28" t="str">
        <f t="array" ref="AE363">IF($I362="","",XLOOKUP($B363,Derived_Variables!$A:$A,Derived_Variables!$AD:$AD,"No_Fog"))</f>
        <v/>
      </c>
      <c r="AF363" s="28" t="str">
        <f t="array" ref="AF363">IF($I362="","",XLOOKUP($B363,Derived_Variables!$A:$A,Derived_Variables!$AE:$AE,0))</f>
        <v/>
      </c>
      <c r="AG363" s="28" t="str">
        <f t="array" ref="AG363">IF($I362="","",XLOOKUP($B363,Derived_Variables!$A:$A,Derived_Variables!$AF:$AF,""))</f>
        <v/>
      </c>
      <c r="AH363" s="28" t="str">
        <f t="array" ref="AH363">IF($I362="","",XLOOKUP($B363,Derived_Variables!$A:$A,Derived_Variables!$AG:$AG,""))</f>
        <v/>
      </c>
      <c r="AI363" s="28" t="str">
        <f t="array" ref="AI363">IF($I362="","",XLOOKUP($B363,Derived_Variables!$A:$A,Derived_Variables!$AC:$AC,"Medium"))</f>
        <v/>
      </c>
      <c r="AJ363" s="28" t="str">
        <f t="array" ref="AJ363">IF($I362="","",XLOOKUP($B363,Derived_Variables!$A:$A,Derived_Variables!$Y:$Y,FALSE))</f>
        <v/>
      </c>
      <c r="AK363" s="28" t="str">
        <f t="array" ref="AK363">IF($I362="","",XLOOKUP($B363,Derived_Variables!$A:$A,Derived_Variables!$AA:$AA,"Normal"))</f>
        <v/>
      </c>
      <c r="AL363" s="28" t="str">
        <f t="array" ref="AL363">IF($I362="","",XLOOKUP($B363,Derived_Variables!$A:$A,Derived_Variables!$AB:$AB,"Normal"))</f>
        <v/>
      </c>
      <c r="AM363" s="28" t="str">
        <f t="array" ref="AM363">IF($I363="","",IFS(C363="B",IF(OR(I363="NOT_READABLE",I363="BLURRY"),-AB363,0),C363="G",IFS(I363="RED_CLEARER",XLOOKUP("duochrome_red_step",Calibration!$B:$B,Calibration!$C:$C,-0.25),I363="GREEN_CLEARER",XLOOKUP("duochrome_green_step",Calibration!$B:$B,Calibration!$C:$C,0.25),I363="EQUAL",IF(XLOOKUP($B363,Derived_Variables!$A:$A,Derived_Variables!$S:$S,"Neutral")="Undercorrect",XLOOKUP("undercorrect_step",Calibration!$B:$B,Calibration!$C:$C,0.25),IF(XLOOKUP($B363,Derived_Variables!$A:$A,Derived_Variables!$S:$S,"Neutral")="Overcorrect",-XLOOKUP("overcorrect_step",Calibration!$B:$B,Calibration!$C:$C,0.25),0)),TRUE,0),C363="K",IF(I363="TOP_CLEARER",XLOOKUP("bino_balance_step",Calibration!$B:$B,Calibration!$C:$C,0.25),0),TRUE,0))</f>
        <v/>
      </c>
      <c r="AN363" s="28" t="str">
        <f t="shared" si="10"/>
        <v/>
      </c>
      <c r="AO363" s="28" t="str">
        <f t="shared" si="11"/>
        <v/>
      </c>
      <c r="AP363" s="28" t="str">
        <f t="array" ref="AP363">IF($I363="","",IFS(C363="D",IF(OR(I363="NOT_READABLE",I363="BLURRY"),-AB363,0),C363="J",IFS(I363="RED_CLEARER",XLOOKUP("duochrome_red_step",Calibration!$B:$B,Calibration!$C:$C,-0.25),I363="GREEN_CLEARER",XLOOKUP("duochrome_green_step",Calibration!$B:$B,Calibration!$C:$C,0.25),I363="EQUAL",IF(XLOOKUP($B363,Derived_Variables!$A:$A,Derived_Variables!$S:$S,"Neutral")="Undercorrect",XLOOKUP("undercorrect_step",Calibration!$B:$B,Calibration!$C:$C,0.25),IF(XLOOKUP($B363,Derived_Variables!$A:$A,Derived_Variables!$S:$S,"Neutral")="Overcorrect",-XLOOKUP("overcorrect_step",Calibration!$B:$B,Calibration!$C:$C,0.25),0)),TRUE,0),C363="K",IF(I363="BOTTOM_CLEARER",XLOOKUP("bino_balance_step",Calibration!$B:$B,Calibration!$C:$C,0.25),0),TRUE,0))</f>
        <v/>
      </c>
      <c r="AQ363" s="28" t="str">
        <f t="shared" si="12"/>
        <v/>
      </c>
      <c r="AR363" s="28" t="str">
        <f t="shared" si="13"/>
        <v/>
      </c>
      <c r="AS363" s="28" t="str">
        <f t="array" ref="AS363">IF($I363="","",IF(C363="P",IF(OR(I363="NOT_READABLE",I363="BLURRY"),XLOOKUP("near_add_step",Calibration!$B:$B,Calibration!$C:$C,0.25),0),IF(C363="R",IF(I363="NOT_CLEAR",XLOOKUP("near_add_step",Calibration!$B:$B,Calibration!$C:$C,0.25),0),0)))</f>
        <v/>
      </c>
      <c r="AT363" s="28" t="str">
        <f t="array" ref="AT363">IF($I363="","",IF(C363="Q",IF(OR(I363="NOT_READABLE",I363="BLURRY"),XLOOKUP("near_add_step",Calibration!$B:$B,Calibration!$C:$C,0.25),0),IF(C363="R",IF(I363="NOT_CLEAR",XLOOKUP("near_add_step",Calibration!$B:$B,Calibration!$C:$C,0.25),0),0)))</f>
        <v/>
      </c>
      <c r="AU363" s="28" t="str">
        <f t="array" ref="AU363">IF($I363="","",IF(G363="SNELLEN_FEET",IF(I363="READABLE",IFERROR(XLOOKUP(XLOOKUP(R363,Chart_Scale_Distance!B:B,Chart_Scale_Distance!A:A)+1,Chart_Scale_Distance!A:A,Chart_Scale_Distance!B:B),R363),R363),R363))</f>
        <v/>
      </c>
      <c r="AV363" s="28" t="str">
        <f t="array" ref="AV363">IF($I362="","",IFERROR(XLOOKUP(R363,Chart_Scale_Distance!$B:$B,Chart_Scale_Distance!$A:$A,""),""))</f>
        <v/>
      </c>
      <c r="AW363" s="28" t="str">
        <f t="array" ref="AW363">IF($I362="","",IFERROR(XLOOKUP(AA363,Chart_Scale_Distance!$B:$B,Chart_Scale_Distance!$A:$A,""),""))</f>
        <v/>
      </c>
      <c r="AX363" s="28" t="str">
        <f t="shared" si="14"/>
        <v/>
      </c>
      <c r="AY363" s="28" t="str">
        <f t="shared" si="15"/>
        <v/>
      </c>
      <c r="AZ363" s="28" t="str">
        <f t="shared" si="16"/>
        <v/>
      </c>
      <c r="BA363" s="28" t="str">
        <f t="shared" si="17"/>
        <v/>
      </c>
      <c r="BB363" s="28" t="str">
        <f t="shared" si="18"/>
        <v/>
      </c>
      <c r="BC363" s="28" t="str">
        <f t="array" ref="BC363">IF($I363="","",LET(
conf,AI363,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duoMax,XLOOKUP($B363,Derived_Variables!$A:$A,Derived_Variables!$AI:$AI,4),
axisTol,XLOOKUP($B363,Derived_Variables!$A:$A,Derived_Variables!$W:$W,1),
maxStart,XLOOKUP($B363,Derived_Variables!$A:$A,Derived_Variables!$U:$U,1.25),
maxAR,XLOOKUP($B363,Derived_Variables!$A:$A,Derived_Variables!$V:$V,3),
anom,XLOOKUP($B363,Derived_Variables!$A:$A,Derived_Variables!$Z:$Z,FALSE),
reStart,XLOOKUP($B363,Derived_Variables!$A:$A,Derived_Variables!$K:$K,0),
leStart,XLOOKUP($B363,Derived_Variables!$A:$A,Derived_Variables!$N:$N,0),
reAR,XLOOKUP($B363,AR_Input!$A:$A,AR_Input!$B:$B,reStart),
leAR,XLOOKUP($B363,AR_Input!$A:$A,AR_Input!$E:$E,leStart),
reEsc,AND(anom,OR(ABS((S363+AM363)-reStart)&gt;maxStart,ABS((S363+AM363)-reAR)&gt;maxAR)),
leEsc,AND(anom,OR(ABS((V363+AP363)-leStart)&gt;maxStart,ABS((V363+AP363)-leAR)&gt;maxAR)),
phaseMax,IFS(
 AK363="Fast",
   IFS(
     OR(C363="B",C363="D"),XLOOKUP("timeout_coarse_fast",Calibration!$B:$B,Calibration!$C:$C,24),
     OR(C363="E",C363="F",C363="H",C363="I"),XLOOKUP("timeout_jcc_fast",Calibration!$B:$B,Calibration!$C:$C,10),
     OR(C363="G",C363="J"),XLOOKUP("timeout_duochrome_fast",Calibration!$B:$B,Calibration!$C:$C,8),
     C363="K",XLOOKUP("timeout_bino_fast",Calibration!$B:$B,Calibration!$C:$C,10),
     OR(C363="P",C363="Q",C363="R"),XLOOKUP("timeout_near_fast",Calibration!$B:$B,Calibration!$C:$C,16),
     TRUE,XLOOKUP("timeout_coarse_fast",Calibration!$B:$B,Calibration!$C:$C,24)
   ),
 AK363="Normal",
   IFS(
     OR(C363="B",C363="D"),XLOOKUP("timeout_coarse_normal",Calibration!$B:$B,Calibration!$C:$C,36),
     OR(C363="E",C363="F",C363="H",C363="I"),XLOOKUP("timeout_jcc_normal",Calibration!$B:$B,Calibration!$C:$C,14),
     OR(C363="G",C363="J"),XLOOKUP("timeout_duochrome_normal",Calibration!$B:$B,Calibration!$C:$C,10),
     C363="K",XLOOKUP("timeout_bino_normal",Calibration!$B:$B,Calibration!$C:$C,14),
     OR(C363="P",C363="Q",C363="R"),XLOOKUP("timeout_near_normal",Calibration!$B:$B,Calibration!$C:$C,22),
     TRUE,XLOOKUP("timeout_coarse_normal",Calibration!$B:$B,Calibration!$C:$C,36)
   ),
 TRUE,
   IFS(
     OR(C363="B",C363="D"),XLOOKUP("timeout_coarse_slow",Calibration!$B:$B,Calibration!$C:$C,48),
     OR(C363="E",C363="F",C363="H",C363="I"),XLOOKUP("timeout_jcc_slow",Calibration!$B:$B,Calibration!$C:$C,18),
     OR(C363="G",C363="J"),XLOOKUP("timeout_duochrome_slow",Calibration!$B:$B,Calibration!$C:$C,12),
     C363="K",XLOOKUP("timeout_bino_slow",Calibration!$B:$B,Calibration!$C:$C,18),
     OR(C363="P",C363="Q",C363="R"),XLOOKUP("timeout_near_slow",Calibration!$B:$B,Calibration!$C:$C,28),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AJ363=TRUE,"ESCALATE",
C363="A",
IF(OR(I363="NOT_READABLE",I363="BLURRY",AND(R363="20_20_20",I363="READABLE")),"B","A"),
C363="B",
IF(reEsc,"ESCALATE",IF(AY363&gt;=phaseMax,"ESCALATE",IF(AND(AV363&gt;=AW363,I363="READABLE"),"E","B"))),
C363="E",
IF(AY363&gt;=phaseMax,"ESCALATE",IF(OR(I363="SAME",I363="CANT_TELL",AD363&lt;axisTol),"F","E")),
C363="F",
IF(AY363&gt;=phaseMax,"ESCALATE",IF(AX363&gt;=powerSameN,"G","F")),
C363="G",
IF(AY363&gt;=phaseMax,"ESCALATE",IF(OR(AX363&gt;=duoEqualN,BB363&gt;=duoMax),"D","G")),
C363="D",
IF(leEsc,"ESCALATE",IF(AY363&gt;=phaseMax,"ESCALATE",IF(AND(AV363&gt;=AW363,I363="READABLE"),"H","D"))),
C363="H",
IF(AY363&gt;=phaseMax,"ESCALATE",IF(OR(I363="SAME",I363="CANT_TELL",AD363&lt;axisTol),"I","H")),
C363="I",
IF(AY363&gt;=phaseMax,"ESCALATE",IF(AX363&gt;=powerSameN,"J","I")),
C363="J",
IF(AY363&gt;=phaseMax,"ESCALATE",IF(OR(AX363&gt;=duoEqualN,BB363&gt;=duoMax),"K","J")),
C363="K",
IF(AY363&gt;=phaseMax,"ESCALATE",IF(AX363&gt;=binoSameN,IF(XLOOKUP($B363,Derived_Variables!$A:$A,Derived_Variables!$AJ:$AJ,FALSE)=TRUE,"P","END"),"K")),
C363="P",
IF(AY363&gt;=phaseMax,"ESCALATE",IF(OR(I363="READABLE",I363="SAME"),"Q","P")),
C363="Q",
IF(AY363&gt;=phaseMax,"ESCALATE",IF(OR(I363="READABLE",I363="SAME"),"R","Q")),
C363="R",
IF(AY363&gt;=phaseMax,"ESCALATE",IF(OR(I363=nearTarget,I363="SAME"),"END","R")),
TRUE,"END"
)))</f>
        <v/>
      </c>
      <c r="BD363" s="28" t="b">
        <f t="shared" si="19"/>
        <v>0</v>
      </c>
    </row>
    <row r="364" ht="15.75" customHeight="1">
      <c r="A364" s="28">
        <f t="shared" si="3"/>
        <v>363</v>
      </c>
      <c r="B364" s="28">
        <f t="shared" si="4"/>
        <v>6</v>
      </c>
      <c r="C364" s="28" t="str">
        <f t="shared" si="5"/>
        <v/>
      </c>
      <c r="D364" s="28" t="str">
        <f t="array" ref="D364">IF($I363="","",XLOOKUP(C364,FSM_State_Map!A:A,FSM_State_Map!B:B,""))</f>
        <v/>
      </c>
      <c r="E364" s="28" t="str">
        <f t="array" ref="E364">IF($I363="","",XLOOKUP(C364,FSM_State_Map!A:A,FSM_State_Map!C:C,""))</f>
        <v/>
      </c>
      <c r="F364" s="28" t="str">
        <f t="array" ref="F364">IF($I363="","",XLOOKUP(E364,Phase_UI_Map!A:A,Phase_UI_Map!B:B,""))</f>
        <v/>
      </c>
      <c r="G364" s="28" t="str">
        <f t="array" ref="G364">IF($I363="","",XLOOKUP(E364,Phase_UI_Map!A:A,Phase_UI_Map!C:C,""))</f>
        <v/>
      </c>
      <c r="H364" s="28" t="str">
        <f t="array" ref="H364">IF($I363="","",XLOOKUP(E364,Phase_UI_Map!A:A,Phase_UI_Map!D:D,""))</f>
        <v/>
      </c>
      <c r="I364" s="29"/>
      <c r="J364" s="28" t="str">
        <f>IFERROR(__xludf.DUMMYFUNCTION("IF($I363="""","""",IFERROR(INDEX(FILTER(Response_Lists!$B:$B,Response_Lists!$A:$A=$H364),1),""""))"),"")</f>
        <v/>
      </c>
      <c r="K364" s="28" t="str">
        <f>IFERROR(__xludf.DUMMYFUNCTION("IF($I363="""","""",IFERROR(INDEX(FILTER(Response_Lists!$B:$B,Response_Lists!$A:$A=$H364),2),""""))"),"")</f>
        <v/>
      </c>
      <c r="L364" s="28" t="str">
        <f>IFERROR(__xludf.DUMMYFUNCTION("IF($I363="""","""",IFERROR(INDEX(FILTER(Response_Lists!$B:$B,Response_Lists!$A:$A=$H364),3),""""))"),"")</f>
        <v/>
      </c>
      <c r="M364" s="28" t="str">
        <f>IFERROR(__xludf.DUMMYFUNCTION("IF($I363="""","""",IFERROR(INDEX(FILTER(Response_Lists!$B:$B,Response_Lists!$A:$A=$H364),4),""""))"),"")</f>
        <v/>
      </c>
      <c r="N364" s="28" t="str">
        <f>IFERROR(__xludf.DUMMYFUNCTION("IF($I363="""","""",IFERROR(INDEX(FILTER(Response_Lists!$B:$B,Response_Lists!$A:$A=$H364),5),""""))"),"")</f>
        <v/>
      </c>
      <c r="O364" s="28" t="str">
        <f>IFERROR(__xludf.DUMMYFUNCTION("IF($I363="""","""",IFERROR(INDEX(FILTER(Response_Lists!$B:$B,Response_Lists!$A:$A=$H364),6),""""))"),"")</f>
        <v/>
      </c>
      <c r="P364" s="28" t="str">
        <f t="shared" si="6"/>
        <v/>
      </c>
      <c r="Q364" s="28" t="str">
        <f t="array" ref="Q364">IF($I363="","",XLOOKUP(C364,FSM_State_Map!A:A,FSM_State_Map!D:D,""))</f>
        <v/>
      </c>
      <c r="R364" s="28" t="str">
        <f t="shared" si="7"/>
        <v/>
      </c>
      <c r="S364" s="28" t="str">
        <f t="array" ref="S364">IF($I363="","",
IF(
  AND(C364="B",C363&lt;&gt;"B"),
  XLOOKUP($B364,Derived_Variables!$A:$A,Derived_Variables!$K:$K,0)
  + XLOOKUP($B364,Derived_Variables!$A:$A,Derived_Variables!$AE:$AE,0),
  S363+AM363
))</f>
        <v/>
      </c>
      <c r="T364" s="28" t="str">
        <f t="shared" ref="T364:U364" si="738">IF($I363="","",T363+AN363)</f>
        <v/>
      </c>
      <c r="U364" s="28" t="str">
        <f t="shared" si="738"/>
        <v/>
      </c>
      <c r="V364" s="28" t="str">
        <f t="array" ref="V364">IF($I363="","",
IF(
  AND(C364="D",C363&lt;&gt;"D"),
  XLOOKUP($B364,Derived_Variables!$A:$A,Derived_Variables!$N:$N,0)
  + XLOOKUP($B364,Derived_Variables!$A:$A,Derived_Variables!$AE:$AE,0),
  V363+AP363
))</f>
        <v/>
      </c>
      <c r="W364" s="28" t="str">
        <f t="shared" ref="W364:X364" si="739">IF($I363="","",W363+AQ363)</f>
        <v/>
      </c>
      <c r="X364" s="28" t="str">
        <f t="shared" si="739"/>
        <v/>
      </c>
      <c r="Y364" s="28" t="str">
        <f t="array" ref="Y364">IF($I363="","",IF(AND(C364="P",C363&lt;&gt;"P"),IFERROR(XLOOKUP($B364,Lenso_Input!$A:$A,Lenso_Input!$E:$E,0),0),Y363+AS363))</f>
        <v/>
      </c>
      <c r="Z364" s="28" t="str">
        <f t="array" ref="Z364">IF($I363="","",IF(AND(C364="Q",C363&lt;&gt;"Q"),IFERROR(XLOOKUP($B364,Lenso_Input!$A:$A,Lenso_Input!$I:$I,0),0),Z363+AT363))</f>
        <v/>
      </c>
      <c r="AA364" s="28" t="str">
        <f t="array" ref="AA364">IF($I363="","",IF(XLOOKUP($B364,Derived_Variables!$A:$A,Derived_Variables!$R:$R,"6/6_target")="6/6_target","20_20_20","40_30_25"))</f>
        <v/>
      </c>
      <c r="AB364" s="28" t="str">
        <f t="array" ref="AB364">IF($I363="","",XLOOKUP(LOWER(XLOOKUP($B364,Derived_Variables!$A:$A,Derived_Variables!$T:$T,"Standard"))&amp;"_sph_step",Calibration!$B:$B,Calibration!$C:$C,0.25))</f>
        <v/>
      </c>
      <c r="AC364" s="28" t="str">
        <f t="array" ref="AC364">IF($I363="","",XLOOKUP(LOWER(XLOOKUP($B364,Derived_Variables!$A:$A,Derived_Variables!$T:$T,"Standard"))&amp;"_cyl_step",Calibration!$B:$B,Calibration!$C:$C,0.25))</f>
        <v/>
      </c>
      <c r="AD364" s="28" t="str">
        <f t="array" ref="AD364">IF($I363="","",IF(OR(C364="E",C364="H"),LET(startStep,XLOOKUP("axis_start_step",Calibration!$B:$B,Calibration!$C:$C,5),step1,XLOOKUP("axis_reversal_step_1",Calibration!$B:$B,Calibration!$C:$C,3),step2,XLOOKUP("axis_reversal_step_2",Calibration!$B:$B,Calibration!$C:$C,1),IF(OR(C363&lt;&gt;C364,AZ364="",AZ364="SAME",AZ364="CANT_TELL",I364="",I364="SAME",I364="CANT_TELL"),startStep,IF(OR(AND(AZ364="BETTER_1",I364="BETTER_2"),AND(AZ364="BETTER_2",I364="BETTER_1")),IF(AD363&gt;step1,step1,step2),AD363))),0))</f>
        <v/>
      </c>
      <c r="AE364" s="28" t="str">
        <f t="array" ref="AE364">IF($I363="","",XLOOKUP($B364,Derived_Variables!$A:$A,Derived_Variables!$AD:$AD,"No_Fog"))</f>
        <v/>
      </c>
      <c r="AF364" s="28" t="str">
        <f t="array" ref="AF364">IF($I363="","",XLOOKUP($B364,Derived_Variables!$A:$A,Derived_Variables!$AE:$AE,0))</f>
        <v/>
      </c>
      <c r="AG364" s="28" t="str">
        <f t="array" ref="AG364">IF($I363="","",XLOOKUP($B364,Derived_Variables!$A:$A,Derived_Variables!$AF:$AF,""))</f>
        <v/>
      </c>
      <c r="AH364" s="28" t="str">
        <f t="array" ref="AH364">IF($I363="","",XLOOKUP($B364,Derived_Variables!$A:$A,Derived_Variables!$AG:$AG,""))</f>
        <v/>
      </c>
      <c r="AI364" s="28" t="str">
        <f t="array" ref="AI364">IF($I363="","",XLOOKUP($B364,Derived_Variables!$A:$A,Derived_Variables!$AC:$AC,"Medium"))</f>
        <v/>
      </c>
      <c r="AJ364" s="28" t="str">
        <f t="array" ref="AJ364">IF($I363="","",XLOOKUP($B364,Derived_Variables!$A:$A,Derived_Variables!$Y:$Y,FALSE))</f>
        <v/>
      </c>
      <c r="AK364" s="28" t="str">
        <f t="array" ref="AK364">IF($I363="","",XLOOKUP($B364,Derived_Variables!$A:$A,Derived_Variables!$AA:$AA,"Normal"))</f>
        <v/>
      </c>
      <c r="AL364" s="28" t="str">
        <f t="array" ref="AL364">IF($I363="","",XLOOKUP($B364,Derived_Variables!$A:$A,Derived_Variables!$AB:$AB,"Normal"))</f>
        <v/>
      </c>
      <c r="AM364" s="28" t="str">
        <f t="array" ref="AM364">IF($I364="","",IFS(C364="B",IF(OR(I364="NOT_READABLE",I364="BLURRY"),-AB364,0),C364="G",IFS(I364="RED_CLEARER",XLOOKUP("duochrome_red_step",Calibration!$B:$B,Calibration!$C:$C,-0.25),I364="GREEN_CLEARER",XLOOKUP("duochrome_green_step",Calibration!$B:$B,Calibration!$C:$C,0.25),I364="EQUAL",IF(XLOOKUP($B364,Derived_Variables!$A:$A,Derived_Variables!$S:$S,"Neutral")="Undercorrect",XLOOKUP("undercorrect_step",Calibration!$B:$B,Calibration!$C:$C,0.25),IF(XLOOKUP($B364,Derived_Variables!$A:$A,Derived_Variables!$S:$S,"Neutral")="Overcorrect",-XLOOKUP("overcorrect_step",Calibration!$B:$B,Calibration!$C:$C,0.25),0)),TRUE,0),C364="K",IF(I364="TOP_CLEARER",XLOOKUP("bino_balance_step",Calibration!$B:$B,Calibration!$C:$C,0.25),0),TRUE,0))</f>
        <v/>
      </c>
      <c r="AN364" s="28" t="str">
        <f t="shared" si="10"/>
        <v/>
      </c>
      <c r="AO364" s="28" t="str">
        <f t="shared" si="11"/>
        <v/>
      </c>
      <c r="AP364" s="28" t="str">
        <f t="array" ref="AP364">IF($I364="","",IFS(C364="D",IF(OR(I364="NOT_READABLE",I364="BLURRY"),-AB364,0),C364="J",IFS(I364="RED_CLEARER",XLOOKUP("duochrome_red_step",Calibration!$B:$B,Calibration!$C:$C,-0.25),I364="GREEN_CLEARER",XLOOKUP("duochrome_green_step",Calibration!$B:$B,Calibration!$C:$C,0.25),I364="EQUAL",IF(XLOOKUP($B364,Derived_Variables!$A:$A,Derived_Variables!$S:$S,"Neutral")="Undercorrect",XLOOKUP("undercorrect_step",Calibration!$B:$B,Calibration!$C:$C,0.25),IF(XLOOKUP($B364,Derived_Variables!$A:$A,Derived_Variables!$S:$S,"Neutral")="Overcorrect",-XLOOKUP("overcorrect_step",Calibration!$B:$B,Calibration!$C:$C,0.25),0)),TRUE,0),C364="K",IF(I364="BOTTOM_CLEARER",XLOOKUP("bino_balance_step",Calibration!$B:$B,Calibration!$C:$C,0.25),0),TRUE,0))</f>
        <v/>
      </c>
      <c r="AQ364" s="28" t="str">
        <f t="shared" si="12"/>
        <v/>
      </c>
      <c r="AR364" s="28" t="str">
        <f t="shared" si="13"/>
        <v/>
      </c>
      <c r="AS364" s="28" t="str">
        <f t="array" ref="AS364">IF($I364="","",IF(C364="P",IF(OR(I364="NOT_READABLE",I364="BLURRY"),XLOOKUP("near_add_step",Calibration!$B:$B,Calibration!$C:$C,0.25),0),IF(C364="R",IF(I364="NOT_CLEAR",XLOOKUP("near_add_step",Calibration!$B:$B,Calibration!$C:$C,0.25),0),0)))</f>
        <v/>
      </c>
      <c r="AT364" s="28" t="str">
        <f t="array" ref="AT364">IF($I364="","",IF(C364="Q",IF(OR(I364="NOT_READABLE",I364="BLURRY"),XLOOKUP("near_add_step",Calibration!$B:$B,Calibration!$C:$C,0.25),0),IF(C364="R",IF(I364="NOT_CLEAR",XLOOKUP("near_add_step",Calibration!$B:$B,Calibration!$C:$C,0.25),0),0)))</f>
        <v/>
      </c>
      <c r="AU364" s="28" t="str">
        <f t="array" ref="AU364">IF($I364="","",IF(G364="SNELLEN_FEET",IF(I364="READABLE",IFERROR(XLOOKUP(XLOOKUP(R364,Chart_Scale_Distance!B:B,Chart_Scale_Distance!A:A)+1,Chart_Scale_Distance!A:A,Chart_Scale_Distance!B:B),R364),R364),R364))</f>
        <v/>
      </c>
      <c r="AV364" s="28" t="str">
        <f t="array" ref="AV364">IF($I363="","",IFERROR(XLOOKUP(R364,Chart_Scale_Distance!$B:$B,Chart_Scale_Distance!$A:$A,""),""))</f>
        <v/>
      </c>
      <c r="AW364" s="28" t="str">
        <f t="array" ref="AW364">IF($I363="","",IFERROR(XLOOKUP(AA364,Chart_Scale_Distance!$B:$B,Chart_Scale_Distance!$A:$A,""),""))</f>
        <v/>
      </c>
      <c r="AX364" s="28" t="str">
        <f t="shared" si="14"/>
        <v/>
      </c>
      <c r="AY364" s="28" t="str">
        <f t="shared" si="15"/>
        <v/>
      </c>
      <c r="AZ364" s="28" t="str">
        <f t="shared" si="16"/>
        <v/>
      </c>
      <c r="BA364" s="28" t="str">
        <f t="shared" si="17"/>
        <v/>
      </c>
      <c r="BB364" s="28" t="str">
        <f t="shared" si="18"/>
        <v/>
      </c>
      <c r="BC364" s="28" t="str">
        <f t="array" ref="BC364">IF($I364="","",LET(
conf,AI364,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duoMax,XLOOKUP($B364,Derived_Variables!$A:$A,Derived_Variables!$AI:$AI,4),
axisTol,XLOOKUP($B364,Derived_Variables!$A:$A,Derived_Variables!$W:$W,1),
maxStart,XLOOKUP($B364,Derived_Variables!$A:$A,Derived_Variables!$U:$U,1.25),
maxAR,XLOOKUP($B364,Derived_Variables!$A:$A,Derived_Variables!$V:$V,3),
anom,XLOOKUP($B364,Derived_Variables!$A:$A,Derived_Variables!$Z:$Z,FALSE),
reStart,XLOOKUP($B364,Derived_Variables!$A:$A,Derived_Variables!$K:$K,0),
leStart,XLOOKUP($B364,Derived_Variables!$A:$A,Derived_Variables!$N:$N,0),
reAR,XLOOKUP($B364,AR_Input!$A:$A,AR_Input!$B:$B,reStart),
leAR,XLOOKUP($B364,AR_Input!$A:$A,AR_Input!$E:$E,leStart),
reEsc,AND(anom,OR(ABS((S364+AM364)-reStart)&gt;maxStart,ABS((S364+AM364)-reAR)&gt;maxAR)),
leEsc,AND(anom,OR(ABS((V364+AP364)-leStart)&gt;maxStart,ABS((V364+AP364)-leAR)&gt;maxAR)),
phaseMax,IFS(
 AK364="Fast",
   IFS(
     OR(C364="B",C364="D"),XLOOKUP("timeout_coarse_fast",Calibration!$B:$B,Calibration!$C:$C,24),
     OR(C364="E",C364="F",C364="H",C364="I"),XLOOKUP("timeout_jcc_fast",Calibration!$B:$B,Calibration!$C:$C,10),
     OR(C364="G",C364="J"),XLOOKUP("timeout_duochrome_fast",Calibration!$B:$B,Calibration!$C:$C,8),
     C364="K",XLOOKUP("timeout_bino_fast",Calibration!$B:$B,Calibration!$C:$C,10),
     OR(C364="P",C364="Q",C364="R"),XLOOKUP("timeout_near_fast",Calibration!$B:$B,Calibration!$C:$C,16),
     TRUE,XLOOKUP("timeout_coarse_fast",Calibration!$B:$B,Calibration!$C:$C,24)
   ),
 AK364="Normal",
   IFS(
     OR(C364="B",C364="D"),XLOOKUP("timeout_coarse_normal",Calibration!$B:$B,Calibration!$C:$C,36),
     OR(C364="E",C364="F",C364="H",C364="I"),XLOOKUP("timeout_jcc_normal",Calibration!$B:$B,Calibration!$C:$C,14),
     OR(C364="G",C364="J"),XLOOKUP("timeout_duochrome_normal",Calibration!$B:$B,Calibration!$C:$C,10),
     C364="K",XLOOKUP("timeout_bino_normal",Calibration!$B:$B,Calibration!$C:$C,14),
     OR(C364="P",C364="Q",C364="R"),XLOOKUP("timeout_near_normal",Calibration!$B:$B,Calibration!$C:$C,22),
     TRUE,XLOOKUP("timeout_coarse_normal",Calibration!$B:$B,Calibration!$C:$C,36)
   ),
 TRUE,
   IFS(
     OR(C364="B",C364="D"),XLOOKUP("timeout_coarse_slow",Calibration!$B:$B,Calibration!$C:$C,48),
     OR(C364="E",C364="F",C364="H",C364="I"),XLOOKUP("timeout_jcc_slow",Calibration!$B:$B,Calibration!$C:$C,18),
     OR(C364="G",C364="J"),XLOOKUP("timeout_duochrome_slow",Calibration!$B:$B,Calibration!$C:$C,12),
     C364="K",XLOOKUP("timeout_bino_slow",Calibration!$B:$B,Calibration!$C:$C,18),
     OR(C364="P",C364="Q",C364="R"),XLOOKUP("timeout_near_slow",Calibration!$B:$B,Calibration!$C:$C,28),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AJ364=TRUE,"ESCALATE",
C364="A",
IF(OR(I364="NOT_READABLE",I364="BLURRY",AND(R364="20_20_20",I364="READABLE")),"B","A"),
C364="B",
IF(reEsc,"ESCALATE",IF(AY364&gt;=phaseMax,"ESCALATE",IF(AND(AV364&gt;=AW364,I364="READABLE"),"E","B"))),
C364="E",
IF(AY364&gt;=phaseMax,"ESCALATE",IF(OR(I364="SAME",I364="CANT_TELL",AD364&lt;axisTol),"F","E")),
C364="F",
IF(AY364&gt;=phaseMax,"ESCALATE",IF(AX364&gt;=powerSameN,"G","F")),
C364="G",
IF(AY364&gt;=phaseMax,"ESCALATE",IF(OR(AX364&gt;=duoEqualN,BB364&gt;=duoMax),"D","G")),
C364="D",
IF(leEsc,"ESCALATE",IF(AY364&gt;=phaseMax,"ESCALATE",IF(AND(AV364&gt;=AW364,I364="READABLE"),"H","D"))),
C364="H",
IF(AY364&gt;=phaseMax,"ESCALATE",IF(OR(I364="SAME",I364="CANT_TELL",AD364&lt;axisTol),"I","H")),
C364="I",
IF(AY364&gt;=phaseMax,"ESCALATE",IF(AX364&gt;=powerSameN,"J","I")),
C364="J",
IF(AY364&gt;=phaseMax,"ESCALATE",IF(OR(AX364&gt;=duoEqualN,BB364&gt;=duoMax),"K","J")),
C364="K",
IF(AY364&gt;=phaseMax,"ESCALATE",IF(AX364&gt;=binoSameN,IF(XLOOKUP($B364,Derived_Variables!$A:$A,Derived_Variables!$AJ:$AJ,FALSE)=TRUE,"P","END"),"K")),
C364="P",
IF(AY364&gt;=phaseMax,"ESCALATE",IF(OR(I364="READABLE",I364="SAME"),"Q","P")),
C364="Q",
IF(AY364&gt;=phaseMax,"ESCALATE",IF(OR(I364="READABLE",I364="SAME"),"R","Q")),
C364="R",
IF(AY364&gt;=phaseMax,"ESCALATE",IF(OR(I364=nearTarget,I364="SAME"),"END","R")),
TRUE,"END"
)))</f>
        <v/>
      </c>
      <c r="BD364" s="28" t="b">
        <f t="shared" si="19"/>
        <v>0</v>
      </c>
    </row>
    <row r="365" ht="15.75" customHeight="1">
      <c r="A365" s="28">
        <f t="shared" si="3"/>
        <v>364</v>
      </c>
      <c r="B365" s="28">
        <f t="shared" si="4"/>
        <v>6</v>
      </c>
      <c r="C365" s="28" t="str">
        <f t="shared" si="5"/>
        <v/>
      </c>
      <c r="D365" s="28" t="str">
        <f t="array" ref="D365">IF($I364="","",XLOOKUP(C365,FSM_State_Map!A:A,FSM_State_Map!B:B,""))</f>
        <v/>
      </c>
      <c r="E365" s="28" t="str">
        <f t="array" ref="E365">IF($I364="","",XLOOKUP(C365,FSM_State_Map!A:A,FSM_State_Map!C:C,""))</f>
        <v/>
      </c>
      <c r="F365" s="28" t="str">
        <f t="array" ref="F365">IF($I364="","",XLOOKUP(E365,Phase_UI_Map!A:A,Phase_UI_Map!B:B,""))</f>
        <v/>
      </c>
      <c r="G365" s="28" t="str">
        <f t="array" ref="G365">IF($I364="","",XLOOKUP(E365,Phase_UI_Map!A:A,Phase_UI_Map!C:C,""))</f>
        <v/>
      </c>
      <c r="H365" s="28" t="str">
        <f t="array" ref="H365">IF($I364="","",XLOOKUP(E365,Phase_UI_Map!A:A,Phase_UI_Map!D:D,""))</f>
        <v/>
      </c>
      <c r="I365" s="29"/>
      <c r="J365" s="28" t="str">
        <f>IFERROR(__xludf.DUMMYFUNCTION("IF($I364="""","""",IFERROR(INDEX(FILTER(Response_Lists!$B:$B,Response_Lists!$A:$A=$H365),1),""""))"),"")</f>
        <v/>
      </c>
      <c r="K365" s="28" t="str">
        <f>IFERROR(__xludf.DUMMYFUNCTION("IF($I364="""","""",IFERROR(INDEX(FILTER(Response_Lists!$B:$B,Response_Lists!$A:$A=$H365),2),""""))"),"")</f>
        <v/>
      </c>
      <c r="L365" s="28" t="str">
        <f>IFERROR(__xludf.DUMMYFUNCTION("IF($I364="""","""",IFERROR(INDEX(FILTER(Response_Lists!$B:$B,Response_Lists!$A:$A=$H365),3),""""))"),"")</f>
        <v/>
      </c>
      <c r="M365" s="28" t="str">
        <f>IFERROR(__xludf.DUMMYFUNCTION("IF($I364="""","""",IFERROR(INDEX(FILTER(Response_Lists!$B:$B,Response_Lists!$A:$A=$H365),4),""""))"),"")</f>
        <v/>
      </c>
      <c r="N365" s="28" t="str">
        <f>IFERROR(__xludf.DUMMYFUNCTION("IF($I364="""","""",IFERROR(INDEX(FILTER(Response_Lists!$B:$B,Response_Lists!$A:$A=$H365),5),""""))"),"")</f>
        <v/>
      </c>
      <c r="O365" s="28" t="str">
        <f>IFERROR(__xludf.DUMMYFUNCTION("IF($I364="""","""",IFERROR(INDEX(FILTER(Response_Lists!$B:$B,Response_Lists!$A:$A=$H365),6),""""))"),"")</f>
        <v/>
      </c>
      <c r="P365" s="28" t="str">
        <f t="shared" si="6"/>
        <v/>
      </c>
      <c r="Q365" s="28" t="str">
        <f t="array" ref="Q365">IF($I364="","",XLOOKUP(C365,FSM_State_Map!A:A,FSM_State_Map!D:D,""))</f>
        <v/>
      </c>
      <c r="R365" s="28" t="str">
        <f t="shared" si="7"/>
        <v/>
      </c>
      <c r="S365" s="28" t="str">
        <f t="array" ref="S365">IF($I364="","",
IF(
  AND(C365="B",C364&lt;&gt;"B"),
  XLOOKUP($B365,Derived_Variables!$A:$A,Derived_Variables!$K:$K,0)
  + XLOOKUP($B365,Derived_Variables!$A:$A,Derived_Variables!$AE:$AE,0),
  S364+AM364
))</f>
        <v/>
      </c>
      <c r="T365" s="28" t="str">
        <f t="shared" ref="T365:U365" si="740">IF($I364="","",T364+AN364)</f>
        <v/>
      </c>
      <c r="U365" s="28" t="str">
        <f t="shared" si="740"/>
        <v/>
      </c>
      <c r="V365" s="28" t="str">
        <f t="array" ref="V365">IF($I364="","",
IF(
  AND(C365="D",C364&lt;&gt;"D"),
  XLOOKUP($B365,Derived_Variables!$A:$A,Derived_Variables!$N:$N,0)
  + XLOOKUP($B365,Derived_Variables!$A:$A,Derived_Variables!$AE:$AE,0),
  V364+AP364
))</f>
        <v/>
      </c>
      <c r="W365" s="28" t="str">
        <f t="shared" ref="W365:X365" si="741">IF($I364="","",W364+AQ364)</f>
        <v/>
      </c>
      <c r="X365" s="28" t="str">
        <f t="shared" si="741"/>
        <v/>
      </c>
      <c r="Y365" s="28" t="str">
        <f t="array" ref="Y365">IF($I364="","",IF(AND(C365="P",C364&lt;&gt;"P"),IFERROR(XLOOKUP($B365,Lenso_Input!$A:$A,Lenso_Input!$E:$E,0),0),Y364+AS364))</f>
        <v/>
      </c>
      <c r="Z365" s="28" t="str">
        <f t="array" ref="Z365">IF($I364="","",IF(AND(C365="Q",C364&lt;&gt;"Q"),IFERROR(XLOOKUP($B365,Lenso_Input!$A:$A,Lenso_Input!$I:$I,0),0),Z364+AT364))</f>
        <v/>
      </c>
      <c r="AA365" s="28" t="str">
        <f t="array" ref="AA365">IF($I364="","",IF(XLOOKUP($B365,Derived_Variables!$A:$A,Derived_Variables!$R:$R,"6/6_target")="6/6_target","20_20_20","40_30_25"))</f>
        <v/>
      </c>
      <c r="AB365" s="28" t="str">
        <f t="array" ref="AB365">IF($I364="","",XLOOKUP(LOWER(XLOOKUP($B365,Derived_Variables!$A:$A,Derived_Variables!$T:$T,"Standard"))&amp;"_sph_step",Calibration!$B:$B,Calibration!$C:$C,0.25))</f>
        <v/>
      </c>
      <c r="AC365" s="28" t="str">
        <f t="array" ref="AC365">IF($I364="","",XLOOKUP(LOWER(XLOOKUP($B365,Derived_Variables!$A:$A,Derived_Variables!$T:$T,"Standard"))&amp;"_cyl_step",Calibration!$B:$B,Calibration!$C:$C,0.25))</f>
        <v/>
      </c>
      <c r="AD365" s="28" t="str">
        <f t="array" ref="AD365">IF($I364="","",IF(OR(C365="E",C365="H"),LET(startStep,XLOOKUP("axis_start_step",Calibration!$B:$B,Calibration!$C:$C,5),step1,XLOOKUP("axis_reversal_step_1",Calibration!$B:$B,Calibration!$C:$C,3),step2,XLOOKUP("axis_reversal_step_2",Calibration!$B:$B,Calibration!$C:$C,1),IF(OR(C364&lt;&gt;C365,AZ365="",AZ365="SAME",AZ365="CANT_TELL",I365="",I365="SAME",I365="CANT_TELL"),startStep,IF(OR(AND(AZ365="BETTER_1",I365="BETTER_2"),AND(AZ365="BETTER_2",I365="BETTER_1")),IF(AD364&gt;step1,step1,step2),AD364))),0))</f>
        <v/>
      </c>
      <c r="AE365" s="28" t="str">
        <f t="array" ref="AE365">IF($I364="","",XLOOKUP($B365,Derived_Variables!$A:$A,Derived_Variables!$AD:$AD,"No_Fog"))</f>
        <v/>
      </c>
      <c r="AF365" s="28" t="str">
        <f t="array" ref="AF365">IF($I364="","",XLOOKUP($B365,Derived_Variables!$A:$A,Derived_Variables!$AE:$AE,0))</f>
        <v/>
      </c>
      <c r="AG365" s="28" t="str">
        <f t="array" ref="AG365">IF($I364="","",XLOOKUP($B365,Derived_Variables!$A:$A,Derived_Variables!$AF:$AF,""))</f>
        <v/>
      </c>
      <c r="AH365" s="28" t="str">
        <f t="array" ref="AH365">IF($I364="","",XLOOKUP($B365,Derived_Variables!$A:$A,Derived_Variables!$AG:$AG,""))</f>
        <v/>
      </c>
      <c r="AI365" s="28" t="str">
        <f t="array" ref="AI365">IF($I364="","",XLOOKUP($B365,Derived_Variables!$A:$A,Derived_Variables!$AC:$AC,"Medium"))</f>
        <v/>
      </c>
      <c r="AJ365" s="28" t="str">
        <f t="array" ref="AJ365">IF($I364="","",XLOOKUP($B365,Derived_Variables!$A:$A,Derived_Variables!$Y:$Y,FALSE))</f>
        <v/>
      </c>
      <c r="AK365" s="28" t="str">
        <f t="array" ref="AK365">IF($I364="","",XLOOKUP($B365,Derived_Variables!$A:$A,Derived_Variables!$AA:$AA,"Normal"))</f>
        <v/>
      </c>
      <c r="AL365" s="28" t="str">
        <f t="array" ref="AL365">IF($I364="","",XLOOKUP($B365,Derived_Variables!$A:$A,Derived_Variables!$AB:$AB,"Normal"))</f>
        <v/>
      </c>
      <c r="AM365" s="28" t="str">
        <f t="array" ref="AM365">IF($I365="","",IFS(C365="B",IF(OR(I365="NOT_READABLE",I365="BLURRY"),-AB365,0),C365="G",IFS(I365="RED_CLEARER",XLOOKUP("duochrome_red_step",Calibration!$B:$B,Calibration!$C:$C,-0.25),I365="GREEN_CLEARER",XLOOKUP("duochrome_green_step",Calibration!$B:$B,Calibration!$C:$C,0.25),I365="EQUAL",IF(XLOOKUP($B365,Derived_Variables!$A:$A,Derived_Variables!$S:$S,"Neutral")="Undercorrect",XLOOKUP("undercorrect_step",Calibration!$B:$B,Calibration!$C:$C,0.25),IF(XLOOKUP($B365,Derived_Variables!$A:$A,Derived_Variables!$S:$S,"Neutral")="Overcorrect",-XLOOKUP("overcorrect_step",Calibration!$B:$B,Calibration!$C:$C,0.25),0)),TRUE,0),C365="K",IF(I365="TOP_CLEARER",XLOOKUP("bino_balance_step",Calibration!$B:$B,Calibration!$C:$C,0.25),0),TRUE,0))</f>
        <v/>
      </c>
      <c r="AN365" s="28" t="str">
        <f t="shared" si="10"/>
        <v/>
      </c>
      <c r="AO365" s="28" t="str">
        <f t="shared" si="11"/>
        <v/>
      </c>
      <c r="AP365" s="28" t="str">
        <f t="array" ref="AP365">IF($I365="","",IFS(C365="D",IF(OR(I365="NOT_READABLE",I365="BLURRY"),-AB365,0),C365="J",IFS(I365="RED_CLEARER",XLOOKUP("duochrome_red_step",Calibration!$B:$B,Calibration!$C:$C,-0.25),I365="GREEN_CLEARER",XLOOKUP("duochrome_green_step",Calibration!$B:$B,Calibration!$C:$C,0.25),I365="EQUAL",IF(XLOOKUP($B365,Derived_Variables!$A:$A,Derived_Variables!$S:$S,"Neutral")="Undercorrect",XLOOKUP("undercorrect_step",Calibration!$B:$B,Calibration!$C:$C,0.25),IF(XLOOKUP($B365,Derived_Variables!$A:$A,Derived_Variables!$S:$S,"Neutral")="Overcorrect",-XLOOKUP("overcorrect_step",Calibration!$B:$B,Calibration!$C:$C,0.25),0)),TRUE,0),C365="K",IF(I365="BOTTOM_CLEARER",XLOOKUP("bino_balance_step",Calibration!$B:$B,Calibration!$C:$C,0.25),0),TRUE,0))</f>
        <v/>
      </c>
      <c r="AQ365" s="28" t="str">
        <f t="shared" si="12"/>
        <v/>
      </c>
      <c r="AR365" s="28" t="str">
        <f t="shared" si="13"/>
        <v/>
      </c>
      <c r="AS365" s="28" t="str">
        <f t="array" ref="AS365">IF($I365="","",IF(C365="P",IF(OR(I365="NOT_READABLE",I365="BLURRY"),XLOOKUP("near_add_step",Calibration!$B:$B,Calibration!$C:$C,0.25),0),IF(C365="R",IF(I365="NOT_CLEAR",XLOOKUP("near_add_step",Calibration!$B:$B,Calibration!$C:$C,0.25),0),0)))</f>
        <v/>
      </c>
      <c r="AT365" s="28" t="str">
        <f t="array" ref="AT365">IF($I365="","",IF(C365="Q",IF(OR(I365="NOT_READABLE",I365="BLURRY"),XLOOKUP("near_add_step",Calibration!$B:$B,Calibration!$C:$C,0.25),0),IF(C365="R",IF(I365="NOT_CLEAR",XLOOKUP("near_add_step",Calibration!$B:$B,Calibration!$C:$C,0.25),0),0)))</f>
        <v/>
      </c>
      <c r="AU365" s="28" t="str">
        <f t="array" ref="AU365">IF($I365="","",IF(G365="SNELLEN_FEET",IF(I365="READABLE",IFERROR(XLOOKUP(XLOOKUP(R365,Chart_Scale_Distance!B:B,Chart_Scale_Distance!A:A)+1,Chart_Scale_Distance!A:A,Chart_Scale_Distance!B:B),R365),R365),R365))</f>
        <v/>
      </c>
      <c r="AV365" s="28" t="str">
        <f t="array" ref="AV365">IF($I364="","",IFERROR(XLOOKUP(R365,Chart_Scale_Distance!$B:$B,Chart_Scale_Distance!$A:$A,""),""))</f>
        <v/>
      </c>
      <c r="AW365" s="28" t="str">
        <f t="array" ref="AW365">IF($I364="","",IFERROR(XLOOKUP(AA365,Chart_Scale_Distance!$B:$B,Chart_Scale_Distance!$A:$A,""),""))</f>
        <v/>
      </c>
      <c r="AX365" s="28" t="str">
        <f t="shared" si="14"/>
        <v/>
      </c>
      <c r="AY365" s="28" t="str">
        <f t="shared" si="15"/>
        <v/>
      </c>
      <c r="AZ365" s="28" t="str">
        <f t="shared" si="16"/>
        <v/>
      </c>
      <c r="BA365" s="28" t="str">
        <f t="shared" si="17"/>
        <v/>
      </c>
      <c r="BB365" s="28" t="str">
        <f t="shared" si="18"/>
        <v/>
      </c>
      <c r="BC365" s="28" t="str">
        <f t="array" ref="BC365">IF($I365="","",LET(
conf,AI365,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duoMax,XLOOKUP($B365,Derived_Variables!$A:$A,Derived_Variables!$AI:$AI,4),
axisTol,XLOOKUP($B365,Derived_Variables!$A:$A,Derived_Variables!$W:$W,1),
maxStart,XLOOKUP($B365,Derived_Variables!$A:$A,Derived_Variables!$U:$U,1.25),
maxAR,XLOOKUP($B365,Derived_Variables!$A:$A,Derived_Variables!$V:$V,3),
anom,XLOOKUP($B365,Derived_Variables!$A:$A,Derived_Variables!$Z:$Z,FALSE),
reStart,XLOOKUP($B365,Derived_Variables!$A:$A,Derived_Variables!$K:$K,0),
leStart,XLOOKUP($B365,Derived_Variables!$A:$A,Derived_Variables!$N:$N,0),
reAR,XLOOKUP($B365,AR_Input!$A:$A,AR_Input!$B:$B,reStart),
leAR,XLOOKUP($B365,AR_Input!$A:$A,AR_Input!$E:$E,leStart),
reEsc,AND(anom,OR(ABS((S365+AM365)-reStart)&gt;maxStart,ABS((S365+AM365)-reAR)&gt;maxAR)),
leEsc,AND(anom,OR(ABS((V365+AP365)-leStart)&gt;maxStart,ABS((V365+AP365)-leAR)&gt;maxAR)),
phaseMax,IFS(
 AK365="Fast",
   IFS(
     OR(C365="B",C365="D"),XLOOKUP("timeout_coarse_fast",Calibration!$B:$B,Calibration!$C:$C,24),
     OR(C365="E",C365="F",C365="H",C365="I"),XLOOKUP("timeout_jcc_fast",Calibration!$B:$B,Calibration!$C:$C,10),
     OR(C365="G",C365="J"),XLOOKUP("timeout_duochrome_fast",Calibration!$B:$B,Calibration!$C:$C,8),
     C365="K",XLOOKUP("timeout_bino_fast",Calibration!$B:$B,Calibration!$C:$C,10),
     OR(C365="P",C365="Q",C365="R"),XLOOKUP("timeout_near_fast",Calibration!$B:$B,Calibration!$C:$C,16),
     TRUE,XLOOKUP("timeout_coarse_fast",Calibration!$B:$B,Calibration!$C:$C,24)
   ),
 AK365="Normal",
   IFS(
     OR(C365="B",C365="D"),XLOOKUP("timeout_coarse_normal",Calibration!$B:$B,Calibration!$C:$C,36),
     OR(C365="E",C365="F",C365="H",C365="I"),XLOOKUP("timeout_jcc_normal",Calibration!$B:$B,Calibration!$C:$C,14),
     OR(C365="G",C365="J"),XLOOKUP("timeout_duochrome_normal",Calibration!$B:$B,Calibration!$C:$C,10),
     C365="K",XLOOKUP("timeout_bino_normal",Calibration!$B:$B,Calibration!$C:$C,14),
     OR(C365="P",C365="Q",C365="R"),XLOOKUP("timeout_near_normal",Calibration!$B:$B,Calibration!$C:$C,22),
     TRUE,XLOOKUP("timeout_coarse_normal",Calibration!$B:$B,Calibration!$C:$C,36)
   ),
 TRUE,
   IFS(
     OR(C365="B",C365="D"),XLOOKUP("timeout_coarse_slow",Calibration!$B:$B,Calibration!$C:$C,48),
     OR(C365="E",C365="F",C365="H",C365="I"),XLOOKUP("timeout_jcc_slow",Calibration!$B:$B,Calibration!$C:$C,18),
     OR(C365="G",C365="J"),XLOOKUP("timeout_duochrome_slow",Calibration!$B:$B,Calibration!$C:$C,12),
     C365="K",XLOOKUP("timeout_bino_slow",Calibration!$B:$B,Calibration!$C:$C,18),
     OR(C365="P",C365="Q",C365="R"),XLOOKUP("timeout_near_slow",Calibration!$B:$B,Calibration!$C:$C,28),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AJ365=TRUE,"ESCALATE",
C365="A",
IF(OR(I365="NOT_READABLE",I365="BLURRY",AND(R365="20_20_20",I365="READABLE")),"B","A"),
C365="B",
IF(reEsc,"ESCALATE",IF(AY365&gt;=phaseMax,"ESCALATE",IF(AND(AV365&gt;=AW365,I365="READABLE"),"E","B"))),
C365="E",
IF(AY365&gt;=phaseMax,"ESCALATE",IF(OR(I365="SAME",I365="CANT_TELL",AD365&lt;axisTol),"F","E")),
C365="F",
IF(AY365&gt;=phaseMax,"ESCALATE",IF(AX365&gt;=powerSameN,"G","F")),
C365="G",
IF(AY365&gt;=phaseMax,"ESCALATE",IF(OR(AX365&gt;=duoEqualN,BB365&gt;=duoMax),"D","G")),
C365="D",
IF(leEsc,"ESCALATE",IF(AY365&gt;=phaseMax,"ESCALATE",IF(AND(AV365&gt;=AW365,I365="READABLE"),"H","D"))),
C365="H",
IF(AY365&gt;=phaseMax,"ESCALATE",IF(OR(I365="SAME",I365="CANT_TELL",AD365&lt;axisTol),"I","H")),
C365="I",
IF(AY365&gt;=phaseMax,"ESCALATE",IF(AX365&gt;=powerSameN,"J","I")),
C365="J",
IF(AY365&gt;=phaseMax,"ESCALATE",IF(OR(AX365&gt;=duoEqualN,BB365&gt;=duoMax),"K","J")),
C365="K",
IF(AY365&gt;=phaseMax,"ESCALATE",IF(AX365&gt;=binoSameN,IF(XLOOKUP($B365,Derived_Variables!$A:$A,Derived_Variables!$AJ:$AJ,FALSE)=TRUE,"P","END"),"K")),
C365="P",
IF(AY365&gt;=phaseMax,"ESCALATE",IF(OR(I365="READABLE",I365="SAME"),"Q","P")),
C365="Q",
IF(AY365&gt;=phaseMax,"ESCALATE",IF(OR(I365="READABLE",I365="SAME"),"R","Q")),
C365="R",
IF(AY365&gt;=phaseMax,"ESCALATE",IF(OR(I365=nearTarget,I365="SAME"),"END","R")),
TRUE,"END"
)))</f>
        <v/>
      </c>
      <c r="BD365" s="28" t="b">
        <f t="shared" si="19"/>
        <v>0</v>
      </c>
    </row>
    <row r="366" ht="15.75" customHeight="1">
      <c r="A366" s="28">
        <f t="shared" si="3"/>
        <v>365</v>
      </c>
      <c r="B366" s="28">
        <f t="shared" si="4"/>
        <v>6</v>
      </c>
      <c r="C366" s="28" t="str">
        <f t="shared" si="5"/>
        <v/>
      </c>
      <c r="D366" s="28" t="str">
        <f t="array" ref="D366">IF($I365="","",XLOOKUP(C366,FSM_State_Map!A:A,FSM_State_Map!B:B,""))</f>
        <v/>
      </c>
      <c r="E366" s="28" t="str">
        <f t="array" ref="E366">IF($I365="","",XLOOKUP(C366,FSM_State_Map!A:A,FSM_State_Map!C:C,""))</f>
        <v/>
      </c>
      <c r="F366" s="28" t="str">
        <f t="array" ref="F366">IF($I365="","",XLOOKUP(E366,Phase_UI_Map!A:A,Phase_UI_Map!B:B,""))</f>
        <v/>
      </c>
      <c r="G366" s="28" t="str">
        <f t="array" ref="G366">IF($I365="","",XLOOKUP(E366,Phase_UI_Map!A:A,Phase_UI_Map!C:C,""))</f>
        <v/>
      </c>
      <c r="H366" s="28" t="str">
        <f t="array" ref="H366">IF($I365="","",XLOOKUP(E366,Phase_UI_Map!A:A,Phase_UI_Map!D:D,""))</f>
        <v/>
      </c>
      <c r="I366" s="29"/>
      <c r="J366" s="28" t="str">
        <f>IFERROR(__xludf.DUMMYFUNCTION("IF($I365="""","""",IFERROR(INDEX(FILTER(Response_Lists!$B:$B,Response_Lists!$A:$A=$H366),1),""""))"),"")</f>
        <v/>
      </c>
      <c r="K366" s="28" t="str">
        <f>IFERROR(__xludf.DUMMYFUNCTION("IF($I365="""","""",IFERROR(INDEX(FILTER(Response_Lists!$B:$B,Response_Lists!$A:$A=$H366),2),""""))"),"")</f>
        <v/>
      </c>
      <c r="L366" s="28" t="str">
        <f>IFERROR(__xludf.DUMMYFUNCTION("IF($I365="""","""",IFERROR(INDEX(FILTER(Response_Lists!$B:$B,Response_Lists!$A:$A=$H366),3),""""))"),"")</f>
        <v/>
      </c>
      <c r="M366" s="28" t="str">
        <f>IFERROR(__xludf.DUMMYFUNCTION("IF($I365="""","""",IFERROR(INDEX(FILTER(Response_Lists!$B:$B,Response_Lists!$A:$A=$H366),4),""""))"),"")</f>
        <v/>
      </c>
      <c r="N366" s="28" t="str">
        <f>IFERROR(__xludf.DUMMYFUNCTION("IF($I365="""","""",IFERROR(INDEX(FILTER(Response_Lists!$B:$B,Response_Lists!$A:$A=$H366),5),""""))"),"")</f>
        <v/>
      </c>
      <c r="O366" s="28" t="str">
        <f>IFERROR(__xludf.DUMMYFUNCTION("IF($I365="""","""",IFERROR(INDEX(FILTER(Response_Lists!$B:$B,Response_Lists!$A:$A=$H366),6),""""))"),"")</f>
        <v/>
      </c>
      <c r="P366" s="28" t="str">
        <f t="shared" si="6"/>
        <v/>
      </c>
      <c r="Q366" s="28" t="str">
        <f t="array" ref="Q366">IF($I365="","",XLOOKUP(C366,FSM_State_Map!A:A,FSM_State_Map!D:D,""))</f>
        <v/>
      </c>
      <c r="R366" s="28" t="str">
        <f t="shared" si="7"/>
        <v/>
      </c>
      <c r="S366" s="28" t="str">
        <f t="array" ref="S366">IF($I365="","",
IF(
  AND(C366="B",C365&lt;&gt;"B"),
  XLOOKUP($B366,Derived_Variables!$A:$A,Derived_Variables!$K:$K,0)
  + XLOOKUP($B366,Derived_Variables!$A:$A,Derived_Variables!$AE:$AE,0),
  S365+AM365
))</f>
        <v/>
      </c>
      <c r="T366" s="28" t="str">
        <f t="shared" ref="T366:U366" si="742">IF($I365="","",T365+AN365)</f>
        <v/>
      </c>
      <c r="U366" s="28" t="str">
        <f t="shared" si="742"/>
        <v/>
      </c>
      <c r="V366" s="28" t="str">
        <f t="array" ref="V366">IF($I365="","",
IF(
  AND(C366="D",C365&lt;&gt;"D"),
  XLOOKUP($B366,Derived_Variables!$A:$A,Derived_Variables!$N:$N,0)
  + XLOOKUP($B366,Derived_Variables!$A:$A,Derived_Variables!$AE:$AE,0),
  V365+AP365
))</f>
        <v/>
      </c>
      <c r="W366" s="28" t="str">
        <f t="shared" ref="W366:X366" si="743">IF($I365="","",W365+AQ365)</f>
        <v/>
      </c>
      <c r="X366" s="28" t="str">
        <f t="shared" si="743"/>
        <v/>
      </c>
      <c r="Y366" s="28" t="str">
        <f t="array" ref="Y366">IF($I365="","",IF(AND(C366="P",C365&lt;&gt;"P"),IFERROR(XLOOKUP($B366,Lenso_Input!$A:$A,Lenso_Input!$E:$E,0),0),Y365+AS365))</f>
        <v/>
      </c>
      <c r="Z366" s="28" t="str">
        <f t="array" ref="Z366">IF($I365="","",IF(AND(C366="Q",C365&lt;&gt;"Q"),IFERROR(XLOOKUP($B366,Lenso_Input!$A:$A,Lenso_Input!$I:$I,0),0),Z365+AT365))</f>
        <v/>
      </c>
      <c r="AA366" s="28" t="str">
        <f t="array" ref="AA366">IF($I365="","",IF(XLOOKUP($B366,Derived_Variables!$A:$A,Derived_Variables!$R:$R,"6/6_target")="6/6_target","20_20_20","40_30_25"))</f>
        <v/>
      </c>
      <c r="AB366" s="28" t="str">
        <f t="array" ref="AB366">IF($I365="","",XLOOKUP(LOWER(XLOOKUP($B366,Derived_Variables!$A:$A,Derived_Variables!$T:$T,"Standard"))&amp;"_sph_step",Calibration!$B:$B,Calibration!$C:$C,0.25))</f>
        <v/>
      </c>
      <c r="AC366" s="28" t="str">
        <f t="array" ref="AC366">IF($I365="","",XLOOKUP(LOWER(XLOOKUP($B366,Derived_Variables!$A:$A,Derived_Variables!$T:$T,"Standard"))&amp;"_cyl_step",Calibration!$B:$B,Calibration!$C:$C,0.25))</f>
        <v/>
      </c>
      <c r="AD366" s="28" t="str">
        <f t="array" ref="AD366">IF($I365="","",IF(OR(C366="E",C366="H"),LET(startStep,XLOOKUP("axis_start_step",Calibration!$B:$B,Calibration!$C:$C,5),step1,XLOOKUP("axis_reversal_step_1",Calibration!$B:$B,Calibration!$C:$C,3),step2,XLOOKUP("axis_reversal_step_2",Calibration!$B:$B,Calibration!$C:$C,1),IF(OR(C365&lt;&gt;C366,AZ366="",AZ366="SAME",AZ366="CANT_TELL",I366="",I366="SAME",I366="CANT_TELL"),startStep,IF(OR(AND(AZ366="BETTER_1",I366="BETTER_2"),AND(AZ366="BETTER_2",I366="BETTER_1")),IF(AD365&gt;step1,step1,step2),AD365))),0))</f>
        <v/>
      </c>
      <c r="AE366" s="28" t="str">
        <f t="array" ref="AE366">IF($I365="","",XLOOKUP($B366,Derived_Variables!$A:$A,Derived_Variables!$AD:$AD,"No_Fog"))</f>
        <v/>
      </c>
      <c r="AF366" s="28" t="str">
        <f t="array" ref="AF366">IF($I365="","",XLOOKUP($B366,Derived_Variables!$A:$A,Derived_Variables!$AE:$AE,0))</f>
        <v/>
      </c>
      <c r="AG366" s="28" t="str">
        <f t="array" ref="AG366">IF($I365="","",XLOOKUP($B366,Derived_Variables!$A:$A,Derived_Variables!$AF:$AF,""))</f>
        <v/>
      </c>
      <c r="AH366" s="28" t="str">
        <f t="array" ref="AH366">IF($I365="","",XLOOKUP($B366,Derived_Variables!$A:$A,Derived_Variables!$AG:$AG,""))</f>
        <v/>
      </c>
      <c r="AI366" s="28" t="str">
        <f t="array" ref="AI366">IF($I365="","",XLOOKUP($B366,Derived_Variables!$A:$A,Derived_Variables!$AC:$AC,"Medium"))</f>
        <v/>
      </c>
      <c r="AJ366" s="28" t="str">
        <f t="array" ref="AJ366">IF($I365="","",XLOOKUP($B366,Derived_Variables!$A:$A,Derived_Variables!$Y:$Y,FALSE))</f>
        <v/>
      </c>
      <c r="AK366" s="28" t="str">
        <f t="array" ref="AK366">IF($I365="","",XLOOKUP($B366,Derived_Variables!$A:$A,Derived_Variables!$AA:$AA,"Normal"))</f>
        <v/>
      </c>
      <c r="AL366" s="28" t="str">
        <f t="array" ref="AL366">IF($I365="","",XLOOKUP($B366,Derived_Variables!$A:$A,Derived_Variables!$AB:$AB,"Normal"))</f>
        <v/>
      </c>
      <c r="AM366" s="28" t="str">
        <f t="array" ref="AM366">IF($I366="","",IFS(C366="B",IF(OR(I366="NOT_READABLE",I366="BLURRY"),-AB366,0),C366="G",IFS(I366="RED_CLEARER",XLOOKUP("duochrome_red_step",Calibration!$B:$B,Calibration!$C:$C,-0.25),I366="GREEN_CLEARER",XLOOKUP("duochrome_green_step",Calibration!$B:$B,Calibration!$C:$C,0.25),I366="EQUAL",IF(XLOOKUP($B366,Derived_Variables!$A:$A,Derived_Variables!$S:$S,"Neutral")="Undercorrect",XLOOKUP("undercorrect_step",Calibration!$B:$B,Calibration!$C:$C,0.25),IF(XLOOKUP($B366,Derived_Variables!$A:$A,Derived_Variables!$S:$S,"Neutral")="Overcorrect",-XLOOKUP("overcorrect_step",Calibration!$B:$B,Calibration!$C:$C,0.25),0)),TRUE,0),C366="K",IF(I366="TOP_CLEARER",XLOOKUP("bino_balance_step",Calibration!$B:$B,Calibration!$C:$C,0.25),0),TRUE,0))</f>
        <v/>
      </c>
      <c r="AN366" s="28" t="str">
        <f t="shared" si="10"/>
        <v/>
      </c>
      <c r="AO366" s="28" t="str">
        <f t="shared" si="11"/>
        <v/>
      </c>
      <c r="AP366" s="28" t="str">
        <f t="array" ref="AP366">IF($I366="","",IFS(C366="D",IF(OR(I366="NOT_READABLE",I366="BLURRY"),-AB366,0),C366="J",IFS(I366="RED_CLEARER",XLOOKUP("duochrome_red_step",Calibration!$B:$B,Calibration!$C:$C,-0.25),I366="GREEN_CLEARER",XLOOKUP("duochrome_green_step",Calibration!$B:$B,Calibration!$C:$C,0.25),I366="EQUAL",IF(XLOOKUP($B366,Derived_Variables!$A:$A,Derived_Variables!$S:$S,"Neutral")="Undercorrect",XLOOKUP("undercorrect_step",Calibration!$B:$B,Calibration!$C:$C,0.25),IF(XLOOKUP($B366,Derived_Variables!$A:$A,Derived_Variables!$S:$S,"Neutral")="Overcorrect",-XLOOKUP("overcorrect_step",Calibration!$B:$B,Calibration!$C:$C,0.25),0)),TRUE,0),C366="K",IF(I366="BOTTOM_CLEARER",XLOOKUP("bino_balance_step",Calibration!$B:$B,Calibration!$C:$C,0.25),0),TRUE,0))</f>
        <v/>
      </c>
      <c r="AQ366" s="28" t="str">
        <f t="shared" si="12"/>
        <v/>
      </c>
      <c r="AR366" s="28" t="str">
        <f t="shared" si="13"/>
        <v/>
      </c>
      <c r="AS366" s="28" t="str">
        <f t="array" ref="AS366">IF($I366="","",IF(C366="P",IF(OR(I366="NOT_READABLE",I366="BLURRY"),XLOOKUP("near_add_step",Calibration!$B:$B,Calibration!$C:$C,0.25),0),IF(C366="R",IF(I366="NOT_CLEAR",XLOOKUP("near_add_step",Calibration!$B:$B,Calibration!$C:$C,0.25),0),0)))</f>
        <v/>
      </c>
      <c r="AT366" s="28" t="str">
        <f t="array" ref="AT366">IF($I366="","",IF(C366="Q",IF(OR(I366="NOT_READABLE",I366="BLURRY"),XLOOKUP("near_add_step",Calibration!$B:$B,Calibration!$C:$C,0.25),0),IF(C366="R",IF(I366="NOT_CLEAR",XLOOKUP("near_add_step",Calibration!$B:$B,Calibration!$C:$C,0.25),0),0)))</f>
        <v/>
      </c>
      <c r="AU366" s="28" t="str">
        <f t="array" ref="AU366">IF($I366="","",IF(G366="SNELLEN_FEET",IF(I366="READABLE",IFERROR(XLOOKUP(XLOOKUP(R366,Chart_Scale_Distance!B:B,Chart_Scale_Distance!A:A)+1,Chart_Scale_Distance!A:A,Chart_Scale_Distance!B:B),R366),R366),R366))</f>
        <v/>
      </c>
      <c r="AV366" s="28" t="str">
        <f t="array" ref="AV366">IF($I365="","",IFERROR(XLOOKUP(R366,Chart_Scale_Distance!$B:$B,Chart_Scale_Distance!$A:$A,""),""))</f>
        <v/>
      </c>
      <c r="AW366" s="28" t="str">
        <f t="array" ref="AW366">IF($I365="","",IFERROR(XLOOKUP(AA366,Chart_Scale_Distance!$B:$B,Chart_Scale_Distance!$A:$A,""),""))</f>
        <v/>
      </c>
      <c r="AX366" s="28" t="str">
        <f t="shared" si="14"/>
        <v/>
      </c>
      <c r="AY366" s="28" t="str">
        <f t="shared" si="15"/>
        <v/>
      </c>
      <c r="AZ366" s="28" t="str">
        <f t="shared" si="16"/>
        <v/>
      </c>
      <c r="BA366" s="28" t="str">
        <f t="shared" si="17"/>
        <v/>
      </c>
      <c r="BB366" s="28" t="str">
        <f t="shared" si="18"/>
        <v/>
      </c>
      <c r="BC366" s="28" t="str">
        <f t="array" ref="BC366">IF($I366="","",LET(
conf,AI366,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duoMax,XLOOKUP($B366,Derived_Variables!$A:$A,Derived_Variables!$AI:$AI,4),
axisTol,XLOOKUP($B366,Derived_Variables!$A:$A,Derived_Variables!$W:$W,1),
maxStart,XLOOKUP($B366,Derived_Variables!$A:$A,Derived_Variables!$U:$U,1.25),
maxAR,XLOOKUP($B366,Derived_Variables!$A:$A,Derived_Variables!$V:$V,3),
anom,XLOOKUP($B366,Derived_Variables!$A:$A,Derived_Variables!$Z:$Z,FALSE),
reStart,XLOOKUP($B366,Derived_Variables!$A:$A,Derived_Variables!$K:$K,0),
leStart,XLOOKUP($B366,Derived_Variables!$A:$A,Derived_Variables!$N:$N,0),
reAR,XLOOKUP($B366,AR_Input!$A:$A,AR_Input!$B:$B,reStart),
leAR,XLOOKUP($B366,AR_Input!$A:$A,AR_Input!$E:$E,leStart),
reEsc,AND(anom,OR(ABS((S366+AM366)-reStart)&gt;maxStart,ABS((S366+AM366)-reAR)&gt;maxAR)),
leEsc,AND(anom,OR(ABS((V366+AP366)-leStart)&gt;maxStart,ABS((V366+AP366)-leAR)&gt;maxAR)),
phaseMax,IFS(
 AK366="Fast",
   IFS(
     OR(C366="B",C366="D"),XLOOKUP("timeout_coarse_fast",Calibration!$B:$B,Calibration!$C:$C,24),
     OR(C366="E",C366="F",C366="H",C366="I"),XLOOKUP("timeout_jcc_fast",Calibration!$B:$B,Calibration!$C:$C,10),
     OR(C366="G",C366="J"),XLOOKUP("timeout_duochrome_fast",Calibration!$B:$B,Calibration!$C:$C,8),
     C366="K",XLOOKUP("timeout_bino_fast",Calibration!$B:$B,Calibration!$C:$C,10),
     OR(C366="P",C366="Q",C366="R"),XLOOKUP("timeout_near_fast",Calibration!$B:$B,Calibration!$C:$C,16),
     TRUE,XLOOKUP("timeout_coarse_fast",Calibration!$B:$B,Calibration!$C:$C,24)
   ),
 AK366="Normal",
   IFS(
     OR(C366="B",C366="D"),XLOOKUP("timeout_coarse_normal",Calibration!$B:$B,Calibration!$C:$C,36),
     OR(C366="E",C366="F",C366="H",C366="I"),XLOOKUP("timeout_jcc_normal",Calibration!$B:$B,Calibration!$C:$C,14),
     OR(C366="G",C366="J"),XLOOKUP("timeout_duochrome_normal",Calibration!$B:$B,Calibration!$C:$C,10),
     C366="K",XLOOKUP("timeout_bino_normal",Calibration!$B:$B,Calibration!$C:$C,14),
     OR(C366="P",C366="Q",C366="R"),XLOOKUP("timeout_near_normal",Calibration!$B:$B,Calibration!$C:$C,22),
     TRUE,XLOOKUP("timeout_coarse_normal",Calibration!$B:$B,Calibration!$C:$C,36)
   ),
 TRUE,
   IFS(
     OR(C366="B",C366="D"),XLOOKUP("timeout_coarse_slow",Calibration!$B:$B,Calibration!$C:$C,48),
     OR(C366="E",C366="F",C366="H",C366="I"),XLOOKUP("timeout_jcc_slow",Calibration!$B:$B,Calibration!$C:$C,18),
     OR(C366="G",C366="J"),XLOOKUP("timeout_duochrome_slow",Calibration!$B:$B,Calibration!$C:$C,12),
     C366="K",XLOOKUP("timeout_bino_slow",Calibration!$B:$B,Calibration!$C:$C,18),
     OR(C366="P",C366="Q",C366="R"),XLOOKUP("timeout_near_slow",Calibration!$B:$B,Calibration!$C:$C,28),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AJ366=TRUE,"ESCALATE",
C366="A",
IF(OR(I366="NOT_READABLE",I366="BLURRY",AND(R366="20_20_20",I366="READABLE")),"B","A"),
C366="B",
IF(reEsc,"ESCALATE",IF(AY366&gt;=phaseMax,"ESCALATE",IF(AND(AV366&gt;=AW366,I366="READABLE"),"E","B"))),
C366="E",
IF(AY366&gt;=phaseMax,"ESCALATE",IF(OR(I366="SAME",I366="CANT_TELL",AD366&lt;axisTol),"F","E")),
C366="F",
IF(AY366&gt;=phaseMax,"ESCALATE",IF(AX366&gt;=powerSameN,"G","F")),
C366="G",
IF(AY366&gt;=phaseMax,"ESCALATE",IF(OR(AX366&gt;=duoEqualN,BB366&gt;=duoMax),"D","G")),
C366="D",
IF(leEsc,"ESCALATE",IF(AY366&gt;=phaseMax,"ESCALATE",IF(AND(AV366&gt;=AW366,I366="READABLE"),"H","D"))),
C366="H",
IF(AY366&gt;=phaseMax,"ESCALATE",IF(OR(I366="SAME",I366="CANT_TELL",AD366&lt;axisTol),"I","H")),
C366="I",
IF(AY366&gt;=phaseMax,"ESCALATE",IF(AX366&gt;=powerSameN,"J","I")),
C366="J",
IF(AY366&gt;=phaseMax,"ESCALATE",IF(OR(AX366&gt;=duoEqualN,BB366&gt;=duoMax),"K","J")),
C366="K",
IF(AY366&gt;=phaseMax,"ESCALATE",IF(AX366&gt;=binoSameN,IF(XLOOKUP($B366,Derived_Variables!$A:$A,Derived_Variables!$AJ:$AJ,FALSE)=TRUE,"P","END"),"K")),
C366="P",
IF(AY366&gt;=phaseMax,"ESCALATE",IF(OR(I366="READABLE",I366="SAME"),"Q","P")),
C366="Q",
IF(AY366&gt;=phaseMax,"ESCALATE",IF(OR(I366="READABLE",I366="SAME"),"R","Q")),
C366="R",
IF(AY366&gt;=phaseMax,"ESCALATE",IF(OR(I366=nearTarget,I366="SAME"),"END","R")),
TRUE,"END"
)))</f>
        <v/>
      </c>
      <c r="BD366" s="28" t="b">
        <f t="shared" si="19"/>
        <v>0</v>
      </c>
    </row>
    <row r="367" ht="15.75" customHeight="1">
      <c r="A367" s="28">
        <f t="shared" si="3"/>
        <v>366</v>
      </c>
      <c r="B367" s="28">
        <f t="shared" si="4"/>
        <v>6</v>
      </c>
      <c r="C367" s="28" t="str">
        <f t="shared" si="5"/>
        <v/>
      </c>
      <c r="D367" s="28" t="str">
        <f t="array" ref="D367">IF($I366="","",XLOOKUP(C367,FSM_State_Map!A:A,FSM_State_Map!B:B,""))</f>
        <v/>
      </c>
      <c r="E367" s="28" t="str">
        <f t="array" ref="E367">IF($I366="","",XLOOKUP(C367,FSM_State_Map!A:A,FSM_State_Map!C:C,""))</f>
        <v/>
      </c>
      <c r="F367" s="28" t="str">
        <f t="array" ref="F367">IF($I366="","",XLOOKUP(E367,Phase_UI_Map!A:A,Phase_UI_Map!B:B,""))</f>
        <v/>
      </c>
      <c r="G367" s="28" t="str">
        <f t="array" ref="G367">IF($I366="","",XLOOKUP(E367,Phase_UI_Map!A:A,Phase_UI_Map!C:C,""))</f>
        <v/>
      </c>
      <c r="H367" s="28" t="str">
        <f t="array" ref="H367">IF($I366="","",XLOOKUP(E367,Phase_UI_Map!A:A,Phase_UI_Map!D:D,""))</f>
        <v/>
      </c>
      <c r="I367" s="29"/>
      <c r="J367" s="28" t="str">
        <f>IFERROR(__xludf.DUMMYFUNCTION("IF($I366="""","""",IFERROR(INDEX(FILTER(Response_Lists!$B:$B,Response_Lists!$A:$A=$H367),1),""""))"),"")</f>
        <v/>
      </c>
      <c r="K367" s="28" t="str">
        <f>IFERROR(__xludf.DUMMYFUNCTION("IF($I366="""","""",IFERROR(INDEX(FILTER(Response_Lists!$B:$B,Response_Lists!$A:$A=$H367),2),""""))"),"")</f>
        <v/>
      </c>
      <c r="L367" s="28" t="str">
        <f>IFERROR(__xludf.DUMMYFUNCTION("IF($I366="""","""",IFERROR(INDEX(FILTER(Response_Lists!$B:$B,Response_Lists!$A:$A=$H367),3),""""))"),"")</f>
        <v/>
      </c>
      <c r="M367" s="28" t="str">
        <f>IFERROR(__xludf.DUMMYFUNCTION("IF($I366="""","""",IFERROR(INDEX(FILTER(Response_Lists!$B:$B,Response_Lists!$A:$A=$H367),4),""""))"),"")</f>
        <v/>
      </c>
      <c r="N367" s="28" t="str">
        <f>IFERROR(__xludf.DUMMYFUNCTION("IF($I366="""","""",IFERROR(INDEX(FILTER(Response_Lists!$B:$B,Response_Lists!$A:$A=$H367),5),""""))"),"")</f>
        <v/>
      </c>
      <c r="O367" s="28" t="str">
        <f>IFERROR(__xludf.DUMMYFUNCTION("IF($I366="""","""",IFERROR(INDEX(FILTER(Response_Lists!$B:$B,Response_Lists!$A:$A=$H367),6),""""))"),"")</f>
        <v/>
      </c>
      <c r="P367" s="28" t="str">
        <f t="shared" si="6"/>
        <v/>
      </c>
      <c r="Q367" s="28" t="str">
        <f t="array" ref="Q367">IF($I366="","",XLOOKUP(C367,FSM_State_Map!A:A,FSM_State_Map!D:D,""))</f>
        <v/>
      </c>
      <c r="R367" s="28" t="str">
        <f t="shared" si="7"/>
        <v/>
      </c>
      <c r="S367" s="28" t="str">
        <f t="array" ref="S367">IF($I366="","",
IF(
  AND(C367="B",C366&lt;&gt;"B"),
  XLOOKUP($B367,Derived_Variables!$A:$A,Derived_Variables!$K:$K,0)
  + XLOOKUP($B367,Derived_Variables!$A:$A,Derived_Variables!$AE:$AE,0),
  S366+AM366
))</f>
        <v/>
      </c>
      <c r="T367" s="28" t="str">
        <f t="shared" ref="T367:U367" si="744">IF($I366="","",T366+AN366)</f>
        <v/>
      </c>
      <c r="U367" s="28" t="str">
        <f t="shared" si="744"/>
        <v/>
      </c>
      <c r="V367" s="28" t="str">
        <f t="array" ref="V367">IF($I366="","",
IF(
  AND(C367="D",C366&lt;&gt;"D"),
  XLOOKUP($B367,Derived_Variables!$A:$A,Derived_Variables!$N:$N,0)
  + XLOOKUP($B367,Derived_Variables!$A:$A,Derived_Variables!$AE:$AE,0),
  V366+AP366
))</f>
        <v/>
      </c>
      <c r="W367" s="28" t="str">
        <f t="shared" ref="W367:X367" si="745">IF($I366="","",W366+AQ366)</f>
        <v/>
      </c>
      <c r="X367" s="28" t="str">
        <f t="shared" si="745"/>
        <v/>
      </c>
      <c r="Y367" s="28" t="str">
        <f t="array" ref="Y367">IF($I366="","",IF(AND(C367="P",C366&lt;&gt;"P"),IFERROR(XLOOKUP($B367,Lenso_Input!$A:$A,Lenso_Input!$E:$E,0),0),Y366+AS366))</f>
        <v/>
      </c>
      <c r="Z367" s="28" t="str">
        <f t="array" ref="Z367">IF($I366="","",IF(AND(C367="Q",C366&lt;&gt;"Q"),IFERROR(XLOOKUP($B367,Lenso_Input!$A:$A,Lenso_Input!$I:$I,0),0),Z366+AT366))</f>
        <v/>
      </c>
      <c r="AA367" s="28" t="str">
        <f t="array" ref="AA367">IF($I366="","",IF(XLOOKUP($B367,Derived_Variables!$A:$A,Derived_Variables!$R:$R,"6/6_target")="6/6_target","20_20_20","40_30_25"))</f>
        <v/>
      </c>
      <c r="AB367" s="28" t="str">
        <f t="array" ref="AB367">IF($I366="","",XLOOKUP(LOWER(XLOOKUP($B367,Derived_Variables!$A:$A,Derived_Variables!$T:$T,"Standard"))&amp;"_sph_step",Calibration!$B:$B,Calibration!$C:$C,0.25))</f>
        <v/>
      </c>
      <c r="AC367" s="28" t="str">
        <f t="array" ref="AC367">IF($I366="","",XLOOKUP(LOWER(XLOOKUP($B367,Derived_Variables!$A:$A,Derived_Variables!$T:$T,"Standard"))&amp;"_cyl_step",Calibration!$B:$B,Calibration!$C:$C,0.25))</f>
        <v/>
      </c>
      <c r="AD367" s="28" t="str">
        <f t="array" ref="AD367">IF($I366="","",IF(OR(C367="E",C367="H"),LET(startStep,XLOOKUP("axis_start_step",Calibration!$B:$B,Calibration!$C:$C,5),step1,XLOOKUP("axis_reversal_step_1",Calibration!$B:$B,Calibration!$C:$C,3),step2,XLOOKUP("axis_reversal_step_2",Calibration!$B:$B,Calibration!$C:$C,1),IF(OR(C366&lt;&gt;C367,AZ367="",AZ367="SAME",AZ367="CANT_TELL",I367="",I367="SAME",I367="CANT_TELL"),startStep,IF(OR(AND(AZ367="BETTER_1",I367="BETTER_2"),AND(AZ367="BETTER_2",I367="BETTER_1")),IF(AD366&gt;step1,step1,step2),AD366))),0))</f>
        <v/>
      </c>
      <c r="AE367" s="28" t="str">
        <f t="array" ref="AE367">IF($I366="","",XLOOKUP($B367,Derived_Variables!$A:$A,Derived_Variables!$AD:$AD,"No_Fog"))</f>
        <v/>
      </c>
      <c r="AF367" s="28" t="str">
        <f t="array" ref="AF367">IF($I366="","",XLOOKUP($B367,Derived_Variables!$A:$A,Derived_Variables!$AE:$AE,0))</f>
        <v/>
      </c>
      <c r="AG367" s="28" t="str">
        <f t="array" ref="AG367">IF($I366="","",XLOOKUP($B367,Derived_Variables!$A:$A,Derived_Variables!$AF:$AF,""))</f>
        <v/>
      </c>
      <c r="AH367" s="28" t="str">
        <f t="array" ref="AH367">IF($I366="","",XLOOKUP($B367,Derived_Variables!$A:$A,Derived_Variables!$AG:$AG,""))</f>
        <v/>
      </c>
      <c r="AI367" s="28" t="str">
        <f t="array" ref="AI367">IF($I366="","",XLOOKUP($B367,Derived_Variables!$A:$A,Derived_Variables!$AC:$AC,"Medium"))</f>
        <v/>
      </c>
      <c r="AJ367" s="28" t="str">
        <f t="array" ref="AJ367">IF($I366="","",XLOOKUP($B367,Derived_Variables!$A:$A,Derived_Variables!$Y:$Y,FALSE))</f>
        <v/>
      </c>
      <c r="AK367" s="28" t="str">
        <f t="array" ref="AK367">IF($I366="","",XLOOKUP($B367,Derived_Variables!$A:$A,Derived_Variables!$AA:$AA,"Normal"))</f>
        <v/>
      </c>
      <c r="AL367" s="28" t="str">
        <f t="array" ref="AL367">IF($I366="","",XLOOKUP($B367,Derived_Variables!$A:$A,Derived_Variables!$AB:$AB,"Normal"))</f>
        <v/>
      </c>
      <c r="AM367" s="28" t="str">
        <f t="array" ref="AM367">IF($I367="","",IFS(C367="B",IF(OR(I367="NOT_READABLE",I367="BLURRY"),-AB367,0),C367="G",IFS(I367="RED_CLEARER",XLOOKUP("duochrome_red_step",Calibration!$B:$B,Calibration!$C:$C,-0.25),I367="GREEN_CLEARER",XLOOKUP("duochrome_green_step",Calibration!$B:$B,Calibration!$C:$C,0.25),I367="EQUAL",IF(XLOOKUP($B367,Derived_Variables!$A:$A,Derived_Variables!$S:$S,"Neutral")="Undercorrect",XLOOKUP("undercorrect_step",Calibration!$B:$B,Calibration!$C:$C,0.25),IF(XLOOKUP($B367,Derived_Variables!$A:$A,Derived_Variables!$S:$S,"Neutral")="Overcorrect",-XLOOKUP("overcorrect_step",Calibration!$B:$B,Calibration!$C:$C,0.25),0)),TRUE,0),C367="K",IF(I367="TOP_CLEARER",XLOOKUP("bino_balance_step",Calibration!$B:$B,Calibration!$C:$C,0.25),0),TRUE,0))</f>
        <v/>
      </c>
      <c r="AN367" s="28" t="str">
        <f t="shared" si="10"/>
        <v/>
      </c>
      <c r="AO367" s="28" t="str">
        <f t="shared" si="11"/>
        <v/>
      </c>
      <c r="AP367" s="28" t="str">
        <f t="array" ref="AP367">IF($I367="","",IFS(C367="D",IF(OR(I367="NOT_READABLE",I367="BLURRY"),-AB367,0),C367="J",IFS(I367="RED_CLEARER",XLOOKUP("duochrome_red_step",Calibration!$B:$B,Calibration!$C:$C,-0.25),I367="GREEN_CLEARER",XLOOKUP("duochrome_green_step",Calibration!$B:$B,Calibration!$C:$C,0.25),I367="EQUAL",IF(XLOOKUP($B367,Derived_Variables!$A:$A,Derived_Variables!$S:$S,"Neutral")="Undercorrect",XLOOKUP("undercorrect_step",Calibration!$B:$B,Calibration!$C:$C,0.25),IF(XLOOKUP($B367,Derived_Variables!$A:$A,Derived_Variables!$S:$S,"Neutral")="Overcorrect",-XLOOKUP("overcorrect_step",Calibration!$B:$B,Calibration!$C:$C,0.25),0)),TRUE,0),C367="K",IF(I367="BOTTOM_CLEARER",XLOOKUP("bino_balance_step",Calibration!$B:$B,Calibration!$C:$C,0.25),0),TRUE,0))</f>
        <v/>
      </c>
      <c r="AQ367" s="28" t="str">
        <f t="shared" si="12"/>
        <v/>
      </c>
      <c r="AR367" s="28" t="str">
        <f t="shared" si="13"/>
        <v/>
      </c>
      <c r="AS367" s="28" t="str">
        <f t="array" ref="AS367">IF($I367="","",IF(C367="P",IF(OR(I367="NOT_READABLE",I367="BLURRY"),XLOOKUP("near_add_step",Calibration!$B:$B,Calibration!$C:$C,0.25),0),IF(C367="R",IF(I367="NOT_CLEAR",XLOOKUP("near_add_step",Calibration!$B:$B,Calibration!$C:$C,0.25),0),0)))</f>
        <v/>
      </c>
      <c r="AT367" s="28" t="str">
        <f t="array" ref="AT367">IF($I367="","",IF(C367="Q",IF(OR(I367="NOT_READABLE",I367="BLURRY"),XLOOKUP("near_add_step",Calibration!$B:$B,Calibration!$C:$C,0.25),0),IF(C367="R",IF(I367="NOT_CLEAR",XLOOKUP("near_add_step",Calibration!$B:$B,Calibration!$C:$C,0.25),0),0)))</f>
        <v/>
      </c>
      <c r="AU367" s="28" t="str">
        <f t="array" ref="AU367">IF($I367="","",IF(G367="SNELLEN_FEET",IF(I367="READABLE",IFERROR(XLOOKUP(XLOOKUP(R367,Chart_Scale_Distance!B:B,Chart_Scale_Distance!A:A)+1,Chart_Scale_Distance!A:A,Chart_Scale_Distance!B:B),R367),R367),R367))</f>
        <v/>
      </c>
      <c r="AV367" s="28" t="str">
        <f t="array" ref="AV367">IF($I366="","",IFERROR(XLOOKUP(R367,Chart_Scale_Distance!$B:$B,Chart_Scale_Distance!$A:$A,""),""))</f>
        <v/>
      </c>
      <c r="AW367" s="28" t="str">
        <f t="array" ref="AW367">IF($I366="","",IFERROR(XLOOKUP(AA367,Chart_Scale_Distance!$B:$B,Chart_Scale_Distance!$A:$A,""),""))</f>
        <v/>
      </c>
      <c r="AX367" s="28" t="str">
        <f t="shared" si="14"/>
        <v/>
      </c>
      <c r="AY367" s="28" t="str">
        <f t="shared" si="15"/>
        <v/>
      </c>
      <c r="AZ367" s="28" t="str">
        <f t="shared" si="16"/>
        <v/>
      </c>
      <c r="BA367" s="28" t="str">
        <f t="shared" si="17"/>
        <v/>
      </c>
      <c r="BB367" s="28" t="str">
        <f t="shared" si="18"/>
        <v/>
      </c>
      <c r="BC367" s="28" t="str">
        <f t="array" ref="BC367">IF($I367="","",LET(
conf,AI367,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duoMax,XLOOKUP($B367,Derived_Variables!$A:$A,Derived_Variables!$AI:$AI,4),
axisTol,XLOOKUP($B367,Derived_Variables!$A:$A,Derived_Variables!$W:$W,1),
maxStart,XLOOKUP($B367,Derived_Variables!$A:$A,Derived_Variables!$U:$U,1.25),
maxAR,XLOOKUP($B367,Derived_Variables!$A:$A,Derived_Variables!$V:$V,3),
anom,XLOOKUP($B367,Derived_Variables!$A:$A,Derived_Variables!$Z:$Z,FALSE),
reStart,XLOOKUP($B367,Derived_Variables!$A:$A,Derived_Variables!$K:$K,0),
leStart,XLOOKUP($B367,Derived_Variables!$A:$A,Derived_Variables!$N:$N,0),
reAR,XLOOKUP($B367,AR_Input!$A:$A,AR_Input!$B:$B,reStart),
leAR,XLOOKUP($B367,AR_Input!$A:$A,AR_Input!$E:$E,leStart),
reEsc,AND(anom,OR(ABS((S367+AM367)-reStart)&gt;maxStart,ABS((S367+AM367)-reAR)&gt;maxAR)),
leEsc,AND(anom,OR(ABS((V367+AP367)-leStart)&gt;maxStart,ABS((V367+AP367)-leAR)&gt;maxAR)),
phaseMax,IFS(
 AK367="Fast",
   IFS(
     OR(C367="B",C367="D"),XLOOKUP("timeout_coarse_fast",Calibration!$B:$B,Calibration!$C:$C,24),
     OR(C367="E",C367="F",C367="H",C367="I"),XLOOKUP("timeout_jcc_fast",Calibration!$B:$B,Calibration!$C:$C,10),
     OR(C367="G",C367="J"),XLOOKUP("timeout_duochrome_fast",Calibration!$B:$B,Calibration!$C:$C,8),
     C367="K",XLOOKUP("timeout_bino_fast",Calibration!$B:$B,Calibration!$C:$C,10),
     OR(C367="P",C367="Q",C367="R"),XLOOKUP("timeout_near_fast",Calibration!$B:$B,Calibration!$C:$C,16),
     TRUE,XLOOKUP("timeout_coarse_fast",Calibration!$B:$B,Calibration!$C:$C,24)
   ),
 AK367="Normal",
   IFS(
     OR(C367="B",C367="D"),XLOOKUP("timeout_coarse_normal",Calibration!$B:$B,Calibration!$C:$C,36),
     OR(C367="E",C367="F",C367="H",C367="I"),XLOOKUP("timeout_jcc_normal",Calibration!$B:$B,Calibration!$C:$C,14),
     OR(C367="G",C367="J"),XLOOKUP("timeout_duochrome_normal",Calibration!$B:$B,Calibration!$C:$C,10),
     C367="K",XLOOKUP("timeout_bino_normal",Calibration!$B:$B,Calibration!$C:$C,14),
     OR(C367="P",C367="Q",C367="R"),XLOOKUP("timeout_near_normal",Calibration!$B:$B,Calibration!$C:$C,22),
     TRUE,XLOOKUP("timeout_coarse_normal",Calibration!$B:$B,Calibration!$C:$C,36)
   ),
 TRUE,
   IFS(
     OR(C367="B",C367="D"),XLOOKUP("timeout_coarse_slow",Calibration!$B:$B,Calibration!$C:$C,48),
     OR(C367="E",C367="F",C367="H",C367="I"),XLOOKUP("timeout_jcc_slow",Calibration!$B:$B,Calibration!$C:$C,18),
     OR(C367="G",C367="J"),XLOOKUP("timeout_duochrome_slow",Calibration!$B:$B,Calibration!$C:$C,12),
     C367="K",XLOOKUP("timeout_bino_slow",Calibration!$B:$B,Calibration!$C:$C,18),
     OR(C367="P",C367="Q",C367="R"),XLOOKUP("timeout_near_slow",Calibration!$B:$B,Calibration!$C:$C,28),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AJ367=TRUE,"ESCALATE",
C367="A",
IF(OR(I367="NOT_READABLE",I367="BLURRY",AND(R367="20_20_20",I367="READABLE")),"B","A"),
C367="B",
IF(reEsc,"ESCALATE",IF(AY367&gt;=phaseMax,"ESCALATE",IF(AND(AV367&gt;=AW367,I367="READABLE"),"E","B"))),
C367="E",
IF(AY367&gt;=phaseMax,"ESCALATE",IF(OR(I367="SAME",I367="CANT_TELL",AD367&lt;axisTol),"F","E")),
C367="F",
IF(AY367&gt;=phaseMax,"ESCALATE",IF(AX367&gt;=powerSameN,"G","F")),
C367="G",
IF(AY367&gt;=phaseMax,"ESCALATE",IF(OR(AX367&gt;=duoEqualN,BB367&gt;=duoMax),"D","G")),
C367="D",
IF(leEsc,"ESCALATE",IF(AY367&gt;=phaseMax,"ESCALATE",IF(AND(AV367&gt;=AW367,I367="READABLE"),"H","D"))),
C367="H",
IF(AY367&gt;=phaseMax,"ESCALATE",IF(OR(I367="SAME",I367="CANT_TELL",AD367&lt;axisTol),"I","H")),
C367="I",
IF(AY367&gt;=phaseMax,"ESCALATE",IF(AX367&gt;=powerSameN,"J","I")),
C367="J",
IF(AY367&gt;=phaseMax,"ESCALATE",IF(OR(AX367&gt;=duoEqualN,BB367&gt;=duoMax),"K","J")),
C367="K",
IF(AY367&gt;=phaseMax,"ESCALATE",IF(AX367&gt;=binoSameN,IF(XLOOKUP($B367,Derived_Variables!$A:$A,Derived_Variables!$AJ:$AJ,FALSE)=TRUE,"P","END"),"K")),
C367="P",
IF(AY367&gt;=phaseMax,"ESCALATE",IF(OR(I367="READABLE",I367="SAME"),"Q","P")),
C367="Q",
IF(AY367&gt;=phaseMax,"ESCALATE",IF(OR(I367="READABLE",I367="SAME"),"R","Q")),
C367="R",
IF(AY367&gt;=phaseMax,"ESCALATE",IF(OR(I367=nearTarget,I367="SAME"),"END","R")),
TRUE,"END"
)))</f>
        <v/>
      </c>
      <c r="BD367" s="28" t="b">
        <f t="shared" si="19"/>
        <v>0</v>
      </c>
    </row>
    <row r="368" ht="15.75" customHeight="1">
      <c r="A368" s="28">
        <f t="shared" si="3"/>
        <v>367</v>
      </c>
      <c r="B368" s="28">
        <f t="shared" si="4"/>
        <v>6</v>
      </c>
      <c r="C368" s="28" t="str">
        <f t="shared" si="5"/>
        <v/>
      </c>
      <c r="D368" s="28" t="str">
        <f t="array" ref="D368">IF($I367="","",XLOOKUP(C368,FSM_State_Map!A:A,FSM_State_Map!B:B,""))</f>
        <v/>
      </c>
      <c r="E368" s="28" t="str">
        <f t="array" ref="E368">IF($I367="","",XLOOKUP(C368,FSM_State_Map!A:A,FSM_State_Map!C:C,""))</f>
        <v/>
      </c>
      <c r="F368" s="28" t="str">
        <f t="array" ref="F368">IF($I367="","",XLOOKUP(E368,Phase_UI_Map!A:A,Phase_UI_Map!B:B,""))</f>
        <v/>
      </c>
      <c r="G368" s="28" t="str">
        <f t="array" ref="G368">IF($I367="","",XLOOKUP(E368,Phase_UI_Map!A:A,Phase_UI_Map!C:C,""))</f>
        <v/>
      </c>
      <c r="H368" s="28" t="str">
        <f t="array" ref="H368">IF($I367="","",XLOOKUP(E368,Phase_UI_Map!A:A,Phase_UI_Map!D:D,""))</f>
        <v/>
      </c>
      <c r="I368" s="29"/>
      <c r="J368" s="28" t="str">
        <f>IFERROR(__xludf.DUMMYFUNCTION("IF($I367="""","""",IFERROR(INDEX(FILTER(Response_Lists!$B:$B,Response_Lists!$A:$A=$H368),1),""""))"),"")</f>
        <v/>
      </c>
      <c r="K368" s="28" t="str">
        <f>IFERROR(__xludf.DUMMYFUNCTION("IF($I367="""","""",IFERROR(INDEX(FILTER(Response_Lists!$B:$B,Response_Lists!$A:$A=$H368),2),""""))"),"")</f>
        <v/>
      </c>
      <c r="L368" s="28" t="str">
        <f>IFERROR(__xludf.DUMMYFUNCTION("IF($I367="""","""",IFERROR(INDEX(FILTER(Response_Lists!$B:$B,Response_Lists!$A:$A=$H368),3),""""))"),"")</f>
        <v/>
      </c>
      <c r="M368" s="28" t="str">
        <f>IFERROR(__xludf.DUMMYFUNCTION("IF($I367="""","""",IFERROR(INDEX(FILTER(Response_Lists!$B:$B,Response_Lists!$A:$A=$H368),4),""""))"),"")</f>
        <v/>
      </c>
      <c r="N368" s="28" t="str">
        <f>IFERROR(__xludf.DUMMYFUNCTION("IF($I367="""","""",IFERROR(INDEX(FILTER(Response_Lists!$B:$B,Response_Lists!$A:$A=$H368),5),""""))"),"")</f>
        <v/>
      </c>
      <c r="O368" s="28" t="str">
        <f>IFERROR(__xludf.DUMMYFUNCTION("IF($I367="""","""",IFERROR(INDEX(FILTER(Response_Lists!$B:$B,Response_Lists!$A:$A=$H368),6),""""))"),"")</f>
        <v/>
      </c>
      <c r="P368" s="28" t="str">
        <f t="shared" si="6"/>
        <v/>
      </c>
      <c r="Q368" s="28" t="str">
        <f t="array" ref="Q368">IF($I367="","",XLOOKUP(C368,FSM_State_Map!A:A,FSM_State_Map!D:D,""))</f>
        <v/>
      </c>
      <c r="R368" s="28" t="str">
        <f t="shared" si="7"/>
        <v/>
      </c>
      <c r="S368" s="28" t="str">
        <f t="array" ref="S368">IF($I367="","",
IF(
  AND(C368="B",C367&lt;&gt;"B"),
  XLOOKUP($B368,Derived_Variables!$A:$A,Derived_Variables!$K:$K,0)
  + XLOOKUP($B368,Derived_Variables!$A:$A,Derived_Variables!$AE:$AE,0),
  S367+AM367
))</f>
        <v/>
      </c>
      <c r="T368" s="28" t="str">
        <f t="shared" ref="T368:U368" si="746">IF($I367="","",T367+AN367)</f>
        <v/>
      </c>
      <c r="U368" s="28" t="str">
        <f t="shared" si="746"/>
        <v/>
      </c>
      <c r="V368" s="28" t="str">
        <f t="array" ref="V368">IF($I367="","",
IF(
  AND(C368="D",C367&lt;&gt;"D"),
  XLOOKUP($B368,Derived_Variables!$A:$A,Derived_Variables!$N:$N,0)
  + XLOOKUP($B368,Derived_Variables!$A:$A,Derived_Variables!$AE:$AE,0),
  V367+AP367
))</f>
        <v/>
      </c>
      <c r="W368" s="28" t="str">
        <f t="shared" ref="W368:X368" si="747">IF($I367="","",W367+AQ367)</f>
        <v/>
      </c>
      <c r="X368" s="28" t="str">
        <f t="shared" si="747"/>
        <v/>
      </c>
      <c r="Y368" s="28" t="str">
        <f t="array" ref="Y368">IF($I367="","",IF(AND(C368="P",C367&lt;&gt;"P"),IFERROR(XLOOKUP($B368,Lenso_Input!$A:$A,Lenso_Input!$E:$E,0),0),Y367+AS367))</f>
        <v/>
      </c>
      <c r="Z368" s="28" t="str">
        <f t="array" ref="Z368">IF($I367="","",IF(AND(C368="Q",C367&lt;&gt;"Q"),IFERROR(XLOOKUP($B368,Lenso_Input!$A:$A,Lenso_Input!$I:$I,0),0),Z367+AT367))</f>
        <v/>
      </c>
      <c r="AA368" s="28" t="str">
        <f t="array" ref="AA368">IF($I367="","",IF(XLOOKUP($B368,Derived_Variables!$A:$A,Derived_Variables!$R:$R,"6/6_target")="6/6_target","20_20_20","40_30_25"))</f>
        <v/>
      </c>
      <c r="AB368" s="28" t="str">
        <f t="array" ref="AB368">IF($I367="","",XLOOKUP(LOWER(XLOOKUP($B368,Derived_Variables!$A:$A,Derived_Variables!$T:$T,"Standard"))&amp;"_sph_step",Calibration!$B:$B,Calibration!$C:$C,0.25))</f>
        <v/>
      </c>
      <c r="AC368" s="28" t="str">
        <f t="array" ref="AC368">IF($I367="","",XLOOKUP(LOWER(XLOOKUP($B368,Derived_Variables!$A:$A,Derived_Variables!$T:$T,"Standard"))&amp;"_cyl_step",Calibration!$B:$B,Calibration!$C:$C,0.25))</f>
        <v/>
      </c>
      <c r="AD368" s="28" t="str">
        <f t="array" ref="AD368">IF($I367="","",IF(OR(C368="E",C368="H"),LET(startStep,XLOOKUP("axis_start_step",Calibration!$B:$B,Calibration!$C:$C,5),step1,XLOOKUP("axis_reversal_step_1",Calibration!$B:$B,Calibration!$C:$C,3),step2,XLOOKUP("axis_reversal_step_2",Calibration!$B:$B,Calibration!$C:$C,1),IF(OR(C367&lt;&gt;C368,AZ368="",AZ368="SAME",AZ368="CANT_TELL",I368="",I368="SAME",I368="CANT_TELL"),startStep,IF(OR(AND(AZ368="BETTER_1",I368="BETTER_2"),AND(AZ368="BETTER_2",I368="BETTER_1")),IF(AD367&gt;step1,step1,step2),AD367))),0))</f>
        <v/>
      </c>
      <c r="AE368" s="28" t="str">
        <f t="array" ref="AE368">IF($I367="","",XLOOKUP($B368,Derived_Variables!$A:$A,Derived_Variables!$AD:$AD,"No_Fog"))</f>
        <v/>
      </c>
      <c r="AF368" s="28" t="str">
        <f t="array" ref="AF368">IF($I367="","",XLOOKUP($B368,Derived_Variables!$A:$A,Derived_Variables!$AE:$AE,0))</f>
        <v/>
      </c>
      <c r="AG368" s="28" t="str">
        <f t="array" ref="AG368">IF($I367="","",XLOOKUP($B368,Derived_Variables!$A:$A,Derived_Variables!$AF:$AF,""))</f>
        <v/>
      </c>
      <c r="AH368" s="28" t="str">
        <f t="array" ref="AH368">IF($I367="","",XLOOKUP($B368,Derived_Variables!$A:$A,Derived_Variables!$AG:$AG,""))</f>
        <v/>
      </c>
      <c r="AI368" s="28" t="str">
        <f t="array" ref="AI368">IF($I367="","",XLOOKUP($B368,Derived_Variables!$A:$A,Derived_Variables!$AC:$AC,"Medium"))</f>
        <v/>
      </c>
      <c r="AJ368" s="28" t="str">
        <f t="array" ref="AJ368">IF($I367="","",XLOOKUP($B368,Derived_Variables!$A:$A,Derived_Variables!$Y:$Y,FALSE))</f>
        <v/>
      </c>
      <c r="AK368" s="28" t="str">
        <f t="array" ref="AK368">IF($I367="","",XLOOKUP($B368,Derived_Variables!$A:$A,Derived_Variables!$AA:$AA,"Normal"))</f>
        <v/>
      </c>
      <c r="AL368" s="28" t="str">
        <f t="array" ref="AL368">IF($I367="","",XLOOKUP($B368,Derived_Variables!$A:$A,Derived_Variables!$AB:$AB,"Normal"))</f>
        <v/>
      </c>
      <c r="AM368" s="28" t="str">
        <f t="array" ref="AM368">IF($I368="","",IFS(C368="B",IF(OR(I368="NOT_READABLE",I368="BLURRY"),-AB368,0),C368="G",IFS(I368="RED_CLEARER",XLOOKUP("duochrome_red_step",Calibration!$B:$B,Calibration!$C:$C,-0.25),I368="GREEN_CLEARER",XLOOKUP("duochrome_green_step",Calibration!$B:$B,Calibration!$C:$C,0.25),I368="EQUAL",IF(XLOOKUP($B368,Derived_Variables!$A:$A,Derived_Variables!$S:$S,"Neutral")="Undercorrect",XLOOKUP("undercorrect_step",Calibration!$B:$B,Calibration!$C:$C,0.25),IF(XLOOKUP($B368,Derived_Variables!$A:$A,Derived_Variables!$S:$S,"Neutral")="Overcorrect",-XLOOKUP("overcorrect_step",Calibration!$B:$B,Calibration!$C:$C,0.25),0)),TRUE,0),C368="K",IF(I368="TOP_CLEARER",XLOOKUP("bino_balance_step",Calibration!$B:$B,Calibration!$C:$C,0.25),0),TRUE,0))</f>
        <v/>
      </c>
      <c r="AN368" s="28" t="str">
        <f t="shared" si="10"/>
        <v/>
      </c>
      <c r="AO368" s="28" t="str">
        <f t="shared" si="11"/>
        <v/>
      </c>
      <c r="AP368" s="28" t="str">
        <f t="array" ref="AP368">IF($I368="","",IFS(C368="D",IF(OR(I368="NOT_READABLE",I368="BLURRY"),-AB368,0),C368="J",IFS(I368="RED_CLEARER",XLOOKUP("duochrome_red_step",Calibration!$B:$B,Calibration!$C:$C,-0.25),I368="GREEN_CLEARER",XLOOKUP("duochrome_green_step",Calibration!$B:$B,Calibration!$C:$C,0.25),I368="EQUAL",IF(XLOOKUP($B368,Derived_Variables!$A:$A,Derived_Variables!$S:$S,"Neutral")="Undercorrect",XLOOKUP("undercorrect_step",Calibration!$B:$B,Calibration!$C:$C,0.25),IF(XLOOKUP($B368,Derived_Variables!$A:$A,Derived_Variables!$S:$S,"Neutral")="Overcorrect",-XLOOKUP("overcorrect_step",Calibration!$B:$B,Calibration!$C:$C,0.25),0)),TRUE,0),C368="K",IF(I368="BOTTOM_CLEARER",XLOOKUP("bino_balance_step",Calibration!$B:$B,Calibration!$C:$C,0.25),0),TRUE,0))</f>
        <v/>
      </c>
      <c r="AQ368" s="28" t="str">
        <f t="shared" si="12"/>
        <v/>
      </c>
      <c r="AR368" s="28" t="str">
        <f t="shared" si="13"/>
        <v/>
      </c>
      <c r="AS368" s="28" t="str">
        <f t="array" ref="AS368">IF($I368="","",IF(C368="P",IF(OR(I368="NOT_READABLE",I368="BLURRY"),XLOOKUP("near_add_step",Calibration!$B:$B,Calibration!$C:$C,0.25),0),IF(C368="R",IF(I368="NOT_CLEAR",XLOOKUP("near_add_step",Calibration!$B:$B,Calibration!$C:$C,0.25),0),0)))</f>
        <v/>
      </c>
      <c r="AT368" s="28" t="str">
        <f t="array" ref="AT368">IF($I368="","",IF(C368="Q",IF(OR(I368="NOT_READABLE",I368="BLURRY"),XLOOKUP("near_add_step",Calibration!$B:$B,Calibration!$C:$C,0.25),0),IF(C368="R",IF(I368="NOT_CLEAR",XLOOKUP("near_add_step",Calibration!$B:$B,Calibration!$C:$C,0.25),0),0)))</f>
        <v/>
      </c>
      <c r="AU368" s="28" t="str">
        <f t="array" ref="AU368">IF($I368="","",IF(G368="SNELLEN_FEET",IF(I368="READABLE",IFERROR(XLOOKUP(XLOOKUP(R368,Chart_Scale_Distance!B:B,Chart_Scale_Distance!A:A)+1,Chart_Scale_Distance!A:A,Chart_Scale_Distance!B:B),R368),R368),R368))</f>
        <v/>
      </c>
      <c r="AV368" s="28" t="str">
        <f t="array" ref="AV368">IF($I367="","",IFERROR(XLOOKUP(R368,Chart_Scale_Distance!$B:$B,Chart_Scale_Distance!$A:$A,""),""))</f>
        <v/>
      </c>
      <c r="AW368" s="28" t="str">
        <f t="array" ref="AW368">IF($I367="","",IFERROR(XLOOKUP(AA368,Chart_Scale_Distance!$B:$B,Chart_Scale_Distance!$A:$A,""),""))</f>
        <v/>
      </c>
      <c r="AX368" s="28" t="str">
        <f t="shared" si="14"/>
        <v/>
      </c>
      <c r="AY368" s="28" t="str">
        <f t="shared" si="15"/>
        <v/>
      </c>
      <c r="AZ368" s="28" t="str">
        <f t="shared" si="16"/>
        <v/>
      </c>
      <c r="BA368" s="28" t="str">
        <f t="shared" si="17"/>
        <v/>
      </c>
      <c r="BB368" s="28" t="str">
        <f t="shared" si="18"/>
        <v/>
      </c>
      <c r="BC368" s="28" t="str">
        <f t="array" ref="BC368">IF($I368="","",LET(
conf,AI368,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duoMax,XLOOKUP($B368,Derived_Variables!$A:$A,Derived_Variables!$AI:$AI,4),
axisTol,XLOOKUP($B368,Derived_Variables!$A:$A,Derived_Variables!$W:$W,1),
maxStart,XLOOKUP($B368,Derived_Variables!$A:$A,Derived_Variables!$U:$U,1.25),
maxAR,XLOOKUP($B368,Derived_Variables!$A:$A,Derived_Variables!$V:$V,3),
anom,XLOOKUP($B368,Derived_Variables!$A:$A,Derived_Variables!$Z:$Z,FALSE),
reStart,XLOOKUP($B368,Derived_Variables!$A:$A,Derived_Variables!$K:$K,0),
leStart,XLOOKUP($B368,Derived_Variables!$A:$A,Derived_Variables!$N:$N,0),
reAR,XLOOKUP($B368,AR_Input!$A:$A,AR_Input!$B:$B,reStart),
leAR,XLOOKUP($B368,AR_Input!$A:$A,AR_Input!$E:$E,leStart),
reEsc,AND(anom,OR(ABS((S368+AM368)-reStart)&gt;maxStart,ABS((S368+AM368)-reAR)&gt;maxAR)),
leEsc,AND(anom,OR(ABS((V368+AP368)-leStart)&gt;maxStart,ABS((V368+AP368)-leAR)&gt;maxAR)),
phaseMax,IFS(
 AK368="Fast",
   IFS(
     OR(C368="B",C368="D"),XLOOKUP("timeout_coarse_fast",Calibration!$B:$B,Calibration!$C:$C,24),
     OR(C368="E",C368="F",C368="H",C368="I"),XLOOKUP("timeout_jcc_fast",Calibration!$B:$B,Calibration!$C:$C,10),
     OR(C368="G",C368="J"),XLOOKUP("timeout_duochrome_fast",Calibration!$B:$B,Calibration!$C:$C,8),
     C368="K",XLOOKUP("timeout_bino_fast",Calibration!$B:$B,Calibration!$C:$C,10),
     OR(C368="P",C368="Q",C368="R"),XLOOKUP("timeout_near_fast",Calibration!$B:$B,Calibration!$C:$C,16),
     TRUE,XLOOKUP("timeout_coarse_fast",Calibration!$B:$B,Calibration!$C:$C,24)
   ),
 AK368="Normal",
   IFS(
     OR(C368="B",C368="D"),XLOOKUP("timeout_coarse_normal",Calibration!$B:$B,Calibration!$C:$C,36),
     OR(C368="E",C368="F",C368="H",C368="I"),XLOOKUP("timeout_jcc_normal",Calibration!$B:$B,Calibration!$C:$C,14),
     OR(C368="G",C368="J"),XLOOKUP("timeout_duochrome_normal",Calibration!$B:$B,Calibration!$C:$C,10),
     C368="K",XLOOKUP("timeout_bino_normal",Calibration!$B:$B,Calibration!$C:$C,14),
     OR(C368="P",C368="Q",C368="R"),XLOOKUP("timeout_near_normal",Calibration!$B:$B,Calibration!$C:$C,22),
     TRUE,XLOOKUP("timeout_coarse_normal",Calibration!$B:$B,Calibration!$C:$C,36)
   ),
 TRUE,
   IFS(
     OR(C368="B",C368="D"),XLOOKUP("timeout_coarse_slow",Calibration!$B:$B,Calibration!$C:$C,48),
     OR(C368="E",C368="F",C368="H",C368="I"),XLOOKUP("timeout_jcc_slow",Calibration!$B:$B,Calibration!$C:$C,18),
     OR(C368="G",C368="J"),XLOOKUP("timeout_duochrome_slow",Calibration!$B:$B,Calibration!$C:$C,12),
     C368="K",XLOOKUP("timeout_bino_slow",Calibration!$B:$B,Calibration!$C:$C,18),
     OR(C368="P",C368="Q",C368="R"),XLOOKUP("timeout_near_slow",Calibration!$B:$B,Calibration!$C:$C,28),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AJ368=TRUE,"ESCALATE",
C368="A",
IF(OR(I368="NOT_READABLE",I368="BLURRY",AND(R368="20_20_20",I368="READABLE")),"B","A"),
C368="B",
IF(reEsc,"ESCALATE",IF(AY368&gt;=phaseMax,"ESCALATE",IF(AND(AV368&gt;=AW368,I368="READABLE"),"E","B"))),
C368="E",
IF(AY368&gt;=phaseMax,"ESCALATE",IF(OR(I368="SAME",I368="CANT_TELL",AD368&lt;axisTol),"F","E")),
C368="F",
IF(AY368&gt;=phaseMax,"ESCALATE",IF(AX368&gt;=powerSameN,"G","F")),
C368="G",
IF(AY368&gt;=phaseMax,"ESCALATE",IF(OR(AX368&gt;=duoEqualN,BB368&gt;=duoMax),"D","G")),
C368="D",
IF(leEsc,"ESCALATE",IF(AY368&gt;=phaseMax,"ESCALATE",IF(AND(AV368&gt;=AW368,I368="READABLE"),"H","D"))),
C368="H",
IF(AY368&gt;=phaseMax,"ESCALATE",IF(OR(I368="SAME",I368="CANT_TELL",AD368&lt;axisTol),"I","H")),
C368="I",
IF(AY368&gt;=phaseMax,"ESCALATE",IF(AX368&gt;=powerSameN,"J","I")),
C368="J",
IF(AY368&gt;=phaseMax,"ESCALATE",IF(OR(AX368&gt;=duoEqualN,BB368&gt;=duoMax),"K","J")),
C368="K",
IF(AY368&gt;=phaseMax,"ESCALATE",IF(AX368&gt;=binoSameN,IF(XLOOKUP($B368,Derived_Variables!$A:$A,Derived_Variables!$AJ:$AJ,FALSE)=TRUE,"P","END"),"K")),
C368="P",
IF(AY368&gt;=phaseMax,"ESCALATE",IF(OR(I368="READABLE",I368="SAME"),"Q","P")),
C368="Q",
IF(AY368&gt;=phaseMax,"ESCALATE",IF(OR(I368="READABLE",I368="SAME"),"R","Q")),
C368="R",
IF(AY368&gt;=phaseMax,"ESCALATE",IF(OR(I368=nearTarget,I368="SAME"),"END","R")),
TRUE,"END"
)))</f>
        <v/>
      </c>
      <c r="BD368" s="28" t="b">
        <f t="shared" si="19"/>
        <v>0</v>
      </c>
    </row>
    <row r="369" ht="15.75" customHeight="1">
      <c r="A369" s="28">
        <f t="shared" si="3"/>
        <v>368</v>
      </c>
      <c r="B369" s="28">
        <f t="shared" si="4"/>
        <v>6</v>
      </c>
      <c r="C369" s="28" t="str">
        <f t="shared" si="5"/>
        <v/>
      </c>
      <c r="D369" s="28" t="str">
        <f t="array" ref="D369">IF($I368="","",XLOOKUP(C369,FSM_State_Map!A:A,FSM_State_Map!B:B,""))</f>
        <v/>
      </c>
      <c r="E369" s="28" t="str">
        <f t="array" ref="E369">IF($I368="","",XLOOKUP(C369,FSM_State_Map!A:A,FSM_State_Map!C:C,""))</f>
        <v/>
      </c>
      <c r="F369" s="28" t="str">
        <f t="array" ref="F369">IF($I368="","",XLOOKUP(E369,Phase_UI_Map!A:A,Phase_UI_Map!B:B,""))</f>
        <v/>
      </c>
      <c r="G369" s="28" t="str">
        <f t="array" ref="G369">IF($I368="","",XLOOKUP(E369,Phase_UI_Map!A:A,Phase_UI_Map!C:C,""))</f>
        <v/>
      </c>
      <c r="H369" s="28" t="str">
        <f t="array" ref="H369">IF($I368="","",XLOOKUP(E369,Phase_UI_Map!A:A,Phase_UI_Map!D:D,""))</f>
        <v/>
      </c>
      <c r="I369" s="29"/>
      <c r="J369" s="28" t="str">
        <f>IFERROR(__xludf.DUMMYFUNCTION("IF($I368="""","""",IFERROR(INDEX(FILTER(Response_Lists!$B:$B,Response_Lists!$A:$A=$H369),1),""""))"),"")</f>
        <v/>
      </c>
      <c r="K369" s="28" t="str">
        <f>IFERROR(__xludf.DUMMYFUNCTION("IF($I368="""","""",IFERROR(INDEX(FILTER(Response_Lists!$B:$B,Response_Lists!$A:$A=$H369),2),""""))"),"")</f>
        <v/>
      </c>
      <c r="L369" s="28" t="str">
        <f>IFERROR(__xludf.DUMMYFUNCTION("IF($I368="""","""",IFERROR(INDEX(FILTER(Response_Lists!$B:$B,Response_Lists!$A:$A=$H369),3),""""))"),"")</f>
        <v/>
      </c>
      <c r="M369" s="28" t="str">
        <f>IFERROR(__xludf.DUMMYFUNCTION("IF($I368="""","""",IFERROR(INDEX(FILTER(Response_Lists!$B:$B,Response_Lists!$A:$A=$H369),4),""""))"),"")</f>
        <v/>
      </c>
      <c r="N369" s="28" t="str">
        <f>IFERROR(__xludf.DUMMYFUNCTION("IF($I368="""","""",IFERROR(INDEX(FILTER(Response_Lists!$B:$B,Response_Lists!$A:$A=$H369),5),""""))"),"")</f>
        <v/>
      </c>
      <c r="O369" s="28" t="str">
        <f>IFERROR(__xludf.DUMMYFUNCTION("IF($I368="""","""",IFERROR(INDEX(FILTER(Response_Lists!$B:$B,Response_Lists!$A:$A=$H369),6),""""))"),"")</f>
        <v/>
      </c>
      <c r="P369" s="28" t="str">
        <f t="shared" si="6"/>
        <v/>
      </c>
      <c r="Q369" s="28" t="str">
        <f t="array" ref="Q369">IF($I368="","",XLOOKUP(C369,FSM_State_Map!A:A,FSM_State_Map!D:D,""))</f>
        <v/>
      </c>
      <c r="R369" s="28" t="str">
        <f t="shared" si="7"/>
        <v/>
      </c>
      <c r="S369" s="28" t="str">
        <f t="array" ref="S369">IF($I368="","",
IF(
  AND(C369="B",C368&lt;&gt;"B"),
  XLOOKUP($B369,Derived_Variables!$A:$A,Derived_Variables!$K:$K,0)
  + XLOOKUP($B369,Derived_Variables!$A:$A,Derived_Variables!$AE:$AE,0),
  S368+AM368
))</f>
        <v/>
      </c>
      <c r="T369" s="28" t="str">
        <f t="shared" ref="T369:U369" si="748">IF($I368="","",T368+AN368)</f>
        <v/>
      </c>
      <c r="U369" s="28" t="str">
        <f t="shared" si="748"/>
        <v/>
      </c>
      <c r="V369" s="28" t="str">
        <f t="array" ref="V369">IF($I368="","",
IF(
  AND(C369="D",C368&lt;&gt;"D"),
  XLOOKUP($B369,Derived_Variables!$A:$A,Derived_Variables!$N:$N,0)
  + XLOOKUP($B369,Derived_Variables!$A:$A,Derived_Variables!$AE:$AE,0),
  V368+AP368
))</f>
        <v/>
      </c>
      <c r="W369" s="28" t="str">
        <f t="shared" ref="W369:X369" si="749">IF($I368="","",W368+AQ368)</f>
        <v/>
      </c>
      <c r="X369" s="28" t="str">
        <f t="shared" si="749"/>
        <v/>
      </c>
      <c r="Y369" s="28" t="str">
        <f t="array" ref="Y369">IF($I368="","",IF(AND(C369="P",C368&lt;&gt;"P"),IFERROR(XLOOKUP($B369,Lenso_Input!$A:$A,Lenso_Input!$E:$E,0),0),Y368+AS368))</f>
        <v/>
      </c>
      <c r="Z369" s="28" t="str">
        <f t="array" ref="Z369">IF($I368="","",IF(AND(C369="Q",C368&lt;&gt;"Q"),IFERROR(XLOOKUP($B369,Lenso_Input!$A:$A,Lenso_Input!$I:$I,0),0),Z368+AT368))</f>
        <v/>
      </c>
      <c r="AA369" s="28" t="str">
        <f t="array" ref="AA369">IF($I368="","",IF(XLOOKUP($B369,Derived_Variables!$A:$A,Derived_Variables!$R:$R,"6/6_target")="6/6_target","20_20_20","40_30_25"))</f>
        <v/>
      </c>
      <c r="AB369" s="28" t="str">
        <f t="array" ref="AB369">IF($I368="","",XLOOKUP(LOWER(XLOOKUP($B369,Derived_Variables!$A:$A,Derived_Variables!$T:$T,"Standard"))&amp;"_sph_step",Calibration!$B:$B,Calibration!$C:$C,0.25))</f>
        <v/>
      </c>
      <c r="AC369" s="28" t="str">
        <f t="array" ref="AC369">IF($I368="","",XLOOKUP(LOWER(XLOOKUP($B369,Derived_Variables!$A:$A,Derived_Variables!$T:$T,"Standard"))&amp;"_cyl_step",Calibration!$B:$B,Calibration!$C:$C,0.25))</f>
        <v/>
      </c>
      <c r="AD369" s="28" t="str">
        <f t="array" ref="AD369">IF($I368="","",IF(OR(C369="E",C369="H"),LET(startStep,XLOOKUP("axis_start_step",Calibration!$B:$B,Calibration!$C:$C,5),step1,XLOOKUP("axis_reversal_step_1",Calibration!$B:$B,Calibration!$C:$C,3),step2,XLOOKUP("axis_reversal_step_2",Calibration!$B:$B,Calibration!$C:$C,1),IF(OR(C368&lt;&gt;C369,AZ369="",AZ369="SAME",AZ369="CANT_TELL",I369="",I369="SAME",I369="CANT_TELL"),startStep,IF(OR(AND(AZ369="BETTER_1",I369="BETTER_2"),AND(AZ369="BETTER_2",I369="BETTER_1")),IF(AD368&gt;step1,step1,step2),AD368))),0))</f>
        <v/>
      </c>
      <c r="AE369" s="28" t="str">
        <f t="array" ref="AE369">IF($I368="","",XLOOKUP($B369,Derived_Variables!$A:$A,Derived_Variables!$AD:$AD,"No_Fog"))</f>
        <v/>
      </c>
      <c r="AF369" s="28" t="str">
        <f t="array" ref="AF369">IF($I368="","",XLOOKUP($B369,Derived_Variables!$A:$A,Derived_Variables!$AE:$AE,0))</f>
        <v/>
      </c>
      <c r="AG369" s="28" t="str">
        <f t="array" ref="AG369">IF($I368="","",XLOOKUP($B369,Derived_Variables!$A:$A,Derived_Variables!$AF:$AF,""))</f>
        <v/>
      </c>
      <c r="AH369" s="28" t="str">
        <f t="array" ref="AH369">IF($I368="","",XLOOKUP($B369,Derived_Variables!$A:$A,Derived_Variables!$AG:$AG,""))</f>
        <v/>
      </c>
      <c r="AI369" s="28" t="str">
        <f t="array" ref="AI369">IF($I368="","",XLOOKUP($B369,Derived_Variables!$A:$A,Derived_Variables!$AC:$AC,"Medium"))</f>
        <v/>
      </c>
      <c r="AJ369" s="28" t="str">
        <f t="array" ref="AJ369">IF($I368="","",XLOOKUP($B369,Derived_Variables!$A:$A,Derived_Variables!$Y:$Y,FALSE))</f>
        <v/>
      </c>
      <c r="AK369" s="28" t="str">
        <f t="array" ref="AK369">IF($I368="","",XLOOKUP($B369,Derived_Variables!$A:$A,Derived_Variables!$AA:$AA,"Normal"))</f>
        <v/>
      </c>
      <c r="AL369" s="28" t="str">
        <f t="array" ref="AL369">IF($I368="","",XLOOKUP($B369,Derived_Variables!$A:$A,Derived_Variables!$AB:$AB,"Normal"))</f>
        <v/>
      </c>
      <c r="AM369" s="28" t="str">
        <f t="array" ref="AM369">IF($I369="","",IFS(C369="B",IF(OR(I369="NOT_READABLE",I369="BLURRY"),-AB369,0),C369="G",IFS(I369="RED_CLEARER",XLOOKUP("duochrome_red_step",Calibration!$B:$B,Calibration!$C:$C,-0.25),I369="GREEN_CLEARER",XLOOKUP("duochrome_green_step",Calibration!$B:$B,Calibration!$C:$C,0.25),I369="EQUAL",IF(XLOOKUP($B369,Derived_Variables!$A:$A,Derived_Variables!$S:$S,"Neutral")="Undercorrect",XLOOKUP("undercorrect_step",Calibration!$B:$B,Calibration!$C:$C,0.25),IF(XLOOKUP($B369,Derived_Variables!$A:$A,Derived_Variables!$S:$S,"Neutral")="Overcorrect",-XLOOKUP("overcorrect_step",Calibration!$B:$B,Calibration!$C:$C,0.25),0)),TRUE,0),C369="K",IF(I369="TOP_CLEARER",XLOOKUP("bino_balance_step",Calibration!$B:$B,Calibration!$C:$C,0.25),0),TRUE,0))</f>
        <v/>
      </c>
      <c r="AN369" s="28" t="str">
        <f t="shared" si="10"/>
        <v/>
      </c>
      <c r="AO369" s="28" t="str">
        <f t="shared" si="11"/>
        <v/>
      </c>
      <c r="AP369" s="28" t="str">
        <f t="array" ref="AP369">IF($I369="","",IFS(C369="D",IF(OR(I369="NOT_READABLE",I369="BLURRY"),-AB369,0),C369="J",IFS(I369="RED_CLEARER",XLOOKUP("duochrome_red_step",Calibration!$B:$B,Calibration!$C:$C,-0.25),I369="GREEN_CLEARER",XLOOKUP("duochrome_green_step",Calibration!$B:$B,Calibration!$C:$C,0.25),I369="EQUAL",IF(XLOOKUP($B369,Derived_Variables!$A:$A,Derived_Variables!$S:$S,"Neutral")="Undercorrect",XLOOKUP("undercorrect_step",Calibration!$B:$B,Calibration!$C:$C,0.25),IF(XLOOKUP($B369,Derived_Variables!$A:$A,Derived_Variables!$S:$S,"Neutral")="Overcorrect",-XLOOKUP("overcorrect_step",Calibration!$B:$B,Calibration!$C:$C,0.25),0)),TRUE,0),C369="K",IF(I369="BOTTOM_CLEARER",XLOOKUP("bino_balance_step",Calibration!$B:$B,Calibration!$C:$C,0.25),0),TRUE,0))</f>
        <v/>
      </c>
      <c r="AQ369" s="28" t="str">
        <f t="shared" si="12"/>
        <v/>
      </c>
      <c r="AR369" s="28" t="str">
        <f t="shared" si="13"/>
        <v/>
      </c>
      <c r="AS369" s="28" t="str">
        <f t="array" ref="AS369">IF($I369="","",IF(C369="P",IF(OR(I369="NOT_READABLE",I369="BLURRY"),XLOOKUP("near_add_step",Calibration!$B:$B,Calibration!$C:$C,0.25),0),IF(C369="R",IF(I369="NOT_CLEAR",XLOOKUP("near_add_step",Calibration!$B:$B,Calibration!$C:$C,0.25),0),0)))</f>
        <v/>
      </c>
      <c r="AT369" s="28" t="str">
        <f t="array" ref="AT369">IF($I369="","",IF(C369="Q",IF(OR(I369="NOT_READABLE",I369="BLURRY"),XLOOKUP("near_add_step",Calibration!$B:$B,Calibration!$C:$C,0.25),0),IF(C369="R",IF(I369="NOT_CLEAR",XLOOKUP("near_add_step",Calibration!$B:$B,Calibration!$C:$C,0.25),0),0)))</f>
        <v/>
      </c>
      <c r="AU369" s="28" t="str">
        <f t="array" ref="AU369">IF($I369="","",IF(G369="SNELLEN_FEET",IF(I369="READABLE",IFERROR(XLOOKUP(XLOOKUP(R369,Chart_Scale_Distance!B:B,Chart_Scale_Distance!A:A)+1,Chart_Scale_Distance!A:A,Chart_Scale_Distance!B:B),R369),R369),R369))</f>
        <v/>
      </c>
      <c r="AV369" s="28" t="str">
        <f t="array" ref="AV369">IF($I368="","",IFERROR(XLOOKUP(R369,Chart_Scale_Distance!$B:$B,Chart_Scale_Distance!$A:$A,""),""))</f>
        <v/>
      </c>
      <c r="AW369" s="28" t="str">
        <f t="array" ref="AW369">IF($I368="","",IFERROR(XLOOKUP(AA369,Chart_Scale_Distance!$B:$B,Chart_Scale_Distance!$A:$A,""),""))</f>
        <v/>
      </c>
      <c r="AX369" s="28" t="str">
        <f t="shared" si="14"/>
        <v/>
      </c>
      <c r="AY369" s="28" t="str">
        <f t="shared" si="15"/>
        <v/>
      </c>
      <c r="AZ369" s="28" t="str">
        <f t="shared" si="16"/>
        <v/>
      </c>
      <c r="BA369" s="28" t="str">
        <f t="shared" si="17"/>
        <v/>
      </c>
      <c r="BB369" s="28" t="str">
        <f t="shared" si="18"/>
        <v/>
      </c>
      <c r="BC369" s="28" t="str">
        <f t="array" ref="BC369">IF($I369="","",LET(
conf,AI369,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duoMax,XLOOKUP($B369,Derived_Variables!$A:$A,Derived_Variables!$AI:$AI,4),
axisTol,XLOOKUP($B369,Derived_Variables!$A:$A,Derived_Variables!$W:$W,1),
maxStart,XLOOKUP($B369,Derived_Variables!$A:$A,Derived_Variables!$U:$U,1.25),
maxAR,XLOOKUP($B369,Derived_Variables!$A:$A,Derived_Variables!$V:$V,3),
anom,XLOOKUP($B369,Derived_Variables!$A:$A,Derived_Variables!$Z:$Z,FALSE),
reStart,XLOOKUP($B369,Derived_Variables!$A:$A,Derived_Variables!$K:$K,0),
leStart,XLOOKUP($B369,Derived_Variables!$A:$A,Derived_Variables!$N:$N,0),
reAR,XLOOKUP($B369,AR_Input!$A:$A,AR_Input!$B:$B,reStart),
leAR,XLOOKUP($B369,AR_Input!$A:$A,AR_Input!$E:$E,leStart),
reEsc,AND(anom,OR(ABS((S369+AM369)-reStart)&gt;maxStart,ABS((S369+AM369)-reAR)&gt;maxAR)),
leEsc,AND(anom,OR(ABS((V369+AP369)-leStart)&gt;maxStart,ABS((V369+AP369)-leAR)&gt;maxAR)),
phaseMax,IFS(
 AK369="Fast",
   IFS(
     OR(C369="B",C369="D"),XLOOKUP("timeout_coarse_fast",Calibration!$B:$B,Calibration!$C:$C,24),
     OR(C369="E",C369="F",C369="H",C369="I"),XLOOKUP("timeout_jcc_fast",Calibration!$B:$B,Calibration!$C:$C,10),
     OR(C369="G",C369="J"),XLOOKUP("timeout_duochrome_fast",Calibration!$B:$B,Calibration!$C:$C,8),
     C369="K",XLOOKUP("timeout_bino_fast",Calibration!$B:$B,Calibration!$C:$C,10),
     OR(C369="P",C369="Q",C369="R"),XLOOKUP("timeout_near_fast",Calibration!$B:$B,Calibration!$C:$C,16),
     TRUE,XLOOKUP("timeout_coarse_fast",Calibration!$B:$B,Calibration!$C:$C,24)
   ),
 AK369="Normal",
   IFS(
     OR(C369="B",C369="D"),XLOOKUP("timeout_coarse_normal",Calibration!$B:$B,Calibration!$C:$C,36),
     OR(C369="E",C369="F",C369="H",C369="I"),XLOOKUP("timeout_jcc_normal",Calibration!$B:$B,Calibration!$C:$C,14),
     OR(C369="G",C369="J"),XLOOKUP("timeout_duochrome_normal",Calibration!$B:$B,Calibration!$C:$C,10),
     C369="K",XLOOKUP("timeout_bino_normal",Calibration!$B:$B,Calibration!$C:$C,14),
     OR(C369="P",C369="Q",C369="R"),XLOOKUP("timeout_near_normal",Calibration!$B:$B,Calibration!$C:$C,22),
     TRUE,XLOOKUP("timeout_coarse_normal",Calibration!$B:$B,Calibration!$C:$C,36)
   ),
 TRUE,
   IFS(
     OR(C369="B",C369="D"),XLOOKUP("timeout_coarse_slow",Calibration!$B:$B,Calibration!$C:$C,48),
     OR(C369="E",C369="F",C369="H",C369="I"),XLOOKUP("timeout_jcc_slow",Calibration!$B:$B,Calibration!$C:$C,18),
     OR(C369="G",C369="J"),XLOOKUP("timeout_duochrome_slow",Calibration!$B:$B,Calibration!$C:$C,12),
     C369="K",XLOOKUP("timeout_bino_slow",Calibration!$B:$B,Calibration!$C:$C,18),
     OR(C369="P",C369="Q",C369="R"),XLOOKUP("timeout_near_slow",Calibration!$B:$B,Calibration!$C:$C,28),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AJ369=TRUE,"ESCALATE",
C369="A",
IF(OR(I369="NOT_READABLE",I369="BLURRY",AND(R369="20_20_20",I369="READABLE")),"B","A"),
C369="B",
IF(reEsc,"ESCALATE",IF(AY369&gt;=phaseMax,"ESCALATE",IF(AND(AV369&gt;=AW369,I369="READABLE"),"E","B"))),
C369="E",
IF(AY369&gt;=phaseMax,"ESCALATE",IF(OR(I369="SAME",I369="CANT_TELL",AD369&lt;axisTol),"F","E")),
C369="F",
IF(AY369&gt;=phaseMax,"ESCALATE",IF(AX369&gt;=powerSameN,"G","F")),
C369="G",
IF(AY369&gt;=phaseMax,"ESCALATE",IF(OR(AX369&gt;=duoEqualN,BB369&gt;=duoMax),"D","G")),
C369="D",
IF(leEsc,"ESCALATE",IF(AY369&gt;=phaseMax,"ESCALATE",IF(AND(AV369&gt;=AW369,I369="READABLE"),"H","D"))),
C369="H",
IF(AY369&gt;=phaseMax,"ESCALATE",IF(OR(I369="SAME",I369="CANT_TELL",AD369&lt;axisTol),"I","H")),
C369="I",
IF(AY369&gt;=phaseMax,"ESCALATE",IF(AX369&gt;=powerSameN,"J","I")),
C369="J",
IF(AY369&gt;=phaseMax,"ESCALATE",IF(OR(AX369&gt;=duoEqualN,BB369&gt;=duoMax),"K","J")),
C369="K",
IF(AY369&gt;=phaseMax,"ESCALATE",IF(AX369&gt;=binoSameN,IF(XLOOKUP($B369,Derived_Variables!$A:$A,Derived_Variables!$AJ:$AJ,FALSE)=TRUE,"P","END"),"K")),
C369="P",
IF(AY369&gt;=phaseMax,"ESCALATE",IF(OR(I369="READABLE",I369="SAME"),"Q","P")),
C369="Q",
IF(AY369&gt;=phaseMax,"ESCALATE",IF(OR(I369="READABLE",I369="SAME"),"R","Q")),
C369="R",
IF(AY369&gt;=phaseMax,"ESCALATE",IF(OR(I369=nearTarget,I369="SAME"),"END","R")),
TRUE,"END"
)))</f>
        <v/>
      </c>
      <c r="BD369" s="28" t="b">
        <f t="shared" si="19"/>
        <v>0</v>
      </c>
    </row>
    <row r="370" ht="15.75" customHeight="1">
      <c r="A370" s="28">
        <f t="shared" si="3"/>
        <v>369</v>
      </c>
      <c r="B370" s="28">
        <f t="shared" si="4"/>
        <v>6</v>
      </c>
      <c r="C370" s="28" t="str">
        <f t="shared" si="5"/>
        <v/>
      </c>
      <c r="D370" s="28" t="str">
        <f t="array" ref="D370">IF($I369="","",XLOOKUP(C370,FSM_State_Map!A:A,FSM_State_Map!B:B,""))</f>
        <v/>
      </c>
      <c r="E370" s="28" t="str">
        <f t="array" ref="E370">IF($I369="","",XLOOKUP(C370,FSM_State_Map!A:A,FSM_State_Map!C:C,""))</f>
        <v/>
      </c>
      <c r="F370" s="28" t="str">
        <f t="array" ref="F370">IF($I369="","",XLOOKUP(E370,Phase_UI_Map!A:A,Phase_UI_Map!B:B,""))</f>
        <v/>
      </c>
      <c r="G370" s="28" t="str">
        <f t="array" ref="G370">IF($I369="","",XLOOKUP(E370,Phase_UI_Map!A:A,Phase_UI_Map!C:C,""))</f>
        <v/>
      </c>
      <c r="H370" s="28" t="str">
        <f t="array" ref="H370">IF($I369="","",XLOOKUP(E370,Phase_UI_Map!A:A,Phase_UI_Map!D:D,""))</f>
        <v/>
      </c>
      <c r="I370" s="29"/>
      <c r="J370" s="28" t="str">
        <f>IFERROR(__xludf.DUMMYFUNCTION("IF($I369="""","""",IFERROR(INDEX(FILTER(Response_Lists!$B:$B,Response_Lists!$A:$A=$H370),1),""""))"),"")</f>
        <v/>
      </c>
      <c r="K370" s="28" t="str">
        <f>IFERROR(__xludf.DUMMYFUNCTION("IF($I369="""","""",IFERROR(INDEX(FILTER(Response_Lists!$B:$B,Response_Lists!$A:$A=$H370),2),""""))"),"")</f>
        <v/>
      </c>
      <c r="L370" s="28" t="str">
        <f>IFERROR(__xludf.DUMMYFUNCTION("IF($I369="""","""",IFERROR(INDEX(FILTER(Response_Lists!$B:$B,Response_Lists!$A:$A=$H370),3),""""))"),"")</f>
        <v/>
      </c>
      <c r="M370" s="28" t="str">
        <f>IFERROR(__xludf.DUMMYFUNCTION("IF($I369="""","""",IFERROR(INDEX(FILTER(Response_Lists!$B:$B,Response_Lists!$A:$A=$H370),4),""""))"),"")</f>
        <v/>
      </c>
      <c r="N370" s="28" t="str">
        <f>IFERROR(__xludf.DUMMYFUNCTION("IF($I369="""","""",IFERROR(INDEX(FILTER(Response_Lists!$B:$B,Response_Lists!$A:$A=$H370),5),""""))"),"")</f>
        <v/>
      </c>
      <c r="O370" s="28" t="str">
        <f>IFERROR(__xludf.DUMMYFUNCTION("IF($I369="""","""",IFERROR(INDEX(FILTER(Response_Lists!$B:$B,Response_Lists!$A:$A=$H370),6),""""))"),"")</f>
        <v/>
      </c>
      <c r="P370" s="28" t="str">
        <f t="shared" si="6"/>
        <v/>
      </c>
      <c r="Q370" s="28" t="str">
        <f t="array" ref="Q370">IF($I369="","",XLOOKUP(C370,FSM_State_Map!A:A,FSM_State_Map!D:D,""))</f>
        <v/>
      </c>
      <c r="R370" s="28" t="str">
        <f t="shared" si="7"/>
        <v/>
      </c>
      <c r="S370" s="28" t="str">
        <f t="array" ref="S370">IF($I369="","",
IF(
  AND(C370="B",C369&lt;&gt;"B"),
  XLOOKUP($B370,Derived_Variables!$A:$A,Derived_Variables!$K:$K,0)
  + XLOOKUP($B370,Derived_Variables!$A:$A,Derived_Variables!$AE:$AE,0),
  S369+AM369
))</f>
        <v/>
      </c>
      <c r="T370" s="28" t="str">
        <f t="shared" ref="T370:U370" si="750">IF($I369="","",T369+AN369)</f>
        <v/>
      </c>
      <c r="U370" s="28" t="str">
        <f t="shared" si="750"/>
        <v/>
      </c>
      <c r="V370" s="28" t="str">
        <f t="array" ref="V370">IF($I369="","",
IF(
  AND(C370="D",C369&lt;&gt;"D"),
  XLOOKUP($B370,Derived_Variables!$A:$A,Derived_Variables!$N:$N,0)
  + XLOOKUP($B370,Derived_Variables!$A:$A,Derived_Variables!$AE:$AE,0),
  V369+AP369
))</f>
        <v/>
      </c>
      <c r="W370" s="28" t="str">
        <f t="shared" ref="W370:X370" si="751">IF($I369="","",W369+AQ369)</f>
        <v/>
      </c>
      <c r="X370" s="28" t="str">
        <f t="shared" si="751"/>
        <v/>
      </c>
      <c r="Y370" s="28" t="str">
        <f t="array" ref="Y370">IF($I369="","",IF(AND(C370="P",C369&lt;&gt;"P"),IFERROR(XLOOKUP($B370,Lenso_Input!$A:$A,Lenso_Input!$E:$E,0),0),Y369+AS369))</f>
        <v/>
      </c>
      <c r="Z370" s="28" t="str">
        <f t="array" ref="Z370">IF($I369="","",IF(AND(C370="Q",C369&lt;&gt;"Q"),IFERROR(XLOOKUP($B370,Lenso_Input!$A:$A,Lenso_Input!$I:$I,0),0),Z369+AT369))</f>
        <v/>
      </c>
      <c r="AA370" s="28" t="str">
        <f t="array" ref="AA370">IF($I369="","",IF(XLOOKUP($B370,Derived_Variables!$A:$A,Derived_Variables!$R:$R,"6/6_target")="6/6_target","20_20_20","40_30_25"))</f>
        <v/>
      </c>
      <c r="AB370" s="28" t="str">
        <f t="array" ref="AB370">IF($I369="","",XLOOKUP(LOWER(XLOOKUP($B370,Derived_Variables!$A:$A,Derived_Variables!$T:$T,"Standard"))&amp;"_sph_step",Calibration!$B:$B,Calibration!$C:$C,0.25))</f>
        <v/>
      </c>
      <c r="AC370" s="28" t="str">
        <f t="array" ref="AC370">IF($I369="","",XLOOKUP(LOWER(XLOOKUP($B370,Derived_Variables!$A:$A,Derived_Variables!$T:$T,"Standard"))&amp;"_cyl_step",Calibration!$B:$B,Calibration!$C:$C,0.25))</f>
        <v/>
      </c>
      <c r="AD370" s="28" t="str">
        <f t="array" ref="AD370">IF($I369="","",IF(OR(C370="E",C370="H"),LET(startStep,XLOOKUP("axis_start_step",Calibration!$B:$B,Calibration!$C:$C,5),step1,XLOOKUP("axis_reversal_step_1",Calibration!$B:$B,Calibration!$C:$C,3),step2,XLOOKUP("axis_reversal_step_2",Calibration!$B:$B,Calibration!$C:$C,1),IF(OR(C369&lt;&gt;C370,AZ370="",AZ370="SAME",AZ370="CANT_TELL",I370="",I370="SAME",I370="CANT_TELL"),startStep,IF(OR(AND(AZ370="BETTER_1",I370="BETTER_2"),AND(AZ370="BETTER_2",I370="BETTER_1")),IF(AD369&gt;step1,step1,step2),AD369))),0))</f>
        <v/>
      </c>
      <c r="AE370" s="28" t="str">
        <f t="array" ref="AE370">IF($I369="","",XLOOKUP($B370,Derived_Variables!$A:$A,Derived_Variables!$AD:$AD,"No_Fog"))</f>
        <v/>
      </c>
      <c r="AF370" s="28" t="str">
        <f t="array" ref="AF370">IF($I369="","",XLOOKUP($B370,Derived_Variables!$A:$A,Derived_Variables!$AE:$AE,0))</f>
        <v/>
      </c>
      <c r="AG370" s="28" t="str">
        <f t="array" ref="AG370">IF($I369="","",XLOOKUP($B370,Derived_Variables!$A:$A,Derived_Variables!$AF:$AF,""))</f>
        <v/>
      </c>
      <c r="AH370" s="28" t="str">
        <f t="array" ref="AH370">IF($I369="","",XLOOKUP($B370,Derived_Variables!$A:$A,Derived_Variables!$AG:$AG,""))</f>
        <v/>
      </c>
      <c r="AI370" s="28" t="str">
        <f t="array" ref="AI370">IF($I369="","",XLOOKUP($B370,Derived_Variables!$A:$A,Derived_Variables!$AC:$AC,"Medium"))</f>
        <v/>
      </c>
      <c r="AJ370" s="28" t="str">
        <f t="array" ref="AJ370">IF($I369="","",XLOOKUP($B370,Derived_Variables!$A:$A,Derived_Variables!$Y:$Y,FALSE))</f>
        <v/>
      </c>
      <c r="AK370" s="28" t="str">
        <f t="array" ref="AK370">IF($I369="","",XLOOKUP($B370,Derived_Variables!$A:$A,Derived_Variables!$AA:$AA,"Normal"))</f>
        <v/>
      </c>
      <c r="AL370" s="28" t="str">
        <f t="array" ref="AL370">IF($I369="","",XLOOKUP($B370,Derived_Variables!$A:$A,Derived_Variables!$AB:$AB,"Normal"))</f>
        <v/>
      </c>
      <c r="AM370" s="28" t="str">
        <f t="array" ref="AM370">IF($I370="","",IFS(C370="B",IF(OR(I370="NOT_READABLE",I370="BLURRY"),-AB370,0),C370="G",IFS(I370="RED_CLEARER",XLOOKUP("duochrome_red_step",Calibration!$B:$B,Calibration!$C:$C,-0.25),I370="GREEN_CLEARER",XLOOKUP("duochrome_green_step",Calibration!$B:$B,Calibration!$C:$C,0.25),I370="EQUAL",IF(XLOOKUP($B370,Derived_Variables!$A:$A,Derived_Variables!$S:$S,"Neutral")="Undercorrect",XLOOKUP("undercorrect_step",Calibration!$B:$B,Calibration!$C:$C,0.25),IF(XLOOKUP($B370,Derived_Variables!$A:$A,Derived_Variables!$S:$S,"Neutral")="Overcorrect",-XLOOKUP("overcorrect_step",Calibration!$B:$B,Calibration!$C:$C,0.25),0)),TRUE,0),C370="K",IF(I370="TOP_CLEARER",XLOOKUP("bino_balance_step",Calibration!$B:$B,Calibration!$C:$C,0.25),0),TRUE,0))</f>
        <v/>
      </c>
      <c r="AN370" s="28" t="str">
        <f t="shared" si="10"/>
        <v/>
      </c>
      <c r="AO370" s="28" t="str">
        <f t="shared" si="11"/>
        <v/>
      </c>
      <c r="AP370" s="28" t="str">
        <f t="array" ref="AP370">IF($I370="","",IFS(C370="D",IF(OR(I370="NOT_READABLE",I370="BLURRY"),-AB370,0),C370="J",IFS(I370="RED_CLEARER",XLOOKUP("duochrome_red_step",Calibration!$B:$B,Calibration!$C:$C,-0.25),I370="GREEN_CLEARER",XLOOKUP("duochrome_green_step",Calibration!$B:$B,Calibration!$C:$C,0.25),I370="EQUAL",IF(XLOOKUP($B370,Derived_Variables!$A:$A,Derived_Variables!$S:$S,"Neutral")="Undercorrect",XLOOKUP("undercorrect_step",Calibration!$B:$B,Calibration!$C:$C,0.25),IF(XLOOKUP($B370,Derived_Variables!$A:$A,Derived_Variables!$S:$S,"Neutral")="Overcorrect",-XLOOKUP("overcorrect_step",Calibration!$B:$B,Calibration!$C:$C,0.25),0)),TRUE,0),C370="K",IF(I370="BOTTOM_CLEARER",XLOOKUP("bino_balance_step",Calibration!$B:$B,Calibration!$C:$C,0.25),0),TRUE,0))</f>
        <v/>
      </c>
      <c r="AQ370" s="28" t="str">
        <f t="shared" si="12"/>
        <v/>
      </c>
      <c r="AR370" s="28" t="str">
        <f t="shared" si="13"/>
        <v/>
      </c>
      <c r="AS370" s="28" t="str">
        <f t="array" ref="AS370">IF($I370="","",IF(C370="P",IF(OR(I370="NOT_READABLE",I370="BLURRY"),XLOOKUP("near_add_step",Calibration!$B:$B,Calibration!$C:$C,0.25),0),IF(C370="R",IF(I370="NOT_CLEAR",XLOOKUP("near_add_step",Calibration!$B:$B,Calibration!$C:$C,0.25),0),0)))</f>
        <v/>
      </c>
      <c r="AT370" s="28" t="str">
        <f t="array" ref="AT370">IF($I370="","",IF(C370="Q",IF(OR(I370="NOT_READABLE",I370="BLURRY"),XLOOKUP("near_add_step",Calibration!$B:$B,Calibration!$C:$C,0.25),0),IF(C370="R",IF(I370="NOT_CLEAR",XLOOKUP("near_add_step",Calibration!$B:$B,Calibration!$C:$C,0.25),0),0)))</f>
        <v/>
      </c>
      <c r="AU370" s="28" t="str">
        <f t="array" ref="AU370">IF($I370="","",IF(G370="SNELLEN_FEET",IF(I370="READABLE",IFERROR(XLOOKUP(XLOOKUP(R370,Chart_Scale_Distance!B:B,Chart_Scale_Distance!A:A)+1,Chart_Scale_Distance!A:A,Chart_Scale_Distance!B:B),R370),R370),R370))</f>
        <v/>
      </c>
      <c r="AV370" s="28" t="str">
        <f t="array" ref="AV370">IF($I369="","",IFERROR(XLOOKUP(R370,Chart_Scale_Distance!$B:$B,Chart_Scale_Distance!$A:$A,""),""))</f>
        <v/>
      </c>
      <c r="AW370" s="28" t="str">
        <f t="array" ref="AW370">IF($I369="","",IFERROR(XLOOKUP(AA370,Chart_Scale_Distance!$B:$B,Chart_Scale_Distance!$A:$A,""),""))</f>
        <v/>
      </c>
      <c r="AX370" s="28" t="str">
        <f t="shared" si="14"/>
        <v/>
      </c>
      <c r="AY370" s="28" t="str">
        <f t="shared" si="15"/>
        <v/>
      </c>
      <c r="AZ370" s="28" t="str">
        <f t="shared" si="16"/>
        <v/>
      </c>
      <c r="BA370" s="28" t="str">
        <f t="shared" si="17"/>
        <v/>
      </c>
      <c r="BB370" s="28" t="str">
        <f t="shared" si="18"/>
        <v/>
      </c>
      <c r="BC370" s="28" t="str">
        <f t="array" ref="BC370">IF($I370="","",LET(
conf,AI370,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duoMax,XLOOKUP($B370,Derived_Variables!$A:$A,Derived_Variables!$AI:$AI,4),
axisTol,XLOOKUP($B370,Derived_Variables!$A:$A,Derived_Variables!$W:$W,1),
maxStart,XLOOKUP($B370,Derived_Variables!$A:$A,Derived_Variables!$U:$U,1.25),
maxAR,XLOOKUP($B370,Derived_Variables!$A:$A,Derived_Variables!$V:$V,3),
anom,XLOOKUP($B370,Derived_Variables!$A:$A,Derived_Variables!$Z:$Z,FALSE),
reStart,XLOOKUP($B370,Derived_Variables!$A:$A,Derived_Variables!$K:$K,0),
leStart,XLOOKUP($B370,Derived_Variables!$A:$A,Derived_Variables!$N:$N,0),
reAR,XLOOKUP($B370,AR_Input!$A:$A,AR_Input!$B:$B,reStart),
leAR,XLOOKUP($B370,AR_Input!$A:$A,AR_Input!$E:$E,leStart),
reEsc,AND(anom,OR(ABS((S370+AM370)-reStart)&gt;maxStart,ABS((S370+AM370)-reAR)&gt;maxAR)),
leEsc,AND(anom,OR(ABS((V370+AP370)-leStart)&gt;maxStart,ABS((V370+AP370)-leAR)&gt;maxAR)),
phaseMax,IFS(
 AK370="Fast",
   IFS(
     OR(C370="B",C370="D"),XLOOKUP("timeout_coarse_fast",Calibration!$B:$B,Calibration!$C:$C,24),
     OR(C370="E",C370="F",C370="H",C370="I"),XLOOKUP("timeout_jcc_fast",Calibration!$B:$B,Calibration!$C:$C,10),
     OR(C370="G",C370="J"),XLOOKUP("timeout_duochrome_fast",Calibration!$B:$B,Calibration!$C:$C,8),
     C370="K",XLOOKUP("timeout_bino_fast",Calibration!$B:$B,Calibration!$C:$C,10),
     OR(C370="P",C370="Q",C370="R"),XLOOKUP("timeout_near_fast",Calibration!$B:$B,Calibration!$C:$C,16),
     TRUE,XLOOKUP("timeout_coarse_fast",Calibration!$B:$B,Calibration!$C:$C,24)
   ),
 AK370="Normal",
   IFS(
     OR(C370="B",C370="D"),XLOOKUP("timeout_coarse_normal",Calibration!$B:$B,Calibration!$C:$C,36),
     OR(C370="E",C370="F",C370="H",C370="I"),XLOOKUP("timeout_jcc_normal",Calibration!$B:$B,Calibration!$C:$C,14),
     OR(C370="G",C370="J"),XLOOKUP("timeout_duochrome_normal",Calibration!$B:$B,Calibration!$C:$C,10),
     C370="K",XLOOKUP("timeout_bino_normal",Calibration!$B:$B,Calibration!$C:$C,14),
     OR(C370="P",C370="Q",C370="R"),XLOOKUP("timeout_near_normal",Calibration!$B:$B,Calibration!$C:$C,22),
     TRUE,XLOOKUP("timeout_coarse_normal",Calibration!$B:$B,Calibration!$C:$C,36)
   ),
 TRUE,
   IFS(
     OR(C370="B",C370="D"),XLOOKUP("timeout_coarse_slow",Calibration!$B:$B,Calibration!$C:$C,48),
     OR(C370="E",C370="F",C370="H",C370="I"),XLOOKUP("timeout_jcc_slow",Calibration!$B:$B,Calibration!$C:$C,18),
     OR(C370="G",C370="J"),XLOOKUP("timeout_duochrome_slow",Calibration!$B:$B,Calibration!$C:$C,12),
     C370="K",XLOOKUP("timeout_bino_slow",Calibration!$B:$B,Calibration!$C:$C,18),
     OR(C370="P",C370="Q",C370="R"),XLOOKUP("timeout_near_slow",Calibration!$B:$B,Calibration!$C:$C,28),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AJ370=TRUE,"ESCALATE",
C370="A",
IF(OR(I370="NOT_READABLE",I370="BLURRY",AND(R370="20_20_20",I370="READABLE")),"B","A"),
C370="B",
IF(reEsc,"ESCALATE",IF(AY370&gt;=phaseMax,"ESCALATE",IF(AND(AV370&gt;=AW370,I370="READABLE"),"E","B"))),
C370="E",
IF(AY370&gt;=phaseMax,"ESCALATE",IF(OR(I370="SAME",I370="CANT_TELL",AD370&lt;axisTol),"F","E")),
C370="F",
IF(AY370&gt;=phaseMax,"ESCALATE",IF(AX370&gt;=powerSameN,"G","F")),
C370="G",
IF(AY370&gt;=phaseMax,"ESCALATE",IF(OR(AX370&gt;=duoEqualN,BB370&gt;=duoMax),"D","G")),
C370="D",
IF(leEsc,"ESCALATE",IF(AY370&gt;=phaseMax,"ESCALATE",IF(AND(AV370&gt;=AW370,I370="READABLE"),"H","D"))),
C370="H",
IF(AY370&gt;=phaseMax,"ESCALATE",IF(OR(I370="SAME",I370="CANT_TELL",AD370&lt;axisTol),"I","H")),
C370="I",
IF(AY370&gt;=phaseMax,"ESCALATE",IF(AX370&gt;=powerSameN,"J","I")),
C370="J",
IF(AY370&gt;=phaseMax,"ESCALATE",IF(OR(AX370&gt;=duoEqualN,BB370&gt;=duoMax),"K","J")),
C370="K",
IF(AY370&gt;=phaseMax,"ESCALATE",IF(AX370&gt;=binoSameN,IF(XLOOKUP($B370,Derived_Variables!$A:$A,Derived_Variables!$AJ:$AJ,FALSE)=TRUE,"P","END"),"K")),
C370="P",
IF(AY370&gt;=phaseMax,"ESCALATE",IF(OR(I370="READABLE",I370="SAME"),"Q","P")),
C370="Q",
IF(AY370&gt;=phaseMax,"ESCALATE",IF(OR(I370="READABLE",I370="SAME"),"R","Q")),
C370="R",
IF(AY370&gt;=phaseMax,"ESCALATE",IF(OR(I370=nearTarget,I370="SAME"),"END","R")),
TRUE,"END"
)))</f>
        <v/>
      </c>
      <c r="BD370" s="28" t="b">
        <f t="shared" si="19"/>
        <v>0</v>
      </c>
    </row>
    <row r="371" ht="15.75" customHeight="1">
      <c r="A371" s="28">
        <f t="shared" si="3"/>
        <v>370</v>
      </c>
      <c r="B371" s="28">
        <f t="shared" si="4"/>
        <v>6</v>
      </c>
      <c r="C371" s="28" t="str">
        <f t="shared" si="5"/>
        <v/>
      </c>
      <c r="D371" s="28" t="str">
        <f t="array" ref="D371">IF($I370="","",XLOOKUP(C371,FSM_State_Map!A:A,FSM_State_Map!B:B,""))</f>
        <v/>
      </c>
      <c r="E371" s="28" t="str">
        <f t="array" ref="E371">IF($I370="","",XLOOKUP(C371,FSM_State_Map!A:A,FSM_State_Map!C:C,""))</f>
        <v/>
      </c>
      <c r="F371" s="28" t="str">
        <f t="array" ref="F371">IF($I370="","",XLOOKUP(E371,Phase_UI_Map!A:A,Phase_UI_Map!B:B,""))</f>
        <v/>
      </c>
      <c r="G371" s="28" t="str">
        <f t="array" ref="G371">IF($I370="","",XLOOKUP(E371,Phase_UI_Map!A:A,Phase_UI_Map!C:C,""))</f>
        <v/>
      </c>
      <c r="H371" s="28" t="str">
        <f t="array" ref="H371">IF($I370="","",XLOOKUP(E371,Phase_UI_Map!A:A,Phase_UI_Map!D:D,""))</f>
        <v/>
      </c>
      <c r="I371" s="29"/>
      <c r="J371" s="28" t="str">
        <f>IFERROR(__xludf.DUMMYFUNCTION("IF($I370="""","""",IFERROR(INDEX(FILTER(Response_Lists!$B:$B,Response_Lists!$A:$A=$H371),1),""""))"),"")</f>
        <v/>
      </c>
      <c r="K371" s="28" t="str">
        <f>IFERROR(__xludf.DUMMYFUNCTION("IF($I370="""","""",IFERROR(INDEX(FILTER(Response_Lists!$B:$B,Response_Lists!$A:$A=$H371),2),""""))"),"")</f>
        <v/>
      </c>
      <c r="L371" s="28" t="str">
        <f>IFERROR(__xludf.DUMMYFUNCTION("IF($I370="""","""",IFERROR(INDEX(FILTER(Response_Lists!$B:$B,Response_Lists!$A:$A=$H371),3),""""))"),"")</f>
        <v/>
      </c>
      <c r="M371" s="28" t="str">
        <f>IFERROR(__xludf.DUMMYFUNCTION("IF($I370="""","""",IFERROR(INDEX(FILTER(Response_Lists!$B:$B,Response_Lists!$A:$A=$H371),4),""""))"),"")</f>
        <v/>
      </c>
      <c r="N371" s="28" t="str">
        <f>IFERROR(__xludf.DUMMYFUNCTION("IF($I370="""","""",IFERROR(INDEX(FILTER(Response_Lists!$B:$B,Response_Lists!$A:$A=$H371),5),""""))"),"")</f>
        <v/>
      </c>
      <c r="O371" s="28" t="str">
        <f>IFERROR(__xludf.DUMMYFUNCTION("IF($I370="""","""",IFERROR(INDEX(FILTER(Response_Lists!$B:$B,Response_Lists!$A:$A=$H371),6),""""))"),"")</f>
        <v/>
      </c>
      <c r="P371" s="28" t="str">
        <f t="shared" si="6"/>
        <v/>
      </c>
      <c r="Q371" s="28" t="str">
        <f t="array" ref="Q371">IF($I370="","",XLOOKUP(C371,FSM_State_Map!A:A,FSM_State_Map!D:D,""))</f>
        <v/>
      </c>
      <c r="R371" s="28" t="str">
        <f t="shared" si="7"/>
        <v/>
      </c>
      <c r="S371" s="28" t="str">
        <f t="array" ref="S371">IF($I370="","",
IF(
  AND(C371="B",C370&lt;&gt;"B"),
  XLOOKUP($B371,Derived_Variables!$A:$A,Derived_Variables!$K:$K,0)
  + XLOOKUP($B371,Derived_Variables!$A:$A,Derived_Variables!$AE:$AE,0),
  S370+AM370
))</f>
        <v/>
      </c>
      <c r="T371" s="28" t="str">
        <f t="shared" ref="T371:U371" si="752">IF($I370="","",T370+AN370)</f>
        <v/>
      </c>
      <c r="U371" s="28" t="str">
        <f t="shared" si="752"/>
        <v/>
      </c>
      <c r="V371" s="28" t="str">
        <f t="array" ref="V371">IF($I370="","",
IF(
  AND(C371="D",C370&lt;&gt;"D"),
  XLOOKUP($B371,Derived_Variables!$A:$A,Derived_Variables!$N:$N,0)
  + XLOOKUP($B371,Derived_Variables!$A:$A,Derived_Variables!$AE:$AE,0),
  V370+AP370
))</f>
        <v/>
      </c>
      <c r="W371" s="28" t="str">
        <f t="shared" ref="W371:X371" si="753">IF($I370="","",W370+AQ370)</f>
        <v/>
      </c>
      <c r="X371" s="28" t="str">
        <f t="shared" si="753"/>
        <v/>
      </c>
      <c r="Y371" s="28" t="str">
        <f t="array" ref="Y371">IF($I370="","",IF(AND(C371="P",C370&lt;&gt;"P"),IFERROR(XLOOKUP($B371,Lenso_Input!$A:$A,Lenso_Input!$E:$E,0),0),Y370+AS370))</f>
        <v/>
      </c>
      <c r="Z371" s="28" t="str">
        <f t="array" ref="Z371">IF($I370="","",IF(AND(C371="Q",C370&lt;&gt;"Q"),IFERROR(XLOOKUP($B371,Lenso_Input!$A:$A,Lenso_Input!$I:$I,0),0),Z370+AT370))</f>
        <v/>
      </c>
      <c r="AA371" s="28" t="str">
        <f t="array" ref="AA371">IF($I370="","",IF(XLOOKUP($B371,Derived_Variables!$A:$A,Derived_Variables!$R:$R,"6/6_target")="6/6_target","20_20_20","40_30_25"))</f>
        <v/>
      </c>
      <c r="AB371" s="28" t="str">
        <f t="array" ref="AB371">IF($I370="","",XLOOKUP(LOWER(XLOOKUP($B371,Derived_Variables!$A:$A,Derived_Variables!$T:$T,"Standard"))&amp;"_sph_step",Calibration!$B:$B,Calibration!$C:$C,0.25))</f>
        <v/>
      </c>
      <c r="AC371" s="28" t="str">
        <f t="array" ref="AC371">IF($I370="","",XLOOKUP(LOWER(XLOOKUP($B371,Derived_Variables!$A:$A,Derived_Variables!$T:$T,"Standard"))&amp;"_cyl_step",Calibration!$B:$B,Calibration!$C:$C,0.25))</f>
        <v/>
      </c>
      <c r="AD371" s="28" t="str">
        <f t="array" ref="AD371">IF($I370="","",IF(OR(C371="E",C371="H"),LET(startStep,XLOOKUP("axis_start_step",Calibration!$B:$B,Calibration!$C:$C,5),step1,XLOOKUP("axis_reversal_step_1",Calibration!$B:$B,Calibration!$C:$C,3),step2,XLOOKUP("axis_reversal_step_2",Calibration!$B:$B,Calibration!$C:$C,1),IF(OR(C370&lt;&gt;C371,AZ371="",AZ371="SAME",AZ371="CANT_TELL",I371="",I371="SAME",I371="CANT_TELL"),startStep,IF(OR(AND(AZ371="BETTER_1",I371="BETTER_2"),AND(AZ371="BETTER_2",I371="BETTER_1")),IF(AD370&gt;step1,step1,step2),AD370))),0))</f>
        <v/>
      </c>
      <c r="AE371" s="28" t="str">
        <f t="array" ref="AE371">IF($I370="","",XLOOKUP($B371,Derived_Variables!$A:$A,Derived_Variables!$AD:$AD,"No_Fog"))</f>
        <v/>
      </c>
      <c r="AF371" s="28" t="str">
        <f t="array" ref="AF371">IF($I370="","",XLOOKUP($B371,Derived_Variables!$A:$A,Derived_Variables!$AE:$AE,0))</f>
        <v/>
      </c>
      <c r="AG371" s="28" t="str">
        <f t="array" ref="AG371">IF($I370="","",XLOOKUP($B371,Derived_Variables!$A:$A,Derived_Variables!$AF:$AF,""))</f>
        <v/>
      </c>
      <c r="AH371" s="28" t="str">
        <f t="array" ref="AH371">IF($I370="","",XLOOKUP($B371,Derived_Variables!$A:$A,Derived_Variables!$AG:$AG,""))</f>
        <v/>
      </c>
      <c r="AI371" s="28" t="str">
        <f t="array" ref="AI371">IF($I370="","",XLOOKUP($B371,Derived_Variables!$A:$A,Derived_Variables!$AC:$AC,"Medium"))</f>
        <v/>
      </c>
      <c r="AJ371" s="28" t="str">
        <f t="array" ref="AJ371">IF($I370="","",XLOOKUP($B371,Derived_Variables!$A:$A,Derived_Variables!$Y:$Y,FALSE))</f>
        <v/>
      </c>
      <c r="AK371" s="28" t="str">
        <f t="array" ref="AK371">IF($I370="","",XLOOKUP($B371,Derived_Variables!$A:$A,Derived_Variables!$AA:$AA,"Normal"))</f>
        <v/>
      </c>
      <c r="AL371" s="28" t="str">
        <f t="array" ref="AL371">IF($I370="","",XLOOKUP($B371,Derived_Variables!$A:$A,Derived_Variables!$AB:$AB,"Normal"))</f>
        <v/>
      </c>
      <c r="AM371" s="28" t="str">
        <f t="array" ref="AM371">IF($I371="","",IFS(C371="B",IF(OR(I371="NOT_READABLE",I371="BLURRY"),-AB371,0),C371="G",IFS(I371="RED_CLEARER",XLOOKUP("duochrome_red_step",Calibration!$B:$B,Calibration!$C:$C,-0.25),I371="GREEN_CLEARER",XLOOKUP("duochrome_green_step",Calibration!$B:$B,Calibration!$C:$C,0.25),I371="EQUAL",IF(XLOOKUP($B371,Derived_Variables!$A:$A,Derived_Variables!$S:$S,"Neutral")="Undercorrect",XLOOKUP("undercorrect_step",Calibration!$B:$B,Calibration!$C:$C,0.25),IF(XLOOKUP($B371,Derived_Variables!$A:$A,Derived_Variables!$S:$S,"Neutral")="Overcorrect",-XLOOKUP("overcorrect_step",Calibration!$B:$B,Calibration!$C:$C,0.25),0)),TRUE,0),C371="K",IF(I371="TOP_CLEARER",XLOOKUP("bino_balance_step",Calibration!$B:$B,Calibration!$C:$C,0.25),0),TRUE,0))</f>
        <v/>
      </c>
      <c r="AN371" s="28" t="str">
        <f t="shared" si="10"/>
        <v/>
      </c>
      <c r="AO371" s="28" t="str">
        <f t="shared" si="11"/>
        <v/>
      </c>
      <c r="AP371" s="28" t="str">
        <f t="array" ref="AP371">IF($I371="","",IFS(C371="D",IF(OR(I371="NOT_READABLE",I371="BLURRY"),-AB371,0),C371="J",IFS(I371="RED_CLEARER",XLOOKUP("duochrome_red_step",Calibration!$B:$B,Calibration!$C:$C,-0.25),I371="GREEN_CLEARER",XLOOKUP("duochrome_green_step",Calibration!$B:$B,Calibration!$C:$C,0.25),I371="EQUAL",IF(XLOOKUP($B371,Derived_Variables!$A:$A,Derived_Variables!$S:$S,"Neutral")="Undercorrect",XLOOKUP("undercorrect_step",Calibration!$B:$B,Calibration!$C:$C,0.25),IF(XLOOKUP($B371,Derived_Variables!$A:$A,Derived_Variables!$S:$S,"Neutral")="Overcorrect",-XLOOKUP("overcorrect_step",Calibration!$B:$B,Calibration!$C:$C,0.25),0)),TRUE,0),C371="K",IF(I371="BOTTOM_CLEARER",XLOOKUP("bino_balance_step",Calibration!$B:$B,Calibration!$C:$C,0.25),0),TRUE,0))</f>
        <v/>
      </c>
      <c r="AQ371" s="28" t="str">
        <f t="shared" si="12"/>
        <v/>
      </c>
      <c r="AR371" s="28" t="str">
        <f t="shared" si="13"/>
        <v/>
      </c>
      <c r="AS371" s="28" t="str">
        <f t="array" ref="AS371">IF($I371="","",IF(C371="P",IF(OR(I371="NOT_READABLE",I371="BLURRY"),XLOOKUP("near_add_step",Calibration!$B:$B,Calibration!$C:$C,0.25),0),IF(C371="R",IF(I371="NOT_CLEAR",XLOOKUP("near_add_step",Calibration!$B:$B,Calibration!$C:$C,0.25),0),0)))</f>
        <v/>
      </c>
      <c r="AT371" s="28" t="str">
        <f t="array" ref="AT371">IF($I371="","",IF(C371="Q",IF(OR(I371="NOT_READABLE",I371="BLURRY"),XLOOKUP("near_add_step",Calibration!$B:$B,Calibration!$C:$C,0.25),0),IF(C371="R",IF(I371="NOT_CLEAR",XLOOKUP("near_add_step",Calibration!$B:$B,Calibration!$C:$C,0.25),0),0)))</f>
        <v/>
      </c>
      <c r="AU371" s="28" t="str">
        <f t="array" ref="AU371">IF($I371="","",IF(G371="SNELLEN_FEET",IF(I371="READABLE",IFERROR(XLOOKUP(XLOOKUP(R371,Chart_Scale_Distance!B:B,Chart_Scale_Distance!A:A)+1,Chart_Scale_Distance!A:A,Chart_Scale_Distance!B:B),R371),R371),R371))</f>
        <v/>
      </c>
      <c r="AV371" s="28" t="str">
        <f t="array" ref="AV371">IF($I370="","",IFERROR(XLOOKUP(R371,Chart_Scale_Distance!$B:$B,Chart_Scale_Distance!$A:$A,""),""))</f>
        <v/>
      </c>
      <c r="AW371" s="28" t="str">
        <f t="array" ref="AW371">IF($I370="","",IFERROR(XLOOKUP(AA371,Chart_Scale_Distance!$B:$B,Chart_Scale_Distance!$A:$A,""),""))</f>
        <v/>
      </c>
      <c r="AX371" s="28" t="str">
        <f t="shared" si="14"/>
        <v/>
      </c>
      <c r="AY371" s="28" t="str">
        <f t="shared" si="15"/>
        <v/>
      </c>
      <c r="AZ371" s="28" t="str">
        <f t="shared" si="16"/>
        <v/>
      </c>
      <c r="BA371" s="28" t="str">
        <f t="shared" si="17"/>
        <v/>
      </c>
      <c r="BB371" s="28" t="str">
        <f t="shared" si="18"/>
        <v/>
      </c>
      <c r="BC371" s="28" t="str">
        <f t="array" ref="BC371">IF($I371="","",LET(
conf,AI371,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duoMax,XLOOKUP($B371,Derived_Variables!$A:$A,Derived_Variables!$AI:$AI,4),
axisTol,XLOOKUP($B371,Derived_Variables!$A:$A,Derived_Variables!$W:$W,1),
maxStart,XLOOKUP($B371,Derived_Variables!$A:$A,Derived_Variables!$U:$U,1.25),
maxAR,XLOOKUP($B371,Derived_Variables!$A:$A,Derived_Variables!$V:$V,3),
anom,XLOOKUP($B371,Derived_Variables!$A:$A,Derived_Variables!$Z:$Z,FALSE),
reStart,XLOOKUP($B371,Derived_Variables!$A:$A,Derived_Variables!$K:$K,0),
leStart,XLOOKUP($B371,Derived_Variables!$A:$A,Derived_Variables!$N:$N,0),
reAR,XLOOKUP($B371,AR_Input!$A:$A,AR_Input!$B:$B,reStart),
leAR,XLOOKUP($B371,AR_Input!$A:$A,AR_Input!$E:$E,leStart),
reEsc,AND(anom,OR(ABS((S371+AM371)-reStart)&gt;maxStart,ABS((S371+AM371)-reAR)&gt;maxAR)),
leEsc,AND(anom,OR(ABS((V371+AP371)-leStart)&gt;maxStart,ABS((V371+AP371)-leAR)&gt;maxAR)),
phaseMax,IFS(
 AK371="Fast",
   IFS(
     OR(C371="B",C371="D"),XLOOKUP("timeout_coarse_fast",Calibration!$B:$B,Calibration!$C:$C,24),
     OR(C371="E",C371="F",C371="H",C371="I"),XLOOKUP("timeout_jcc_fast",Calibration!$B:$B,Calibration!$C:$C,10),
     OR(C371="G",C371="J"),XLOOKUP("timeout_duochrome_fast",Calibration!$B:$B,Calibration!$C:$C,8),
     C371="K",XLOOKUP("timeout_bino_fast",Calibration!$B:$B,Calibration!$C:$C,10),
     OR(C371="P",C371="Q",C371="R"),XLOOKUP("timeout_near_fast",Calibration!$B:$B,Calibration!$C:$C,16),
     TRUE,XLOOKUP("timeout_coarse_fast",Calibration!$B:$B,Calibration!$C:$C,24)
   ),
 AK371="Normal",
   IFS(
     OR(C371="B",C371="D"),XLOOKUP("timeout_coarse_normal",Calibration!$B:$B,Calibration!$C:$C,36),
     OR(C371="E",C371="F",C371="H",C371="I"),XLOOKUP("timeout_jcc_normal",Calibration!$B:$B,Calibration!$C:$C,14),
     OR(C371="G",C371="J"),XLOOKUP("timeout_duochrome_normal",Calibration!$B:$B,Calibration!$C:$C,10),
     C371="K",XLOOKUP("timeout_bino_normal",Calibration!$B:$B,Calibration!$C:$C,14),
     OR(C371="P",C371="Q",C371="R"),XLOOKUP("timeout_near_normal",Calibration!$B:$B,Calibration!$C:$C,22),
     TRUE,XLOOKUP("timeout_coarse_normal",Calibration!$B:$B,Calibration!$C:$C,36)
   ),
 TRUE,
   IFS(
     OR(C371="B",C371="D"),XLOOKUP("timeout_coarse_slow",Calibration!$B:$B,Calibration!$C:$C,48),
     OR(C371="E",C371="F",C371="H",C371="I"),XLOOKUP("timeout_jcc_slow",Calibration!$B:$B,Calibration!$C:$C,18),
     OR(C371="G",C371="J"),XLOOKUP("timeout_duochrome_slow",Calibration!$B:$B,Calibration!$C:$C,12),
     C371="K",XLOOKUP("timeout_bino_slow",Calibration!$B:$B,Calibration!$C:$C,18),
     OR(C371="P",C371="Q",C371="R"),XLOOKUP("timeout_near_slow",Calibration!$B:$B,Calibration!$C:$C,28),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AJ371=TRUE,"ESCALATE",
C371="A",
IF(OR(I371="NOT_READABLE",I371="BLURRY",AND(R371="20_20_20",I371="READABLE")),"B","A"),
C371="B",
IF(reEsc,"ESCALATE",IF(AY371&gt;=phaseMax,"ESCALATE",IF(AND(AV371&gt;=AW371,I371="READABLE"),"E","B"))),
C371="E",
IF(AY371&gt;=phaseMax,"ESCALATE",IF(OR(I371="SAME",I371="CANT_TELL",AD371&lt;axisTol),"F","E")),
C371="F",
IF(AY371&gt;=phaseMax,"ESCALATE",IF(AX371&gt;=powerSameN,"G","F")),
C371="G",
IF(AY371&gt;=phaseMax,"ESCALATE",IF(OR(AX371&gt;=duoEqualN,BB371&gt;=duoMax),"D","G")),
C371="D",
IF(leEsc,"ESCALATE",IF(AY371&gt;=phaseMax,"ESCALATE",IF(AND(AV371&gt;=AW371,I371="READABLE"),"H","D"))),
C371="H",
IF(AY371&gt;=phaseMax,"ESCALATE",IF(OR(I371="SAME",I371="CANT_TELL",AD371&lt;axisTol),"I","H")),
C371="I",
IF(AY371&gt;=phaseMax,"ESCALATE",IF(AX371&gt;=powerSameN,"J","I")),
C371="J",
IF(AY371&gt;=phaseMax,"ESCALATE",IF(OR(AX371&gt;=duoEqualN,BB371&gt;=duoMax),"K","J")),
C371="K",
IF(AY371&gt;=phaseMax,"ESCALATE",IF(AX371&gt;=binoSameN,IF(XLOOKUP($B371,Derived_Variables!$A:$A,Derived_Variables!$AJ:$AJ,FALSE)=TRUE,"P","END"),"K")),
C371="P",
IF(AY371&gt;=phaseMax,"ESCALATE",IF(OR(I371="READABLE",I371="SAME"),"Q","P")),
C371="Q",
IF(AY371&gt;=phaseMax,"ESCALATE",IF(OR(I371="READABLE",I371="SAME"),"R","Q")),
C371="R",
IF(AY371&gt;=phaseMax,"ESCALATE",IF(OR(I371=nearTarget,I371="SAME"),"END","R")),
TRUE,"END"
)))</f>
        <v/>
      </c>
      <c r="BD371" s="28" t="b">
        <f t="shared" si="19"/>
        <v>0</v>
      </c>
    </row>
    <row r="372" ht="15.75" customHeight="1">
      <c r="A372" s="28">
        <f t="shared" si="3"/>
        <v>371</v>
      </c>
      <c r="B372" s="28">
        <f t="shared" si="4"/>
        <v>6</v>
      </c>
      <c r="C372" s="28" t="str">
        <f t="shared" si="5"/>
        <v/>
      </c>
      <c r="D372" s="28" t="str">
        <f t="array" ref="D372">IF($I371="","",XLOOKUP(C372,FSM_State_Map!A:A,FSM_State_Map!B:B,""))</f>
        <v/>
      </c>
      <c r="E372" s="28" t="str">
        <f t="array" ref="E372">IF($I371="","",XLOOKUP(C372,FSM_State_Map!A:A,FSM_State_Map!C:C,""))</f>
        <v/>
      </c>
      <c r="F372" s="28" t="str">
        <f t="array" ref="F372">IF($I371="","",XLOOKUP(E372,Phase_UI_Map!A:A,Phase_UI_Map!B:B,""))</f>
        <v/>
      </c>
      <c r="G372" s="28" t="str">
        <f t="array" ref="G372">IF($I371="","",XLOOKUP(E372,Phase_UI_Map!A:A,Phase_UI_Map!C:C,""))</f>
        <v/>
      </c>
      <c r="H372" s="28" t="str">
        <f t="array" ref="H372">IF($I371="","",XLOOKUP(E372,Phase_UI_Map!A:A,Phase_UI_Map!D:D,""))</f>
        <v/>
      </c>
      <c r="I372" s="29"/>
      <c r="J372" s="28" t="str">
        <f>IFERROR(__xludf.DUMMYFUNCTION("IF($I371="""","""",IFERROR(INDEX(FILTER(Response_Lists!$B:$B,Response_Lists!$A:$A=$H372),1),""""))"),"")</f>
        <v/>
      </c>
      <c r="K372" s="28" t="str">
        <f>IFERROR(__xludf.DUMMYFUNCTION("IF($I371="""","""",IFERROR(INDEX(FILTER(Response_Lists!$B:$B,Response_Lists!$A:$A=$H372),2),""""))"),"")</f>
        <v/>
      </c>
      <c r="L372" s="28" t="str">
        <f>IFERROR(__xludf.DUMMYFUNCTION("IF($I371="""","""",IFERROR(INDEX(FILTER(Response_Lists!$B:$B,Response_Lists!$A:$A=$H372),3),""""))"),"")</f>
        <v/>
      </c>
      <c r="M372" s="28" t="str">
        <f>IFERROR(__xludf.DUMMYFUNCTION("IF($I371="""","""",IFERROR(INDEX(FILTER(Response_Lists!$B:$B,Response_Lists!$A:$A=$H372),4),""""))"),"")</f>
        <v/>
      </c>
      <c r="N372" s="28" t="str">
        <f>IFERROR(__xludf.DUMMYFUNCTION("IF($I371="""","""",IFERROR(INDEX(FILTER(Response_Lists!$B:$B,Response_Lists!$A:$A=$H372),5),""""))"),"")</f>
        <v/>
      </c>
      <c r="O372" s="28" t="str">
        <f>IFERROR(__xludf.DUMMYFUNCTION("IF($I371="""","""",IFERROR(INDEX(FILTER(Response_Lists!$B:$B,Response_Lists!$A:$A=$H372),6),""""))"),"")</f>
        <v/>
      </c>
      <c r="P372" s="28" t="str">
        <f t="shared" si="6"/>
        <v/>
      </c>
      <c r="Q372" s="28" t="str">
        <f t="array" ref="Q372">IF($I371="","",XLOOKUP(C372,FSM_State_Map!A:A,FSM_State_Map!D:D,""))</f>
        <v/>
      </c>
      <c r="R372" s="28" t="str">
        <f t="shared" si="7"/>
        <v/>
      </c>
      <c r="S372" s="28" t="str">
        <f t="array" ref="S372">IF($I371="","",
IF(
  AND(C372="B",C371&lt;&gt;"B"),
  XLOOKUP($B372,Derived_Variables!$A:$A,Derived_Variables!$K:$K,0)
  + XLOOKUP($B372,Derived_Variables!$A:$A,Derived_Variables!$AE:$AE,0),
  S371+AM371
))</f>
        <v/>
      </c>
      <c r="T372" s="28" t="str">
        <f t="shared" ref="T372:U372" si="754">IF($I371="","",T371+AN371)</f>
        <v/>
      </c>
      <c r="U372" s="28" t="str">
        <f t="shared" si="754"/>
        <v/>
      </c>
      <c r="V372" s="28" t="str">
        <f t="array" ref="V372">IF($I371="","",
IF(
  AND(C372="D",C371&lt;&gt;"D"),
  XLOOKUP($B372,Derived_Variables!$A:$A,Derived_Variables!$N:$N,0)
  + XLOOKUP($B372,Derived_Variables!$A:$A,Derived_Variables!$AE:$AE,0),
  V371+AP371
))</f>
        <v/>
      </c>
      <c r="W372" s="28" t="str">
        <f t="shared" ref="W372:X372" si="755">IF($I371="","",W371+AQ371)</f>
        <v/>
      </c>
      <c r="X372" s="28" t="str">
        <f t="shared" si="755"/>
        <v/>
      </c>
      <c r="Y372" s="28" t="str">
        <f t="array" ref="Y372">IF($I371="","",IF(AND(C372="P",C371&lt;&gt;"P"),IFERROR(XLOOKUP($B372,Lenso_Input!$A:$A,Lenso_Input!$E:$E,0),0),Y371+AS371))</f>
        <v/>
      </c>
      <c r="Z372" s="28" t="str">
        <f t="array" ref="Z372">IF($I371="","",IF(AND(C372="Q",C371&lt;&gt;"Q"),IFERROR(XLOOKUP($B372,Lenso_Input!$A:$A,Lenso_Input!$I:$I,0),0),Z371+AT371))</f>
        <v/>
      </c>
      <c r="AA372" s="28" t="str">
        <f t="array" ref="AA372">IF($I371="","",IF(XLOOKUP($B372,Derived_Variables!$A:$A,Derived_Variables!$R:$R,"6/6_target")="6/6_target","20_20_20","40_30_25"))</f>
        <v/>
      </c>
      <c r="AB372" s="28" t="str">
        <f t="array" ref="AB372">IF($I371="","",XLOOKUP(LOWER(XLOOKUP($B372,Derived_Variables!$A:$A,Derived_Variables!$T:$T,"Standard"))&amp;"_sph_step",Calibration!$B:$B,Calibration!$C:$C,0.25))</f>
        <v/>
      </c>
      <c r="AC372" s="28" t="str">
        <f t="array" ref="AC372">IF($I371="","",XLOOKUP(LOWER(XLOOKUP($B372,Derived_Variables!$A:$A,Derived_Variables!$T:$T,"Standard"))&amp;"_cyl_step",Calibration!$B:$B,Calibration!$C:$C,0.25))</f>
        <v/>
      </c>
      <c r="AD372" s="28" t="str">
        <f t="array" ref="AD372">IF($I371="","",IF(OR(C372="E",C372="H"),LET(startStep,XLOOKUP("axis_start_step",Calibration!$B:$B,Calibration!$C:$C,5),step1,XLOOKUP("axis_reversal_step_1",Calibration!$B:$B,Calibration!$C:$C,3),step2,XLOOKUP("axis_reversal_step_2",Calibration!$B:$B,Calibration!$C:$C,1),IF(OR(C371&lt;&gt;C372,AZ372="",AZ372="SAME",AZ372="CANT_TELL",I372="",I372="SAME",I372="CANT_TELL"),startStep,IF(OR(AND(AZ372="BETTER_1",I372="BETTER_2"),AND(AZ372="BETTER_2",I372="BETTER_1")),IF(AD371&gt;step1,step1,step2),AD371))),0))</f>
        <v/>
      </c>
      <c r="AE372" s="28" t="str">
        <f t="array" ref="AE372">IF($I371="","",XLOOKUP($B372,Derived_Variables!$A:$A,Derived_Variables!$AD:$AD,"No_Fog"))</f>
        <v/>
      </c>
      <c r="AF372" s="28" t="str">
        <f t="array" ref="AF372">IF($I371="","",XLOOKUP($B372,Derived_Variables!$A:$A,Derived_Variables!$AE:$AE,0))</f>
        <v/>
      </c>
      <c r="AG372" s="28" t="str">
        <f t="array" ref="AG372">IF($I371="","",XLOOKUP($B372,Derived_Variables!$A:$A,Derived_Variables!$AF:$AF,""))</f>
        <v/>
      </c>
      <c r="AH372" s="28" t="str">
        <f t="array" ref="AH372">IF($I371="","",XLOOKUP($B372,Derived_Variables!$A:$A,Derived_Variables!$AG:$AG,""))</f>
        <v/>
      </c>
      <c r="AI372" s="28" t="str">
        <f t="array" ref="AI372">IF($I371="","",XLOOKUP($B372,Derived_Variables!$A:$A,Derived_Variables!$AC:$AC,"Medium"))</f>
        <v/>
      </c>
      <c r="AJ372" s="28" t="str">
        <f t="array" ref="AJ372">IF($I371="","",XLOOKUP($B372,Derived_Variables!$A:$A,Derived_Variables!$Y:$Y,FALSE))</f>
        <v/>
      </c>
      <c r="AK372" s="28" t="str">
        <f t="array" ref="AK372">IF($I371="","",XLOOKUP($B372,Derived_Variables!$A:$A,Derived_Variables!$AA:$AA,"Normal"))</f>
        <v/>
      </c>
      <c r="AL372" s="28" t="str">
        <f t="array" ref="AL372">IF($I371="","",XLOOKUP($B372,Derived_Variables!$A:$A,Derived_Variables!$AB:$AB,"Normal"))</f>
        <v/>
      </c>
      <c r="AM372" s="28" t="str">
        <f t="array" ref="AM372">IF($I372="","",IFS(C372="B",IF(OR(I372="NOT_READABLE",I372="BLURRY"),-AB372,0),C372="G",IFS(I372="RED_CLEARER",XLOOKUP("duochrome_red_step",Calibration!$B:$B,Calibration!$C:$C,-0.25),I372="GREEN_CLEARER",XLOOKUP("duochrome_green_step",Calibration!$B:$B,Calibration!$C:$C,0.25),I372="EQUAL",IF(XLOOKUP($B372,Derived_Variables!$A:$A,Derived_Variables!$S:$S,"Neutral")="Undercorrect",XLOOKUP("undercorrect_step",Calibration!$B:$B,Calibration!$C:$C,0.25),IF(XLOOKUP($B372,Derived_Variables!$A:$A,Derived_Variables!$S:$S,"Neutral")="Overcorrect",-XLOOKUP("overcorrect_step",Calibration!$B:$B,Calibration!$C:$C,0.25),0)),TRUE,0),C372="K",IF(I372="TOP_CLEARER",XLOOKUP("bino_balance_step",Calibration!$B:$B,Calibration!$C:$C,0.25),0),TRUE,0))</f>
        <v/>
      </c>
      <c r="AN372" s="28" t="str">
        <f t="shared" si="10"/>
        <v/>
      </c>
      <c r="AO372" s="28" t="str">
        <f t="shared" si="11"/>
        <v/>
      </c>
      <c r="AP372" s="28" t="str">
        <f t="array" ref="AP372">IF($I372="","",IFS(C372="D",IF(OR(I372="NOT_READABLE",I372="BLURRY"),-AB372,0),C372="J",IFS(I372="RED_CLEARER",XLOOKUP("duochrome_red_step",Calibration!$B:$B,Calibration!$C:$C,-0.25),I372="GREEN_CLEARER",XLOOKUP("duochrome_green_step",Calibration!$B:$B,Calibration!$C:$C,0.25),I372="EQUAL",IF(XLOOKUP($B372,Derived_Variables!$A:$A,Derived_Variables!$S:$S,"Neutral")="Undercorrect",XLOOKUP("undercorrect_step",Calibration!$B:$B,Calibration!$C:$C,0.25),IF(XLOOKUP($B372,Derived_Variables!$A:$A,Derived_Variables!$S:$S,"Neutral")="Overcorrect",-XLOOKUP("overcorrect_step",Calibration!$B:$B,Calibration!$C:$C,0.25),0)),TRUE,0),C372="K",IF(I372="BOTTOM_CLEARER",XLOOKUP("bino_balance_step",Calibration!$B:$B,Calibration!$C:$C,0.25),0),TRUE,0))</f>
        <v/>
      </c>
      <c r="AQ372" s="28" t="str">
        <f t="shared" si="12"/>
        <v/>
      </c>
      <c r="AR372" s="28" t="str">
        <f t="shared" si="13"/>
        <v/>
      </c>
      <c r="AS372" s="28" t="str">
        <f t="array" ref="AS372">IF($I372="","",IF(C372="P",IF(OR(I372="NOT_READABLE",I372="BLURRY"),XLOOKUP("near_add_step",Calibration!$B:$B,Calibration!$C:$C,0.25),0),IF(C372="R",IF(I372="NOT_CLEAR",XLOOKUP("near_add_step",Calibration!$B:$B,Calibration!$C:$C,0.25),0),0)))</f>
        <v/>
      </c>
      <c r="AT372" s="28" t="str">
        <f t="array" ref="AT372">IF($I372="","",IF(C372="Q",IF(OR(I372="NOT_READABLE",I372="BLURRY"),XLOOKUP("near_add_step",Calibration!$B:$B,Calibration!$C:$C,0.25),0),IF(C372="R",IF(I372="NOT_CLEAR",XLOOKUP("near_add_step",Calibration!$B:$B,Calibration!$C:$C,0.25),0),0)))</f>
        <v/>
      </c>
      <c r="AU372" s="28" t="str">
        <f t="array" ref="AU372">IF($I372="","",IF(G372="SNELLEN_FEET",IF(I372="READABLE",IFERROR(XLOOKUP(XLOOKUP(R372,Chart_Scale_Distance!B:B,Chart_Scale_Distance!A:A)+1,Chart_Scale_Distance!A:A,Chart_Scale_Distance!B:B),R372),R372),R372))</f>
        <v/>
      </c>
      <c r="AV372" s="28" t="str">
        <f t="array" ref="AV372">IF($I371="","",IFERROR(XLOOKUP(R372,Chart_Scale_Distance!$B:$B,Chart_Scale_Distance!$A:$A,""),""))</f>
        <v/>
      </c>
      <c r="AW372" s="28" t="str">
        <f t="array" ref="AW372">IF($I371="","",IFERROR(XLOOKUP(AA372,Chart_Scale_Distance!$B:$B,Chart_Scale_Distance!$A:$A,""),""))</f>
        <v/>
      </c>
      <c r="AX372" s="28" t="str">
        <f t="shared" si="14"/>
        <v/>
      </c>
      <c r="AY372" s="28" t="str">
        <f t="shared" si="15"/>
        <v/>
      </c>
      <c r="AZ372" s="28" t="str">
        <f t="shared" si="16"/>
        <v/>
      </c>
      <c r="BA372" s="28" t="str">
        <f t="shared" si="17"/>
        <v/>
      </c>
      <c r="BB372" s="28" t="str">
        <f t="shared" si="18"/>
        <v/>
      </c>
      <c r="BC372" s="28" t="str">
        <f t="array" ref="BC372">IF($I372="","",LET(
conf,AI372,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duoMax,XLOOKUP($B372,Derived_Variables!$A:$A,Derived_Variables!$AI:$AI,4),
axisTol,XLOOKUP($B372,Derived_Variables!$A:$A,Derived_Variables!$W:$W,1),
maxStart,XLOOKUP($B372,Derived_Variables!$A:$A,Derived_Variables!$U:$U,1.25),
maxAR,XLOOKUP($B372,Derived_Variables!$A:$A,Derived_Variables!$V:$V,3),
anom,XLOOKUP($B372,Derived_Variables!$A:$A,Derived_Variables!$Z:$Z,FALSE),
reStart,XLOOKUP($B372,Derived_Variables!$A:$A,Derived_Variables!$K:$K,0),
leStart,XLOOKUP($B372,Derived_Variables!$A:$A,Derived_Variables!$N:$N,0),
reAR,XLOOKUP($B372,AR_Input!$A:$A,AR_Input!$B:$B,reStart),
leAR,XLOOKUP($B372,AR_Input!$A:$A,AR_Input!$E:$E,leStart),
reEsc,AND(anom,OR(ABS((S372+AM372)-reStart)&gt;maxStart,ABS((S372+AM372)-reAR)&gt;maxAR)),
leEsc,AND(anom,OR(ABS((V372+AP372)-leStart)&gt;maxStart,ABS((V372+AP372)-leAR)&gt;maxAR)),
phaseMax,IFS(
 AK372="Fast",
   IFS(
     OR(C372="B",C372="D"),XLOOKUP("timeout_coarse_fast",Calibration!$B:$B,Calibration!$C:$C,24),
     OR(C372="E",C372="F",C372="H",C372="I"),XLOOKUP("timeout_jcc_fast",Calibration!$B:$B,Calibration!$C:$C,10),
     OR(C372="G",C372="J"),XLOOKUP("timeout_duochrome_fast",Calibration!$B:$B,Calibration!$C:$C,8),
     C372="K",XLOOKUP("timeout_bino_fast",Calibration!$B:$B,Calibration!$C:$C,10),
     OR(C372="P",C372="Q",C372="R"),XLOOKUP("timeout_near_fast",Calibration!$B:$B,Calibration!$C:$C,16),
     TRUE,XLOOKUP("timeout_coarse_fast",Calibration!$B:$B,Calibration!$C:$C,24)
   ),
 AK372="Normal",
   IFS(
     OR(C372="B",C372="D"),XLOOKUP("timeout_coarse_normal",Calibration!$B:$B,Calibration!$C:$C,36),
     OR(C372="E",C372="F",C372="H",C372="I"),XLOOKUP("timeout_jcc_normal",Calibration!$B:$B,Calibration!$C:$C,14),
     OR(C372="G",C372="J"),XLOOKUP("timeout_duochrome_normal",Calibration!$B:$B,Calibration!$C:$C,10),
     C372="K",XLOOKUP("timeout_bino_normal",Calibration!$B:$B,Calibration!$C:$C,14),
     OR(C372="P",C372="Q",C372="R"),XLOOKUP("timeout_near_normal",Calibration!$B:$B,Calibration!$C:$C,22),
     TRUE,XLOOKUP("timeout_coarse_normal",Calibration!$B:$B,Calibration!$C:$C,36)
   ),
 TRUE,
   IFS(
     OR(C372="B",C372="D"),XLOOKUP("timeout_coarse_slow",Calibration!$B:$B,Calibration!$C:$C,48),
     OR(C372="E",C372="F",C372="H",C372="I"),XLOOKUP("timeout_jcc_slow",Calibration!$B:$B,Calibration!$C:$C,18),
     OR(C372="G",C372="J"),XLOOKUP("timeout_duochrome_slow",Calibration!$B:$B,Calibration!$C:$C,12),
     C372="K",XLOOKUP("timeout_bino_slow",Calibration!$B:$B,Calibration!$C:$C,18),
     OR(C372="P",C372="Q",C372="R"),XLOOKUP("timeout_near_slow",Calibration!$B:$B,Calibration!$C:$C,28),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AJ372=TRUE,"ESCALATE",
C372="A",
IF(OR(I372="NOT_READABLE",I372="BLURRY",AND(R372="20_20_20",I372="READABLE")),"B","A"),
C372="B",
IF(reEsc,"ESCALATE",IF(AY372&gt;=phaseMax,"ESCALATE",IF(AND(AV372&gt;=AW372,I372="READABLE"),"E","B"))),
C372="E",
IF(AY372&gt;=phaseMax,"ESCALATE",IF(OR(I372="SAME",I372="CANT_TELL",AD372&lt;axisTol),"F","E")),
C372="F",
IF(AY372&gt;=phaseMax,"ESCALATE",IF(AX372&gt;=powerSameN,"G","F")),
C372="G",
IF(AY372&gt;=phaseMax,"ESCALATE",IF(OR(AX372&gt;=duoEqualN,BB372&gt;=duoMax),"D","G")),
C372="D",
IF(leEsc,"ESCALATE",IF(AY372&gt;=phaseMax,"ESCALATE",IF(AND(AV372&gt;=AW372,I372="READABLE"),"H","D"))),
C372="H",
IF(AY372&gt;=phaseMax,"ESCALATE",IF(OR(I372="SAME",I372="CANT_TELL",AD372&lt;axisTol),"I","H")),
C372="I",
IF(AY372&gt;=phaseMax,"ESCALATE",IF(AX372&gt;=powerSameN,"J","I")),
C372="J",
IF(AY372&gt;=phaseMax,"ESCALATE",IF(OR(AX372&gt;=duoEqualN,BB372&gt;=duoMax),"K","J")),
C372="K",
IF(AY372&gt;=phaseMax,"ESCALATE",IF(AX372&gt;=binoSameN,IF(XLOOKUP($B372,Derived_Variables!$A:$A,Derived_Variables!$AJ:$AJ,FALSE)=TRUE,"P","END"),"K")),
C372="P",
IF(AY372&gt;=phaseMax,"ESCALATE",IF(OR(I372="READABLE",I372="SAME"),"Q","P")),
C372="Q",
IF(AY372&gt;=phaseMax,"ESCALATE",IF(OR(I372="READABLE",I372="SAME"),"R","Q")),
C372="R",
IF(AY372&gt;=phaseMax,"ESCALATE",IF(OR(I372=nearTarget,I372="SAME"),"END","R")),
TRUE,"END"
)))</f>
        <v/>
      </c>
      <c r="BD372" s="28" t="b">
        <f t="shared" si="19"/>
        <v>0</v>
      </c>
    </row>
    <row r="373" ht="15.75" customHeight="1">
      <c r="A373" s="28">
        <f t="shared" si="3"/>
        <v>372</v>
      </c>
      <c r="B373" s="28">
        <f t="shared" si="4"/>
        <v>6</v>
      </c>
      <c r="C373" s="28" t="str">
        <f t="shared" si="5"/>
        <v/>
      </c>
      <c r="D373" s="28" t="str">
        <f t="array" ref="D373">IF($I372="","",XLOOKUP(C373,FSM_State_Map!A:A,FSM_State_Map!B:B,""))</f>
        <v/>
      </c>
      <c r="E373" s="28" t="str">
        <f t="array" ref="E373">IF($I372="","",XLOOKUP(C373,FSM_State_Map!A:A,FSM_State_Map!C:C,""))</f>
        <v/>
      </c>
      <c r="F373" s="28" t="str">
        <f t="array" ref="F373">IF($I372="","",XLOOKUP(E373,Phase_UI_Map!A:A,Phase_UI_Map!B:B,""))</f>
        <v/>
      </c>
      <c r="G373" s="28" t="str">
        <f t="array" ref="G373">IF($I372="","",XLOOKUP(E373,Phase_UI_Map!A:A,Phase_UI_Map!C:C,""))</f>
        <v/>
      </c>
      <c r="H373" s="28" t="str">
        <f t="array" ref="H373">IF($I372="","",XLOOKUP(E373,Phase_UI_Map!A:A,Phase_UI_Map!D:D,""))</f>
        <v/>
      </c>
      <c r="I373" s="29"/>
      <c r="J373" s="28" t="str">
        <f>IFERROR(__xludf.DUMMYFUNCTION("IF($I372="""","""",IFERROR(INDEX(FILTER(Response_Lists!$B:$B,Response_Lists!$A:$A=$H373),1),""""))"),"")</f>
        <v/>
      </c>
      <c r="K373" s="28" t="str">
        <f>IFERROR(__xludf.DUMMYFUNCTION("IF($I372="""","""",IFERROR(INDEX(FILTER(Response_Lists!$B:$B,Response_Lists!$A:$A=$H373),2),""""))"),"")</f>
        <v/>
      </c>
      <c r="L373" s="28" t="str">
        <f>IFERROR(__xludf.DUMMYFUNCTION("IF($I372="""","""",IFERROR(INDEX(FILTER(Response_Lists!$B:$B,Response_Lists!$A:$A=$H373),3),""""))"),"")</f>
        <v/>
      </c>
      <c r="M373" s="28" t="str">
        <f>IFERROR(__xludf.DUMMYFUNCTION("IF($I372="""","""",IFERROR(INDEX(FILTER(Response_Lists!$B:$B,Response_Lists!$A:$A=$H373),4),""""))"),"")</f>
        <v/>
      </c>
      <c r="N373" s="28" t="str">
        <f>IFERROR(__xludf.DUMMYFUNCTION("IF($I372="""","""",IFERROR(INDEX(FILTER(Response_Lists!$B:$B,Response_Lists!$A:$A=$H373),5),""""))"),"")</f>
        <v/>
      </c>
      <c r="O373" s="28" t="str">
        <f>IFERROR(__xludf.DUMMYFUNCTION("IF($I372="""","""",IFERROR(INDEX(FILTER(Response_Lists!$B:$B,Response_Lists!$A:$A=$H373),6),""""))"),"")</f>
        <v/>
      </c>
      <c r="P373" s="28" t="str">
        <f t="shared" si="6"/>
        <v/>
      </c>
      <c r="Q373" s="28" t="str">
        <f t="array" ref="Q373">IF($I372="","",XLOOKUP(C373,FSM_State_Map!A:A,FSM_State_Map!D:D,""))</f>
        <v/>
      </c>
      <c r="R373" s="28" t="str">
        <f t="shared" si="7"/>
        <v/>
      </c>
      <c r="S373" s="28" t="str">
        <f t="array" ref="S373">IF($I372="","",
IF(
  AND(C373="B",C372&lt;&gt;"B"),
  XLOOKUP($B373,Derived_Variables!$A:$A,Derived_Variables!$K:$K,0)
  + XLOOKUP($B373,Derived_Variables!$A:$A,Derived_Variables!$AE:$AE,0),
  S372+AM372
))</f>
        <v/>
      </c>
      <c r="T373" s="28" t="str">
        <f t="shared" ref="T373:U373" si="756">IF($I372="","",T372+AN372)</f>
        <v/>
      </c>
      <c r="U373" s="28" t="str">
        <f t="shared" si="756"/>
        <v/>
      </c>
      <c r="V373" s="28" t="str">
        <f t="array" ref="V373">IF($I372="","",
IF(
  AND(C373="D",C372&lt;&gt;"D"),
  XLOOKUP($B373,Derived_Variables!$A:$A,Derived_Variables!$N:$N,0)
  + XLOOKUP($B373,Derived_Variables!$A:$A,Derived_Variables!$AE:$AE,0),
  V372+AP372
))</f>
        <v/>
      </c>
      <c r="W373" s="28" t="str">
        <f t="shared" ref="W373:X373" si="757">IF($I372="","",W372+AQ372)</f>
        <v/>
      </c>
      <c r="X373" s="28" t="str">
        <f t="shared" si="757"/>
        <v/>
      </c>
      <c r="Y373" s="28" t="str">
        <f t="array" ref="Y373">IF($I372="","",IF(AND(C373="P",C372&lt;&gt;"P"),IFERROR(XLOOKUP($B373,Lenso_Input!$A:$A,Lenso_Input!$E:$E,0),0),Y372+AS372))</f>
        <v/>
      </c>
      <c r="Z373" s="28" t="str">
        <f t="array" ref="Z373">IF($I372="","",IF(AND(C373="Q",C372&lt;&gt;"Q"),IFERROR(XLOOKUP($B373,Lenso_Input!$A:$A,Lenso_Input!$I:$I,0),0),Z372+AT372))</f>
        <v/>
      </c>
      <c r="AA373" s="28" t="str">
        <f t="array" ref="AA373">IF($I372="","",IF(XLOOKUP($B373,Derived_Variables!$A:$A,Derived_Variables!$R:$R,"6/6_target")="6/6_target","20_20_20","40_30_25"))</f>
        <v/>
      </c>
      <c r="AB373" s="28" t="str">
        <f t="array" ref="AB373">IF($I372="","",XLOOKUP(LOWER(XLOOKUP($B373,Derived_Variables!$A:$A,Derived_Variables!$T:$T,"Standard"))&amp;"_sph_step",Calibration!$B:$B,Calibration!$C:$C,0.25))</f>
        <v/>
      </c>
      <c r="AC373" s="28" t="str">
        <f t="array" ref="AC373">IF($I372="","",XLOOKUP(LOWER(XLOOKUP($B373,Derived_Variables!$A:$A,Derived_Variables!$T:$T,"Standard"))&amp;"_cyl_step",Calibration!$B:$B,Calibration!$C:$C,0.25))</f>
        <v/>
      </c>
      <c r="AD373" s="28" t="str">
        <f t="array" ref="AD373">IF($I372="","",IF(OR(C373="E",C373="H"),LET(startStep,XLOOKUP("axis_start_step",Calibration!$B:$B,Calibration!$C:$C,5),step1,XLOOKUP("axis_reversal_step_1",Calibration!$B:$B,Calibration!$C:$C,3),step2,XLOOKUP("axis_reversal_step_2",Calibration!$B:$B,Calibration!$C:$C,1),IF(OR(C372&lt;&gt;C373,AZ373="",AZ373="SAME",AZ373="CANT_TELL",I373="",I373="SAME",I373="CANT_TELL"),startStep,IF(OR(AND(AZ373="BETTER_1",I373="BETTER_2"),AND(AZ373="BETTER_2",I373="BETTER_1")),IF(AD372&gt;step1,step1,step2),AD372))),0))</f>
        <v/>
      </c>
      <c r="AE373" s="28" t="str">
        <f t="array" ref="AE373">IF($I372="","",XLOOKUP($B373,Derived_Variables!$A:$A,Derived_Variables!$AD:$AD,"No_Fog"))</f>
        <v/>
      </c>
      <c r="AF373" s="28" t="str">
        <f t="array" ref="AF373">IF($I372="","",XLOOKUP($B373,Derived_Variables!$A:$A,Derived_Variables!$AE:$AE,0))</f>
        <v/>
      </c>
      <c r="AG373" s="28" t="str">
        <f t="array" ref="AG373">IF($I372="","",XLOOKUP($B373,Derived_Variables!$A:$A,Derived_Variables!$AF:$AF,""))</f>
        <v/>
      </c>
      <c r="AH373" s="28" t="str">
        <f t="array" ref="AH373">IF($I372="","",XLOOKUP($B373,Derived_Variables!$A:$A,Derived_Variables!$AG:$AG,""))</f>
        <v/>
      </c>
      <c r="AI373" s="28" t="str">
        <f t="array" ref="AI373">IF($I372="","",XLOOKUP($B373,Derived_Variables!$A:$A,Derived_Variables!$AC:$AC,"Medium"))</f>
        <v/>
      </c>
      <c r="AJ373" s="28" t="str">
        <f t="array" ref="AJ373">IF($I372="","",XLOOKUP($B373,Derived_Variables!$A:$A,Derived_Variables!$Y:$Y,FALSE))</f>
        <v/>
      </c>
      <c r="AK373" s="28" t="str">
        <f t="array" ref="AK373">IF($I372="","",XLOOKUP($B373,Derived_Variables!$A:$A,Derived_Variables!$AA:$AA,"Normal"))</f>
        <v/>
      </c>
      <c r="AL373" s="28" t="str">
        <f t="array" ref="AL373">IF($I372="","",XLOOKUP($B373,Derived_Variables!$A:$A,Derived_Variables!$AB:$AB,"Normal"))</f>
        <v/>
      </c>
      <c r="AM373" s="28" t="str">
        <f t="array" ref="AM373">IF($I373="","",IFS(C373="B",IF(OR(I373="NOT_READABLE",I373="BLURRY"),-AB373,0),C373="G",IFS(I373="RED_CLEARER",XLOOKUP("duochrome_red_step",Calibration!$B:$B,Calibration!$C:$C,-0.25),I373="GREEN_CLEARER",XLOOKUP("duochrome_green_step",Calibration!$B:$B,Calibration!$C:$C,0.25),I373="EQUAL",IF(XLOOKUP($B373,Derived_Variables!$A:$A,Derived_Variables!$S:$S,"Neutral")="Undercorrect",XLOOKUP("undercorrect_step",Calibration!$B:$B,Calibration!$C:$C,0.25),IF(XLOOKUP($B373,Derived_Variables!$A:$A,Derived_Variables!$S:$S,"Neutral")="Overcorrect",-XLOOKUP("overcorrect_step",Calibration!$B:$B,Calibration!$C:$C,0.25),0)),TRUE,0),C373="K",IF(I373="TOP_CLEARER",XLOOKUP("bino_balance_step",Calibration!$B:$B,Calibration!$C:$C,0.25),0),TRUE,0))</f>
        <v/>
      </c>
      <c r="AN373" s="28" t="str">
        <f t="shared" si="10"/>
        <v/>
      </c>
      <c r="AO373" s="28" t="str">
        <f t="shared" si="11"/>
        <v/>
      </c>
      <c r="AP373" s="28" t="str">
        <f t="array" ref="AP373">IF($I373="","",IFS(C373="D",IF(OR(I373="NOT_READABLE",I373="BLURRY"),-AB373,0),C373="J",IFS(I373="RED_CLEARER",XLOOKUP("duochrome_red_step",Calibration!$B:$B,Calibration!$C:$C,-0.25),I373="GREEN_CLEARER",XLOOKUP("duochrome_green_step",Calibration!$B:$B,Calibration!$C:$C,0.25),I373="EQUAL",IF(XLOOKUP($B373,Derived_Variables!$A:$A,Derived_Variables!$S:$S,"Neutral")="Undercorrect",XLOOKUP("undercorrect_step",Calibration!$B:$B,Calibration!$C:$C,0.25),IF(XLOOKUP($B373,Derived_Variables!$A:$A,Derived_Variables!$S:$S,"Neutral")="Overcorrect",-XLOOKUP("overcorrect_step",Calibration!$B:$B,Calibration!$C:$C,0.25),0)),TRUE,0),C373="K",IF(I373="BOTTOM_CLEARER",XLOOKUP("bino_balance_step",Calibration!$B:$B,Calibration!$C:$C,0.25),0),TRUE,0))</f>
        <v/>
      </c>
      <c r="AQ373" s="28" t="str">
        <f t="shared" si="12"/>
        <v/>
      </c>
      <c r="AR373" s="28" t="str">
        <f t="shared" si="13"/>
        <v/>
      </c>
      <c r="AS373" s="28" t="str">
        <f t="array" ref="AS373">IF($I373="","",IF(C373="P",IF(OR(I373="NOT_READABLE",I373="BLURRY"),XLOOKUP("near_add_step",Calibration!$B:$B,Calibration!$C:$C,0.25),0),IF(C373="R",IF(I373="NOT_CLEAR",XLOOKUP("near_add_step",Calibration!$B:$B,Calibration!$C:$C,0.25),0),0)))</f>
        <v/>
      </c>
      <c r="AT373" s="28" t="str">
        <f t="array" ref="AT373">IF($I373="","",IF(C373="Q",IF(OR(I373="NOT_READABLE",I373="BLURRY"),XLOOKUP("near_add_step",Calibration!$B:$B,Calibration!$C:$C,0.25),0),IF(C373="R",IF(I373="NOT_CLEAR",XLOOKUP("near_add_step",Calibration!$B:$B,Calibration!$C:$C,0.25),0),0)))</f>
        <v/>
      </c>
      <c r="AU373" s="28" t="str">
        <f t="array" ref="AU373">IF($I373="","",IF(G373="SNELLEN_FEET",IF(I373="READABLE",IFERROR(XLOOKUP(XLOOKUP(R373,Chart_Scale_Distance!B:B,Chart_Scale_Distance!A:A)+1,Chart_Scale_Distance!A:A,Chart_Scale_Distance!B:B),R373),R373),R373))</f>
        <v/>
      </c>
      <c r="AV373" s="28" t="str">
        <f t="array" ref="AV373">IF($I372="","",IFERROR(XLOOKUP(R373,Chart_Scale_Distance!$B:$B,Chart_Scale_Distance!$A:$A,""),""))</f>
        <v/>
      </c>
      <c r="AW373" s="28" t="str">
        <f t="array" ref="AW373">IF($I372="","",IFERROR(XLOOKUP(AA373,Chart_Scale_Distance!$B:$B,Chart_Scale_Distance!$A:$A,""),""))</f>
        <v/>
      </c>
      <c r="AX373" s="28" t="str">
        <f t="shared" si="14"/>
        <v/>
      </c>
      <c r="AY373" s="28" t="str">
        <f t="shared" si="15"/>
        <v/>
      </c>
      <c r="AZ373" s="28" t="str">
        <f t="shared" si="16"/>
        <v/>
      </c>
      <c r="BA373" s="28" t="str">
        <f t="shared" si="17"/>
        <v/>
      </c>
      <c r="BB373" s="28" t="str">
        <f t="shared" si="18"/>
        <v/>
      </c>
      <c r="BC373" s="28" t="str">
        <f t="array" ref="BC373">IF($I373="","",LET(
conf,AI373,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duoMax,XLOOKUP($B373,Derived_Variables!$A:$A,Derived_Variables!$AI:$AI,4),
axisTol,XLOOKUP($B373,Derived_Variables!$A:$A,Derived_Variables!$W:$W,1),
maxStart,XLOOKUP($B373,Derived_Variables!$A:$A,Derived_Variables!$U:$U,1.25),
maxAR,XLOOKUP($B373,Derived_Variables!$A:$A,Derived_Variables!$V:$V,3),
anom,XLOOKUP($B373,Derived_Variables!$A:$A,Derived_Variables!$Z:$Z,FALSE),
reStart,XLOOKUP($B373,Derived_Variables!$A:$A,Derived_Variables!$K:$K,0),
leStart,XLOOKUP($B373,Derived_Variables!$A:$A,Derived_Variables!$N:$N,0),
reAR,XLOOKUP($B373,AR_Input!$A:$A,AR_Input!$B:$B,reStart),
leAR,XLOOKUP($B373,AR_Input!$A:$A,AR_Input!$E:$E,leStart),
reEsc,AND(anom,OR(ABS((S373+AM373)-reStart)&gt;maxStart,ABS((S373+AM373)-reAR)&gt;maxAR)),
leEsc,AND(anom,OR(ABS((V373+AP373)-leStart)&gt;maxStart,ABS((V373+AP373)-leAR)&gt;maxAR)),
phaseMax,IFS(
 AK373="Fast",
   IFS(
     OR(C373="B",C373="D"),XLOOKUP("timeout_coarse_fast",Calibration!$B:$B,Calibration!$C:$C,24),
     OR(C373="E",C373="F",C373="H",C373="I"),XLOOKUP("timeout_jcc_fast",Calibration!$B:$B,Calibration!$C:$C,10),
     OR(C373="G",C373="J"),XLOOKUP("timeout_duochrome_fast",Calibration!$B:$B,Calibration!$C:$C,8),
     C373="K",XLOOKUP("timeout_bino_fast",Calibration!$B:$B,Calibration!$C:$C,10),
     OR(C373="P",C373="Q",C373="R"),XLOOKUP("timeout_near_fast",Calibration!$B:$B,Calibration!$C:$C,16),
     TRUE,XLOOKUP("timeout_coarse_fast",Calibration!$B:$B,Calibration!$C:$C,24)
   ),
 AK373="Normal",
   IFS(
     OR(C373="B",C373="D"),XLOOKUP("timeout_coarse_normal",Calibration!$B:$B,Calibration!$C:$C,36),
     OR(C373="E",C373="F",C373="H",C373="I"),XLOOKUP("timeout_jcc_normal",Calibration!$B:$B,Calibration!$C:$C,14),
     OR(C373="G",C373="J"),XLOOKUP("timeout_duochrome_normal",Calibration!$B:$B,Calibration!$C:$C,10),
     C373="K",XLOOKUP("timeout_bino_normal",Calibration!$B:$B,Calibration!$C:$C,14),
     OR(C373="P",C373="Q",C373="R"),XLOOKUP("timeout_near_normal",Calibration!$B:$B,Calibration!$C:$C,22),
     TRUE,XLOOKUP("timeout_coarse_normal",Calibration!$B:$B,Calibration!$C:$C,36)
   ),
 TRUE,
   IFS(
     OR(C373="B",C373="D"),XLOOKUP("timeout_coarse_slow",Calibration!$B:$B,Calibration!$C:$C,48),
     OR(C373="E",C373="F",C373="H",C373="I"),XLOOKUP("timeout_jcc_slow",Calibration!$B:$B,Calibration!$C:$C,18),
     OR(C373="G",C373="J"),XLOOKUP("timeout_duochrome_slow",Calibration!$B:$B,Calibration!$C:$C,12),
     C373="K",XLOOKUP("timeout_bino_slow",Calibration!$B:$B,Calibration!$C:$C,18),
     OR(C373="P",C373="Q",C373="R"),XLOOKUP("timeout_near_slow",Calibration!$B:$B,Calibration!$C:$C,28),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AJ373=TRUE,"ESCALATE",
C373="A",
IF(OR(I373="NOT_READABLE",I373="BLURRY",AND(R373="20_20_20",I373="READABLE")),"B","A"),
C373="B",
IF(reEsc,"ESCALATE",IF(AY373&gt;=phaseMax,"ESCALATE",IF(AND(AV373&gt;=AW373,I373="READABLE"),"E","B"))),
C373="E",
IF(AY373&gt;=phaseMax,"ESCALATE",IF(OR(I373="SAME",I373="CANT_TELL",AD373&lt;axisTol),"F","E")),
C373="F",
IF(AY373&gt;=phaseMax,"ESCALATE",IF(AX373&gt;=powerSameN,"G","F")),
C373="G",
IF(AY373&gt;=phaseMax,"ESCALATE",IF(OR(AX373&gt;=duoEqualN,BB373&gt;=duoMax),"D","G")),
C373="D",
IF(leEsc,"ESCALATE",IF(AY373&gt;=phaseMax,"ESCALATE",IF(AND(AV373&gt;=AW373,I373="READABLE"),"H","D"))),
C373="H",
IF(AY373&gt;=phaseMax,"ESCALATE",IF(OR(I373="SAME",I373="CANT_TELL",AD373&lt;axisTol),"I","H")),
C373="I",
IF(AY373&gt;=phaseMax,"ESCALATE",IF(AX373&gt;=powerSameN,"J","I")),
C373="J",
IF(AY373&gt;=phaseMax,"ESCALATE",IF(OR(AX373&gt;=duoEqualN,BB373&gt;=duoMax),"K","J")),
C373="K",
IF(AY373&gt;=phaseMax,"ESCALATE",IF(AX373&gt;=binoSameN,IF(XLOOKUP($B373,Derived_Variables!$A:$A,Derived_Variables!$AJ:$AJ,FALSE)=TRUE,"P","END"),"K")),
C373="P",
IF(AY373&gt;=phaseMax,"ESCALATE",IF(OR(I373="READABLE",I373="SAME"),"Q","P")),
C373="Q",
IF(AY373&gt;=phaseMax,"ESCALATE",IF(OR(I373="READABLE",I373="SAME"),"R","Q")),
C373="R",
IF(AY373&gt;=phaseMax,"ESCALATE",IF(OR(I373=nearTarget,I373="SAME"),"END","R")),
TRUE,"END"
)))</f>
        <v/>
      </c>
      <c r="BD373" s="28" t="b">
        <f t="shared" si="19"/>
        <v>0</v>
      </c>
    </row>
    <row r="374" ht="15.75" customHeight="1">
      <c r="A374" s="28">
        <f t="shared" si="3"/>
        <v>373</v>
      </c>
      <c r="B374" s="28">
        <f t="shared" si="4"/>
        <v>6</v>
      </c>
      <c r="C374" s="28" t="str">
        <f t="shared" si="5"/>
        <v/>
      </c>
      <c r="D374" s="28" t="str">
        <f t="array" ref="D374">IF($I373="","",XLOOKUP(C374,FSM_State_Map!A:A,FSM_State_Map!B:B,""))</f>
        <v/>
      </c>
      <c r="E374" s="28" t="str">
        <f t="array" ref="E374">IF($I373="","",XLOOKUP(C374,FSM_State_Map!A:A,FSM_State_Map!C:C,""))</f>
        <v/>
      </c>
      <c r="F374" s="28" t="str">
        <f t="array" ref="F374">IF($I373="","",XLOOKUP(E374,Phase_UI_Map!A:A,Phase_UI_Map!B:B,""))</f>
        <v/>
      </c>
      <c r="G374" s="28" t="str">
        <f t="array" ref="G374">IF($I373="","",XLOOKUP(E374,Phase_UI_Map!A:A,Phase_UI_Map!C:C,""))</f>
        <v/>
      </c>
      <c r="H374" s="28" t="str">
        <f t="array" ref="H374">IF($I373="","",XLOOKUP(E374,Phase_UI_Map!A:A,Phase_UI_Map!D:D,""))</f>
        <v/>
      </c>
      <c r="I374" s="29"/>
      <c r="J374" s="28" t="str">
        <f>IFERROR(__xludf.DUMMYFUNCTION("IF($I373="""","""",IFERROR(INDEX(FILTER(Response_Lists!$B:$B,Response_Lists!$A:$A=$H374),1),""""))"),"")</f>
        <v/>
      </c>
      <c r="K374" s="28" t="str">
        <f>IFERROR(__xludf.DUMMYFUNCTION("IF($I373="""","""",IFERROR(INDEX(FILTER(Response_Lists!$B:$B,Response_Lists!$A:$A=$H374),2),""""))"),"")</f>
        <v/>
      </c>
      <c r="L374" s="28" t="str">
        <f>IFERROR(__xludf.DUMMYFUNCTION("IF($I373="""","""",IFERROR(INDEX(FILTER(Response_Lists!$B:$B,Response_Lists!$A:$A=$H374),3),""""))"),"")</f>
        <v/>
      </c>
      <c r="M374" s="28" t="str">
        <f>IFERROR(__xludf.DUMMYFUNCTION("IF($I373="""","""",IFERROR(INDEX(FILTER(Response_Lists!$B:$B,Response_Lists!$A:$A=$H374),4),""""))"),"")</f>
        <v/>
      </c>
      <c r="N374" s="28" t="str">
        <f>IFERROR(__xludf.DUMMYFUNCTION("IF($I373="""","""",IFERROR(INDEX(FILTER(Response_Lists!$B:$B,Response_Lists!$A:$A=$H374),5),""""))"),"")</f>
        <v/>
      </c>
      <c r="O374" s="28" t="str">
        <f>IFERROR(__xludf.DUMMYFUNCTION("IF($I373="""","""",IFERROR(INDEX(FILTER(Response_Lists!$B:$B,Response_Lists!$A:$A=$H374),6),""""))"),"")</f>
        <v/>
      </c>
      <c r="P374" s="28" t="str">
        <f t="shared" si="6"/>
        <v/>
      </c>
      <c r="Q374" s="28" t="str">
        <f t="array" ref="Q374">IF($I373="","",XLOOKUP(C374,FSM_State_Map!A:A,FSM_State_Map!D:D,""))</f>
        <v/>
      </c>
      <c r="R374" s="28" t="str">
        <f t="shared" si="7"/>
        <v/>
      </c>
      <c r="S374" s="28" t="str">
        <f t="array" ref="S374">IF($I373="","",
IF(
  AND(C374="B",C373&lt;&gt;"B"),
  XLOOKUP($B374,Derived_Variables!$A:$A,Derived_Variables!$K:$K,0)
  + XLOOKUP($B374,Derived_Variables!$A:$A,Derived_Variables!$AE:$AE,0),
  S373+AM373
))</f>
        <v/>
      </c>
      <c r="T374" s="28" t="str">
        <f t="shared" ref="T374:U374" si="758">IF($I373="","",T373+AN373)</f>
        <v/>
      </c>
      <c r="U374" s="28" t="str">
        <f t="shared" si="758"/>
        <v/>
      </c>
      <c r="V374" s="28" t="str">
        <f t="array" ref="V374">IF($I373="","",
IF(
  AND(C374="D",C373&lt;&gt;"D"),
  XLOOKUP($B374,Derived_Variables!$A:$A,Derived_Variables!$N:$N,0)
  + XLOOKUP($B374,Derived_Variables!$A:$A,Derived_Variables!$AE:$AE,0),
  V373+AP373
))</f>
        <v/>
      </c>
      <c r="W374" s="28" t="str">
        <f t="shared" ref="W374:X374" si="759">IF($I373="","",W373+AQ373)</f>
        <v/>
      </c>
      <c r="X374" s="28" t="str">
        <f t="shared" si="759"/>
        <v/>
      </c>
      <c r="Y374" s="28" t="str">
        <f t="array" ref="Y374">IF($I373="","",IF(AND(C374="P",C373&lt;&gt;"P"),IFERROR(XLOOKUP($B374,Lenso_Input!$A:$A,Lenso_Input!$E:$E,0),0),Y373+AS373))</f>
        <v/>
      </c>
      <c r="Z374" s="28" t="str">
        <f t="array" ref="Z374">IF($I373="","",IF(AND(C374="Q",C373&lt;&gt;"Q"),IFERROR(XLOOKUP($B374,Lenso_Input!$A:$A,Lenso_Input!$I:$I,0),0),Z373+AT373))</f>
        <v/>
      </c>
      <c r="AA374" s="28" t="str">
        <f t="array" ref="AA374">IF($I373="","",IF(XLOOKUP($B374,Derived_Variables!$A:$A,Derived_Variables!$R:$R,"6/6_target")="6/6_target","20_20_20","40_30_25"))</f>
        <v/>
      </c>
      <c r="AB374" s="28" t="str">
        <f t="array" ref="AB374">IF($I373="","",XLOOKUP(LOWER(XLOOKUP($B374,Derived_Variables!$A:$A,Derived_Variables!$T:$T,"Standard"))&amp;"_sph_step",Calibration!$B:$B,Calibration!$C:$C,0.25))</f>
        <v/>
      </c>
      <c r="AC374" s="28" t="str">
        <f t="array" ref="AC374">IF($I373="","",XLOOKUP(LOWER(XLOOKUP($B374,Derived_Variables!$A:$A,Derived_Variables!$T:$T,"Standard"))&amp;"_cyl_step",Calibration!$B:$B,Calibration!$C:$C,0.25))</f>
        <v/>
      </c>
      <c r="AD374" s="28" t="str">
        <f t="array" ref="AD374">IF($I373="","",IF(OR(C374="E",C374="H"),LET(startStep,XLOOKUP("axis_start_step",Calibration!$B:$B,Calibration!$C:$C,5),step1,XLOOKUP("axis_reversal_step_1",Calibration!$B:$B,Calibration!$C:$C,3),step2,XLOOKUP("axis_reversal_step_2",Calibration!$B:$B,Calibration!$C:$C,1),IF(OR(C373&lt;&gt;C374,AZ374="",AZ374="SAME",AZ374="CANT_TELL",I374="",I374="SAME",I374="CANT_TELL"),startStep,IF(OR(AND(AZ374="BETTER_1",I374="BETTER_2"),AND(AZ374="BETTER_2",I374="BETTER_1")),IF(AD373&gt;step1,step1,step2),AD373))),0))</f>
        <v/>
      </c>
      <c r="AE374" s="28" t="str">
        <f t="array" ref="AE374">IF($I373="","",XLOOKUP($B374,Derived_Variables!$A:$A,Derived_Variables!$AD:$AD,"No_Fog"))</f>
        <v/>
      </c>
      <c r="AF374" s="28" t="str">
        <f t="array" ref="AF374">IF($I373="","",XLOOKUP($B374,Derived_Variables!$A:$A,Derived_Variables!$AE:$AE,0))</f>
        <v/>
      </c>
      <c r="AG374" s="28" t="str">
        <f t="array" ref="AG374">IF($I373="","",XLOOKUP($B374,Derived_Variables!$A:$A,Derived_Variables!$AF:$AF,""))</f>
        <v/>
      </c>
      <c r="AH374" s="28" t="str">
        <f t="array" ref="AH374">IF($I373="","",XLOOKUP($B374,Derived_Variables!$A:$A,Derived_Variables!$AG:$AG,""))</f>
        <v/>
      </c>
      <c r="AI374" s="28" t="str">
        <f t="array" ref="AI374">IF($I373="","",XLOOKUP($B374,Derived_Variables!$A:$A,Derived_Variables!$AC:$AC,"Medium"))</f>
        <v/>
      </c>
      <c r="AJ374" s="28" t="str">
        <f t="array" ref="AJ374">IF($I373="","",XLOOKUP($B374,Derived_Variables!$A:$A,Derived_Variables!$Y:$Y,FALSE))</f>
        <v/>
      </c>
      <c r="AK374" s="28" t="str">
        <f t="array" ref="AK374">IF($I373="","",XLOOKUP($B374,Derived_Variables!$A:$A,Derived_Variables!$AA:$AA,"Normal"))</f>
        <v/>
      </c>
      <c r="AL374" s="28" t="str">
        <f t="array" ref="AL374">IF($I373="","",XLOOKUP($B374,Derived_Variables!$A:$A,Derived_Variables!$AB:$AB,"Normal"))</f>
        <v/>
      </c>
      <c r="AM374" s="28" t="str">
        <f t="array" ref="AM374">IF($I374="","",IFS(C374="B",IF(OR(I374="NOT_READABLE",I374="BLURRY"),-AB374,0),C374="G",IFS(I374="RED_CLEARER",XLOOKUP("duochrome_red_step",Calibration!$B:$B,Calibration!$C:$C,-0.25),I374="GREEN_CLEARER",XLOOKUP("duochrome_green_step",Calibration!$B:$B,Calibration!$C:$C,0.25),I374="EQUAL",IF(XLOOKUP($B374,Derived_Variables!$A:$A,Derived_Variables!$S:$S,"Neutral")="Undercorrect",XLOOKUP("undercorrect_step",Calibration!$B:$B,Calibration!$C:$C,0.25),IF(XLOOKUP($B374,Derived_Variables!$A:$A,Derived_Variables!$S:$S,"Neutral")="Overcorrect",-XLOOKUP("overcorrect_step",Calibration!$B:$B,Calibration!$C:$C,0.25),0)),TRUE,0),C374="K",IF(I374="TOP_CLEARER",XLOOKUP("bino_balance_step",Calibration!$B:$B,Calibration!$C:$C,0.25),0),TRUE,0))</f>
        <v/>
      </c>
      <c r="AN374" s="28" t="str">
        <f t="shared" si="10"/>
        <v/>
      </c>
      <c r="AO374" s="28" t="str">
        <f t="shared" si="11"/>
        <v/>
      </c>
      <c r="AP374" s="28" t="str">
        <f t="array" ref="AP374">IF($I374="","",IFS(C374="D",IF(OR(I374="NOT_READABLE",I374="BLURRY"),-AB374,0),C374="J",IFS(I374="RED_CLEARER",XLOOKUP("duochrome_red_step",Calibration!$B:$B,Calibration!$C:$C,-0.25),I374="GREEN_CLEARER",XLOOKUP("duochrome_green_step",Calibration!$B:$B,Calibration!$C:$C,0.25),I374="EQUAL",IF(XLOOKUP($B374,Derived_Variables!$A:$A,Derived_Variables!$S:$S,"Neutral")="Undercorrect",XLOOKUP("undercorrect_step",Calibration!$B:$B,Calibration!$C:$C,0.25),IF(XLOOKUP($B374,Derived_Variables!$A:$A,Derived_Variables!$S:$S,"Neutral")="Overcorrect",-XLOOKUP("overcorrect_step",Calibration!$B:$B,Calibration!$C:$C,0.25),0)),TRUE,0),C374="K",IF(I374="BOTTOM_CLEARER",XLOOKUP("bino_balance_step",Calibration!$B:$B,Calibration!$C:$C,0.25),0),TRUE,0))</f>
        <v/>
      </c>
      <c r="AQ374" s="28" t="str">
        <f t="shared" si="12"/>
        <v/>
      </c>
      <c r="AR374" s="28" t="str">
        <f t="shared" si="13"/>
        <v/>
      </c>
      <c r="AS374" s="28" t="str">
        <f t="array" ref="AS374">IF($I374="","",IF(C374="P",IF(OR(I374="NOT_READABLE",I374="BLURRY"),XLOOKUP("near_add_step",Calibration!$B:$B,Calibration!$C:$C,0.25),0),IF(C374="R",IF(I374="NOT_CLEAR",XLOOKUP("near_add_step",Calibration!$B:$B,Calibration!$C:$C,0.25),0),0)))</f>
        <v/>
      </c>
      <c r="AT374" s="28" t="str">
        <f t="array" ref="AT374">IF($I374="","",IF(C374="Q",IF(OR(I374="NOT_READABLE",I374="BLURRY"),XLOOKUP("near_add_step",Calibration!$B:$B,Calibration!$C:$C,0.25),0),IF(C374="R",IF(I374="NOT_CLEAR",XLOOKUP("near_add_step",Calibration!$B:$B,Calibration!$C:$C,0.25),0),0)))</f>
        <v/>
      </c>
      <c r="AU374" s="28" t="str">
        <f t="array" ref="AU374">IF($I374="","",IF(G374="SNELLEN_FEET",IF(I374="READABLE",IFERROR(XLOOKUP(XLOOKUP(R374,Chart_Scale_Distance!B:B,Chart_Scale_Distance!A:A)+1,Chart_Scale_Distance!A:A,Chart_Scale_Distance!B:B),R374),R374),R374))</f>
        <v/>
      </c>
      <c r="AV374" s="28" t="str">
        <f t="array" ref="AV374">IF($I373="","",IFERROR(XLOOKUP(R374,Chart_Scale_Distance!$B:$B,Chart_Scale_Distance!$A:$A,""),""))</f>
        <v/>
      </c>
      <c r="AW374" s="28" t="str">
        <f t="array" ref="AW374">IF($I373="","",IFERROR(XLOOKUP(AA374,Chart_Scale_Distance!$B:$B,Chart_Scale_Distance!$A:$A,""),""))</f>
        <v/>
      </c>
      <c r="AX374" s="28" t="str">
        <f t="shared" si="14"/>
        <v/>
      </c>
      <c r="AY374" s="28" t="str">
        <f t="shared" si="15"/>
        <v/>
      </c>
      <c r="AZ374" s="28" t="str">
        <f t="shared" si="16"/>
        <v/>
      </c>
      <c r="BA374" s="28" t="str">
        <f t="shared" si="17"/>
        <v/>
      </c>
      <c r="BB374" s="28" t="str">
        <f t="shared" si="18"/>
        <v/>
      </c>
      <c r="BC374" s="28" t="str">
        <f t="array" ref="BC374">IF($I374="","",LET(
conf,AI374,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duoMax,XLOOKUP($B374,Derived_Variables!$A:$A,Derived_Variables!$AI:$AI,4),
axisTol,XLOOKUP($B374,Derived_Variables!$A:$A,Derived_Variables!$W:$W,1),
maxStart,XLOOKUP($B374,Derived_Variables!$A:$A,Derived_Variables!$U:$U,1.25),
maxAR,XLOOKUP($B374,Derived_Variables!$A:$A,Derived_Variables!$V:$V,3),
anom,XLOOKUP($B374,Derived_Variables!$A:$A,Derived_Variables!$Z:$Z,FALSE),
reStart,XLOOKUP($B374,Derived_Variables!$A:$A,Derived_Variables!$K:$K,0),
leStart,XLOOKUP($B374,Derived_Variables!$A:$A,Derived_Variables!$N:$N,0),
reAR,XLOOKUP($B374,AR_Input!$A:$A,AR_Input!$B:$B,reStart),
leAR,XLOOKUP($B374,AR_Input!$A:$A,AR_Input!$E:$E,leStart),
reEsc,AND(anom,OR(ABS((S374+AM374)-reStart)&gt;maxStart,ABS((S374+AM374)-reAR)&gt;maxAR)),
leEsc,AND(anom,OR(ABS((V374+AP374)-leStart)&gt;maxStart,ABS((V374+AP374)-leAR)&gt;maxAR)),
phaseMax,IFS(
 AK374="Fast",
   IFS(
     OR(C374="B",C374="D"),XLOOKUP("timeout_coarse_fast",Calibration!$B:$B,Calibration!$C:$C,24),
     OR(C374="E",C374="F",C374="H",C374="I"),XLOOKUP("timeout_jcc_fast",Calibration!$B:$B,Calibration!$C:$C,10),
     OR(C374="G",C374="J"),XLOOKUP("timeout_duochrome_fast",Calibration!$B:$B,Calibration!$C:$C,8),
     C374="K",XLOOKUP("timeout_bino_fast",Calibration!$B:$B,Calibration!$C:$C,10),
     OR(C374="P",C374="Q",C374="R"),XLOOKUP("timeout_near_fast",Calibration!$B:$B,Calibration!$C:$C,16),
     TRUE,XLOOKUP("timeout_coarse_fast",Calibration!$B:$B,Calibration!$C:$C,24)
   ),
 AK374="Normal",
   IFS(
     OR(C374="B",C374="D"),XLOOKUP("timeout_coarse_normal",Calibration!$B:$B,Calibration!$C:$C,36),
     OR(C374="E",C374="F",C374="H",C374="I"),XLOOKUP("timeout_jcc_normal",Calibration!$B:$B,Calibration!$C:$C,14),
     OR(C374="G",C374="J"),XLOOKUP("timeout_duochrome_normal",Calibration!$B:$B,Calibration!$C:$C,10),
     C374="K",XLOOKUP("timeout_bino_normal",Calibration!$B:$B,Calibration!$C:$C,14),
     OR(C374="P",C374="Q",C374="R"),XLOOKUP("timeout_near_normal",Calibration!$B:$B,Calibration!$C:$C,22),
     TRUE,XLOOKUP("timeout_coarse_normal",Calibration!$B:$B,Calibration!$C:$C,36)
   ),
 TRUE,
   IFS(
     OR(C374="B",C374="D"),XLOOKUP("timeout_coarse_slow",Calibration!$B:$B,Calibration!$C:$C,48),
     OR(C374="E",C374="F",C374="H",C374="I"),XLOOKUP("timeout_jcc_slow",Calibration!$B:$B,Calibration!$C:$C,18),
     OR(C374="G",C374="J"),XLOOKUP("timeout_duochrome_slow",Calibration!$B:$B,Calibration!$C:$C,12),
     C374="K",XLOOKUP("timeout_bino_slow",Calibration!$B:$B,Calibration!$C:$C,18),
     OR(C374="P",C374="Q",C374="R"),XLOOKUP("timeout_near_slow",Calibration!$B:$B,Calibration!$C:$C,28),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AJ374=TRUE,"ESCALATE",
C374="A",
IF(OR(I374="NOT_READABLE",I374="BLURRY",AND(R374="20_20_20",I374="READABLE")),"B","A"),
C374="B",
IF(reEsc,"ESCALATE",IF(AY374&gt;=phaseMax,"ESCALATE",IF(AND(AV374&gt;=AW374,I374="READABLE"),"E","B"))),
C374="E",
IF(AY374&gt;=phaseMax,"ESCALATE",IF(OR(I374="SAME",I374="CANT_TELL",AD374&lt;axisTol),"F","E")),
C374="F",
IF(AY374&gt;=phaseMax,"ESCALATE",IF(AX374&gt;=powerSameN,"G","F")),
C374="G",
IF(AY374&gt;=phaseMax,"ESCALATE",IF(OR(AX374&gt;=duoEqualN,BB374&gt;=duoMax),"D","G")),
C374="D",
IF(leEsc,"ESCALATE",IF(AY374&gt;=phaseMax,"ESCALATE",IF(AND(AV374&gt;=AW374,I374="READABLE"),"H","D"))),
C374="H",
IF(AY374&gt;=phaseMax,"ESCALATE",IF(OR(I374="SAME",I374="CANT_TELL",AD374&lt;axisTol),"I","H")),
C374="I",
IF(AY374&gt;=phaseMax,"ESCALATE",IF(AX374&gt;=powerSameN,"J","I")),
C374="J",
IF(AY374&gt;=phaseMax,"ESCALATE",IF(OR(AX374&gt;=duoEqualN,BB374&gt;=duoMax),"K","J")),
C374="K",
IF(AY374&gt;=phaseMax,"ESCALATE",IF(AX374&gt;=binoSameN,IF(XLOOKUP($B374,Derived_Variables!$A:$A,Derived_Variables!$AJ:$AJ,FALSE)=TRUE,"P","END"),"K")),
C374="P",
IF(AY374&gt;=phaseMax,"ESCALATE",IF(OR(I374="READABLE",I374="SAME"),"Q","P")),
C374="Q",
IF(AY374&gt;=phaseMax,"ESCALATE",IF(OR(I374="READABLE",I374="SAME"),"R","Q")),
C374="R",
IF(AY374&gt;=phaseMax,"ESCALATE",IF(OR(I374=nearTarget,I374="SAME"),"END","R")),
TRUE,"END"
)))</f>
        <v/>
      </c>
      <c r="BD374" s="28" t="b">
        <f t="shared" si="19"/>
        <v>0</v>
      </c>
    </row>
    <row r="375" ht="15.75" customHeight="1">
      <c r="A375" s="28">
        <f t="shared" si="3"/>
        <v>374</v>
      </c>
      <c r="B375" s="28">
        <f t="shared" si="4"/>
        <v>6</v>
      </c>
      <c r="C375" s="28" t="str">
        <f t="shared" si="5"/>
        <v/>
      </c>
      <c r="D375" s="28" t="str">
        <f t="array" ref="D375">IF($I374="","",XLOOKUP(C375,FSM_State_Map!A:A,FSM_State_Map!B:B,""))</f>
        <v/>
      </c>
      <c r="E375" s="28" t="str">
        <f t="array" ref="E375">IF($I374="","",XLOOKUP(C375,FSM_State_Map!A:A,FSM_State_Map!C:C,""))</f>
        <v/>
      </c>
      <c r="F375" s="28" t="str">
        <f t="array" ref="F375">IF($I374="","",XLOOKUP(E375,Phase_UI_Map!A:A,Phase_UI_Map!B:B,""))</f>
        <v/>
      </c>
      <c r="G375" s="28" t="str">
        <f t="array" ref="G375">IF($I374="","",XLOOKUP(E375,Phase_UI_Map!A:A,Phase_UI_Map!C:C,""))</f>
        <v/>
      </c>
      <c r="H375" s="28" t="str">
        <f t="array" ref="H375">IF($I374="","",XLOOKUP(E375,Phase_UI_Map!A:A,Phase_UI_Map!D:D,""))</f>
        <v/>
      </c>
      <c r="I375" s="29"/>
      <c r="J375" s="28" t="str">
        <f>IFERROR(__xludf.DUMMYFUNCTION("IF($I374="""","""",IFERROR(INDEX(FILTER(Response_Lists!$B:$B,Response_Lists!$A:$A=$H375),1),""""))"),"")</f>
        <v/>
      </c>
      <c r="K375" s="28" t="str">
        <f>IFERROR(__xludf.DUMMYFUNCTION("IF($I374="""","""",IFERROR(INDEX(FILTER(Response_Lists!$B:$B,Response_Lists!$A:$A=$H375),2),""""))"),"")</f>
        <v/>
      </c>
      <c r="L375" s="28" t="str">
        <f>IFERROR(__xludf.DUMMYFUNCTION("IF($I374="""","""",IFERROR(INDEX(FILTER(Response_Lists!$B:$B,Response_Lists!$A:$A=$H375),3),""""))"),"")</f>
        <v/>
      </c>
      <c r="M375" s="28" t="str">
        <f>IFERROR(__xludf.DUMMYFUNCTION("IF($I374="""","""",IFERROR(INDEX(FILTER(Response_Lists!$B:$B,Response_Lists!$A:$A=$H375),4),""""))"),"")</f>
        <v/>
      </c>
      <c r="N375" s="28" t="str">
        <f>IFERROR(__xludf.DUMMYFUNCTION("IF($I374="""","""",IFERROR(INDEX(FILTER(Response_Lists!$B:$B,Response_Lists!$A:$A=$H375),5),""""))"),"")</f>
        <v/>
      </c>
      <c r="O375" s="28" t="str">
        <f>IFERROR(__xludf.DUMMYFUNCTION("IF($I374="""","""",IFERROR(INDEX(FILTER(Response_Lists!$B:$B,Response_Lists!$A:$A=$H375),6),""""))"),"")</f>
        <v/>
      </c>
      <c r="P375" s="28" t="str">
        <f t="shared" si="6"/>
        <v/>
      </c>
      <c r="Q375" s="28" t="str">
        <f t="array" ref="Q375">IF($I374="","",XLOOKUP(C375,FSM_State_Map!A:A,FSM_State_Map!D:D,""))</f>
        <v/>
      </c>
      <c r="R375" s="28" t="str">
        <f t="shared" si="7"/>
        <v/>
      </c>
      <c r="S375" s="28" t="str">
        <f t="array" ref="S375">IF($I374="","",
IF(
  AND(C375="B",C374&lt;&gt;"B"),
  XLOOKUP($B375,Derived_Variables!$A:$A,Derived_Variables!$K:$K,0)
  + XLOOKUP($B375,Derived_Variables!$A:$A,Derived_Variables!$AE:$AE,0),
  S374+AM374
))</f>
        <v/>
      </c>
      <c r="T375" s="28" t="str">
        <f t="shared" ref="T375:U375" si="760">IF($I374="","",T374+AN374)</f>
        <v/>
      </c>
      <c r="U375" s="28" t="str">
        <f t="shared" si="760"/>
        <v/>
      </c>
      <c r="V375" s="28" t="str">
        <f t="array" ref="V375">IF($I374="","",
IF(
  AND(C375="D",C374&lt;&gt;"D"),
  XLOOKUP($B375,Derived_Variables!$A:$A,Derived_Variables!$N:$N,0)
  + XLOOKUP($B375,Derived_Variables!$A:$A,Derived_Variables!$AE:$AE,0),
  V374+AP374
))</f>
        <v/>
      </c>
      <c r="W375" s="28" t="str">
        <f t="shared" ref="W375:X375" si="761">IF($I374="","",W374+AQ374)</f>
        <v/>
      </c>
      <c r="X375" s="28" t="str">
        <f t="shared" si="761"/>
        <v/>
      </c>
      <c r="Y375" s="28" t="str">
        <f t="array" ref="Y375">IF($I374="","",IF(AND(C375="P",C374&lt;&gt;"P"),IFERROR(XLOOKUP($B375,Lenso_Input!$A:$A,Lenso_Input!$E:$E,0),0),Y374+AS374))</f>
        <v/>
      </c>
      <c r="Z375" s="28" t="str">
        <f t="array" ref="Z375">IF($I374="","",IF(AND(C375="Q",C374&lt;&gt;"Q"),IFERROR(XLOOKUP($B375,Lenso_Input!$A:$A,Lenso_Input!$I:$I,0),0),Z374+AT374))</f>
        <v/>
      </c>
      <c r="AA375" s="28" t="str">
        <f t="array" ref="AA375">IF($I374="","",IF(XLOOKUP($B375,Derived_Variables!$A:$A,Derived_Variables!$R:$R,"6/6_target")="6/6_target","20_20_20","40_30_25"))</f>
        <v/>
      </c>
      <c r="AB375" s="28" t="str">
        <f t="array" ref="AB375">IF($I374="","",XLOOKUP(LOWER(XLOOKUP($B375,Derived_Variables!$A:$A,Derived_Variables!$T:$T,"Standard"))&amp;"_sph_step",Calibration!$B:$B,Calibration!$C:$C,0.25))</f>
        <v/>
      </c>
      <c r="AC375" s="28" t="str">
        <f t="array" ref="AC375">IF($I374="","",XLOOKUP(LOWER(XLOOKUP($B375,Derived_Variables!$A:$A,Derived_Variables!$T:$T,"Standard"))&amp;"_cyl_step",Calibration!$B:$B,Calibration!$C:$C,0.25))</f>
        <v/>
      </c>
      <c r="AD375" s="28" t="str">
        <f t="array" ref="AD375">IF($I374="","",IF(OR(C375="E",C375="H"),LET(startStep,XLOOKUP("axis_start_step",Calibration!$B:$B,Calibration!$C:$C,5),step1,XLOOKUP("axis_reversal_step_1",Calibration!$B:$B,Calibration!$C:$C,3),step2,XLOOKUP("axis_reversal_step_2",Calibration!$B:$B,Calibration!$C:$C,1),IF(OR(C374&lt;&gt;C375,AZ375="",AZ375="SAME",AZ375="CANT_TELL",I375="",I375="SAME",I375="CANT_TELL"),startStep,IF(OR(AND(AZ375="BETTER_1",I375="BETTER_2"),AND(AZ375="BETTER_2",I375="BETTER_1")),IF(AD374&gt;step1,step1,step2),AD374))),0))</f>
        <v/>
      </c>
      <c r="AE375" s="28" t="str">
        <f t="array" ref="AE375">IF($I374="","",XLOOKUP($B375,Derived_Variables!$A:$A,Derived_Variables!$AD:$AD,"No_Fog"))</f>
        <v/>
      </c>
      <c r="AF375" s="28" t="str">
        <f t="array" ref="AF375">IF($I374="","",XLOOKUP($B375,Derived_Variables!$A:$A,Derived_Variables!$AE:$AE,0))</f>
        <v/>
      </c>
      <c r="AG375" s="28" t="str">
        <f t="array" ref="AG375">IF($I374="","",XLOOKUP($B375,Derived_Variables!$A:$A,Derived_Variables!$AF:$AF,""))</f>
        <v/>
      </c>
      <c r="AH375" s="28" t="str">
        <f t="array" ref="AH375">IF($I374="","",XLOOKUP($B375,Derived_Variables!$A:$A,Derived_Variables!$AG:$AG,""))</f>
        <v/>
      </c>
      <c r="AI375" s="28" t="str">
        <f t="array" ref="AI375">IF($I374="","",XLOOKUP($B375,Derived_Variables!$A:$A,Derived_Variables!$AC:$AC,"Medium"))</f>
        <v/>
      </c>
      <c r="AJ375" s="28" t="str">
        <f t="array" ref="AJ375">IF($I374="","",XLOOKUP($B375,Derived_Variables!$A:$A,Derived_Variables!$Y:$Y,FALSE))</f>
        <v/>
      </c>
      <c r="AK375" s="28" t="str">
        <f t="array" ref="AK375">IF($I374="","",XLOOKUP($B375,Derived_Variables!$A:$A,Derived_Variables!$AA:$AA,"Normal"))</f>
        <v/>
      </c>
      <c r="AL375" s="28" t="str">
        <f t="array" ref="AL375">IF($I374="","",XLOOKUP($B375,Derived_Variables!$A:$A,Derived_Variables!$AB:$AB,"Normal"))</f>
        <v/>
      </c>
      <c r="AM375" s="28" t="str">
        <f t="array" ref="AM375">IF($I375="","",IFS(C375="B",IF(OR(I375="NOT_READABLE",I375="BLURRY"),-AB375,0),C375="G",IFS(I375="RED_CLEARER",XLOOKUP("duochrome_red_step",Calibration!$B:$B,Calibration!$C:$C,-0.25),I375="GREEN_CLEARER",XLOOKUP("duochrome_green_step",Calibration!$B:$B,Calibration!$C:$C,0.25),I375="EQUAL",IF(XLOOKUP($B375,Derived_Variables!$A:$A,Derived_Variables!$S:$S,"Neutral")="Undercorrect",XLOOKUP("undercorrect_step",Calibration!$B:$B,Calibration!$C:$C,0.25),IF(XLOOKUP($B375,Derived_Variables!$A:$A,Derived_Variables!$S:$S,"Neutral")="Overcorrect",-XLOOKUP("overcorrect_step",Calibration!$B:$B,Calibration!$C:$C,0.25),0)),TRUE,0),C375="K",IF(I375="TOP_CLEARER",XLOOKUP("bino_balance_step",Calibration!$B:$B,Calibration!$C:$C,0.25),0),TRUE,0))</f>
        <v/>
      </c>
      <c r="AN375" s="28" t="str">
        <f t="shared" si="10"/>
        <v/>
      </c>
      <c r="AO375" s="28" t="str">
        <f t="shared" si="11"/>
        <v/>
      </c>
      <c r="AP375" s="28" t="str">
        <f t="array" ref="AP375">IF($I375="","",IFS(C375="D",IF(OR(I375="NOT_READABLE",I375="BLURRY"),-AB375,0),C375="J",IFS(I375="RED_CLEARER",XLOOKUP("duochrome_red_step",Calibration!$B:$B,Calibration!$C:$C,-0.25),I375="GREEN_CLEARER",XLOOKUP("duochrome_green_step",Calibration!$B:$B,Calibration!$C:$C,0.25),I375="EQUAL",IF(XLOOKUP($B375,Derived_Variables!$A:$A,Derived_Variables!$S:$S,"Neutral")="Undercorrect",XLOOKUP("undercorrect_step",Calibration!$B:$B,Calibration!$C:$C,0.25),IF(XLOOKUP($B375,Derived_Variables!$A:$A,Derived_Variables!$S:$S,"Neutral")="Overcorrect",-XLOOKUP("overcorrect_step",Calibration!$B:$B,Calibration!$C:$C,0.25),0)),TRUE,0),C375="K",IF(I375="BOTTOM_CLEARER",XLOOKUP("bino_balance_step",Calibration!$B:$B,Calibration!$C:$C,0.25),0),TRUE,0))</f>
        <v/>
      </c>
      <c r="AQ375" s="28" t="str">
        <f t="shared" si="12"/>
        <v/>
      </c>
      <c r="AR375" s="28" t="str">
        <f t="shared" si="13"/>
        <v/>
      </c>
      <c r="AS375" s="28" t="str">
        <f t="array" ref="AS375">IF($I375="","",IF(C375="P",IF(OR(I375="NOT_READABLE",I375="BLURRY"),XLOOKUP("near_add_step",Calibration!$B:$B,Calibration!$C:$C,0.25),0),IF(C375="R",IF(I375="NOT_CLEAR",XLOOKUP("near_add_step",Calibration!$B:$B,Calibration!$C:$C,0.25),0),0)))</f>
        <v/>
      </c>
      <c r="AT375" s="28" t="str">
        <f t="array" ref="AT375">IF($I375="","",IF(C375="Q",IF(OR(I375="NOT_READABLE",I375="BLURRY"),XLOOKUP("near_add_step",Calibration!$B:$B,Calibration!$C:$C,0.25),0),IF(C375="R",IF(I375="NOT_CLEAR",XLOOKUP("near_add_step",Calibration!$B:$B,Calibration!$C:$C,0.25),0),0)))</f>
        <v/>
      </c>
      <c r="AU375" s="28" t="str">
        <f t="array" ref="AU375">IF($I375="","",IF(G375="SNELLEN_FEET",IF(I375="READABLE",IFERROR(XLOOKUP(XLOOKUP(R375,Chart_Scale_Distance!B:B,Chart_Scale_Distance!A:A)+1,Chart_Scale_Distance!A:A,Chart_Scale_Distance!B:B),R375),R375),R375))</f>
        <v/>
      </c>
      <c r="AV375" s="28" t="str">
        <f t="array" ref="AV375">IF($I374="","",IFERROR(XLOOKUP(R375,Chart_Scale_Distance!$B:$B,Chart_Scale_Distance!$A:$A,""),""))</f>
        <v/>
      </c>
      <c r="AW375" s="28" t="str">
        <f t="array" ref="AW375">IF($I374="","",IFERROR(XLOOKUP(AA375,Chart_Scale_Distance!$B:$B,Chart_Scale_Distance!$A:$A,""),""))</f>
        <v/>
      </c>
      <c r="AX375" s="28" t="str">
        <f t="shared" si="14"/>
        <v/>
      </c>
      <c r="AY375" s="28" t="str">
        <f t="shared" si="15"/>
        <v/>
      </c>
      <c r="AZ375" s="28" t="str">
        <f t="shared" si="16"/>
        <v/>
      </c>
      <c r="BA375" s="28" t="str">
        <f t="shared" si="17"/>
        <v/>
      </c>
      <c r="BB375" s="28" t="str">
        <f t="shared" si="18"/>
        <v/>
      </c>
      <c r="BC375" s="28" t="str">
        <f t="array" ref="BC375">IF($I375="","",LET(
conf,AI375,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duoMax,XLOOKUP($B375,Derived_Variables!$A:$A,Derived_Variables!$AI:$AI,4),
axisTol,XLOOKUP($B375,Derived_Variables!$A:$A,Derived_Variables!$W:$W,1),
maxStart,XLOOKUP($B375,Derived_Variables!$A:$A,Derived_Variables!$U:$U,1.25),
maxAR,XLOOKUP($B375,Derived_Variables!$A:$A,Derived_Variables!$V:$V,3),
anom,XLOOKUP($B375,Derived_Variables!$A:$A,Derived_Variables!$Z:$Z,FALSE),
reStart,XLOOKUP($B375,Derived_Variables!$A:$A,Derived_Variables!$K:$K,0),
leStart,XLOOKUP($B375,Derived_Variables!$A:$A,Derived_Variables!$N:$N,0),
reAR,XLOOKUP($B375,AR_Input!$A:$A,AR_Input!$B:$B,reStart),
leAR,XLOOKUP($B375,AR_Input!$A:$A,AR_Input!$E:$E,leStart),
reEsc,AND(anom,OR(ABS((S375+AM375)-reStart)&gt;maxStart,ABS((S375+AM375)-reAR)&gt;maxAR)),
leEsc,AND(anom,OR(ABS((V375+AP375)-leStart)&gt;maxStart,ABS((V375+AP375)-leAR)&gt;maxAR)),
phaseMax,IFS(
 AK375="Fast",
   IFS(
     OR(C375="B",C375="D"),XLOOKUP("timeout_coarse_fast",Calibration!$B:$B,Calibration!$C:$C,24),
     OR(C375="E",C375="F",C375="H",C375="I"),XLOOKUP("timeout_jcc_fast",Calibration!$B:$B,Calibration!$C:$C,10),
     OR(C375="G",C375="J"),XLOOKUP("timeout_duochrome_fast",Calibration!$B:$B,Calibration!$C:$C,8),
     C375="K",XLOOKUP("timeout_bino_fast",Calibration!$B:$B,Calibration!$C:$C,10),
     OR(C375="P",C375="Q",C375="R"),XLOOKUP("timeout_near_fast",Calibration!$B:$B,Calibration!$C:$C,16),
     TRUE,XLOOKUP("timeout_coarse_fast",Calibration!$B:$B,Calibration!$C:$C,24)
   ),
 AK375="Normal",
   IFS(
     OR(C375="B",C375="D"),XLOOKUP("timeout_coarse_normal",Calibration!$B:$B,Calibration!$C:$C,36),
     OR(C375="E",C375="F",C375="H",C375="I"),XLOOKUP("timeout_jcc_normal",Calibration!$B:$B,Calibration!$C:$C,14),
     OR(C375="G",C375="J"),XLOOKUP("timeout_duochrome_normal",Calibration!$B:$B,Calibration!$C:$C,10),
     C375="K",XLOOKUP("timeout_bino_normal",Calibration!$B:$B,Calibration!$C:$C,14),
     OR(C375="P",C375="Q",C375="R"),XLOOKUP("timeout_near_normal",Calibration!$B:$B,Calibration!$C:$C,22),
     TRUE,XLOOKUP("timeout_coarse_normal",Calibration!$B:$B,Calibration!$C:$C,36)
   ),
 TRUE,
   IFS(
     OR(C375="B",C375="D"),XLOOKUP("timeout_coarse_slow",Calibration!$B:$B,Calibration!$C:$C,48),
     OR(C375="E",C375="F",C375="H",C375="I"),XLOOKUP("timeout_jcc_slow",Calibration!$B:$B,Calibration!$C:$C,18),
     OR(C375="G",C375="J"),XLOOKUP("timeout_duochrome_slow",Calibration!$B:$B,Calibration!$C:$C,12),
     C375="K",XLOOKUP("timeout_bino_slow",Calibration!$B:$B,Calibration!$C:$C,18),
     OR(C375="P",C375="Q",C375="R"),XLOOKUP("timeout_near_slow",Calibration!$B:$B,Calibration!$C:$C,28),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AJ375=TRUE,"ESCALATE",
C375="A",
IF(OR(I375="NOT_READABLE",I375="BLURRY",AND(R375="20_20_20",I375="READABLE")),"B","A"),
C375="B",
IF(reEsc,"ESCALATE",IF(AY375&gt;=phaseMax,"ESCALATE",IF(AND(AV375&gt;=AW375,I375="READABLE"),"E","B"))),
C375="E",
IF(AY375&gt;=phaseMax,"ESCALATE",IF(OR(I375="SAME",I375="CANT_TELL",AD375&lt;axisTol),"F","E")),
C375="F",
IF(AY375&gt;=phaseMax,"ESCALATE",IF(AX375&gt;=powerSameN,"G","F")),
C375="G",
IF(AY375&gt;=phaseMax,"ESCALATE",IF(OR(AX375&gt;=duoEqualN,BB375&gt;=duoMax),"D","G")),
C375="D",
IF(leEsc,"ESCALATE",IF(AY375&gt;=phaseMax,"ESCALATE",IF(AND(AV375&gt;=AW375,I375="READABLE"),"H","D"))),
C375="H",
IF(AY375&gt;=phaseMax,"ESCALATE",IF(OR(I375="SAME",I375="CANT_TELL",AD375&lt;axisTol),"I","H")),
C375="I",
IF(AY375&gt;=phaseMax,"ESCALATE",IF(AX375&gt;=powerSameN,"J","I")),
C375="J",
IF(AY375&gt;=phaseMax,"ESCALATE",IF(OR(AX375&gt;=duoEqualN,BB375&gt;=duoMax),"K","J")),
C375="K",
IF(AY375&gt;=phaseMax,"ESCALATE",IF(AX375&gt;=binoSameN,IF(XLOOKUP($B375,Derived_Variables!$A:$A,Derived_Variables!$AJ:$AJ,FALSE)=TRUE,"P","END"),"K")),
C375="P",
IF(AY375&gt;=phaseMax,"ESCALATE",IF(OR(I375="READABLE",I375="SAME"),"Q","P")),
C375="Q",
IF(AY375&gt;=phaseMax,"ESCALATE",IF(OR(I375="READABLE",I375="SAME"),"R","Q")),
C375="R",
IF(AY375&gt;=phaseMax,"ESCALATE",IF(OR(I375=nearTarget,I375="SAME"),"END","R")),
TRUE,"END"
)))</f>
        <v/>
      </c>
      <c r="BD375" s="28" t="b">
        <f t="shared" si="19"/>
        <v>0</v>
      </c>
    </row>
    <row r="376" ht="15.75" customHeight="1">
      <c r="A376" s="28">
        <f t="shared" si="3"/>
        <v>375</v>
      </c>
      <c r="B376" s="28">
        <f t="shared" si="4"/>
        <v>6</v>
      </c>
      <c r="C376" s="28" t="str">
        <f t="shared" si="5"/>
        <v/>
      </c>
      <c r="D376" s="28" t="str">
        <f t="array" ref="D376">IF($I375="","",XLOOKUP(C376,FSM_State_Map!A:A,FSM_State_Map!B:B,""))</f>
        <v/>
      </c>
      <c r="E376" s="28" t="str">
        <f t="array" ref="E376">IF($I375="","",XLOOKUP(C376,FSM_State_Map!A:A,FSM_State_Map!C:C,""))</f>
        <v/>
      </c>
      <c r="F376" s="28" t="str">
        <f t="array" ref="F376">IF($I375="","",XLOOKUP(E376,Phase_UI_Map!A:A,Phase_UI_Map!B:B,""))</f>
        <v/>
      </c>
      <c r="G376" s="28" t="str">
        <f t="array" ref="G376">IF($I375="","",XLOOKUP(E376,Phase_UI_Map!A:A,Phase_UI_Map!C:C,""))</f>
        <v/>
      </c>
      <c r="H376" s="28" t="str">
        <f t="array" ref="H376">IF($I375="","",XLOOKUP(E376,Phase_UI_Map!A:A,Phase_UI_Map!D:D,""))</f>
        <v/>
      </c>
      <c r="I376" s="29"/>
      <c r="J376" s="28" t="str">
        <f>IFERROR(__xludf.DUMMYFUNCTION("IF($I375="""","""",IFERROR(INDEX(FILTER(Response_Lists!$B:$B,Response_Lists!$A:$A=$H376),1),""""))"),"")</f>
        <v/>
      </c>
      <c r="K376" s="28" t="str">
        <f>IFERROR(__xludf.DUMMYFUNCTION("IF($I375="""","""",IFERROR(INDEX(FILTER(Response_Lists!$B:$B,Response_Lists!$A:$A=$H376),2),""""))"),"")</f>
        <v/>
      </c>
      <c r="L376" s="28" t="str">
        <f>IFERROR(__xludf.DUMMYFUNCTION("IF($I375="""","""",IFERROR(INDEX(FILTER(Response_Lists!$B:$B,Response_Lists!$A:$A=$H376),3),""""))"),"")</f>
        <v/>
      </c>
      <c r="M376" s="28" t="str">
        <f>IFERROR(__xludf.DUMMYFUNCTION("IF($I375="""","""",IFERROR(INDEX(FILTER(Response_Lists!$B:$B,Response_Lists!$A:$A=$H376),4),""""))"),"")</f>
        <v/>
      </c>
      <c r="N376" s="28" t="str">
        <f>IFERROR(__xludf.DUMMYFUNCTION("IF($I375="""","""",IFERROR(INDEX(FILTER(Response_Lists!$B:$B,Response_Lists!$A:$A=$H376),5),""""))"),"")</f>
        <v/>
      </c>
      <c r="O376" s="28" t="str">
        <f>IFERROR(__xludf.DUMMYFUNCTION("IF($I375="""","""",IFERROR(INDEX(FILTER(Response_Lists!$B:$B,Response_Lists!$A:$A=$H376),6),""""))"),"")</f>
        <v/>
      </c>
      <c r="P376" s="28" t="str">
        <f t="shared" si="6"/>
        <v/>
      </c>
      <c r="Q376" s="28" t="str">
        <f t="array" ref="Q376">IF($I375="","",XLOOKUP(C376,FSM_State_Map!A:A,FSM_State_Map!D:D,""))</f>
        <v/>
      </c>
      <c r="R376" s="28" t="str">
        <f t="shared" si="7"/>
        <v/>
      </c>
      <c r="S376" s="28" t="str">
        <f t="array" ref="S376">IF($I375="","",
IF(
  AND(C376="B",C375&lt;&gt;"B"),
  XLOOKUP($B376,Derived_Variables!$A:$A,Derived_Variables!$K:$K,0)
  + XLOOKUP($B376,Derived_Variables!$A:$A,Derived_Variables!$AE:$AE,0),
  S375+AM375
))</f>
        <v/>
      </c>
      <c r="T376" s="28" t="str">
        <f t="shared" ref="T376:U376" si="762">IF($I375="","",T375+AN375)</f>
        <v/>
      </c>
      <c r="U376" s="28" t="str">
        <f t="shared" si="762"/>
        <v/>
      </c>
      <c r="V376" s="28" t="str">
        <f t="array" ref="V376">IF($I375="","",
IF(
  AND(C376="D",C375&lt;&gt;"D"),
  XLOOKUP($B376,Derived_Variables!$A:$A,Derived_Variables!$N:$N,0)
  + XLOOKUP($B376,Derived_Variables!$A:$A,Derived_Variables!$AE:$AE,0),
  V375+AP375
))</f>
        <v/>
      </c>
      <c r="W376" s="28" t="str">
        <f t="shared" ref="W376:X376" si="763">IF($I375="","",W375+AQ375)</f>
        <v/>
      </c>
      <c r="X376" s="28" t="str">
        <f t="shared" si="763"/>
        <v/>
      </c>
      <c r="Y376" s="28" t="str">
        <f t="array" ref="Y376">IF($I375="","",IF(AND(C376="P",C375&lt;&gt;"P"),IFERROR(XLOOKUP($B376,Lenso_Input!$A:$A,Lenso_Input!$E:$E,0),0),Y375+AS375))</f>
        <v/>
      </c>
      <c r="Z376" s="28" t="str">
        <f t="array" ref="Z376">IF($I375="","",IF(AND(C376="Q",C375&lt;&gt;"Q"),IFERROR(XLOOKUP($B376,Lenso_Input!$A:$A,Lenso_Input!$I:$I,0),0),Z375+AT375))</f>
        <v/>
      </c>
      <c r="AA376" s="28" t="str">
        <f t="array" ref="AA376">IF($I375="","",IF(XLOOKUP($B376,Derived_Variables!$A:$A,Derived_Variables!$R:$R,"6/6_target")="6/6_target","20_20_20","40_30_25"))</f>
        <v/>
      </c>
      <c r="AB376" s="28" t="str">
        <f t="array" ref="AB376">IF($I375="","",XLOOKUP(LOWER(XLOOKUP($B376,Derived_Variables!$A:$A,Derived_Variables!$T:$T,"Standard"))&amp;"_sph_step",Calibration!$B:$B,Calibration!$C:$C,0.25))</f>
        <v/>
      </c>
      <c r="AC376" s="28" t="str">
        <f t="array" ref="AC376">IF($I375="","",XLOOKUP(LOWER(XLOOKUP($B376,Derived_Variables!$A:$A,Derived_Variables!$T:$T,"Standard"))&amp;"_cyl_step",Calibration!$B:$B,Calibration!$C:$C,0.25))</f>
        <v/>
      </c>
      <c r="AD376" s="28" t="str">
        <f t="array" ref="AD376">IF($I375="","",IF(OR(C376="E",C376="H"),LET(startStep,XLOOKUP("axis_start_step",Calibration!$B:$B,Calibration!$C:$C,5),step1,XLOOKUP("axis_reversal_step_1",Calibration!$B:$B,Calibration!$C:$C,3),step2,XLOOKUP("axis_reversal_step_2",Calibration!$B:$B,Calibration!$C:$C,1),IF(OR(C375&lt;&gt;C376,AZ376="",AZ376="SAME",AZ376="CANT_TELL",I376="",I376="SAME",I376="CANT_TELL"),startStep,IF(OR(AND(AZ376="BETTER_1",I376="BETTER_2"),AND(AZ376="BETTER_2",I376="BETTER_1")),IF(AD375&gt;step1,step1,step2),AD375))),0))</f>
        <v/>
      </c>
      <c r="AE376" s="28" t="str">
        <f t="array" ref="AE376">IF($I375="","",XLOOKUP($B376,Derived_Variables!$A:$A,Derived_Variables!$AD:$AD,"No_Fog"))</f>
        <v/>
      </c>
      <c r="AF376" s="28" t="str">
        <f t="array" ref="AF376">IF($I375="","",XLOOKUP($B376,Derived_Variables!$A:$A,Derived_Variables!$AE:$AE,0))</f>
        <v/>
      </c>
      <c r="AG376" s="28" t="str">
        <f t="array" ref="AG376">IF($I375="","",XLOOKUP($B376,Derived_Variables!$A:$A,Derived_Variables!$AF:$AF,""))</f>
        <v/>
      </c>
      <c r="AH376" s="28" t="str">
        <f t="array" ref="AH376">IF($I375="","",XLOOKUP($B376,Derived_Variables!$A:$A,Derived_Variables!$AG:$AG,""))</f>
        <v/>
      </c>
      <c r="AI376" s="28" t="str">
        <f t="array" ref="AI376">IF($I375="","",XLOOKUP($B376,Derived_Variables!$A:$A,Derived_Variables!$AC:$AC,"Medium"))</f>
        <v/>
      </c>
      <c r="AJ376" s="28" t="str">
        <f t="array" ref="AJ376">IF($I375="","",XLOOKUP($B376,Derived_Variables!$A:$A,Derived_Variables!$Y:$Y,FALSE))</f>
        <v/>
      </c>
      <c r="AK376" s="28" t="str">
        <f t="array" ref="AK376">IF($I375="","",XLOOKUP($B376,Derived_Variables!$A:$A,Derived_Variables!$AA:$AA,"Normal"))</f>
        <v/>
      </c>
      <c r="AL376" s="28" t="str">
        <f t="array" ref="AL376">IF($I375="","",XLOOKUP($B376,Derived_Variables!$A:$A,Derived_Variables!$AB:$AB,"Normal"))</f>
        <v/>
      </c>
      <c r="AM376" s="28" t="str">
        <f t="array" ref="AM376">IF($I376="","",IFS(C376="B",IF(OR(I376="NOT_READABLE",I376="BLURRY"),-AB376,0),C376="G",IFS(I376="RED_CLEARER",XLOOKUP("duochrome_red_step",Calibration!$B:$B,Calibration!$C:$C,-0.25),I376="GREEN_CLEARER",XLOOKUP("duochrome_green_step",Calibration!$B:$B,Calibration!$C:$C,0.25),I376="EQUAL",IF(XLOOKUP($B376,Derived_Variables!$A:$A,Derived_Variables!$S:$S,"Neutral")="Undercorrect",XLOOKUP("undercorrect_step",Calibration!$B:$B,Calibration!$C:$C,0.25),IF(XLOOKUP($B376,Derived_Variables!$A:$A,Derived_Variables!$S:$S,"Neutral")="Overcorrect",-XLOOKUP("overcorrect_step",Calibration!$B:$B,Calibration!$C:$C,0.25),0)),TRUE,0),C376="K",IF(I376="TOP_CLEARER",XLOOKUP("bino_balance_step",Calibration!$B:$B,Calibration!$C:$C,0.25),0),TRUE,0))</f>
        <v/>
      </c>
      <c r="AN376" s="28" t="str">
        <f t="shared" si="10"/>
        <v/>
      </c>
      <c r="AO376" s="28" t="str">
        <f t="shared" si="11"/>
        <v/>
      </c>
      <c r="AP376" s="28" t="str">
        <f t="array" ref="AP376">IF($I376="","",IFS(C376="D",IF(OR(I376="NOT_READABLE",I376="BLURRY"),-AB376,0),C376="J",IFS(I376="RED_CLEARER",XLOOKUP("duochrome_red_step",Calibration!$B:$B,Calibration!$C:$C,-0.25),I376="GREEN_CLEARER",XLOOKUP("duochrome_green_step",Calibration!$B:$B,Calibration!$C:$C,0.25),I376="EQUAL",IF(XLOOKUP($B376,Derived_Variables!$A:$A,Derived_Variables!$S:$S,"Neutral")="Undercorrect",XLOOKUP("undercorrect_step",Calibration!$B:$B,Calibration!$C:$C,0.25),IF(XLOOKUP($B376,Derived_Variables!$A:$A,Derived_Variables!$S:$S,"Neutral")="Overcorrect",-XLOOKUP("overcorrect_step",Calibration!$B:$B,Calibration!$C:$C,0.25),0)),TRUE,0),C376="K",IF(I376="BOTTOM_CLEARER",XLOOKUP("bino_balance_step",Calibration!$B:$B,Calibration!$C:$C,0.25),0),TRUE,0))</f>
        <v/>
      </c>
      <c r="AQ376" s="28" t="str">
        <f t="shared" si="12"/>
        <v/>
      </c>
      <c r="AR376" s="28" t="str">
        <f t="shared" si="13"/>
        <v/>
      </c>
      <c r="AS376" s="28" t="str">
        <f t="array" ref="AS376">IF($I376="","",IF(C376="P",IF(OR(I376="NOT_READABLE",I376="BLURRY"),XLOOKUP("near_add_step",Calibration!$B:$B,Calibration!$C:$C,0.25),0),IF(C376="R",IF(I376="NOT_CLEAR",XLOOKUP("near_add_step",Calibration!$B:$B,Calibration!$C:$C,0.25),0),0)))</f>
        <v/>
      </c>
      <c r="AT376" s="28" t="str">
        <f t="array" ref="AT376">IF($I376="","",IF(C376="Q",IF(OR(I376="NOT_READABLE",I376="BLURRY"),XLOOKUP("near_add_step",Calibration!$B:$B,Calibration!$C:$C,0.25),0),IF(C376="R",IF(I376="NOT_CLEAR",XLOOKUP("near_add_step",Calibration!$B:$B,Calibration!$C:$C,0.25),0),0)))</f>
        <v/>
      </c>
      <c r="AU376" s="28" t="str">
        <f t="array" ref="AU376">IF($I376="","",IF(G376="SNELLEN_FEET",IF(I376="READABLE",IFERROR(XLOOKUP(XLOOKUP(R376,Chart_Scale_Distance!B:B,Chart_Scale_Distance!A:A)+1,Chart_Scale_Distance!A:A,Chart_Scale_Distance!B:B),R376),R376),R376))</f>
        <v/>
      </c>
      <c r="AV376" s="28" t="str">
        <f t="array" ref="AV376">IF($I375="","",IFERROR(XLOOKUP(R376,Chart_Scale_Distance!$B:$B,Chart_Scale_Distance!$A:$A,""),""))</f>
        <v/>
      </c>
      <c r="AW376" s="28" t="str">
        <f t="array" ref="AW376">IF($I375="","",IFERROR(XLOOKUP(AA376,Chart_Scale_Distance!$B:$B,Chart_Scale_Distance!$A:$A,""),""))</f>
        <v/>
      </c>
      <c r="AX376" s="28" t="str">
        <f t="shared" si="14"/>
        <v/>
      </c>
      <c r="AY376" s="28" t="str">
        <f t="shared" si="15"/>
        <v/>
      </c>
      <c r="AZ376" s="28" t="str">
        <f t="shared" si="16"/>
        <v/>
      </c>
      <c r="BA376" s="28" t="str">
        <f t="shared" si="17"/>
        <v/>
      </c>
      <c r="BB376" s="28" t="str">
        <f t="shared" si="18"/>
        <v/>
      </c>
      <c r="BC376" s="28" t="str">
        <f t="array" ref="BC376">IF($I376="","",LET(
conf,AI376,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duoMax,XLOOKUP($B376,Derived_Variables!$A:$A,Derived_Variables!$AI:$AI,4),
axisTol,XLOOKUP($B376,Derived_Variables!$A:$A,Derived_Variables!$W:$W,1),
maxStart,XLOOKUP($B376,Derived_Variables!$A:$A,Derived_Variables!$U:$U,1.25),
maxAR,XLOOKUP($B376,Derived_Variables!$A:$A,Derived_Variables!$V:$V,3),
anom,XLOOKUP($B376,Derived_Variables!$A:$A,Derived_Variables!$Z:$Z,FALSE),
reStart,XLOOKUP($B376,Derived_Variables!$A:$A,Derived_Variables!$K:$K,0),
leStart,XLOOKUP($B376,Derived_Variables!$A:$A,Derived_Variables!$N:$N,0),
reAR,XLOOKUP($B376,AR_Input!$A:$A,AR_Input!$B:$B,reStart),
leAR,XLOOKUP($B376,AR_Input!$A:$A,AR_Input!$E:$E,leStart),
reEsc,AND(anom,OR(ABS((S376+AM376)-reStart)&gt;maxStart,ABS((S376+AM376)-reAR)&gt;maxAR)),
leEsc,AND(anom,OR(ABS((V376+AP376)-leStart)&gt;maxStart,ABS((V376+AP376)-leAR)&gt;maxAR)),
phaseMax,IFS(
 AK376="Fast",
   IFS(
     OR(C376="B",C376="D"),XLOOKUP("timeout_coarse_fast",Calibration!$B:$B,Calibration!$C:$C,24),
     OR(C376="E",C376="F",C376="H",C376="I"),XLOOKUP("timeout_jcc_fast",Calibration!$B:$B,Calibration!$C:$C,10),
     OR(C376="G",C376="J"),XLOOKUP("timeout_duochrome_fast",Calibration!$B:$B,Calibration!$C:$C,8),
     C376="K",XLOOKUP("timeout_bino_fast",Calibration!$B:$B,Calibration!$C:$C,10),
     OR(C376="P",C376="Q",C376="R"),XLOOKUP("timeout_near_fast",Calibration!$B:$B,Calibration!$C:$C,16),
     TRUE,XLOOKUP("timeout_coarse_fast",Calibration!$B:$B,Calibration!$C:$C,24)
   ),
 AK376="Normal",
   IFS(
     OR(C376="B",C376="D"),XLOOKUP("timeout_coarse_normal",Calibration!$B:$B,Calibration!$C:$C,36),
     OR(C376="E",C376="F",C376="H",C376="I"),XLOOKUP("timeout_jcc_normal",Calibration!$B:$B,Calibration!$C:$C,14),
     OR(C376="G",C376="J"),XLOOKUP("timeout_duochrome_normal",Calibration!$B:$B,Calibration!$C:$C,10),
     C376="K",XLOOKUP("timeout_bino_normal",Calibration!$B:$B,Calibration!$C:$C,14),
     OR(C376="P",C376="Q",C376="R"),XLOOKUP("timeout_near_normal",Calibration!$B:$B,Calibration!$C:$C,22),
     TRUE,XLOOKUP("timeout_coarse_normal",Calibration!$B:$B,Calibration!$C:$C,36)
   ),
 TRUE,
   IFS(
     OR(C376="B",C376="D"),XLOOKUP("timeout_coarse_slow",Calibration!$B:$B,Calibration!$C:$C,48),
     OR(C376="E",C376="F",C376="H",C376="I"),XLOOKUP("timeout_jcc_slow",Calibration!$B:$B,Calibration!$C:$C,18),
     OR(C376="G",C376="J"),XLOOKUP("timeout_duochrome_slow",Calibration!$B:$B,Calibration!$C:$C,12),
     C376="K",XLOOKUP("timeout_bino_slow",Calibration!$B:$B,Calibration!$C:$C,18),
     OR(C376="P",C376="Q",C376="R"),XLOOKUP("timeout_near_slow",Calibration!$B:$B,Calibration!$C:$C,28),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AJ376=TRUE,"ESCALATE",
C376="A",
IF(OR(I376="NOT_READABLE",I376="BLURRY",AND(R376="20_20_20",I376="READABLE")),"B","A"),
C376="B",
IF(reEsc,"ESCALATE",IF(AY376&gt;=phaseMax,"ESCALATE",IF(AND(AV376&gt;=AW376,I376="READABLE"),"E","B"))),
C376="E",
IF(AY376&gt;=phaseMax,"ESCALATE",IF(OR(I376="SAME",I376="CANT_TELL",AD376&lt;axisTol),"F","E")),
C376="F",
IF(AY376&gt;=phaseMax,"ESCALATE",IF(AX376&gt;=powerSameN,"G","F")),
C376="G",
IF(AY376&gt;=phaseMax,"ESCALATE",IF(OR(AX376&gt;=duoEqualN,BB376&gt;=duoMax),"D","G")),
C376="D",
IF(leEsc,"ESCALATE",IF(AY376&gt;=phaseMax,"ESCALATE",IF(AND(AV376&gt;=AW376,I376="READABLE"),"H","D"))),
C376="H",
IF(AY376&gt;=phaseMax,"ESCALATE",IF(OR(I376="SAME",I376="CANT_TELL",AD376&lt;axisTol),"I","H")),
C376="I",
IF(AY376&gt;=phaseMax,"ESCALATE",IF(AX376&gt;=powerSameN,"J","I")),
C376="J",
IF(AY376&gt;=phaseMax,"ESCALATE",IF(OR(AX376&gt;=duoEqualN,BB376&gt;=duoMax),"K","J")),
C376="K",
IF(AY376&gt;=phaseMax,"ESCALATE",IF(AX376&gt;=binoSameN,IF(XLOOKUP($B376,Derived_Variables!$A:$A,Derived_Variables!$AJ:$AJ,FALSE)=TRUE,"P","END"),"K")),
C376="P",
IF(AY376&gt;=phaseMax,"ESCALATE",IF(OR(I376="READABLE",I376="SAME"),"Q","P")),
C376="Q",
IF(AY376&gt;=phaseMax,"ESCALATE",IF(OR(I376="READABLE",I376="SAME"),"R","Q")),
C376="R",
IF(AY376&gt;=phaseMax,"ESCALATE",IF(OR(I376=nearTarget,I376="SAME"),"END","R")),
TRUE,"END"
)))</f>
        <v/>
      </c>
      <c r="BD376" s="28" t="b">
        <f t="shared" si="19"/>
        <v>0</v>
      </c>
    </row>
    <row r="377" ht="15.75" customHeight="1">
      <c r="A377" s="28">
        <f t="shared" si="3"/>
        <v>376</v>
      </c>
      <c r="B377" s="28">
        <f t="shared" si="4"/>
        <v>6</v>
      </c>
      <c r="C377" s="28" t="str">
        <f t="shared" si="5"/>
        <v/>
      </c>
      <c r="D377" s="28" t="str">
        <f t="array" ref="D377">IF($I376="","",XLOOKUP(C377,FSM_State_Map!A:A,FSM_State_Map!B:B,""))</f>
        <v/>
      </c>
      <c r="E377" s="28" t="str">
        <f t="array" ref="E377">IF($I376="","",XLOOKUP(C377,FSM_State_Map!A:A,FSM_State_Map!C:C,""))</f>
        <v/>
      </c>
      <c r="F377" s="28" t="str">
        <f t="array" ref="F377">IF($I376="","",XLOOKUP(E377,Phase_UI_Map!A:A,Phase_UI_Map!B:B,""))</f>
        <v/>
      </c>
      <c r="G377" s="28" t="str">
        <f t="array" ref="G377">IF($I376="","",XLOOKUP(E377,Phase_UI_Map!A:A,Phase_UI_Map!C:C,""))</f>
        <v/>
      </c>
      <c r="H377" s="28" t="str">
        <f t="array" ref="H377">IF($I376="","",XLOOKUP(E377,Phase_UI_Map!A:A,Phase_UI_Map!D:D,""))</f>
        <v/>
      </c>
      <c r="I377" s="29"/>
      <c r="J377" s="28" t="str">
        <f>IFERROR(__xludf.DUMMYFUNCTION("IF($I376="""","""",IFERROR(INDEX(FILTER(Response_Lists!$B:$B,Response_Lists!$A:$A=$H377),1),""""))"),"")</f>
        <v/>
      </c>
      <c r="K377" s="28" t="str">
        <f>IFERROR(__xludf.DUMMYFUNCTION("IF($I376="""","""",IFERROR(INDEX(FILTER(Response_Lists!$B:$B,Response_Lists!$A:$A=$H377),2),""""))"),"")</f>
        <v/>
      </c>
      <c r="L377" s="28" t="str">
        <f>IFERROR(__xludf.DUMMYFUNCTION("IF($I376="""","""",IFERROR(INDEX(FILTER(Response_Lists!$B:$B,Response_Lists!$A:$A=$H377),3),""""))"),"")</f>
        <v/>
      </c>
      <c r="M377" s="28" t="str">
        <f>IFERROR(__xludf.DUMMYFUNCTION("IF($I376="""","""",IFERROR(INDEX(FILTER(Response_Lists!$B:$B,Response_Lists!$A:$A=$H377),4),""""))"),"")</f>
        <v/>
      </c>
      <c r="N377" s="28" t="str">
        <f>IFERROR(__xludf.DUMMYFUNCTION("IF($I376="""","""",IFERROR(INDEX(FILTER(Response_Lists!$B:$B,Response_Lists!$A:$A=$H377),5),""""))"),"")</f>
        <v/>
      </c>
      <c r="O377" s="28" t="str">
        <f>IFERROR(__xludf.DUMMYFUNCTION("IF($I376="""","""",IFERROR(INDEX(FILTER(Response_Lists!$B:$B,Response_Lists!$A:$A=$H377),6),""""))"),"")</f>
        <v/>
      </c>
      <c r="P377" s="28" t="str">
        <f t="shared" si="6"/>
        <v/>
      </c>
      <c r="Q377" s="28" t="str">
        <f t="array" ref="Q377">IF($I376="","",XLOOKUP(C377,FSM_State_Map!A:A,FSM_State_Map!D:D,""))</f>
        <v/>
      </c>
      <c r="R377" s="28" t="str">
        <f t="shared" si="7"/>
        <v/>
      </c>
      <c r="S377" s="28" t="str">
        <f t="array" ref="S377">IF($I376="","",
IF(
  AND(C377="B",C376&lt;&gt;"B"),
  XLOOKUP($B377,Derived_Variables!$A:$A,Derived_Variables!$K:$K,0)
  + XLOOKUP($B377,Derived_Variables!$A:$A,Derived_Variables!$AE:$AE,0),
  S376+AM376
))</f>
        <v/>
      </c>
      <c r="T377" s="28" t="str">
        <f t="shared" ref="T377:U377" si="764">IF($I376="","",T376+AN376)</f>
        <v/>
      </c>
      <c r="U377" s="28" t="str">
        <f t="shared" si="764"/>
        <v/>
      </c>
      <c r="V377" s="28" t="str">
        <f t="array" ref="V377">IF($I376="","",
IF(
  AND(C377="D",C376&lt;&gt;"D"),
  XLOOKUP($B377,Derived_Variables!$A:$A,Derived_Variables!$N:$N,0)
  + XLOOKUP($B377,Derived_Variables!$A:$A,Derived_Variables!$AE:$AE,0),
  V376+AP376
))</f>
        <v/>
      </c>
      <c r="W377" s="28" t="str">
        <f t="shared" ref="W377:X377" si="765">IF($I376="","",W376+AQ376)</f>
        <v/>
      </c>
      <c r="X377" s="28" t="str">
        <f t="shared" si="765"/>
        <v/>
      </c>
      <c r="Y377" s="28" t="str">
        <f t="array" ref="Y377">IF($I376="","",IF(AND(C377="P",C376&lt;&gt;"P"),IFERROR(XLOOKUP($B377,Lenso_Input!$A:$A,Lenso_Input!$E:$E,0),0),Y376+AS376))</f>
        <v/>
      </c>
      <c r="Z377" s="28" t="str">
        <f t="array" ref="Z377">IF($I376="","",IF(AND(C377="Q",C376&lt;&gt;"Q"),IFERROR(XLOOKUP($B377,Lenso_Input!$A:$A,Lenso_Input!$I:$I,0),0),Z376+AT376))</f>
        <v/>
      </c>
      <c r="AA377" s="28" t="str">
        <f t="array" ref="AA377">IF($I376="","",IF(XLOOKUP($B377,Derived_Variables!$A:$A,Derived_Variables!$R:$R,"6/6_target")="6/6_target","20_20_20","40_30_25"))</f>
        <v/>
      </c>
      <c r="AB377" s="28" t="str">
        <f t="array" ref="AB377">IF($I376="","",XLOOKUP(LOWER(XLOOKUP($B377,Derived_Variables!$A:$A,Derived_Variables!$T:$T,"Standard"))&amp;"_sph_step",Calibration!$B:$B,Calibration!$C:$C,0.25))</f>
        <v/>
      </c>
      <c r="AC377" s="28" t="str">
        <f t="array" ref="AC377">IF($I376="","",XLOOKUP(LOWER(XLOOKUP($B377,Derived_Variables!$A:$A,Derived_Variables!$T:$T,"Standard"))&amp;"_cyl_step",Calibration!$B:$B,Calibration!$C:$C,0.25))</f>
        <v/>
      </c>
      <c r="AD377" s="28" t="str">
        <f t="array" ref="AD377">IF($I376="","",IF(OR(C377="E",C377="H"),LET(startStep,XLOOKUP("axis_start_step",Calibration!$B:$B,Calibration!$C:$C,5),step1,XLOOKUP("axis_reversal_step_1",Calibration!$B:$B,Calibration!$C:$C,3),step2,XLOOKUP("axis_reversal_step_2",Calibration!$B:$B,Calibration!$C:$C,1),IF(OR(C376&lt;&gt;C377,AZ377="",AZ377="SAME",AZ377="CANT_TELL",I377="",I377="SAME",I377="CANT_TELL"),startStep,IF(OR(AND(AZ377="BETTER_1",I377="BETTER_2"),AND(AZ377="BETTER_2",I377="BETTER_1")),IF(AD376&gt;step1,step1,step2),AD376))),0))</f>
        <v/>
      </c>
      <c r="AE377" s="28" t="str">
        <f t="array" ref="AE377">IF($I376="","",XLOOKUP($B377,Derived_Variables!$A:$A,Derived_Variables!$AD:$AD,"No_Fog"))</f>
        <v/>
      </c>
      <c r="AF377" s="28" t="str">
        <f t="array" ref="AF377">IF($I376="","",XLOOKUP($B377,Derived_Variables!$A:$A,Derived_Variables!$AE:$AE,0))</f>
        <v/>
      </c>
      <c r="AG377" s="28" t="str">
        <f t="array" ref="AG377">IF($I376="","",XLOOKUP($B377,Derived_Variables!$A:$A,Derived_Variables!$AF:$AF,""))</f>
        <v/>
      </c>
      <c r="AH377" s="28" t="str">
        <f t="array" ref="AH377">IF($I376="","",XLOOKUP($B377,Derived_Variables!$A:$A,Derived_Variables!$AG:$AG,""))</f>
        <v/>
      </c>
      <c r="AI377" s="28" t="str">
        <f t="array" ref="AI377">IF($I376="","",XLOOKUP($B377,Derived_Variables!$A:$A,Derived_Variables!$AC:$AC,"Medium"))</f>
        <v/>
      </c>
      <c r="AJ377" s="28" t="str">
        <f t="array" ref="AJ377">IF($I376="","",XLOOKUP($B377,Derived_Variables!$A:$A,Derived_Variables!$Y:$Y,FALSE))</f>
        <v/>
      </c>
      <c r="AK377" s="28" t="str">
        <f t="array" ref="AK377">IF($I376="","",XLOOKUP($B377,Derived_Variables!$A:$A,Derived_Variables!$AA:$AA,"Normal"))</f>
        <v/>
      </c>
      <c r="AL377" s="28" t="str">
        <f t="array" ref="AL377">IF($I376="","",XLOOKUP($B377,Derived_Variables!$A:$A,Derived_Variables!$AB:$AB,"Normal"))</f>
        <v/>
      </c>
      <c r="AM377" s="28" t="str">
        <f t="array" ref="AM377">IF($I377="","",IFS(C377="B",IF(OR(I377="NOT_READABLE",I377="BLURRY"),-AB377,0),C377="G",IFS(I377="RED_CLEARER",XLOOKUP("duochrome_red_step",Calibration!$B:$B,Calibration!$C:$C,-0.25),I377="GREEN_CLEARER",XLOOKUP("duochrome_green_step",Calibration!$B:$B,Calibration!$C:$C,0.25),I377="EQUAL",IF(XLOOKUP($B377,Derived_Variables!$A:$A,Derived_Variables!$S:$S,"Neutral")="Undercorrect",XLOOKUP("undercorrect_step",Calibration!$B:$B,Calibration!$C:$C,0.25),IF(XLOOKUP($B377,Derived_Variables!$A:$A,Derived_Variables!$S:$S,"Neutral")="Overcorrect",-XLOOKUP("overcorrect_step",Calibration!$B:$B,Calibration!$C:$C,0.25),0)),TRUE,0),C377="K",IF(I377="TOP_CLEARER",XLOOKUP("bino_balance_step",Calibration!$B:$B,Calibration!$C:$C,0.25),0),TRUE,0))</f>
        <v/>
      </c>
      <c r="AN377" s="28" t="str">
        <f t="shared" si="10"/>
        <v/>
      </c>
      <c r="AO377" s="28" t="str">
        <f t="shared" si="11"/>
        <v/>
      </c>
      <c r="AP377" s="28" t="str">
        <f t="array" ref="AP377">IF($I377="","",IFS(C377="D",IF(OR(I377="NOT_READABLE",I377="BLURRY"),-AB377,0),C377="J",IFS(I377="RED_CLEARER",XLOOKUP("duochrome_red_step",Calibration!$B:$B,Calibration!$C:$C,-0.25),I377="GREEN_CLEARER",XLOOKUP("duochrome_green_step",Calibration!$B:$B,Calibration!$C:$C,0.25),I377="EQUAL",IF(XLOOKUP($B377,Derived_Variables!$A:$A,Derived_Variables!$S:$S,"Neutral")="Undercorrect",XLOOKUP("undercorrect_step",Calibration!$B:$B,Calibration!$C:$C,0.25),IF(XLOOKUP($B377,Derived_Variables!$A:$A,Derived_Variables!$S:$S,"Neutral")="Overcorrect",-XLOOKUP("overcorrect_step",Calibration!$B:$B,Calibration!$C:$C,0.25),0)),TRUE,0),C377="K",IF(I377="BOTTOM_CLEARER",XLOOKUP("bino_balance_step",Calibration!$B:$B,Calibration!$C:$C,0.25),0),TRUE,0))</f>
        <v/>
      </c>
      <c r="AQ377" s="28" t="str">
        <f t="shared" si="12"/>
        <v/>
      </c>
      <c r="AR377" s="28" t="str">
        <f t="shared" si="13"/>
        <v/>
      </c>
      <c r="AS377" s="28" t="str">
        <f t="array" ref="AS377">IF($I377="","",IF(C377="P",IF(OR(I377="NOT_READABLE",I377="BLURRY"),XLOOKUP("near_add_step",Calibration!$B:$B,Calibration!$C:$C,0.25),0),IF(C377="R",IF(I377="NOT_CLEAR",XLOOKUP("near_add_step",Calibration!$B:$B,Calibration!$C:$C,0.25),0),0)))</f>
        <v/>
      </c>
      <c r="AT377" s="28" t="str">
        <f t="array" ref="AT377">IF($I377="","",IF(C377="Q",IF(OR(I377="NOT_READABLE",I377="BLURRY"),XLOOKUP("near_add_step",Calibration!$B:$B,Calibration!$C:$C,0.25),0),IF(C377="R",IF(I377="NOT_CLEAR",XLOOKUP("near_add_step",Calibration!$B:$B,Calibration!$C:$C,0.25),0),0)))</f>
        <v/>
      </c>
      <c r="AU377" s="28" t="str">
        <f t="array" ref="AU377">IF($I377="","",IF(G377="SNELLEN_FEET",IF(I377="READABLE",IFERROR(XLOOKUP(XLOOKUP(R377,Chart_Scale_Distance!B:B,Chart_Scale_Distance!A:A)+1,Chart_Scale_Distance!A:A,Chart_Scale_Distance!B:B),R377),R377),R377))</f>
        <v/>
      </c>
      <c r="AV377" s="28" t="str">
        <f t="array" ref="AV377">IF($I376="","",IFERROR(XLOOKUP(R377,Chart_Scale_Distance!$B:$B,Chart_Scale_Distance!$A:$A,""),""))</f>
        <v/>
      </c>
      <c r="AW377" s="28" t="str">
        <f t="array" ref="AW377">IF($I376="","",IFERROR(XLOOKUP(AA377,Chart_Scale_Distance!$B:$B,Chart_Scale_Distance!$A:$A,""),""))</f>
        <v/>
      </c>
      <c r="AX377" s="28" t="str">
        <f t="shared" si="14"/>
        <v/>
      </c>
      <c r="AY377" s="28" t="str">
        <f t="shared" si="15"/>
        <v/>
      </c>
      <c r="AZ377" s="28" t="str">
        <f t="shared" si="16"/>
        <v/>
      </c>
      <c r="BA377" s="28" t="str">
        <f t="shared" si="17"/>
        <v/>
      </c>
      <c r="BB377" s="28" t="str">
        <f t="shared" si="18"/>
        <v/>
      </c>
      <c r="BC377" s="28" t="str">
        <f t="array" ref="BC377">IF($I377="","",LET(
conf,AI377,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duoMax,XLOOKUP($B377,Derived_Variables!$A:$A,Derived_Variables!$AI:$AI,4),
axisTol,XLOOKUP($B377,Derived_Variables!$A:$A,Derived_Variables!$W:$W,1),
maxStart,XLOOKUP($B377,Derived_Variables!$A:$A,Derived_Variables!$U:$U,1.25),
maxAR,XLOOKUP($B377,Derived_Variables!$A:$A,Derived_Variables!$V:$V,3),
anom,XLOOKUP($B377,Derived_Variables!$A:$A,Derived_Variables!$Z:$Z,FALSE),
reStart,XLOOKUP($B377,Derived_Variables!$A:$A,Derived_Variables!$K:$K,0),
leStart,XLOOKUP($B377,Derived_Variables!$A:$A,Derived_Variables!$N:$N,0),
reAR,XLOOKUP($B377,AR_Input!$A:$A,AR_Input!$B:$B,reStart),
leAR,XLOOKUP($B377,AR_Input!$A:$A,AR_Input!$E:$E,leStart),
reEsc,AND(anom,OR(ABS((S377+AM377)-reStart)&gt;maxStart,ABS((S377+AM377)-reAR)&gt;maxAR)),
leEsc,AND(anom,OR(ABS((V377+AP377)-leStart)&gt;maxStart,ABS((V377+AP377)-leAR)&gt;maxAR)),
phaseMax,IFS(
 AK377="Fast",
   IFS(
     OR(C377="B",C377="D"),XLOOKUP("timeout_coarse_fast",Calibration!$B:$B,Calibration!$C:$C,24),
     OR(C377="E",C377="F",C377="H",C377="I"),XLOOKUP("timeout_jcc_fast",Calibration!$B:$B,Calibration!$C:$C,10),
     OR(C377="G",C377="J"),XLOOKUP("timeout_duochrome_fast",Calibration!$B:$B,Calibration!$C:$C,8),
     C377="K",XLOOKUP("timeout_bino_fast",Calibration!$B:$B,Calibration!$C:$C,10),
     OR(C377="P",C377="Q",C377="R"),XLOOKUP("timeout_near_fast",Calibration!$B:$B,Calibration!$C:$C,16),
     TRUE,XLOOKUP("timeout_coarse_fast",Calibration!$B:$B,Calibration!$C:$C,24)
   ),
 AK377="Normal",
   IFS(
     OR(C377="B",C377="D"),XLOOKUP("timeout_coarse_normal",Calibration!$B:$B,Calibration!$C:$C,36),
     OR(C377="E",C377="F",C377="H",C377="I"),XLOOKUP("timeout_jcc_normal",Calibration!$B:$B,Calibration!$C:$C,14),
     OR(C377="G",C377="J"),XLOOKUP("timeout_duochrome_normal",Calibration!$B:$B,Calibration!$C:$C,10),
     C377="K",XLOOKUP("timeout_bino_normal",Calibration!$B:$B,Calibration!$C:$C,14),
     OR(C377="P",C377="Q",C377="R"),XLOOKUP("timeout_near_normal",Calibration!$B:$B,Calibration!$C:$C,22),
     TRUE,XLOOKUP("timeout_coarse_normal",Calibration!$B:$B,Calibration!$C:$C,36)
   ),
 TRUE,
   IFS(
     OR(C377="B",C377="D"),XLOOKUP("timeout_coarse_slow",Calibration!$B:$B,Calibration!$C:$C,48),
     OR(C377="E",C377="F",C377="H",C377="I"),XLOOKUP("timeout_jcc_slow",Calibration!$B:$B,Calibration!$C:$C,18),
     OR(C377="G",C377="J"),XLOOKUP("timeout_duochrome_slow",Calibration!$B:$B,Calibration!$C:$C,12),
     C377="K",XLOOKUP("timeout_bino_slow",Calibration!$B:$B,Calibration!$C:$C,18),
     OR(C377="P",C377="Q",C377="R"),XLOOKUP("timeout_near_slow",Calibration!$B:$B,Calibration!$C:$C,28),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AJ377=TRUE,"ESCALATE",
C377="A",
IF(OR(I377="NOT_READABLE",I377="BLURRY",AND(R377="20_20_20",I377="READABLE")),"B","A"),
C377="B",
IF(reEsc,"ESCALATE",IF(AY377&gt;=phaseMax,"ESCALATE",IF(AND(AV377&gt;=AW377,I377="READABLE"),"E","B"))),
C377="E",
IF(AY377&gt;=phaseMax,"ESCALATE",IF(OR(I377="SAME",I377="CANT_TELL",AD377&lt;axisTol),"F","E")),
C377="F",
IF(AY377&gt;=phaseMax,"ESCALATE",IF(AX377&gt;=powerSameN,"G","F")),
C377="G",
IF(AY377&gt;=phaseMax,"ESCALATE",IF(OR(AX377&gt;=duoEqualN,BB377&gt;=duoMax),"D","G")),
C377="D",
IF(leEsc,"ESCALATE",IF(AY377&gt;=phaseMax,"ESCALATE",IF(AND(AV377&gt;=AW377,I377="READABLE"),"H","D"))),
C377="H",
IF(AY377&gt;=phaseMax,"ESCALATE",IF(OR(I377="SAME",I377="CANT_TELL",AD377&lt;axisTol),"I","H")),
C377="I",
IF(AY377&gt;=phaseMax,"ESCALATE",IF(AX377&gt;=powerSameN,"J","I")),
C377="J",
IF(AY377&gt;=phaseMax,"ESCALATE",IF(OR(AX377&gt;=duoEqualN,BB377&gt;=duoMax),"K","J")),
C377="K",
IF(AY377&gt;=phaseMax,"ESCALATE",IF(AX377&gt;=binoSameN,IF(XLOOKUP($B377,Derived_Variables!$A:$A,Derived_Variables!$AJ:$AJ,FALSE)=TRUE,"P","END"),"K")),
C377="P",
IF(AY377&gt;=phaseMax,"ESCALATE",IF(OR(I377="READABLE",I377="SAME"),"Q","P")),
C377="Q",
IF(AY377&gt;=phaseMax,"ESCALATE",IF(OR(I377="READABLE",I377="SAME"),"R","Q")),
C377="R",
IF(AY377&gt;=phaseMax,"ESCALATE",IF(OR(I377=nearTarget,I377="SAME"),"END","R")),
TRUE,"END"
)))</f>
        <v/>
      </c>
      <c r="BD377" s="28" t="b">
        <f t="shared" si="19"/>
        <v>0</v>
      </c>
    </row>
    <row r="378" ht="15.75" customHeight="1">
      <c r="A378" s="28">
        <f t="shared" si="3"/>
        <v>377</v>
      </c>
      <c r="B378" s="28">
        <f t="shared" si="4"/>
        <v>6</v>
      </c>
      <c r="C378" s="28" t="str">
        <f t="shared" si="5"/>
        <v/>
      </c>
      <c r="D378" s="28" t="str">
        <f t="array" ref="D378">IF($I377="","",XLOOKUP(C378,FSM_State_Map!A:A,FSM_State_Map!B:B,""))</f>
        <v/>
      </c>
      <c r="E378" s="28" t="str">
        <f t="array" ref="E378">IF($I377="","",XLOOKUP(C378,FSM_State_Map!A:A,FSM_State_Map!C:C,""))</f>
        <v/>
      </c>
      <c r="F378" s="28" t="str">
        <f t="array" ref="F378">IF($I377="","",XLOOKUP(E378,Phase_UI_Map!A:A,Phase_UI_Map!B:B,""))</f>
        <v/>
      </c>
      <c r="G378" s="28" t="str">
        <f t="array" ref="G378">IF($I377="","",XLOOKUP(E378,Phase_UI_Map!A:A,Phase_UI_Map!C:C,""))</f>
        <v/>
      </c>
      <c r="H378" s="28" t="str">
        <f t="array" ref="H378">IF($I377="","",XLOOKUP(E378,Phase_UI_Map!A:A,Phase_UI_Map!D:D,""))</f>
        <v/>
      </c>
      <c r="I378" s="29"/>
      <c r="J378" s="28" t="str">
        <f>IFERROR(__xludf.DUMMYFUNCTION("IF($I377="""","""",IFERROR(INDEX(FILTER(Response_Lists!$B:$B,Response_Lists!$A:$A=$H378),1),""""))"),"")</f>
        <v/>
      </c>
      <c r="K378" s="28" t="str">
        <f>IFERROR(__xludf.DUMMYFUNCTION("IF($I377="""","""",IFERROR(INDEX(FILTER(Response_Lists!$B:$B,Response_Lists!$A:$A=$H378),2),""""))"),"")</f>
        <v/>
      </c>
      <c r="L378" s="28" t="str">
        <f>IFERROR(__xludf.DUMMYFUNCTION("IF($I377="""","""",IFERROR(INDEX(FILTER(Response_Lists!$B:$B,Response_Lists!$A:$A=$H378),3),""""))"),"")</f>
        <v/>
      </c>
      <c r="M378" s="28" t="str">
        <f>IFERROR(__xludf.DUMMYFUNCTION("IF($I377="""","""",IFERROR(INDEX(FILTER(Response_Lists!$B:$B,Response_Lists!$A:$A=$H378),4),""""))"),"")</f>
        <v/>
      </c>
      <c r="N378" s="28" t="str">
        <f>IFERROR(__xludf.DUMMYFUNCTION("IF($I377="""","""",IFERROR(INDEX(FILTER(Response_Lists!$B:$B,Response_Lists!$A:$A=$H378),5),""""))"),"")</f>
        <v/>
      </c>
      <c r="O378" s="28" t="str">
        <f>IFERROR(__xludf.DUMMYFUNCTION("IF($I377="""","""",IFERROR(INDEX(FILTER(Response_Lists!$B:$B,Response_Lists!$A:$A=$H378),6),""""))"),"")</f>
        <v/>
      </c>
      <c r="P378" s="28" t="str">
        <f t="shared" si="6"/>
        <v/>
      </c>
      <c r="Q378" s="28" t="str">
        <f t="array" ref="Q378">IF($I377="","",XLOOKUP(C378,FSM_State_Map!A:A,FSM_State_Map!D:D,""))</f>
        <v/>
      </c>
      <c r="R378" s="28" t="str">
        <f t="shared" si="7"/>
        <v/>
      </c>
      <c r="S378" s="28" t="str">
        <f t="array" ref="S378">IF($I377="","",
IF(
  AND(C378="B",C377&lt;&gt;"B"),
  XLOOKUP($B378,Derived_Variables!$A:$A,Derived_Variables!$K:$K,0)
  + XLOOKUP($B378,Derived_Variables!$A:$A,Derived_Variables!$AE:$AE,0),
  S377+AM377
))</f>
        <v/>
      </c>
      <c r="T378" s="28" t="str">
        <f t="shared" ref="T378:U378" si="766">IF($I377="","",T377+AN377)</f>
        <v/>
      </c>
      <c r="U378" s="28" t="str">
        <f t="shared" si="766"/>
        <v/>
      </c>
      <c r="V378" s="28" t="str">
        <f t="array" ref="V378">IF($I377="","",
IF(
  AND(C378="D",C377&lt;&gt;"D"),
  XLOOKUP($B378,Derived_Variables!$A:$A,Derived_Variables!$N:$N,0)
  + XLOOKUP($B378,Derived_Variables!$A:$A,Derived_Variables!$AE:$AE,0),
  V377+AP377
))</f>
        <v/>
      </c>
      <c r="W378" s="28" t="str">
        <f t="shared" ref="W378:X378" si="767">IF($I377="","",W377+AQ377)</f>
        <v/>
      </c>
      <c r="X378" s="28" t="str">
        <f t="shared" si="767"/>
        <v/>
      </c>
      <c r="Y378" s="28" t="str">
        <f t="array" ref="Y378">IF($I377="","",IF(AND(C378="P",C377&lt;&gt;"P"),IFERROR(XLOOKUP($B378,Lenso_Input!$A:$A,Lenso_Input!$E:$E,0),0),Y377+AS377))</f>
        <v/>
      </c>
      <c r="Z378" s="28" t="str">
        <f t="array" ref="Z378">IF($I377="","",IF(AND(C378="Q",C377&lt;&gt;"Q"),IFERROR(XLOOKUP($B378,Lenso_Input!$A:$A,Lenso_Input!$I:$I,0),0),Z377+AT377))</f>
        <v/>
      </c>
      <c r="AA378" s="28" t="str">
        <f t="array" ref="AA378">IF($I377="","",IF(XLOOKUP($B378,Derived_Variables!$A:$A,Derived_Variables!$R:$R,"6/6_target")="6/6_target","20_20_20","40_30_25"))</f>
        <v/>
      </c>
      <c r="AB378" s="28" t="str">
        <f t="array" ref="AB378">IF($I377="","",XLOOKUP(LOWER(XLOOKUP($B378,Derived_Variables!$A:$A,Derived_Variables!$T:$T,"Standard"))&amp;"_sph_step",Calibration!$B:$B,Calibration!$C:$C,0.25))</f>
        <v/>
      </c>
      <c r="AC378" s="28" t="str">
        <f t="array" ref="AC378">IF($I377="","",XLOOKUP(LOWER(XLOOKUP($B378,Derived_Variables!$A:$A,Derived_Variables!$T:$T,"Standard"))&amp;"_cyl_step",Calibration!$B:$B,Calibration!$C:$C,0.25))</f>
        <v/>
      </c>
      <c r="AD378" s="28" t="str">
        <f t="array" ref="AD378">IF($I377="","",IF(OR(C378="E",C378="H"),LET(startStep,XLOOKUP("axis_start_step",Calibration!$B:$B,Calibration!$C:$C,5),step1,XLOOKUP("axis_reversal_step_1",Calibration!$B:$B,Calibration!$C:$C,3),step2,XLOOKUP("axis_reversal_step_2",Calibration!$B:$B,Calibration!$C:$C,1),IF(OR(C377&lt;&gt;C378,AZ378="",AZ378="SAME",AZ378="CANT_TELL",I378="",I378="SAME",I378="CANT_TELL"),startStep,IF(OR(AND(AZ378="BETTER_1",I378="BETTER_2"),AND(AZ378="BETTER_2",I378="BETTER_1")),IF(AD377&gt;step1,step1,step2),AD377))),0))</f>
        <v/>
      </c>
      <c r="AE378" s="28" t="str">
        <f t="array" ref="AE378">IF($I377="","",XLOOKUP($B378,Derived_Variables!$A:$A,Derived_Variables!$AD:$AD,"No_Fog"))</f>
        <v/>
      </c>
      <c r="AF378" s="28" t="str">
        <f t="array" ref="AF378">IF($I377="","",XLOOKUP($B378,Derived_Variables!$A:$A,Derived_Variables!$AE:$AE,0))</f>
        <v/>
      </c>
      <c r="AG378" s="28" t="str">
        <f t="array" ref="AG378">IF($I377="","",XLOOKUP($B378,Derived_Variables!$A:$A,Derived_Variables!$AF:$AF,""))</f>
        <v/>
      </c>
      <c r="AH378" s="28" t="str">
        <f t="array" ref="AH378">IF($I377="","",XLOOKUP($B378,Derived_Variables!$A:$A,Derived_Variables!$AG:$AG,""))</f>
        <v/>
      </c>
      <c r="AI378" s="28" t="str">
        <f t="array" ref="AI378">IF($I377="","",XLOOKUP($B378,Derived_Variables!$A:$A,Derived_Variables!$AC:$AC,"Medium"))</f>
        <v/>
      </c>
      <c r="AJ378" s="28" t="str">
        <f t="array" ref="AJ378">IF($I377="","",XLOOKUP($B378,Derived_Variables!$A:$A,Derived_Variables!$Y:$Y,FALSE))</f>
        <v/>
      </c>
      <c r="AK378" s="28" t="str">
        <f t="array" ref="AK378">IF($I377="","",XLOOKUP($B378,Derived_Variables!$A:$A,Derived_Variables!$AA:$AA,"Normal"))</f>
        <v/>
      </c>
      <c r="AL378" s="28" t="str">
        <f t="array" ref="AL378">IF($I377="","",XLOOKUP($B378,Derived_Variables!$A:$A,Derived_Variables!$AB:$AB,"Normal"))</f>
        <v/>
      </c>
      <c r="AM378" s="28" t="str">
        <f t="array" ref="AM378">IF($I378="","",IFS(C378="B",IF(OR(I378="NOT_READABLE",I378="BLURRY"),-AB378,0),C378="G",IFS(I378="RED_CLEARER",XLOOKUP("duochrome_red_step",Calibration!$B:$B,Calibration!$C:$C,-0.25),I378="GREEN_CLEARER",XLOOKUP("duochrome_green_step",Calibration!$B:$B,Calibration!$C:$C,0.25),I378="EQUAL",IF(XLOOKUP($B378,Derived_Variables!$A:$A,Derived_Variables!$S:$S,"Neutral")="Undercorrect",XLOOKUP("undercorrect_step",Calibration!$B:$B,Calibration!$C:$C,0.25),IF(XLOOKUP($B378,Derived_Variables!$A:$A,Derived_Variables!$S:$S,"Neutral")="Overcorrect",-XLOOKUP("overcorrect_step",Calibration!$B:$B,Calibration!$C:$C,0.25),0)),TRUE,0),C378="K",IF(I378="TOP_CLEARER",XLOOKUP("bino_balance_step",Calibration!$B:$B,Calibration!$C:$C,0.25),0),TRUE,0))</f>
        <v/>
      </c>
      <c r="AN378" s="28" t="str">
        <f t="shared" si="10"/>
        <v/>
      </c>
      <c r="AO378" s="28" t="str">
        <f t="shared" si="11"/>
        <v/>
      </c>
      <c r="AP378" s="28" t="str">
        <f t="array" ref="AP378">IF($I378="","",IFS(C378="D",IF(OR(I378="NOT_READABLE",I378="BLURRY"),-AB378,0),C378="J",IFS(I378="RED_CLEARER",XLOOKUP("duochrome_red_step",Calibration!$B:$B,Calibration!$C:$C,-0.25),I378="GREEN_CLEARER",XLOOKUP("duochrome_green_step",Calibration!$B:$B,Calibration!$C:$C,0.25),I378="EQUAL",IF(XLOOKUP($B378,Derived_Variables!$A:$A,Derived_Variables!$S:$S,"Neutral")="Undercorrect",XLOOKUP("undercorrect_step",Calibration!$B:$B,Calibration!$C:$C,0.25),IF(XLOOKUP($B378,Derived_Variables!$A:$A,Derived_Variables!$S:$S,"Neutral")="Overcorrect",-XLOOKUP("overcorrect_step",Calibration!$B:$B,Calibration!$C:$C,0.25),0)),TRUE,0),C378="K",IF(I378="BOTTOM_CLEARER",XLOOKUP("bino_balance_step",Calibration!$B:$B,Calibration!$C:$C,0.25),0),TRUE,0))</f>
        <v/>
      </c>
      <c r="AQ378" s="28" t="str">
        <f t="shared" si="12"/>
        <v/>
      </c>
      <c r="AR378" s="28" t="str">
        <f t="shared" si="13"/>
        <v/>
      </c>
      <c r="AS378" s="28" t="str">
        <f t="array" ref="AS378">IF($I378="","",IF(C378="P",IF(OR(I378="NOT_READABLE",I378="BLURRY"),XLOOKUP("near_add_step",Calibration!$B:$B,Calibration!$C:$C,0.25),0),IF(C378="R",IF(I378="NOT_CLEAR",XLOOKUP("near_add_step",Calibration!$B:$B,Calibration!$C:$C,0.25),0),0)))</f>
        <v/>
      </c>
      <c r="AT378" s="28" t="str">
        <f t="array" ref="AT378">IF($I378="","",IF(C378="Q",IF(OR(I378="NOT_READABLE",I378="BLURRY"),XLOOKUP("near_add_step",Calibration!$B:$B,Calibration!$C:$C,0.25),0),IF(C378="R",IF(I378="NOT_CLEAR",XLOOKUP("near_add_step",Calibration!$B:$B,Calibration!$C:$C,0.25),0),0)))</f>
        <v/>
      </c>
      <c r="AU378" s="28" t="str">
        <f t="array" ref="AU378">IF($I378="","",IF(G378="SNELLEN_FEET",IF(I378="READABLE",IFERROR(XLOOKUP(XLOOKUP(R378,Chart_Scale_Distance!B:B,Chart_Scale_Distance!A:A)+1,Chart_Scale_Distance!A:A,Chart_Scale_Distance!B:B),R378),R378),R378))</f>
        <v/>
      </c>
      <c r="AV378" s="28" t="str">
        <f t="array" ref="AV378">IF($I377="","",IFERROR(XLOOKUP(R378,Chart_Scale_Distance!$B:$B,Chart_Scale_Distance!$A:$A,""),""))</f>
        <v/>
      </c>
      <c r="AW378" s="28" t="str">
        <f t="array" ref="AW378">IF($I377="","",IFERROR(XLOOKUP(AA378,Chart_Scale_Distance!$B:$B,Chart_Scale_Distance!$A:$A,""),""))</f>
        <v/>
      </c>
      <c r="AX378" s="28" t="str">
        <f t="shared" si="14"/>
        <v/>
      </c>
      <c r="AY378" s="28" t="str">
        <f t="shared" si="15"/>
        <v/>
      </c>
      <c r="AZ378" s="28" t="str">
        <f t="shared" si="16"/>
        <v/>
      </c>
      <c r="BA378" s="28" t="str">
        <f t="shared" si="17"/>
        <v/>
      </c>
      <c r="BB378" s="28" t="str">
        <f t="shared" si="18"/>
        <v/>
      </c>
      <c r="BC378" s="28" t="str">
        <f t="array" ref="BC378">IF($I378="","",LET(
conf,AI378,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duoMax,XLOOKUP($B378,Derived_Variables!$A:$A,Derived_Variables!$AI:$AI,4),
axisTol,XLOOKUP($B378,Derived_Variables!$A:$A,Derived_Variables!$W:$W,1),
maxStart,XLOOKUP($B378,Derived_Variables!$A:$A,Derived_Variables!$U:$U,1.25),
maxAR,XLOOKUP($B378,Derived_Variables!$A:$A,Derived_Variables!$V:$V,3),
anom,XLOOKUP($B378,Derived_Variables!$A:$A,Derived_Variables!$Z:$Z,FALSE),
reStart,XLOOKUP($B378,Derived_Variables!$A:$A,Derived_Variables!$K:$K,0),
leStart,XLOOKUP($B378,Derived_Variables!$A:$A,Derived_Variables!$N:$N,0),
reAR,XLOOKUP($B378,AR_Input!$A:$A,AR_Input!$B:$B,reStart),
leAR,XLOOKUP($B378,AR_Input!$A:$A,AR_Input!$E:$E,leStart),
reEsc,AND(anom,OR(ABS((S378+AM378)-reStart)&gt;maxStart,ABS((S378+AM378)-reAR)&gt;maxAR)),
leEsc,AND(anom,OR(ABS((V378+AP378)-leStart)&gt;maxStart,ABS((V378+AP378)-leAR)&gt;maxAR)),
phaseMax,IFS(
 AK378="Fast",
   IFS(
     OR(C378="B",C378="D"),XLOOKUP("timeout_coarse_fast",Calibration!$B:$B,Calibration!$C:$C,24),
     OR(C378="E",C378="F",C378="H",C378="I"),XLOOKUP("timeout_jcc_fast",Calibration!$B:$B,Calibration!$C:$C,10),
     OR(C378="G",C378="J"),XLOOKUP("timeout_duochrome_fast",Calibration!$B:$B,Calibration!$C:$C,8),
     C378="K",XLOOKUP("timeout_bino_fast",Calibration!$B:$B,Calibration!$C:$C,10),
     OR(C378="P",C378="Q",C378="R"),XLOOKUP("timeout_near_fast",Calibration!$B:$B,Calibration!$C:$C,16),
     TRUE,XLOOKUP("timeout_coarse_fast",Calibration!$B:$B,Calibration!$C:$C,24)
   ),
 AK378="Normal",
   IFS(
     OR(C378="B",C378="D"),XLOOKUP("timeout_coarse_normal",Calibration!$B:$B,Calibration!$C:$C,36),
     OR(C378="E",C378="F",C378="H",C378="I"),XLOOKUP("timeout_jcc_normal",Calibration!$B:$B,Calibration!$C:$C,14),
     OR(C378="G",C378="J"),XLOOKUP("timeout_duochrome_normal",Calibration!$B:$B,Calibration!$C:$C,10),
     C378="K",XLOOKUP("timeout_bino_normal",Calibration!$B:$B,Calibration!$C:$C,14),
     OR(C378="P",C378="Q",C378="R"),XLOOKUP("timeout_near_normal",Calibration!$B:$B,Calibration!$C:$C,22),
     TRUE,XLOOKUP("timeout_coarse_normal",Calibration!$B:$B,Calibration!$C:$C,36)
   ),
 TRUE,
   IFS(
     OR(C378="B",C378="D"),XLOOKUP("timeout_coarse_slow",Calibration!$B:$B,Calibration!$C:$C,48),
     OR(C378="E",C378="F",C378="H",C378="I"),XLOOKUP("timeout_jcc_slow",Calibration!$B:$B,Calibration!$C:$C,18),
     OR(C378="G",C378="J"),XLOOKUP("timeout_duochrome_slow",Calibration!$B:$B,Calibration!$C:$C,12),
     C378="K",XLOOKUP("timeout_bino_slow",Calibration!$B:$B,Calibration!$C:$C,18),
     OR(C378="P",C378="Q",C378="R"),XLOOKUP("timeout_near_slow",Calibration!$B:$B,Calibration!$C:$C,28),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AJ378=TRUE,"ESCALATE",
C378="A",
IF(OR(I378="NOT_READABLE",I378="BLURRY",AND(R378="20_20_20",I378="READABLE")),"B","A"),
C378="B",
IF(reEsc,"ESCALATE",IF(AY378&gt;=phaseMax,"ESCALATE",IF(AND(AV378&gt;=AW378,I378="READABLE"),"E","B"))),
C378="E",
IF(AY378&gt;=phaseMax,"ESCALATE",IF(OR(I378="SAME",I378="CANT_TELL",AD378&lt;axisTol),"F","E")),
C378="F",
IF(AY378&gt;=phaseMax,"ESCALATE",IF(AX378&gt;=powerSameN,"G","F")),
C378="G",
IF(AY378&gt;=phaseMax,"ESCALATE",IF(OR(AX378&gt;=duoEqualN,BB378&gt;=duoMax),"D","G")),
C378="D",
IF(leEsc,"ESCALATE",IF(AY378&gt;=phaseMax,"ESCALATE",IF(AND(AV378&gt;=AW378,I378="READABLE"),"H","D"))),
C378="H",
IF(AY378&gt;=phaseMax,"ESCALATE",IF(OR(I378="SAME",I378="CANT_TELL",AD378&lt;axisTol),"I","H")),
C378="I",
IF(AY378&gt;=phaseMax,"ESCALATE",IF(AX378&gt;=powerSameN,"J","I")),
C378="J",
IF(AY378&gt;=phaseMax,"ESCALATE",IF(OR(AX378&gt;=duoEqualN,BB378&gt;=duoMax),"K","J")),
C378="K",
IF(AY378&gt;=phaseMax,"ESCALATE",IF(AX378&gt;=binoSameN,IF(XLOOKUP($B378,Derived_Variables!$A:$A,Derived_Variables!$AJ:$AJ,FALSE)=TRUE,"P","END"),"K")),
C378="P",
IF(AY378&gt;=phaseMax,"ESCALATE",IF(OR(I378="READABLE",I378="SAME"),"Q","P")),
C378="Q",
IF(AY378&gt;=phaseMax,"ESCALATE",IF(OR(I378="READABLE",I378="SAME"),"R","Q")),
C378="R",
IF(AY378&gt;=phaseMax,"ESCALATE",IF(OR(I378=nearTarget,I378="SAME"),"END","R")),
TRUE,"END"
)))</f>
        <v/>
      </c>
      <c r="BD378" s="28" t="b">
        <f t="shared" si="19"/>
        <v>0</v>
      </c>
    </row>
    <row r="379" ht="15.75" customHeight="1">
      <c r="A379" s="28">
        <f t="shared" si="3"/>
        <v>378</v>
      </c>
      <c r="B379" s="28">
        <f t="shared" si="4"/>
        <v>6</v>
      </c>
      <c r="C379" s="28" t="str">
        <f t="shared" si="5"/>
        <v/>
      </c>
      <c r="D379" s="28" t="str">
        <f t="array" ref="D379">IF($I378="","",XLOOKUP(C379,FSM_State_Map!A:A,FSM_State_Map!B:B,""))</f>
        <v/>
      </c>
      <c r="E379" s="28" t="str">
        <f t="array" ref="E379">IF($I378="","",XLOOKUP(C379,FSM_State_Map!A:A,FSM_State_Map!C:C,""))</f>
        <v/>
      </c>
      <c r="F379" s="28" t="str">
        <f t="array" ref="F379">IF($I378="","",XLOOKUP(E379,Phase_UI_Map!A:A,Phase_UI_Map!B:B,""))</f>
        <v/>
      </c>
      <c r="G379" s="28" t="str">
        <f t="array" ref="G379">IF($I378="","",XLOOKUP(E379,Phase_UI_Map!A:A,Phase_UI_Map!C:C,""))</f>
        <v/>
      </c>
      <c r="H379" s="28" t="str">
        <f t="array" ref="H379">IF($I378="","",XLOOKUP(E379,Phase_UI_Map!A:A,Phase_UI_Map!D:D,""))</f>
        <v/>
      </c>
      <c r="I379" s="29"/>
      <c r="J379" s="28" t="str">
        <f>IFERROR(__xludf.DUMMYFUNCTION("IF($I378="""","""",IFERROR(INDEX(FILTER(Response_Lists!$B:$B,Response_Lists!$A:$A=$H379),1),""""))"),"")</f>
        <v/>
      </c>
      <c r="K379" s="28" t="str">
        <f>IFERROR(__xludf.DUMMYFUNCTION("IF($I378="""","""",IFERROR(INDEX(FILTER(Response_Lists!$B:$B,Response_Lists!$A:$A=$H379),2),""""))"),"")</f>
        <v/>
      </c>
      <c r="L379" s="28" t="str">
        <f>IFERROR(__xludf.DUMMYFUNCTION("IF($I378="""","""",IFERROR(INDEX(FILTER(Response_Lists!$B:$B,Response_Lists!$A:$A=$H379),3),""""))"),"")</f>
        <v/>
      </c>
      <c r="M379" s="28" t="str">
        <f>IFERROR(__xludf.DUMMYFUNCTION("IF($I378="""","""",IFERROR(INDEX(FILTER(Response_Lists!$B:$B,Response_Lists!$A:$A=$H379),4),""""))"),"")</f>
        <v/>
      </c>
      <c r="N379" s="28" t="str">
        <f>IFERROR(__xludf.DUMMYFUNCTION("IF($I378="""","""",IFERROR(INDEX(FILTER(Response_Lists!$B:$B,Response_Lists!$A:$A=$H379),5),""""))"),"")</f>
        <v/>
      </c>
      <c r="O379" s="28" t="str">
        <f>IFERROR(__xludf.DUMMYFUNCTION("IF($I378="""","""",IFERROR(INDEX(FILTER(Response_Lists!$B:$B,Response_Lists!$A:$A=$H379),6),""""))"),"")</f>
        <v/>
      </c>
      <c r="P379" s="28" t="str">
        <f t="shared" si="6"/>
        <v/>
      </c>
      <c r="Q379" s="28" t="str">
        <f t="array" ref="Q379">IF($I378="","",XLOOKUP(C379,FSM_State_Map!A:A,FSM_State_Map!D:D,""))</f>
        <v/>
      </c>
      <c r="R379" s="28" t="str">
        <f t="shared" si="7"/>
        <v/>
      </c>
      <c r="S379" s="28" t="str">
        <f t="array" ref="S379">IF($I378="","",
IF(
  AND(C379="B",C378&lt;&gt;"B"),
  XLOOKUP($B379,Derived_Variables!$A:$A,Derived_Variables!$K:$K,0)
  + XLOOKUP($B379,Derived_Variables!$A:$A,Derived_Variables!$AE:$AE,0),
  S378+AM378
))</f>
        <v/>
      </c>
      <c r="T379" s="28" t="str">
        <f t="shared" ref="T379:U379" si="768">IF($I378="","",T378+AN378)</f>
        <v/>
      </c>
      <c r="U379" s="28" t="str">
        <f t="shared" si="768"/>
        <v/>
      </c>
      <c r="V379" s="28" t="str">
        <f t="array" ref="V379">IF($I378="","",
IF(
  AND(C379="D",C378&lt;&gt;"D"),
  XLOOKUP($B379,Derived_Variables!$A:$A,Derived_Variables!$N:$N,0)
  + XLOOKUP($B379,Derived_Variables!$A:$A,Derived_Variables!$AE:$AE,0),
  V378+AP378
))</f>
        <v/>
      </c>
      <c r="W379" s="28" t="str">
        <f t="shared" ref="W379:X379" si="769">IF($I378="","",W378+AQ378)</f>
        <v/>
      </c>
      <c r="X379" s="28" t="str">
        <f t="shared" si="769"/>
        <v/>
      </c>
      <c r="Y379" s="28" t="str">
        <f t="array" ref="Y379">IF($I378="","",IF(AND(C379="P",C378&lt;&gt;"P"),IFERROR(XLOOKUP($B379,Lenso_Input!$A:$A,Lenso_Input!$E:$E,0),0),Y378+AS378))</f>
        <v/>
      </c>
      <c r="Z379" s="28" t="str">
        <f t="array" ref="Z379">IF($I378="","",IF(AND(C379="Q",C378&lt;&gt;"Q"),IFERROR(XLOOKUP($B379,Lenso_Input!$A:$A,Lenso_Input!$I:$I,0),0),Z378+AT378))</f>
        <v/>
      </c>
      <c r="AA379" s="28" t="str">
        <f t="array" ref="AA379">IF($I378="","",IF(XLOOKUP($B379,Derived_Variables!$A:$A,Derived_Variables!$R:$R,"6/6_target")="6/6_target","20_20_20","40_30_25"))</f>
        <v/>
      </c>
      <c r="AB379" s="28" t="str">
        <f t="array" ref="AB379">IF($I378="","",XLOOKUP(LOWER(XLOOKUP($B379,Derived_Variables!$A:$A,Derived_Variables!$T:$T,"Standard"))&amp;"_sph_step",Calibration!$B:$B,Calibration!$C:$C,0.25))</f>
        <v/>
      </c>
      <c r="AC379" s="28" t="str">
        <f t="array" ref="AC379">IF($I378="","",XLOOKUP(LOWER(XLOOKUP($B379,Derived_Variables!$A:$A,Derived_Variables!$T:$T,"Standard"))&amp;"_cyl_step",Calibration!$B:$B,Calibration!$C:$C,0.25))</f>
        <v/>
      </c>
      <c r="AD379" s="28" t="str">
        <f t="array" ref="AD379">IF($I378="","",IF(OR(C379="E",C379="H"),LET(startStep,XLOOKUP("axis_start_step",Calibration!$B:$B,Calibration!$C:$C,5),step1,XLOOKUP("axis_reversal_step_1",Calibration!$B:$B,Calibration!$C:$C,3),step2,XLOOKUP("axis_reversal_step_2",Calibration!$B:$B,Calibration!$C:$C,1),IF(OR(C378&lt;&gt;C379,AZ379="",AZ379="SAME",AZ379="CANT_TELL",I379="",I379="SAME",I379="CANT_TELL"),startStep,IF(OR(AND(AZ379="BETTER_1",I379="BETTER_2"),AND(AZ379="BETTER_2",I379="BETTER_1")),IF(AD378&gt;step1,step1,step2),AD378))),0))</f>
        <v/>
      </c>
      <c r="AE379" s="28" t="str">
        <f t="array" ref="AE379">IF($I378="","",XLOOKUP($B379,Derived_Variables!$A:$A,Derived_Variables!$AD:$AD,"No_Fog"))</f>
        <v/>
      </c>
      <c r="AF379" s="28" t="str">
        <f t="array" ref="AF379">IF($I378="","",XLOOKUP($B379,Derived_Variables!$A:$A,Derived_Variables!$AE:$AE,0))</f>
        <v/>
      </c>
      <c r="AG379" s="28" t="str">
        <f t="array" ref="AG379">IF($I378="","",XLOOKUP($B379,Derived_Variables!$A:$A,Derived_Variables!$AF:$AF,""))</f>
        <v/>
      </c>
      <c r="AH379" s="28" t="str">
        <f t="array" ref="AH379">IF($I378="","",XLOOKUP($B379,Derived_Variables!$A:$A,Derived_Variables!$AG:$AG,""))</f>
        <v/>
      </c>
      <c r="AI379" s="28" t="str">
        <f t="array" ref="AI379">IF($I378="","",XLOOKUP($B379,Derived_Variables!$A:$A,Derived_Variables!$AC:$AC,"Medium"))</f>
        <v/>
      </c>
      <c r="AJ379" s="28" t="str">
        <f t="array" ref="AJ379">IF($I378="","",XLOOKUP($B379,Derived_Variables!$A:$A,Derived_Variables!$Y:$Y,FALSE))</f>
        <v/>
      </c>
      <c r="AK379" s="28" t="str">
        <f t="array" ref="AK379">IF($I378="","",XLOOKUP($B379,Derived_Variables!$A:$A,Derived_Variables!$AA:$AA,"Normal"))</f>
        <v/>
      </c>
      <c r="AL379" s="28" t="str">
        <f t="array" ref="AL379">IF($I378="","",XLOOKUP($B379,Derived_Variables!$A:$A,Derived_Variables!$AB:$AB,"Normal"))</f>
        <v/>
      </c>
      <c r="AM379" s="28" t="str">
        <f t="array" ref="AM379">IF($I379="","",IFS(C379="B",IF(OR(I379="NOT_READABLE",I379="BLURRY"),-AB379,0),C379="G",IFS(I379="RED_CLEARER",XLOOKUP("duochrome_red_step",Calibration!$B:$B,Calibration!$C:$C,-0.25),I379="GREEN_CLEARER",XLOOKUP("duochrome_green_step",Calibration!$B:$B,Calibration!$C:$C,0.25),I379="EQUAL",IF(XLOOKUP($B379,Derived_Variables!$A:$A,Derived_Variables!$S:$S,"Neutral")="Undercorrect",XLOOKUP("undercorrect_step",Calibration!$B:$B,Calibration!$C:$C,0.25),IF(XLOOKUP($B379,Derived_Variables!$A:$A,Derived_Variables!$S:$S,"Neutral")="Overcorrect",-XLOOKUP("overcorrect_step",Calibration!$B:$B,Calibration!$C:$C,0.25),0)),TRUE,0),C379="K",IF(I379="TOP_CLEARER",XLOOKUP("bino_balance_step",Calibration!$B:$B,Calibration!$C:$C,0.25),0),TRUE,0))</f>
        <v/>
      </c>
      <c r="AN379" s="28" t="str">
        <f t="shared" si="10"/>
        <v/>
      </c>
      <c r="AO379" s="28" t="str">
        <f t="shared" si="11"/>
        <v/>
      </c>
      <c r="AP379" s="28" t="str">
        <f t="array" ref="AP379">IF($I379="","",IFS(C379="D",IF(OR(I379="NOT_READABLE",I379="BLURRY"),-AB379,0),C379="J",IFS(I379="RED_CLEARER",XLOOKUP("duochrome_red_step",Calibration!$B:$B,Calibration!$C:$C,-0.25),I379="GREEN_CLEARER",XLOOKUP("duochrome_green_step",Calibration!$B:$B,Calibration!$C:$C,0.25),I379="EQUAL",IF(XLOOKUP($B379,Derived_Variables!$A:$A,Derived_Variables!$S:$S,"Neutral")="Undercorrect",XLOOKUP("undercorrect_step",Calibration!$B:$B,Calibration!$C:$C,0.25),IF(XLOOKUP($B379,Derived_Variables!$A:$A,Derived_Variables!$S:$S,"Neutral")="Overcorrect",-XLOOKUP("overcorrect_step",Calibration!$B:$B,Calibration!$C:$C,0.25),0)),TRUE,0),C379="K",IF(I379="BOTTOM_CLEARER",XLOOKUP("bino_balance_step",Calibration!$B:$B,Calibration!$C:$C,0.25),0),TRUE,0))</f>
        <v/>
      </c>
      <c r="AQ379" s="28" t="str">
        <f t="shared" si="12"/>
        <v/>
      </c>
      <c r="AR379" s="28" t="str">
        <f t="shared" si="13"/>
        <v/>
      </c>
      <c r="AS379" s="28" t="str">
        <f t="array" ref="AS379">IF($I379="","",IF(C379="P",IF(OR(I379="NOT_READABLE",I379="BLURRY"),XLOOKUP("near_add_step",Calibration!$B:$B,Calibration!$C:$C,0.25),0),IF(C379="R",IF(I379="NOT_CLEAR",XLOOKUP("near_add_step",Calibration!$B:$B,Calibration!$C:$C,0.25),0),0)))</f>
        <v/>
      </c>
      <c r="AT379" s="28" t="str">
        <f t="array" ref="AT379">IF($I379="","",IF(C379="Q",IF(OR(I379="NOT_READABLE",I379="BLURRY"),XLOOKUP("near_add_step",Calibration!$B:$B,Calibration!$C:$C,0.25),0),IF(C379="R",IF(I379="NOT_CLEAR",XLOOKUP("near_add_step",Calibration!$B:$B,Calibration!$C:$C,0.25),0),0)))</f>
        <v/>
      </c>
      <c r="AU379" s="28" t="str">
        <f t="array" ref="AU379">IF($I379="","",IF(G379="SNELLEN_FEET",IF(I379="READABLE",IFERROR(XLOOKUP(XLOOKUP(R379,Chart_Scale_Distance!B:B,Chart_Scale_Distance!A:A)+1,Chart_Scale_Distance!A:A,Chart_Scale_Distance!B:B),R379),R379),R379))</f>
        <v/>
      </c>
      <c r="AV379" s="28" t="str">
        <f t="array" ref="AV379">IF($I378="","",IFERROR(XLOOKUP(R379,Chart_Scale_Distance!$B:$B,Chart_Scale_Distance!$A:$A,""),""))</f>
        <v/>
      </c>
      <c r="AW379" s="28" t="str">
        <f t="array" ref="AW379">IF($I378="","",IFERROR(XLOOKUP(AA379,Chart_Scale_Distance!$B:$B,Chart_Scale_Distance!$A:$A,""),""))</f>
        <v/>
      </c>
      <c r="AX379" s="28" t="str">
        <f t="shared" si="14"/>
        <v/>
      </c>
      <c r="AY379" s="28" t="str">
        <f t="shared" si="15"/>
        <v/>
      </c>
      <c r="AZ379" s="28" t="str">
        <f t="shared" si="16"/>
        <v/>
      </c>
      <c r="BA379" s="28" t="str">
        <f t="shared" si="17"/>
        <v/>
      </c>
      <c r="BB379" s="28" t="str">
        <f t="shared" si="18"/>
        <v/>
      </c>
      <c r="BC379" s="28" t="str">
        <f t="array" ref="BC379">IF($I379="","",LET(
conf,AI379,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duoMax,XLOOKUP($B379,Derived_Variables!$A:$A,Derived_Variables!$AI:$AI,4),
axisTol,XLOOKUP($B379,Derived_Variables!$A:$A,Derived_Variables!$W:$W,1),
maxStart,XLOOKUP($B379,Derived_Variables!$A:$A,Derived_Variables!$U:$U,1.25),
maxAR,XLOOKUP($B379,Derived_Variables!$A:$A,Derived_Variables!$V:$V,3),
anom,XLOOKUP($B379,Derived_Variables!$A:$A,Derived_Variables!$Z:$Z,FALSE),
reStart,XLOOKUP($B379,Derived_Variables!$A:$A,Derived_Variables!$K:$K,0),
leStart,XLOOKUP($B379,Derived_Variables!$A:$A,Derived_Variables!$N:$N,0),
reAR,XLOOKUP($B379,AR_Input!$A:$A,AR_Input!$B:$B,reStart),
leAR,XLOOKUP($B379,AR_Input!$A:$A,AR_Input!$E:$E,leStart),
reEsc,AND(anom,OR(ABS((S379+AM379)-reStart)&gt;maxStart,ABS((S379+AM379)-reAR)&gt;maxAR)),
leEsc,AND(anom,OR(ABS((V379+AP379)-leStart)&gt;maxStart,ABS((V379+AP379)-leAR)&gt;maxAR)),
phaseMax,IFS(
 AK379="Fast",
   IFS(
     OR(C379="B",C379="D"),XLOOKUP("timeout_coarse_fast",Calibration!$B:$B,Calibration!$C:$C,24),
     OR(C379="E",C379="F",C379="H",C379="I"),XLOOKUP("timeout_jcc_fast",Calibration!$B:$B,Calibration!$C:$C,10),
     OR(C379="G",C379="J"),XLOOKUP("timeout_duochrome_fast",Calibration!$B:$B,Calibration!$C:$C,8),
     C379="K",XLOOKUP("timeout_bino_fast",Calibration!$B:$B,Calibration!$C:$C,10),
     OR(C379="P",C379="Q",C379="R"),XLOOKUP("timeout_near_fast",Calibration!$B:$B,Calibration!$C:$C,16),
     TRUE,XLOOKUP("timeout_coarse_fast",Calibration!$B:$B,Calibration!$C:$C,24)
   ),
 AK379="Normal",
   IFS(
     OR(C379="B",C379="D"),XLOOKUP("timeout_coarse_normal",Calibration!$B:$B,Calibration!$C:$C,36),
     OR(C379="E",C379="F",C379="H",C379="I"),XLOOKUP("timeout_jcc_normal",Calibration!$B:$B,Calibration!$C:$C,14),
     OR(C379="G",C379="J"),XLOOKUP("timeout_duochrome_normal",Calibration!$B:$B,Calibration!$C:$C,10),
     C379="K",XLOOKUP("timeout_bino_normal",Calibration!$B:$B,Calibration!$C:$C,14),
     OR(C379="P",C379="Q",C379="R"),XLOOKUP("timeout_near_normal",Calibration!$B:$B,Calibration!$C:$C,22),
     TRUE,XLOOKUP("timeout_coarse_normal",Calibration!$B:$B,Calibration!$C:$C,36)
   ),
 TRUE,
   IFS(
     OR(C379="B",C379="D"),XLOOKUP("timeout_coarse_slow",Calibration!$B:$B,Calibration!$C:$C,48),
     OR(C379="E",C379="F",C379="H",C379="I"),XLOOKUP("timeout_jcc_slow",Calibration!$B:$B,Calibration!$C:$C,18),
     OR(C379="G",C379="J"),XLOOKUP("timeout_duochrome_slow",Calibration!$B:$B,Calibration!$C:$C,12),
     C379="K",XLOOKUP("timeout_bino_slow",Calibration!$B:$B,Calibration!$C:$C,18),
     OR(C379="P",C379="Q",C379="R"),XLOOKUP("timeout_near_slow",Calibration!$B:$B,Calibration!$C:$C,28),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AJ379=TRUE,"ESCALATE",
C379="A",
IF(OR(I379="NOT_READABLE",I379="BLURRY",AND(R379="20_20_20",I379="READABLE")),"B","A"),
C379="B",
IF(reEsc,"ESCALATE",IF(AY379&gt;=phaseMax,"ESCALATE",IF(AND(AV379&gt;=AW379,I379="READABLE"),"E","B"))),
C379="E",
IF(AY379&gt;=phaseMax,"ESCALATE",IF(OR(I379="SAME",I379="CANT_TELL",AD379&lt;axisTol),"F","E")),
C379="F",
IF(AY379&gt;=phaseMax,"ESCALATE",IF(AX379&gt;=powerSameN,"G","F")),
C379="G",
IF(AY379&gt;=phaseMax,"ESCALATE",IF(OR(AX379&gt;=duoEqualN,BB379&gt;=duoMax),"D","G")),
C379="D",
IF(leEsc,"ESCALATE",IF(AY379&gt;=phaseMax,"ESCALATE",IF(AND(AV379&gt;=AW379,I379="READABLE"),"H","D"))),
C379="H",
IF(AY379&gt;=phaseMax,"ESCALATE",IF(OR(I379="SAME",I379="CANT_TELL",AD379&lt;axisTol),"I","H")),
C379="I",
IF(AY379&gt;=phaseMax,"ESCALATE",IF(AX379&gt;=powerSameN,"J","I")),
C379="J",
IF(AY379&gt;=phaseMax,"ESCALATE",IF(OR(AX379&gt;=duoEqualN,BB379&gt;=duoMax),"K","J")),
C379="K",
IF(AY379&gt;=phaseMax,"ESCALATE",IF(AX379&gt;=binoSameN,IF(XLOOKUP($B379,Derived_Variables!$A:$A,Derived_Variables!$AJ:$AJ,FALSE)=TRUE,"P","END"),"K")),
C379="P",
IF(AY379&gt;=phaseMax,"ESCALATE",IF(OR(I379="READABLE",I379="SAME"),"Q","P")),
C379="Q",
IF(AY379&gt;=phaseMax,"ESCALATE",IF(OR(I379="READABLE",I379="SAME"),"R","Q")),
C379="R",
IF(AY379&gt;=phaseMax,"ESCALATE",IF(OR(I379=nearTarget,I379="SAME"),"END","R")),
TRUE,"END"
)))</f>
        <v/>
      </c>
      <c r="BD379" s="28" t="b">
        <f t="shared" si="19"/>
        <v>0</v>
      </c>
    </row>
    <row r="380" ht="15.75" customHeight="1">
      <c r="A380" s="28">
        <f t="shared" si="3"/>
        <v>379</v>
      </c>
      <c r="B380" s="28">
        <f t="shared" si="4"/>
        <v>6</v>
      </c>
      <c r="C380" s="28" t="str">
        <f t="shared" si="5"/>
        <v/>
      </c>
      <c r="D380" s="28" t="str">
        <f t="array" ref="D380">IF($I379="","",XLOOKUP(C380,FSM_State_Map!A:A,FSM_State_Map!B:B,""))</f>
        <v/>
      </c>
      <c r="E380" s="28" t="str">
        <f t="array" ref="E380">IF($I379="","",XLOOKUP(C380,FSM_State_Map!A:A,FSM_State_Map!C:C,""))</f>
        <v/>
      </c>
      <c r="F380" s="28" t="str">
        <f t="array" ref="F380">IF($I379="","",XLOOKUP(E380,Phase_UI_Map!A:A,Phase_UI_Map!B:B,""))</f>
        <v/>
      </c>
      <c r="G380" s="28" t="str">
        <f t="array" ref="G380">IF($I379="","",XLOOKUP(E380,Phase_UI_Map!A:A,Phase_UI_Map!C:C,""))</f>
        <v/>
      </c>
      <c r="H380" s="28" t="str">
        <f t="array" ref="H380">IF($I379="","",XLOOKUP(E380,Phase_UI_Map!A:A,Phase_UI_Map!D:D,""))</f>
        <v/>
      </c>
      <c r="I380" s="29"/>
      <c r="J380" s="28" t="str">
        <f>IFERROR(__xludf.DUMMYFUNCTION("IF($I379="""","""",IFERROR(INDEX(FILTER(Response_Lists!$B:$B,Response_Lists!$A:$A=$H380),1),""""))"),"")</f>
        <v/>
      </c>
      <c r="K380" s="28" t="str">
        <f>IFERROR(__xludf.DUMMYFUNCTION("IF($I379="""","""",IFERROR(INDEX(FILTER(Response_Lists!$B:$B,Response_Lists!$A:$A=$H380),2),""""))"),"")</f>
        <v/>
      </c>
      <c r="L380" s="28" t="str">
        <f>IFERROR(__xludf.DUMMYFUNCTION("IF($I379="""","""",IFERROR(INDEX(FILTER(Response_Lists!$B:$B,Response_Lists!$A:$A=$H380),3),""""))"),"")</f>
        <v/>
      </c>
      <c r="M380" s="28" t="str">
        <f>IFERROR(__xludf.DUMMYFUNCTION("IF($I379="""","""",IFERROR(INDEX(FILTER(Response_Lists!$B:$B,Response_Lists!$A:$A=$H380),4),""""))"),"")</f>
        <v/>
      </c>
      <c r="N380" s="28" t="str">
        <f>IFERROR(__xludf.DUMMYFUNCTION("IF($I379="""","""",IFERROR(INDEX(FILTER(Response_Lists!$B:$B,Response_Lists!$A:$A=$H380),5),""""))"),"")</f>
        <v/>
      </c>
      <c r="O380" s="28" t="str">
        <f>IFERROR(__xludf.DUMMYFUNCTION("IF($I379="""","""",IFERROR(INDEX(FILTER(Response_Lists!$B:$B,Response_Lists!$A:$A=$H380),6),""""))"),"")</f>
        <v/>
      </c>
      <c r="P380" s="28" t="str">
        <f t="shared" si="6"/>
        <v/>
      </c>
      <c r="Q380" s="28" t="str">
        <f t="array" ref="Q380">IF($I379="","",XLOOKUP(C380,FSM_State_Map!A:A,FSM_State_Map!D:D,""))</f>
        <v/>
      </c>
      <c r="R380" s="28" t="str">
        <f t="shared" si="7"/>
        <v/>
      </c>
      <c r="S380" s="28" t="str">
        <f t="array" ref="S380">IF($I379="","",
IF(
  AND(C380="B",C379&lt;&gt;"B"),
  XLOOKUP($B380,Derived_Variables!$A:$A,Derived_Variables!$K:$K,0)
  + XLOOKUP($B380,Derived_Variables!$A:$A,Derived_Variables!$AE:$AE,0),
  S379+AM379
))</f>
        <v/>
      </c>
      <c r="T380" s="28" t="str">
        <f t="shared" ref="T380:U380" si="770">IF($I379="","",T379+AN379)</f>
        <v/>
      </c>
      <c r="U380" s="28" t="str">
        <f t="shared" si="770"/>
        <v/>
      </c>
      <c r="V380" s="28" t="str">
        <f t="array" ref="V380">IF($I379="","",
IF(
  AND(C380="D",C379&lt;&gt;"D"),
  XLOOKUP($B380,Derived_Variables!$A:$A,Derived_Variables!$N:$N,0)
  + XLOOKUP($B380,Derived_Variables!$A:$A,Derived_Variables!$AE:$AE,0),
  V379+AP379
))</f>
        <v/>
      </c>
      <c r="W380" s="28" t="str">
        <f t="shared" ref="W380:X380" si="771">IF($I379="","",W379+AQ379)</f>
        <v/>
      </c>
      <c r="X380" s="28" t="str">
        <f t="shared" si="771"/>
        <v/>
      </c>
      <c r="Y380" s="28" t="str">
        <f t="array" ref="Y380">IF($I379="","",IF(AND(C380="P",C379&lt;&gt;"P"),IFERROR(XLOOKUP($B380,Lenso_Input!$A:$A,Lenso_Input!$E:$E,0),0),Y379+AS379))</f>
        <v/>
      </c>
      <c r="Z380" s="28" t="str">
        <f t="array" ref="Z380">IF($I379="","",IF(AND(C380="Q",C379&lt;&gt;"Q"),IFERROR(XLOOKUP($B380,Lenso_Input!$A:$A,Lenso_Input!$I:$I,0),0),Z379+AT379))</f>
        <v/>
      </c>
      <c r="AA380" s="28" t="str">
        <f t="array" ref="AA380">IF($I379="","",IF(XLOOKUP($B380,Derived_Variables!$A:$A,Derived_Variables!$R:$R,"6/6_target")="6/6_target","20_20_20","40_30_25"))</f>
        <v/>
      </c>
      <c r="AB380" s="28" t="str">
        <f t="array" ref="AB380">IF($I379="","",XLOOKUP(LOWER(XLOOKUP($B380,Derived_Variables!$A:$A,Derived_Variables!$T:$T,"Standard"))&amp;"_sph_step",Calibration!$B:$B,Calibration!$C:$C,0.25))</f>
        <v/>
      </c>
      <c r="AC380" s="28" t="str">
        <f t="array" ref="AC380">IF($I379="","",XLOOKUP(LOWER(XLOOKUP($B380,Derived_Variables!$A:$A,Derived_Variables!$T:$T,"Standard"))&amp;"_cyl_step",Calibration!$B:$B,Calibration!$C:$C,0.25))</f>
        <v/>
      </c>
      <c r="AD380" s="28" t="str">
        <f t="array" ref="AD380">IF($I379="","",IF(OR(C380="E",C380="H"),LET(startStep,XLOOKUP("axis_start_step",Calibration!$B:$B,Calibration!$C:$C,5),step1,XLOOKUP("axis_reversal_step_1",Calibration!$B:$B,Calibration!$C:$C,3),step2,XLOOKUP("axis_reversal_step_2",Calibration!$B:$B,Calibration!$C:$C,1),IF(OR(C379&lt;&gt;C380,AZ380="",AZ380="SAME",AZ380="CANT_TELL",I380="",I380="SAME",I380="CANT_TELL"),startStep,IF(OR(AND(AZ380="BETTER_1",I380="BETTER_2"),AND(AZ380="BETTER_2",I380="BETTER_1")),IF(AD379&gt;step1,step1,step2),AD379))),0))</f>
        <v/>
      </c>
      <c r="AE380" s="28" t="str">
        <f t="array" ref="AE380">IF($I379="","",XLOOKUP($B380,Derived_Variables!$A:$A,Derived_Variables!$AD:$AD,"No_Fog"))</f>
        <v/>
      </c>
      <c r="AF380" s="28" t="str">
        <f t="array" ref="AF380">IF($I379="","",XLOOKUP($B380,Derived_Variables!$A:$A,Derived_Variables!$AE:$AE,0))</f>
        <v/>
      </c>
      <c r="AG380" s="28" t="str">
        <f t="array" ref="AG380">IF($I379="","",XLOOKUP($B380,Derived_Variables!$A:$A,Derived_Variables!$AF:$AF,""))</f>
        <v/>
      </c>
      <c r="AH380" s="28" t="str">
        <f t="array" ref="AH380">IF($I379="","",XLOOKUP($B380,Derived_Variables!$A:$A,Derived_Variables!$AG:$AG,""))</f>
        <v/>
      </c>
      <c r="AI380" s="28" t="str">
        <f t="array" ref="AI380">IF($I379="","",XLOOKUP($B380,Derived_Variables!$A:$A,Derived_Variables!$AC:$AC,"Medium"))</f>
        <v/>
      </c>
      <c r="AJ380" s="28" t="str">
        <f t="array" ref="AJ380">IF($I379="","",XLOOKUP($B380,Derived_Variables!$A:$A,Derived_Variables!$Y:$Y,FALSE))</f>
        <v/>
      </c>
      <c r="AK380" s="28" t="str">
        <f t="array" ref="AK380">IF($I379="","",XLOOKUP($B380,Derived_Variables!$A:$A,Derived_Variables!$AA:$AA,"Normal"))</f>
        <v/>
      </c>
      <c r="AL380" s="28" t="str">
        <f t="array" ref="AL380">IF($I379="","",XLOOKUP($B380,Derived_Variables!$A:$A,Derived_Variables!$AB:$AB,"Normal"))</f>
        <v/>
      </c>
      <c r="AM380" s="28" t="str">
        <f t="array" ref="AM380">IF($I380="","",IFS(C380="B",IF(OR(I380="NOT_READABLE",I380="BLURRY"),-AB380,0),C380="G",IFS(I380="RED_CLEARER",XLOOKUP("duochrome_red_step",Calibration!$B:$B,Calibration!$C:$C,-0.25),I380="GREEN_CLEARER",XLOOKUP("duochrome_green_step",Calibration!$B:$B,Calibration!$C:$C,0.25),I380="EQUAL",IF(XLOOKUP($B380,Derived_Variables!$A:$A,Derived_Variables!$S:$S,"Neutral")="Undercorrect",XLOOKUP("undercorrect_step",Calibration!$B:$B,Calibration!$C:$C,0.25),IF(XLOOKUP($B380,Derived_Variables!$A:$A,Derived_Variables!$S:$S,"Neutral")="Overcorrect",-XLOOKUP("overcorrect_step",Calibration!$B:$B,Calibration!$C:$C,0.25),0)),TRUE,0),C380="K",IF(I380="TOP_CLEARER",XLOOKUP("bino_balance_step",Calibration!$B:$B,Calibration!$C:$C,0.25),0),TRUE,0))</f>
        <v/>
      </c>
      <c r="AN380" s="28" t="str">
        <f t="shared" si="10"/>
        <v/>
      </c>
      <c r="AO380" s="28" t="str">
        <f t="shared" si="11"/>
        <v/>
      </c>
      <c r="AP380" s="28" t="str">
        <f t="array" ref="AP380">IF($I380="","",IFS(C380="D",IF(OR(I380="NOT_READABLE",I380="BLURRY"),-AB380,0),C380="J",IFS(I380="RED_CLEARER",XLOOKUP("duochrome_red_step",Calibration!$B:$B,Calibration!$C:$C,-0.25),I380="GREEN_CLEARER",XLOOKUP("duochrome_green_step",Calibration!$B:$B,Calibration!$C:$C,0.25),I380="EQUAL",IF(XLOOKUP($B380,Derived_Variables!$A:$A,Derived_Variables!$S:$S,"Neutral")="Undercorrect",XLOOKUP("undercorrect_step",Calibration!$B:$B,Calibration!$C:$C,0.25),IF(XLOOKUP($B380,Derived_Variables!$A:$A,Derived_Variables!$S:$S,"Neutral")="Overcorrect",-XLOOKUP("overcorrect_step",Calibration!$B:$B,Calibration!$C:$C,0.25),0)),TRUE,0),C380="K",IF(I380="BOTTOM_CLEARER",XLOOKUP("bino_balance_step",Calibration!$B:$B,Calibration!$C:$C,0.25),0),TRUE,0))</f>
        <v/>
      </c>
      <c r="AQ380" s="28" t="str">
        <f t="shared" si="12"/>
        <v/>
      </c>
      <c r="AR380" s="28" t="str">
        <f t="shared" si="13"/>
        <v/>
      </c>
      <c r="AS380" s="28" t="str">
        <f t="array" ref="AS380">IF($I380="","",IF(C380="P",IF(OR(I380="NOT_READABLE",I380="BLURRY"),XLOOKUP("near_add_step",Calibration!$B:$B,Calibration!$C:$C,0.25),0),IF(C380="R",IF(I380="NOT_CLEAR",XLOOKUP("near_add_step",Calibration!$B:$B,Calibration!$C:$C,0.25),0),0)))</f>
        <v/>
      </c>
      <c r="AT380" s="28" t="str">
        <f t="array" ref="AT380">IF($I380="","",IF(C380="Q",IF(OR(I380="NOT_READABLE",I380="BLURRY"),XLOOKUP("near_add_step",Calibration!$B:$B,Calibration!$C:$C,0.25),0),IF(C380="R",IF(I380="NOT_CLEAR",XLOOKUP("near_add_step",Calibration!$B:$B,Calibration!$C:$C,0.25),0),0)))</f>
        <v/>
      </c>
      <c r="AU380" s="28" t="str">
        <f t="array" ref="AU380">IF($I380="","",IF(G380="SNELLEN_FEET",IF(I380="READABLE",IFERROR(XLOOKUP(XLOOKUP(R380,Chart_Scale_Distance!B:B,Chart_Scale_Distance!A:A)+1,Chart_Scale_Distance!A:A,Chart_Scale_Distance!B:B),R380),R380),R380))</f>
        <v/>
      </c>
      <c r="AV380" s="28" t="str">
        <f t="array" ref="AV380">IF($I379="","",IFERROR(XLOOKUP(R380,Chart_Scale_Distance!$B:$B,Chart_Scale_Distance!$A:$A,""),""))</f>
        <v/>
      </c>
      <c r="AW380" s="28" t="str">
        <f t="array" ref="AW380">IF($I379="","",IFERROR(XLOOKUP(AA380,Chart_Scale_Distance!$B:$B,Chart_Scale_Distance!$A:$A,""),""))</f>
        <v/>
      </c>
      <c r="AX380" s="28" t="str">
        <f t="shared" si="14"/>
        <v/>
      </c>
      <c r="AY380" s="28" t="str">
        <f t="shared" si="15"/>
        <v/>
      </c>
      <c r="AZ380" s="28" t="str">
        <f t="shared" si="16"/>
        <v/>
      </c>
      <c r="BA380" s="28" t="str">
        <f t="shared" si="17"/>
        <v/>
      </c>
      <c r="BB380" s="28" t="str">
        <f t="shared" si="18"/>
        <v/>
      </c>
      <c r="BC380" s="28" t="str">
        <f t="array" ref="BC380">IF($I380="","",LET(
conf,AI380,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duoMax,XLOOKUP($B380,Derived_Variables!$A:$A,Derived_Variables!$AI:$AI,4),
axisTol,XLOOKUP($B380,Derived_Variables!$A:$A,Derived_Variables!$W:$W,1),
maxStart,XLOOKUP($B380,Derived_Variables!$A:$A,Derived_Variables!$U:$U,1.25),
maxAR,XLOOKUP($B380,Derived_Variables!$A:$A,Derived_Variables!$V:$V,3),
anom,XLOOKUP($B380,Derived_Variables!$A:$A,Derived_Variables!$Z:$Z,FALSE),
reStart,XLOOKUP($B380,Derived_Variables!$A:$A,Derived_Variables!$K:$K,0),
leStart,XLOOKUP($B380,Derived_Variables!$A:$A,Derived_Variables!$N:$N,0),
reAR,XLOOKUP($B380,AR_Input!$A:$A,AR_Input!$B:$B,reStart),
leAR,XLOOKUP($B380,AR_Input!$A:$A,AR_Input!$E:$E,leStart),
reEsc,AND(anom,OR(ABS((S380+AM380)-reStart)&gt;maxStart,ABS((S380+AM380)-reAR)&gt;maxAR)),
leEsc,AND(anom,OR(ABS((V380+AP380)-leStart)&gt;maxStart,ABS((V380+AP380)-leAR)&gt;maxAR)),
phaseMax,IFS(
 AK380="Fast",
   IFS(
     OR(C380="B",C380="D"),XLOOKUP("timeout_coarse_fast",Calibration!$B:$B,Calibration!$C:$C,24),
     OR(C380="E",C380="F",C380="H",C380="I"),XLOOKUP("timeout_jcc_fast",Calibration!$B:$B,Calibration!$C:$C,10),
     OR(C380="G",C380="J"),XLOOKUP("timeout_duochrome_fast",Calibration!$B:$B,Calibration!$C:$C,8),
     C380="K",XLOOKUP("timeout_bino_fast",Calibration!$B:$B,Calibration!$C:$C,10),
     OR(C380="P",C380="Q",C380="R"),XLOOKUP("timeout_near_fast",Calibration!$B:$B,Calibration!$C:$C,16),
     TRUE,XLOOKUP("timeout_coarse_fast",Calibration!$B:$B,Calibration!$C:$C,24)
   ),
 AK380="Normal",
   IFS(
     OR(C380="B",C380="D"),XLOOKUP("timeout_coarse_normal",Calibration!$B:$B,Calibration!$C:$C,36),
     OR(C380="E",C380="F",C380="H",C380="I"),XLOOKUP("timeout_jcc_normal",Calibration!$B:$B,Calibration!$C:$C,14),
     OR(C380="G",C380="J"),XLOOKUP("timeout_duochrome_normal",Calibration!$B:$B,Calibration!$C:$C,10),
     C380="K",XLOOKUP("timeout_bino_normal",Calibration!$B:$B,Calibration!$C:$C,14),
     OR(C380="P",C380="Q",C380="R"),XLOOKUP("timeout_near_normal",Calibration!$B:$B,Calibration!$C:$C,22),
     TRUE,XLOOKUP("timeout_coarse_normal",Calibration!$B:$B,Calibration!$C:$C,36)
   ),
 TRUE,
   IFS(
     OR(C380="B",C380="D"),XLOOKUP("timeout_coarse_slow",Calibration!$B:$B,Calibration!$C:$C,48),
     OR(C380="E",C380="F",C380="H",C380="I"),XLOOKUP("timeout_jcc_slow",Calibration!$B:$B,Calibration!$C:$C,18),
     OR(C380="G",C380="J"),XLOOKUP("timeout_duochrome_slow",Calibration!$B:$B,Calibration!$C:$C,12),
     C380="K",XLOOKUP("timeout_bino_slow",Calibration!$B:$B,Calibration!$C:$C,18),
     OR(C380="P",C380="Q",C380="R"),XLOOKUP("timeout_near_slow",Calibration!$B:$B,Calibration!$C:$C,28),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AJ380=TRUE,"ESCALATE",
C380="A",
IF(OR(I380="NOT_READABLE",I380="BLURRY",AND(R380="20_20_20",I380="READABLE")),"B","A"),
C380="B",
IF(reEsc,"ESCALATE",IF(AY380&gt;=phaseMax,"ESCALATE",IF(AND(AV380&gt;=AW380,I380="READABLE"),"E","B"))),
C380="E",
IF(AY380&gt;=phaseMax,"ESCALATE",IF(OR(I380="SAME",I380="CANT_TELL",AD380&lt;axisTol),"F","E")),
C380="F",
IF(AY380&gt;=phaseMax,"ESCALATE",IF(AX380&gt;=powerSameN,"G","F")),
C380="G",
IF(AY380&gt;=phaseMax,"ESCALATE",IF(OR(AX380&gt;=duoEqualN,BB380&gt;=duoMax),"D","G")),
C380="D",
IF(leEsc,"ESCALATE",IF(AY380&gt;=phaseMax,"ESCALATE",IF(AND(AV380&gt;=AW380,I380="READABLE"),"H","D"))),
C380="H",
IF(AY380&gt;=phaseMax,"ESCALATE",IF(OR(I380="SAME",I380="CANT_TELL",AD380&lt;axisTol),"I","H")),
C380="I",
IF(AY380&gt;=phaseMax,"ESCALATE",IF(AX380&gt;=powerSameN,"J","I")),
C380="J",
IF(AY380&gt;=phaseMax,"ESCALATE",IF(OR(AX380&gt;=duoEqualN,BB380&gt;=duoMax),"K","J")),
C380="K",
IF(AY380&gt;=phaseMax,"ESCALATE",IF(AX380&gt;=binoSameN,IF(XLOOKUP($B380,Derived_Variables!$A:$A,Derived_Variables!$AJ:$AJ,FALSE)=TRUE,"P","END"),"K")),
C380="P",
IF(AY380&gt;=phaseMax,"ESCALATE",IF(OR(I380="READABLE",I380="SAME"),"Q","P")),
C380="Q",
IF(AY380&gt;=phaseMax,"ESCALATE",IF(OR(I380="READABLE",I380="SAME"),"R","Q")),
C380="R",
IF(AY380&gt;=phaseMax,"ESCALATE",IF(OR(I380=nearTarget,I380="SAME"),"END","R")),
TRUE,"END"
)))</f>
        <v/>
      </c>
      <c r="BD380" s="28" t="b">
        <f t="shared" si="19"/>
        <v>0</v>
      </c>
    </row>
    <row r="381" ht="15.75" customHeight="1">
      <c r="A381" s="28">
        <f t="shared" si="3"/>
        <v>380</v>
      </c>
      <c r="B381" s="28">
        <f t="shared" si="4"/>
        <v>6</v>
      </c>
      <c r="C381" s="28" t="str">
        <f t="shared" si="5"/>
        <v/>
      </c>
      <c r="D381" s="28" t="str">
        <f t="array" ref="D381">IF($I380="","",XLOOKUP(C381,FSM_State_Map!A:A,FSM_State_Map!B:B,""))</f>
        <v/>
      </c>
      <c r="E381" s="28" t="str">
        <f t="array" ref="E381">IF($I380="","",XLOOKUP(C381,FSM_State_Map!A:A,FSM_State_Map!C:C,""))</f>
        <v/>
      </c>
      <c r="F381" s="28" t="str">
        <f t="array" ref="F381">IF($I380="","",XLOOKUP(E381,Phase_UI_Map!A:A,Phase_UI_Map!B:B,""))</f>
        <v/>
      </c>
      <c r="G381" s="28" t="str">
        <f t="array" ref="G381">IF($I380="","",XLOOKUP(E381,Phase_UI_Map!A:A,Phase_UI_Map!C:C,""))</f>
        <v/>
      </c>
      <c r="H381" s="28" t="str">
        <f t="array" ref="H381">IF($I380="","",XLOOKUP(E381,Phase_UI_Map!A:A,Phase_UI_Map!D:D,""))</f>
        <v/>
      </c>
      <c r="I381" s="29"/>
      <c r="J381" s="28" t="str">
        <f>IFERROR(__xludf.DUMMYFUNCTION("IF($I380="""","""",IFERROR(INDEX(FILTER(Response_Lists!$B:$B,Response_Lists!$A:$A=$H381),1),""""))"),"")</f>
        <v/>
      </c>
      <c r="K381" s="28" t="str">
        <f>IFERROR(__xludf.DUMMYFUNCTION("IF($I380="""","""",IFERROR(INDEX(FILTER(Response_Lists!$B:$B,Response_Lists!$A:$A=$H381),2),""""))"),"")</f>
        <v/>
      </c>
      <c r="L381" s="28" t="str">
        <f>IFERROR(__xludf.DUMMYFUNCTION("IF($I380="""","""",IFERROR(INDEX(FILTER(Response_Lists!$B:$B,Response_Lists!$A:$A=$H381),3),""""))"),"")</f>
        <v/>
      </c>
      <c r="M381" s="28" t="str">
        <f>IFERROR(__xludf.DUMMYFUNCTION("IF($I380="""","""",IFERROR(INDEX(FILTER(Response_Lists!$B:$B,Response_Lists!$A:$A=$H381),4),""""))"),"")</f>
        <v/>
      </c>
      <c r="N381" s="28" t="str">
        <f>IFERROR(__xludf.DUMMYFUNCTION("IF($I380="""","""",IFERROR(INDEX(FILTER(Response_Lists!$B:$B,Response_Lists!$A:$A=$H381),5),""""))"),"")</f>
        <v/>
      </c>
      <c r="O381" s="28" t="str">
        <f>IFERROR(__xludf.DUMMYFUNCTION("IF($I380="""","""",IFERROR(INDEX(FILTER(Response_Lists!$B:$B,Response_Lists!$A:$A=$H381),6),""""))"),"")</f>
        <v/>
      </c>
      <c r="P381" s="28" t="str">
        <f t="shared" si="6"/>
        <v/>
      </c>
      <c r="Q381" s="28" t="str">
        <f t="array" ref="Q381">IF($I380="","",XLOOKUP(C381,FSM_State_Map!A:A,FSM_State_Map!D:D,""))</f>
        <v/>
      </c>
      <c r="R381" s="28" t="str">
        <f t="shared" si="7"/>
        <v/>
      </c>
      <c r="S381" s="28" t="str">
        <f t="array" ref="S381">IF($I380="","",
IF(
  AND(C381="B",C380&lt;&gt;"B"),
  XLOOKUP($B381,Derived_Variables!$A:$A,Derived_Variables!$K:$K,0)
  + XLOOKUP($B381,Derived_Variables!$A:$A,Derived_Variables!$AE:$AE,0),
  S380+AM380
))</f>
        <v/>
      </c>
      <c r="T381" s="28" t="str">
        <f t="shared" ref="T381:U381" si="772">IF($I380="","",T380+AN380)</f>
        <v/>
      </c>
      <c r="U381" s="28" t="str">
        <f t="shared" si="772"/>
        <v/>
      </c>
      <c r="V381" s="28" t="str">
        <f t="array" ref="V381">IF($I380="","",
IF(
  AND(C381="D",C380&lt;&gt;"D"),
  XLOOKUP($B381,Derived_Variables!$A:$A,Derived_Variables!$N:$N,0)
  + XLOOKUP($B381,Derived_Variables!$A:$A,Derived_Variables!$AE:$AE,0),
  V380+AP380
))</f>
        <v/>
      </c>
      <c r="W381" s="28" t="str">
        <f t="shared" ref="W381:X381" si="773">IF($I380="","",W380+AQ380)</f>
        <v/>
      </c>
      <c r="X381" s="28" t="str">
        <f t="shared" si="773"/>
        <v/>
      </c>
      <c r="Y381" s="28" t="str">
        <f t="array" ref="Y381">IF($I380="","",IF(AND(C381="P",C380&lt;&gt;"P"),IFERROR(XLOOKUP($B381,Lenso_Input!$A:$A,Lenso_Input!$E:$E,0),0),Y380+AS380))</f>
        <v/>
      </c>
      <c r="Z381" s="28" t="str">
        <f t="array" ref="Z381">IF($I380="","",IF(AND(C381="Q",C380&lt;&gt;"Q"),IFERROR(XLOOKUP($B381,Lenso_Input!$A:$A,Lenso_Input!$I:$I,0),0),Z380+AT380))</f>
        <v/>
      </c>
      <c r="AA381" s="28" t="str">
        <f t="array" ref="AA381">IF($I380="","",IF(XLOOKUP($B381,Derived_Variables!$A:$A,Derived_Variables!$R:$R,"6/6_target")="6/6_target","20_20_20","40_30_25"))</f>
        <v/>
      </c>
      <c r="AB381" s="28" t="str">
        <f t="array" ref="AB381">IF($I380="","",XLOOKUP(LOWER(XLOOKUP($B381,Derived_Variables!$A:$A,Derived_Variables!$T:$T,"Standard"))&amp;"_sph_step",Calibration!$B:$B,Calibration!$C:$C,0.25))</f>
        <v/>
      </c>
      <c r="AC381" s="28" t="str">
        <f t="array" ref="AC381">IF($I380="","",XLOOKUP(LOWER(XLOOKUP($B381,Derived_Variables!$A:$A,Derived_Variables!$T:$T,"Standard"))&amp;"_cyl_step",Calibration!$B:$B,Calibration!$C:$C,0.25))</f>
        <v/>
      </c>
      <c r="AD381" s="28" t="str">
        <f t="array" ref="AD381">IF($I380="","",IF(OR(C381="E",C381="H"),LET(startStep,XLOOKUP("axis_start_step",Calibration!$B:$B,Calibration!$C:$C,5),step1,XLOOKUP("axis_reversal_step_1",Calibration!$B:$B,Calibration!$C:$C,3),step2,XLOOKUP("axis_reversal_step_2",Calibration!$B:$B,Calibration!$C:$C,1),IF(OR(C380&lt;&gt;C381,AZ381="",AZ381="SAME",AZ381="CANT_TELL",I381="",I381="SAME",I381="CANT_TELL"),startStep,IF(OR(AND(AZ381="BETTER_1",I381="BETTER_2"),AND(AZ381="BETTER_2",I381="BETTER_1")),IF(AD380&gt;step1,step1,step2),AD380))),0))</f>
        <v/>
      </c>
      <c r="AE381" s="28" t="str">
        <f t="array" ref="AE381">IF($I380="","",XLOOKUP($B381,Derived_Variables!$A:$A,Derived_Variables!$AD:$AD,"No_Fog"))</f>
        <v/>
      </c>
      <c r="AF381" s="28" t="str">
        <f t="array" ref="AF381">IF($I380="","",XLOOKUP($B381,Derived_Variables!$A:$A,Derived_Variables!$AE:$AE,0))</f>
        <v/>
      </c>
      <c r="AG381" s="28" t="str">
        <f t="array" ref="AG381">IF($I380="","",XLOOKUP($B381,Derived_Variables!$A:$A,Derived_Variables!$AF:$AF,""))</f>
        <v/>
      </c>
      <c r="AH381" s="28" t="str">
        <f t="array" ref="AH381">IF($I380="","",XLOOKUP($B381,Derived_Variables!$A:$A,Derived_Variables!$AG:$AG,""))</f>
        <v/>
      </c>
      <c r="AI381" s="28" t="str">
        <f t="array" ref="AI381">IF($I380="","",XLOOKUP($B381,Derived_Variables!$A:$A,Derived_Variables!$AC:$AC,"Medium"))</f>
        <v/>
      </c>
      <c r="AJ381" s="28" t="str">
        <f t="array" ref="AJ381">IF($I380="","",XLOOKUP($B381,Derived_Variables!$A:$A,Derived_Variables!$Y:$Y,FALSE))</f>
        <v/>
      </c>
      <c r="AK381" s="28" t="str">
        <f t="array" ref="AK381">IF($I380="","",XLOOKUP($B381,Derived_Variables!$A:$A,Derived_Variables!$AA:$AA,"Normal"))</f>
        <v/>
      </c>
      <c r="AL381" s="28" t="str">
        <f t="array" ref="AL381">IF($I380="","",XLOOKUP($B381,Derived_Variables!$A:$A,Derived_Variables!$AB:$AB,"Normal"))</f>
        <v/>
      </c>
      <c r="AM381" s="28" t="str">
        <f t="array" ref="AM381">IF($I381="","",IFS(C381="B",IF(OR(I381="NOT_READABLE",I381="BLURRY"),-AB381,0),C381="G",IFS(I381="RED_CLEARER",XLOOKUP("duochrome_red_step",Calibration!$B:$B,Calibration!$C:$C,-0.25),I381="GREEN_CLEARER",XLOOKUP("duochrome_green_step",Calibration!$B:$B,Calibration!$C:$C,0.25),I381="EQUAL",IF(XLOOKUP($B381,Derived_Variables!$A:$A,Derived_Variables!$S:$S,"Neutral")="Undercorrect",XLOOKUP("undercorrect_step",Calibration!$B:$B,Calibration!$C:$C,0.25),IF(XLOOKUP($B381,Derived_Variables!$A:$A,Derived_Variables!$S:$S,"Neutral")="Overcorrect",-XLOOKUP("overcorrect_step",Calibration!$B:$B,Calibration!$C:$C,0.25),0)),TRUE,0),C381="K",IF(I381="TOP_CLEARER",XLOOKUP("bino_balance_step",Calibration!$B:$B,Calibration!$C:$C,0.25),0),TRUE,0))</f>
        <v/>
      </c>
      <c r="AN381" s="28" t="str">
        <f t="shared" si="10"/>
        <v/>
      </c>
      <c r="AO381" s="28" t="str">
        <f t="shared" si="11"/>
        <v/>
      </c>
      <c r="AP381" s="28" t="str">
        <f t="array" ref="AP381">IF($I381="","",IFS(C381="D",IF(OR(I381="NOT_READABLE",I381="BLURRY"),-AB381,0),C381="J",IFS(I381="RED_CLEARER",XLOOKUP("duochrome_red_step",Calibration!$B:$B,Calibration!$C:$C,-0.25),I381="GREEN_CLEARER",XLOOKUP("duochrome_green_step",Calibration!$B:$B,Calibration!$C:$C,0.25),I381="EQUAL",IF(XLOOKUP($B381,Derived_Variables!$A:$A,Derived_Variables!$S:$S,"Neutral")="Undercorrect",XLOOKUP("undercorrect_step",Calibration!$B:$B,Calibration!$C:$C,0.25),IF(XLOOKUP($B381,Derived_Variables!$A:$A,Derived_Variables!$S:$S,"Neutral")="Overcorrect",-XLOOKUP("overcorrect_step",Calibration!$B:$B,Calibration!$C:$C,0.25),0)),TRUE,0),C381="K",IF(I381="BOTTOM_CLEARER",XLOOKUP("bino_balance_step",Calibration!$B:$B,Calibration!$C:$C,0.25),0),TRUE,0))</f>
        <v/>
      </c>
      <c r="AQ381" s="28" t="str">
        <f t="shared" si="12"/>
        <v/>
      </c>
      <c r="AR381" s="28" t="str">
        <f t="shared" si="13"/>
        <v/>
      </c>
      <c r="AS381" s="28" t="str">
        <f t="array" ref="AS381">IF($I381="","",IF(C381="P",IF(OR(I381="NOT_READABLE",I381="BLURRY"),XLOOKUP("near_add_step",Calibration!$B:$B,Calibration!$C:$C,0.25),0),IF(C381="R",IF(I381="NOT_CLEAR",XLOOKUP("near_add_step",Calibration!$B:$B,Calibration!$C:$C,0.25),0),0)))</f>
        <v/>
      </c>
      <c r="AT381" s="28" t="str">
        <f t="array" ref="AT381">IF($I381="","",IF(C381="Q",IF(OR(I381="NOT_READABLE",I381="BLURRY"),XLOOKUP("near_add_step",Calibration!$B:$B,Calibration!$C:$C,0.25),0),IF(C381="R",IF(I381="NOT_CLEAR",XLOOKUP("near_add_step",Calibration!$B:$B,Calibration!$C:$C,0.25),0),0)))</f>
        <v/>
      </c>
      <c r="AU381" s="28" t="str">
        <f t="array" ref="AU381">IF($I381="","",IF(G381="SNELLEN_FEET",IF(I381="READABLE",IFERROR(XLOOKUP(XLOOKUP(R381,Chart_Scale_Distance!B:B,Chart_Scale_Distance!A:A)+1,Chart_Scale_Distance!A:A,Chart_Scale_Distance!B:B),R381),R381),R381))</f>
        <v/>
      </c>
      <c r="AV381" s="28" t="str">
        <f t="array" ref="AV381">IF($I380="","",IFERROR(XLOOKUP(R381,Chart_Scale_Distance!$B:$B,Chart_Scale_Distance!$A:$A,""),""))</f>
        <v/>
      </c>
      <c r="AW381" s="28" t="str">
        <f t="array" ref="AW381">IF($I380="","",IFERROR(XLOOKUP(AA381,Chart_Scale_Distance!$B:$B,Chart_Scale_Distance!$A:$A,""),""))</f>
        <v/>
      </c>
      <c r="AX381" s="28" t="str">
        <f t="shared" si="14"/>
        <v/>
      </c>
      <c r="AY381" s="28" t="str">
        <f t="shared" si="15"/>
        <v/>
      </c>
      <c r="AZ381" s="28" t="str">
        <f t="shared" si="16"/>
        <v/>
      </c>
      <c r="BA381" s="28" t="str">
        <f t="shared" si="17"/>
        <v/>
      </c>
      <c r="BB381" s="28" t="str">
        <f t="shared" si="18"/>
        <v/>
      </c>
      <c r="BC381" s="28" t="str">
        <f t="array" ref="BC381">IF($I381="","",LET(
conf,AI381,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duoMax,XLOOKUP($B381,Derived_Variables!$A:$A,Derived_Variables!$AI:$AI,4),
axisTol,XLOOKUP($B381,Derived_Variables!$A:$A,Derived_Variables!$W:$W,1),
maxStart,XLOOKUP($B381,Derived_Variables!$A:$A,Derived_Variables!$U:$U,1.25),
maxAR,XLOOKUP($B381,Derived_Variables!$A:$A,Derived_Variables!$V:$V,3),
anom,XLOOKUP($B381,Derived_Variables!$A:$A,Derived_Variables!$Z:$Z,FALSE),
reStart,XLOOKUP($B381,Derived_Variables!$A:$A,Derived_Variables!$K:$K,0),
leStart,XLOOKUP($B381,Derived_Variables!$A:$A,Derived_Variables!$N:$N,0),
reAR,XLOOKUP($B381,AR_Input!$A:$A,AR_Input!$B:$B,reStart),
leAR,XLOOKUP($B381,AR_Input!$A:$A,AR_Input!$E:$E,leStart),
reEsc,AND(anom,OR(ABS((S381+AM381)-reStart)&gt;maxStart,ABS((S381+AM381)-reAR)&gt;maxAR)),
leEsc,AND(anom,OR(ABS((V381+AP381)-leStart)&gt;maxStart,ABS((V381+AP381)-leAR)&gt;maxAR)),
phaseMax,IFS(
 AK381="Fast",
   IFS(
     OR(C381="B",C381="D"),XLOOKUP("timeout_coarse_fast",Calibration!$B:$B,Calibration!$C:$C,24),
     OR(C381="E",C381="F",C381="H",C381="I"),XLOOKUP("timeout_jcc_fast",Calibration!$B:$B,Calibration!$C:$C,10),
     OR(C381="G",C381="J"),XLOOKUP("timeout_duochrome_fast",Calibration!$B:$B,Calibration!$C:$C,8),
     C381="K",XLOOKUP("timeout_bino_fast",Calibration!$B:$B,Calibration!$C:$C,10),
     OR(C381="P",C381="Q",C381="R"),XLOOKUP("timeout_near_fast",Calibration!$B:$B,Calibration!$C:$C,16),
     TRUE,XLOOKUP("timeout_coarse_fast",Calibration!$B:$B,Calibration!$C:$C,24)
   ),
 AK381="Normal",
   IFS(
     OR(C381="B",C381="D"),XLOOKUP("timeout_coarse_normal",Calibration!$B:$B,Calibration!$C:$C,36),
     OR(C381="E",C381="F",C381="H",C381="I"),XLOOKUP("timeout_jcc_normal",Calibration!$B:$B,Calibration!$C:$C,14),
     OR(C381="G",C381="J"),XLOOKUP("timeout_duochrome_normal",Calibration!$B:$B,Calibration!$C:$C,10),
     C381="K",XLOOKUP("timeout_bino_normal",Calibration!$B:$B,Calibration!$C:$C,14),
     OR(C381="P",C381="Q",C381="R"),XLOOKUP("timeout_near_normal",Calibration!$B:$B,Calibration!$C:$C,22),
     TRUE,XLOOKUP("timeout_coarse_normal",Calibration!$B:$B,Calibration!$C:$C,36)
   ),
 TRUE,
   IFS(
     OR(C381="B",C381="D"),XLOOKUP("timeout_coarse_slow",Calibration!$B:$B,Calibration!$C:$C,48),
     OR(C381="E",C381="F",C381="H",C381="I"),XLOOKUP("timeout_jcc_slow",Calibration!$B:$B,Calibration!$C:$C,18),
     OR(C381="G",C381="J"),XLOOKUP("timeout_duochrome_slow",Calibration!$B:$B,Calibration!$C:$C,12),
     C381="K",XLOOKUP("timeout_bino_slow",Calibration!$B:$B,Calibration!$C:$C,18),
     OR(C381="P",C381="Q",C381="R"),XLOOKUP("timeout_near_slow",Calibration!$B:$B,Calibration!$C:$C,28),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AJ381=TRUE,"ESCALATE",
C381="A",
IF(OR(I381="NOT_READABLE",I381="BLURRY",AND(R381="20_20_20",I381="READABLE")),"B","A"),
C381="B",
IF(reEsc,"ESCALATE",IF(AY381&gt;=phaseMax,"ESCALATE",IF(AND(AV381&gt;=AW381,I381="READABLE"),"E","B"))),
C381="E",
IF(AY381&gt;=phaseMax,"ESCALATE",IF(OR(I381="SAME",I381="CANT_TELL",AD381&lt;axisTol),"F","E")),
C381="F",
IF(AY381&gt;=phaseMax,"ESCALATE",IF(AX381&gt;=powerSameN,"G","F")),
C381="G",
IF(AY381&gt;=phaseMax,"ESCALATE",IF(OR(AX381&gt;=duoEqualN,BB381&gt;=duoMax),"D","G")),
C381="D",
IF(leEsc,"ESCALATE",IF(AY381&gt;=phaseMax,"ESCALATE",IF(AND(AV381&gt;=AW381,I381="READABLE"),"H","D"))),
C381="H",
IF(AY381&gt;=phaseMax,"ESCALATE",IF(OR(I381="SAME",I381="CANT_TELL",AD381&lt;axisTol),"I","H")),
C381="I",
IF(AY381&gt;=phaseMax,"ESCALATE",IF(AX381&gt;=powerSameN,"J","I")),
C381="J",
IF(AY381&gt;=phaseMax,"ESCALATE",IF(OR(AX381&gt;=duoEqualN,BB381&gt;=duoMax),"K","J")),
C381="K",
IF(AY381&gt;=phaseMax,"ESCALATE",IF(AX381&gt;=binoSameN,IF(XLOOKUP($B381,Derived_Variables!$A:$A,Derived_Variables!$AJ:$AJ,FALSE)=TRUE,"P","END"),"K")),
C381="P",
IF(AY381&gt;=phaseMax,"ESCALATE",IF(OR(I381="READABLE",I381="SAME"),"Q","P")),
C381="Q",
IF(AY381&gt;=phaseMax,"ESCALATE",IF(OR(I381="READABLE",I381="SAME"),"R","Q")),
C381="R",
IF(AY381&gt;=phaseMax,"ESCALATE",IF(OR(I381=nearTarget,I381="SAME"),"END","R")),
TRUE,"END"
)))</f>
        <v/>
      </c>
      <c r="BD381" s="28" t="b">
        <f t="shared" si="19"/>
        <v>0</v>
      </c>
    </row>
    <row r="382" ht="15.75" customHeight="1">
      <c r="A382" s="28">
        <f t="shared" si="3"/>
        <v>381</v>
      </c>
      <c r="B382" s="28">
        <f t="shared" si="4"/>
        <v>6</v>
      </c>
      <c r="C382" s="28" t="str">
        <f t="shared" si="5"/>
        <v/>
      </c>
      <c r="D382" s="28" t="str">
        <f t="array" ref="D382">IF($I381="","",XLOOKUP(C382,FSM_State_Map!A:A,FSM_State_Map!B:B,""))</f>
        <v/>
      </c>
      <c r="E382" s="28" t="str">
        <f t="array" ref="E382">IF($I381="","",XLOOKUP(C382,FSM_State_Map!A:A,FSM_State_Map!C:C,""))</f>
        <v/>
      </c>
      <c r="F382" s="28" t="str">
        <f t="array" ref="F382">IF($I381="","",XLOOKUP(E382,Phase_UI_Map!A:A,Phase_UI_Map!B:B,""))</f>
        <v/>
      </c>
      <c r="G382" s="28" t="str">
        <f t="array" ref="G382">IF($I381="","",XLOOKUP(E382,Phase_UI_Map!A:A,Phase_UI_Map!C:C,""))</f>
        <v/>
      </c>
      <c r="H382" s="28" t="str">
        <f t="array" ref="H382">IF($I381="","",XLOOKUP(E382,Phase_UI_Map!A:A,Phase_UI_Map!D:D,""))</f>
        <v/>
      </c>
      <c r="I382" s="29"/>
      <c r="J382" s="28" t="str">
        <f>IFERROR(__xludf.DUMMYFUNCTION("IF($I381="""","""",IFERROR(INDEX(FILTER(Response_Lists!$B:$B,Response_Lists!$A:$A=$H382),1),""""))"),"")</f>
        <v/>
      </c>
      <c r="K382" s="28" t="str">
        <f>IFERROR(__xludf.DUMMYFUNCTION("IF($I381="""","""",IFERROR(INDEX(FILTER(Response_Lists!$B:$B,Response_Lists!$A:$A=$H382),2),""""))"),"")</f>
        <v/>
      </c>
      <c r="L382" s="28" t="str">
        <f>IFERROR(__xludf.DUMMYFUNCTION("IF($I381="""","""",IFERROR(INDEX(FILTER(Response_Lists!$B:$B,Response_Lists!$A:$A=$H382),3),""""))"),"")</f>
        <v/>
      </c>
      <c r="M382" s="28" t="str">
        <f>IFERROR(__xludf.DUMMYFUNCTION("IF($I381="""","""",IFERROR(INDEX(FILTER(Response_Lists!$B:$B,Response_Lists!$A:$A=$H382),4),""""))"),"")</f>
        <v/>
      </c>
      <c r="N382" s="28" t="str">
        <f>IFERROR(__xludf.DUMMYFUNCTION("IF($I381="""","""",IFERROR(INDEX(FILTER(Response_Lists!$B:$B,Response_Lists!$A:$A=$H382),5),""""))"),"")</f>
        <v/>
      </c>
      <c r="O382" s="28" t="str">
        <f>IFERROR(__xludf.DUMMYFUNCTION("IF($I381="""","""",IFERROR(INDEX(FILTER(Response_Lists!$B:$B,Response_Lists!$A:$A=$H382),6),""""))"),"")</f>
        <v/>
      </c>
      <c r="P382" s="28" t="str">
        <f t="shared" si="6"/>
        <v/>
      </c>
      <c r="Q382" s="28" t="str">
        <f t="array" ref="Q382">IF($I381="","",XLOOKUP(C382,FSM_State_Map!A:A,FSM_State_Map!D:D,""))</f>
        <v/>
      </c>
      <c r="R382" s="28" t="str">
        <f t="shared" si="7"/>
        <v/>
      </c>
      <c r="S382" s="28" t="str">
        <f t="array" ref="S382">IF($I381="","",
IF(
  AND(C382="B",C381&lt;&gt;"B"),
  XLOOKUP($B382,Derived_Variables!$A:$A,Derived_Variables!$K:$K,0)
  + XLOOKUP($B382,Derived_Variables!$A:$A,Derived_Variables!$AE:$AE,0),
  S381+AM381
))</f>
        <v/>
      </c>
      <c r="T382" s="28" t="str">
        <f t="shared" ref="T382:U382" si="774">IF($I381="","",T381+AN381)</f>
        <v/>
      </c>
      <c r="U382" s="28" t="str">
        <f t="shared" si="774"/>
        <v/>
      </c>
      <c r="V382" s="28" t="str">
        <f t="array" ref="V382">IF($I381="","",
IF(
  AND(C382="D",C381&lt;&gt;"D"),
  XLOOKUP($B382,Derived_Variables!$A:$A,Derived_Variables!$N:$N,0)
  + XLOOKUP($B382,Derived_Variables!$A:$A,Derived_Variables!$AE:$AE,0),
  V381+AP381
))</f>
        <v/>
      </c>
      <c r="W382" s="28" t="str">
        <f t="shared" ref="W382:X382" si="775">IF($I381="","",W381+AQ381)</f>
        <v/>
      </c>
      <c r="X382" s="28" t="str">
        <f t="shared" si="775"/>
        <v/>
      </c>
      <c r="Y382" s="28" t="str">
        <f t="array" ref="Y382">IF($I381="","",IF(AND(C382="P",C381&lt;&gt;"P"),IFERROR(XLOOKUP($B382,Lenso_Input!$A:$A,Lenso_Input!$E:$E,0),0),Y381+AS381))</f>
        <v/>
      </c>
      <c r="Z382" s="28" t="str">
        <f t="array" ref="Z382">IF($I381="","",IF(AND(C382="Q",C381&lt;&gt;"Q"),IFERROR(XLOOKUP($B382,Lenso_Input!$A:$A,Lenso_Input!$I:$I,0),0),Z381+AT381))</f>
        <v/>
      </c>
      <c r="AA382" s="28" t="str">
        <f t="array" ref="AA382">IF($I381="","",IF(XLOOKUP($B382,Derived_Variables!$A:$A,Derived_Variables!$R:$R,"6/6_target")="6/6_target","20_20_20","40_30_25"))</f>
        <v/>
      </c>
      <c r="AB382" s="28" t="str">
        <f t="array" ref="AB382">IF($I381="","",XLOOKUP(LOWER(XLOOKUP($B382,Derived_Variables!$A:$A,Derived_Variables!$T:$T,"Standard"))&amp;"_sph_step",Calibration!$B:$B,Calibration!$C:$C,0.25))</f>
        <v/>
      </c>
      <c r="AC382" s="28" t="str">
        <f t="array" ref="AC382">IF($I381="","",XLOOKUP(LOWER(XLOOKUP($B382,Derived_Variables!$A:$A,Derived_Variables!$T:$T,"Standard"))&amp;"_cyl_step",Calibration!$B:$B,Calibration!$C:$C,0.25))</f>
        <v/>
      </c>
      <c r="AD382" s="28" t="str">
        <f t="array" ref="AD382">IF($I381="","",IF(OR(C382="E",C382="H"),LET(startStep,XLOOKUP("axis_start_step",Calibration!$B:$B,Calibration!$C:$C,5),step1,XLOOKUP("axis_reversal_step_1",Calibration!$B:$B,Calibration!$C:$C,3),step2,XLOOKUP("axis_reversal_step_2",Calibration!$B:$B,Calibration!$C:$C,1),IF(OR(C381&lt;&gt;C382,AZ382="",AZ382="SAME",AZ382="CANT_TELL",I382="",I382="SAME",I382="CANT_TELL"),startStep,IF(OR(AND(AZ382="BETTER_1",I382="BETTER_2"),AND(AZ382="BETTER_2",I382="BETTER_1")),IF(AD381&gt;step1,step1,step2),AD381))),0))</f>
        <v/>
      </c>
      <c r="AE382" s="28" t="str">
        <f t="array" ref="AE382">IF($I381="","",XLOOKUP($B382,Derived_Variables!$A:$A,Derived_Variables!$AD:$AD,"No_Fog"))</f>
        <v/>
      </c>
      <c r="AF382" s="28" t="str">
        <f t="array" ref="AF382">IF($I381="","",XLOOKUP($B382,Derived_Variables!$A:$A,Derived_Variables!$AE:$AE,0))</f>
        <v/>
      </c>
      <c r="AG382" s="28" t="str">
        <f t="array" ref="AG382">IF($I381="","",XLOOKUP($B382,Derived_Variables!$A:$A,Derived_Variables!$AF:$AF,""))</f>
        <v/>
      </c>
      <c r="AH382" s="28" t="str">
        <f t="array" ref="AH382">IF($I381="","",XLOOKUP($B382,Derived_Variables!$A:$A,Derived_Variables!$AG:$AG,""))</f>
        <v/>
      </c>
      <c r="AI382" s="28" t="str">
        <f t="array" ref="AI382">IF($I381="","",XLOOKUP($B382,Derived_Variables!$A:$A,Derived_Variables!$AC:$AC,"Medium"))</f>
        <v/>
      </c>
      <c r="AJ382" s="28" t="str">
        <f t="array" ref="AJ382">IF($I381="","",XLOOKUP($B382,Derived_Variables!$A:$A,Derived_Variables!$Y:$Y,FALSE))</f>
        <v/>
      </c>
      <c r="AK382" s="28" t="str">
        <f t="array" ref="AK382">IF($I381="","",XLOOKUP($B382,Derived_Variables!$A:$A,Derived_Variables!$AA:$AA,"Normal"))</f>
        <v/>
      </c>
      <c r="AL382" s="28" t="str">
        <f t="array" ref="AL382">IF($I381="","",XLOOKUP($B382,Derived_Variables!$A:$A,Derived_Variables!$AB:$AB,"Normal"))</f>
        <v/>
      </c>
      <c r="AM382" s="28" t="str">
        <f t="array" ref="AM382">IF($I382="","",IFS(C382="B",IF(OR(I382="NOT_READABLE",I382="BLURRY"),-AB382,0),C382="G",IFS(I382="RED_CLEARER",XLOOKUP("duochrome_red_step",Calibration!$B:$B,Calibration!$C:$C,-0.25),I382="GREEN_CLEARER",XLOOKUP("duochrome_green_step",Calibration!$B:$B,Calibration!$C:$C,0.25),I382="EQUAL",IF(XLOOKUP($B382,Derived_Variables!$A:$A,Derived_Variables!$S:$S,"Neutral")="Undercorrect",XLOOKUP("undercorrect_step",Calibration!$B:$B,Calibration!$C:$C,0.25),IF(XLOOKUP($B382,Derived_Variables!$A:$A,Derived_Variables!$S:$S,"Neutral")="Overcorrect",-XLOOKUP("overcorrect_step",Calibration!$B:$B,Calibration!$C:$C,0.25),0)),TRUE,0),C382="K",IF(I382="TOP_CLEARER",XLOOKUP("bino_balance_step",Calibration!$B:$B,Calibration!$C:$C,0.25),0),TRUE,0))</f>
        <v/>
      </c>
      <c r="AN382" s="28" t="str">
        <f t="shared" si="10"/>
        <v/>
      </c>
      <c r="AO382" s="28" t="str">
        <f t="shared" si="11"/>
        <v/>
      </c>
      <c r="AP382" s="28" t="str">
        <f t="array" ref="AP382">IF($I382="","",IFS(C382="D",IF(OR(I382="NOT_READABLE",I382="BLURRY"),-AB382,0),C382="J",IFS(I382="RED_CLEARER",XLOOKUP("duochrome_red_step",Calibration!$B:$B,Calibration!$C:$C,-0.25),I382="GREEN_CLEARER",XLOOKUP("duochrome_green_step",Calibration!$B:$B,Calibration!$C:$C,0.25),I382="EQUAL",IF(XLOOKUP($B382,Derived_Variables!$A:$A,Derived_Variables!$S:$S,"Neutral")="Undercorrect",XLOOKUP("undercorrect_step",Calibration!$B:$B,Calibration!$C:$C,0.25),IF(XLOOKUP($B382,Derived_Variables!$A:$A,Derived_Variables!$S:$S,"Neutral")="Overcorrect",-XLOOKUP("overcorrect_step",Calibration!$B:$B,Calibration!$C:$C,0.25),0)),TRUE,0),C382="K",IF(I382="BOTTOM_CLEARER",XLOOKUP("bino_balance_step",Calibration!$B:$B,Calibration!$C:$C,0.25),0),TRUE,0))</f>
        <v/>
      </c>
      <c r="AQ382" s="28" t="str">
        <f t="shared" si="12"/>
        <v/>
      </c>
      <c r="AR382" s="28" t="str">
        <f t="shared" si="13"/>
        <v/>
      </c>
      <c r="AS382" s="28" t="str">
        <f t="array" ref="AS382">IF($I382="","",IF(C382="P",IF(OR(I382="NOT_READABLE",I382="BLURRY"),XLOOKUP("near_add_step",Calibration!$B:$B,Calibration!$C:$C,0.25),0),IF(C382="R",IF(I382="NOT_CLEAR",XLOOKUP("near_add_step",Calibration!$B:$B,Calibration!$C:$C,0.25),0),0)))</f>
        <v/>
      </c>
      <c r="AT382" s="28" t="str">
        <f t="array" ref="AT382">IF($I382="","",IF(C382="Q",IF(OR(I382="NOT_READABLE",I382="BLURRY"),XLOOKUP("near_add_step",Calibration!$B:$B,Calibration!$C:$C,0.25),0),IF(C382="R",IF(I382="NOT_CLEAR",XLOOKUP("near_add_step",Calibration!$B:$B,Calibration!$C:$C,0.25),0),0)))</f>
        <v/>
      </c>
      <c r="AU382" s="28" t="str">
        <f t="array" ref="AU382">IF($I382="","",IF(G382="SNELLEN_FEET",IF(I382="READABLE",IFERROR(XLOOKUP(XLOOKUP(R382,Chart_Scale_Distance!B:B,Chart_Scale_Distance!A:A)+1,Chart_Scale_Distance!A:A,Chart_Scale_Distance!B:B),R382),R382),R382))</f>
        <v/>
      </c>
      <c r="AV382" s="28" t="str">
        <f t="array" ref="AV382">IF($I381="","",IFERROR(XLOOKUP(R382,Chart_Scale_Distance!$B:$B,Chart_Scale_Distance!$A:$A,""),""))</f>
        <v/>
      </c>
      <c r="AW382" s="28" t="str">
        <f t="array" ref="AW382">IF($I381="","",IFERROR(XLOOKUP(AA382,Chart_Scale_Distance!$B:$B,Chart_Scale_Distance!$A:$A,""),""))</f>
        <v/>
      </c>
      <c r="AX382" s="28" t="str">
        <f t="shared" si="14"/>
        <v/>
      </c>
      <c r="AY382" s="28" t="str">
        <f t="shared" si="15"/>
        <v/>
      </c>
      <c r="AZ382" s="28" t="str">
        <f t="shared" si="16"/>
        <v/>
      </c>
      <c r="BA382" s="28" t="str">
        <f t="shared" si="17"/>
        <v/>
      </c>
      <c r="BB382" s="28" t="str">
        <f t="shared" si="18"/>
        <v/>
      </c>
      <c r="BC382" s="28" t="str">
        <f t="array" ref="BC382">IF($I382="","",LET(
conf,AI382,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duoMax,XLOOKUP($B382,Derived_Variables!$A:$A,Derived_Variables!$AI:$AI,4),
axisTol,XLOOKUP($B382,Derived_Variables!$A:$A,Derived_Variables!$W:$W,1),
maxStart,XLOOKUP($B382,Derived_Variables!$A:$A,Derived_Variables!$U:$U,1.25),
maxAR,XLOOKUP($B382,Derived_Variables!$A:$A,Derived_Variables!$V:$V,3),
anom,XLOOKUP($B382,Derived_Variables!$A:$A,Derived_Variables!$Z:$Z,FALSE),
reStart,XLOOKUP($B382,Derived_Variables!$A:$A,Derived_Variables!$K:$K,0),
leStart,XLOOKUP($B382,Derived_Variables!$A:$A,Derived_Variables!$N:$N,0),
reAR,XLOOKUP($B382,AR_Input!$A:$A,AR_Input!$B:$B,reStart),
leAR,XLOOKUP($B382,AR_Input!$A:$A,AR_Input!$E:$E,leStart),
reEsc,AND(anom,OR(ABS((S382+AM382)-reStart)&gt;maxStart,ABS((S382+AM382)-reAR)&gt;maxAR)),
leEsc,AND(anom,OR(ABS((V382+AP382)-leStart)&gt;maxStart,ABS((V382+AP382)-leAR)&gt;maxAR)),
phaseMax,IFS(
 AK382="Fast",
   IFS(
     OR(C382="B",C382="D"),XLOOKUP("timeout_coarse_fast",Calibration!$B:$B,Calibration!$C:$C,24),
     OR(C382="E",C382="F",C382="H",C382="I"),XLOOKUP("timeout_jcc_fast",Calibration!$B:$B,Calibration!$C:$C,10),
     OR(C382="G",C382="J"),XLOOKUP("timeout_duochrome_fast",Calibration!$B:$B,Calibration!$C:$C,8),
     C382="K",XLOOKUP("timeout_bino_fast",Calibration!$B:$B,Calibration!$C:$C,10),
     OR(C382="P",C382="Q",C382="R"),XLOOKUP("timeout_near_fast",Calibration!$B:$B,Calibration!$C:$C,16),
     TRUE,XLOOKUP("timeout_coarse_fast",Calibration!$B:$B,Calibration!$C:$C,24)
   ),
 AK382="Normal",
   IFS(
     OR(C382="B",C382="D"),XLOOKUP("timeout_coarse_normal",Calibration!$B:$B,Calibration!$C:$C,36),
     OR(C382="E",C382="F",C382="H",C382="I"),XLOOKUP("timeout_jcc_normal",Calibration!$B:$B,Calibration!$C:$C,14),
     OR(C382="G",C382="J"),XLOOKUP("timeout_duochrome_normal",Calibration!$B:$B,Calibration!$C:$C,10),
     C382="K",XLOOKUP("timeout_bino_normal",Calibration!$B:$B,Calibration!$C:$C,14),
     OR(C382="P",C382="Q",C382="R"),XLOOKUP("timeout_near_normal",Calibration!$B:$B,Calibration!$C:$C,22),
     TRUE,XLOOKUP("timeout_coarse_normal",Calibration!$B:$B,Calibration!$C:$C,36)
   ),
 TRUE,
   IFS(
     OR(C382="B",C382="D"),XLOOKUP("timeout_coarse_slow",Calibration!$B:$B,Calibration!$C:$C,48),
     OR(C382="E",C382="F",C382="H",C382="I"),XLOOKUP("timeout_jcc_slow",Calibration!$B:$B,Calibration!$C:$C,18),
     OR(C382="G",C382="J"),XLOOKUP("timeout_duochrome_slow",Calibration!$B:$B,Calibration!$C:$C,12),
     C382="K",XLOOKUP("timeout_bino_slow",Calibration!$B:$B,Calibration!$C:$C,18),
     OR(C382="P",C382="Q",C382="R"),XLOOKUP("timeout_near_slow",Calibration!$B:$B,Calibration!$C:$C,28),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AJ382=TRUE,"ESCALATE",
C382="A",
IF(OR(I382="NOT_READABLE",I382="BLURRY",AND(R382="20_20_20",I382="READABLE")),"B","A"),
C382="B",
IF(reEsc,"ESCALATE",IF(AY382&gt;=phaseMax,"ESCALATE",IF(AND(AV382&gt;=AW382,I382="READABLE"),"E","B"))),
C382="E",
IF(AY382&gt;=phaseMax,"ESCALATE",IF(OR(I382="SAME",I382="CANT_TELL",AD382&lt;axisTol),"F","E")),
C382="F",
IF(AY382&gt;=phaseMax,"ESCALATE",IF(AX382&gt;=powerSameN,"G","F")),
C382="G",
IF(AY382&gt;=phaseMax,"ESCALATE",IF(OR(AX382&gt;=duoEqualN,BB382&gt;=duoMax),"D","G")),
C382="D",
IF(leEsc,"ESCALATE",IF(AY382&gt;=phaseMax,"ESCALATE",IF(AND(AV382&gt;=AW382,I382="READABLE"),"H","D"))),
C382="H",
IF(AY382&gt;=phaseMax,"ESCALATE",IF(OR(I382="SAME",I382="CANT_TELL",AD382&lt;axisTol),"I","H")),
C382="I",
IF(AY382&gt;=phaseMax,"ESCALATE",IF(AX382&gt;=powerSameN,"J","I")),
C382="J",
IF(AY382&gt;=phaseMax,"ESCALATE",IF(OR(AX382&gt;=duoEqualN,BB382&gt;=duoMax),"K","J")),
C382="K",
IF(AY382&gt;=phaseMax,"ESCALATE",IF(AX382&gt;=binoSameN,IF(XLOOKUP($B382,Derived_Variables!$A:$A,Derived_Variables!$AJ:$AJ,FALSE)=TRUE,"P","END"),"K")),
C382="P",
IF(AY382&gt;=phaseMax,"ESCALATE",IF(OR(I382="READABLE",I382="SAME"),"Q","P")),
C382="Q",
IF(AY382&gt;=phaseMax,"ESCALATE",IF(OR(I382="READABLE",I382="SAME"),"R","Q")),
C382="R",
IF(AY382&gt;=phaseMax,"ESCALATE",IF(OR(I382=nearTarget,I382="SAME"),"END","R")),
TRUE,"END"
)))</f>
        <v/>
      </c>
      <c r="BD382" s="28" t="b">
        <f t="shared" si="19"/>
        <v>0</v>
      </c>
    </row>
    <row r="383" ht="15.75" customHeight="1">
      <c r="A383" s="28">
        <f t="shared" si="3"/>
        <v>382</v>
      </c>
      <c r="B383" s="28">
        <f t="shared" si="4"/>
        <v>6</v>
      </c>
      <c r="C383" s="28" t="str">
        <f t="shared" si="5"/>
        <v/>
      </c>
      <c r="D383" s="28" t="str">
        <f t="array" ref="D383">IF($I382="","",XLOOKUP(C383,FSM_State_Map!A:A,FSM_State_Map!B:B,""))</f>
        <v/>
      </c>
      <c r="E383" s="28" t="str">
        <f t="array" ref="E383">IF($I382="","",XLOOKUP(C383,FSM_State_Map!A:A,FSM_State_Map!C:C,""))</f>
        <v/>
      </c>
      <c r="F383" s="28" t="str">
        <f t="array" ref="F383">IF($I382="","",XLOOKUP(E383,Phase_UI_Map!A:A,Phase_UI_Map!B:B,""))</f>
        <v/>
      </c>
      <c r="G383" s="28" t="str">
        <f t="array" ref="G383">IF($I382="","",XLOOKUP(E383,Phase_UI_Map!A:A,Phase_UI_Map!C:C,""))</f>
        <v/>
      </c>
      <c r="H383" s="28" t="str">
        <f t="array" ref="H383">IF($I382="","",XLOOKUP(E383,Phase_UI_Map!A:A,Phase_UI_Map!D:D,""))</f>
        <v/>
      </c>
      <c r="I383" s="29"/>
      <c r="J383" s="28" t="str">
        <f>IFERROR(__xludf.DUMMYFUNCTION("IF($I382="""","""",IFERROR(INDEX(FILTER(Response_Lists!$B:$B,Response_Lists!$A:$A=$H383),1),""""))"),"")</f>
        <v/>
      </c>
      <c r="K383" s="28" t="str">
        <f>IFERROR(__xludf.DUMMYFUNCTION("IF($I382="""","""",IFERROR(INDEX(FILTER(Response_Lists!$B:$B,Response_Lists!$A:$A=$H383),2),""""))"),"")</f>
        <v/>
      </c>
      <c r="L383" s="28" t="str">
        <f>IFERROR(__xludf.DUMMYFUNCTION("IF($I382="""","""",IFERROR(INDEX(FILTER(Response_Lists!$B:$B,Response_Lists!$A:$A=$H383),3),""""))"),"")</f>
        <v/>
      </c>
      <c r="M383" s="28" t="str">
        <f>IFERROR(__xludf.DUMMYFUNCTION("IF($I382="""","""",IFERROR(INDEX(FILTER(Response_Lists!$B:$B,Response_Lists!$A:$A=$H383),4),""""))"),"")</f>
        <v/>
      </c>
      <c r="N383" s="28" t="str">
        <f>IFERROR(__xludf.DUMMYFUNCTION("IF($I382="""","""",IFERROR(INDEX(FILTER(Response_Lists!$B:$B,Response_Lists!$A:$A=$H383),5),""""))"),"")</f>
        <v/>
      </c>
      <c r="O383" s="28" t="str">
        <f>IFERROR(__xludf.DUMMYFUNCTION("IF($I382="""","""",IFERROR(INDEX(FILTER(Response_Lists!$B:$B,Response_Lists!$A:$A=$H383),6),""""))"),"")</f>
        <v/>
      </c>
      <c r="P383" s="28" t="str">
        <f t="shared" si="6"/>
        <v/>
      </c>
      <c r="Q383" s="28" t="str">
        <f t="array" ref="Q383">IF($I382="","",XLOOKUP(C383,FSM_State_Map!A:A,FSM_State_Map!D:D,""))</f>
        <v/>
      </c>
      <c r="R383" s="28" t="str">
        <f t="shared" si="7"/>
        <v/>
      </c>
      <c r="S383" s="28" t="str">
        <f t="array" ref="S383">IF($I382="","",
IF(
  AND(C383="B",C382&lt;&gt;"B"),
  XLOOKUP($B383,Derived_Variables!$A:$A,Derived_Variables!$K:$K,0)
  + XLOOKUP($B383,Derived_Variables!$A:$A,Derived_Variables!$AE:$AE,0),
  S382+AM382
))</f>
        <v/>
      </c>
      <c r="T383" s="28" t="str">
        <f t="shared" ref="T383:U383" si="776">IF($I382="","",T382+AN382)</f>
        <v/>
      </c>
      <c r="U383" s="28" t="str">
        <f t="shared" si="776"/>
        <v/>
      </c>
      <c r="V383" s="28" t="str">
        <f t="array" ref="V383">IF($I382="","",
IF(
  AND(C383="D",C382&lt;&gt;"D"),
  XLOOKUP($B383,Derived_Variables!$A:$A,Derived_Variables!$N:$N,0)
  + XLOOKUP($B383,Derived_Variables!$A:$A,Derived_Variables!$AE:$AE,0),
  V382+AP382
))</f>
        <v/>
      </c>
      <c r="W383" s="28" t="str">
        <f t="shared" ref="W383:X383" si="777">IF($I382="","",W382+AQ382)</f>
        <v/>
      </c>
      <c r="X383" s="28" t="str">
        <f t="shared" si="777"/>
        <v/>
      </c>
      <c r="Y383" s="28" t="str">
        <f t="array" ref="Y383">IF($I382="","",IF(AND(C383="P",C382&lt;&gt;"P"),IFERROR(XLOOKUP($B383,Lenso_Input!$A:$A,Lenso_Input!$E:$E,0),0),Y382+AS382))</f>
        <v/>
      </c>
      <c r="Z383" s="28" t="str">
        <f t="array" ref="Z383">IF($I382="","",IF(AND(C383="Q",C382&lt;&gt;"Q"),IFERROR(XLOOKUP($B383,Lenso_Input!$A:$A,Lenso_Input!$I:$I,0),0),Z382+AT382))</f>
        <v/>
      </c>
      <c r="AA383" s="28" t="str">
        <f t="array" ref="AA383">IF($I382="","",IF(XLOOKUP($B383,Derived_Variables!$A:$A,Derived_Variables!$R:$R,"6/6_target")="6/6_target","20_20_20","40_30_25"))</f>
        <v/>
      </c>
      <c r="AB383" s="28" t="str">
        <f t="array" ref="AB383">IF($I382="","",XLOOKUP(LOWER(XLOOKUP($B383,Derived_Variables!$A:$A,Derived_Variables!$T:$T,"Standard"))&amp;"_sph_step",Calibration!$B:$B,Calibration!$C:$C,0.25))</f>
        <v/>
      </c>
      <c r="AC383" s="28" t="str">
        <f t="array" ref="AC383">IF($I382="","",XLOOKUP(LOWER(XLOOKUP($B383,Derived_Variables!$A:$A,Derived_Variables!$T:$T,"Standard"))&amp;"_cyl_step",Calibration!$B:$B,Calibration!$C:$C,0.25))</f>
        <v/>
      </c>
      <c r="AD383" s="28" t="str">
        <f t="array" ref="AD383">IF($I382="","",IF(OR(C383="E",C383="H"),LET(startStep,XLOOKUP("axis_start_step",Calibration!$B:$B,Calibration!$C:$C,5),step1,XLOOKUP("axis_reversal_step_1",Calibration!$B:$B,Calibration!$C:$C,3),step2,XLOOKUP("axis_reversal_step_2",Calibration!$B:$B,Calibration!$C:$C,1),IF(OR(C382&lt;&gt;C383,AZ383="",AZ383="SAME",AZ383="CANT_TELL",I383="",I383="SAME",I383="CANT_TELL"),startStep,IF(OR(AND(AZ383="BETTER_1",I383="BETTER_2"),AND(AZ383="BETTER_2",I383="BETTER_1")),IF(AD382&gt;step1,step1,step2),AD382))),0))</f>
        <v/>
      </c>
      <c r="AE383" s="28" t="str">
        <f t="array" ref="AE383">IF($I382="","",XLOOKUP($B383,Derived_Variables!$A:$A,Derived_Variables!$AD:$AD,"No_Fog"))</f>
        <v/>
      </c>
      <c r="AF383" s="28" t="str">
        <f t="array" ref="AF383">IF($I382="","",XLOOKUP($B383,Derived_Variables!$A:$A,Derived_Variables!$AE:$AE,0))</f>
        <v/>
      </c>
      <c r="AG383" s="28" t="str">
        <f t="array" ref="AG383">IF($I382="","",XLOOKUP($B383,Derived_Variables!$A:$A,Derived_Variables!$AF:$AF,""))</f>
        <v/>
      </c>
      <c r="AH383" s="28" t="str">
        <f t="array" ref="AH383">IF($I382="","",XLOOKUP($B383,Derived_Variables!$A:$A,Derived_Variables!$AG:$AG,""))</f>
        <v/>
      </c>
      <c r="AI383" s="28" t="str">
        <f t="array" ref="AI383">IF($I382="","",XLOOKUP($B383,Derived_Variables!$A:$A,Derived_Variables!$AC:$AC,"Medium"))</f>
        <v/>
      </c>
      <c r="AJ383" s="28" t="str">
        <f t="array" ref="AJ383">IF($I382="","",XLOOKUP($B383,Derived_Variables!$A:$A,Derived_Variables!$Y:$Y,FALSE))</f>
        <v/>
      </c>
      <c r="AK383" s="28" t="str">
        <f t="array" ref="AK383">IF($I382="","",XLOOKUP($B383,Derived_Variables!$A:$A,Derived_Variables!$AA:$AA,"Normal"))</f>
        <v/>
      </c>
      <c r="AL383" s="28" t="str">
        <f t="array" ref="AL383">IF($I382="","",XLOOKUP($B383,Derived_Variables!$A:$A,Derived_Variables!$AB:$AB,"Normal"))</f>
        <v/>
      </c>
      <c r="AM383" s="28" t="str">
        <f t="array" ref="AM383">IF($I383="","",IFS(C383="B",IF(OR(I383="NOT_READABLE",I383="BLURRY"),-AB383,0),C383="G",IFS(I383="RED_CLEARER",XLOOKUP("duochrome_red_step",Calibration!$B:$B,Calibration!$C:$C,-0.25),I383="GREEN_CLEARER",XLOOKUP("duochrome_green_step",Calibration!$B:$B,Calibration!$C:$C,0.25),I383="EQUAL",IF(XLOOKUP($B383,Derived_Variables!$A:$A,Derived_Variables!$S:$S,"Neutral")="Undercorrect",XLOOKUP("undercorrect_step",Calibration!$B:$B,Calibration!$C:$C,0.25),IF(XLOOKUP($B383,Derived_Variables!$A:$A,Derived_Variables!$S:$S,"Neutral")="Overcorrect",-XLOOKUP("overcorrect_step",Calibration!$B:$B,Calibration!$C:$C,0.25),0)),TRUE,0),C383="K",IF(I383="TOP_CLEARER",XLOOKUP("bino_balance_step",Calibration!$B:$B,Calibration!$C:$C,0.25),0),TRUE,0))</f>
        <v/>
      </c>
      <c r="AN383" s="28" t="str">
        <f t="shared" si="10"/>
        <v/>
      </c>
      <c r="AO383" s="28" t="str">
        <f t="shared" si="11"/>
        <v/>
      </c>
      <c r="AP383" s="28" t="str">
        <f t="array" ref="AP383">IF($I383="","",IFS(C383="D",IF(OR(I383="NOT_READABLE",I383="BLURRY"),-AB383,0),C383="J",IFS(I383="RED_CLEARER",XLOOKUP("duochrome_red_step",Calibration!$B:$B,Calibration!$C:$C,-0.25),I383="GREEN_CLEARER",XLOOKUP("duochrome_green_step",Calibration!$B:$B,Calibration!$C:$C,0.25),I383="EQUAL",IF(XLOOKUP($B383,Derived_Variables!$A:$A,Derived_Variables!$S:$S,"Neutral")="Undercorrect",XLOOKUP("undercorrect_step",Calibration!$B:$B,Calibration!$C:$C,0.25),IF(XLOOKUP($B383,Derived_Variables!$A:$A,Derived_Variables!$S:$S,"Neutral")="Overcorrect",-XLOOKUP("overcorrect_step",Calibration!$B:$B,Calibration!$C:$C,0.25),0)),TRUE,0),C383="K",IF(I383="BOTTOM_CLEARER",XLOOKUP("bino_balance_step",Calibration!$B:$B,Calibration!$C:$C,0.25),0),TRUE,0))</f>
        <v/>
      </c>
      <c r="AQ383" s="28" t="str">
        <f t="shared" si="12"/>
        <v/>
      </c>
      <c r="AR383" s="28" t="str">
        <f t="shared" si="13"/>
        <v/>
      </c>
      <c r="AS383" s="28" t="str">
        <f t="array" ref="AS383">IF($I383="","",IF(C383="P",IF(OR(I383="NOT_READABLE",I383="BLURRY"),XLOOKUP("near_add_step",Calibration!$B:$B,Calibration!$C:$C,0.25),0),IF(C383="R",IF(I383="NOT_CLEAR",XLOOKUP("near_add_step",Calibration!$B:$B,Calibration!$C:$C,0.25),0),0)))</f>
        <v/>
      </c>
      <c r="AT383" s="28" t="str">
        <f t="array" ref="AT383">IF($I383="","",IF(C383="Q",IF(OR(I383="NOT_READABLE",I383="BLURRY"),XLOOKUP("near_add_step",Calibration!$B:$B,Calibration!$C:$C,0.25),0),IF(C383="R",IF(I383="NOT_CLEAR",XLOOKUP("near_add_step",Calibration!$B:$B,Calibration!$C:$C,0.25),0),0)))</f>
        <v/>
      </c>
      <c r="AU383" s="28" t="str">
        <f t="array" ref="AU383">IF($I383="","",IF(G383="SNELLEN_FEET",IF(I383="READABLE",IFERROR(XLOOKUP(XLOOKUP(R383,Chart_Scale_Distance!B:B,Chart_Scale_Distance!A:A)+1,Chart_Scale_Distance!A:A,Chart_Scale_Distance!B:B),R383),R383),R383))</f>
        <v/>
      </c>
      <c r="AV383" s="28" t="str">
        <f t="array" ref="AV383">IF($I382="","",IFERROR(XLOOKUP(R383,Chart_Scale_Distance!$B:$B,Chart_Scale_Distance!$A:$A,""),""))</f>
        <v/>
      </c>
      <c r="AW383" s="28" t="str">
        <f t="array" ref="AW383">IF($I382="","",IFERROR(XLOOKUP(AA383,Chart_Scale_Distance!$B:$B,Chart_Scale_Distance!$A:$A,""),""))</f>
        <v/>
      </c>
      <c r="AX383" s="28" t="str">
        <f t="shared" si="14"/>
        <v/>
      </c>
      <c r="AY383" s="28" t="str">
        <f t="shared" si="15"/>
        <v/>
      </c>
      <c r="AZ383" s="28" t="str">
        <f t="shared" si="16"/>
        <v/>
      </c>
      <c r="BA383" s="28" t="str">
        <f t="shared" si="17"/>
        <v/>
      </c>
      <c r="BB383" s="28" t="str">
        <f t="shared" si="18"/>
        <v/>
      </c>
      <c r="BC383" s="28" t="str">
        <f t="array" ref="BC383">IF($I383="","",LET(
conf,AI383,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duoMax,XLOOKUP($B383,Derived_Variables!$A:$A,Derived_Variables!$AI:$AI,4),
axisTol,XLOOKUP($B383,Derived_Variables!$A:$A,Derived_Variables!$W:$W,1),
maxStart,XLOOKUP($B383,Derived_Variables!$A:$A,Derived_Variables!$U:$U,1.25),
maxAR,XLOOKUP($B383,Derived_Variables!$A:$A,Derived_Variables!$V:$V,3),
anom,XLOOKUP($B383,Derived_Variables!$A:$A,Derived_Variables!$Z:$Z,FALSE),
reStart,XLOOKUP($B383,Derived_Variables!$A:$A,Derived_Variables!$K:$K,0),
leStart,XLOOKUP($B383,Derived_Variables!$A:$A,Derived_Variables!$N:$N,0),
reAR,XLOOKUP($B383,AR_Input!$A:$A,AR_Input!$B:$B,reStart),
leAR,XLOOKUP($B383,AR_Input!$A:$A,AR_Input!$E:$E,leStart),
reEsc,AND(anom,OR(ABS((S383+AM383)-reStart)&gt;maxStart,ABS((S383+AM383)-reAR)&gt;maxAR)),
leEsc,AND(anom,OR(ABS((V383+AP383)-leStart)&gt;maxStart,ABS((V383+AP383)-leAR)&gt;maxAR)),
phaseMax,IFS(
 AK383="Fast",
   IFS(
     OR(C383="B",C383="D"),XLOOKUP("timeout_coarse_fast",Calibration!$B:$B,Calibration!$C:$C,24),
     OR(C383="E",C383="F",C383="H",C383="I"),XLOOKUP("timeout_jcc_fast",Calibration!$B:$B,Calibration!$C:$C,10),
     OR(C383="G",C383="J"),XLOOKUP("timeout_duochrome_fast",Calibration!$B:$B,Calibration!$C:$C,8),
     C383="K",XLOOKUP("timeout_bino_fast",Calibration!$B:$B,Calibration!$C:$C,10),
     OR(C383="P",C383="Q",C383="R"),XLOOKUP("timeout_near_fast",Calibration!$B:$B,Calibration!$C:$C,16),
     TRUE,XLOOKUP("timeout_coarse_fast",Calibration!$B:$B,Calibration!$C:$C,24)
   ),
 AK383="Normal",
   IFS(
     OR(C383="B",C383="D"),XLOOKUP("timeout_coarse_normal",Calibration!$B:$B,Calibration!$C:$C,36),
     OR(C383="E",C383="F",C383="H",C383="I"),XLOOKUP("timeout_jcc_normal",Calibration!$B:$B,Calibration!$C:$C,14),
     OR(C383="G",C383="J"),XLOOKUP("timeout_duochrome_normal",Calibration!$B:$B,Calibration!$C:$C,10),
     C383="K",XLOOKUP("timeout_bino_normal",Calibration!$B:$B,Calibration!$C:$C,14),
     OR(C383="P",C383="Q",C383="R"),XLOOKUP("timeout_near_normal",Calibration!$B:$B,Calibration!$C:$C,22),
     TRUE,XLOOKUP("timeout_coarse_normal",Calibration!$B:$B,Calibration!$C:$C,36)
   ),
 TRUE,
   IFS(
     OR(C383="B",C383="D"),XLOOKUP("timeout_coarse_slow",Calibration!$B:$B,Calibration!$C:$C,48),
     OR(C383="E",C383="F",C383="H",C383="I"),XLOOKUP("timeout_jcc_slow",Calibration!$B:$B,Calibration!$C:$C,18),
     OR(C383="G",C383="J"),XLOOKUP("timeout_duochrome_slow",Calibration!$B:$B,Calibration!$C:$C,12),
     C383="K",XLOOKUP("timeout_bino_slow",Calibration!$B:$B,Calibration!$C:$C,18),
     OR(C383="P",C383="Q",C383="R"),XLOOKUP("timeout_near_slow",Calibration!$B:$B,Calibration!$C:$C,28),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AJ383=TRUE,"ESCALATE",
C383="A",
IF(OR(I383="NOT_READABLE",I383="BLURRY",AND(R383="20_20_20",I383="READABLE")),"B","A"),
C383="B",
IF(reEsc,"ESCALATE",IF(AY383&gt;=phaseMax,"ESCALATE",IF(AND(AV383&gt;=AW383,I383="READABLE"),"E","B"))),
C383="E",
IF(AY383&gt;=phaseMax,"ESCALATE",IF(OR(I383="SAME",I383="CANT_TELL",AD383&lt;axisTol),"F","E")),
C383="F",
IF(AY383&gt;=phaseMax,"ESCALATE",IF(AX383&gt;=powerSameN,"G","F")),
C383="G",
IF(AY383&gt;=phaseMax,"ESCALATE",IF(OR(AX383&gt;=duoEqualN,BB383&gt;=duoMax),"D","G")),
C383="D",
IF(leEsc,"ESCALATE",IF(AY383&gt;=phaseMax,"ESCALATE",IF(AND(AV383&gt;=AW383,I383="READABLE"),"H","D"))),
C383="H",
IF(AY383&gt;=phaseMax,"ESCALATE",IF(OR(I383="SAME",I383="CANT_TELL",AD383&lt;axisTol),"I","H")),
C383="I",
IF(AY383&gt;=phaseMax,"ESCALATE",IF(AX383&gt;=powerSameN,"J","I")),
C383="J",
IF(AY383&gt;=phaseMax,"ESCALATE",IF(OR(AX383&gt;=duoEqualN,BB383&gt;=duoMax),"K","J")),
C383="K",
IF(AY383&gt;=phaseMax,"ESCALATE",IF(AX383&gt;=binoSameN,IF(XLOOKUP($B383,Derived_Variables!$A:$A,Derived_Variables!$AJ:$AJ,FALSE)=TRUE,"P","END"),"K")),
C383="P",
IF(AY383&gt;=phaseMax,"ESCALATE",IF(OR(I383="READABLE",I383="SAME"),"Q","P")),
C383="Q",
IF(AY383&gt;=phaseMax,"ESCALATE",IF(OR(I383="READABLE",I383="SAME"),"R","Q")),
C383="R",
IF(AY383&gt;=phaseMax,"ESCALATE",IF(OR(I383=nearTarget,I383="SAME"),"END","R")),
TRUE,"END"
)))</f>
        <v/>
      </c>
      <c r="BD383" s="28" t="b">
        <f t="shared" si="19"/>
        <v>0</v>
      </c>
    </row>
    <row r="384" ht="15.75" customHeight="1">
      <c r="A384" s="28">
        <f t="shared" si="3"/>
        <v>383</v>
      </c>
      <c r="B384" s="28">
        <f t="shared" si="4"/>
        <v>6</v>
      </c>
      <c r="C384" s="28" t="str">
        <f t="shared" si="5"/>
        <v/>
      </c>
      <c r="D384" s="28" t="str">
        <f t="array" ref="D384">IF($I383="","",XLOOKUP(C384,FSM_State_Map!A:A,FSM_State_Map!B:B,""))</f>
        <v/>
      </c>
      <c r="E384" s="28" t="str">
        <f t="array" ref="E384">IF($I383="","",XLOOKUP(C384,FSM_State_Map!A:A,FSM_State_Map!C:C,""))</f>
        <v/>
      </c>
      <c r="F384" s="28" t="str">
        <f t="array" ref="F384">IF($I383="","",XLOOKUP(E384,Phase_UI_Map!A:A,Phase_UI_Map!B:B,""))</f>
        <v/>
      </c>
      <c r="G384" s="28" t="str">
        <f t="array" ref="G384">IF($I383="","",XLOOKUP(E384,Phase_UI_Map!A:A,Phase_UI_Map!C:C,""))</f>
        <v/>
      </c>
      <c r="H384" s="28" t="str">
        <f t="array" ref="H384">IF($I383="","",XLOOKUP(E384,Phase_UI_Map!A:A,Phase_UI_Map!D:D,""))</f>
        <v/>
      </c>
      <c r="I384" s="29"/>
      <c r="J384" s="28" t="str">
        <f>IFERROR(__xludf.DUMMYFUNCTION("IF($I383="""","""",IFERROR(INDEX(FILTER(Response_Lists!$B:$B,Response_Lists!$A:$A=$H384),1),""""))"),"")</f>
        <v/>
      </c>
      <c r="K384" s="28" t="str">
        <f>IFERROR(__xludf.DUMMYFUNCTION("IF($I383="""","""",IFERROR(INDEX(FILTER(Response_Lists!$B:$B,Response_Lists!$A:$A=$H384),2),""""))"),"")</f>
        <v/>
      </c>
      <c r="L384" s="28" t="str">
        <f>IFERROR(__xludf.DUMMYFUNCTION("IF($I383="""","""",IFERROR(INDEX(FILTER(Response_Lists!$B:$B,Response_Lists!$A:$A=$H384),3),""""))"),"")</f>
        <v/>
      </c>
      <c r="M384" s="28" t="str">
        <f>IFERROR(__xludf.DUMMYFUNCTION("IF($I383="""","""",IFERROR(INDEX(FILTER(Response_Lists!$B:$B,Response_Lists!$A:$A=$H384),4),""""))"),"")</f>
        <v/>
      </c>
      <c r="N384" s="28" t="str">
        <f>IFERROR(__xludf.DUMMYFUNCTION("IF($I383="""","""",IFERROR(INDEX(FILTER(Response_Lists!$B:$B,Response_Lists!$A:$A=$H384),5),""""))"),"")</f>
        <v/>
      </c>
      <c r="O384" s="28" t="str">
        <f>IFERROR(__xludf.DUMMYFUNCTION("IF($I383="""","""",IFERROR(INDEX(FILTER(Response_Lists!$B:$B,Response_Lists!$A:$A=$H384),6),""""))"),"")</f>
        <v/>
      </c>
      <c r="P384" s="28" t="str">
        <f t="shared" si="6"/>
        <v/>
      </c>
      <c r="Q384" s="28" t="str">
        <f t="array" ref="Q384">IF($I383="","",XLOOKUP(C384,FSM_State_Map!A:A,FSM_State_Map!D:D,""))</f>
        <v/>
      </c>
      <c r="R384" s="28" t="str">
        <f t="shared" si="7"/>
        <v/>
      </c>
      <c r="S384" s="28" t="str">
        <f t="array" ref="S384">IF($I383="","",
IF(
  AND(C384="B",C383&lt;&gt;"B"),
  XLOOKUP($B384,Derived_Variables!$A:$A,Derived_Variables!$K:$K,0)
  + XLOOKUP($B384,Derived_Variables!$A:$A,Derived_Variables!$AE:$AE,0),
  S383+AM383
))</f>
        <v/>
      </c>
      <c r="T384" s="28" t="str">
        <f t="shared" ref="T384:U384" si="778">IF($I383="","",T383+AN383)</f>
        <v/>
      </c>
      <c r="U384" s="28" t="str">
        <f t="shared" si="778"/>
        <v/>
      </c>
      <c r="V384" s="28" t="str">
        <f t="array" ref="V384">IF($I383="","",
IF(
  AND(C384="D",C383&lt;&gt;"D"),
  XLOOKUP($B384,Derived_Variables!$A:$A,Derived_Variables!$N:$N,0)
  + XLOOKUP($B384,Derived_Variables!$A:$A,Derived_Variables!$AE:$AE,0),
  V383+AP383
))</f>
        <v/>
      </c>
      <c r="W384" s="28" t="str">
        <f t="shared" ref="W384:X384" si="779">IF($I383="","",W383+AQ383)</f>
        <v/>
      </c>
      <c r="X384" s="28" t="str">
        <f t="shared" si="779"/>
        <v/>
      </c>
      <c r="Y384" s="28" t="str">
        <f t="array" ref="Y384">IF($I383="","",IF(AND(C384="P",C383&lt;&gt;"P"),IFERROR(XLOOKUP($B384,Lenso_Input!$A:$A,Lenso_Input!$E:$E,0),0),Y383+AS383))</f>
        <v/>
      </c>
      <c r="Z384" s="28" t="str">
        <f t="array" ref="Z384">IF($I383="","",IF(AND(C384="Q",C383&lt;&gt;"Q"),IFERROR(XLOOKUP($B384,Lenso_Input!$A:$A,Lenso_Input!$I:$I,0),0),Z383+AT383))</f>
        <v/>
      </c>
      <c r="AA384" s="28" t="str">
        <f t="array" ref="AA384">IF($I383="","",IF(XLOOKUP($B384,Derived_Variables!$A:$A,Derived_Variables!$R:$R,"6/6_target")="6/6_target","20_20_20","40_30_25"))</f>
        <v/>
      </c>
      <c r="AB384" s="28" t="str">
        <f t="array" ref="AB384">IF($I383="","",XLOOKUP(LOWER(XLOOKUP($B384,Derived_Variables!$A:$A,Derived_Variables!$T:$T,"Standard"))&amp;"_sph_step",Calibration!$B:$B,Calibration!$C:$C,0.25))</f>
        <v/>
      </c>
      <c r="AC384" s="28" t="str">
        <f t="array" ref="AC384">IF($I383="","",XLOOKUP(LOWER(XLOOKUP($B384,Derived_Variables!$A:$A,Derived_Variables!$T:$T,"Standard"))&amp;"_cyl_step",Calibration!$B:$B,Calibration!$C:$C,0.25))</f>
        <v/>
      </c>
      <c r="AD384" s="28" t="str">
        <f t="array" ref="AD384">IF($I383="","",IF(OR(C384="E",C384="H"),LET(startStep,XLOOKUP("axis_start_step",Calibration!$B:$B,Calibration!$C:$C,5),step1,XLOOKUP("axis_reversal_step_1",Calibration!$B:$B,Calibration!$C:$C,3),step2,XLOOKUP("axis_reversal_step_2",Calibration!$B:$B,Calibration!$C:$C,1),IF(OR(C383&lt;&gt;C384,AZ384="",AZ384="SAME",AZ384="CANT_TELL",I384="",I384="SAME",I384="CANT_TELL"),startStep,IF(OR(AND(AZ384="BETTER_1",I384="BETTER_2"),AND(AZ384="BETTER_2",I384="BETTER_1")),IF(AD383&gt;step1,step1,step2),AD383))),0))</f>
        <v/>
      </c>
      <c r="AE384" s="28" t="str">
        <f t="array" ref="AE384">IF($I383="","",XLOOKUP($B384,Derived_Variables!$A:$A,Derived_Variables!$AD:$AD,"No_Fog"))</f>
        <v/>
      </c>
      <c r="AF384" s="28" t="str">
        <f t="array" ref="AF384">IF($I383="","",XLOOKUP($B384,Derived_Variables!$A:$A,Derived_Variables!$AE:$AE,0))</f>
        <v/>
      </c>
      <c r="AG384" s="28" t="str">
        <f t="array" ref="AG384">IF($I383="","",XLOOKUP($B384,Derived_Variables!$A:$A,Derived_Variables!$AF:$AF,""))</f>
        <v/>
      </c>
      <c r="AH384" s="28" t="str">
        <f t="array" ref="AH384">IF($I383="","",XLOOKUP($B384,Derived_Variables!$A:$A,Derived_Variables!$AG:$AG,""))</f>
        <v/>
      </c>
      <c r="AI384" s="28" t="str">
        <f t="array" ref="AI384">IF($I383="","",XLOOKUP($B384,Derived_Variables!$A:$A,Derived_Variables!$AC:$AC,"Medium"))</f>
        <v/>
      </c>
      <c r="AJ384" s="28" t="str">
        <f t="array" ref="AJ384">IF($I383="","",XLOOKUP($B384,Derived_Variables!$A:$A,Derived_Variables!$Y:$Y,FALSE))</f>
        <v/>
      </c>
      <c r="AK384" s="28" t="str">
        <f t="array" ref="AK384">IF($I383="","",XLOOKUP($B384,Derived_Variables!$A:$A,Derived_Variables!$AA:$AA,"Normal"))</f>
        <v/>
      </c>
      <c r="AL384" s="28" t="str">
        <f t="array" ref="AL384">IF($I383="","",XLOOKUP($B384,Derived_Variables!$A:$A,Derived_Variables!$AB:$AB,"Normal"))</f>
        <v/>
      </c>
      <c r="AM384" s="28" t="str">
        <f t="array" ref="AM384">IF($I384="","",IFS(C384="B",IF(OR(I384="NOT_READABLE",I384="BLURRY"),-AB384,0),C384="G",IFS(I384="RED_CLEARER",XLOOKUP("duochrome_red_step",Calibration!$B:$B,Calibration!$C:$C,-0.25),I384="GREEN_CLEARER",XLOOKUP("duochrome_green_step",Calibration!$B:$B,Calibration!$C:$C,0.25),I384="EQUAL",IF(XLOOKUP($B384,Derived_Variables!$A:$A,Derived_Variables!$S:$S,"Neutral")="Undercorrect",XLOOKUP("undercorrect_step",Calibration!$B:$B,Calibration!$C:$C,0.25),IF(XLOOKUP($B384,Derived_Variables!$A:$A,Derived_Variables!$S:$S,"Neutral")="Overcorrect",-XLOOKUP("overcorrect_step",Calibration!$B:$B,Calibration!$C:$C,0.25),0)),TRUE,0),C384="K",IF(I384="TOP_CLEARER",XLOOKUP("bino_balance_step",Calibration!$B:$B,Calibration!$C:$C,0.25),0),TRUE,0))</f>
        <v/>
      </c>
      <c r="AN384" s="28" t="str">
        <f t="shared" si="10"/>
        <v/>
      </c>
      <c r="AO384" s="28" t="str">
        <f t="shared" si="11"/>
        <v/>
      </c>
      <c r="AP384" s="28" t="str">
        <f t="array" ref="AP384">IF($I384="","",IFS(C384="D",IF(OR(I384="NOT_READABLE",I384="BLURRY"),-AB384,0),C384="J",IFS(I384="RED_CLEARER",XLOOKUP("duochrome_red_step",Calibration!$B:$B,Calibration!$C:$C,-0.25),I384="GREEN_CLEARER",XLOOKUP("duochrome_green_step",Calibration!$B:$B,Calibration!$C:$C,0.25),I384="EQUAL",IF(XLOOKUP($B384,Derived_Variables!$A:$A,Derived_Variables!$S:$S,"Neutral")="Undercorrect",XLOOKUP("undercorrect_step",Calibration!$B:$B,Calibration!$C:$C,0.25),IF(XLOOKUP($B384,Derived_Variables!$A:$A,Derived_Variables!$S:$S,"Neutral")="Overcorrect",-XLOOKUP("overcorrect_step",Calibration!$B:$B,Calibration!$C:$C,0.25),0)),TRUE,0),C384="K",IF(I384="BOTTOM_CLEARER",XLOOKUP("bino_balance_step",Calibration!$B:$B,Calibration!$C:$C,0.25),0),TRUE,0))</f>
        <v/>
      </c>
      <c r="AQ384" s="28" t="str">
        <f t="shared" si="12"/>
        <v/>
      </c>
      <c r="AR384" s="28" t="str">
        <f t="shared" si="13"/>
        <v/>
      </c>
      <c r="AS384" s="28" t="str">
        <f t="array" ref="AS384">IF($I384="","",IF(C384="P",IF(OR(I384="NOT_READABLE",I384="BLURRY"),XLOOKUP("near_add_step",Calibration!$B:$B,Calibration!$C:$C,0.25),0),IF(C384="R",IF(I384="NOT_CLEAR",XLOOKUP("near_add_step",Calibration!$B:$B,Calibration!$C:$C,0.25),0),0)))</f>
        <v/>
      </c>
      <c r="AT384" s="28" t="str">
        <f t="array" ref="AT384">IF($I384="","",IF(C384="Q",IF(OR(I384="NOT_READABLE",I384="BLURRY"),XLOOKUP("near_add_step",Calibration!$B:$B,Calibration!$C:$C,0.25),0),IF(C384="R",IF(I384="NOT_CLEAR",XLOOKUP("near_add_step",Calibration!$B:$B,Calibration!$C:$C,0.25),0),0)))</f>
        <v/>
      </c>
      <c r="AU384" s="28" t="str">
        <f t="array" ref="AU384">IF($I384="","",IF(G384="SNELLEN_FEET",IF(I384="READABLE",IFERROR(XLOOKUP(XLOOKUP(R384,Chart_Scale_Distance!B:B,Chart_Scale_Distance!A:A)+1,Chart_Scale_Distance!A:A,Chart_Scale_Distance!B:B),R384),R384),R384))</f>
        <v/>
      </c>
      <c r="AV384" s="28" t="str">
        <f t="array" ref="AV384">IF($I383="","",IFERROR(XLOOKUP(R384,Chart_Scale_Distance!$B:$B,Chart_Scale_Distance!$A:$A,""),""))</f>
        <v/>
      </c>
      <c r="AW384" s="28" t="str">
        <f t="array" ref="AW384">IF($I383="","",IFERROR(XLOOKUP(AA384,Chart_Scale_Distance!$B:$B,Chart_Scale_Distance!$A:$A,""),""))</f>
        <v/>
      </c>
      <c r="AX384" s="28" t="str">
        <f t="shared" si="14"/>
        <v/>
      </c>
      <c r="AY384" s="28" t="str">
        <f t="shared" si="15"/>
        <v/>
      </c>
      <c r="AZ384" s="28" t="str">
        <f t="shared" si="16"/>
        <v/>
      </c>
      <c r="BA384" s="28" t="str">
        <f t="shared" si="17"/>
        <v/>
      </c>
      <c r="BB384" s="28" t="str">
        <f t="shared" si="18"/>
        <v/>
      </c>
      <c r="BC384" s="28" t="str">
        <f t="array" ref="BC384">IF($I384="","",LET(
conf,AI384,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duoMax,XLOOKUP($B384,Derived_Variables!$A:$A,Derived_Variables!$AI:$AI,4),
axisTol,XLOOKUP($B384,Derived_Variables!$A:$A,Derived_Variables!$W:$W,1),
maxStart,XLOOKUP($B384,Derived_Variables!$A:$A,Derived_Variables!$U:$U,1.25),
maxAR,XLOOKUP($B384,Derived_Variables!$A:$A,Derived_Variables!$V:$V,3),
anom,XLOOKUP($B384,Derived_Variables!$A:$A,Derived_Variables!$Z:$Z,FALSE),
reStart,XLOOKUP($B384,Derived_Variables!$A:$A,Derived_Variables!$K:$K,0),
leStart,XLOOKUP($B384,Derived_Variables!$A:$A,Derived_Variables!$N:$N,0),
reAR,XLOOKUP($B384,AR_Input!$A:$A,AR_Input!$B:$B,reStart),
leAR,XLOOKUP($B384,AR_Input!$A:$A,AR_Input!$E:$E,leStart),
reEsc,AND(anom,OR(ABS((S384+AM384)-reStart)&gt;maxStart,ABS((S384+AM384)-reAR)&gt;maxAR)),
leEsc,AND(anom,OR(ABS((V384+AP384)-leStart)&gt;maxStart,ABS((V384+AP384)-leAR)&gt;maxAR)),
phaseMax,IFS(
 AK384="Fast",
   IFS(
     OR(C384="B",C384="D"),XLOOKUP("timeout_coarse_fast",Calibration!$B:$B,Calibration!$C:$C,24),
     OR(C384="E",C384="F",C384="H",C384="I"),XLOOKUP("timeout_jcc_fast",Calibration!$B:$B,Calibration!$C:$C,10),
     OR(C384="G",C384="J"),XLOOKUP("timeout_duochrome_fast",Calibration!$B:$B,Calibration!$C:$C,8),
     C384="K",XLOOKUP("timeout_bino_fast",Calibration!$B:$B,Calibration!$C:$C,10),
     OR(C384="P",C384="Q",C384="R"),XLOOKUP("timeout_near_fast",Calibration!$B:$B,Calibration!$C:$C,16),
     TRUE,XLOOKUP("timeout_coarse_fast",Calibration!$B:$B,Calibration!$C:$C,24)
   ),
 AK384="Normal",
   IFS(
     OR(C384="B",C384="D"),XLOOKUP("timeout_coarse_normal",Calibration!$B:$B,Calibration!$C:$C,36),
     OR(C384="E",C384="F",C384="H",C384="I"),XLOOKUP("timeout_jcc_normal",Calibration!$B:$B,Calibration!$C:$C,14),
     OR(C384="G",C384="J"),XLOOKUP("timeout_duochrome_normal",Calibration!$B:$B,Calibration!$C:$C,10),
     C384="K",XLOOKUP("timeout_bino_normal",Calibration!$B:$B,Calibration!$C:$C,14),
     OR(C384="P",C384="Q",C384="R"),XLOOKUP("timeout_near_normal",Calibration!$B:$B,Calibration!$C:$C,22),
     TRUE,XLOOKUP("timeout_coarse_normal",Calibration!$B:$B,Calibration!$C:$C,36)
   ),
 TRUE,
   IFS(
     OR(C384="B",C384="D"),XLOOKUP("timeout_coarse_slow",Calibration!$B:$B,Calibration!$C:$C,48),
     OR(C384="E",C384="F",C384="H",C384="I"),XLOOKUP("timeout_jcc_slow",Calibration!$B:$B,Calibration!$C:$C,18),
     OR(C384="G",C384="J"),XLOOKUP("timeout_duochrome_slow",Calibration!$B:$B,Calibration!$C:$C,12),
     C384="K",XLOOKUP("timeout_bino_slow",Calibration!$B:$B,Calibration!$C:$C,18),
     OR(C384="P",C384="Q",C384="R"),XLOOKUP("timeout_near_slow",Calibration!$B:$B,Calibration!$C:$C,28),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AJ384=TRUE,"ESCALATE",
C384="A",
IF(OR(I384="NOT_READABLE",I384="BLURRY",AND(R384="20_20_20",I384="READABLE")),"B","A"),
C384="B",
IF(reEsc,"ESCALATE",IF(AY384&gt;=phaseMax,"ESCALATE",IF(AND(AV384&gt;=AW384,I384="READABLE"),"E","B"))),
C384="E",
IF(AY384&gt;=phaseMax,"ESCALATE",IF(OR(I384="SAME",I384="CANT_TELL",AD384&lt;axisTol),"F","E")),
C384="F",
IF(AY384&gt;=phaseMax,"ESCALATE",IF(AX384&gt;=powerSameN,"G","F")),
C384="G",
IF(AY384&gt;=phaseMax,"ESCALATE",IF(OR(AX384&gt;=duoEqualN,BB384&gt;=duoMax),"D","G")),
C384="D",
IF(leEsc,"ESCALATE",IF(AY384&gt;=phaseMax,"ESCALATE",IF(AND(AV384&gt;=AW384,I384="READABLE"),"H","D"))),
C384="H",
IF(AY384&gt;=phaseMax,"ESCALATE",IF(OR(I384="SAME",I384="CANT_TELL",AD384&lt;axisTol),"I","H")),
C384="I",
IF(AY384&gt;=phaseMax,"ESCALATE",IF(AX384&gt;=powerSameN,"J","I")),
C384="J",
IF(AY384&gt;=phaseMax,"ESCALATE",IF(OR(AX384&gt;=duoEqualN,BB384&gt;=duoMax),"K","J")),
C384="K",
IF(AY384&gt;=phaseMax,"ESCALATE",IF(AX384&gt;=binoSameN,IF(XLOOKUP($B384,Derived_Variables!$A:$A,Derived_Variables!$AJ:$AJ,FALSE)=TRUE,"P","END"),"K")),
C384="P",
IF(AY384&gt;=phaseMax,"ESCALATE",IF(OR(I384="READABLE",I384="SAME"),"Q","P")),
C384="Q",
IF(AY384&gt;=phaseMax,"ESCALATE",IF(OR(I384="READABLE",I384="SAME"),"R","Q")),
C384="R",
IF(AY384&gt;=phaseMax,"ESCALATE",IF(OR(I384=nearTarget,I384="SAME"),"END","R")),
TRUE,"END"
)))</f>
        <v/>
      </c>
      <c r="BD384" s="28" t="b">
        <f t="shared" si="19"/>
        <v>0</v>
      </c>
    </row>
    <row r="385" ht="15.75" customHeight="1">
      <c r="A385" s="28">
        <f t="shared" si="3"/>
        <v>384</v>
      </c>
      <c r="B385" s="28">
        <f t="shared" si="4"/>
        <v>6</v>
      </c>
      <c r="C385" s="28" t="str">
        <f t="shared" si="5"/>
        <v/>
      </c>
      <c r="D385" s="28" t="str">
        <f t="array" ref="D385">IF($I384="","",XLOOKUP(C385,FSM_State_Map!A:A,FSM_State_Map!B:B,""))</f>
        <v/>
      </c>
      <c r="E385" s="28" t="str">
        <f t="array" ref="E385">IF($I384="","",XLOOKUP(C385,FSM_State_Map!A:A,FSM_State_Map!C:C,""))</f>
        <v/>
      </c>
      <c r="F385" s="28" t="str">
        <f t="array" ref="F385">IF($I384="","",XLOOKUP(E385,Phase_UI_Map!A:A,Phase_UI_Map!B:B,""))</f>
        <v/>
      </c>
      <c r="G385" s="28" t="str">
        <f t="array" ref="G385">IF($I384="","",XLOOKUP(E385,Phase_UI_Map!A:A,Phase_UI_Map!C:C,""))</f>
        <v/>
      </c>
      <c r="H385" s="28" t="str">
        <f t="array" ref="H385">IF($I384="","",XLOOKUP(E385,Phase_UI_Map!A:A,Phase_UI_Map!D:D,""))</f>
        <v/>
      </c>
      <c r="I385" s="29"/>
      <c r="J385" s="28" t="str">
        <f>IFERROR(__xludf.DUMMYFUNCTION("IF($I384="""","""",IFERROR(INDEX(FILTER(Response_Lists!$B:$B,Response_Lists!$A:$A=$H385),1),""""))"),"")</f>
        <v/>
      </c>
      <c r="K385" s="28" t="str">
        <f>IFERROR(__xludf.DUMMYFUNCTION("IF($I384="""","""",IFERROR(INDEX(FILTER(Response_Lists!$B:$B,Response_Lists!$A:$A=$H385),2),""""))"),"")</f>
        <v/>
      </c>
      <c r="L385" s="28" t="str">
        <f>IFERROR(__xludf.DUMMYFUNCTION("IF($I384="""","""",IFERROR(INDEX(FILTER(Response_Lists!$B:$B,Response_Lists!$A:$A=$H385),3),""""))"),"")</f>
        <v/>
      </c>
      <c r="M385" s="28" t="str">
        <f>IFERROR(__xludf.DUMMYFUNCTION("IF($I384="""","""",IFERROR(INDEX(FILTER(Response_Lists!$B:$B,Response_Lists!$A:$A=$H385),4),""""))"),"")</f>
        <v/>
      </c>
      <c r="N385" s="28" t="str">
        <f>IFERROR(__xludf.DUMMYFUNCTION("IF($I384="""","""",IFERROR(INDEX(FILTER(Response_Lists!$B:$B,Response_Lists!$A:$A=$H385),5),""""))"),"")</f>
        <v/>
      </c>
      <c r="O385" s="28" t="str">
        <f>IFERROR(__xludf.DUMMYFUNCTION("IF($I384="""","""",IFERROR(INDEX(FILTER(Response_Lists!$B:$B,Response_Lists!$A:$A=$H385),6),""""))"),"")</f>
        <v/>
      </c>
      <c r="P385" s="28" t="str">
        <f t="shared" si="6"/>
        <v/>
      </c>
      <c r="Q385" s="28" t="str">
        <f t="array" ref="Q385">IF($I384="","",XLOOKUP(C385,FSM_State_Map!A:A,FSM_State_Map!D:D,""))</f>
        <v/>
      </c>
      <c r="R385" s="28" t="str">
        <f t="shared" si="7"/>
        <v/>
      </c>
      <c r="S385" s="28" t="str">
        <f t="array" ref="S385">IF($I384="","",
IF(
  AND(C385="B",C384&lt;&gt;"B"),
  XLOOKUP($B385,Derived_Variables!$A:$A,Derived_Variables!$K:$K,0)
  + XLOOKUP($B385,Derived_Variables!$A:$A,Derived_Variables!$AE:$AE,0),
  S384+AM384
))</f>
        <v/>
      </c>
      <c r="T385" s="28" t="str">
        <f t="shared" ref="T385:U385" si="780">IF($I384="","",T384+AN384)</f>
        <v/>
      </c>
      <c r="U385" s="28" t="str">
        <f t="shared" si="780"/>
        <v/>
      </c>
      <c r="V385" s="28" t="str">
        <f t="array" ref="V385">IF($I384="","",
IF(
  AND(C385="D",C384&lt;&gt;"D"),
  XLOOKUP($B385,Derived_Variables!$A:$A,Derived_Variables!$N:$N,0)
  + XLOOKUP($B385,Derived_Variables!$A:$A,Derived_Variables!$AE:$AE,0),
  V384+AP384
))</f>
        <v/>
      </c>
      <c r="W385" s="28" t="str">
        <f t="shared" ref="W385:X385" si="781">IF($I384="","",W384+AQ384)</f>
        <v/>
      </c>
      <c r="X385" s="28" t="str">
        <f t="shared" si="781"/>
        <v/>
      </c>
      <c r="Y385" s="28" t="str">
        <f t="array" ref="Y385">IF($I384="","",IF(AND(C385="P",C384&lt;&gt;"P"),IFERROR(XLOOKUP($B385,Lenso_Input!$A:$A,Lenso_Input!$E:$E,0),0),Y384+AS384))</f>
        <v/>
      </c>
      <c r="Z385" s="28" t="str">
        <f t="array" ref="Z385">IF($I384="","",IF(AND(C385="Q",C384&lt;&gt;"Q"),IFERROR(XLOOKUP($B385,Lenso_Input!$A:$A,Lenso_Input!$I:$I,0),0),Z384+AT384))</f>
        <v/>
      </c>
      <c r="AA385" s="28" t="str">
        <f t="array" ref="AA385">IF($I384="","",IF(XLOOKUP($B385,Derived_Variables!$A:$A,Derived_Variables!$R:$R,"6/6_target")="6/6_target","20_20_20","40_30_25"))</f>
        <v/>
      </c>
      <c r="AB385" s="28" t="str">
        <f t="array" ref="AB385">IF($I384="","",XLOOKUP(LOWER(XLOOKUP($B385,Derived_Variables!$A:$A,Derived_Variables!$T:$T,"Standard"))&amp;"_sph_step",Calibration!$B:$B,Calibration!$C:$C,0.25))</f>
        <v/>
      </c>
      <c r="AC385" s="28" t="str">
        <f t="array" ref="AC385">IF($I384="","",XLOOKUP(LOWER(XLOOKUP($B385,Derived_Variables!$A:$A,Derived_Variables!$T:$T,"Standard"))&amp;"_cyl_step",Calibration!$B:$B,Calibration!$C:$C,0.25))</f>
        <v/>
      </c>
      <c r="AD385" s="28" t="str">
        <f t="array" ref="AD385">IF($I384="","",IF(OR(C385="E",C385="H"),LET(startStep,XLOOKUP("axis_start_step",Calibration!$B:$B,Calibration!$C:$C,5),step1,XLOOKUP("axis_reversal_step_1",Calibration!$B:$B,Calibration!$C:$C,3),step2,XLOOKUP("axis_reversal_step_2",Calibration!$B:$B,Calibration!$C:$C,1),IF(OR(C384&lt;&gt;C385,AZ385="",AZ385="SAME",AZ385="CANT_TELL",I385="",I385="SAME",I385="CANT_TELL"),startStep,IF(OR(AND(AZ385="BETTER_1",I385="BETTER_2"),AND(AZ385="BETTER_2",I385="BETTER_1")),IF(AD384&gt;step1,step1,step2),AD384))),0))</f>
        <v/>
      </c>
      <c r="AE385" s="28" t="str">
        <f t="array" ref="AE385">IF($I384="","",XLOOKUP($B385,Derived_Variables!$A:$A,Derived_Variables!$AD:$AD,"No_Fog"))</f>
        <v/>
      </c>
      <c r="AF385" s="28" t="str">
        <f t="array" ref="AF385">IF($I384="","",XLOOKUP($B385,Derived_Variables!$A:$A,Derived_Variables!$AE:$AE,0))</f>
        <v/>
      </c>
      <c r="AG385" s="28" t="str">
        <f t="array" ref="AG385">IF($I384="","",XLOOKUP($B385,Derived_Variables!$A:$A,Derived_Variables!$AF:$AF,""))</f>
        <v/>
      </c>
      <c r="AH385" s="28" t="str">
        <f t="array" ref="AH385">IF($I384="","",XLOOKUP($B385,Derived_Variables!$A:$A,Derived_Variables!$AG:$AG,""))</f>
        <v/>
      </c>
      <c r="AI385" s="28" t="str">
        <f t="array" ref="AI385">IF($I384="","",XLOOKUP($B385,Derived_Variables!$A:$A,Derived_Variables!$AC:$AC,"Medium"))</f>
        <v/>
      </c>
      <c r="AJ385" s="28" t="str">
        <f t="array" ref="AJ385">IF($I384="","",XLOOKUP($B385,Derived_Variables!$A:$A,Derived_Variables!$Y:$Y,FALSE))</f>
        <v/>
      </c>
      <c r="AK385" s="28" t="str">
        <f t="array" ref="AK385">IF($I384="","",XLOOKUP($B385,Derived_Variables!$A:$A,Derived_Variables!$AA:$AA,"Normal"))</f>
        <v/>
      </c>
      <c r="AL385" s="28" t="str">
        <f t="array" ref="AL385">IF($I384="","",XLOOKUP($B385,Derived_Variables!$A:$A,Derived_Variables!$AB:$AB,"Normal"))</f>
        <v/>
      </c>
      <c r="AM385" s="28" t="str">
        <f t="array" ref="AM385">IF($I385="","",IFS(C385="B",IF(OR(I385="NOT_READABLE",I385="BLURRY"),-AB385,0),C385="G",IFS(I385="RED_CLEARER",XLOOKUP("duochrome_red_step",Calibration!$B:$B,Calibration!$C:$C,-0.25),I385="GREEN_CLEARER",XLOOKUP("duochrome_green_step",Calibration!$B:$B,Calibration!$C:$C,0.25),I385="EQUAL",IF(XLOOKUP($B385,Derived_Variables!$A:$A,Derived_Variables!$S:$S,"Neutral")="Undercorrect",XLOOKUP("undercorrect_step",Calibration!$B:$B,Calibration!$C:$C,0.25),IF(XLOOKUP($B385,Derived_Variables!$A:$A,Derived_Variables!$S:$S,"Neutral")="Overcorrect",-XLOOKUP("overcorrect_step",Calibration!$B:$B,Calibration!$C:$C,0.25),0)),TRUE,0),C385="K",IF(I385="TOP_CLEARER",XLOOKUP("bino_balance_step",Calibration!$B:$B,Calibration!$C:$C,0.25),0),TRUE,0))</f>
        <v/>
      </c>
      <c r="AN385" s="28" t="str">
        <f t="shared" si="10"/>
        <v/>
      </c>
      <c r="AO385" s="28" t="str">
        <f t="shared" si="11"/>
        <v/>
      </c>
      <c r="AP385" s="28" t="str">
        <f t="array" ref="AP385">IF($I385="","",IFS(C385="D",IF(OR(I385="NOT_READABLE",I385="BLURRY"),-AB385,0),C385="J",IFS(I385="RED_CLEARER",XLOOKUP("duochrome_red_step",Calibration!$B:$B,Calibration!$C:$C,-0.25),I385="GREEN_CLEARER",XLOOKUP("duochrome_green_step",Calibration!$B:$B,Calibration!$C:$C,0.25),I385="EQUAL",IF(XLOOKUP($B385,Derived_Variables!$A:$A,Derived_Variables!$S:$S,"Neutral")="Undercorrect",XLOOKUP("undercorrect_step",Calibration!$B:$B,Calibration!$C:$C,0.25),IF(XLOOKUP($B385,Derived_Variables!$A:$A,Derived_Variables!$S:$S,"Neutral")="Overcorrect",-XLOOKUP("overcorrect_step",Calibration!$B:$B,Calibration!$C:$C,0.25),0)),TRUE,0),C385="K",IF(I385="BOTTOM_CLEARER",XLOOKUP("bino_balance_step",Calibration!$B:$B,Calibration!$C:$C,0.25),0),TRUE,0))</f>
        <v/>
      </c>
      <c r="AQ385" s="28" t="str">
        <f t="shared" si="12"/>
        <v/>
      </c>
      <c r="AR385" s="28" t="str">
        <f t="shared" si="13"/>
        <v/>
      </c>
      <c r="AS385" s="28" t="str">
        <f t="array" ref="AS385">IF($I385="","",IF(C385="P",IF(OR(I385="NOT_READABLE",I385="BLURRY"),XLOOKUP("near_add_step",Calibration!$B:$B,Calibration!$C:$C,0.25),0),IF(C385="R",IF(I385="NOT_CLEAR",XLOOKUP("near_add_step",Calibration!$B:$B,Calibration!$C:$C,0.25),0),0)))</f>
        <v/>
      </c>
      <c r="AT385" s="28" t="str">
        <f t="array" ref="AT385">IF($I385="","",IF(C385="Q",IF(OR(I385="NOT_READABLE",I385="BLURRY"),XLOOKUP("near_add_step",Calibration!$B:$B,Calibration!$C:$C,0.25),0),IF(C385="R",IF(I385="NOT_CLEAR",XLOOKUP("near_add_step",Calibration!$B:$B,Calibration!$C:$C,0.25),0),0)))</f>
        <v/>
      </c>
      <c r="AU385" s="28" t="str">
        <f t="array" ref="AU385">IF($I385="","",IF(G385="SNELLEN_FEET",IF(I385="READABLE",IFERROR(XLOOKUP(XLOOKUP(R385,Chart_Scale_Distance!B:B,Chart_Scale_Distance!A:A)+1,Chart_Scale_Distance!A:A,Chart_Scale_Distance!B:B),R385),R385),R385))</f>
        <v/>
      </c>
      <c r="AV385" s="28" t="str">
        <f t="array" ref="AV385">IF($I384="","",IFERROR(XLOOKUP(R385,Chart_Scale_Distance!$B:$B,Chart_Scale_Distance!$A:$A,""),""))</f>
        <v/>
      </c>
      <c r="AW385" s="28" t="str">
        <f t="array" ref="AW385">IF($I384="","",IFERROR(XLOOKUP(AA385,Chart_Scale_Distance!$B:$B,Chart_Scale_Distance!$A:$A,""),""))</f>
        <v/>
      </c>
      <c r="AX385" s="28" t="str">
        <f t="shared" si="14"/>
        <v/>
      </c>
      <c r="AY385" s="28" t="str">
        <f t="shared" si="15"/>
        <v/>
      </c>
      <c r="AZ385" s="28" t="str">
        <f t="shared" si="16"/>
        <v/>
      </c>
      <c r="BA385" s="28" t="str">
        <f t="shared" si="17"/>
        <v/>
      </c>
      <c r="BB385" s="28" t="str">
        <f t="shared" si="18"/>
        <v/>
      </c>
      <c r="BC385" s="28" t="str">
        <f t="array" ref="BC385">IF($I385="","",LET(
conf,AI385,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duoMax,XLOOKUP($B385,Derived_Variables!$A:$A,Derived_Variables!$AI:$AI,4),
axisTol,XLOOKUP($B385,Derived_Variables!$A:$A,Derived_Variables!$W:$W,1),
maxStart,XLOOKUP($B385,Derived_Variables!$A:$A,Derived_Variables!$U:$U,1.25),
maxAR,XLOOKUP($B385,Derived_Variables!$A:$A,Derived_Variables!$V:$V,3),
anom,XLOOKUP($B385,Derived_Variables!$A:$A,Derived_Variables!$Z:$Z,FALSE),
reStart,XLOOKUP($B385,Derived_Variables!$A:$A,Derived_Variables!$K:$K,0),
leStart,XLOOKUP($B385,Derived_Variables!$A:$A,Derived_Variables!$N:$N,0),
reAR,XLOOKUP($B385,AR_Input!$A:$A,AR_Input!$B:$B,reStart),
leAR,XLOOKUP($B385,AR_Input!$A:$A,AR_Input!$E:$E,leStart),
reEsc,AND(anom,OR(ABS((S385+AM385)-reStart)&gt;maxStart,ABS((S385+AM385)-reAR)&gt;maxAR)),
leEsc,AND(anom,OR(ABS((V385+AP385)-leStart)&gt;maxStart,ABS((V385+AP385)-leAR)&gt;maxAR)),
phaseMax,IFS(
 AK385="Fast",
   IFS(
     OR(C385="B",C385="D"),XLOOKUP("timeout_coarse_fast",Calibration!$B:$B,Calibration!$C:$C,24),
     OR(C385="E",C385="F",C385="H",C385="I"),XLOOKUP("timeout_jcc_fast",Calibration!$B:$B,Calibration!$C:$C,10),
     OR(C385="G",C385="J"),XLOOKUP("timeout_duochrome_fast",Calibration!$B:$B,Calibration!$C:$C,8),
     C385="K",XLOOKUP("timeout_bino_fast",Calibration!$B:$B,Calibration!$C:$C,10),
     OR(C385="P",C385="Q",C385="R"),XLOOKUP("timeout_near_fast",Calibration!$B:$B,Calibration!$C:$C,16),
     TRUE,XLOOKUP("timeout_coarse_fast",Calibration!$B:$B,Calibration!$C:$C,24)
   ),
 AK385="Normal",
   IFS(
     OR(C385="B",C385="D"),XLOOKUP("timeout_coarse_normal",Calibration!$B:$B,Calibration!$C:$C,36),
     OR(C385="E",C385="F",C385="H",C385="I"),XLOOKUP("timeout_jcc_normal",Calibration!$B:$B,Calibration!$C:$C,14),
     OR(C385="G",C385="J"),XLOOKUP("timeout_duochrome_normal",Calibration!$B:$B,Calibration!$C:$C,10),
     C385="K",XLOOKUP("timeout_bino_normal",Calibration!$B:$B,Calibration!$C:$C,14),
     OR(C385="P",C385="Q",C385="R"),XLOOKUP("timeout_near_normal",Calibration!$B:$B,Calibration!$C:$C,22),
     TRUE,XLOOKUP("timeout_coarse_normal",Calibration!$B:$B,Calibration!$C:$C,36)
   ),
 TRUE,
   IFS(
     OR(C385="B",C385="D"),XLOOKUP("timeout_coarse_slow",Calibration!$B:$B,Calibration!$C:$C,48),
     OR(C385="E",C385="F",C385="H",C385="I"),XLOOKUP("timeout_jcc_slow",Calibration!$B:$B,Calibration!$C:$C,18),
     OR(C385="G",C385="J"),XLOOKUP("timeout_duochrome_slow",Calibration!$B:$B,Calibration!$C:$C,12),
     C385="K",XLOOKUP("timeout_bino_slow",Calibration!$B:$B,Calibration!$C:$C,18),
     OR(C385="P",C385="Q",C385="R"),XLOOKUP("timeout_near_slow",Calibration!$B:$B,Calibration!$C:$C,28),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AJ385=TRUE,"ESCALATE",
C385="A",
IF(OR(I385="NOT_READABLE",I385="BLURRY",AND(R385="20_20_20",I385="READABLE")),"B","A"),
C385="B",
IF(reEsc,"ESCALATE",IF(AY385&gt;=phaseMax,"ESCALATE",IF(AND(AV385&gt;=AW385,I385="READABLE"),"E","B"))),
C385="E",
IF(AY385&gt;=phaseMax,"ESCALATE",IF(OR(I385="SAME",I385="CANT_TELL",AD385&lt;axisTol),"F","E")),
C385="F",
IF(AY385&gt;=phaseMax,"ESCALATE",IF(AX385&gt;=powerSameN,"G","F")),
C385="G",
IF(AY385&gt;=phaseMax,"ESCALATE",IF(OR(AX385&gt;=duoEqualN,BB385&gt;=duoMax),"D","G")),
C385="D",
IF(leEsc,"ESCALATE",IF(AY385&gt;=phaseMax,"ESCALATE",IF(AND(AV385&gt;=AW385,I385="READABLE"),"H","D"))),
C385="H",
IF(AY385&gt;=phaseMax,"ESCALATE",IF(OR(I385="SAME",I385="CANT_TELL",AD385&lt;axisTol),"I","H")),
C385="I",
IF(AY385&gt;=phaseMax,"ESCALATE",IF(AX385&gt;=powerSameN,"J","I")),
C385="J",
IF(AY385&gt;=phaseMax,"ESCALATE",IF(OR(AX385&gt;=duoEqualN,BB385&gt;=duoMax),"K","J")),
C385="K",
IF(AY385&gt;=phaseMax,"ESCALATE",IF(AX385&gt;=binoSameN,IF(XLOOKUP($B385,Derived_Variables!$A:$A,Derived_Variables!$AJ:$AJ,FALSE)=TRUE,"P","END"),"K")),
C385="P",
IF(AY385&gt;=phaseMax,"ESCALATE",IF(OR(I385="READABLE",I385="SAME"),"Q","P")),
C385="Q",
IF(AY385&gt;=phaseMax,"ESCALATE",IF(OR(I385="READABLE",I385="SAME"),"R","Q")),
C385="R",
IF(AY385&gt;=phaseMax,"ESCALATE",IF(OR(I385=nearTarget,I385="SAME"),"END","R")),
TRUE,"END"
)))</f>
        <v/>
      </c>
      <c r="BD385" s="28" t="b">
        <f t="shared" si="19"/>
        <v>0</v>
      </c>
    </row>
    <row r="386" ht="15.75" customHeight="1">
      <c r="A386" s="28">
        <f t="shared" si="3"/>
        <v>385</v>
      </c>
      <c r="B386" s="28">
        <f t="shared" si="4"/>
        <v>6</v>
      </c>
      <c r="C386" s="28" t="str">
        <f t="shared" si="5"/>
        <v/>
      </c>
      <c r="D386" s="28" t="str">
        <f t="array" ref="D386">IF($I385="","",XLOOKUP(C386,FSM_State_Map!A:A,FSM_State_Map!B:B,""))</f>
        <v/>
      </c>
      <c r="E386" s="28" t="str">
        <f t="array" ref="E386">IF($I385="","",XLOOKUP(C386,FSM_State_Map!A:A,FSM_State_Map!C:C,""))</f>
        <v/>
      </c>
      <c r="F386" s="28" t="str">
        <f t="array" ref="F386">IF($I385="","",XLOOKUP(E386,Phase_UI_Map!A:A,Phase_UI_Map!B:B,""))</f>
        <v/>
      </c>
      <c r="G386" s="28" t="str">
        <f t="array" ref="G386">IF($I385="","",XLOOKUP(E386,Phase_UI_Map!A:A,Phase_UI_Map!C:C,""))</f>
        <v/>
      </c>
      <c r="H386" s="28" t="str">
        <f t="array" ref="H386">IF($I385="","",XLOOKUP(E386,Phase_UI_Map!A:A,Phase_UI_Map!D:D,""))</f>
        <v/>
      </c>
      <c r="I386" s="29"/>
      <c r="J386" s="28" t="str">
        <f>IFERROR(__xludf.DUMMYFUNCTION("IF($I385="""","""",IFERROR(INDEX(FILTER(Response_Lists!$B:$B,Response_Lists!$A:$A=$H386),1),""""))"),"")</f>
        <v/>
      </c>
      <c r="K386" s="28" t="str">
        <f>IFERROR(__xludf.DUMMYFUNCTION("IF($I385="""","""",IFERROR(INDEX(FILTER(Response_Lists!$B:$B,Response_Lists!$A:$A=$H386),2),""""))"),"")</f>
        <v/>
      </c>
      <c r="L386" s="28" t="str">
        <f>IFERROR(__xludf.DUMMYFUNCTION("IF($I385="""","""",IFERROR(INDEX(FILTER(Response_Lists!$B:$B,Response_Lists!$A:$A=$H386),3),""""))"),"")</f>
        <v/>
      </c>
      <c r="M386" s="28" t="str">
        <f>IFERROR(__xludf.DUMMYFUNCTION("IF($I385="""","""",IFERROR(INDEX(FILTER(Response_Lists!$B:$B,Response_Lists!$A:$A=$H386),4),""""))"),"")</f>
        <v/>
      </c>
      <c r="N386" s="28" t="str">
        <f>IFERROR(__xludf.DUMMYFUNCTION("IF($I385="""","""",IFERROR(INDEX(FILTER(Response_Lists!$B:$B,Response_Lists!$A:$A=$H386),5),""""))"),"")</f>
        <v/>
      </c>
      <c r="O386" s="28" t="str">
        <f>IFERROR(__xludf.DUMMYFUNCTION("IF($I385="""","""",IFERROR(INDEX(FILTER(Response_Lists!$B:$B,Response_Lists!$A:$A=$H386),6),""""))"),"")</f>
        <v/>
      </c>
      <c r="P386" s="28" t="str">
        <f t="shared" si="6"/>
        <v/>
      </c>
      <c r="Q386" s="28" t="str">
        <f t="array" ref="Q386">IF($I385="","",XLOOKUP(C386,FSM_State_Map!A:A,FSM_State_Map!D:D,""))</f>
        <v/>
      </c>
      <c r="R386" s="28" t="str">
        <f t="shared" si="7"/>
        <v/>
      </c>
      <c r="S386" s="28" t="str">
        <f t="array" ref="S386">IF($I385="","",
IF(
  AND(C386="B",C385&lt;&gt;"B"),
  XLOOKUP($B386,Derived_Variables!$A:$A,Derived_Variables!$K:$K,0)
  + XLOOKUP($B386,Derived_Variables!$A:$A,Derived_Variables!$AE:$AE,0),
  S385+AM385
))</f>
        <v/>
      </c>
      <c r="T386" s="28" t="str">
        <f t="shared" ref="T386:U386" si="782">IF($I385="","",T385+AN385)</f>
        <v/>
      </c>
      <c r="U386" s="28" t="str">
        <f t="shared" si="782"/>
        <v/>
      </c>
      <c r="V386" s="28" t="str">
        <f t="array" ref="V386">IF($I385="","",
IF(
  AND(C386="D",C385&lt;&gt;"D"),
  XLOOKUP($B386,Derived_Variables!$A:$A,Derived_Variables!$N:$N,0)
  + XLOOKUP($B386,Derived_Variables!$A:$A,Derived_Variables!$AE:$AE,0),
  V385+AP385
))</f>
        <v/>
      </c>
      <c r="W386" s="28" t="str">
        <f t="shared" ref="W386:X386" si="783">IF($I385="","",W385+AQ385)</f>
        <v/>
      </c>
      <c r="X386" s="28" t="str">
        <f t="shared" si="783"/>
        <v/>
      </c>
      <c r="Y386" s="28" t="str">
        <f t="array" ref="Y386">IF($I385="","",IF(AND(C386="P",C385&lt;&gt;"P"),IFERROR(XLOOKUP($B386,Lenso_Input!$A:$A,Lenso_Input!$E:$E,0),0),Y385+AS385))</f>
        <v/>
      </c>
      <c r="Z386" s="28" t="str">
        <f t="array" ref="Z386">IF($I385="","",IF(AND(C386="Q",C385&lt;&gt;"Q"),IFERROR(XLOOKUP($B386,Lenso_Input!$A:$A,Lenso_Input!$I:$I,0),0),Z385+AT385))</f>
        <v/>
      </c>
      <c r="AA386" s="28" t="str">
        <f t="array" ref="AA386">IF($I385="","",IF(XLOOKUP($B386,Derived_Variables!$A:$A,Derived_Variables!$R:$R,"6/6_target")="6/6_target","20_20_20","40_30_25"))</f>
        <v/>
      </c>
      <c r="AB386" s="28" t="str">
        <f t="array" ref="AB386">IF($I385="","",XLOOKUP(LOWER(XLOOKUP($B386,Derived_Variables!$A:$A,Derived_Variables!$T:$T,"Standard"))&amp;"_sph_step",Calibration!$B:$B,Calibration!$C:$C,0.25))</f>
        <v/>
      </c>
      <c r="AC386" s="28" t="str">
        <f t="array" ref="AC386">IF($I385="","",XLOOKUP(LOWER(XLOOKUP($B386,Derived_Variables!$A:$A,Derived_Variables!$T:$T,"Standard"))&amp;"_cyl_step",Calibration!$B:$B,Calibration!$C:$C,0.25))</f>
        <v/>
      </c>
      <c r="AD386" s="28" t="str">
        <f t="array" ref="AD386">IF($I385="","",IF(OR(C386="E",C386="H"),LET(startStep,XLOOKUP("axis_start_step",Calibration!$B:$B,Calibration!$C:$C,5),step1,XLOOKUP("axis_reversal_step_1",Calibration!$B:$B,Calibration!$C:$C,3),step2,XLOOKUP("axis_reversal_step_2",Calibration!$B:$B,Calibration!$C:$C,1),IF(OR(C385&lt;&gt;C386,AZ386="",AZ386="SAME",AZ386="CANT_TELL",I386="",I386="SAME",I386="CANT_TELL"),startStep,IF(OR(AND(AZ386="BETTER_1",I386="BETTER_2"),AND(AZ386="BETTER_2",I386="BETTER_1")),IF(AD385&gt;step1,step1,step2),AD385))),0))</f>
        <v/>
      </c>
      <c r="AE386" s="28" t="str">
        <f t="array" ref="AE386">IF($I385="","",XLOOKUP($B386,Derived_Variables!$A:$A,Derived_Variables!$AD:$AD,"No_Fog"))</f>
        <v/>
      </c>
      <c r="AF386" s="28" t="str">
        <f t="array" ref="AF386">IF($I385="","",XLOOKUP($B386,Derived_Variables!$A:$A,Derived_Variables!$AE:$AE,0))</f>
        <v/>
      </c>
      <c r="AG386" s="28" t="str">
        <f t="array" ref="AG386">IF($I385="","",XLOOKUP($B386,Derived_Variables!$A:$A,Derived_Variables!$AF:$AF,""))</f>
        <v/>
      </c>
      <c r="AH386" s="28" t="str">
        <f t="array" ref="AH386">IF($I385="","",XLOOKUP($B386,Derived_Variables!$A:$A,Derived_Variables!$AG:$AG,""))</f>
        <v/>
      </c>
      <c r="AI386" s="28" t="str">
        <f t="array" ref="AI386">IF($I385="","",XLOOKUP($B386,Derived_Variables!$A:$A,Derived_Variables!$AC:$AC,"Medium"))</f>
        <v/>
      </c>
      <c r="AJ386" s="28" t="str">
        <f t="array" ref="AJ386">IF($I385="","",XLOOKUP($B386,Derived_Variables!$A:$A,Derived_Variables!$Y:$Y,FALSE))</f>
        <v/>
      </c>
      <c r="AK386" s="28" t="str">
        <f t="array" ref="AK386">IF($I385="","",XLOOKUP($B386,Derived_Variables!$A:$A,Derived_Variables!$AA:$AA,"Normal"))</f>
        <v/>
      </c>
      <c r="AL386" s="28" t="str">
        <f t="array" ref="AL386">IF($I385="","",XLOOKUP($B386,Derived_Variables!$A:$A,Derived_Variables!$AB:$AB,"Normal"))</f>
        <v/>
      </c>
      <c r="AM386" s="28" t="str">
        <f t="array" ref="AM386">IF($I386="","",IFS(C386="B",IF(OR(I386="NOT_READABLE",I386="BLURRY"),-AB386,0),C386="G",IFS(I386="RED_CLEARER",XLOOKUP("duochrome_red_step",Calibration!$B:$B,Calibration!$C:$C,-0.25),I386="GREEN_CLEARER",XLOOKUP("duochrome_green_step",Calibration!$B:$B,Calibration!$C:$C,0.25),I386="EQUAL",IF(XLOOKUP($B386,Derived_Variables!$A:$A,Derived_Variables!$S:$S,"Neutral")="Undercorrect",XLOOKUP("undercorrect_step",Calibration!$B:$B,Calibration!$C:$C,0.25),IF(XLOOKUP($B386,Derived_Variables!$A:$A,Derived_Variables!$S:$S,"Neutral")="Overcorrect",-XLOOKUP("overcorrect_step",Calibration!$B:$B,Calibration!$C:$C,0.25),0)),TRUE,0),C386="K",IF(I386="TOP_CLEARER",XLOOKUP("bino_balance_step",Calibration!$B:$B,Calibration!$C:$C,0.25),0),TRUE,0))</f>
        <v/>
      </c>
      <c r="AN386" s="28" t="str">
        <f t="shared" si="10"/>
        <v/>
      </c>
      <c r="AO386" s="28" t="str">
        <f t="shared" si="11"/>
        <v/>
      </c>
      <c r="AP386" s="28" t="str">
        <f t="array" ref="AP386">IF($I386="","",IFS(C386="D",IF(OR(I386="NOT_READABLE",I386="BLURRY"),-AB386,0),C386="J",IFS(I386="RED_CLEARER",XLOOKUP("duochrome_red_step",Calibration!$B:$B,Calibration!$C:$C,-0.25),I386="GREEN_CLEARER",XLOOKUP("duochrome_green_step",Calibration!$B:$B,Calibration!$C:$C,0.25),I386="EQUAL",IF(XLOOKUP($B386,Derived_Variables!$A:$A,Derived_Variables!$S:$S,"Neutral")="Undercorrect",XLOOKUP("undercorrect_step",Calibration!$B:$B,Calibration!$C:$C,0.25),IF(XLOOKUP($B386,Derived_Variables!$A:$A,Derived_Variables!$S:$S,"Neutral")="Overcorrect",-XLOOKUP("overcorrect_step",Calibration!$B:$B,Calibration!$C:$C,0.25),0)),TRUE,0),C386="K",IF(I386="BOTTOM_CLEARER",XLOOKUP("bino_balance_step",Calibration!$B:$B,Calibration!$C:$C,0.25),0),TRUE,0))</f>
        <v/>
      </c>
      <c r="AQ386" s="28" t="str">
        <f t="shared" si="12"/>
        <v/>
      </c>
      <c r="AR386" s="28" t="str">
        <f t="shared" si="13"/>
        <v/>
      </c>
      <c r="AS386" s="28" t="str">
        <f t="array" ref="AS386">IF($I386="","",IF(C386="P",IF(OR(I386="NOT_READABLE",I386="BLURRY"),XLOOKUP("near_add_step",Calibration!$B:$B,Calibration!$C:$C,0.25),0),IF(C386="R",IF(I386="NOT_CLEAR",XLOOKUP("near_add_step",Calibration!$B:$B,Calibration!$C:$C,0.25),0),0)))</f>
        <v/>
      </c>
      <c r="AT386" s="28" t="str">
        <f t="array" ref="AT386">IF($I386="","",IF(C386="Q",IF(OR(I386="NOT_READABLE",I386="BLURRY"),XLOOKUP("near_add_step",Calibration!$B:$B,Calibration!$C:$C,0.25),0),IF(C386="R",IF(I386="NOT_CLEAR",XLOOKUP("near_add_step",Calibration!$B:$B,Calibration!$C:$C,0.25),0),0)))</f>
        <v/>
      </c>
      <c r="AU386" s="28" t="str">
        <f t="array" ref="AU386">IF($I386="","",IF(G386="SNELLEN_FEET",IF(I386="READABLE",IFERROR(XLOOKUP(XLOOKUP(R386,Chart_Scale_Distance!B:B,Chart_Scale_Distance!A:A)+1,Chart_Scale_Distance!A:A,Chart_Scale_Distance!B:B),R386),R386),R386))</f>
        <v/>
      </c>
      <c r="AV386" s="28" t="str">
        <f t="array" ref="AV386">IF($I385="","",IFERROR(XLOOKUP(R386,Chart_Scale_Distance!$B:$B,Chart_Scale_Distance!$A:$A,""),""))</f>
        <v/>
      </c>
      <c r="AW386" s="28" t="str">
        <f t="array" ref="AW386">IF($I385="","",IFERROR(XLOOKUP(AA386,Chart_Scale_Distance!$B:$B,Chart_Scale_Distance!$A:$A,""),""))</f>
        <v/>
      </c>
      <c r="AX386" s="28" t="str">
        <f t="shared" si="14"/>
        <v/>
      </c>
      <c r="AY386" s="28" t="str">
        <f t="shared" si="15"/>
        <v/>
      </c>
      <c r="AZ386" s="28" t="str">
        <f t="shared" si="16"/>
        <v/>
      </c>
      <c r="BA386" s="28" t="str">
        <f t="shared" si="17"/>
        <v/>
      </c>
      <c r="BB386" s="28" t="str">
        <f t="shared" si="18"/>
        <v/>
      </c>
      <c r="BC386" s="28" t="str">
        <f t="array" ref="BC386">IF($I386="","",LET(
conf,AI386,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duoMax,XLOOKUP($B386,Derived_Variables!$A:$A,Derived_Variables!$AI:$AI,4),
axisTol,XLOOKUP($B386,Derived_Variables!$A:$A,Derived_Variables!$W:$W,1),
maxStart,XLOOKUP($B386,Derived_Variables!$A:$A,Derived_Variables!$U:$U,1.25),
maxAR,XLOOKUP($B386,Derived_Variables!$A:$A,Derived_Variables!$V:$V,3),
anom,XLOOKUP($B386,Derived_Variables!$A:$A,Derived_Variables!$Z:$Z,FALSE),
reStart,XLOOKUP($B386,Derived_Variables!$A:$A,Derived_Variables!$K:$K,0),
leStart,XLOOKUP($B386,Derived_Variables!$A:$A,Derived_Variables!$N:$N,0),
reAR,XLOOKUP($B386,AR_Input!$A:$A,AR_Input!$B:$B,reStart),
leAR,XLOOKUP($B386,AR_Input!$A:$A,AR_Input!$E:$E,leStart),
reEsc,AND(anom,OR(ABS((S386+AM386)-reStart)&gt;maxStart,ABS((S386+AM386)-reAR)&gt;maxAR)),
leEsc,AND(anom,OR(ABS((V386+AP386)-leStart)&gt;maxStart,ABS((V386+AP386)-leAR)&gt;maxAR)),
phaseMax,IFS(
 AK386="Fast",
   IFS(
     OR(C386="B",C386="D"),XLOOKUP("timeout_coarse_fast",Calibration!$B:$B,Calibration!$C:$C,24),
     OR(C386="E",C386="F",C386="H",C386="I"),XLOOKUP("timeout_jcc_fast",Calibration!$B:$B,Calibration!$C:$C,10),
     OR(C386="G",C386="J"),XLOOKUP("timeout_duochrome_fast",Calibration!$B:$B,Calibration!$C:$C,8),
     C386="K",XLOOKUP("timeout_bino_fast",Calibration!$B:$B,Calibration!$C:$C,10),
     OR(C386="P",C386="Q",C386="R"),XLOOKUP("timeout_near_fast",Calibration!$B:$B,Calibration!$C:$C,16),
     TRUE,XLOOKUP("timeout_coarse_fast",Calibration!$B:$B,Calibration!$C:$C,24)
   ),
 AK386="Normal",
   IFS(
     OR(C386="B",C386="D"),XLOOKUP("timeout_coarse_normal",Calibration!$B:$B,Calibration!$C:$C,36),
     OR(C386="E",C386="F",C386="H",C386="I"),XLOOKUP("timeout_jcc_normal",Calibration!$B:$B,Calibration!$C:$C,14),
     OR(C386="G",C386="J"),XLOOKUP("timeout_duochrome_normal",Calibration!$B:$B,Calibration!$C:$C,10),
     C386="K",XLOOKUP("timeout_bino_normal",Calibration!$B:$B,Calibration!$C:$C,14),
     OR(C386="P",C386="Q",C386="R"),XLOOKUP("timeout_near_normal",Calibration!$B:$B,Calibration!$C:$C,22),
     TRUE,XLOOKUP("timeout_coarse_normal",Calibration!$B:$B,Calibration!$C:$C,36)
   ),
 TRUE,
   IFS(
     OR(C386="B",C386="D"),XLOOKUP("timeout_coarse_slow",Calibration!$B:$B,Calibration!$C:$C,48),
     OR(C386="E",C386="F",C386="H",C386="I"),XLOOKUP("timeout_jcc_slow",Calibration!$B:$B,Calibration!$C:$C,18),
     OR(C386="G",C386="J"),XLOOKUP("timeout_duochrome_slow",Calibration!$B:$B,Calibration!$C:$C,12),
     C386="K",XLOOKUP("timeout_bino_slow",Calibration!$B:$B,Calibration!$C:$C,18),
     OR(C386="P",C386="Q",C386="R"),XLOOKUP("timeout_near_slow",Calibration!$B:$B,Calibration!$C:$C,28),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AJ386=TRUE,"ESCALATE",
C386="A",
IF(OR(I386="NOT_READABLE",I386="BLURRY",AND(R386="20_20_20",I386="READABLE")),"B","A"),
C386="B",
IF(reEsc,"ESCALATE",IF(AY386&gt;=phaseMax,"ESCALATE",IF(AND(AV386&gt;=AW386,I386="READABLE"),"E","B"))),
C386="E",
IF(AY386&gt;=phaseMax,"ESCALATE",IF(OR(I386="SAME",I386="CANT_TELL",AD386&lt;axisTol),"F","E")),
C386="F",
IF(AY386&gt;=phaseMax,"ESCALATE",IF(AX386&gt;=powerSameN,"G","F")),
C386="G",
IF(AY386&gt;=phaseMax,"ESCALATE",IF(OR(AX386&gt;=duoEqualN,BB386&gt;=duoMax),"D","G")),
C386="D",
IF(leEsc,"ESCALATE",IF(AY386&gt;=phaseMax,"ESCALATE",IF(AND(AV386&gt;=AW386,I386="READABLE"),"H","D"))),
C386="H",
IF(AY386&gt;=phaseMax,"ESCALATE",IF(OR(I386="SAME",I386="CANT_TELL",AD386&lt;axisTol),"I","H")),
C386="I",
IF(AY386&gt;=phaseMax,"ESCALATE",IF(AX386&gt;=powerSameN,"J","I")),
C386="J",
IF(AY386&gt;=phaseMax,"ESCALATE",IF(OR(AX386&gt;=duoEqualN,BB386&gt;=duoMax),"K","J")),
C386="K",
IF(AY386&gt;=phaseMax,"ESCALATE",IF(AX386&gt;=binoSameN,IF(XLOOKUP($B386,Derived_Variables!$A:$A,Derived_Variables!$AJ:$AJ,FALSE)=TRUE,"P","END"),"K")),
C386="P",
IF(AY386&gt;=phaseMax,"ESCALATE",IF(OR(I386="READABLE",I386="SAME"),"Q","P")),
C386="Q",
IF(AY386&gt;=phaseMax,"ESCALATE",IF(OR(I386="READABLE",I386="SAME"),"R","Q")),
C386="R",
IF(AY386&gt;=phaseMax,"ESCALATE",IF(OR(I386=nearTarget,I386="SAME"),"END","R")),
TRUE,"END"
)))</f>
        <v/>
      </c>
      <c r="BD386" s="28" t="b">
        <f t="shared" si="19"/>
        <v>0</v>
      </c>
    </row>
    <row r="387" ht="15.75" customHeight="1">
      <c r="A387" s="28">
        <f t="shared" si="3"/>
        <v>386</v>
      </c>
      <c r="B387" s="28">
        <f t="shared" si="4"/>
        <v>6</v>
      </c>
      <c r="C387" s="28" t="str">
        <f t="shared" si="5"/>
        <v/>
      </c>
      <c r="D387" s="28" t="str">
        <f t="array" ref="D387">IF($I386="","",XLOOKUP(C387,FSM_State_Map!A:A,FSM_State_Map!B:B,""))</f>
        <v/>
      </c>
      <c r="E387" s="28" t="str">
        <f t="array" ref="E387">IF($I386="","",XLOOKUP(C387,FSM_State_Map!A:A,FSM_State_Map!C:C,""))</f>
        <v/>
      </c>
      <c r="F387" s="28" t="str">
        <f t="array" ref="F387">IF($I386="","",XLOOKUP(E387,Phase_UI_Map!A:A,Phase_UI_Map!B:B,""))</f>
        <v/>
      </c>
      <c r="G387" s="28" t="str">
        <f t="array" ref="G387">IF($I386="","",XLOOKUP(E387,Phase_UI_Map!A:A,Phase_UI_Map!C:C,""))</f>
        <v/>
      </c>
      <c r="H387" s="28" t="str">
        <f t="array" ref="H387">IF($I386="","",XLOOKUP(E387,Phase_UI_Map!A:A,Phase_UI_Map!D:D,""))</f>
        <v/>
      </c>
      <c r="I387" s="29"/>
      <c r="J387" s="28" t="str">
        <f>IFERROR(__xludf.DUMMYFUNCTION("IF($I386="""","""",IFERROR(INDEX(FILTER(Response_Lists!$B:$B,Response_Lists!$A:$A=$H387),1),""""))"),"")</f>
        <v/>
      </c>
      <c r="K387" s="28" t="str">
        <f>IFERROR(__xludf.DUMMYFUNCTION("IF($I386="""","""",IFERROR(INDEX(FILTER(Response_Lists!$B:$B,Response_Lists!$A:$A=$H387),2),""""))"),"")</f>
        <v/>
      </c>
      <c r="L387" s="28" t="str">
        <f>IFERROR(__xludf.DUMMYFUNCTION("IF($I386="""","""",IFERROR(INDEX(FILTER(Response_Lists!$B:$B,Response_Lists!$A:$A=$H387),3),""""))"),"")</f>
        <v/>
      </c>
      <c r="M387" s="28" t="str">
        <f>IFERROR(__xludf.DUMMYFUNCTION("IF($I386="""","""",IFERROR(INDEX(FILTER(Response_Lists!$B:$B,Response_Lists!$A:$A=$H387),4),""""))"),"")</f>
        <v/>
      </c>
      <c r="N387" s="28" t="str">
        <f>IFERROR(__xludf.DUMMYFUNCTION("IF($I386="""","""",IFERROR(INDEX(FILTER(Response_Lists!$B:$B,Response_Lists!$A:$A=$H387),5),""""))"),"")</f>
        <v/>
      </c>
      <c r="O387" s="28" t="str">
        <f>IFERROR(__xludf.DUMMYFUNCTION("IF($I386="""","""",IFERROR(INDEX(FILTER(Response_Lists!$B:$B,Response_Lists!$A:$A=$H387),6),""""))"),"")</f>
        <v/>
      </c>
      <c r="P387" s="28" t="str">
        <f t="shared" si="6"/>
        <v/>
      </c>
      <c r="Q387" s="28" t="str">
        <f t="array" ref="Q387">IF($I386="","",XLOOKUP(C387,FSM_State_Map!A:A,FSM_State_Map!D:D,""))</f>
        <v/>
      </c>
      <c r="R387" s="28" t="str">
        <f t="shared" si="7"/>
        <v/>
      </c>
      <c r="S387" s="28" t="str">
        <f t="array" ref="S387">IF($I386="","",
IF(
  AND(C387="B",C386&lt;&gt;"B"),
  XLOOKUP($B387,Derived_Variables!$A:$A,Derived_Variables!$K:$K,0)
  + XLOOKUP($B387,Derived_Variables!$A:$A,Derived_Variables!$AE:$AE,0),
  S386+AM386
))</f>
        <v/>
      </c>
      <c r="T387" s="28" t="str">
        <f t="shared" ref="T387:U387" si="784">IF($I386="","",T386+AN386)</f>
        <v/>
      </c>
      <c r="U387" s="28" t="str">
        <f t="shared" si="784"/>
        <v/>
      </c>
      <c r="V387" s="28" t="str">
        <f t="array" ref="V387">IF($I386="","",
IF(
  AND(C387="D",C386&lt;&gt;"D"),
  XLOOKUP($B387,Derived_Variables!$A:$A,Derived_Variables!$N:$N,0)
  + XLOOKUP($B387,Derived_Variables!$A:$A,Derived_Variables!$AE:$AE,0),
  V386+AP386
))</f>
        <v/>
      </c>
      <c r="W387" s="28" t="str">
        <f t="shared" ref="W387:X387" si="785">IF($I386="","",W386+AQ386)</f>
        <v/>
      </c>
      <c r="X387" s="28" t="str">
        <f t="shared" si="785"/>
        <v/>
      </c>
      <c r="Y387" s="28" t="str">
        <f t="array" ref="Y387">IF($I386="","",IF(AND(C387="P",C386&lt;&gt;"P"),IFERROR(XLOOKUP($B387,Lenso_Input!$A:$A,Lenso_Input!$E:$E,0),0),Y386+AS386))</f>
        <v/>
      </c>
      <c r="Z387" s="28" t="str">
        <f t="array" ref="Z387">IF($I386="","",IF(AND(C387="Q",C386&lt;&gt;"Q"),IFERROR(XLOOKUP($B387,Lenso_Input!$A:$A,Lenso_Input!$I:$I,0),0),Z386+AT386))</f>
        <v/>
      </c>
      <c r="AA387" s="28" t="str">
        <f t="array" ref="AA387">IF($I386="","",IF(XLOOKUP($B387,Derived_Variables!$A:$A,Derived_Variables!$R:$R,"6/6_target")="6/6_target","20_20_20","40_30_25"))</f>
        <v/>
      </c>
      <c r="AB387" s="28" t="str">
        <f t="array" ref="AB387">IF($I386="","",XLOOKUP(LOWER(XLOOKUP($B387,Derived_Variables!$A:$A,Derived_Variables!$T:$T,"Standard"))&amp;"_sph_step",Calibration!$B:$B,Calibration!$C:$C,0.25))</f>
        <v/>
      </c>
      <c r="AC387" s="28" t="str">
        <f t="array" ref="AC387">IF($I386="","",XLOOKUP(LOWER(XLOOKUP($B387,Derived_Variables!$A:$A,Derived_Variables!$T:$T,"Standard"))&amp;"_cyl_step",Calibration!$B:$B,Calibration!$C:$C,0.25))</f>
        <v/>
      </c>
      <c r="AD387" s="28" t="str">
        <f t="array" ref="AD387">IF($I386="","",IF(OR(C387="E",C387="H"),LET(startStep,XLOOKUP("axis_start_step",Calibration!$B:$B,Calibration!$C:$C,5),step1,XLOOKUP("axis_reversal_step_1",Calibration!$B:$B,Calibration!$C:$C,3),step2,XLOOKUP("axis_reversal_step_2",Calibration!$B:$B,Calibration!$C:$C,1),IF(OR(C386&lt;&gt;C387,AZ387="",AZ387="SAME",AZ387="CANT_TELL",I387="",I387="SAME",I387="CANT_TELL"),startStep,IF(OR(AND(AZ387="BETTER_1",I387="BETTER_2"),AND(AZ387="BETTER_2",I387="BETTER_1")),IF(AD386&gt;step1,step1,step2),AD386))),0))</f>
        <v/>
      </c>
      <c r="AE387" s="28" t="str">
        <f t="array" ref="AE387">IF($I386="","",XLOOKUP($B387,Derived_Variables!$A:$A,Derived_Variables!$AD:$AD,"No_Fog"))</f>
        <v/>
      </c>
      <c r="AF387" s="28" t="str">
        <f t="array" ref="AF387">IF($I386="","",XLOOKUP($B387,Derived_Variables!$A:$A,Derived_Variables!$AE:$AE,0))</f>
        <v/>
      </c>
      <c r="AG387" s="28" t="str">
        <f t="array" ref="AG387">IF($I386="","",XLOOKUP($B387,Derived_Variables!$A:$A,Derived_Variables!$AF:$AF,""))</f>
        <v/>
      </c>
      <c r="AH387" s="28" t="str">
        <f t="array" ref="AH387">IF($I386="","",XLOOKUP($B387,Derived_Variables!$A:$A,Derived_Variables!$AG:$AG,""))</f>
        <v/>
      </c>
      <c r="AI387" s="28" t="str">
        <f t="array" ref="AI387">IF($I386="","",XLOOKUP($B387,Derived_Variables!$A:$A,Derived_Variables!$AC:$AC,"Medium"))</f>
        <v/>
      </c>
      <c r="AJ387" s="28" t="str">
        <f t="array" ref="AJ387">IF($I386="","",XLOOKUP($B387,Derived_Variables!$A:$A,Derived_Variables!$Y:$Y,FALSE))</f>
        <v/>
      </c>
      <c r="AK387" s="28" t="str">
        <f t="array" ref="AK387">IF($I386="","",XLOOKUP($B387,Derived_Variables!$A:$A,Derived_Variables!$AA:$AA,"Normal"))</f>
        <v/>
      </c>
      <c r="AL387" s="28" t="str">
        <f t="array" ref="AL387">IF($I386="","",XLOOKUP($B387,Derived_Variables!$A:$A,Derived_Variables!$AB:$AB,"Normal"))</f>
        <v/>
      </c>
      <c r="AM387" s="28" t="str">
        <f t="array" ref="AM387">IF($I387="","",IFS(C387="B",IF(OR(I387="NOT_READABLE",I387="BLURRY"),-AB387,0),C387="G",IFS(I387="RED_CLEARER",XLOOKUP("duochrome_red_step",Calibration!$B:$B,Calibration!$C:$C,-0.25),I387="GREEN_CLEARER",XLOOKUP("duochrome_green_step",Calibration!$B:$B,Calibration!$C:$C,0.25),I387="EQUAL",IF(XLOOKUP($B387,Derived_Variables!$A:$A,Derived_Variables!$S:$S,"Neutral")="Undercorrect",XLOOKUP("undercorrect_step",Calibration!$B:$B,Calibration!$C:$C,0.25),IF(XLOOKUP($B387,Derived_Variables!$A:$A,Derived_Variables!$S:$S,"Neutral")="Overcorrect",-XLOOKUP("overcorrect_step",Calibration!$B:$B,Calibration!$C:$C,0.25),0)),TRUE,0),C387="K",IF(I387="TOP_CLEARER",XLOOKUP("bino_balance_step",Calibration!$B:$B,Calibration!$C:$C,0.25),0),TRUE,0))</f>
        <v/>
      </c>
      <c r="AN387" s="28" t="str">
        <f t="shared" si="10"/>
        <v/>
      </c>
      <c r="AO387" s="28" t="str">
        <f t="shared" si="11"/>
        <v/>
      </c>
      <c r="AP387" s="28" t="str">
        <f t="array" ref="AP387">IF($I387="","",IFS(C387="D",IF(OR(I387="NOT_READABLE",I387="BLURRY"),-AB387,0),C387="J",IFS(I387="RED_CLEARER",XLOOKUP("duochrome_red_step",Calibration!$B:$B,Calibration!$C:$C,-0.25),I387="GREEN_CLEARER",XLOOKUP("duochrome_green_step",Calibration!$B:$B,Calibration!$C:$C,0.25),I387="EQUAL",IF(XLOOKUP($B387,Derived_Variables!$A:$A,Derived_Variables!$S:$S,"Neutral")="Undercorrect",XLOOKUP("undercorrect_step",Calibration!$B:$B,Calibration!$C:$C,0.25),IF(XLOOKUP($B387,Derived_Variables!$A:$A,Derived_Variables!$S:$S,"Neutral")="Overcorrect",-XLOOKUP("overcorrect_step",Calibration!$B:$B,Calibration!$C:$C,0.25),0)),TRUE,0),C387="K",IF(I387="BOTTOM_CLEARER",XLOOKUP("bino_balance_step",Calibration!$B:$B,Calibration!$C:$C,0.25),0),TRUE,0))</f>
        <v/>
      </c>
      <c r="AQ387" s="28" t="str">
        <f t="shared" si="12"/>
        <v/>
      </c>
      <c r="AR387" s="28" t="str">
        <f t="shared" si="13"/>
        <v/>
      </c>
      <c r="AS387" s="28" t="str">
        <f t="array" ref="AS387">IF($I387="","",IF(C387="P",IF(OR(I387="NOT_READABLE",I387="BLURRY"),XLOOKUP("near_add_step",Calibration!$B:$B,Calibration!$C:$C,0.25),0),IF(C387="R",IF(I387="NOT_CLEAR",XLOOKUP("near_add_step",Calibration!$B:$B,Calibration!$C:$C,0.25),0),0)))</f>
        <v/>
      </c>
      <c r="AT387" s="28" t="str">
        <f t="array" ref="AT387">IF($I387="","",IF(C387="Q",IF(OR(I387="NOT_READABLE",I387="BLURRY"),XLOOKUP("near_add_step",Calibration!$B:$B,Calibration!$C:$C,0.25),0),IF(C387="R",IF(I387="NOT_CLEAR",XLOOKUP("near_add_step",Calibration!$B:$B,Calibration!$C:$C,0.25),0),0)))</f>
        <v/>
      </c>
      <c r="AU387" s="28" t="str">
        <f t="array" ref="AU387">IF($I387="","",IF(G387="SNELLEN_FEET",IF(I387="READABLE",IFERROR(XLOOKUP(XLOOKUP(R387,Chart_Scale_Distance!B:B,Chart_Scale_Distance!A:A)+1,Chart_Scale_Distance!A:A,Chart_Scale_Distance!B:B),R387),R387),R387))</f>
        <v/>
      </c>
      <c r="AV387" s="28" t="str">
        <f t="array" ref="AV387">IF($I386="","",IFERROR(XLOOKUP(R387,Chart_Scale_Distance!$B:$B,Chart_Scale_Distance!$A:$A,""),""))</f>
        <v/>
      </c>
      <c r="AW387" s="28" t="str">
        <f t="array" ref="AW387">IF($I386="","",IFERROR(XLOOKUP(AA387,Chart_Scale_Distance!$B:$B,Chart_Scale_Distance!$A:$A,""),""))</f>
        <v/>
      </c>
      <c r="AX387" s="28" t="str">
        <f t="shared" si="14"/>
        <v/>
      </c>
      <c r="AY387" s="28" t="str">
        <f t="shared" si="15"/>
        <v/>
      </c>
      <c r="AZ387" s="28" t="str">
        <f t="shared" si="16"/>
        <v/>
      </c>
      <c r="BA387" s="28" t="str">
        <f t="shared" si="17"/>
        <v/>
      </c>
      <c r="BB387" s="28" t="str">
        <f t="shared" si="18"/>
        <v/>
      </c>
      <c r="BC387" s="28" t="str">
        <f t="array" ref="BC387">IF($I387="","",LET(
conf,AI387,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duoMax,XLOOKUP($B387,Derived_Variables!$A:$A,Derived_Variables!$AI:$AI,4),
axisTol,XLOOKUP($B387,Derived_Variables!$A:$A,Derived_Variables!$W:$W,1),
maxStart,XLOOKUP($B387,Derived_Variables!$A:$A,Derived_Variables!$U:$U,1.25),
maxAR,XLOOKUP($B387,Derived_Variables!$A:$A,Derived_Variables!$V:$V,3),
anom,XLOOKUP($B387,Derived_Variables!$A:$A,Derived_Variables!$Z:$Z,FALSE),
reStart,XLOOKUP($B387,Derived_Variables!$A:$A,Derived_Variables!$K:$K,0),
leStart,XLOOKUP($B387,Derived_Variables!$A:$A,Derived_Variables!$N:$N,0),
reAR,XLOOKUP($B387,AR_Input!$A:$A,AR_Input!$B:$B,reStart),
leAR,XLOOKUP($B387,AR_Input!$A:$A,AR_Input!$E:$E,leStart),
reEsc,AND(anom,OR(ABS((S387+AM387)-reStart)&gt;maxStart,ABS((S387+AM387)-reAR)&gt;maxAR)),
leEsc,AND(anom,OR(ABS((V387+AP387)-leStart)&gt;maxStart,ABS((V387+AP387)-leAR)&gt;maxAR)),
phaseMax,IFS(
 AK387="Fast",
   IFS(
     OR(C387="B",C387="D"),XLOOKUP("timeout_coarse_fast",Calibration!$B:$B,Calibration!$C:$C,24),
     OR(C387="E",C387="F",C387="H",C387="I"),XLOOKUP("timeout_jcc_fast",Calibration!$B:$B,Calibration!$C:$C,10),
     OR(C387="G",C387="J"),XLOOKUP("timeout_duochrome_fast",Calibration!$B:$B,Calibration!$C:$C,8),
     C387="K",XLOOKUP("timeout_bino_fast",Calibration!$B:$B,Calibration!$C:$C,10),
     OR(C387="P",C387="Q",C387="R"),XLOOKUP("timeout_near_fast",Calibration!$B:$B,Calibration!$C:$C,16),
     TRUE,XLOOKUP("timeout_coarse_fast",Calibration!$B:$B,Calibration!$C:$C,24)
   ),
 AK387="Normal",
   IFS(
     OR(C387="B",C387="D"),XLOOKUP("timeout_coarse_normal",Calibration!$B:$B,Calibration!$C:$C,36),
     OR(C387="E",C387="F",C387="H",C387="I"),XLOOKUP("timeout_jcc_normal",Calibration!$B:$B,Calibration!$C:$C,14),
     OR(C387="G",C387="J"),XLOOKUP("timeout_duochrome_normal",Calibration!$B:$B,Calibration!$C:$C,10),
     C387="K",XLOOKUP("timeout_bino_normal",Calibration!$B:$B,Calibration!$C:$C,14),
     OR(C387="P",C387="Q",C387="R"),XLOOKUP("timeout_near_normal",Calibration!$B:$B,Calibration!$C:$C,22),
     TRUE,XLOOKUP("timeout_coarse_normal",Calibration!$B:$B,Calibration!$C:$C,36)
   ),
 TRUE,
   IFS(
     OR(C387="B",C387="D"),XLOOKUP("timeout_coarse_slow",Calibration!$B:$B,Calibration!$C:$C,48),
     OR(C387="E",C387="F",C387="H",C387="I"),XLOOKUP("timeout_jcc_slow",Calibration!$B:$B,Calibration!$C:$C,18),
     OR(C387="G",C387="J"),XLOOKUP("timeout_duochrome_slow",Calibration!$B:$B,Calibration!$C:$C,12),
     C387="K",XLOOKUP("timeout_bino_slow",Calibration!$B:$B,Calibration!$C:$C,18),
     OR(C387="P",C387="Q",C387="R"),XLOOKUP("timeout_near_slow",Calibration!$B:$B,Calibration!$C:$C,28),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AJ387=TRUE,"ESCALATE",
C387="A",
IF(OR(I387="NOT_READABLE",I387="BLURRY",AND(R387="20_20_20",I387="READABLE")),"B","A"),
C387="B",
IF(reEsc,"ESCALATE",IF(AY387&gt;=phaseMax,"ESCALATE",IF(AND(AV387&gt;=AW387,I387="READABLE"),"E","B"))),
C387="E",
IF(AY387&gt;=phaseMax,"ESCALATE",IF(OR(I387="SAME",I387="CANT_TELL",AD387&lt;axisTol),"F","E")),
C387="F",
IF(AY387&gt;=phaseMax,"ESCALATE",IF(AX387&gt;=powerSameN,"G","F")),
C387="G",
IF(AY387&gt;=phaseMax,"ESCALATE",IF(OR(AX387&gt;=duoEqualN,BB387&gt;=duoMax),"D","G")),
C387="D",
IF(leEsc,"ESCALATE",IF(AY387&gt;=phaseMax,"ESCALATE",IF(AND(AV387&gt;=AW387,I387="READABLE"),"H","D"))),
C387="H",
IF(AY387&gt;=phaseMax,"ESCALATE",IF(OR(I387="SAME",I387="CANT_TELL",AD387&lt;axisTol),"I","H")),
C387="I",
IF(AY387&gt;=phaseMax,"ESCALATE",IF(AX387&gt;=powerSameN,"J","I")),
C387="J",
IF(AY387&gt;=phaseMax,"ESCALATE",IF(OR(AX387&gt;=duoEqualN,BB387&gt;=duoMax),"K","J")),
C387="K",
IF(AY387&gt;=phaseMax,"ESCALATE",IF(AX387&gt;=binoSameN,IF(XLOOKUP($B387,Derived_Variables!$A:$A,Derived_Variables!$AJ:$AJ,FALSE)=TRUE,"P","END"),"K")),
C387="P",
IF(AY387&gt;=phaseMax,"ESCALATE",IF(OR(I387="READABLE",I387="SAME"),"Q","P")),
C387="Q",
IF(AY387&gt;=phaseMax,"ESCALATE",IF(OR(I387="READABLE",I387="SAME"),"R","Q")),
C387="R",
IF(AY387&gt;=phaseMax,"ESCALATE",IF(OR(I387=nearTarget,I387="SAME"),"END","R")),
TRUE,"END"
)))</f>
        <v/>
      </c>
      <c r="BD387" s="28" t="b">
        <f t="shared" si="19"/>
        <v>0</v>
      </c>
    </row>
    <row r="388" ht="15.75" customHeight="1">
      <c r="A388" s="28">
        <f t="shared" si="3"/>
        <v>387</v>
      </c>
      <c r="B388" s="28">
        <f t="shared" si="4"/>
        <v>6</v>
      </c>
      <c r="C388" s="28" t="str">
        <f t="shared" si="5"/>
        <v/>
      </c>
      <c r="D388" s="28" t="str">
        <f t="array" ref="D388">IF($I387="","",XLOOKUP(C388,FSM_State_Map!A:A,FSM_State_Map!B:B,""))</f>
        <v/>
      </c>
      <c r="E388" s="28" t="str">
        <f t="array" ref="E388">IF($I387="","",XLOOKUP(C388,FSM_State_Map!A:A,FSM_State_Map!C:C,""))</f>
        <v/>
      </c>
      <c r="F388" s="28" t="str">
        <f t="array" ref="F388">IF($I387="","",XLOOKUP(E388,Phase_UI_Map!A:A,Phase_UI_Map!B:B,""))</f>
        <v/>
      </c>
      <c r="G388" s="28" t="str">
        <f t="array" ref="G388">IF($I387="","",XLOOKUP(E388,Phase_UI_Map!A:A,Phase_UI_Map!C:C,""))</f>
        <v/>
      </c>
      <c r="H388" s="28" t="str">
        <f t="array" ref="H388">IF($I387="","",XLOOKUP(E388,Phase_UI_Map!A:A,Phase_UI_Map!D:D,""))</f>
        <v/>
      </c>
      <c r="I388" s="29"/>
      <c r="J388" s="28" t="str">
        <f>IFERROR(__xludf.DUMMYFUNCTION("IF($I387="""","""",IFERROR(INDEX(FILTER(Response_Lists!$B:$B,Response_Lists!$A:$A=$H388),1),""""))"),"")</f>
        <v/>
      </c>
      <c r="K388" s="28" t="str">
        <f>IFERROR(__xludf.DUMMYFUNCTION("IF($I387="""","""",IFERROR(INDEX(FILTER(Response_Lists!$B:$B,Response_Lists!$A:$A=$H388),2),""""))"),"")</f>
        <v/>
      </c>
      <c r="L388" s="28" t="str">
        <f>IFERROR(__xludf.DUMMYFUNCTION("IF($I387="""","""",IFERROR(INDEX(FILTER(Response_Lists!$B:$B,Response_Lists!$A:$A=$H388),3),""""))"),"")</f>
        <v/>
      </c>
      <c r="M388" s="28" t="str">
        <f>IFERROR(__xludf.DUMMYFUNCTION("IF($I387="""","""",IFERROR(INDEX(FILTER(Response_Lists!$B:$B,Response_Lists!$A:$A=$H388),4),""""))"),"")</f>
        <v/>
      </c>
      <c r="N388" s="28" t="str">
        <f>IFERROR(__xludf.DUMMYFUNCTION("IF($I387="""","""",IFERROR(INDEX(FILTER(Response_Lists!$B:$B,Response_Lists!$A:$A=$H388),5),""""))"),"")</f>
        <v/>
      </c>
      <c r="O388" s="28" t="str">
        <f>IFERROR(__xludf.DUMMYFUNCTION("IF($I387="""","""",IFERROR(INDEX(FILTER(Response_Lists!$B:$B,Response_Lists!$A:$A=$H388),6),""""))"),"")</f>
        <v/>
      </c>
      <c r="P388" s="28" t="str">
        <f t="shared" si="6"/>
        <v/>
      </c>
      <c r="Q388" s="28" t="str">
        <f t="array" ref="Q388">IF($I387="","",XLOOKUP(C388,FSM_State_Map!A:A,FSM_State_Map!D:D,""))</f>
        <v/>
      </c>
      <c r="R388" s="28" t="str">
        <f t="shared" si="7"/>
        <v/>
      </c>
      <c r="S388" s="28" t="str">
        <f t="array" ref="S388">IF($I387="","",
IF(
  AND(C388="B",C387&lt;&gt;"B"),
  XLOOKUP($B388,Derived_Variables!$A:$A,Derived_Variables!$K:$K,0)
  + XLOOKUP($B388,Derived_Variables!$A:$A,Derived_Variables!$AE:$AE,0),
  S387+AM387
))</f>
        <v/>
      </c>
      <c r="T388" s="28" t="str">
        <f t="shared" ref="T388:U388" si="786">IF($I387="","",T387+AN387)</f>
        <v/>
      </c>
      <c r="U388" s="28" t="str">
        <f t="shared" si="786"/>
        <v/>
      </c>
      <c r="V388" s="28" t="str">
        <f t="array" ref="V388">IF($I387="","",
IF(
  AND(C388="D",C387&lt;&gt;"D"),
  XLOOKUP($B388,Derived_Variables!$A:$A,Derived_Variables!$N:$N,0)
  + XLOOKUP($B388,Derived_Variables!$A:$A,Derived_Variables!$AE:$AE,0),
  V387+AP387
))</f>
        <v/>
      </c>
      <c r="W388" s="28" t="str">
        <f t="shared" ref="W388:X388" si="787">IF($I387="","",W387+AQ387)</f>
        <v/>
      </c>
      <c r="X388" s="28" t="str">
        <f t="shared" si="787"/>
        <v/>
      </c>
      <c r="Y388" s="28" t="str">
        <f t="array" ref="Y388">IF($I387="","",IF(AND(C388="P",C387&lt;&gt;"P"),IFERROR(XLOOKUP($B388,Lenso_Input!$A:$A,Lenso_Input!$E:$E,0),0),Y387+AS387))</f>
        <v/>
      </c>
      <c r="Z388" s="28" t="str">
        <f t="array" ref="Z388">IF($I387="","",IF(AND(C388="Q",C387&lt;&gt;"Q"),IFERROR(XLOOKUP($B388,Lenso_Input!$A:$A,Lenso_Input!$I:$I,0),0),Z387+AT387))</f>
        <v/>
      </c>
      <c r="AA388" s="28" t="str">
        <f t="array" ref="AA388">IF($I387="","",IF(XLOOKUP($B388,Derived_Variables!$A:$A,Derived_Variables!$R:$R,"6/6_target")="6/6_target","20_20_20","40_30_25"))</f>
        <v/>
      </c>
      <c r="AB388" s="28" t="str">
        <f t="array" ref="AB388">IF($I387="","",XLOOKUP(LOWER(XLOOKUP($B388,Derived_Variables!$A:$A,Derived_Variables!$T:$T,"Standard"))&amp;"_sph_step",Calibration!$B:$B,Calibration!$C:$C,0.25))</f>
        <v/>
      </c>
      <c r="AC388" s="28" t="str">
        <f t="array" ref="AC388">IF($I387="","",XLOOKUP(LOWER(XLOOKUP($B388,Derived_Variables!$A:$A,Derived_Variables!$T:$T,"Standard"))&amp;"_cyl_step",Calibration!$B:$B,Calibration!$C:$C,0.25))</f>
        <v/>
      </c>
      <c r="AD388" s="28" t="str">
        <f t="array" ref="AD388">IF($I387="","",IF(OR(C388="E",C388="H"),LET(startStep,XLOOKUP("axis_start_step",Calibration!$B:$B,Calibration!$C:$C,5),step1,XLOOKUP("axis_reversal_step_1",Calibration!$B:$B,Calibration!$C:$C,3),step2,XLOOKUP("axis_reversal_step_2",Calibration!$B:$B,Calibration!$C:$C,1),IF(OR(C387&lt;&gt;C388,AZ388="",AZ388="SAME",AZ388="CANT_TELL",I388="",I388="SAME",I388="CANT_TELL"),startStep,IF(OR(AND(AZ388="BETTER_1",I388="BETTER_2"),AND(AZ388="BETTER_2",I388="BETTER_1")),IF(AD387&gt;step1,step1,step2),AD387))),0))</f>
        <v/>
      </c>
      <c r="AE388" s="28" t="str">
        <f t="array" ref="AE388">IF($I387="","",XLOOKUP($B388,Derived_Variables!$A:$A,Derived_Variables!$AD:$AD,"No_Fog"))</f>
        <v/>
      </c>
      <c r="AF388" s="28" t="str">
        <f t="array" ref="AF388">IF($I387="","",XLOOKUP($B388,Derived_Variables!$A:$A,Derived_Variables!$AE:$AE,0))</f>
        <v/>
      </c>
      <c r="AG388" s="28" t="str">
        <f t="array" ref="AG388">IF($I387="","",XLOOKUP($B388,Derived_Variables!$A:$A,Derived_Variables!$AF:$AF,""))</f>
        <v/>
      </c>
      <c r="AH388" s="28" t="str">
        <f t="array" ref="AH388">IF($I387="","",XLOOKUP($B388,Derived_Variables!$A:$A,Derived_Variables!$AG:$AG,""))</f>
        <v/>
      </c>
      <c r="AI388" s="28" t="str">
        <f t="array" ref="AI388">IF($I387="","",XLOOKUP($B388,Derived_Variables!$A:$A,Derived_Variables!$AC:$AC,"Medium"))</f>
        <v/>
      </c>
      <c r="AJ388" s="28" t="str">
        <f t="array" ref="AJ388">IF($I387="","",XLOOKUP($B388,Derived_Variables!$A:$A,Derived_Variables!$Y:$Y,FALSE))</f>
        <v/>
      </c>
      <c r="AK388" s="28" t="str">
        <f t="array" ref="AK388">IF($I387="","",XLOOKUP($B388,Derived_Variables!$A:$A,Derived_Variables!$AA:$AA,"Normal"))</f>
        <v/>
      </c>
      <c r="AL388" s="28" t="str">
        <f t="array" ref="AL388">IF($I387="","",XLOOKUP($B388,Derived_Variables!$A:$A,Derived_Variables!$AB:$AB,"Normal"))</f>
        <v/>
      </c>
      <c r="AM388" s="28" t="str">
        <f t="array" ref="AM388">IF($I388="","",IFS(C388="B",IF(OR(I388="NOT_READABLE",I388="BLURRY"),-AB388,0),C388="G",IFS(I388="RED_CLEARER",XLOOKUP("duochrome_red_step",Calibration!$B:$B,Calibration!$C:$C,-0.25),I388="GREEN_CLEARER",XLOOKUP("duochrome_green_step",Calibration!$B:$B,Calibration!$C:$C,0.25),I388="EQUAL",IF(XLOOKUP($B388,Derived_Variables!$A:$A,Derived_Variables!$S:$S,"Neutral")="Undercorrect",XLOOKUP("undercorrect_step",Calibration!$B:$B,Calibration!$C:$C,0.25),IF(XLOOKUP($B388,Derived_Variables!$A:$A,Derived_Variables!$S:$S,"Neutral")="Overcorrect",-XLOOKUP("overcorrect_step",Calibration!$B:$B,Calibration!$C:$C,0.25),0)),TRUE,0),C388="K",IF(I388="TOP_CLEARER",XLOOKUP("bino_balance_step",Calibration!$B:$B,Calibration!$C:$C,0.25),0),TRUE,0))</f>
        <v/>
      </c>
      <c r="AN388" s="28" t="str">
        <f t="shared" si="10"/>
        <v/>
      </c>
      <c r="AO388" s="28" t="str">
        <f t="shared" si="11"/>
        <v/>
      </c>
      <c r="AP388" s="28" t="str">
        <f t="array" ref="AP388">IF($I388="","",IFS(C388="D",IF(OR(I388="NOT_READABLE",I388="BLURRY"),-AB388,0),C388="J",IFS(I388="RED_CLEARER",XLOOKUP("duochrome_red_step",Calibration!$B:$B,Calibration!$C:$C,-0.25),I388="GREEN_CLEARER",XLOOKUP("duochrome_green_step",Calibration!$B:$B,Calibration!$C:$C,0.25),I388="EQUAL",IF(XLOOKUP($B388,Derived_Variables!$A:$A,Derived_Variables!$S:$S,"Neutral")="Undercorrect",XLOOKUP("undercorrect_step",Calibration!$B:$B,Calibration!$C:$C,0.25),IF(XLOOKUP($B388,Derived_Variables!$A:$A,Derived_Variables!$S:$S,"Neutral")="Overcorrect",-XLOOKUP("overcorrect_step",Calibration!$B:$B,Calibration!$C:$C,0.25),0)),TRUE,0),C388="K",IF(I388="BOTTOM_CLEARER",XLOOKUP("bino_balance_step",Calibration!$B:$B,Calibration!$C:$C,0.25),0),TRUE,0))</f>
        <v/>
      </c>
      <c r="AQ388" s="28" t="str">
        <f t="shared" si="12"/>
        <v/>
      </c>
      <c r="AR388" s="28" t="str">
        <f t="shared" si="13"/>
        <v/>
      </c>
      <c r="AS388" s="28" t="str">
        <f t="array" ref="AS388">IF($I388="","",IF(C388="P",IF(OR(I388="NOT_READABLE",I388="BLURRY"),XLOOKUP("near_add_step",Calibration!$B:$B,Calibration!$C:$C,0.25),0),IF(C388="R",IF(I388="NOT_CLEAR",XLOOKUP("near_add_step",Calibration!$B:$B,Calibration!$C:$C,0.25),0),0)))</f>
        <v/>
      </c>
      <c r="AT388" s="28" t="str">
        <f t="array" ref="AT388">IF($I388="","",IF(C388="Q",IF(OR(I388="NOT_READABLE",I388="BLURRY"),XLOOKUP("near_add_step",Calibration!$B:$B,Calibration!$C:$C,0.25),0),IF(C388="R",IF(I388="NOT_CLEAR",XLOOKUP("near_add_step",Calibration!$B:$B,Calibration!$C:$C,0.25),0),0)))</f>
        <v/>
      </c>
      <c r="AU388" s="28" t="str">
        <f t="array" ref="AU388">IF($I388="","",IF(G388="SNELLEN_FEET",IF(I388="READABLE",IFERROR(XLOOKUP(XLOOKUP(R388,Chart_Scale_Distance!B:B,Chart_Scale_Distance!A:A)+1,Chart_Scale_Distance!A:A,Chart_Scale_Distance!B:B),R388),R388),R388))</f>
        <v/>
      </c>
      <c r="AV388" s="28" t="str">
        <f t="array" ref="AV388">IF($I387="","",IFERROR(XLOOKUP(R388,Chart_Scale_Distance!$B:$B,Chart_Scale_Distance!$A:$A,""),""))</f>
        <v/>
      </c>
      <c r="AW388" s="28" t="str">
        <f t="array" ref="AW388">IF($I387="","",IFERROR(XLOOKUP(AA388,Chart_Scale_Distance!$B:$B,Chart_Scale_Distance!$A:$A,""),""))</f>
        <v/>
      </c>
      <c r="AX388" s="28" t="str">
        <f t="shared" si="14"/>
        <v/>
      </c>
      <c r="AY388" s="28" t="str">
        <f t="shared" si="15"/>
        <v/>
      </c>
      <c r="AZ388" s="28" t="str">
        <f t="shared" si="16"/>
        <v/>
      </c>
      <c r="BA388" s="28" t="str">
        <f t="shared" si="17"/>
        <v/>
      </c>
      <c r="BB388" s="28" t="str">
        <f t="shared" si="18"/>
        <v/>
      </c>
      <c r="BC388" s="28" t="str">
        <f t="array" ref="BC388">IF($I388="","",LET(
conf,AI388,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duoMax,XLOOKUP($B388,Derived_Variables!$A:$A,Derived_Variables!$AI:$AI,4),
axisTol,XLOOKUP($B388,Derived_Variables!$A:$A,Derived_Variables!$W:$W,1),
maxStart,XLOOKUP($B388,Derived_Variables!$A:$A,Derived_Variables!$U:$U,1.25),
maxAR,XLOOKUP($B388,Derived_Variables!$A:$A,Derived_Variables!$V:$V,3),
anom,XLOOKUP($B388,Derived_Variables!$A:$A,Derived_Variables!$Z:$Z,FALSE),
reStart,XLOOKUP($B388,Derived_Variables!$A:$A,Derived_Variables!$K:$K,0),
leStart,XLOOKUP($B388,Derived_Variables!$A:$A,Derived_Variables!$N:$N,0),
reAR,XLOOKUP($B388,AR_Input!$A:$A,AR_Input!$B:$B,reStart),
leAR,XLOOKUP($B388,AR_Input!$A:$A,AR_Input!$E:$E,leStart),
reEsc,AND(anom,OR(ABS((S388+AM388)-reStart)&gt;maxStart,ABS((S388+AM388)-reAR)&gt;maxAR)),
leEsc,AND(anom,OR(ABS((V388+AP388)-leStart)&gt;maxStart,ABS((V388+AP388)-leAR)&gt;maxAR)),
phaseMax,IFS(
 AK388="Fast",
   IFS(
     OR(C388="B",C388="D"),XLOOKUP("timeout_coarse_fast",Calibration!$B:$B,Calibration!$C:$C,24),
     OR(C388="E",C388="F",C388="H",C388="I"),XLOOKUP("timeout_jcc_fast",Calibration!$B:$B,Calibration!$C:$C,10),
     OR(C388="G",C388="J"),XLOOKUP("timeout_duochrome_fast",Calibration!$B:$B,Calibration!$C:$C,8),
     C388="K",XLOOKUP("timeout_bino_fast",Calibration!$B:$B,Calibration!$C:$C,10),
     OR(C388="P",C388="Q",C388="R"),XLOOKUP("timeout_near_fast",Calibration!$B:$B,Calibration!$C:$C,16),
     TRUE,XLOOKUP("timeout_coarse_fast",Calibration!$B:$B,Calibration!$C:$C,24)
   ),
 AK388="Normal",
   IFS(
     OR(C388="B",C388="D"),XLOOKUP("timeout_coarse_normal",Calibration!$B:$B,Calibration!$C:$C,36),
     OR(C388="E",C388="F",C388="H",C388="I"),XLOOKUP("timeout_jcc_normal",Calibration!$B:$B,Calibration!$C:$C,14),
     OR(C388="G",C388="J"),XLOOKUP("timeout_duochrome_normal",Calibration!$B:$B,Calibration!$C:$C,10),
     C388="K",XLOOKUP("timeout_bino_normal",Calibration!$B:$B,Calibration!$C:$C,14),
     OR(C388="P",C388="Q",C388="R"),XLOOKUP("timeout_near_normal",Calibration!$B:$B,Calibration!$C:$C,22),
     TRUE,XLOOKUP("timeout_coarse_normal",Calibration!$B:$B,Calibration!$C:$C,36)
   ),
 TRUE,
   IFS(
     OR(C388="B",C388="D"),XLOOKUP("timeout_coarse_slow",Calibration!$B:$B,Calibration!$C:$C,48),
     OR(C388="E",C388="F",C388="H",C388="I"),XLOOKUP("timeout_jcc_slow",Calibration!$B:$B,Calibration!$C:$C,18),
     OR(C388="G",C388="J"),XLOOKUP("timeout_duochrome_slow",Calibration!$B:$B,Calibration!$C:$C,12),
     C388="K",XLOOKUP("timeout_bino_slow",Calibration!$B:$B,Calibration!$C:$C,18),
     OR(C388="P",C388="Q",C388="R"),XLOOKUP("timeout_near_slow",Calibration!$B:$B,Calibration!$C:$C,28),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AJ388=TRUE,"ESCALATE",
C388="A",
IF(OR(I388="NOT_READABLE",I388="BLURRY",AND(R388="20_20_20",I388="READABLE")),"B","A"),
C388="B",
IF(reEsc,"ESCALATE",IF(AY388&gt;=phaseMax,"ESCALATE",IF(AND(AV388&gt;=AW388,I388="READABLE"),"E","B"))),
C388="E",
IF(AY388&gt;=phaseMax,"ESCALATE",IF(OR(I388="SAME",I388="CANT_TELL",AD388&lt;axisTol),"F","E")),
C388="F",
IF(AY388&gt;=phaseMax,"ESCALATE",IF(AX388&gt;=powerSameN,"G","F")),
C388="G",
IF(AY388&gt;=phaseMax,"ESCALATE",IF(OR(AX388&gt;=duoEqualN,BB388&gt;=duoMax),"D","G")),
C388="D",
IF(leEsc,"ESCALATE",IF(AY388&gt;=phaseMax,"ESCALATE",IF(AND(AV388&gt;=AW388,I388="READABLE"),"H","D"))),
C388="H",
IF(AY388&gt;=phaseMax,"ESCALATE",IF(OR(I388="SAME",I388="CANT_TELL",AD388&lt;axisTol),"I","H")),
C388="I",
IF(AY388&gt;=phaseMax,"ESCALATE",IF(AX388&gt;=powerSameN,"J","I")),
C388="J",
IF(AY388&gt;=phaseMax,"ESCALATE",IF(OR(AX388&gt;=duoEqualN,BB388&gt;=duoMax),"K","J")),
C388="K",
IF(AY388&gt;=phaseMax,"ESCALATE",IF(AX388&gt;=binoSameN,IF(XLOOKUP($B388,Derived_Variables!$A:$A,Derived_Variables!$AJ:$AJ,FALSE)=TRUE,"P","END"),"K")),
C388="P",
IF(AY388&gt;=phaseMax,"ESCALATE",IF(OR(I388="READABLE",I388="SAME"),"Q","P")),
C388="Q",
IF(AY388&gt;=phaseMax,"ESCALATE",IF(OR(I388="READABLE",I388="SAME"),"R","Q")),
C388="R",
IF(AY388&gt;=phaseMax,"ESCALATE",IF(OR(I388=nearTarget,I388="SAME"),"END","R")),
TRUE,"END"
)))</f>
        <v/>
      </c>
      <c r="BD388" s="28" t="b">
        <f t="shared" si="19"/>
        <v>0</v>
      </c>
    </row>
    <row r="389" ht="15.75" customHeight="1">
      <c r="A389" s="28">
        <f t="shared" si="3"/>
        <v>388</v>
      </c>
      <c r="B389" s="28">
        <f t="shared" si="4"/>
        <v>6</v>
      </c>
      <c r="C389" s="28" t="str">
        <f t="shared" si="5"/>
        <v/>
      </c>
      <c r="D389" s="28" t="str">
        <f t="array" ref="D389">IF($I388="","",XLOOKUP(C389,FSM_State_Map!A:A,FSM_State_Map!B:B,""))</f>
        <v/>
      </c>
      <c r="E389" s="28" t="str">
        <f t="array" ref="E389">IF($I388="","",XLOOKUP(C389,FSM_State_Map!A:A,FSM_State_Map!C:C,""))</f>
        <v/>
      </c>
      <c r="F389" s="28" t="str">
        <f t="array" ref="F389">IF($I388="","",XLOOKUP(E389,Phase_UI_Map!A:A,Phase_UI_Map!B:B,""))</f>
        <v/>
      </c>
      <c r="G389" s="28" t="str">
        <f t="array" ref="G389">IF($I388="","",XLOOKUP(E389,Phase_UI_Map!A:A,Phase_UI_Map!C:C,""))</f>
        <v/>
      </c>
      <c r="H389" s="28" t="str">
        <f t="array" ref="H389">IF($I388="","",XLOOKUP(E389,Phase_UI_Map!A:A,Phase_UI_Map!D:D,""))</f>
        <v/>
      </c>
      <c r="I389" s="29"/>
      <c r="J389" s="28" t="str">
        <f>IFERROR(__xludf.DUMMYFUNCTION("IF($I388="""","""",IFERROR(INDEX(FILTER(Response_Lists!$B:$B,Response_Lists!$A:$A=$H389),1),""""))"),"")</f>
        <v/>
      </c>
      <c r="K389" s="28" t="str">
        <f>IFERROR(__xludf.DUMMYFUNCTION("IF($I388="""","""",IFERROR(INDEX(FILTER(Response_Lists!$B:$B,Response_Lists!$A:$A=$H389),2),""""))"),"")</f>
        <v/>
      </c>
      <c r="L389" s="28" t="str">
        <f>IFERROR(__xludf.DUMMYFUNCTION("IF($I388="""","""",IFERROR(INDEX(FILTER(Response_Lists!$B:$B,Response_Lists!$A:$A=$H389),3),""""))"),"")</f>
        <v/>
      </c>
      <c r="M389" s="28" t="str">
        <f>IFERROR(__xludf.DUMMYFUNCTION("IF($I388="""","""",IFERROR(INDEX(FILTER(Response_Lists!$B:$B,Response_Lists!$A:$A=$H389),4),""""))"),"")</f>
        <v/>
      </c>
      <c r="N389" s="28" t="str">
        <f>IFERROR(__xludf.DUMMYFUNCTION("IF($I388="""","""",IFERROR(INDEX(FILTER(Response_Lists!$B:$B,Response_Lists!$A:$A=$H389),5),""""))"),"")</f>
        <v/>
      </c>
      <c r="O389" s="28" t="str">
        <f>IFERROR(__xludf.DUMMYFUNCTION("IF($I388="""","""",IFERROR(INDEX(FILTER(Response_Lists!$B:$B,Response_Lists!$A:$A=$H389),6),""""))"),"")</f>
        <v/>
      </c>
      <c r="P389" s="28" t="str">
        <f t="shared" si="6"/>
        <v/>
      </c>
      <c r="Q389" s="28" t="str">
        <f t="array" ref="Q389">IF($I388="","",XLOOKUP(C389,FSM_State_Map!A:A,FSM_State_Map!D:D,""))</f>
        <v/>
      </c>
      <c r="R389" s="28" t="str">
        <f t="shared" si="7"/>
        <v/>
      </c>
      <c r="S389" s="28" t="str">
        <f t="array" ref="S389">IF($I388="","",
IF(
  AND(C389="B",C388&lt;&gt;"B"),
  XLOOKUP($B389,Derived_Variables!$A:$A,Derived_Variables!$K:$K,0)
  + XLOOKUP($B389,Derived_Variables!$A:$A,Derived_Variables!$AE:$AE,0),
  S388+AM388
))</f>
        <v/>
      </c>
      <c r="T389" s="28" t="str">
        <f t="shared" ref="T389:U389" si="788">IF($I388="","",T388+AN388)</f>
        <v/>
      </c>
      <c r="U389" s="28" t="str">
        <f t="shared" si="788"/>
        <v/>
      </c>
      <c r="V389" s="28" t="str">
        <f t="array" ref="V389">IF($I388="","",
IF(
  AND(C389="D",C388&lt;&gt;"D"),
  XLOOKUP($B389,Derived_Variables!$A:$A,Derived_Variables!$N:$N,0)
  + XLOOKUP($B389,Derived_Variables!$A:$A,Derived_Variables!$AE:$AE,0),
  V388+AP388
))</f>
        <v/>
      </c>
      <c r="W389" s="28" t="str">
        <f t="shared" ref="W389:X389" si="789">IF($I388="","",W388+AQ388)</f>
        <v/>
      </c>
      <c r="X389" s="28" t="str">
        <f t="shared" si="789"/>
        <v/>
      </c>
      <c r="Y389" s="28" t="str">
        <f t="array" ref="Y389">IF($I388="","",IF(AND(C389="P",C388&lt;&gt;"P"),IFERROR(XLOOKUP($B389,Lenso_Input!$A:$A,Lenso_Input!$E:$E,0),0),Y388+AS388))</f>
        <v/>
      </c>
      <c r="Z389" s="28" t="str">
        <f t="array" ref="Z389">IF($I388="","",IF(AND(C389="Q",C388&lt;&gt;"Q"),IFERROR(XLOOKUP($B389,Lenso_Input!$A:$A,Lenso_Input!$I:$I,0),0),Z388+AT388))</f>
        <v/>
      </c>
      <c r="AA389" s="28" t="str">
        <f t="array" ref="AA389">IF($I388="","",IF(XLOOKUP($B389,Derived_Variables!$A:$A,Derived_Variables!$R:$R,"6/6_target")="6/6_target","20_20_20","40_30_25"))</f>
        <v/>
      </c>
      <c r="AB389" s="28" t="str">
        <f t="array" ref="AB389">IF($I388="","",XLOOKUP(LOWER(XLOOKUP($B389,Derived_Variables!$A:$A,Derived_Variables!$T:$T,"Standard"))&amp;"_sph_step",Calibration!$B:$B,Calibration!$C:$C,0.25))</f>
        <v/>
      </c>
      <c r="AC389" s="28" t="str">
        <f t="array" ref="AC389">IF($I388="","",XLOOKUP(LOWER(XLOOKUP($B389,Derived_Variables!$A:$A,Derived_Variables!$T:$T,"Standard"))&amp;"_cyl_step",Calibration!$B:$B,Calibration!$C:$C,0.25))</f>
        <v/>
      </c>
      <c r="AD389" s="28" t="str">
        <f t="array" ref="AD389">IF($I388="","",IF(OR(C389="E",C389="H"),LET(startStep,XLOOKUP("axis_start_step",Calibration!$B:$B,Calibration!$C:$C,5),step1,XLOOKUP("axis_reversal_step_1",Calibration!$B:$B,Calibration!$C:$C,3),step2,XLOOKUP("axis_reversal_step_2",Calibration!$B:$B,Calibration!$C:$C,1),IF(OR(C388&lt;&gt;C389,AZ389="",AZ389="SAME",AZ389="CANT_TELL",I389="",I389="SAME",I389="CANT_TELL"),startStep,IF(OR(AND(AZ389="BETTER_1",I389="BETTER_2"),AND(AZ389="BETTER_2",I389="BETTER_1")),IF(AD388&gt;step1,step1,step2),AD388))),0))</f>
        <v/>
      </c>
      <c r="AE389" s="28" t="str">
        <f t="array" ref="AE389">IF($I388="","",XLOOKUP($B389,Derived_Variables!$A:$A,Derived_Variables!$AD:$AD,"No_Fog"))</f>
        <v/>
      </c>
      <c r="AF389" s="28" t="str">
        <f t="array" ref="AF389">IF($I388="","",XLOOKUP($B389,Derived_Variables!$A:$A,Derived_Variables!$AE:$AE,0))</f>
        <v/>
      </c>
      <c r="AG389" s="28" t="str">
        <f t="array" ref="AG389">IF($I388="","",XLOOKUP($B389,Derived_Variables!$A:$A,Derived_Variables!$AF:$AF,""))</f>
        <v/>
      </c>
      <c r="AH389" s="28" t="str">
        <f t="array" ref="AH389">IF($I388="","",XLOOKUP($B389,Derived_Variables!$A:$A,Derived_Variables!$AG:$AG,""))</f>
        <v/>
      </c>
      <c r="AI389" s="28" t="str">
        <f t="array" ref="AI389">IF($I388="","",XLOOKUP($B389,Derived_Variables!$A:$A,Derived_Variables!$AC:$AC,"Medium"))</f>
        <v/>
      </c>
      <c r="AJ389" s="28" t="str">
        <f t="array" ref="AJ389">IF($I388="","",XLOOKUP($B389,Derived_Variables!$A:$A,Derived_Variables!$Y:$Y,FALSE))</f>
        <v/>
      </c>
      <c r="AK389" s="28" t="str">
        <f t="array" ref="AK389">IF($I388="","",XLOOKUP($B389,Derived_Variables!$A:$A,Derived_Variables!$AA:$AA,"Normal"))</f>
        <v/>
      </c>
      <c r="AL389" s="28" t="str">
        <f t="array" ref="AL389">IF($I388="","",XLOOKUP($B389,Derived_Variables!$A:$A,Derived_Variables!$AB:$AB,"Normal"))</f>
        <v/>
      </c>
      <c r="AM389" s="28" t="str">
        <f t="array" ref="AM389">IF($I389="","",IFS(C389="B",IF(OR(I389="NOT_READABLE",I389="BLURRY"),-AB389,0),C389="G",IFS(I389="RED_CLEARER",XLOOKUP("duochrome_red_step",Calibration!$B:$B,Calibration!$C:$C,-0.25),I389="GREEN_CLEARER",XLOOKUP("duochrome_green_step",Calibration!$B:$B,Calibration!$C:$C,0.25),I389="EQUAL",IF(XLOOKUP($B389,Derived_Variables!$A:$A,Derived_Variables!$S:$S,"Neutral")="Undercorrect",XLOOKUP("undercorrect_step",Calibration!$B:$B,Calibration!$C:$C,0.25),IF(XLOOKUP($B389,Derived_Variables!$A:$A,Derived_Variables!$S:$S,"Neutral")="Overcorrect",-XLOOKUP("overcorrect_step",Calibration!$B:$B,Calibration!$C:$C,0.25),0)),TRUE,0),C389="K",IF(I389="TOP_CLEARER",XLOOKUP("bino_balance_step",Calibration!$B:$B,Calibration!$C:$C,0.25),0),TRUE,0))</f>
        <v/>
      </c>
      <c r="AN389" s="28" t="str">
        <f t="shared" si="10"/>
        <v/>
      </c>
      <c r="AO389" s="28" t="str">
        <f t="shared" si="11"/>
        <v/>
      </c>
      <c r="AP389" s="28" t="str">
        <f t="array" ref="AP389">IF($I389="","",IFS(C389="D",IF(OR(I389="NOT_READABLE",I389="BLURRY"),-AB389,0),C389="J",IFS(I389="RED_CLEARER",XLOOKUP("duochrome_red_step",Calibration!$B:$B,Calibration!$C:$C,-0.25),I389="GREEN_CLEARER",XLOOKUP("duochrome_green_step",Calibration!$B:$B,Calibration!$C:$C,0.25),I389="EQUAL",IF(XLOOKUP($B389,Derived_Variables!$A:$A,Derived_Variables!$S:$S,"Neutral")="Undercorrect",XLOOKUP("undercorrect_step",Calibration!$B:$B,Calibration!$C:$C,0.25),IF(XLOOKUP($B389,Derived_Variables!$A:$A,Derived_Variables!$S:$S,"Neutral")="Overcorrect",-XLOOKUP("overcorrect_step",Calibration!$B:$B,Calibration!$C:$C,0.25),0)),TRUE,0),C389="K",IF(I389="BOTTOM_CLEARER",XLOOKUP("bino_balance_step",Calibration!$B:$B,Calibration!$C:$C,0.25),0),TRUE,0))</f>
        <v/>
      </c>
      <c r="AQ389" s="28" t="str">
        <f t="shared" si="12"/>
        <v/>
      </c>
      <c r="AR389" s="28" t="str">
        <f t="shared" si="13"/>
        <v/>
      </c>
      <c r="AS389" s="28" t="str">
        <f t="array" ref="AS389">IF($I389="","",IF(C389="P",IF(OR(I389="NOT_READABLE",I389="BLURRY"),XLOOKUP("near_add_step",Calibration!$B:$B,Calibration!$C:$C,0.25),0),IF(C389="R",IF(I389="NOT_CLEAR",XLOOKUP("near_add_step",Calibration!$B:$B,Calibration!$C:$C,0.25),0),0)))</f>
        <v/>
      </c>
      <c r="AT389" s="28" t="str">
        <f t="array" ref="AT389">IF($I389="","",IF(C389="Q",IF(OR(I389="NOT_READABLE",I389="BLURRY"),XLOOKUP("near_add_step",Calibration!$B:$B,Calibration!$C:$C,0.25),0),IF(C389="R",IF(I389="NOT_CLEAR",XLOOKUP("near_add_step",Calibration!$B:$B,Calibration!$C:$C,0.25),0),0)))</f>
        <v/>
      </c>
      <c r="AU389" s="28" t="str">
        <f t="array" ref="AU389">IF($I389="","",IF(G389="SNELLEN_FEET",IF(I389="READABLE",IFERROR(XLOOKUP(XLOOKUP(R389,Chart_Scale_Distance!B:B,Chart_Scale_Distance!A:A)+1,Chart_Scale_Distance!A:A,Chart_Scale_Distance!B:B),R389),R389),R389))</f>
        <v/>
      </c>
      <c r="AV389" s="28" t="str">
        <f t="array" ref="AV389">IF($I388="","",IFERROR(XLOOKUP(R389,Chart_Scale_Distance!$B:$B,Chart_Scale_Distance!$A:$A,""),""))</f>
        <v/>
      </c>
      <c r="AW389" s="28" t="str">
        <f t="array" ref="AW389">IF($I388="","",IFERROR(XLOOKUP(AA389,Chart_Scale_Distance!$B:$B,Chart_Scale_Distance!$A:$A,""),""))</f>
        <v/>
      </c>
      <c r="AX389" s="28" t="str">
        <f t="shared" si="14"/>
        <v/>
      </c>
      <c r="AY389" s="28" t="str">
        <f t="shared" si="15"/>
        <v/>
      </c>
      <c r="AZ389" s="28" t="str">
        <f t="shared" si="16"/>
        <v/>
      </c>
      <c r="BA389" s="28" t="str">
        <f t="shared" si="17"/>
        <v/>
      </c>
      <c r="BB389" s="28" t="str">
        <f t="shared" si="18"/>
        <v/>
      </c>
      <c r="BC389" s="28" t="str">
        <f t="array" ref="BC389">IF($I389="","",LET(
conf,AI389,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duoMax,XLOOKUP($B389,Derived_Variables!$A:$A,Derived_Variables!$AI:$AI,4),
axisTol,XLOOKUP($B389,Derived_Variables!$A:$A,Derived_Variables!$W:$W,1),
maxStart,XLOOKUP($B389,Derived_Variables!$A:$A,Derived_Variables!$U:$U,1.25),
maxAR,XLOOKUP($B389,Derived_Variables!$A:$A,Derived_Variables!$V:$V,3),
anom,XLOOKUP($B389,Derived_Variables!$A:$A,Derived_Variables!$Z:$Z,FALSE),
reStart,XLOOKUP($B389,Derived_Variables!$A:$A,Derived_Variables!$K:$K,0),
leStart,XLOOKUP($B389,Derived_Variables!$A:$A,Derived_Variables!$N:$N,0),
reAR,XLOOKUP($B389,AR_Input!$A:$A,AR_Input!$B:$B,reStart),
leAR,XLOOKUP($B389,AR_Input!$A:$A,AR_Input!$E:$E,leStart),
reEsc,AND(anom,OR(ABS((S389+AM389)-reStart)&gt;maxStart,ABS((S389+AM389)-reAR)&gt;maxAR)),
leEsc,AND(anom,OR(ABS((V389+AP389)-leStart)&gt;maxStart,ABS((V389+AP389)-leAR)&gt;maxAR)),
phaseMax,IFS(
 AK389="Fast",
   IFS(
     OR(C389="B",C389="D"),XLOOKUP("timeout_coarse_fast",Calibration!$B:$B,Calibration!$C:$C,24),
     OR(C389="E",C389="F",C389="H",C389="I"),XLOOKUP("timeout_jcc_fast",Calibration!$B:$B,Calibration!$C:$C,10),
     OR(C389="G",C389="J"),XLOOKUP("timeout_duochrome_fast",Calibration!$B:$B,Calibration!$C:$C,8),
     C389="K",XLOOKUP("timeout_bino_fast",Calibration!$B:$B,Calibration!$C:$C,10),
     OR(C389="P",C389="Q",C389="R"),XLOOKUP("timeout_near_fast",Calibration!$B:$B,Calibration!$C:$C,16),
     TRUE,XLOOKUP("timeout_coarse_fast",Calibration!$B:$B,Calibration!$C:$C,24)
   ),
 AK389="Normal",
   IFS(
     OR(C389="B",C389="D"),XLOOKUP("timeout_coarse_normal",Calibration!$B:$B,Calibration!$C:$C,36),
     OR(C389="E",C389="F",C389="H",C389="I"),XLOOKUP("timeout_jcc_normal",Calibration!$B:$B,Calibration!$C:$C,14),
     OR(C389="G",C389="J"),XLOOKUP("timeout_duochrome_normal",Calibration!$B:$B,Calibration!$C:$C,10),
     C389="K",XLOOKUP("timeout_bino_normal",Calibration!$B:$B,Calibration!$C:$C,14),
     OR(C389="P",C389="Q",C389="R"),XLOOKUP("timeout_near_normal",Calibration!$B:$B,Calibration!$C:$C,22),
     TRUE,XLOOKUP("timeout_coarse_normal",Calibration!$B:$B,Calibration!$C:$C,36)
   ),
 TRUE,
   IFS(
     OR(C389="B",C389="D"),XLOOKUP("timeout_coarse_slow",Calibration!$B:$B,Calibration!$C:$C,48),
     OR(C389="E",C389="F",C389="H",C389="I"),XLOOKUP("timeout_jcc_slow",Calibration!$B:$B,Calibration!$C:$C,18),
     OR(C389="G",C389="J"),XLOOKUP("timeout_duochrome_slow",Calibration!$B:$B,Calibration!$C:$C,12),
     C389="K",XLOOKUP("timeout_bino_slow",Calibration!$B:$B,Calibration!$C:$C,18),
     OR(C389="P",C389="Q",C389="R"),XLOOKUP("timeout_near_slow",Calibration!$B:$B,Calibration!$C:$C,28),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AJ389=TRUE,"ESCALATE",
C389="A",
IF(OR(I389="NOT_READABLE",I389="BLURRY",AND(R389="20_20_20",I389="READABLE")),"B","A"),
C389="B",
IF(reEsc,"ESCALATE",IF(AY389&gt;=phaseMax,"ESCALATE",IF(AND(AV389&gt;=AW389,I389="READABLE"),"E","B"))),
C389="E",
IF(AY389&gt;=phaseMax,"ESCALATE",IF(OR(I389="SAME",I389="CANT_TELL",AD389&lt;axisTol),"F","E")),
C389="F",
IF(AY389&gt;=phaseMax,"ESCALATE",IF(AX389&gt;=powerSameN,"G","F")),
C389="G",
IF(AY389&gt;=phaseMax,"ESCALATE",IF(OR(AX389&gt;=duoEqualN,BB389&gt;=duoMax),"D","G")),
C389="D",
IF(leEsc,"ESCALATE",IF(AY389&gt;=phaseMax,"ESCALATE",IF(AND(AV389&gt;=AW389,I389="READABLE"),"H","D"))),
C389="H",
IF(AY389&gt;=phaseMax,"ESCALATE",IF(OR(I389="SAME",I389="CANT_TELL",AD389&lt;axisTol),"I","H")),
C389="I",
IF(AY389&gt;=phaseMax,"ESCALATE",IF(AX389&gt;=powerSameN,"J","I")),
C389="J",
IF(AY389&gt;=phaseMax,"ESCALATE",IF(OR(AX389&gt;=duoEqualN,BB389&gt;=duoMax),"K","J")),
C389="K",
IF(AY389&gt;=phaseMax,"ESCALATE",IF(AX389&gt;=binoSameN,IF(XLOOKUP($B389,Derived_Variables!$A:$A,Derived_Variables!$AJ:$AJ,FALSE)=TRUE,"P","END"),"K")),
C389="P",
IF(AY389&gt;=phaseMax,"ESCALATE",IF(OR(I389="READABLE",I389="SAME"),"Q","P")),
C389="Q",
IF(AY389&gt;=phaseMax,"ESCALATE",IF(OR(I389="READABLE",I389="SAME"),"R","Q")),
C389="R",
IF(AY389&gt;=phaseMax,"ESCALATE",IF(OR(I389=nearTarget,I389="SAME"),"END","R")),
TRUE,"END"
)))</f>
        <v/>
      </c>
      <c r="BD389" s="28" t="b">
        <f t="shared" si="19"/>
        <v>0</v>
      </c>
    </row>
    <row r="390" ht="15.75" customHeight="1">
      <c r="A390" s="28">
        <f t="shared" si="3"/>
        <v>389</v>
      </c>
      <c r="B390" s="28">
        <f t="shared" si="4"/>
        <v>6</v>
      </c>
      <c r="C390" s="28" t="str">
        <f t="shared" si="5"/>
        <v/>
      </c>
      <c r="D390" s="28" t="str">
        <f t="array" ref="D390">IF($I389="","",XLOOKUP(C390,FSM_State_Map!A:A,FSM_State_Map!B:B,""))</f>
        <v/>
      </c>
      <c r="E390" s="28" t="str">
        <f t="array" ref="E390">IF($I389="","",XLOOKUP(C390,FSM_State_Map!A:A,FSM_State_Map!C:C,""))</f>
        <v/>
      </c>
      <c r="F390" s="28" t="str">
        <f t="array" ref="F390">IF($I389="","",XLOOKUP(E390,Phase_UI_Map!A:A,Phase_UI_Map!B:B,""))</f>
        <v/>
      </c>
      <c r="G390" s="28" t="str">
        <f t="array" ref="G390">IF($I389="","",XLOOKUP(E390,Phase_UI_Map!A:A,Phase_UI_Map!C:C,""))</f>
        <v/>
      </c>
      <c r="H390" s="28" t="str">
        <f t="array" ref="H390">IF($I389="","",XLOOKUP(E390,Phase_UI_Map!A:A,Phase_UI_Map!D:D,""))</f>
        <v/>
      </c>
      <c r="I390" s="29"/>
      <c r="J390" s="28" t="str">
        <f>IFERROR(__xludf.DUMMYFUNCTION("IF($I389="""","""",IFERROR(INDEX(FILTER(Response_Lists!$B:$B,Response_Lists!$A:$A=$H390),1),""""))"),"")</f>
        <v/>
      </c>
      <c r="K390" s="28" t="str">
        <f>IFERROR(__xludf.DUMMYFUNCTION("IF($I389="""","""",IFERROR(INDEX(FILTER(Response_Lists!$B:$B,Response_Lists!$A:$A=$H390),2),""""))"),"")</f>
        <v/>
      </c>
      <c r="L390" s="28" t="str">
        <f>IFERROR(__xludf.DUMMYFUNCTION("IF($I389="""","""",IFERROR(INDEX(FILTER(Response_Lists!$B:$B,Response_Lists!$A:$A=$H390),3),""""))"),"")</f>
        <v/>
      </c>
      <c r="M390" s="28" t="str">
        <f>IFERROR(__xludf.DUMMYFUNCTION("IF($I389="""","""",IFERROR(INDEX(FILTER(Response_Lists!$B:$B,Response_Lists!$A:$A=$H390),4),""""))"),"")</f>
        <v/>
      </c>
      <c r="N390" s="28" t="str">
        <f>IFERROR(__xludf.DUMMYFUNCTION("IF($I389="""","""",IFERROR(INDEX(FILTER(Response_Lists!$B:$B,Response_Lists!$A:$A=$H390),5),""""))"),"")</f>
        <v/>
      </c>
      <c r="O390" s="28" t="str">
        <f>IFERROR(__xludf.DUMMYFUNCTION("IF($I389="""","""",IFERROR(INDEX(FILTER(Response_Lists!$B:$B,Response_Lists!$A:$A=$H390),6),""""))"),"")</f>
        <v/>
      </c>
      <c r="P390" s="28" t="str">
        <f t="shared" si="6"/>
        <v/>
      </c>
      <c r="Q390" s="28" t="str">
        <f t="array" ref="Q390">IF($I389="","",XLOOKUP(C390,FSM_State_Map!A:A,FSM_State_Map!D:D,""))</f>
        <v/>
      </c>
      <c r="R390" s="28" t="str">
        <f t="shared" si="7"/>
        <v/>
      </c>
      <c r="S390" s="28" t="str">
        <f t="array" ref="S390">IF($I389="","",
IF(
  AND(C390="B",C389&lt;&gt;"B"),
  XLOOKUP($B390,Derived_Variables!$A:$A,Derived_Variables!$K:$K,0)
  + XLOOKUP($B390,Derived_Variables!$A:$A,Derived_Variables!$AE:$AE,0),
  S389+AM389
))</f>
        <v/>
      </c>
      <c r="T390" s="28" t="str">
        <f t="shared" ref="T390:U390" si="790">IF($I389="","",T389+AN389)</f>
        <v/>
      </c>
      <c r="U390" s="28" t="str">
        <f t="shared" si="790"/>
        <v/>
      </c>
      <c r="V390" s="28" t="str">
        <f t="array" ref="V390">IF($I389="","",
IF(
  AND(C390="D",C389&lt;&gt;"D"),
  XLOOKUP($B390,Derived_Variables!$A:$A,Derived_Variables!$N:$N,0)
  + XLOOKUP($B390,Derived_Variables!$A:$A,Derived_Variables!$AE:$AE,0),
  V389+AP389
))</f>
        <v/>
      </c>
      <c r="W390" s="28" t="str">
        <f t="shared" ref="W390:X390" si="791">IF($I389="","",W389+AQ389)</f>
        <v/>
      </c>
      <c r="X390" s="28" t="str">
        <f t="shared" si="791"/>
        <v/>
      </c>
      <c r="Y390" s="28" t="str">
        <f t="array" ref="Y390">IF($I389="","",IF(AND(C390="P",C389&lt;&gt;"P"),IFERROR(XLOOKUP($B390,Lenso_Input!$A:$A,Lenso_Input!$E:$E,0),0),Y389+AS389))</f>
        <v/>
      </c>
      <c r="Z390" s="28" t="str">
        <f t="array" ref="Z390">IF($I389="","",IF(AND(C390="Q",C389&lt;&gt;"Q"),IFERROR(XLOOKUP($B390,Lenso_Input!$A:$A,Lenso_Input!$I:$I,0),0),Z389+AT389))</f>
        <v/>
      </c>
      <c r="AA390" s="28" t="str">
        <f t="array" ref="AA390">IF($I389="","",IF(XLOOKUP($B390,Derived_Variables!$A:$A,Derived_Variables!$R:$R,"6/6_target")="6/6_target","20_20_20","40_30_25"))</f>
        <v/>
      </c>
      <c r="AB390" s="28" t="str">
        <f t="array" ref="AB390">IF($I389="","",XLOOKUP(LOWER(XLOOKUP($B390,Derived_Variables!$A:$A,Derived_Variables!$T:$T,"Standard"))&amp;"_sph_step",Calibration!$B:$B,Calibration!$C:$C,0.25))</f>
        <v/>
      </c>
      <c r="AC390" s="28" t="str">
        <f t="array" ref="AC390">IF($I389="","",XLOOKUP(LOWER(XLOOKUP($B390,Derived_Variables!$A:$A,Derived_Variables!$T:$T,"Standard"))&amp;"_cyl_step",Calibration!$B:$B,Calibration!$C:$C,0.25))</f>
        <v/>
      </c>
      <c r="AD390" s="28" t="str">
        <f t="array" ref="AD390">IF($I389="","",IF(OR(C390="E",C390="H"),LET(startStep,XLOOKUP("axis_start_step",Calibration!$B:$B,Calibration!$C:$C,5),step1,XLOOKUP("axis_reversal_step_1",Calibration!$B:$B,Calibration!$C:$C,3),step2,XLOOKUP("axis_reversal_step_2",Calibration!$B:$B,Calibration!$C:$C,1),IF(OR(C389&lt;&gt;C390,AZ390="",AZ390="SAME",AZ390="CANT_TELL",I390="",I390="SAME",I390="CANT_TELL"),startStep,IF(OR(AND(AZ390="BETTER_1",I390="BETTER_2"),AND(AZ390="BETTER_2",I390="BETTER_1")),IF(AD389&gt;step1,step1,step2),AD389))),0))</f>
        <v/>
      </c>
      <c r="AE390" s="28" t="str">
        <f t="array" ref="AE390">IF($I389="","",XLOOKUP($B390,Derived_Variables!$A:$A,Derived_Variables!$AD:$AD,"No_Fog"))</f>
        <v/>
      </c>
      <c r="AF390" s="28" t="str">
        <f t="array" ref="AF390">IF($I389="","",XLOOKUP($B390,Derived_Variables!$A:$A,Derived_Variables!$AE:$AE,0))</f>
        <v/>
      </c>
      <c r="AG390" s="28" t="str">
        <f t="array" ref="AG390">IF($I389="","",XLOOKUP($B390,Derived_Variables!$A:$A,Derived_Variables!$AF:$AF,""))</f>
        <v/>
      </c>
      <c r="AH390" s="28" t="str">
        <f t="array" ref="AH390">IF($I389="","",XLOOKUP($B390,Derived_Variables!$A:$A,Derived_Variables!$AG:$AG,""))</f>
        <v/>
      </c>
      <c r="AI390" s="28" t="str">
        <f t="array" ref="AI390">IF($I389="","",XLOOKUP($B390,Derived_Variables!$A:$A,Derived_Variables!$AC:$AC,"Medium"))</f>
        <v/>
      </c>
      <c r="AJ390" s="28" t="str">
        <f t="array" ref="AJ390">IF($I389="","",XLOOKUP($B390,Derived_Variables!$A:$A,Derived_Variables!$Y:$Y,FALSE))</f>
        <v/>
      </c>
      <c r="AK390" s="28" t="str">
        <f t="array" ref="AK390">IF($I389="","",XLOOKUP($B390,Derived_Variables!$A:$A,Derived_Variables!$AA:$AA,"Normal"))</f>
        <v/>
      </c>
      <c r="AL390" s="28" t="str">
        <f t="array" ref="AL390">IF($I389="","",XLOOKUP($B390,Derived_Variables!$A:$A,Derived_Variables!$AB:$AB,"Normal"))</f>
        <v/>
      </c>
      <c r="AM390" s="28" t="str">
        <f t="array" ref="AM390">IF($I390="","",IFS(C390="B",IF(OR(I390="NOT_READABLE",I390="BLURRY"),-AB390,0),C390="G",IFS(I390="RED_CLEARER",XLOOKUP("duochrome_red_step",Calibration!$B:$B,Calibration!$C:$C,-0.25),I390="GREEN_CLEARER",XLOOKUP("duochrome_green_step",Calibration!$B:$B,Calibration!$C:$C,0.25),I390="EQUAL",IF(XLOOKUP($B390,Derived_Variables!$A:$A,Derived_Variables!$S:$S,"Neutral")="Undercorrect",XLOOKUP("undercorrect_step",Calibration!$B:$B,Calibration!$C:$C,0.25),IF(XLOOKUP($B390,Derived_Variables!$A:$A,Derived_Variables!$S:$S,"Neutral")="Overcorrect",-XLOOKUP("overcorrect_step",Calibration!$B:$B,Calibration!$C:$C,0.25),0)),TRUE,0),C390="K",IF(I390="TOP_CLEARER",XLOOKUP("bino_balance_step",Calibration!$B:$B,Calibration!$C:$C,0.25),0),TRUE,0))</f>
        <v/>
      </c>
      <c r="AN390" s="28" t="str">
        <f t="shared" si="10"/>
        <v/>
      </c>
      <c r="AO390" s="28" t="str">
        <f t="shared" si="11"/>
        <v/>
      </c>
      <c r="AP390" s="28" t="str">
        <f t="array" ref="AP390">IF($I390="","",IFS(C390="D",IF(OR(I390="NOT_READABLE",I390="BLURRY"),-AB390,0),C390="J",IFS(I390="RED_CLEARER",XLOOKUP("duochrome_red_step",Calibration!$B:$B,Calibration!$C:$C,-0.25),I390="GREEN_CLEARER",XLOOKUP("duochrome_green_step",Calibration!$B:$B,Calibration!$C:$C,0.25),I390="EQUAL",IF(XLOOKUP($B390,Derived_Variables!$A:$A,Derived_Variables!$S:$S,"Neutral")="Undercorrect",XLOOKUP("undercorrect_step",Calibration!$B:$B,Calibration!$C:$C,0.25),IF(XLOOKUP($B390,Derived_Variables!$A:$A,Derived_Variables!$S:$S,"Neutral")="Overcorrect",-XLOOKUP("overcorrect_step",Calibration!$B:$B,Calibration!$C:$C,0.25),0)),TRUE,0),C390="K",IF(I390="BOTTOM_CLEARER",XLOOKUP("bino_balance_step",Calibration!$B:$B,Calibration!$C:$C,0.25),0),TRUE,0))</f>
        <v/>
      </c>
      <c r="AQ390" s="28" t="str">
        <f t="shared" si="12"/>
        <v/>
      </c>
      <c r="AR390" s="28" t="str">
        <f t="shared" si="13"/>
        <v/>
      </c>
      <c r="AS390" s="28" t="str">
        <f t="array" ref="AS390">IF($I390="","",IF(C390="P",IF(OR(I390="NOT_READABLE",I390="BLURRY"),XLOOKUP("near_add_step",Calibration!$B:$B,Calibration!$C:$C,0.25),0),IF(C390="R",IF(I390="NOT_CLEAR",XLOOKUP("near_add_step",Calibration!$B:$B,Calibration!$C:$C,0.25),0),0)))</f>
        <v/>
      </c>
      <c r="AT390" s="28" t="str">
        <f t="array" ref="AT390">IF($I390="","",IF(C390="Q",IF(OR(I390="NOT_READABLE",I390="BLURRY"),XLOOKUP("near_add_step",Calibration!$B:$B,Calibration!$C:$C,0.25),0),IF(C390="R",IF(I390="NOT_CLEAR",XLOOKUP("near_add_step",Calibration!$B:$B,Calibration!$C:$C,0.25),0),0)))</f>
        <v/>
      </c>
      <c r="AU390" s="28" t="str">
        <f t="array" ref="AU390">IF($I390="","",IF(G390="SNELLEN_FEET",IF(I390="READABLE",IFERROR(XLOOKUP(XLOOKUP(R390,Chart_Scale_Distance!B:B,Chart_Scale_Distance!A:A)+1,Chart_Scale_Distance!A:A,Chart_Scale_Distance!B:B),R390),R390),R390))</f>
        <v/>
      </c>
      <c r="AV390" s="28" t="str">
        <f t="array" ref="AV390">IF($I389="","",IFERROR(XLOOKUP(R390,Chart_Scale_Distance!$B:$B,Chart_Scale_Distance!$A:$A,""),""))</f>
        <v/>
      </c>
      <c r="AW390" s="28" t="str">
        <f t="array" ref="AW390">IF($I389="","",IFERROR(XLOOKUP(AA390,Chart_Scale_Distance!$B:$B,Chart_Scale_Distance!$A:$A,""),""))</f>
        <v/>
      </c>
      <c r="AX390" s="28" t="str">
        <f t="shared" si="14"/>
        <v/>
      </c>
      <c r="AY390" s="28" t="str">
        <f t="shared" si="15"/>
        <v/>
      </c>
      <c r="AZ390" s="28" t="str">
        <f t="shared" si="16"/>
        <v/>
      </c>
      <c r="BA390" s="28" t="str">
        <f t="shared" si="17"/>
        <v/>
      </c>
      <c r="BB390" s="28" t="str">
        <f t="shared" si="18"/>
        <v/>
      </c>
      <c r="BC390" s="28" t="str">
        <f t="array" ref="BC390">IF($I390="","",LET(
conf,AI390,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duoMax,XLOOKUP($B390,Derived_Variables!$A:$A,Derived_Variables!$AI:$AI,4),
axisTol,XLOOKUP($B390,Derived_Variables!$A:$A,Derived_Variables!$W:$W,1),
maxStart,XLOOKUP($B390,Derived_Variables!$A:$A,Derived_Variables!$U:$U,1.25),
maxAR,XLOOKUP($B390,Derived_Variables!$A:$A,Derived_Variables!$V:$V,3),
anom,XLOOKUP($B390,Derived_Variables!$A:$A,Derived_Variables!$Z:$Z,FALSE),
reStart,XLOOKUP($B390,Derived_Variables!$A:$A,Derived_Variables!$K:$K,0),
leStart,XLOOKUP($B390,Derived_Variables!$A:$A,Derived_Variables!$N:$N,0),
reAR,XLOOKUP($B390,AR_Input!$A:$A,AR_Input!$B:$B,reStart),
leAR,XLOOKUP($B390,AR_Input!$A:$A,AR_Input!$E:$E,leStart),
reEsc,AND(anom,OR(ABS((S390+AM390)-reStart)&gt;maxStart,ABS((S390+AM390)-reAR)&gt;maxAR)),
leEsc,AND(anom,OR(ABS((V390+AP390)-leStart)&gt;maxStart,ABS((V390+AP390)-leAR)&gt;maxAR)),
phaseMax,IFS(
 AK390="Fast",
   IFS(
     OR(C390="B",C390="D"),XLOOKUP("timeout_coarse_fast",Calibration!$B:$B,Calibration!$C:$C,24),
     OR(C390="E",C390="F",C390="H",C390="I"),XLOOKUP("timeout_jcc_fast",Calibration!$B:$B,Calibration!$C:$C,10),
     OR(C390="G",C390="J"),XLOOKUP("timeout_duochrome_fast",Calibration!$B:$B,Calibration!$C:$C,8),
     C390="K",XLOOKUP("timeout_bino_fast",Calibration!$B:$B,Calibration!$C:$C,10),
     OR(C390="P",C390="Q",C390="R"),XLOOKUP("timeout_near_fast",Calibration!$B:$B,Calibration!$C:$C,16),
     TRUE,XLOOKUP("timeout_coarse_fast",Calibration!$B:$B,Calibration!$C:$C,24)
   ),
 AK390="Normal",
   IFS(
     OR(C390="B",C390="D"),XLOOKUP("timeout_coarse_normal",Calibration!$B:$B,Calibration!$C:$C,36),
     OR(C390="E",C390="F",C390="H",C390="I"),XLOOKUP("timeout_jcc_normal",Calibration!$B:$B,Calibration!$C:$C,14),
     OR(C390="G",C390="J"),XLOOKUP("timeout_duochrome_normal",Calibration!$B:$B,Calibration!$C:$C,10),
     C390="K",XLOOKUP("timeout_bino_normal",Calibration!$B:$B,Calibration!$C:$C,14),
     OR(C390="P",C390="Q",C390="R"),XLOOKUP("timeout_near_normal",Calibration!$B:$B,Calibration!$C:$C,22),
     TRUE,XLOOKUP("timeout_coarse_normal",Calibration!$B:$B,Calibration!$C:$C,36)
   ),
 TRUE,
   IFS(
     OR(C390="B",C390="D"),XLOOKUP("timeout_coarse_slow",Calibration!$B:$B,Calibration!$C:$C,48),
     OR(C390="E",C390="F",C390="H",C390="I"),XLOOKUP("timeout_jcc_slow",Calibration!$B:$B,Calibration!$C:$C,18),
     OR(C390="G",C390="J"),XLOOKUP("timeout_duochrome_slow",Calibration!$B:$B,Calibration!$C:$C,12),
     C390="K",XLOOKUP("timeout_bino_slow",Calibration!$B:$B,Calibration!$C:$C,18),
     OR(C390="P",C390="Q",C390="R"),XLOOKUP("timeout_near_slow",Calibration!$B:$B,Calibration!$C:$C,28),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AJ390=TRUE,"ESCALATE",
C390="A",
IF(OR(I390="NOT_READABLE",I390="BLURRY",AND(R390="20_20_20",I390="READABLE")),"B","A"),
C390="B",
IF(reEsc,"ESCALATE",IF(AY390&gt;=phaseMax,"ESCALATE",IF(AND(AV390&gt;=AW390,I390="READABLE"),"E","B"))),
C390="E",
IF(AY390&gt;=phaseMax,"ESCALATE",IF(OR(I390="SAME",I390="CANT_TELL",AD390&lt;axisTol),"F","E")),
C390="F",
IF(AY390&gt;=phaseMax,"ESCALATE",IF(AX390&gt;=powerSameN,"G","F")),
C390="G",
IF(AY390&gt;=phaseMax,"ESCALATE",IF(OR(AX390&gt;=duoEqualN,BB390&gt;=duoMax),"D","G")),
C390="D",
IF(leEsc,"ESCALATE",IF(AY390&gt;=phaseMax,"ESCALATE",IF(AND(AV390&gt;=AW390,I390="READABLE"),"H","D"))),
C390="H",
IF(AY390&gt;=phaseMax,"ESCALATE",IF(OR(I390="SAME",I390="CANT_TELL",AD390&lt;axisTol),"I","H")),
C390="I",
IF(AY390&gt;=phaseMax,"ESCALATE",IF(AX390&gt;=powerSameN,"J","I")),
C390="J",
IF(AY390&gt;=phaseMax,"ESCALATE",IF(OR(AX390&gt;=duoEqualN,BB390&gt;=duoMax),"K","J")),
C390="K",
IF(AY390&gt;=phaseMax,"ESCALATE",IF(AX390&gt;=binoSameN,IF(XLOOKUP($B390,Derived_Variables!$A:$A,Derived_Variables!$AJ:$AJ,FALSE)=TRUE,"P","END"),"K")),
C390="P",
IF(AY390&gt;=phaseMax,"ESCALATE",IF(OR(I390="READABLE",I390="SAME"),"Q","P")),
C390="Q",
IF(AY390&gt;=phaseMax,"ESCALATE",IF(OR(I390="READABLE",I390="SAME"),"R","Q")),
C390="R",
IF(AY390&gt;=phaseMax,"ESCALATE",IF(OR(I390=nearTarget,I390="SAME"),"END","R")),
TRUE,"END"
)))</f>
        <v/>
      </c>
      <c r="BD390" s="28" t="b">
        <f t="shared" si="19"/>
        <v>0</v>
      </c>
    </row>
    <row r="391" ht="15.75" customHeight="1">
      <c r="A391" s="28">
        <f t="shared" si="3"/>
        <v>390</v>
      </c>
      <c r="B391" s="28">
        <f t="shared" si="4"/>
        <v>6</v>
      </c>
      <c r="C391" s="28" t="str">
        <f t="shared" si="5"/>
        <v/>
      </c>
      <c r="D391" s="28" t="str">
        <f t="array" ref="D391">IF($I390="","",XLOOKUP(C391,FSM_State_Map!A:A,FSM_State_Map!B:B,""))</f>
        <v/>
      </c>
      <c r="E391" s="28" t="str">
        <f t="array" ref="E391">IF($I390="","",XLOOKUP(C391,FSM_State_Map!A:A,FSM_State_Map!C:C,""))</f>
        <v/>
      </c>
      <c r="F391" s="28" t="str">
        <f t="array" ref="F391">IF($I390="","",XLOOKUP(E391,Phase_UI_Map!A:A,Phase_UI_Map!B:B,""))</f>
        <v/>
      </c>
      <c r="G391" s="28" t="str">
        <f t="array" ref="G391">IF($I390="","",XLOOKUP(E391,Phase_UI_Map!A:A,Phase_UI_Map!C:C,""))</f>
        <v/>
      </c>
      <c r="H391" s="28" t="str">
        <f t="array" ref="H391">IF($I390="","",XLOOKUP(E391,Phase_UI_Map!A:A,Phase_UI_Map!D:D,""))</f>
        <v/>
      </c>
      <c r="I391" s="29"/>
      <c r="J391" s="28" t="str">
        <f>IFERROR(__xludf.DUMMYFUNCTION("IF($I390="""","""",IFERROR(INDEX(FILTER(Response_Lists!$B:$B,Response_Lists!$A:$A=$H391),1),""""))"),"")</f>
        <v/>
      </c>
      <c r="K391" s="28" t="str">
        <f>IFERROR(__xludf.DUMMYFUNCTION("IF($I390="""","""",IFERROR(INDEX(FILTER(Response_Lists!$B:$B,Response_Lists!$A:$A=$H391),2),""""))"),"")</f>
        <v/>
      </c>
      <c r="L391" s="28" t="str">
        <f>IFERROR(__xludf.DUMMYFUNCTION("IF($I390="""","""",IFERROR(INDEX(FILTER(Response_Lists!$B:$B,Response_Lists!$A:$A=$H391),3),""""))"),"")</f>
        <v/>
      </c>
      <c r="M391" s="28" t="str">
        <f>IFERROR(__xludf.DUMMYFUNCTION("IF($I390="""","""",IFERROR(INDEX(FILTER(Response_Lists!$B:$B,Response_Lists!$A:$A=$H391),4),""""))"),"")</f>
        <v/>
      </c>
      <c r="N391" s="28" t="str">
        <f>IFERROR(__xludf.DUMMYFUNCTION("IF($I390="""","""",IFERROR(INDEX(FILTER(Response_Lists!$B:$B,Response_Lists!$A:$A=$H391),5),""""))"),"")</f>
        <v/>
      </c>
      <c r="O391" s="28" t="str">
        <f>IFERROR(__xludf.DUMMYFUNCTION("IF($I390="""","""",IFERROR(INDEX(FILTER(Response_Lists!$B:$B,Response_Lists!$A:$A=$H391),6),""""))"),"")</f>
        <v/>
      </c>
      <c r="P391" s="28" t="str">
        <f t="shared" si="6"/>
        <v/>
      </c>
      <c r="Q391" s="28" t="str">
        <f t="array" ref="Q391">IF($I390="","",XLOOKUP(C391,FSM_State_Map!A:A,FSM_State_Map!D:D,""))</f>
        <v/>
      </c>
      <c r="R391" s="28" t="str">
        <f t="shared" si="7"/>
        <v/>
      </c>
      <c r="S391" s="28" t="str">
        <f t="array" ref="S391">IF($I390="","",
IF(
  AND(C391="B",C390&lt;&gt;"B"),
  XLOOKUP($B391,Derived_Variables!$A:$A,Derived_Variables!$K:$K,0)
  + XLOOKUP($B391,Derived_Variables!$A:$A,Derived_Variables!$AE:$AE,0),
  S390+AM390
))</f>
        <v/>
      </c>
      <c r="T391" s="28" t="str">
        <f t="shared" ref="T391:U391" si="792">IF($I390="","",T390+AN390)</f>
        <v/>
      </c>
      <c r="U391" s="28" t="str">
        <f t="shared" si="792"/>
        <v/>
      </c>
      <c r="V391" s="28" t="str">
        <f t="array" ref="V391">IF($I390="","",
IF(
  AND(C391="D",C390&lt;&gt;"D"),
  XLOOKUP($B391,Derived_Variables!$A:$A,Derived_Variables!$N:$N,0)
  + XLOOKUP($B391,Derived_Variables!$A:$A,Derived_Variables!$AE:$AE,0),
  V390+AP390
))</f>
        <v/>
      </c>
      <c r="W391" s="28" t="str">
        <f t="shared" ref="W391:X391" si="793">IF($I390="","",W390+AQ390)</f>
        <v/>
      </c>
      <c r="X391" s="28" t="str">
        <f t="shared" si="793"/>
        <v/>
      </c>
      <c r="Y391" s="28" t="str">
        <f t="array" ref="Y391">IF($I390="","",IF(AND(C391="P",C390&lt;&gt;"P"),IFERROR(XLOOKUP($B391,Lenso_Input!$A:$A,Lenso_Input!$E:$E,0),0),Y390+AS390))</f>
        <v/>
      </c>
      <c r="Z391" s="28" t="str">
        <f t="array" ref="Z391">IF($I390="","",IF(AND(C391="Q",C390&lt;&gt;"Q"),IFERROR(XLOOKUP($B391,Lenso_Input!$A:$A,Lenso_Input!$I:$I,0),0),Z390+AT390))</f>
        <v/>
      </c>
      <c r="AA391" s="28" t="str">
        <f t="array" ref="AA391">IF($I390="","",IF(XLOOKUP($B391,Derived_Variables!$A:$A,Derived_Variables!$R:$R,"6/6_target")="6/6_target","20_20_20","40_30_25"))</f>
        <v/>
      </c>
      <c r="AB391" s="28" t="str">
        <f t="array" ref="AB391">IF($I390="","",XLOOKUP(LOWER(XLOOKUP($B391,Derived_Variables!$A:$A,Derived_Variables!$T:$T,"Standard"))&amp;"_sph_step",Calibration!$B:$B,Calibration!$C:$C,0.25))</f>
        <v/>
      </c>
      <c r="AC391" s="28" t="str">
        <f t="array" ref="AC391">IF($I390="","",XLOOKUP(LOWER(XLOOKUP($B391,Derived_Variables!$A:$A,Derived_Variables!$T:$T,"Standard"))&amp;"_cyl_step",Calibration!$B:$B,Calibration!$C:$C,0.25))</f>
        <v/>
      </c>
      <c r="AD391" s="28" t="str">
        <f t="array" ref="AD391">IF($I390="","",IF(OR(C391="E",C391="H"),LET(startStep,XLOOKUP("axis_start_step",Calibration!$B:$B,Calibration!$C:$C,5),step1,XLOOKUP("axis_reversal_step_1",Calibration!$B:$B,Calibration!$C:$C,3),step2,XLOOKUP("axis_reversal_step_2",Calibration!$B:$B,Calibration!$C:$C,1),IF(OR(C390&lt;&gt;C391,AZ391="",AZ391="SAME",AZ391="CANT_TELL",I391="",I391="SAME",I391="CANT_TELL"),startStep,IF(OR(AND(AZ391="BETTER_1",I391="BETTER_2"),AND(AZ391="BETTER_2",I391="BETTER_1")),IF(AD390&gt;step1,step1,step2),AD390))),0))</f>
        <v/>
      </c>
      <c r="AE391" s="28" t="str">
        <f t="array" ref="AE391">IF($I390="","",XLOOKUP($B391,Derived_Variables!$A:$A,Derived_Variables!$AD:$AD,"No_Fog"))</f>
        <v/>
      </c>
      <c r="AF391" s="28" t="str">
        <f t="array" ref="AF391">IF($I390="","",XLOOKUP($B391,Derived_Variables!$A:$A,Derived_Variables!$AE:$AE,0))</f>
        <v/>
      </c>
      <c r="AG391" s="28" t="str">
        <f t="array" ref="AG391">IF($I390="","",XLOOKUP($B391,Derived_Variables!$A:$A,Derived_Variables!$AF:$AF,""))</f>
        <v/>
      </c>
      <c r="AH391" s="28" t="str">
        <f t="array" ref="AH391">IF($I390="","",XLOOKUP($B391,Derived_Variables!$A:$A,Derived_Variables!$AG:$AG,""))</f>
        <v/>
      </c>
      <c r="AI391" s="28" t="str">
        <f t="array" ref="AI391">IF($I390="","",XLOOKUP($B391,Derived_Variables!$A:$A,Derived_Variables!$AC:$AC,"Medium"))</f>
        <v/>
      </c>
      <c r="AJ391" s="28" t="str">
        <f t="array" ref="AJ391">IF($I390="","",XLOOKUP($B391,Derived_Variables!$A:$A,Derived_Variables!$Y:$Y,FALSE))</f>
        <v/>
      </c>
      <c r="AK391" s="28" t="str">
        <f t="array" ref="AK391">IF($I390="","",XLOOKUP($B391,Derived_Variables!$A:$A,Derived_Variables!$AA:$AA,"Normal"))</f>
        <v/>
      </c>
      <c r="AL391" s="28" t="str">
        <f t="array" ref="AL391">IF($I390="","",XLOOKUP($B391,Derived_Variables!$A:$A,Derived_Variables!$AB:$AB,"Normal"))</f>
        <v/>
      </c>
      <c r="AM391" s="28" t="str">
        <f t="array" ref="AM391">IF($I391="","",IFS(C391="B",IF(OR(I391="NOT_READABLE",I391="BLURRY"),-AB391,0),C391="G",IFS(I391="RED_CLEARER",XLOOKUP("duochrome_red_step",Calibration!$B:$B,Calibration!$C:$C,-0.25),I391="GREEN_CLEARER",XLOOKUP("duochrome_green_step",Calibration!$B:$B,Calibration!$C:$C,0.25),I391="EQUAL",IF(XLOOKUP($B391,Derived_Variables!$A:$A,Derived_Variables!$S:$S,"Neutral")="Undercorrect",XLOOKUP("undercorrect_step",Calibration!$B:$B,Calibration!$C:$C,0.25),IF(XLOOKUP($B391,Derived_Variables!$A:$A,Derived_Variables!$S:$S,"Neutral")="Overcorrect",-XLOOKUP("overcorrect_step",Calibration!$B:$B,Calibration!$C:$C,0.25),0)),TRUE,0),C391="K",IF(I391="TOP_CLEARER",XLOOKUP("bino_balance_step",Calibration!$B:$B,Calibration!$C:$C,0.25),0),TRUE,0))</f>
        <v/>
      </c>
      <c r="AN391" s="28" t="str">
        <f t="shared" si="10"/>
        <v/>
      </c>
      <c r="AO391" s="28" t="str">
        <f t="shared" si="11"/>
        <v/>
      </c>
      <c r="AP391" s="28" t="str">
        <f t="array" ref="AP391">IF($I391="","",IFS(C391="D",IF(OR(I391="NOT_READABLE",I391="BLURRY"),-AB391,0),C391="J",IFS(I391="RED_CLEARER",XLOOKUP("duochrome_red_step",Calibration!$B:$B,Calibration!$C:$C,-0.25),I391="GREEN_CLEARER",XLOOKUP("duochrome_green_step",Calibration!$B:$B,Calibration!$C:$C,0.25),I391="EQUAL",IF(XLOOKUP($B391,Derived_Variables!$A:$A,Derived_Variables!$S:$S,"Neutral")="Undercorrect",XLOOKUP("undercorrect_step",Calibration!$B:$B,Calibration!$C:$C,0.25),IF(XLOOKUP($B391,Derived_Variables!$A:$A,Derived_Variables!$S:$S,"Neutral")="Overcorrect",-XLOOKUP("overcorrect_step",Calibration!$B:$B,Calibration!$C:$C,0.25),0)),TRUE,0),C391="K",IF(I391="BOTTOM_CLEARER",XLOOKUP("bino_balance_step",Calibration!$B:$B,Calibration!$C:$C,0.25),0),TRUE,0))</f>
        <v/>
      </c>
      <c r="AQ391" s="28" t="str">
        <f t="shared" si="12"/>
        <v/>
      </c>
      <c r="AR391" s="28" t="str">
        <f t="shared" si="13"/>
        <v/>
      </c>
      <c r="AS391" s="28" t="str">
        <f t="array" ref="AS391">IF($I391="","",IF(C391="P",IF(OR(I391="NOT_READABLE",I391="BLURRY"),XLOOKUP("near_add_step",Calibration!$B:$B,Calibration!$C:$C,0.25),0),IF(C391="R",IF(I391="NOT_CLEAR",XLOOKUP("near_add_step",Calibration!$B:$B,Calibration!$C:$C,0.25),0),0)))</f>
        <v/>
      </c>
      <c r="AT391" s="28" t="str">
        <f t="array" ref="AT391">IF($I391="","",IF(C391="Q",IF(OR(I391="NOT_READABLE",I391="BLURRY"),XLOOKUP("near_add_step",Calibration!$B:$B,Calibration!$C:$C,0.25),0),IF(C391="R",IF(I391="NOT_CLEAR",XLOOKUP("near_add_step",Calibration!$B:$B,Calibration!$C:$C,0.25),0),0)))</f>
        <v/>
      </c>
      <c r="AU391" s="28" t="str">
        <f t="array" ref="AU391">IF($I391="","",IF(G391="SNELLEN_FEET",IF(I391="READABLE",IFERROR(XLOOKUP(XLOOKUP(R391,Chart_Scale_Distance!B:B,Chart_Scale_Distance!A:A)+1,Chart_Scale_Distance!A:A,Chart_Scale_Distance!B:B),R391),R391),R391))</f>
        <v/>
      </c>
      <c r="AV391" s="28" t="str">
        <f t="array" ref="AV391">IF($I390="","",IFERROR(XLOOKUP(R391,Chart_Scale_Distance!$B:$B,Chart_Scale_Distance!$A:$A,""),""))</f>
        <v/>
      </c>
      <c r="AW391" s="28" t="str">
        <f t="array" ref="AW391">IF($I390="","",IFERROR(XLOOKUP(AA391,Chart_Scale_Distance!$B:$B,Chart_Scale_Distance!$A:$A,""),""))</f>
        <v/>
      </c>
      <c r="AX391" s="28" t="str">
        <f t="shared" si="14"/>
        <v/>
      </c>
      <c r="AY391" s="28" t="str">
        <f t="shared" si="15"/>
        <v/>
      </c>
      <c r="AZ391" s="28" t="str">
        <f t="shared" si="16"/>
        <v/>
      </c>
      <c r="BA391" s="28" t="str">
        <f t="shared" si="17"/>
        <v/>
      </c>
      <c r="BB391" s="28" t="str">
        <f t="shared" si="18"/>
        <v/>
      </c>
      <c r="BC391" s="28" t="str">
        <f t="array" ref="BC391">IF($I391="","",LET(
conf,AI391,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duoMax,XLOOKUP($B391,Derived_Variables!$A:$A,Derived_Variables!$AI:$AI,4),
axisTol,XLOOKUP($B391,Derived_Variables!$A:$A,Derived_Variables!$W:$W,1),
maxStart,XLOOKUP($B391,Derived_Variables!$A:$A,Derived_Variables!$U:$U,1.25),
maxAR,XLOOKUP($B391,Derived_Variables!$A:$A,Derived_Variables!$V:$V,3),
anom,XLOOKUP($B391,Derived_Variables!$A:$A,Derived_Variables!$Z:$Z,FALSE),
reStart,XLOOKUP($B391,Derived_Variables!$A:$A,Derived_Variables!$K:$K,0),
leStart,XLOOKUP($B391,Derived_Variables!$A:$A,Derived_Variables!$N:$N,0),
reAR,XLOOKUP($B391,AR_Input!$A:$A,AR_Input!$B:$B,reStart),
leAR,XLOOKUP($B391,AR_Input!$A:$A,AR_Input!$E:$E,leStart),
reEsc,AND(anom,OR(ABS((S391+AM391)-reStart)&gt;maxStart,ABS((S391+AM391)-reAR)&gt;maxAR)),
leEsc,AND(anom,OR(ABS((V391+AP391)-leStart)&gt;maxStart,ABS((V391+AP391)-leAR)&gt;maxAR)),
phaseMax,IFS(
 AK391="Fast",
   IFS(
     OR(C391="B",C391="D"),XLOOKUP("timeout_coarse_fast",Calibration!$B:$B,Calibration!$C:$C,24),
     OR(C391="E",C391="F",C391="H",C391="I"),XLOOKUP("timeout_jcc_fast",Calibration!$B:$B,Calibration!$C:$C,10),
     OR(C391="G",C391="J"),XLOOKUP("timeout_duochrome_fast",Calibration!$B:$B,Calibration!$C:$C,8),
     C391="K",XLOOKUP("timeout_bino_fast",Calibration!$B:$B,Calibration!$C:$C,10),
     OR(C391="P",C391="Q",C391="R"),XLOOKUP("timeout_near_fast",Calibration!$B:$B,Calibration!$C:$C,16),
     TRUE,XLOOKUP("timeout_coarse_fast",Calibration!$B:$B,Calibration!$C:$C,24)
   ),
 AK391="Normal",
   IFS(
     OR(C391="B",C391="D"),XLOOKUP("timeout_coarse_normal",Calibration!$B:$B,Calibration!$C:$C,36),
     OR(C391="E",C391="F",C391="H",C391="I"),XLOOKUP("timeout_jcc_normal",Calibration!$B:$B,Calibration!$C:$C,14),
     OR(C391="G",C391="J"),XLOOKUP("timeout_duochrome_normal",Calibration!$B:$B,Calibration!$C:$C,10),
     C391="K",XLOOKUP("timeout_bino_normal",Calibration!$B:$B,Calibration!$C:$C,14),
     OR(C391="P",C391="Q",C391="R"),XLOOKUP("timeout_near_normal",Calibration!$B:$B,Calibration!$C:$C,22),
     TRUE,XLOOKUP("timeout_coarse_normal",Calibration!$B:$B,Calibration!$C:$C,36)
   ),
 TRUE,
   IFS(
     OR(C391="B",C391="D"),XLOOKUP("timeout_coarse_slow",Calibration!$B:$B,Calibration!$C:$C,48),
     OR(C391="E",C391="F",C391="H",C391="I"),XLOOKUP("timeout_jcc_slow",Calibration!$B:$B,Calibration!$C:$C,18),
     OR(C391="G",C391="J"),XLOOKUP("timeout_duochrome_slow",Calibration!$B:$B,Calibration!$C:$C,12),
     C391="K",XLOOKUP("timeout_bino_slow",Calibration!$B:$B,Calibration!$C:$C,18),
     OR(C391="P",C391="Q",C391="R"),XLOOKUP("timeout_near_slow",Calibration!$B:$B,Calibration!$C:$C,28),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AJ391=TRUE,"ESCALATE",
C391="A",
IF(OR(I391="NOT_READABLE",I391="BLURRY",AND(R391="20_20_20",I391="READABLE")),"B","A"),
C391="B",
IF(reEsc,"ESCALATE",IF(AY391&gt;=phaseMax,"ESCALATE",IF(AND(AV391&gt;=AW391,I391="READABLE"),"E","B"))),
C391="E",
IF(AY391&gt;=phaseMax,"ESCALATE",IF(OR(I391="SAME",I391="CANT_TELL",AD391&lt;axisTol),"F","E")),
C391="F",
IF(AY391&gt;=phaseMax,"ESCALATE",IF(AX391&gt;=powerSameN,"G","F")),
C391="G",
IF(AY391&gt;=phaseMax,"ESCALATE",IF(OR(AX391&gt;=duoEqualN,BB391&gt;=duoMax),"D","G")),
C391="D",
IF(leEsc,"ESCALATE",IF(AY391&gt;=phaseMax,"ESCALATE",IF(AND(AV391&gt;=AW391,I391="READABLE"),"H","D"))),
C391="H",
IF(AY391&gt;=phaseMax,"ESCALATE",IF(OR(I391="SAME",I391="CANT_TELL",AD391&lt;axisTol),"I","H")),
C391="I",
IF(AY391&gt;=phaseMax,"ESCALATE",IF(AX391&gt;=powerSameN,"J","I")),
C391="J",
IF(AY391&gt;=phaseMax,"ESCALATE",IF(OR(AX391&gt;=duoEqualN,BB391&gt;=duoMax),"K","J")),
C391="K",
IF(AY391&gt;=phaseMax,"ESCALATE",IF(AX391&gt;=binoSameN,IF(XLOOKUP($B391,Derived_Variables!$A:$A,Derived_Variables!$AJ:$AJ,FALSE)=TRUE,"P","END"),"K")),
C391="P",
IF(AY391&gt;=phaseMax,"ESCALATE",IF(OR(I391="READABLE",I391="SAME"),"Q","P")),
C391="Q",
IF(AY391&gt;=phaseMax,"ESCALATE",IF(OR(I391="READABLE",I391="SAME"),"R","Q")),
C391="R",
IF(AY391&gt;=phaseMax,"ESCALATE",IF(OR(I391=nearTarget,I391="SAME"),"END","R")),
TRUE,"END"
)))</f>
        <v/>
      </c>
      <c r="BD391" s="28" t="b">
        <f t="shared" si="19"/>
        <v>0</v>
      </c>
    </row>
    <row r="392" ht="15.75" customHeight="1">
      <c r="A392" s="28">
        <f t="shared" si="3"/>
        <v>391</v>
      </c>
      <c r="B392" s="28">
        <f t="shared" si="4"/>
        <v>6</v>
      </c>
      <c r="C392" s="28" t="str">
        <f t="shared" si="5"/>
        <v/>
      </c>
      <c r="D392" s="28" t="str">
        <f t="array" ref="D392">IF($I391="","",XLOOKUP(C392,FSM_State_Map!A:A,FSM_State_Map!B:B,""))</f>
        <v/>
      </c>
      <c r="E392" s="28" t="str">
        <f t="array" ref="E392">IF($I391="","",XLOOKUP(C392,FSM_State_Map!A:A,FSM_State_Map!C:C,""))</f>
        <v/>
      </c>
      <c r="F392" s="28" t="str">
        <f t="array" ref="F392">IF($I391="","",XLOOKUP(E392,Phase_UI_Map!A:A,Phase_UI_Map!B:B,""))</f>
        <v/>
      </c>
      <c r="G392" s="28" t="str">
        <f t="array" ref="G392">IF($I391="","",XLOOKUP(E392,Phase_UI_Map!A:A,Phase_UI_Map!C:C,""))</f>
        <v/>
      </c>
      <c r="H392" s="28" t="str">
        <f t="array" ref="H392">IF($I391="","",XLOOKUP(E392,Phase_UI_Map!A:A,Phase_UI_Map!D:D,""))</f>
        <v/>
      </c>
      <c r="I392" s="29"/>
      <c r="J392" s="28" t="str">
        <f>IFERROR(__xludf.DUMMYFUNCTION("IF($I391="""","""",IFERROR(INDEX(FILTER(Response_Lists!$B:$B,Response_Lists!$A:$A=$H392),1),""""))"),"")</f>
        <v/>
      </c>
      <c r="K392" s="28" t="str">
        <f>IFERROR(__xludf.DUMMYFUNCTION("IF($I391="""","""",IFERROR(INDEX(FILTER(Response_Lists!$B:$B,Response_Lists!$A:$A=$H392),2),""""))"),"")</f>
        <v/>
      </c>
      <c r="L392" s="28" t="str">
        <f>IFERROR(__xludf.DUMMYFUNCTION("IF($I391="""","""",IFERROR(INDEX(FILTER(Response_Lists!$B:$B,Response_Lists!$A:$A=$H392),3),""""))"),"")</f>
        <v/>
      </c>
      <c r="M392" s="28" t="str">
        <f>IFERROR(__xludf.DUMMYFUNCTION("IF($I391="""","""",IFERROR(INDEX(FILTER(Response_Lists!$B:$B,Response_Lists!$A:$A=$H392),4),""""))"),"")</f>
        <v/>
      </c>
      <c r="N392" s="28" t="str">
        <f>IFERROR(__xludf.DUMMYFUNCTION("IF($I391="""","""",IFERROR(INDEX(FILTER(Response_Lists!$B:$B,Response_Lists!$A:$A=$H392),5),""""))"),"")</f>
        <v/>
      </c>
      <c r="O392" s="28" t="str">
        <f>IFERROR(__xludf.DUMMYFUNCTION("IF($I391="""","""",IFERROR(INDEX(FILTER(Response_Lists!$B:$B,Response_Lists!$A:$A=$H392),6),""""))"),"")</f>
        <v/>
      </c>
      <c r="P392" s="28" t="str">
        <f t="shared" si="6"/>
        <v/>
      </c>
      <c r="Q392" s="28" t="str">
        <f t="array" ref="Q392">IF($I391="","",XLOOKUP(C392,FSM_State_Map!A:A,FSM_State_Map!D:D,""))</f>
        <v/>
      </c>
      <c r="R392" s="28" t="str">
        <f t="shared" si="7"/>
        <v/>
      </c>
      <c r="S392" s="28" t="str">
        <f t="array" ref="S392">IF($I391="","",
IF(
  AND(C392="B",C391&lt;&gt;"B"),
  XLOOKUP($B392,Derived_Variables!$A:$A,Derived_Variables!$K:$K,0)
  + XLOOKUP($B392,Derived_Variables!$A:$A,Derived_Variables!$AE:$AE,0),
  S391+AM391
))</f>
        <v/>
      </c>
      <c r="T392" s="28" t="str">
        <f t="shared" ref="T392:U392" si="794">IF($I391="","",T391+AN391)</f>
        <v/>
      </c>
      <c r="U392" s="28" t="str">
        <f t="shared" si="794"/>
        <v/>
      </c>
      <c r="V392" s="28" t="str">
        <f t="array" ref="V392">IF($I391="","",
IF(
  AND(C392="D",C391&lt;&gt;"D"),
  XLOOKUP($B392,Derived_Variables!$A:$A,Derived_Variables!$N:$N,0)
  + XLOOKUP($B392,Derived_Variables!$A:$A,Derived_Variables!$AE:$AE,0),
  V391+AP391
))</f>
        <v/>
      </c>
      <c r="W392" s="28" t="str">
        <f t="shared" ref="W392:X392" si="795">IF($I391="","",W391+AQ391)</f>
        <v/>
      </c>
      <c r="X392" s="28" t="str">
        <f t="shared" si="795"/>
        <v/>
      </c>
      <c r="Y392" s="28" t="str">
        <f t="array" ref="Y392">IF($I391="","",IF(AND(C392="P",C391&lt;&gt;"P"),IFERROR(XLOOKUP($B392,Lenso_Input!$A:$A,Lenso_Input!$E:$E,0),0),Y391+AS391))</f>
        <v/>
      </c>
      <c r="Z392" s="28" t="str">
        <f t="array" ref="Z392">IF($I391="","",IF(AND(C392="Q",C391&lt;&gt;"Q"),IFERROR(XLOOKUP($B392,Lenso_Input!$A:$A,Lenso_Input!$I:$I,0),0),Z391+AT391))</f>
        <v/>
      </c>
      <c r="AA392" s="28" t="str">
        <f t="array" ref="AA392">IF($I391="","",IF(XLOOKUP($B392,Derived_Variables!$A:$A,Derived_Variables!$R:$R,"6/6_target")="6/6_target","20_20_20","40_30_25"))</f>
        <v/>
      </c>
      <c r="AB392" s="28" t="str">
        <f t="array" ref="AB392">IF($I391="","",XLOOKUP(LOWER(XLOOKUP($B392,Derived_Variables!$A:$A,Derived_Variables!$T:$T,"Standard"))&amp;"_sph_step",Calibration!$B:$B,Calibration!$C:$C,0.25))</f>
        <v/>
      </c>
      <c r="AC392" s="28" t="str">
        <f t="array" ref="AC392">IF($I391="","",XLOOKUP(LOWER(XLOOKUP($B392,Derived_Variables!$A:$A,Derived_Variables!$T:$T,"Standard"))&amp;"_cyl_step",Calibration!$B:$B,Calibration!$C:$C,0.25))</f>
        <v/>
      </c>
      <c r="AD392" s="28" t="str">
        <f t="array" ref="AD392">IF($I391="","",IF(OR(C392="E",C392="H"),LET(startStep,XLOOKUP("axis_start_step",Calibration!$B:$B,Calibration!$C:$C,5),step1,XLOOKUP("axis_reversal_step_1",Calibration!$B:$B,Calibration!$C:$C,3),step2,XLOOKUP("axis_reversal_step_2",Calibration!$B:$B,Calibration!$C:$C,1),IF(OR(C391&lt;&gt;C392,AZ392="",AZ392="SAME",AZ392="CANT_TELL",I392="",I392="SAME",I392="CANT_TELL"),startStep,IF(OR(AND(AZ392="BETTER_1",I392="BETTER_2"),AND(AZ392="BETTER_2",I392="BETTER_1")),IF(AD391&gt;step1,step1,step2),AD391))),0))</f>
        <v/>
      </c>
      <c r="AE392" s="28" t="str">
        <f t="array" ref="AE392">IF($I391="","",XLOOKUP($B392,Derived_Variables!$A:$A,Derived_Variables!$AD:$AD,"No_Fog"))</f>
        <v/>
      </c>
      <c r="AF392" s="28" t="str">
        <f t="array" ref="AF392">IF($I391="","",XLOOKUP($B392,Derived_Variables!$A:$A,Derived_Variables!$AE:$AE,0))</f>
        <v/>
      </c>
      <c r="AG392" s="28" t="str">
        <f t="array" ref="AG392">IF($I391="","",XLOOKUP($B392,Derived_Variables!$A:$A,Derived_Variables!$AF:$AF,""))</f>
        <v/>
      </c>
      <c r="AH392" s="28" t="str">
        <f t="array" ref="AH392">IF($I391="","",XLOOKUP($B392,Derived_Variables!$A:$A,Derived_Variables!$AG:$AG,""))</f>
        <v/>
      </c>
      <c r="AI392" s="28" t="str">
        <f t="array" ref="AI392">IF($I391="","",XLOOKUP($B392,Derived_Variables!$A:$A,Derived_Variables!$AC:$AC,"Medium"))</f>
        <v/>
      </c>
      <c r="AJ392" s="28" t="str">
        <f t="array" ref="AJ392">IF($I391="","",XLOOKUP($B392,Derived_Variables!$A:$A,Derived_Variables!$Y:$Y,FALSE))</f>
        <v/>
      </c>
      <c r="AK392" s="28" t="str">
        <f t="array" ref="AK392">IF($I391="","",XLOOKUP($B392,Derived_Variables!$A:$A,Derived_Variables!$AA:$AA,"Normal"))</f>
        <v/>
      </c>
      <c r="AL392" s="28" t="str">
        <f t="array" ref="AL392">IF($I391="","",XLOOKUP($B392,Derived_Variables!$A:$A,Derived_Variables!$AB:$AB,"Normal"))</f>
        <v/>
      </c>
      <c r="AM392" s="28" t="str">
        <f t="array" ref="AM392">IF($I392="","",IFS(C392="B",IF(OR(I392="NOT_READABLE",I392="BLURRY"),-AB392,0),C392="G",IFS(I392="RED_CLEARER",XLOOKUP("duochrome_red_step",Calibration!$B:$B,Calibration!$C:$C,-0.25),I392="GREEN_CLEARER",XLOOKUP("duochrome_green_step",Calibration!$B:$B,Calibration!$C:$C,0.25),I392="EQUAL",IF(XLOOKUP($B392,Derived_Variables!$A:$A,Derived_Variables!$S:$S,"Neutral")="Undercorrect",XLOOKUP("undercorrect_step",Calibration!$B:$B,Calibration!$C:$C,0.25),IF(XLOOKUP($B392,Derived_Variables!$A:$A,Derived_Variables!$S:$S,"Neutral")="Overcorrect",-XLOOKUP("overcorrect_step",Calibration!$B:$B,Calibration!$C:$C,0.25),0)),TRUE,0),C392="K",IF(I392="TOP_CLEARER",XLOOKUP("bino_balance_step",Calibration!$B:$B,Calibration!$C:$C,0.25),0),TRUE,0))</f>
        <v/>
      </c>
      <c r="AN392" s="28" t="str">
        <f t="shared" si="10"/>
        <v/>
      </c>
      <c r="AO392" s="28" t="str">
        <f t="shared" si="11"/>
        <v/>
      </c>
      <c r="AP392" s="28" t="str">
        <f t="array" ref="AP392">IF($I392="","",IFS(C392="D",IF(OR(I392="NOT_READABLE",I392="BLURRY"),-AB392,0),C392="J",IFS(I392="RED_CLEARER",XLOOKUP("duochrome_red_step",Calibration!$B:$B,Calibration!$C:$C,-0.25),I392="GREEN_CLEARER",XLOOKUP("duochrome_green_step",Calibration!$B:$B,Calibration!$C:$C,0.25),I392="EQUAL",IF(XLOOKUP($B392,Derived_Variables!$A:$A,Derived_Variables!$S:$S,"Neutral")="Undercorrect",XLOOKUP("undercorrect_step",Calibration!$B:$B,Calibration!$C:$C,0.25),IF(XLOOKUP($B392,Derived_Variables!$A:$A,Derived_Variables!$S:$S,"Neutral")="Overcorrect",-XLOOKUP("overcorrect_step",Calibration!$B:$B,Calibration!$C:$C,0.25),0)),TRUE,0),C392="K",IF(I392="BOTTOM_CLEARER",XLOOKUP("bino_balance_step",Calibration!$B:$B,Calibration!$C:$C,0.25),0),TRUE,0))</f>
        <v/>
      </c>
      <c r="AQ392" s="28" t="str">
        <f t="shared" si="12"/>
        <v/>
      </c>
      <c r="AR392" s="28" t="str">
        <f t="shared" si="13"/>
        <v/>
      </c>
      <c r="AS392" s="28" t="str">
        <f t="array" ref="AS392">IF($I392="","",IF(C392="P",IF(OR(I392="NOT_READABLE",I392="BLURRY"),XLOOKUP("near_add_step",Calibration!$B:$B,Calibration!$C:$C,0.25),0),IF(C392="R",IF(I392="NOT_CLEAR",XLOOKUP("near_add_step",Calibration!$B:$B,Calibration!$C:$C,0.25),0),0)))</f>
        <v/>
      </c>
      <c r="AT392" s="28" t="str">
        <f t="array" ref="AT392">IF($I392="","",IF(C392="Q",IF(OR(I392="NOT_READABLE",I392="BLURRY"),XLOOKUP("near_add_step",Calibration!$B:$B,Calibration!$C:$C,0.25),0),IF(C392="R",IF(I392="NOT_CLEAR",XLOOKUP("near_add_step",Calibration!$B:$B,Calibration!$C:$C,0.25),0),0)))</f>
        <v/>
      </c>
      <c r="AU392" s="28" t="str">
        <f t="array" ref="AU392">IF($I392="","",IF(G392="SNELLEN_FEET",IF(I392="READABLE",IFERROR(XLOOKUP(XLOOKUP(R392,Chart_Scale_Distance!B:B,Chart_Scale_Distance!A:A)+1,Chart_Scale_Distance!A:A,Chart_Scale_Distance!B:B),R392),R392),R392))</f>
        <v/>
      </c>
      <c r="AV392" s="28" t="str">
        <f t="array" ref="AV392">IF($I391="","",IFERROR(XLOOKUP(R392,Chart_Scale_Distance!$B:$B,Chart_Scale_Distance!$A:$A,""),""))</f>
        <v/>
      </c>
      <c r="AW392" s="28" t="str">
        <f t="array" ref="AW392">IF($I391="","",IFERROR(XLOOKUP(AA392,Chart_Scale_Distance!$B:$B,Chart_Scale_Distance!$A:$A,""),""))</f>
        <v/>
      </c>
      <c r="AX392" s="28" t="str">
        <f t="shared" si="14"/>
        <v/>
      </c>
      <c r="AY392" s="28" t="str">
        <f t="shared" si="15"/>
        <v/>
      </c>
      <c r="AZ392" s="28" t="str">
        <f t="shared" si="16"/>
        <v/>
      </c>
      <c r="BA392" s="28" t="str">
        <f t="shared" si="17"/>
        <v/>
      </c>
      <c r="BB392" s="28" t="str">
        <f t="shared" si="18"/>
        <v/>
      </c>
      <c r="BC392" s="28" t="str">
        <f t="array" ref="BC392">IF($I392="","",LET(
conf,AI392,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duoMax,XLOOKUP($B392,Derived_Variables!$A:$A,Derived_Variables!$AI:$AI,4),
axisTol,XLOOKUP($B392,Derived_Variables!$A:$A,Derived_Variables!$W:$W,1),
maxStart,XLOOKUP($B392,Derived_Variables!$A:$A,Derived_Variables!$U:$U,1.25),
maxAR,XLOOKUP($B392,Derived_Variables!$A:$A,Derived_Variables!$V:$V,3),
anom,XLOOKUP($B392,Derived_Variables!$A:$A,Derived_Variables!$Z:$Z,FALSE),
reStart,XLOOKUP($B392,Derived_Variables!$A:$A,Derived_Variables!$K:$K,0),
leStart,XLOOKUP($B392,Derived_Variables!$A:$A,Derived_Variables!$N:$N,0),
reAR,XLOOKUP($B392,AR_Input!$A:$A,AR_Input!$B:$B,reStart),
leAR,XLOOKUP($B392,AR_Input!$A:$A,AR_Input!$E:$E,leStart),
reEsc,AND(anom,OR(ABS((S392+AM392)-reStart)&gt;maxStart,ABS((S392+AM392)-reAR)&gt;maxAR)),
leEsc,AND(anom,OR(ABS((V392+AP392)-leStart)&gt;maxStart,ABS((V392+AP392)-leAR)&gt;maxAR)),
phaseMax,IFS(
 AK392="Fast",
   IFS(
     OR(C392="B",C392="D"),XLOOKUP("timeout_coarse_fast",Calibration!$B:$B,Calibration!$C:$C,24),
     OR(C392="E",C392="F",C392="H",C392="I"),XLOOKUP("timeout_jcc_fast",Calibration!$B:$B,Calibration!$C:$C,10),
     OR(C392="G",C392="J"),XLOOKUP("timeout_duochrome_fast",Calibration!$B:$B,Calibration!$C:$C,8),
     C392="K",XLOOKUP("timeout_bino_fast",Calibration!$B:$B,Calibration!$C:$C,10),
     OR(C392="P",C392="Q",C392="R"),XLOOKUP("timeout_near_fast",Calibration!$B:$B,Calibration!$C:$C,16),
     TRUE,XLOOKUP("timeout_coarse_fast",Calibration!$B:$B,Calibration!$C:$C,24)
   ),
 AK392="Normal",
   IFS(
     OR(C392="B",C392="D"),XLOOKUP("timeout_coarse_normal",Calibration!$B:$B,Calibration!$C:$C,36),
     OR(C392="E",C392="F",C392="H",C392="I"),XLOOKUP("timeout_jcc_normal",Calibration!$B:$B,Calibration!$C:$C,14),
     OR(C392="G",C392="J"),XLOOKUP("timeout_duochrome_normal",Calibration!$B:$B,Calibration!$C:$C,10),
     C392="K",XLOOKUP("timeout_bino_normal",Calibration!$B:$B,Calibration!$C:$C,14),
     OR(C392="P",C392="Q",C392="R"),XLOOKUP("timeout_near_normal",Calibration!$B:$B,Calibration!$C:$C,22),
     TRUE,XLOOKUP("timeout_coarse_normal",Calibration!$B:$B,Calibration!$C:$C,36)
   ),
 TRUE,
   IFS(
     OR(C392="B",C392="D"),XLOOKUP("timeout_coarse_slow",Calibration!$B:$B,Calibration!$C:$C,48),
     OR(C392="E",C392="F",C392="H",C392="I"),XLOOKUP("timeout_jcc_slow",Calibration!$B:$B,Calibration!$C:$C,18),
     OR(C392="G",C392="J"),XLOOKUP("timeout_duochrome_slow",Calibration!$B:$B,Calibration!$C:$C,12),
     C392="K",XLOOKUP("timeout_bino_slow",Calibration!$B:$B,Calibration!$C:$C,18),
     OR(C392="P",C392="Q",C392="R"),XLOOKUP("timeout_near_slow",Calibration!$B:$B,Calibration!$C:$C,28),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AJ392=TRUE,"ESCALATE",
C392="A",
IF(OR(I392="NOT_READABLE",I392="BLURRY",AND(R392="20_20_20",I392="READABLE")),"B","A"),
C392="B",
IF(reEsc,"ESCALATE",IF(AY392&gt;=phaseMax,"ESCALATE",IF(AND(AV392&gt;=AW392,I392="READABLE"),"E","B"))),
C392="E",
IF(AY392&gt;=phaseMax,"ESCALATE",IF(OR(I392="SAME",I392="CANT_TELL",AD392&lt;axisTol),"F","E")),
C392="F",
IF(AY392&gt;=phaseMax,"ESCALATE",IF(AX392&gt;=powerSameN,"G","F")),
C392="G",
IF(AY392&gt;=phaseMax,"ESCALATE",IF(OR(AX392&gt;=duoEqualN,BB392&gt;=duoMax),"D","G")),
C392="D",
IF(leEsc,"ESCALATE",IF(AY392&gt;=phaseMax,"ESCALATE",IF(AND(AV392&gt;=AW392,I392="READABLE"),"H","D"))),
C392="H",
IF(AY392&gt;=phaseMax,"ESCALATE",IF(OR(I392="SAME",I392="CANT_TELL",AD392&lt;axisTol),"I","H")),
C392="I",
IF(AY392&gt;=phaseMax,"ESCALATE",IF(AX392&gt;=powerSameN,"J","I")),
C392="J",
IF(AY392&gt;=phaseMax,"ESCALATE",IF(OR(AX392&gt;=duoEqualN,BB392&gt;=duoMax),"K","J")),
C392="K",
IF(AY392&gt;=phaseMax,"ESCALATE",IF(AX392&gt;=binoSameN,IF(XLOOKUP($B392,Derived_Variables!$A:$A,Derived_Variables!$AJ:$AJ,FALSE)=TRUE,"P","END"),"K")),
C392="P",
IF(AY392&gt;=phaseMax,"ESCALATE",IF(OR(I392="READABLE",I392="SAME"),"Q","P")),
C392="Q",
IF(AY392&gt;=phaseMax,"ESCALATE",IF(OR(I392="READABLE",I392="SAME"),"R","Q")),
C392="R",
IF(AY392&gt;=phaseMax,"ESCALATE",IF(OR(I392=nearTarget,I392="SAME"),"END","R")),
TRUE,"END"
)))</f>
        <v/>
      </c>
      <c r="BD392" s="28" t="b">
        <f t="shared" si="19"/>
        <v>0</v>
      </c>
    </row>
    <row r="393" ht="15.75" customHeight="1">
      <c r="A393" s="28">
        <f t="shared" si="3"/>
        <v>392</v>
      </c>
      <c r="B393" s="28">
        <f t="shared" si="4"/>
        <v>6</v>
      </c>
      <c r="C393" s="28" t="str">
        <f t="shared" si="5"/>
        <v/>
      </c>
      <c r="D393" s="28" t="str">
        <f t="array" ref="D393">IF($I392="","",XLOOKUP(C393,FSM_State_Map!A:A,FSM_State_Map!B:B,""))</f>
        <v/>
      </c>
      <c r="E393" s="28" t="str">
        <f t="array" ref="E393">IF($I392="","",XLOOKUP(C393,FSM_State_Map!A:A,FSM_State_Map!C:C,""))</f>
        <v/>
      </c>
      <c r="F393" s="28" t="str">
        <f t="array" ref="F393">IF($I392="","",XLOOKUP(E393,Phase_UI_Map!A:A,Phase_UI_Map!B:B,""))</f>
        <v/>
      </c>
      <c r="G393" s="28" t="str">
        <f t="array" ref="G393">IF($I392="","",XLOOKUP(E393,Phase_UI_Map!A:A,Phase_UI_Map!C:C,""))</f>
        <v/>
      </c>
      <c r="H393" s="28" t="str">
        <f t="array" ref="H393">IF($I392="","",XLOOKUP(E393,Phase_UI_Map!A:A,Phase_UI_Map!D:D,""))</f>
        <v/>
      </c>
      <c r="I393" s="29"/>
      <c r="J393" s="28" t="str">
        <f>IFERROR(__xludf.DUMMYFUNCTION("IF($I392="""","""",IFERROR(INDEX(FILTER(Response_Lists!$B:$B,Response_Lists!$A:$A=$H393),1),""""))"),"")</f>
        <v/>
      </c>
      <c r="K393" s="28" t="str">
        <f>IFERROR(__xludf.DUMMYFUNCTION("IF($I392="""","""",IFERROR(INDEX(FILTER(Response_Lists!$B:$B,Response_Lists!$A:$A=$H393),2),""""))"),"")</f>
        <v/>
      </c>
      <c r="L393" s="28" t="str">
        <f>IFERROR(__xludf.DUMMYFUNCTION("IF($I392="""","""",IFERROR(INDEX(FILTER(Response_Lists!$B:$B,Response_Lists!$A:$A=$H393),3),""""))"),"")</f>
        <v/>
      </c>
      <c r="M393" s="28" t="str">
        <f>IFERROR(__xludf.DUMMYFUNCTION("IF($I392="""","""",IFERROR(INDEX(FILTER(Response_Lists!$B:$B,Response_Lists!$A:$A=$H393),4),""""))"),"")</f>
        <v/>
      </c>
      <c r="N393" s="28" t="str">
        <f>IFERROR(__xludf.DUMMYFUNCTION("IF($I392="""","""",IFERROR(INDEX(FILTER(Response_Lists!$B:$B,Response_Lists!$A:$A=$H393),5),""""))"),"")</f>
        <v/>
      </c>
      <c r="O393" s="28" t="str">
        <f>IFERROR(__xludf.DUMMYFUNCTION("IF($I392="""","""",IFERROR(INDEX(FILTER(Response_Lists!$B:$B,Response_Lists!$A:$A=$H393),6),""""))"),"")</f>
        <v/>
      </c>
      <c r="P393" s="28" t="str">
        <f t="shared" si="6"/>
        <v/>
      </c>
      <c r="Q393" s="28" t="str">
        <f t="array" ref="Q393">IF($I392="","",XLOOKUP(C393,FSM_State_Map!A:A,FSM_State_Map!D:D,""))</f>
        <v/>
      </c>
      <c r="R393" s="28" t="str">
        <f t="shared" si="7"/>
        <v/>
      </c>
      <c r="S393" s="28" t="str">
        <f t="array" ref="S393">IF($I392="","",
IF(
  AND(C393="B",C392&lt;&gt;"B"),
  XLOOKUP($B393,Derived_Variables!$A:$A,Derived_Variables!$K:$K,0)
  + XLOOKUP($B393,Derived_Variables!$A:$A,Derived_Variables!$AE:$AE,0),
  S392+AM392
))</f>
        <v/>
      </c>
      <c r="T393" s="28" t="str">
        <f t="shared" ref="T393:U393" si="796">IF($I392="","",T392+AN392)</f>
        <v/>
      </c>
      <c r="U393" s="28" t="str">
        <f t="shared" si="796"/>
        <v/>
      </c>
      <c r="V393" s="28" t="str">
        <f t="array" ref="V393">IF($I392="","",
IF(
  AND(C393="D",C392&lt;&gt;"D"),
  XLOOKUP($B393,Derived_Variables!$A:$A,Derived_Variables!$N:$N,0)
  + XLOOKUP($B393,Derived_Variables!$A:$A,Derived_Variables!$AE:$AE,0),
  V392+AP392
))</f>
        <v/>
      </c>
      <c r="W393" s="28" t="str">
        <f t="shared" ref="W393:X393" si="797">IF($I392="","",W392+AQ392)</f>
        <v/>
      </c>
      <c r="X393" s="28" t="str">
        <f t="shared" si="797"/>
        <v/>
      </c>
      <c r="Y393" s="28" t="str">
        <f t="array" ref="Y393">IF($I392="","",IF(AND(C393="P",C392&lt;&gt;"P"),IFERROR(XLOOKUP($B393,Lenso_Input!$A:$A,Lenso_Input!$E:$E,0),0),Y392+AS392))</f>
        <v/>
      </c>
      <c r="Z393" s="28" t="str">
        <f t="array" ref="Z393">IF($I392="","",IF(AND(C393="Q",C392&lt;&gt;"Q"),IFERROR(XLOOKUP($B393,Lenso_Input!$A:$A,Lenso_Input!$I:$I,0),0),Z392+AT392))</f>
        <v/>
      </c>
      <c r="AA393" s="28" t="str">
        <f t="array" ref="AA393">IF($I392="","",IF(XLOOKUP($B393,Derived_Variables!$A:$A,Derived_Variables!$R:$R,"6/6_target")="6/6_target","20_20_20","40_30_25"))</f>
        <v/>
      </c>
      <c r="AB393" s="28" t="str">
        <f t="array" ref="AB393">IF($I392="","",XLOOKUP(LOWER(XLOOKUP($B393,Derived_Variables!$A:$A,Derived_Variables!$T:$T,"Standard"))&amp;"_sph_step",Calibration!$B:$B,Calibration!$C:$C,0.25))</f>
        <v/>
      </c>
      <c r="AC393" s="28" t="str">
        <f t="array" ref="AC393">IF($I392="","",XLOOKUP(LOWER(XLOOKUP($B393,Derived_Variables!$A:$A,Derived_Variables!$T:$T,"Standard"))&amp;"_cyl_step",Calibration!$B:$B,Calibration!$C:$C,0.25))</f>
        <v/>
      </c>
      <c r="AD393" s="28" t="str">
        <f t="array" ref="AD393">IF($I392="","",IF(OR(C393="E",C393="H"),LET(startStep,XLOOKUP("axis_start_step",Calibration!$B:$B,Calibration!$C:$C,5),step1,XLOOKUP("axis_reversal_step_1",Calibration!$B:$B,Calibration!$C:$C,3),step2,XLOOKUP("axis_reversal_step_2",Calibration!$B:$B,Calibration!$C:$C,1),IF(OR(C392&lt;&gt;C393,AZ393="",AZ393="SAME",AZ393="CANT_TELL",I393="",I393="SAME",I393="CANT_TELL"),startStep,IF(OR(AND(AZ393="BETTER_1",I393="BETTER_2"),AND(AZ393="BETTER_2",I393="BETTER_1")),IF(AD392&gt;step1,step1,step2),AD392))),0))</f>
        <v/>
      </c>
      <c r="AE393" s="28" t="str">
        <f t="array" ref="AE393">IF($I392="","",XLOOKUP($B393,Derived_Variables!$A:$A,Derived_Variables!$AD:$AD,"No_Fog"))</f>
        <v/>
      </c>
      <c r="AF393" s="28" t="str">
        <f t="array" ref="AF393">IF($I392="","",XLOOKUP($B393,Derived_Variables!$A:$A,Derived_Variables!$AE:$AE,0))</f>
        <v/>
      </c>
      <c r="AG393" s="28" t="str">
        <f t="array" ref="AG393">IF($I392="","",XLOOKUP($B393,Derived_Variables!$A:$A,Derived_Variables!$AF:$AF,""))</f>
        <v/>
      </c>
      <c r="AH393" s="28" t="str">
        <f t="array" ref="AH393">IF($I392="","",XLOOKUP($B393,Derived_Variables!$A:$A,Derived_Variables!$AG:$AG,""))</f>
        <v/>
      </c>
      <c r="AI393" s="28" t="str">
        <f t="array" ref="AI393">IF($I392="","",XLOOKUP($B393,Derived_Variables!$A:$A,Derived_Variables!$AC:$AC,"Medium"))</f>
        <v/>
      </c>
      <c r="AJ393" s="28" t="str">
        <f t="array" ref="AJ393">IF($I392="","",XLOOKUP($B393,Derived_Variables!$A:$A,Derived_Variables!$Y:$Y,FALSE))</f>
        <v/>
      </c>
      <c r="AK393" s="28" t="str">
        <f t="array" ref="AK393">IF($I392="","",XLOOKUP($B393,Derived_Variables!$A:$A,Derived_Variables!$AA:$AA,"Normal"))</f>
        <v/>
      </c>
      <c r="AL393" s="28" t="str">
        <f t="array" ref="AL393">IF($I392="","",XLOOKUP($B393,Derived_Variables!$A:$A,Derived_Variables!$AB:$AB,"Normal"))</f>
        <v/>
      </c>
      <c r="AM393" s="28" t="str">
        <f t="array" ref="AM393">IF($I393="","",IFS(C393="B",IF(OR(I393="NOT_READABLE",I393="BLURRY"),-AB393,0),C393="G",IFS(I393="RED_CLEARER",XLOOKUP("duochrome_red_step",Calibration!$B:$B,Calibration!$C:$C,-0.25),I393="GREEN_CLEARER",XLOOKUP("duochrome_green_step",Calibration!$B:$B,Calibration!$C:$C,0.25),I393="EQUAL",IF(XLOOKUP($B393,Derived_Variables!$A:$A,Derived_Variables!$S:$S,"Neutral")="Undercorrect",XLOOKUP("undercorrect_step",Calibration!$B:$B,Calibration!$C:$C,0.25),IF(XLOOKUP($B393,Derived_Variables!$A:$A,Derived_Variables!$S:$S,"Neutral")="Overcorrect",-XLOOKUP("overcorrect_step",Calibration!$B:$B,Calibration!$C:$C,0.25),0)),TRUE,0),C393="K",IF(I393="TOP_CLEARER",XLOOKUP("bino_balance_step",Calibration!$B:$B,Calibration!$C:$C,0.25),0),TRUE,0))</f>
        <v/>
      </c>
      <c r="AN393" s="28" t="str">
        <f t="shared" si="10"/>
        <v/>
      </c>
      <c r="AO393" s="28" t="str">
        <f t="shared" si="11"/>
        <v/>
      </c>
      <c r="AP393" s="28" t="str">
        <f t="array" ref="AP393">IF($I393="","",IFS(C393="D",IF(OR(I393="NOT_READABLE",I393="BLURRY"),-AB393,0),C393="J",IFS(I393="RED_CLEARER",XLOOKUP("duochrome_red_step",Calibration!$B:$B,Calibration!$C:$C,-0.25),I393="GREEN_CLEARER",XLOOKUP("duochrome_green_step",Calibration!$B:$B,Calibration!$C:$C,0.25),I393="EQUAL",IF(XLOOKUP($B393,Derived_Variables!$A:$A,Derived_Variables!$S:$S,"Neutral")="Undercorrect",XLOOKUP("undercorrect_step",Calibration!$B:$B,Calibration!$C:$C,0.25),IF(XLOOKUP($B393,Derived_Variables!$A:$A,Derived_Variables!$S:$S,"Neutral")="Overcorrect",-XLOOKUP("overcorrect_step",Calibration!$B:$B,Calibration!$C:$C,0.25),0)),TRUE,0),C393="K",IF(I393="BOTTOM_CLEARER",XLOOKUP("bino_balance_step",Calibration!$B:$B,Calibration!$C:$C,0.25),0),TRUE,0))</f>
        <v/>
      </c>
      <c r="AQ393" s="28" t="str">
        <f t="shared" si="12"/>
        <v/>
      </c>
      <c r="AR393" s="28" t="str">
        <f t="shared" si="13"/>
        <v/>
      </c>
      <c r="AS393" s="28" t="str">
        <f t="array" ref="AS393">IF($I393="","",IF(C393="P",IF(OR(I393="NOT_READABLE",I393="BLURRY"),XLOOKUP("near_add_step",Calibration!$B:$B,Calibration!$C:$C,0.25),0),IF(C393="R",IF(I393="NOT_CLEAR",XLOOKUP("near_add_step",Calibration!$B:$B,Calibration!$C:$C,0.25),0),0)))</f>
        <v/>
      </c>
      <c r="AT393" s="28" t="str">
        <f t="array" ref="AT393">IF($I393="","",IF(C393="Q",IF(OR(I393="NOT_READABLE",I393="BLURRY"),XLOOKUP("near_add_step",Calibration!$B:$B,Calibration!$C:$C,0.25),0),IF(C393="R",IF(I393="NOT_CLEAR",XLOOKUP("near_add_step",Calibration!$B:$B,Calibration!$C:$C,0.25),0),0)))</f>
        <v/>
      </c>
      <c r="AU393" s="28" t="str">
        <f t="array" ref="AU393">IF($I393="","",IF(G393="SNELLEN_FEET",IF(I393="READABLE",IFERROR(XLOOKUP(XLOOKUP(R393,Chart_Scale_Distance!B:B,Chart_Scale_Distance!A:A)+1,Chart_Scale_Distance!A:A,Chart_Scale_Distance!B:B),R393),R393),R393))</f>
        <v/>
      </c>
      <c r="AV393" s="28" t="str">
        <f t="array" ref="AV393">IF($I392="","",IFERROR(XLOOKUP(R393,Chart_Scale_Distance!$B:$B,Chart_Scale_Distance!$A:$A,""),""))</f>
        <v/>
      </c>
      <c r="AW393" s="28" t="str">
        <f t="array" ref="AW393">IF($I392="","",IFERROR(XLOOKUP(AA393,Chart_Scale_Distance!$B:$B,Chart_Scale_Distance!$A:$A,""),""))</f>
        <v/>
      </c>
      <c r="AX393" s="28" t="str">
        <f t="shared" si="14"/>
        <v/>
      </c>
      <c r="AY393" s="28" t="str">
        <f t="shared" si="15"/>
        <v/>
      </c>
      <c r="AZ393" s="28" t="str">
        <f t="shared" si="16"/>
        <v/>
      </c>
      <c r="BA393" s="28" t="str">
        <f t="shared" si="17"/>
        <v/>
      </c>
      <c r="BB393" s="28" t="str">
        <f t="shared" si="18"/>
        <v/>
      </c>
      <c r="BC393" s="28" t="str">
        <f t="array" ref="BC393">IF($I393="","",LET(
conf,AI393,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duoMax,XLOOKUP($B393,Derived_Variables!$A:$A,Derived_Variables!$AI:$AI,4),
axisTol,XLOOKUP($B393,Derived_Variables!$A:$A,Derived_Variables!$W:$W,1),
maxStart,XLOOKUP($B393,Derived_Variables!$A:$A,Derived_Variables!$U:$U,1.25),
maxAR,XLOOKUP($B393,Derived_Variables!$A:$A,Derived_Variables!$V:$V,3),
anom,XLOOKUP($B393,Derived_Variables!$A:$A,Derived_Variables!$Z:$Z,FALSE),
reStart,XLOOKUP($B393,Derived_Variables!$A:$A,Derived_Variables!$K:$K,0),
leStart,XLOOKUP($B393,Derived_Variables!$A:$A,Derived_Variables!$N:$N,0),
reAR,XLOOKUP($B393,AR_Input!$A:$A,AR_Input!$B:$B,reStart),
leAR,XLOOKUP($B393,AR_Input!$A:$A,AR_Input!$E:$E,leStart),
reEsc,AND(anom,OR(ABS((S393+AM393)-reStart)&gt;maxStart,ABS((S393+AM393)-reAR)&gt;maxAR)),
leEsc,AND(anom,OR(ABS((V393+AP393)-leStart)&gt;maxStart,ABS((V393+AP393)-leAR)&gt;maxAR)),
phaseMax,IFS(
 AK393="Fast",
   IFS(
     OR(C393="B",C393="D"),XLOOKUP("timeout_coarse_fast",Calibration!$B:$B,Calibration!$C:$C,24),
     OR(C393="E",C393="F",C393="H",C393="I"),XLOOKUP("timeout_jcc_fast",Calibration!$B:$B,Calibration!$C:$C,10),
     OR(C393="G",C393="J"),XLOOKUP("timeout_duochrome_fast",Calibration!$B:$B,Calibration!$C:$C,8),
     C393="K",XLOOKUP("timeout_bino_fast",Calibration!$B:$B,Calibration!$C:$C,10),
     OR(C393="P",C393="Q",C393="R"),XLOOKUP("timeout_near_fast",Calibration!$B:$B,Calibration!$C:$C,16),
     TRUE,XLOOKUP("timeout_coarse_fast",Calibration!$B:$B,Calibration!$C:$C,24)
   ),
 AK393="Normal",
   IFS(
     OR(C393="B",C393="D"),XLOOKUP("timeout_coarse_normal",Calibration!$B:$B,Calibration!$C:$C,36),
     OR(C393="E",C393="F",C393="H",C393="I"),XLOOKUP("timeout_jcc_normal",Calibration!$B:$B,Calibration!$C:$C,14),
     OR(C393="G",C393="J"),XLOOKUP("timeout_duochrome_normal",Calibration!$B:$B,Calibration!$C:$C,10),
     C393="K",XLOOKUP("timeout_bino_normal",Calibration!$B:$B,Calibration!$C:$C,14),
     OR(C393="P",C393="Q",C393="R"),XLOOKUP("timeout_near_normal",Calibration!$B:$B,Calibration!$C:$C,22),
     TRUE,XLOOKUP("timeout_coarse_normal",Calibration!$B:$B,Calibration!$C:$C,36)
   ),
 TRUE,
   IFS(
     OR(C393="B",C393="D"),XLOOKUP("timeout_coarse_slow",Calibration!$B:$B,Calibration!$C:$C,48),
     OR(C393="E",C393="F",C393="H",C393="I"),XLOOKUP("timeout_jcc_slow",Calibration!$B:$B,Calibration!$C:$C,18),
     OR(C393="G",C393="J"),XLOOKUP("timeout_duochrome_slow",Calibration!$B:$B,Calibration!$C:$C,12),
     C393="K",XLOOKUP("timeout_bino_slow",Calibration!$B:$B,Calibration!$C:$C,18),
     OR(C393="P",C393="Q",C393="R"),XLOOKUP("timeout_near_slow",Calibration!$B:$B,Calibration!$C:$C,28),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AJ393=TRUE,"ESCALATE",
C393="A",
IF(OR(I393="NOT_READABLE",I393="BLURRY",AND(R393="20_20_20",I393="READABLE")),"B","A"),
C393="B",
IF(reEsc,"ESCALATE",IF(AY393&gt;=phaseMax,"ESCALATE",IF(AND(AV393&gt;=AW393,I393="READABLE"),"E","B"))),
C393="E",
IF(AY393&gt;=phaseMax,"ESCALATE",IF(OR(I393="SAME",I393="CANT_TELL",AD393&lt;axisTol),"F","E")),
C393="F",
IF(AY393&gt;=phaseMax,"ESCALATE",IF(AX393&gt;=powerSameN,"G","F")),
C393="G",
IF(AY393&gt;=phaseMax,"ESCALATE",IF(OR(AX393&gt;=duoEqualN,BB393&gt;=duoMax),"D","G")),
C393="D",
IF(leEsc,"ESCALATE",IF(AY393&gt;=phaseMax,"ESCALATE",IF(AND(AV393&gt;=AW393,I393="READABLE"),"H","D"))),
C393="H",
IF(AY393&gt;=phaseMax,"ESCALATE",IF(OR(I393="SAME",I393="CANT_TELL",AD393&lt;axisTol),"I","H")),
C393="I",
IF(AY393&gt;=phaseMax,"ESCALATE",IF(AX393&gt;=powerSameN,"J","I")),
C393="J",
IF(AY393&gt;=phaseMax,"ESCALATE",IF(OR(AX393&gt;=duoEqualN,BB393&gt;=duoMax),"K","J")),
C393="K",
IF(AY393&gt;=phaseMax,"ESCALATE",IF(AX393&gt;=binoSameN,IF(XLOOKUP($B393,Derived_Variables!$A:$A,Derived_Variables!$AJ:$AJ,FALSE)=TRUE,"P","END"),"K")),
C393="P",
IF(AY393&gt;=phaseMax,"ESCALATE",IF(OR(I393="READABLE",I393="SAME"),"Q","P")),
C393="Q",
IF(AY393&gt;=phaseMax,"ESCALATE",IF(OR(I393="READABLE",I393="SAME"),"R","Q")),
C393="R",
IF(AY393&gt;=phaseMax,"ESCALATE",IF(OR(I393=nearTarget,I393="SAME"),"END","R")),
TRUE,"END"
)))</f>
        <v/>
      </c>
      <c r="BD393" s="28" t="b">
        <f t="shared" si="19"/>
        <v>0</v>
      </c>
    </row>
    <row r="394" ht="15.75" customHeight="1">
      <c r="A394" s="28">
        <f t="shared" si="3"/>
        <v>393</v>
      </c>
      <c r="B394" s="28">
        <f t="shared" si="4"/>
        <v>6</v>
      </c>
      <c r="C394" s="28" t="str">
        <f t="shared" si="5"/>
        <v/>
      </c>
      <c r="D394" s="28" t="str">
        <f t="array" ref="D394">IF($I393="","",XLOOKUP(C394,FSM_State_Map!A:A,FSM_State_Map!B:B,""))</f>
        <v/>
      </c>
      <c r="E394" s="28" t="str">
        <f t="array" ref="E394">IF($I393="","",XLOOKUP(C394,FSM_State_Map!A:A,FSM_State_Map!C:C,""))</f>
        <v/>
      </c>
      <c r="F394" s="28" t="str">
        <f t="array" ref="F394">IF($I393="","",XLOOKUP(E394,Phase_UI_Map!A:A,Phase_UI_Map!B:B,""))</f>
        <v/>
      </c>
      <c r="G394" s="28" t="str">
        <f t="array" ref="G394">IF($I393="","",XLOOKUP(E394,Phase_UI_Map!A:A,Phase_UI_Map!C:C,""))</f>
        <v/>
      </c>
      <c r="H394" s="28" t="str">
        <f t="array" ref="H394">IF($I393="","",XLOOKUP(E394,Phase_UI_Map!A:A,Phase_UI_Map!D:D,""))</f>
        <v/>
      </c>
      <c r="I394" s="29"/>
      <c r="J394" s="28" t="str">
        <f>IFERROR(__xludf.DUMMYFUNCTION("IF($I393="""","""",IFERROR(INDEX(FILTER(Response_Lists!$B:$B,Response_Lists!$A:$A=$H394),1),""""))"),"")</f>
        <v/>
      </c>
      <c r="K394" s="28" t="str">
        <f>IFERROR(__xludf.DUMMYFUNCTION("IF($I393="""","""",IFERROR(INDEX(FILTER(Response_Lists!$B:$B,Response_Lists!$A:$A=$H394),2),""""))"),"")</f>
        <v/>
      </c>
      <c r="L394" s="28" t="str">
        <f>IFERROR(__xludf.DUMMYFUNCTION("IF($I393="""","""",IFERROR(INDEX(FILTER(Response_Lists!$B:$B,Response_Lists!$A:$A=$H394),3),""""))"),"")</f>
        <v/>
      </c>
      <c r="M394" s="28" t="str">
        <f>IFERROR(__xludf.DUMMYFUNCTION("IF($I393="""","""",IFERROR(INDEX(FILTER(Response_Lists!$B:$B,Response_Lists!$A:$A=$H394),4),""""))"),"")</f>
        <v/>
      </c>
      <c r="N394" s="28" t="str">
        <f>IFERROR(__xludf.DUMMYFUNCTION("IF($I393="""","""",IFERROR(INDEX(FILTER(Response_Lists!$B:$B,Response_Lists!$A:$A=$H394),5),""""))"),"")</f>
        <v/>
      </c>
      <c r="O394" s="28" t="str">
        <f>IFERROR(__xludf.DUMMYFUNCTION("IF($I393="""","""",IFERROR(INDEX(FILTER(Response_Lists!$B:$B,Response_Lists!$A:$A=$H394),6),""""))"),"")</f>
        <v/>
      </c>
      <c r="P394" s="28" t="str">
        <f t="shared" si="6"/>
        <v/>
      </c>
      <c r="Q394" s="28" t="str">
        <f t="array" ref="Q394">IF($I393="","",XLOOKUP(C394,FSM_State_Map!A:A,FSM_State_Map!D:D,""))</f>
        <v/>
      </c>
      <c r="R394" s="28" t="str">
        <f t="shared" si="7"/>
        <v/>
      </c>
      <c r="S394" s="28" t="str">
        <f t="array" ref="S394">IF($I393="","",
IF(
  AND(C394="B",C393&lt;&gt;"B"),
  XLOOKUP($B394,Derived_Variables!$A:$A,Derived_Variables!$K:$K,0)
  + XLOOKUP($B394,Derived_Variables!$A:$A,Derived_Variables!$AE:$AE,0),
  S393+AM393
))</f>
        <v/>
      </c>
      <c r="T394" s="28" t="str">
        <f t="shared" ref="T394:U394" si="798">IF($I393="","",T393+AN393)</f>
        <v/>
      </c>
      <c r="U394" s="28" t="str">
        <f t="shared" si="798"/>
        <v/>
      </c>
      <c r="V394" s="28" t="str">
        <f t="array" ref="V394">IF($I393="","",
IF(
  AND(C394="D",C393&lt;&gt;"D"),
  XLOOKUP($B394,Derived_Variables!$A:$A,Derived_Variables!$N:$N,0)
  + XLOOKUP($B394,Derived_Variables!$A:$A,Derived_Variables!$AE:$AE,0),
  V393+AP393
))</f>
        <v/>
      </c>
      <c r="W394" s="28" t="str">
        <f t="shared" ref="W394:X394" si="799">IF($I393="","",W393+AQ393)</f>
        <v/>
      </c>
      <c r="X394" s="28" t="str">
        <f t="shared" si="799"/>
        <v/>
      </c>
      <c r="Y394" s="28" t="str">
        <f t="array" ref="Y394">IF($I393="","",IF(AND(C394="P",C393&lt;&gt;"P"),IFERROR(XLOOKUP($B394,Lenso_Input!$A:$A,Lenso_Input!$E:$E,0),0),Y393+AS393))</f>
        <v/>
      </c>
      <c r="Z394" s="28" t="str">
        <f t="array" ref="Z394">IF($I393="","",IF(AND(C394="Q",C393&lt;&gt;"Q"),IFERROR(XLOOKUP($B394,Lenso_Input!$A:$A,Lenso_Input!$I:$I,0),0),Z393+AT393))</f>
        <v/>
      </c>
      <c r="AA394" s="28" t="str">
        <f t="array" ref="AA394">IF($I393="","",IF(XLOOKUP($B394,Derived_Variables!$A:$A,Derived_Variables!$R:$R,"6/6_target")="6/6_target","20_20_20","40_30_25"))</f>
        <v/>
      </c>
      <c r="AB394" s="28" t="str">
        <f t="array" ref="AB394">IF($I393="","",XLOOKUP(LOWER(XLOOKUP($B394,Derived_Variables!$A:$A,Derived_Variables!$T:$T,"Standard"))&amp;"_sph_step",Calibration!$B:$B,Calibration!$C:$C,0.25))</f>
        <v/>
      </c>
      <c r="AC394" s="28" t="str">
        <f t="array" ref="AC394">IF($I393="","",XLOOKUP(LOWER(XLOOKUP($B394,Derived_Variables!$A:$A,Derived_Variables!$T:$T,"Standard"))&amp;"_cyl_step",Calibration!$B:$B,Calibration!$C:$C,0.25))</f>
        <v/>
      </c>
      <c r="AD394" s="28" t="str">
        <f t="array" ref="AD394">IF($I393="","",IF(OR(C394="E",C394="H"),LET(startStep,XLOOKUP("axis_start_step",Calibration!$B:$B,Calibration!$C:$C,5),step1,XLOOKUP("axis_reversal_step_1",Calibration!$B:$B,Calibration!$C:$C,3),step2,XLOOKUP("axis_reversal_step_2",Calibration!$B:$B,Calibration!$C:$C,1),IF(OR(C393&lt;&gt;C394,AZ394="",AZ394="SAME",AZ394="CANT_TELL",I394="",I394="SAME",I394="CANT_TELL"),startStep,IF(OR(AND(AZ394="BETTER_1",I394="BETTER_2"),AND(AZ394="BETTER_2",I394="BETTER_1")),IF(AD393&gt;step1,step1,step2),AD393))),0))</f>
        <v/>
      </c>
      <c r="AE394" s="28" t="str">
        <f t="array" ref="AE394">IF($I393="","",XLOOKUP($B394,Derived_Variables!$A:$A,Derived_Variables!$AD:$AD,"No_Fog"))</f>
        <v/>
      </c>
      <c r="AF394" s="28" t="str">
        <f t="array" ref="AF394">IF($I393="","",XLOOKUP($B394,Derived_Variables!$A:$A,Derived_Variables!$AE:$AE,0))</f>
        <v/>
      </c>
      <c r="AG394" s="28" t="str">
        <f t="array" ref="AG394">IF($I393="","",XLOOKUP($B394,Derived_Variables!$A:$A,Derived_Variables!$AF:$AF,""))</f>
        <v/>
      </c>
      <c r="AH394" s="28" t="str">
        <f t="array" ref="AH394">IF($I393="","",XLOOKUP($B394,Derived_Variables!$A:$A,Derived_Variables!$AG:$AG,""))</f>
        <v/>
      </c>
      <c r="AI394" s="28" t="str">
        <f t="array" ref="AI394">IF($I393="","",XLOOKUP($B394,Derived_Variables!$A:$A,Derived_Variables!$AC:$AC,"Medium"))</f>
        <v/>
      </c>
      <c r="AJ394" s="28" t="str">
        <f t="array" ref="AJ394">IF($I393="","",XLOOKUP($B394,Derived_Variables!$A:$A,Derived_Variables!$Y:$Y,FALSE))</f>
        <v/>
      </c>
      <c r="AK394" s="28" t="str">
        <f t="array" ref="AK394">IF($I393="","",XLOOKUP($B394,Derived_Variables!$A:$A,Derived_Variables!$AA:$AA,"Normal"))</f>
        <v/>
      </c>
      <c r="AL394" s="28" t="str">
        <f t="array" ref="AL394">IF($I393="","",XLOOKUP($B394,Derived_Variables!$A:$A,Derived_Variables!$AB:$AB,"Normal"))</f>
        <v/>
      </c>
      <c r="AM394" s="28" t="str">
        <f t="array" ref="AM394">IF($I394="","",IFS(C394="B",IF(OR(I394="NOT_READABLE",I394="BLURRY"),-AB394,0),C394="G",IFS(I394="RED_CLEARER",XLOOKUP("duochrome_red_step",Calibration!$B:$B,Calibration!$C:$C,-0.25),I394="GREEN_CLEARER",XLOOKUP("duochrome_green_step",Calibration!$B:$B,Calibration!$C:$C,0.25),I394="EQUAL",IF(XLOOKUP($B394,Derived_Variables!$A:$A,Derived_Variables!$S:$S,"Neutral")="Undercorrect",XLOOKUP("undercorrect_step",Calibration!$B:$B,Calibration!$C:$C,0.25),IF(XLOOKUP($B394,Derived_Variables!$A:$A,Derived_Variables!$S:$S,"Neutral")="Overcorrect",-XLOOKUP("overcorrect_step",Calibration!$B:$B,Calibration!$C:$C,0.25),0)),TRUE,0),C394="K",IF(I394="TOP_CLEARER",XLOOKUP("bino_balance_step",Calibration!$B:$B,Calibration!$C:$C,0.25),0),TRUE,0))</f>
        <v/>
      </c>
      <c r="AN394" s="28" t="str">
        <f t="shared" si="10"/>
        <v/>
      </c>
      <c r="AO394" s="28" t="str">
        <f t="shared" si="11"/>
        <v/>
      </c>
      <c r="AP394" s="28" t="str">
        <f t="array" ref="AP394">IF($I394="","",IFS(C394="D",IF(OR(I394="NOT_READABLE",I394="BLURRY"),-AB394,0),C394="J",IFS(I394="RED_CLEARER",XLOOKUP("duochrome_red_step",Calibration!$B:$B,Calibration!$C:$C,-0.25),I394="GREEN_CLEARER",XLOOKUP("duochrome_green_step",Calibration!$B:$B,Calibration!$C:$C,0.25),I394="EQUAL",IF(XLOOKUP($B394,Derived_Variables!$A:$A,Derived_Variables!$S:$S,"Neutral")="Undercorrect",XLOOKUP("undercorrect_step",Calibration!$B:$B,Calibration!$C:$C,0.25),IF(XLOOKUP($B394,Derived_Variables!$A:$A,Derived_Variables!$S:$S,"Neutral")="Overcorrect",-XLOOKUP("overcorrect_step",Calibration!$B:$B,Calibration!$C:$C,0.25),0)),TRUE,0),C394="K",IF(I394="BOTTOM_CLEARER",XLOOKUP("bino_balance_step",Calibration!$B:$B,Calibration!$C:$C,0.25),0),TRUE,0))</f>
        <v/>
      </c>
      <c r="AQ394" s="28" t="str">
        <f t="shared" si="12"/>
        <v/>
      </c>
      <c r="AR394" s="28" t="str">
        <f t="shared" si="13"/>
        <v/>
      </c>
      <c r="AS394" s="28" t="str">
        <f t="array" ref="AS394">IF($I394="","",IF(C394="P",IF(OR(I394="NOT_READABLE",I394="BLURRY"),XLOOKUP("near_add_step",Calibration!$B:$B,Calibration!$C:$C,0.25),0),IF(C394="R",IF(I394="NOT_CLEAR",XLOOKUP("near_add_step",Calibration!$B:$B,Calibration!$C:$C,0.25),0),0)))</f>
        <v/>
      </c>
      <c r="AT394" s="28" t="str">
        <f t="array" ref="AT394">IF($I394="","",IF(C394="Q",IF(OR(I394="NOT_READABLE",I394="BLURRY"),XLOOKUP("near_add_step",Calibration!$B:$B,Calibration!$C:$C,0.25),0),IF(C394="R",IF(I394="NOT_CLEAR",XLOOKUP("near_add_step",Calibration!$B:$B,Calibration!$C:$C,0.25),0),0)))</f>
        <v/>
      </c>
      <c r="AU394" s="28" t="str">
        <f t="array" ref="AU394">IF($I394="","",IF(G394="SNELLEN_FEET",IF(I394="READABLE",IFERROR(XLOOKUP(XLOOKUP(R394,Chart_Scale_Distance!B:B,Chart_Scale_Distance!A:A)+1,Chart_Scale_Distance!A:A,Chart_Scale_Distance!B:B),R394),R394),R394))</f>
        <v/>
      </c>
      <c r="AV394" s="28" t="str">
        <f t="array" ref="AV394">IF($I393="","",IFERROR(XLOOKUP(R394,Chart_Scale_Distance!$B:$B,Chart_Scale_Distance!$A:$A,""),""))</f>
        <v/>
      </c>
      <c r="AW394" s="28" t="str">
        <f t="array" ref="AW394">IF($I393="","",IFERROR(XLOOKUP(AA394,Chart_Scale_Distance!$B:$B,Chart_Scale_Distance!$A:$A,""),""))</f>
        <v/>
      </c>
      <c r="AX394" s="28" t="str">
        <f t="shared" si="14"/>
        <v/>
      </c>
      <c r="AY394" s="28" t="str">
        <f t="shared" si="15"/>
        <v/>
      </c>
      <c r="AZ394" s="28" t="str">
        <f t="shared" si="16"/>
        <v/>
      </c>
      <c r="BA394" s="28" t="str">
        <f t="shared" si="17"/>
        <v/>
      </c>
      <c r="BB394" s="28" t="str">
        <f t="shared" si="18"/>
        <v/>
      </c>
      <c r="BC394" s="28" t="str">
        <f t="array" ref="BC394">IF($I394="","",LET(
conf,AI394,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duoMax,XLOOKUP($B394,Derived_Variables!$A:$A,Derived_Variables!$AI:$AI,4),
axisTol,XLOOKUP($B394,Derived_Variables!$A:$A,Derived_Variables!$W:$W,1),
maxStart,XLOOKUP($B394,Derived_Variables!$A:$A,Derived_Variables!$U:$U,1.25),
maxAR,XLOOKUP($B394,Derived_Variables!$A:$A,Derived_Variables!$V:$V,3),
anom,XLOOKUP($B394,Derived_Variables!$A:$A,Derived_Variables!$Z:$Z,FALSE),
reStart,XLOOKUP($B394,Derived_Variables!$A:$A,Derived_Variables!$K:$K,0),
leStart,XLOOKUP($B394,Derived_Variables!$A:$A,Derived_Variables!$N:$N,0),
reAR,XLOOKUP($B394,AR_Input!$A:$A,AR_Input!$B:$B,reStart),
leAR,XLOOKUP($B394,AR_Input!$A:$A,AR_Input!$E:$E,leStart),
reEsc,AND(anom,OR(ABS((S394+AM394)-reStart)&gt;maxStart,ABS((S394+AM394)-reAR)&gt;maxAR)),
leEsc,AND(anom,OR(ABS((V394+AP394)-leStart)&gt;maxStart,ABS((V394+AP394)-leAR)&gt;maxAR)),
phaseMax,IFS(
 AK394="Fast",
   IFS(
     OR(C394="B",C394="D"),XLOOKUP("timeout_coarse_fast",Calibration!$B:$B,Calibration!$C:$C,24),
     OR(C394="E",C394="F",C394="H",C394="I"),XLOOKUP("timeout_jcc_fast",Calibration!$B:$B,Calibration!$C:$C,10),
     OR(C394="G",C394="J"),XLOOKUP("timeout_duochrome_fast",Calibration!$B:$B,Calibration!$C:$C,8),
     C394="K",XLOOKUP("timeout_bino_fast",Calibration!$B:$B,Calibration!$C:$C,10),
     OR(C394="P",C394="Q",C394="R"),XLOOKUP("timeout_near_fast",Calibration!$B:$B,Calibration!$C:$C,16),
     TRUE,XLOOKUP("timeout_coarse_fast",Calibration!$B:$B,Calibration!$C:$C,24)
   ),
 AK394="Normal",
   IFS(
     OR(C394="B",C394="D"),XLOOKUP("timeout_coarse_normal",Calibration!$B:$B,Calibration!$C:$C,36),
     OR(C394="E",C394="F",C394="H",C394="I"),XLOOKUP("timeout_jcc_normal",Calibration!$B:$B,Calibration!$C:$C,14),
     OR(C394="G",C394="J"),XLOOKUP("timeout_duochrome_normal",Calibration!$B:$B,Calibration!$C:$C,10),
     C394="K",XLOOKUP("timeout_bino_normal",Calibration!$B:$B,Calibration!$C:$C,14),
     OR(C394="P",C394="Q",C394="R"),XLOOKUP("timeout_near_normal",Calibration!$B:$B,Calibration!$C:$C,22),
     TRUE,XLOOKUP("timeout_coarse_normal",Calibration!$B:$B,Calibration!$C:$C,36)
   ),
 TRUE,
   IFS(
     OR(C394="B",C394="D"),XLOOKUP("timeout_coarse_slow",Calibration!$B:$B,Calibration!$C:$C,48),
     OR(C394="E",C394="F",C394="H",C394="I"),XLOOKUP("timeout_jcc_slow",Calibration!$B:$B,Calibration!$C:$C,18),
     OR(C394="G",C394="J"),XLOOKUP("timeout_duochrome_slow",Calibration!$B:$B,Calibration!$C:$C,12),
     C394="K",XLOOKUP("timeout_bino_slow",Calibration!$B:$B,Calibration!$C:$C,18),
     OR(C394="P",C394="Q",C394="R"),XLOOKUP("timeout_near_slow",Calibration!$B:$B,Calibration!$C:$C,28),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AJ394=TRUE,"ESCALATE",
C394="A",
IF(OR(I394="NOT_READABLE",I394="BLURRY",AND(R394="20_20_20",I394="READABLE")),"B","A"),
C394="B",
IF(reEsc,"ESCALATE",IF(AY394&gt;=phaseMax,"ESCALATE",IF(AND(AV394&gt;=AW394,I394="READABLE"),"E","B"))),
C394="E",
IF(AY394&gt;=phaseMax,"ESCALATE",IF(OR(I394="SAME",I394="CANT_TELL",AD394&lt;axisTol),"F","E")),
C394="F",
IF(AY394&gt;=phaseMax,"ESCALATE",IF(AX394&gt;=powerSameN,"G","F")),
C394="G",
IF(AY394&gt;=phaseMax,"ESCALATE",IF(OR(AX394&gt;=duoEqualN,BB394&gt;=duoMax),"D","G")),
C394="D",
IF(leEsc,"ESCALATE",IF(AY394&gt;=phaseMax,"ESCALATE",IF(AND(AV394&gt;=AW394,I394="READABLE"),"H","D"))),
C394="H",
IF(AY394&gt;=phaseMax,"ESCALATE",IF(OR(I394="SAME",I394="CANT_TELL",AD394&lt;axisTol),"I","H")),
C394="I",
IF(AY394&gt;=phaseMax,"ESCALATE",IF(AX394&gt;=powerSameN,"J","I")),
C394="J",
IF(AY394&gt;=phaseMax,"ESCALATE",IF(OR(AX394&gt;=duoEqualN,BB394&gt;=duoMax),"K","J")),
C394="K",
IF(AY394&gt;=phaseMax,"ESCALATE",IF(AX394&gt;=binoSameN,IF(XLOOKUP($B394,Derived_Variables!$A:$A,Derived_Variables!$AJ:$AJ,FALSE)=TRUE,"P","END"),"K")),
C394="P",
IF(AY394&gt;=phaseMax,"ESCALATE",IF(OR(I394="READABLE",I394="SAME"),"Q","P")),
C394="Q",
IF(AY394&gt;=phaseMax,"ESCALATE",IF(OR(I394="READABLE",I394="SAME"),"R","Q")),
C394="R",
IF(AY394&gt;=phaseMax,"ESCALATE",IF(OR(I394=nearTarget,I394="SAME"),"END","R")),
TRUE,"END"
)))</f>
        <v/>
      </c>
      <c r="BD394" s="28" t="b">
        <f t="shared" si="19"/>
        <v>0</v>
      </c>
    </row>
    <row r="395" ht="15.75" customHeight="1">
      <c r="A395" s="28">
        <f t="shared" si="3"/>
        <v>394</v>
      </c>
      <c r="B395" s="28">
        <f t="shared" si="4"/>
        <v>6</v>
      </c>
      <c r="C395" s="28" t="str">
        <f t="shared" si="5"/>
        <v/>
      </c>
      <c r="D395" s="28" t="str">
        <f t="array" ref="D395">IF($I394="","",XLOOKUP(C395,FSM_State_Map!A:A,FSM_State_Map!B:B,""))</f>
        <v/>
      </c>
      <c r="E395" s="28" t="str">
        <f t="array" ref="E395">IF($I394="","",XLOOKUP(C395,FSM_State_Map!A:A,FSM_State_Map!C:C,""))</f>
        <v/>
      </c>
      <c r="F395" s="28" t="str">
        <f t="array" ref="F395">IF($I394="","",XLOOKUP(E395,Phase_UI_Map!A:A,Phase_UI_Map!B:B,""))</f>
        <v/>
      </c>
      <c r="G395" s="28" t="str">
        <f t="array" ref="G395">IF($I394="","",XLOOKUP(E395,Phase_UI_Map!A:A,Phase_UI_Map!C:C,""))</f>
        <v/>
      </c>
      <c r="H395" s="28" t="str">
        <f t="array" ref="H395">IF($I394="","",XLOOKUP(E395,Phase_UI_Map!A:A,Phase_UI_Map!D:D,""))</f>
        <v/>
      </c>
      <c r="I395" s="29"/>
      <c r="J395" s="28" t="str">
        <f>IFERROR(__xludf.DUMMYFUNCTION("IF($I394="""","""",IFERROR(INDEX(FILTER(Response_Lists!$B:$B,Response_Lists!$A:$A=$H395),1),""""))"),"")</f>
        <v/>
      </c>
      <c r="K395" s="28" t="str">
        <f>IFERROR(__xludf.DUMMYFUNCTION("IF($I394="""","""",IFERROR(INDEX(FILTER(Response_Lists!$B:$B,Response_Lists!$A:$A=$H395),2),""""))"),"")</f>
        <v/>
      </c>
      <c r="L395" s="28" t="str">
        <f>IFERROR(__xludf.DUMMYFUNCTION("IF($I394="""","""",IFERROR(INDEX(FILTER(Response_Lists!$B:$B,Response_Lists!$A:$A=$H395),3),""""))"),"")</f>
        <v/>
      </c>
      <c r="M395" s="28" t="str">
        <f>IFERROR(__xludf.DUMMYFUNCTION("IF($I394="""","""",IFERROR(INDEX(FILTER(Response_Lists!$B:$B,Response_Lists!$A:$A=$H395),4),""""))"),"")</f>
        <v/>
      </c>
      <c r="N395" s="28" t="str">
        <f>IFERROR(__xludf.DUMMYFUNCTION("IF($I394="""","""",IFERROR(INDEX(FILTER(Response_Lists!$B:$B,Response_Lists!$A:$A=$H395),5),""""))"),"")</f>
        <v/>
      </c>
      <c r="O395" s="28" t="str">
        <f>IFERROR(__xludf.DUMMYFUNCTION("IF($I394="""","""",IFERROR(INDEX(FILTER(Response_Lists!$B:$B,Response_Lists!$A:$A=$H395),6),""""))"),"")</f>
        <v/>
      </c>
      <c r="P395" s="28" t="str">
        <f t="shared" si="6"/>
        <v/>
      </c>
      <c r="Q395" s="28" t="str">
        <f t="array" ref="Q395">IF($I394="","",XLOOKUP(C395,FSM_State_Map!A:A,FSM_State_Map!D:D,""))</f>
        <v/>
      </c>
      <c r="R395" s="28" t="str">
        <f t="shared" si="7"/>
        <v/>
      </c>
      <c r="S395" s="28" t="str">
        <f t="array" ref="S395">IF($I394="","",
IF(
  AND(C395="B",C394&lt;&gt;"B"),
  XLOOKUP($B395,Derived_Variables!$A:$A,Derived_Variables!$K:$K,0)
  + XLOOKUP($B395,Derived_Variables!$A:$A,Derived_Variables!$AE:$AE,0),
  S394+AM394
))</f>
        <v/>
      </c>
      <c r="T395" s="28" t="str">
        <f t="shared" ref="T395:U395" si="800">IF($I394="","",T394+AN394)</f>
        <v/>
      </c>
      <c r="U395" s="28" t="str">
        <f t="shared" si="800"/>
        <v/>
      </c>
      <c r="V395" s="28" t="str">
        <f t="array" ref="V395">IF($I394="","",
IF(
  AND(C395="D",C394&lt;&gt;"D"),
  XLOOKUP($B395,Derived_Variables!$A:$A,Derived_Variables!$N:$N,0)
  + XLOOKUP($B395,Derived_Variables!$A:$A,Derived_Variables!$AE:$AE,0),
  V394+AP394
))</f>
        <v/>
      </c>
      <c r="W395" s="28" t="str">
        <f t="shared" ref="W395:X395" si="801">IF($I394="","",W394+AQ394)</f>
        <v/>
      </c>
      <c r="X395" s="28" t="str">
        <f t="shared" si="801"/>
        <v/>
      </c>
      <c r="Y395" s="28" t="str">
        <f t="array" ref="Y395">IF($I394="","",IF(AND(C395="P",C394&lt;&gt;"P"),IFERROR(XLOOKUP($B395,Lenso_Input!$A:$A,Lenso_Input!$E:$E,0),0),Y394+AS394))</f>
        <v/>
      </c>
      <c r="Z395" s="28" t="str">
        <f t="array" ref="Z395">IF($I394="","",IF(AND(C395="Q",C394&lt;&gt;"Q"),IFERROR(XLOOKUP($B395,Lenso_Input!$A:$A,Lenso_Input!$I:$I,0),0),Z394+AT394))</f>
        <v/>
      </c>
      <c r="AA395" s="28" t="str">
        <f t="array" ref="AA395">IF($I394="","",IF(XLOOKUP($B395,Derived_Variables!$A:$A,Derived_Variables!$R:$R,"6/6_target")="6/6_target","20_20_20","40_30_25"))</f>
        <v/>
      </c>
      <c r="AB395" s="28" t="str">
        <f t="array" ref="AB395">IF($I394="","",XLOOKUP(LOWER(XLOOKUP($B395,Derived_Variables!$A:$A,Derived_Variables!$T:$T,"Standard"))&amp;"_sph_step",Calibration!$B:$B,Calibration!$C:$C,0.25))</f>
        <v/>
      </c>
      <c r="AC395" s="28" t="str">
        <f t="array" ref="AC395">IF($I394="","",XLOOKUP(LOWER(XLOOKUP($B395,Derived_Variables!$A:$A,Derived_Variables!$T:$T,"Standard"))&amp;"_cyl_step",Calibration!$B:$B,Calibration!$C:$C,0.25))</f>
        <v/>
      </c>
      <c r="AD395" s="28" t="str">
        <f t="array" ref="AD395">IF($I394="","",IF(OR(C395="E",C395="H"),LET(startStep,XLOOKUP("axis_start_step",Calibration!$B:$B,Calibration!$C:$C,5),step1,XLOOKUP("axis_reversal_step_1",Calibration!$B:$B,Calibration!$C:$C,3),step2,XLOOKUP("axis_reversal_step_2",Calibration!$B:$B,Calibration!$C:$C,1),IF(OR(C394&lt;&gt;C395,AZ395="",AZ395="SAME",AZ395="CANT_TELL",I395="",I395="SAME",I395="CANT_TELL"),startStep,IF(OR(AND(AZ395="BETTER_1",I395="BETTER_2"),AND(AZ395="BETTER_2",I395="BETTER_1")),IF(AD394&gt;step1,step1,step2),AD394))),0))</f>
        <v/>
      </c>
      <c r="AE395" s="28" t="str">
        <f t="array" ref="AE395">IF($I394="","",XLOOKUP($B395,Derived_Variables!$A:$A,Derived_Variables!$AD:$AD,"No_Fog"))</f>
        <v/>
      </c>
      <c r="AF395" s="28" t="str">
        <f t="array" ref="AF395">IF($I394="","",XLOOKUP($B395,Derived_Variables!$A:$A,Derived_Variables!$AE:$AE,0))</f>
        <v/>
      </c>
      <c r="AG395" s="28" t="str">
        <f t="array" ref="AG395">IF($I394="","",XLOOKUP($B395,Derived_Variables!$A:$A,Derived_Variables!$AF:$AF,""))</f>
        <v/>
      </c>
      <c r="AH395" s="28" t="str">
        <f t="array" ref="AH395">IF($I394="","",XLOOKUP($B395,Derived_Variables!$A:$A,Derived_Variables!$AG:$AG,""))</f>
        <v/>
      </c>
      <c r="AI395" s="28" t="str">
        <f t="array" ref="AI395">IF($I394="","",XLOOKUP($B395,Derived_Variables!$A:$A,Derived_Variables!$AC:$AC,"Medium"))</f>
        <v/>
      </c>
      <c r="AJ395" s="28" t="str">
        <f t="array" ref="AJ395">IF($I394="","",XLOOKUP($B395,Derived_Variables!$A:$A,Derived_Variables!$Y:$Y,FALSE))</f>
        <v/>
      </c>
      <c r="AK395" s="28" t="str">
        <f t="array" ref="AK395">IF($I394="","",XLOOKUP($B395,Derived_Variables!$A:$A,Derived_Variables!$AA:$AA,"Normal"))</f>
        <v/>
      </c>
      <c r="AL395" s="28" t="str">
        <f t="array" ref="AL395">IF($I394="","",XLOOKUP($B395,Derived_Variables!$A:$A,Derived_Variables!$AB:$AB,"Normal"))</f>
        <v/>
      </c>
      <c r="AM395" s="28" t="str">
        <f t="array" ref="AM395">IF($I395="","",IFS(C395="B",IF(OR(I395="NOT_READABLE",I395="BLURRY"),-AB395,0),C395="G",IFS(I395="RED_CLEARER",XLOOKUP("duochrome_red_step",Calibration!$B:$B,Calibration!$C:$C,-0.25),I395="GREEN_CLEARER",XLOOKUP("duochrome_green_step",Calibration!$B:$B,Calibration!$C:$C,0.25),I395="EQUAL",IF(XLOOKUP($B395,Derived_Variables!$A:$A,Derived_Variables!$S:$S,"Neutral")="Undercorrect",XLOOKUP("undercorrect_step",Calibration!$B:$B,Calibration!$C:$C,0.25),IF(XLOOKUP($B395,Derived_Variables!$A:$A,Derived_Variables!$S:$S,"Neutral")="Overcorrect",-XLOOKUP("overcorrect_step",Calibration!$B:$B,Calibration!$C:$C,0.25),0)),TRUE,0),C395="K",IF(I395="TOP_CLEARER",XLOOKUP("bino_balance_step",Calibration!$B:$B,Calibration!$C:$C,0.25),0),TRUE,0))</f>
        <v/>
      </c>
      <c r="AN395" s="28" t="str">
        <f t="shared" si="10"/>
        <v/>
      </c>
      <c r="AO395" s="28" t="str">
        <f t="shared" si="11"/>
        <v/>
      </c>
      <c r="AP395" s="28" t="str">
        <f t="array" ref="AP395">IF($I395="","",IFS(C395="D",IF(OR(I395="NOT_READABLE",I395="BLURRY"),-AB395,0),C395="J",IFS(I395="RED_CLEARER",XLOOKUP("duochrome_red_step",Calibration!$B:$B,Calibration!$C:$C,-0.25),I395="GREEN_CLEARER",XLOOKUP("duochrome_green_step",Calibration!$B:$B,Calibration!$C:$C,0.25),I395="EQUAL",IF(XLOOKUP($B395,Derived_Variables!$A:$A,Derived_Variables!$S:$S,"Neutral")="Undercorrect",XLOOKUP("undercorrect_step",Calibration!$B:$B,Calibration!$C:$C,0.25),IF(XLOOKUP($B395,Derived_Variables!$A:$A,Derived_Variables!$S:$S,"Neutral")="Overcorrect",-XLOOKUP("overcorrect_step",Calibration!$B:$B,Calibration!$C:$C,0.25),0)),TRUE,0),C395="K",IF(I395="BOTTOM_CLEARER",XLOOKUP("bino_balance_step",Calibration!$B:$B,Calibration!$C:$C,0.25),0),TRUE,0))</f>
        <v/>
      </c>
      <c r="AQ395" s="28" t="str">
        <f t="shared" si="12"/>
        <v/>
      </c>
      <c r="AR395" s="28" t="str">
        <f t="shared" si="13"/>
        <v/>
      </c>
      <c r="AS395" s="28" t="str">
        <f t="array" ref="AS395">IF($I395="","",IF(C395="P",IF(OR(I395="NOT_READABLE",I395="BLURRY"),XLOOKUP("near_add_step",Calibration!$B:$B,Calibration!$C:$C,0.25),0),IF(C395="R",IF(I395="NOT_CLEAR",XLOOKUP("near_add_step",Calibration!$B:$B,Calibration!$C:$C,0.25),0),0)))</f>
        <v/>
      </c>
      <c r="AT395" s="28" t="str">
        <f t="array" ref="AT395">IF($I395="","",IF(C395="Q",IF(OR(I395="NOT_READABLE",I395="BLURRY"),XLOOKUP("near_add_step",Calibration!$B:$B,Calibration!$C:$C,0.25),0),IF(C395="R",IF(I395="NOT_CLEAR",XLOOKUP("near_add_step",Calibration!$B:$B,Calibration!$C:$C,0.25),0),0)))</f>
        <v/>
      </c>
      <c r="AU395" s="28" t="str">
        <f t="array" ref="AU395">IF($I395="","",IF(G395="SNELLEN_FEET",IF(I395="READABLE",IFERROR(XLOOKUP(XLOOKUP(R395,Chart_Scale_Distance!B:B,Chart_Scale_Distance!A:A)+1,Chart_Scale_Distance!A:A,Chart_Scale_Distance!B:B),R395),R395),R395))</f>
        <v/>
      </c>
      <c r="AV395" s="28" t="str">
        <f t="array" ref="AV395">IF($I394="","",IFERROR(XLOOKUP(R395,Chart_Scale_Distance!$B:$B,Chart_Scale_Distance!$A:$A,""),""))</f>
        <v/>
      </c>
      <c r="AW395" s="28" t="str">
        <f t="array" ref="AW395">IF($I394="","",IFERROR(XLOOKUP(AA395,Chart_Scale_Distance!$B:$B,Chart_Scale_Distance!$A:$A,""),""))</f>
        <v/>
      </c>
      <c r="AX395" s="28" t="str">
        <f t="shared" si="14"/>
        <v/>
      </c>
      <c r="AY395" s="28" t="str">
        <f t="shared" si="15"/>
        <v/>
      </c>
      <c r="AZ395" s="28" t="str">
        <f t="shared" si="16"/>
        <v/>
      </c>
      <c r="BA395" s="28" t="str">
        <f t="shared" si="17"/>
        <v/>
      </c>
      <c r="BB395" s="28" t="str">
        <f t="shared" si="18"/>
        <v/>
      </c>
      <c r="BC395" s="28" t="str">
        <f t="array" ref="BC395">IF($I395="","",LET(
conf,AI395,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duoMax,XLOOKUP($B395,Derived_Variables!$A:$A,Derived_Variables!$AI:$AI,4),
axisTol,XLOOKUP($B395,Derived_Variables!$A:$A,Derived_Variables!$W:$W,1),
maxStart,XLOOKUP($B395,Derived_Variables!$A:$A,Derived_Variables!$U:$U,1.25),
maxAR,XLOOKUP($B395,Derived_Variables!$A:$A,Derived_Variables!$V:$V,3),
anom,XLOOKUP($B395,Derived_Variables!$A:$A,Derived_Variables!$Z:$Z,FALSE),
reStart,XLOOKUP($B395,Derived_Variables!$A:$A,Derived_Variables!$K:$K,0),
leStart,XLOOKUP($B395,Derived_Variables!$A:$A,Derived_Variables!$N:$N,0),
reAR,XLOOKUP($B395,AR_Input!$A:$A,AR_Input!$B:$B,reStart),
leAR,XLOOKUP($B395,AR_Input!$A:$A,AR_Input!$E:$E,leStart),
reEsc,AND(anom,OR(ABS((S395+AM395)-reStart)&gt;maxStart,ABS((S395+AM395)-reAR)&gt;maxAR)),
leEsc,AND(anom,OR(ABS((V395+AP395)-leStart)&gt;maxStart,ABS((V395+AP395)-leAR)&gt;maxAR)),
phaseMax,IFS(
 AK395="Fast",
   IFS(
     OR(C395="B",C395="D"),XLOOKUP("timeout_coarse_fast",Calibration!$B:$B,Calibration!$C:$C,24),
     OR(C395="E",C395="F",C395="H",C395="I"),XLOOKUP("timeout_jcc_fast",Calibration!$B:$B,Calibration!$C:$C,10),
     OR(C395="G",C395="J"),XLOOKUP("timeout_duochrome_fast",Calibration!$B:$B,Calibration!$C:$C,8),
     C395="K",XLOOKUP("timeout_bino_fast",Calibration!$B:$B,Calibration!$C:$C,10),
     OR(C395="P",C395="Q",C395="R"),XLOOKUP("timeout_near_fast",Calibration!$B:$B,Calibration!$C:$C,16),
     TRUE,XLOOKUP("timeout_coarse_fast",Calibration!$B:$B,Calibration!$C:$C,24)
   ),
 AK395="Normal",
   IFS(
     OR(C395="B",C395="D"),XLOOKUP("timeout_coarse_normal",Calibration!$B:$B,Calibration!$C:$C,36),
     OR(C395="E",C395="F",C395="H",C395="I"),XLOOKUP("timeout_jcc_normal",Calibration!$B:$B,Calibration!$C:$C,14),
     OR(C395="G",C395="J"),XLOOKUP("timeout_duochrome_normal",Calibration!$B:$B,Calibration!$C:$C,10),
     C395="K",XLOOKUP("timeout_bino_normal",Calibration!$B:$B,Calibration!$C:$C,14),
     OR(C395="P",C395="Q",C395="R"),XLOOKUP("timeout_near_normal",Calibration!$B:$B,Calibration!$C:$C,22),
     TRUE,XLOOKUP("timeout_coarse_normal",Calibration!$B:$B,Calibration!$C:$C,36)
   ),
 TRUE,
   IFS(
     OR(C395="B",C395="D"),XLOOKUP("timeout_coarse_slow",Calibration!$B:$B,Calibration!$C:$C,48),
     OR(C395="E",C395="F",C395="H",C395="I"),XLOOKUP("timeout_jcc_slow",Calibration!$B:$B,Calibration!$C:$C,18),
     OR(C395="G",C395="J"),XLOOKUP("timeout_duochrome_slow",Calibration!$B:$B,Calibration!$C:$C,12),
     C395="K",XLOOKUP("timeout_bino_slow",Calibration!$B:$B,Calibration!$C:$C,18),
     OR(C395="P",C395="Q",C395="R"),XLOOKUP("timeout_near_slow",Calibration!$B:$B,Calibration!$C:$C,28),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AJ395=TRUE,"ESCALATE",
C395="A",
IF(OR(I395="NOT_READABLE",I395="BLURRY",AND(R395="20_20_20",I395="READABLE")),"B","A"),
C395="B",
IF(reEsc,"ESCALATE",IF(AY395&gt;=phaseMax,"ESCALATE",IF(AND(AV395&gt;=AW395,I395="READABLE"),"E","B"))),
C395="E",
IF(AY395&gt;=phaseMax,"ESCALATE",IF(OR(I395="SAME",I395="CANT_TELL",AD395&lt;axisTol),"F","E")),
C395="F",
IF(AY395&gt;=phaseMax,"ESCALATE",IF(AX395&gt;=powerSameN,"G","F")),
C395="G",
IF(AY395&gt;=phaseMax,"ESCALATE",IF(OR(AX395&gt;=duoEqualN,BB395&gt;=duoMax),"D","G")),
C395="D",
IF(leEsc,"ESCALATE",IF(AY395&gt;=phaseMax,"ESCALATE",IF(AND(AV395&gt;=AW395,I395="READABLE"),"H","D"))),
C395="H",
IF(AY395&gt;=phaseMax,"ESCALATE",IF(OR(I395="SAME",I395="CANT_TELL",AD395&lt;axisTol),"I","H")),
C395="I",
IF(AY395&gt;=phaseMax,"ESCALATE",IF(AX395&gt;=powerSameN,"J","I")),
C395="J",
IF(AY395&gt;=phaseMax,"ESCALATE",IF(OR(AX395&gt;=duoEqualN,BB395&gt;=duoMax),"K","J")),
C395="K",
IF(AY395&gt;=phaseMax,"ESCALATE",IF(AX395&gt;=binoSameN,IF(XLOOKUP($B395,Derived_Variables!$A:$A,Derived_Variables!$AJ:$AJ,FALSE)=TRUE,"P","END"),"K")),
C395="P",
IF(AY395&gt;=phaseMax,"ESCALATE",IF(OR(I395="READABLE",I395="SAME"),"Q","P")),
C395="Q",
IF(AY395&gt;=phaseMax,"ESCALATE",IF(OR(I395="READABLE",I395="SAME"),"R","Q")),
C395="R",
IF(AY395&gt;=phaseMax,"ESCALATE",IF(OR(I395=nearTarget,I395="SAME"),"END","R")),
TRUE,"END"
)))</f>
        <v/>
      </c>
      <c r="BD395" s="28" t="b">
        <f t="shared" si="19"/>
        <v>0</v>
      </c>
    </row>
    <row r="396" ht="15.75" customHeight="1">
      <c r="A396" s="28">
        <f t="shared" si="3"/>
        <v>395</v>
      </c>
      <c r="B396" s="28">
        <f t="shared" si="4"/>
        <v>6</v>
      </c>
      <c r="C396" s="28" t="str">
        <f t="shared" si="5"/>
        <v/>
      </c>
      <c r="D396" s="28" t="str">
        <f t="array" ref="D396">IF($I395="","",XLOOKUP(C396,FSM_State_Map!A:A,FSM_State_Map!B:B,""))</f>
        <v/>
      </c>
      <c r="E396" s="28" t="str">
        <f t="array" ref="E396">IF($I395="","",XLOOKUP(C396,FSM_State_Map!A:A,FSM_State_Map!C:C,""))</f>
        <v/>
      </c>
      <c r="F396" s="28" t="str">
        <f t="array" ref="F396">IF($I395="","",XLOOKUP(E396,Phase_UI_Map!A:A,Phase_UI_Map!B:B,""))</f>
        <v/>
      </c>
      <c r="G396" s="28" t="str">
        <f t="array" ref="G396">IF($I395="","",XLOOKUP(E396,Phase_UI_Map!A:A,Phase_UI_Map!C:C,""))</f>
        <v/>
      </c>
      <c r="H396" s="28" t="str">
        <f t="array" ref="H396">IF($I395="","",XLOOKUP(E396,Phase_UI_Map!A:A,Phase_UI_Map!D:D,""))</f>
        <v/>
      </c>
      <c r="I396" s="29"/>
      <c r="J396" s="28" t="str">
        <f>IFERROR(__xludf.DUMMYFUNCTION("IF($I395="""","""",IFERROR(INDEX(FILTER(Response_Lists!$B:$B,Response_Lists!$A:$A=$H396),1),""""))"),"")</f>
        <v/>
      </c>
      <c r="K396" s="28" t="str">
        <f>IFERROR(__xludf.DUMMYFUNCTION("IF($I395="""","""",IFERROR(INDEX(FILTER(Response_Lists!$B:$B,Response_Lists!$A:$A=$H396),2),""""))"),"")</f>
        <v/>
      </c>
      <c r="L396" s="28" t="str">
        <f>IFERROR(__xludf.DUMMYFUNCTION("IF($I395="""","""",IFERROR(INDEX(FILTER(Response_Lists!$B:$B,Response_Lists!$A:$A=$H396),3),""""))"),"")</f>
        <v/>
      </c>
      <c r="M396" s="28" t="str">
        <f>IFERROR(__xludf.DUMMYFUNCTION("IF($I395="""","""",IFERROR(INDEX(FILTER(Response_Lists!$B:$B,Response_Lists!$A:$A=$H396),4),""""))"),"")</f>
        <v/>
      </c>
      <c r="N396" s="28" t="str">
        <f>IFERROR(__xludf.DUMMYFUNCTION("IF($I395="""","""",IFERROR(INDEX(FILTER(Response_Lists!$B:$B,Response_Lists!$A:$A=$H396),5),""""))"),"")</f>
        <v/>
      </c>
      <c r="O396" s="28" t="str">
        <f>IFERROR(__xludf.DUMMYFUNCTION("IF($I395="""","""",IFERROR(INDEX(FILTER(Response_Lists!$B:$B,Response_Lists!$A:$A=$H396),6),""""))"),"")</f>
        <v/>
      </c>
      <c r="P396" s="28" t="str">
        <f t="shared" si="6"/>
        <v/>
      </c>
      <c r="Q396" s="28" t="str">
        <f t="array" ref="Q396">IF($I395="","",XLOOKUP(C396,FSM_State_Map!A:A,FSM_State_Map!D:D,""))</f>
        <v/>
      </c>
      <c r="R396" s="28" t="str">
        <f t="shared" si="7"/>
        <v/>
      </c>
      <c r="S396" s="28" t="str">
        <f t="array" ref="S396">IF($I395="","",
IF(
  AND(C396="B",C395&lt;&gt;"B"),
  XLOOKUP($B396,Derived_Variables!$A:$A,Derived_Variables!$K:$K,0)
  + XLOOKUP($B396,Derived_Variables!$A:$A,Derived_Variables!$AE:$AE,0),
  S395+AM395
))</f>
        <v/>
      </c>
      <c r="T396" s="28" t="str">
        <f t="shared" ref="T396:U396" si="802">IF($I395="","",T395+AN395)</f>
        <v/>
      </c>
      <c r="U396" s="28" t="str">
        <f t="shared" si="802"/>
        <v/>
      </c>
      <c r="V396" s="28" t="str">
        <f t="array" ref="V396">IF($I395="","",
IF(
  AND(C396="D",C395&lt;&gt;"D"),
  XLOOKUP($B396,Derived_Variables!$A:$A,Derived_Variables!$N:$N,0)
  + XLOOKUP($B396,Derived_Variables!$A:$A,Derived_Variables!$AE:$AE,0),
  V395+AP395
))</f>
        <v/>
      </c>
      <c r="W396" s="28" t="str">
        <f t="shared" ref="W396:X396" si="803">IF($I395="","",W395+AQ395)</f>
        <v/>
      </c>
      <c r="X396" s="28" t="str">
        <f t="shared" si="803"/>
        <v/>
      </c>
      <c r="Y396" s="28" t="str">
        <f t="array" ref="Y396">IF($I395="","",IF(AND(C396="P",C395&lt;&gt;"P"),IFERROR(XLOOKUP($B396,Lenso_Input!$A:$A,Lenso_Input!$E:$E,0),0),Y395+AS395))</f>
        <v/>
      </c>
      <c r="Z396" s="28" t="str">
        <f t="array" ref="Z396">IF($I395="","",IF(AND(C396="Q",C395&lt;&gt;"Q"),IFERROR(XLOOKUP($B396,Lenso_Input!$A:$A,Lenso_Input!$I:$I,0),0),Z395+AT395))</f>
        <v/>
      </c>
      <c r="AA396" s="28" t="str">
        <f t="array" ref="AA396">IF($I395="","",IF(XLOOKUP($B396,Derived_Variables!$A:$A,Derived_Variables!$R:$R,"6/6_target")="6/6_target","20_20_20","40_30_25"))</f>
        <v/>
      </c>
      <c r="AB396" s="28" t="str">
        <f t="array" ref="AB396">IF($I395="","",XLOOKUP(LOWER(XLOOKUP($B396,Derived_Variables!$A:$A,Derived_Variables!$T:$T,"Standard"))&amp;"_sph_step",Calibration!$B:$B,Calibration!$C:$C,0.25))</f>
        <v/>
      </c>
      <c r="AC396" s="28" t="str">
        <f t="array" ref="AC396">IF($I395="","",XLOOKUP(LOWER(XLOOKUP($B396,Derived_Variables!$A:$A,Derived_Variables!$T:$T,"Standard"))&amp;"_cyl_step",Calibration!$B:$B,Calibration!$C:$C,0.25))</f>
        <v/>
      </c>
      <c r="AD396" s="28" t="str">
        <f t="array" ref="AD396">IF($I395="","",IF(OR(C396="E",C396="H"),LET(startStep,XLOOKUP("axis_start_step",Calibration!$B:$B,Calibration!$C:$C,5),step1,XLOOKUP("axis_reversal_step_1",Calibration!$B:$B,Calibration!$C:$C,3),step2,XLOOKUP("axis_reversal_step_2",Calibration!$B:$B,Calibration!$C:$C,1),IF(OR(C395&lt;&gt;C396,AZ396="",AZ396="SAME",AZ396="CANT_TELL",I396="",I396="SAME",I396="CANT_TELL"),startStep,IF(OR(AND(AZ396="BETTER_1",I396="BETTER_2"),AND(AZ396="BETTER_2",I396="BETTER_1")),IF(AD395&gt;step1,step1,step2),AD395))),0))</f>
        <v/>
      </c>
      <c r="AE396" s="28" t="str">
        <f t="array" ref="AE396">IF($I395="","",XLOOKUP($B396,Derived_Variables!$A:$A,Derived_Variables!$AD:$AD,"No_Fog"))</f>
        <v/>
      </c>
      <c r="AF396" s="28" t="str">
        <f t="array" ref="AF396">IF($I395="","",XLOOKUP($B396,Derived_Variables!$A:$A,Derived_Variables!$AE:$AE,0))</f>
        <v/>
      </c>
      <c r="AG396" s="28" t="str">
        <f t="array" ref="AG396">IF($I395="","",XLOOKUP($B396,Derived_Variables!$A:$A,Derived_Variables!$AF:$AF,""))</f>
        <v/>
      </c>
      <c r="AH396" s="28" t="str">
        <f t="array" ref="AH396">IF($I395="","",XLOOKUP($B396,Derived_Variables!$A:$A,Derived_Variables!$AG:$AG,""))</f>
        <v/>
      </c>
      <c r="AI396" s="28" t="str">
        <f t="array" ref="AI396">IF($I395="","",XLOOKUP($B396,Derived_Variables!$A:$A,Derived_Variables!$AC:$AC,"Medium"))</f>
        <v/>
      </c>
      <c r="AJ396" s="28" t="str">
        <f t="array" ref="AJ396">IF($I395="","",XLOOKUP($B396,Derived_Variables!$A:$A,Derived_Variables!$Y:$Y,FALSE))</f>
        <v/>
      </c>
      <c r="AK396" s="28" t="str">
        <f t="array" ref="AK396">IF($I395="","",XLOOKUP($B396,Derived_Variables!$A:$A,Derived_Variables!$AA:$AA,"Normal"))</f>
        <v/>
      </c>
      <c r="AL396" s="28" t="str">
        <f t="array" ref="AL396">IF($I395="","",XLOOKUP($B396,Derived_Variables!$A:$A,Derived_Variables!$AB:$AB,"Normal"))</f>
        <v/>
      </c>
      <c r="AM396" s="28" t="str">
        <f t="array" ref="AM396">IF($I396="","",IFS(C396="B",IF(OR(I396="NOT_READABLE",I396="BLURRY"),-AB396,0),C396="G",IFS(I396="RED_CLEARER",XLOOKUP("duochrome_red_step",Calibration!$B:$B,Calibration!$C:$C,-0.25),I396="GREEN_CLEARER",XLOOKUP("duochrome_green_step",Calibration!$B:$B,Calibration!$C:$C,0.25),I396="EQUAL",IF(XLOOKUP($B396,Derived_Variables!$A:$A,Derived_Variables!$S:$S,"Neutral")="Undercorrect",XLOOKUP("undercorrect_step",Calibration!$B:$B,Calibration!$C:$C,0.25),IF(XLOOKUP($B396,Derived_Variables!$A:$A,Derived_Variables!$S:$S,"Neutral")="Overcorrect",-XLOOKUP("overcorrect_step",Calibration!$B:$B,Calibration!$C:$C,0.25),0)),TRUE,0),C396="K",IF(I396="TOP_CLEARER",XLOOKUP("bino_balance_step",Calibration!$B:$B,Calibration!$C:$C,0.25),0),TRUE,0))</f>
        <v/>
      </c>
      <c r="AN396" s="28" t="str">
        <f t="shared" si="10"/>
        <v/>
      </c>
      <c r="AO396" s="28" t="str">
        <f t="shared" si="11"/>
        <v/>
      </c>
      <c r="AP396" s="28" t="str">
        <f t="array" ref="AP396">IF($I396="","",IFS(C396="D",IF(OR(I396="NOT_READABLE",I396="BLURRY"),-AB396,0),C396="J",IFS(I396="RED_CLEARER",XLOOKUP("duochrome_red_step",Calibration!$B:$B,Calibration!$C:$C,-0.25),I396="GREEN_CLEARER",XLOOKUP("duochrome_green_step",Calibration!$B:$B,Calibration!$C:$C,0.25),I396="EQUAL",IF(XLOOKUP($B396,Derived_Variables!$A:$A,Derived_Variables!$S:$S,"Neutral")="Undercorrect",XLOOKUP("undercorrect_step",Calibration!$B:$B,Calibration!$C:$C,0.25),IF(XLOOKUP($B396,Derived_Variables!$A:$A,Derived_Variables!$S:$S,"Neutral")="Overcorrect",-XLOOKUP("overcorrect_step",Calibration!$B:$B,Calibration!$C:$C,0.25),0)),TRUE,0),C396="K",IF(I396="BOTTOM_CLEARER",XLOOKUP("bino_balance_step",Calibration!$B:$B,Calibration!$C:$C,0.25),0),TRUE,0))</f>
        <v/>
      </c>
      <c r="AQ396" s="28" t="str">
        <f t="shared" si="12"/>
        <v/>
      </c>
      <c r="AR396" s="28" t="str">
        <f t="shared" si="13"/>
        <v/>
      </c>
      <c r="AS396" s="28" t="str">
        <f t="array" ref="AS396">IF($I396="","",IF(C396="P",IF(OR(I396="NOT_READABLE",I396="BLURRY"),XLOOKUP("near_add_step",Calibration!$B:$B,Calibration!$C:$C,0.25),0),IF(C396="R",IF(I396="NOT_CLEAR",XLOOKUP("near_add_step",Calibration!$B:$B,Calibration!$C:$C,0.25),0),0)))</f>
        <v/>
      </c>
      <c r="AT396" s="28" t="str">
        <f t="array" ref="AT396">IF($I396="","",IF(C396="Q",IF(OR(I396="NOT_READABLE",I396="BLURRY"),XLOOKUP("near_add_step",Calibration!$B:$B,Calibration!$C:$C,0.25),0),IF(C396="R",IF(I396="NOT_CLEAR",XLOOKUP("near_add_step",Calibration!$B:$B,Calibration!$C:$C,0.25),0),0)))</f>
        <v/>
      </c>
      <c r="AU396" s="28" t="str">
        <f t="array" ref="AU396">IF($I396="","",IF(G396="SNELLEN_FEET",IF(I396="READABLE",IFERROR(XLOOKUP(XLOOKUP(R396,Chart_Scale_Distance!B:B,Chart_Scale_Distance!A:A)+1,Chart_Scale_Distance!A:A,Chart_Scale_Distance!B:B),R396),R396),R396))</f>
        <v/>
      </c>
      <c r="AV396" s="28" t="str">
        <f t="array" ref="AV396">IF($I395="","",IFERROR(XLOOKUP(R396,Chart_Scale_Distance!$B:$B,Chart_Scale_Distance!$A:$A,""),""))</f>
        <v/>
      </c>
      <c r="AW396" s="28" t="str">
        <f t="array" ref="AW396">IF($I395="","",IFERROR(XLOOKUP(AA396,Chart_Scale_Distance!$B:$B,Chart_Scale_Distance!$A:$A,""),""))</f>
        <v/>
      </c>
      <c r="AX396" s="28" t="str">
        <f t="shared" si="14"/>
        <v/>
      </c>
      <c r="AY396" s="28" t="str">
        <f t="shared" si="15"/>
        <v/>
      </c>
      <c r="AZ396" s="28" t="str">
        <f t="shared" si="16"/>
        <v/>
      </c>
      <c r="BA396" s="28" t="str">
        <f t="shared" si="17"/>
        <v/>
      </c>
      <c r="BB396" s="28" t="str">
        <f t="shared" si="18"/>
        <v/>
      </c>
      <c r="BC396" s="28" t="str">
        <f t="array" ref="BC396">IF($I396="","",LET(
conf,AI396,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duoMax,XLOOKUP($B396,Derived_Variables!$A:$A,Derived_Variables!$AI:$AI,4),
axisTol,XLOOKUP($B396,Derived_Variables!$A:$A,Derived_Variables!$W:$W,1),
maxStart,XLOOKUP($B396,Derived_Variables!$A:$A,Derived_Variables!$U:$U,1.25),
maxAR,XLOOKUP($B396,Derived_Variables!$A:$A,Derived_Variables!$V:$V,3),
anom,XLOOKUP($B396,Derived_Variables!$A:$A,Derived_Variables!$Z:$Z,FALSE),
reStart,XLOOKUP($B396,Derived_Variables!$A:$A,Derived_Variables!$K:$K,0),
leStart,XLOOKUP($B396,Derived_Variables!$A:$A,Derived_Variables!$N:$N,0),
reAR,XLOOKUP($B396,AR_Input!$A:$A,AR_Input!$B:$B,reStart),
leAR,XLOOKUP($B396,AR_Input!$A:$A,AR_Input!$E:$E,leStart),
reEsc,AND(anom,OR(ABS((S396+AM396)-reStart)&gt;maxStart,ABS((S396+AM396)-reAR)&gt;maxAR)),
leEsc,AND(anom,OR(ABS((V396+AP396)-leStart)&gt;maxStart,ABS((V396+AP396)-leAR)&gt;maxAR)),
phaseMax,IFS(
 AK396="Fast",
   IFS(
     OR(C396="B",C396="D"),XLOOKUP("timeout_coarse_fast",Calibration!$B:$B,Calibration!$C:$C,24),
     OR(C396="E",C396="F",C396="H",C396="I"),XLOOKUP("timeout_jcc_fast",Calibration!$B:$B,Calibration!$C:$C,10),
     OR(C396="G",C396="J"),XLOOKUP("timeout_duochrome_fast",Calibration!$B:$B,Calibration!$C:$C,8),
     C396="K",XLOOKUP("timeout_bino_fast",Calibration!$B:$B,Calibration!$C:$C,10),
     OR(C396="P",C396="Q",C396="R"),XLOOKUP("timeout_near_fast",Calibration!$B:$B,Calibration!$C:$C,16),
     TRUE,XLOOKUP("timeout_coarse_fast",Calibration!$B:$B,Calibration!$C:$C,24)
   ),
 AK396="Normal",
   IFS(
     OR(C396="B",C396="D"),XLOOKUP("timeout_coarse_normal",Calibration!$B:$B,Calibration!$C:$C,36),
     OR(C396="E",C396="F",C396="H",C396="I"),XLOOKUP("timeout_jcc_normal",Calibration!$B:$B,Calibration!$C:$C,14),
     OR(C396="G",C396="J"),XLOOKUP("timeout_duochrome_normal",Calibration!$B:$B,Calibration!$C:$C,10),
     C396="K",XLOOKUP("timeout_bino_normal",Calibration!$B:$B,Calibration!$C:$C,14),
     OR(C396="P",C396="Q",C396="R"),XLOOKUP("timeout_near_normal",Calibration!$B:$B,Calibration!$C:$C,22),
     TRUE,XLOOKUP("timeout_coarse_normal",Calibration!$B:$B,Calibration!$C:$C,36)
   ),
 TRUE,
   IFS(
     OR(C396="B",C396="D"),XLOOKUP("timeout_coarse_slow",Calibration!$B:$B,Calibration!$C:$C,48),
     OR(C396="E",C396="F",C396="H",C396="I"),XLOOKUP("timeout_jcc_slow",Calibration!$B:$B,Calibration!$C:$C,18),
     OR(C396="G",C396="J"),XLOOKUP("timeout_duochrome_slow",Calibration!$B:$B,Calibration!$C:$C,12),
     C396="K",XLOOKUP("timeout_bino_slow",Calibration!$B:$B,Calibration!$C:$C,18),
     OR(C396="P",C396="Q",C396="R"),XLOOKUP("timeout_near_slow",Calibration!$B:$B,Calibration!$C:$C,28),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AJ396=TRUE,"ESCALATE",
C396="A",
IF(OR(I396="NOT_READABLE",I396="BLURRY",AND(R396="20_20_20",I396="READABLE")),"B","A"),
C396="B",
IF(reEsc,"ESCALATE",IF(AY396&gt;=phaseMax,"ESCALATE",IF(AND(AV396&gt;=AW396,I396="READABLE"),"E","B"))),
C396="E",
IF(AY396&gt;=phaseMax,"ESCALATE",IF(OR(I396="SAME",I396="CANT_TELL",AD396&lt;axisTol),"F","E")),
C396="F",
IF(AY396&gt;=phaseMax,"ESCALATE",IF(AX396&gt;=powerSameN,"G","F")),
C396="G",
IF(AY396&gt;=phaseMax,"ESCALATE",IF(OR(AX396&gt;=duoEqualN,BB396&gt;=duoMax),"D","G")),
C396="D",
IF(leEsc,"ESCALATE",IF(AY396&gt;=phaseMax,"ESCALATE",IF(AND(AV396&gt;=AW396,I396="READABLE"),"H","D"))),
C396="H",
IF(AY396&gt;=phaseMax,"ESCALATE",IF(OR(I396="SAME",I396="CANT_TELL",AD396&lt;axisTol),"I","H")),
C396="I",
IF(AY396&gt;=phaseMax,"ESCALATE",IF(AX396&gt;=powerSameN,"J","I")),
C396="J",
IF(AY396&gt;=phaseMax,"ESCALATE",IF(OR(AX396&gt;=duoEqualN,BB396&gt;=duoMax),"K","J")),
C396="K",
IF(AY396&gt;=phaseMax,"ESCALATE",IF(AX396&gt;=binoSameN,IF(XLOOKUP($B396,Derived_Variables!$A:$A,Derived_Variables!$AJ:$AJ,FALSE)=TRUE,"P","END"),"K")),
C396="P",
IF(AY396&gt;=phaseMax,"ESCALATE",IF(OR(I396="READABLE",I396="SAME"),"Q","P")),
C396="Q",
IF(AY396&gt;=phaseMax,"ESCALATE",IF(OR(I396="READABLE",I396="SAME"),"R","Q")),
C396="R",
IF(AY396&gt;=phaseMax,"ESCALATE",IF(OR(I396=nearTarget,I396="SAME"),"END","R")),
TRUE,"END"
)))</f>
        <v/>
      </c>
      <c r="BD396" s="28" t="b">
        <f t="shared" si="19"/>
        <v>0</v>
      </c>
    </row>
    <row r="397" ht="15.75" customHeight="1">
      <c r="A397" s="28">
        <f t="shared" si="3"/>
        <v>396</v>
      </c>
      <c r="B397" s="28">
        <f t="shared" si="4"/>
        <v>6</v>
      </c>
      <c r="C397" s="28" t="str">
        <f t="shared" si="5"/>
        <v/>
      </c>
      <c r="D397" s="28" t="str">
        <f t="array" ref="D397">IF($I396="","",XLOOKUP(C397,FSM_State_Map!A:A,FSM_State_Map!B:B,""))</f>
        <v/>
      </c>
      <c r="E397" s="28" t="str">
        <f t="array" ref="E397">IF($I396="","",XLOOKUP(C397,FSM_State_Map!A:A,FSM_State_Map!C:C,""))</f>
        <v/>
      </c>
      <c r="F397" s="28" t="str">
        <f t="array" ref="F397">IF($I396="","",XLOOKUP(E397,Phase_UI_Map!A:A,Phase_UI_Map!B:B,""))</f>
        <v/>
      </c>
      <c r="G397" s="28" t="str">
        <f t="array" ref="G397">IF($I396="","",XLOOKUP(E397,Phase_UI_Map!A:A,Phase_UI_Map!C:C,""))</f>
        <v/>
      </c>
      <c r="H397" s="28" t="str">
        <f t="array" ref="H397">IF($I396="","",XLOOKUP(E397,Phase_UI_Map!A:A,Phase_UI_Map!D:D,""))</f>
        <v/>
      </c>
      <c r="I397" s="29"/>
      <c r="J397" s="28" t="str">
        <f>IFERROR(__xludf.DUMMYFUNCTION("IF($I396="""","""",IFERROR(INDEX(FILTER(Response_Lists!$B:$B,Response_Lists!$A:$A=$H397),1),""""))"),"")</f>
        <v/>
      </c>
      <c r="K397" s="28" t="str">
        <f>IFERROR(__xludf.DUMMYFUNCTION("IF($I396="""","""",IFERROR(INDEX(FILTER(Response_Lists!$B:$B,Response_Lists!$A:$A=$H397),2),""""))"),"")</f>
        <v/>
      </c>
      <c r="L397" s="28" t="str">
        <f>IFERROR(__xludf.DUMMYFUNCTION("IF($I396="""","""",IFERROR(INDEX(FILTER(Response_Lists!$B:$B,Response_Lists!$A:$A=$H397),3),""""))"),"")</f>
        <v/>
      </c>
      <c r="M397" s="28" t="str">
        <f>IFERROR(__xludf.DUMMYFUNCTION("IF($I396="""","""",IFERROR(INDEX(FILTER(Response_Lists!$B:$B,Response_Lists!$A:$A=$H397),4),""""))"),"")</f>
        <v/>
      </c>
      <c r="N397" s="28" t="str">
        <f>IFERROR(__xludf.DUMMYFUNCTION("IF($I396="""","""",IFERROR(INDEX(FILTER(Response_Lists!$B:$B,Response_Lists!$A:$A=$H397),5),""""))"),"")</f>
        <v/>
      </c>
      <c r="O397" s="28" t="str">
        <f>IFERROR(__xludf.DUMMYFUNCTION("IF($I396="""","""",IFERROR(INDEX(FILTER(Response_Lists!$B:$B,Response_Lists!$A:$A=$H397),6),""""))"),"")</f>
        <v/>
      </c>
      <c r="P397" s="28" t="str">
        <f t="shared" si="6"/>
        <v/>
      </c>
      <c r="Q397" s="28" t="str">
        <f t="array" ref="Q397">IF($I396="","",XLOOKUP(C397,FSM_State_Map!A:A,FSM_State_Map!D:D,""))</f>
        <v/>
      </c>
      <c r="R397" s="28" t="str">
        <f t="shared" si="7"/>
        <v/>
      </c>
      <c r="S397" s="28" t="str">
        <f t="array" ref="S397">IF($I396="","",
IF(
  AND(C397="B",C396&lt;&gt;"B"),
  XLOOKUP($B397,Derived_Variables!$A:$A,Derived_Variables!$K:$K,0)
  + XLOOKUP($B397,Derived_Variables!$A:$A,Derived_Variables!$AE:$AE,0),
  S396+AM396
))</f>
        <v/>
      </c>
      <c r="T397" s="28" t="str">
        <f t="shared" ref="T397:U397" si="804">IF($I396="","",T396+AN396)</f>
        <v/>
      </c>
      <c r="U397" s="28" t="str">
        <f t="shared" si="804"/>
        <v/>
      </c>
      <c r="V397" s="28" t="str">
        <f t="array" ref="V397">IF($I396="","",
IF(
  AND(C397="D",C396&lt;&gt;"D"),
  XLOOKUP($B397,Derived_Variables!$A:$A,Derived_Variables!$N:$N,0)
  + XLOOKUP($B397,Derived_Variables!$A:$A,Derived_Variables!$AE:$AE,0),
  V396+AP396
))</f>
        <v/>
      </c>
      <c r="W397" s="28" t="str">
        <f t="shared" ref="W397:X397" si="805">IF($I396="","",W396+AQ396)</f>
        <v/>
      </c>
      <c r="X397" s="28" t="str">
        <f t="shared" si="805"/>
        <v/>
      </c>
      <c r="Y397" s="28" t="str">
        <f t="array" ref="Y397">IF($I396="","",IF(AND(C397="P",C396&lt;&gt;"P"),IFERROR(XLOOKUP($B397,Lenso_Input!$A:$A,Lenso_Input!$E:$E,0),0),Y396+AS396))</f>
        <v/>
      </c>
      <c r="Z397" s="28" t="str">
        <f t="array" ref="Z397">IF($I396="","",IF(AND(C397="Q",C396&lt;&gt;"Q"),IFERROR(XLOOKUP($B397,Lenso_Input!$A:$A,Lenso_Input!$I:$I,0),0),Z396+AT396))</f>
        <v/>
      </c>
      <c r="AA397" s="28" t="str">
        <f t="array" ref="AA397">IF($I396="","",IF(XLOOKUP($B397,Derived_Variables!$A:$A,Derived_Variables!$R:$R,"6/6_target")="6/6_target","20_20_20","40_30_25"))</f>
        <v/>
      </c>
      <c r="AB397" s="28" t="str">
        <f t="array" ref="AB397">IF($I396="","",XLOOKUP(LOWER(XLOOKUP($B397,Derived_Variables!$A:$A,Derived_Variables!$T:$T,"Standard"))&amp;"_sph_step",Calibration!$B:$B,Calibration!$C:$C,0.25))</f>
        <v/>
      </c>
      <c r="AC397" s="28" t="str">
        <f t="array" ref="AC397">IF($I396="","",XLOOKUP(LOWER(XLOOKUP($B397,Derived_Variables!$A:$A,Derived_Variables!$T:$T,"Standard"))&amp;"_cyl_step",Calibration!$B:$B,Calibration!$C:$C,0.25))</f>
        <v/>
      </c>
      <c r="AD397" s="28" t="str">
        <f t="array" ref="AD397">IF($I396="","",IF(OR(C397="E",C397="H"),LET(startStep,XLOOKUP("axis_start_step",Calibration!$B:$B,Calibration!$C:$C,5),step1,XLOOKUP("axis_reversal_step_1",Calibration!$B:$B,Calibration!$C:$C,3),step2,XLOOKUP("axis_reversal_step_2",Calibration!$B:$B,Calibration!$C:$C,1),IF(OR(C396&lt;&gt;C397,AZ397="",AZ397="SAME",AZ397="CANT_TELL",I397="",I397="SAME",I397="CANT_TELL"),startStep,IF(OR(AND(AZ397="BETTER_1",I397="BETTER_2"),AND(AZ397="BETTER_2",I397="BETTER_1")),IF(AD396&gt;step1,step1,step2),AD396))),0))</f>
        <v/>
      </c>
      <c r="AE397" s="28" t="str">
        <f t="array" ref="AE397">IF($I396="","",XLOOKUP($B397,Derived_Variables!$A:$A,Derived_Variables!$AD:$AD,"No_Fog"))</f>
        <v/>
      </c>
      <c r="AF397" s="28" t="str">
        <f t="array" ref="AF397">IF($I396="","",XLOOKUP($B397,Derived_Variables!$A:$A,Derived_Variables!$AE:$AE,0))</f>
        <v/>
      </c>
      <c r="AG397" s="28" t="str">
        <f t="array" ref="AG397">IF($I396="","",XLOOKUP($B397,Derived_Variables!$A:$A,Derived_Variables!$AF:$AF,""))</f>
        <v/>
      </c>
      <c r="AH397" s="28" t="str">
        <f t="array" ref="AH397">IF($I396="","",XLOOKUP($B397,Derived_Variables!$A:$A,Derived_Variables!$AG:$AG,""))</f>
        <v/>
      </c>
      <c r="AI397" s="28" t="str">
        <f t="array" ref="AI397">IF($I396="","",XLOOKUP($B397,Derived_Variables!$A:$A,Derived_Variables!$AC:$AC,"Medium"))</f>
        <v/>
      </c>
      <c r="AJ397" s="28" t="str">
        <f t="array" ref="AJ397">IF($I396="","",XLOOKUP($B397,Derived_Variables!$A:$A,Derived_Variables!$Y:$Y,FALSE))</f>
        <v/>
      </c>
      <c r="AK397" s="28" t="str">
        <f t="array" ref="AK397">IF($I396="","",XLOOKUP($B397,Derived_Variables!$A:$A,Derived_Variables!$AA:$AA,"Normal"))</f>
        <v/>
      </c>
      <c r="AL397" s="28" t="str">
        <f t="array" ref="AL397">IF($I396="","",XLOOKUP($B397,Derived_Variables!$A:$A,Derived_Variables!$AB:$AB,"Normal"))</f>
        <v/>
      </c>
      <c r="AM397" s="28" t="str">
        <f t="array" ref="AM397">IF($I397="","",IFS(C397="B",IF(OR(I397="NOT_READABLE",I397="BLURRY"),-AB397,0),C397="G",IFS(I397="RED_CLEARER",XLOOKUP("duochrome_red_step",Calibration!$B:$B,Calibration!$C:$C,-0.25),I397="GREEN_CLEARER",XLOOKUP("duochrome_green_step",Calibration!$B:$B,Calibration!$C:$C,0.25),I397="EQUAL",IF(XLOOKUP($B397,Derived_Variables!$A:$A,Derived_Variables!$S:$S,"Neutral")="Undercorrect",XLOOKUP("undercorrect_step",Calibration!$B:$B,Calibration!$C:$C,0.25),IF(XLOOKUP($B397,Derived_Variables!$A:$A,Derived_Variables!$S:$S,"Neutral")="Overcorrect",-XLOOKUP("overcorrect_step",Calibration!$B:$B,Calibration!$C:$C,0.25),0)),TRUE,0),C397="K",IF(I397="TOP_CLEARER",XLOOKUP("bino_balance_step",Calibration!$B:$B,Calibration!$C:$C,0.25),0),TRUE,0))</f>
        <v/>
      </c>
      <c r="AN397" s="28" t="str">
        <f t="shared" si="10"/>
        <v/>
      </c>
      <c r="AO397" s="28" t="str">
        <f t="shared" si="11"/>
        <v/>
      </c>
      <c r="AP397" s="28" t="str">
        <f t="array" ref="AP397">IF($I397="","",IFS(C397="D",IF(OR(I397="NOT_READABLE",I397="BLURRY"),-AB397,0),C397="J",IFS(I397="RED_CLEARER",XLOOKUP("duochrome_red_step",Calibration!$B:$B,Calibration!$C:$C,-0.25),I397="GREEN_CLEARER",XLOOKUP("duochrome_green_step",Calibration!$B:$B,Calibration!$C:$C,0.25),I397="EQUAL",IF(XLOOKUP($B397,Derived_Variables!$A:$A,Derived_Variables!$S:$S,"Neutral")="Undercorrect",XLOOKUP("undercorrect_step",Calibration!$B:$B,Calibration!$C:$C,0.25),IF(XLOOKUP($B397,Derived_Variables!$A:$A,Derived_Variables!$S:$S,"Neutral")="Overcorrect",-XLOOKUP("overcorrect_step",Calibration!$B:$B,Calibration!$C:$C,0.25),0)),TRUE,0),C397="K",IF(I397="BOTTOM_CLEARER",XLOOKUP("bino_balance_step",Calibration!$B:$B,Calibration!$C:$C,0.25),0),TRUE,0))</f>
        <v/>
      </c>
      <c r="AQ397" s="28" t="str">
        <f t="shared" si="12"/>
        <v/>
      </c>
      <c r="AR397" s="28" t="str">
        <f t="shared" si="13"/>
        <v/>
      </c>
      <c r="AS397" s="28" t="str">
        <f t="array" ref="AS397">IF($I397="","",IF(C397="P",IF(OR(I397="NOT_READABLE",I397="BLURRY"),XLOOKUP("near_add_step",Calibration!$B:$B,Calibration!$C:$C,0.25),0),IF(C397="R",IF(I397="NOT_CLEAR",XLOOKUP("near_add_step",Calibration!$B:$B,Calibration!$C:$C,0.25),0),0)))</f>
        <v/>
      </c>
      <c r="AT397" s="28" t="str">
        <f t="array" ref="AT397">IF($I397="","",IF(C397="Q",IF(OR(I397="NOT_READABLE",I397="BLURRY"),XLOOKUP("near_add_step",Calibration!$B:$B,Calibration!$C:$C,0.25),0),IF(C397="R",IF(I397="NOT_CLEAR",XLOOKUP("near_add_step",Calibration!$B:$B,Calibration!$C:$C,0.25),0),0)))</f>
        <v/>
      </c>
      <c r="AU397" s="28" t="str">
        <f t="array" ref="AU397">IF($I397="","",IF(G397="SNELLEN_FEET",IF(I397="READABLE",IFERROR(XLOOKUP(XLOOKUP(R397,Chart_Scale_Distance!B:B,Chart_Scale_Distance!A:A)+1,Chart_Scale_Distance!A:A,Chart_Scale_Distance!B:B),R397),R397),R397))</f>
        <v/>
      </c>
      <c r="AV397" s="28" t="str">
        <f t="array" ref="AV397">IF($I396="","",IFERROR(XLOOKUP(R397,Chart_Scale_Distance!$B:$B,Chart_Scale_Distance!$A:$A,""),""))</f>
        <v/>
      </c>
      <c r="AW397" s="28" t="str">
        <f t="array" ref="AW397">IF($I396="","",IFERROR(XLOOKUP(AA397,Chart_Scale_Distance!$B:$B,Chart_Scale_Distance!$A:$A,""),""))</f>
        <v/>
      </c>
      <c r="AX397" s="28" t="str">
        <f t="shared" si="14"/>
        <v/>
      </c>
      <c r="AY397" s="28" t="str">
        <f t="shared" si="15"/>
        <v/>
      </c>
      <c r="AZ397" s="28" t="str">
        <f t="shared" si="16"/>
        <v/>
      </c>
      <c r="BA397" s="28" t="str">
        <f t="shared" si="17"/>
        <v/>
      </c>
      <c r="BB397" s="28" t="str">
        <f t="shared" si="18"/>
        <v/>
      </c>
      <c r="BC397" s="28" t="str">
        <f t="array" ref="BC397">IF($I397="","",LET(
conf,AI397,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duoMax,XLOOKUP($B397,Derived_Variables!$A:$A,Derived_Variables!$AI:$AI,4),
axisTol,XLOOKUP($B397,Derived_Variables!$A:$A,Derived_Variables!$W:$W,1),
maxStart,XLOOKUP($B397,Derived_Variables!$A:$A,Derived_Variables!$U:$U,1.25),
maxAR,XLOOKUP($B397,Derived_Variables!$A:$A,Derived_Variables!$V:$V,3),
anom,XLOOKUP($B397,Derived_Variables!$A:$A,Derived_Variables!$Z:$Z,FALSE),
reStart,XLOOKUP($B397,Derived_Variables!$A:$A,Derived_Variables!$K:$K,0),
leStart,XLOOKUP($B397,Derived_Variables!$A:$A,Derived_Variables!$N:$N,0),
reAR,XLOOKUP($B397,AR_Input!$A:$A,AR_Input!$B:$B,reStart),
leAR,XLOOKUP($B397,AR_Input!$A:$A,AR_Input!$E:$E,leStart),
reEsc,AND(anom,OR(ABS((S397+AM397)-reStart)&gt;maxStart,ABS((S397+AM397)-reAR)&gt;maxAR)),
leEsc,AND(anom,OR(ABS((V397+AP397)-leStart)&gt;maxStart,ABS((V397+AP397)-leAR)&gt;maxAR)),
phaseMax,IFS(
 AK397="Fast",
   IFS(
     OR(C397="B",C397="D"),XLOOKUP("timeout_coarse_fast",Calibration!$B:$B,Calibration!$C:$C,24),
     OR(C397="E",C397="F",C397="H",C397="I"),XLOOKUP("timeout_jcc_fast",Calibration!$B:$B,Calibration!$C:$C,10),
     OR(C397="G",C397="J"),XLOOKUP("timeout_duochrome_fast",Calibration!$B:$B,Calibration!$C:$C,8),
     C397="K",XLOOKUP("timeout_bino_fast",Calibration!$B:$B,Calibration!$C:$C,10),
     OR(C397="P",C397="Q",C397="R"),XLOOKUP("timeout_near_fast",Calibration!$B:$B,Calibration!$C:$C,16),
     TRUE,XLOOKUP("timeout_coarse_fast",Calibration!$B:$B,Calibration!$C:$C,24)
   ),
 AK397="Normal",
   IFS(
     OR(C397="B",C397="D"),XLOOKUP("timeout_coarse_normal",Calibration!$B:$B,Calibration!$C:$C,36),
     OR(C397="E",C397="F",C397="H",C397="I"),XLOOKUP("timeout_jcc_normal",Calibration!$B:$B,Calibration!$C:$C,14),
     OR(C397="G",C397="J"),XLOOKUP("timeout_duochrome_normal",Calibration!$B:$B,Calibration!$C:$C,10),
     C397="K",XLOOKUP("timeout_bino_normal",Calibration!$B:$B,Calibration!$C:$C,14),
     OR(C397="P",C397="Q",C397="R"),XLOOKUP("timeout_near_normal",Calibration!$B:$B,Calibration!$C:$C,22),
     TRUE,XLOOKUP("timeout_coarse_normal",Calibration!$B:$B,Calibration!$C:$C,36)
   ),
 TRUE,
   IFS(
     OR(C397="B",C397="D"),XLOOKUP("timeout_coarse_slow",Calibration!$B:$B,Calibration!$C:$C,48),
     OR(C397="E",C397="F",C397="H",C397="I"),XLOOKUP("timeout_jcc_slow",Calibration!$B:$B,Calibration!$C:$C,18),
     OR(C397="G",C397="J"),XLOOKUP("timeout_duochrome_slow",Calibration!$B:$B,Calibration!$C:$C,12),
     C397="K",XLOOKUP("timeout_bino_slow",Calibration!$B:$B,Calibration!$C:$C,18),
     OR(C397="P",C397="Q",C397="R"),XLOOKUP("timeout_near_slow",Calibration!$B:$B,Calibration!$C:$C,28),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AJ397=TRUE,"ESCALATE",
C397="A",
IF(OR(I397="NOT_READABLE",I397="BLURRY",AND(R397="20_20_20",I397="READABLE")),"B","A"),
C397="B",
IF(reEsc,"ESCALATE",IF(AY397&gt;=phaseMax,"ESCALATE",IF(AND(AV397&gt;=AW397,I397="READABLE"),"E","B"))),
C397="E",
IF(AY397&gt;=phaseMax,"ESCALATE",IF(OR(I397="SAME",I397="CANT_TELL",AD397&lt;axisTol),"F","E")),
C397="F",
IF(AY397&gt;=phaseMax,"ESCALATE",IF(AX397&gt;=powerSameN,"G","F")),
C397="G",
IF(AY397&gt;=phaseMax,"ESCALATE",IF(OR(AX397&gt;=duoEqualN,BB397&gt;=duoMax),"D","G")),
C397="D",
IF(leEsc,"ESCALATE",IF(AY397&gt;=phaseMax,"ESCALATE",IF(AND(AV397&gt;=AW397,I397="READABLE"),"H","D"))),
C397="H",
IF(AY397&gt;=phaseMax,"ESCALATE",IF(OR(I397="SAME",I397="CANT_TELL",AD397&lt;axisTol),"I","H")),
C397="I",
IF(AY397&gt;=phaseMax,"ESCALATE",IF(AX397&gt;=powerSameN,"J","I")),
C397="J",
IF(AY397&gt;=phaseMax,"ESCALATE",IF(OR(AX397&gt;=duoEqualN,BB397&gt;=duoMax),"K","J")),
C397="K",
IF(AY397&gt;=phaseMax,"ESCALATE",IF(AX397&gt;=binoSameN,IF(XLOOKUP($B397,Derived_Variables!$A:$A,Derived_Variables!$AJ:$AJ,FALSE)=TRUE,"P","END"),"K")),
C397="P",
IF(AY397&gt;=phaseMax,"ESCALATE",IF(OR(I397="READABLE",I397="SAME"),"Q","P")),
C397="Q",
IF(AY397&gt;=phaseMax,"ESCALATE",IF(OR(I397="READABLE",I397="SAME"),"R","Q")),
C397="R",
IF(AY397&gt;=phaseMax,"ESCALATE",IF(OR(I397=nearTarget,I397="SAME"),"END","R")),
TRUE,"END"
)))</f>
        <v/>
      </c>
      <c r="BD397" s="28" t="b">
        <f t="shared" si="19"/>
        <v>0</v>
      </c>
    </row>
    <row r="398" ht="15.75" customHeight="1">
      <c r="A398" s="28">
        <f t="shared" si="3"/>
        <v>397</v>
      </c>
      <c r="B398" s="28">
        <f t="shared" si="4"/>
        <v>6</v>
      </c>
      <c r="C398" s="28" t="str">
        <f t="shared" si="5"/>
        <v/>
      </c>
      <c r="D398" s="28" t="str">
        <f t="array" ref="D398">IF($I397="","",XLOOKUP(C398,FSM_State_Map!A:A,FSM_State_Map!B:B,""))</f>
        <v/>
      </c>
      <c r="E398" s="28" t="str">
        <f t="array" ref="E398">IF($I397="","",XLOOKUP(C398,FSM_State_Map!A:A,FSM_State_Map!C:C,""))</f>
        <v/>
      </c>
      <c r="F398" s="28" t="str">
        <f t="array" ref="F398">IF($I397="","",XLOOKUP(E398,Phase_UI_Map!A:A,Phase_UI_Map!B:B,""))</f>
        <v/>
      </c>
      <c r="G398" s="28" t="str">
        <f t="array" ref="G398">IF($I397="","",XLOOKUP(E398,Phase_UI_Map!A:A,Phase_UI_Map!C:C,""))</f>
        <v/>
      </c>
      <c r="H398" s="28" t="str">
        <f t="array" ref="H398">IF($I397="","",XLOOKUP(E398,Phase_UI_Map!A:A,Phase_UI_Map!D:D,""))</f>
        <v/>
      </c>
      <c r="I398" s="29"/>
      <c r="J398" s="28" t="str">
        <f>IFERROR(__xludf.DUMMYFUNCTION("IF($I397="""","""",IFERROR(INDEX(FILTER(Response_Lists!$B:$B,Response_Lists!$A:$A=$H398),1),""""))"),"")</f>
        <v/>
      </c>
      <c r="K398" s="28" t="str">
        <f>IFERROR(__xludf.DUMMYFUNCTION("IF($I397="""","""",IFERROR(INDEX(FILTER(Response_Lists!$B:$B,Response_Lists!$A:$A=$H398),2),""""))"),"")</f>
        <v/>
      </c>
      <c r="L398" s="28" t="str">
        <f>IFERROR(__xludf.DUMMYFUNCTION("IF($I397="""","""",IFERROR(INDEX(FILTER(Response_Lists!$B:$B,Response_Lists!$A:$A=$H398),3),""""))"),"")</f>
        <v/>
      </c>
      <c r="M398" s="28" t="str">
        <f>IFERROR(__xludf.DUMMYFUNCTION("IF($I397="""","""",IFERROR(INDEX(FILTER(Response_Lists!$B:$B,Response_Lists!$A:$A=$H398),4),""""))"),"")</f>
        <v/>
      </c>
      <c r="N398" s="28" t="str">
        <f>IFERROR(__xludf.DUMMYFUNCTION("IF($I397="""","""",IFERROR(INDEX(FILTER(Response_Lists!$B:$B,Response_Lists!$A:$A=$H398),5),""""))"),"")</f>
        <v/>
      </c>
      <c r="O398" s="28" t="str">
        <f>IFERROR(__xludf.DUMMYFUNCTION("IF($I397="""","""",IFERROR(INDEX(FILTER(Response_Lists!$B:$B,Response_Lists!$A:$A=$H398),6),""""))"),"")</f>
        <v/>
      </c>
      <c r="P398" s="28" t="str">
        <f t="shared" si="6"/>
        <v/>
      </c>
      <c r="Q398" s="28" t="str">
        <f t="array" ref="Q398">IF($I397="","",XLOOKUP(C398,FSM_State_Map!A:A,FSM_State_Map!D:D,""))</f>
        <v/>
      </c>
      <c r="R398" s="28" t="str">
        <f t="shared" si="7"/>
        <v/>
      </c>
      <c r="S398" s="28" t="str">
        <f t="array" ref="S398">IF($I397="","",
IF(
  AND(C398="B",C397&lt;&gt;"B"),
  XLOOKUP($B398,Derived_Variables!$A:$A,Derived_Variables!$K:$K,0)
  + XLOOKUP($B398,Derived_Variables!$A:$A,Derived_Variables!$AE:$AE,0),
  S397+AM397
))</f>
        <v/>
      </c>
      <c r="T398" s="28" t="str">
        <f t="shared" ref="T398:U398" si="806">IF($I397="","",T397+AN397)</f>
        <v/>
      </c>
      <c r="U398" s="28" t="str">
        <f t="shared" si="806"/>
        <v/>
      </c>
      <c r="V398" s="28" t="str">
        <f t="array" ref="V398">IF($I397="","",
IF(
  AND(C398="D",C397&lt;&gt;"D"),
  XLOOKUP($B398,Derived_Variables!$A:$A,Derived_Variables!$N:$N,0)
  + XLOOKUP($B398,Derived_Variables!$A:$A,Derived_Variables!$AE:$AE,0),
  V397+AP397
))</f>
        <v/>
      </c>
      <c r="W398" s="28" t="str">
        <f t="shared" ref="W398:X398" si="807">IF($I397="","",W397+AQ397)</f>
        <v/>
      </c>
      <c r="X398" s="28" t="str">
        <f t="shared" si="807"/>
        <v/>
      </c>
      <c r="Y398" s="28" t="str">
        <f t="array" ref="Y398">IF($I397="","",IF(AND(C398="P",C397&lt;&gt;"P"),IFERROR(XLOOKUP($B398,Lenso_Input!$A:$A,Lenso_Input!$E:$E,0),0),Y397+AS397))</f>
        <v/>
      </c>
      <c r="Z398" s="28" t="str">
        <f t="array" ref="Z398">IF($I397="","",IF(AND(C398="Q",C397&lt;&gt;"Q"),IFERROR(XLOOKUP($B398,Lenso_Input!$A:$A,Lenso_Input!$I:$I,0),0),Z397+AT397))</f>
        <v/>
      </c>
      <c r="AA398" s="28" t="str">
        <f t="array" ref="AA398">IF($I397="","",IF(XLOOKUP($B398,Derived_Variables!$A:$A,Derived_Variables!$R:$R,"6/6_target")="6/6_target","20_20_20","40_30_25"))</f>
        <v/>
      </c>
      <c r="AB398" s="28" t="str">
        <f t="array" ref="AB398">IF($I397="","",XLOOKUP(LOWER(XLOOKUP($B398,Derived_Variables!$A:$A,Derived_Variables!$T:$T,"Standard"))&amp;"_sph_step",Calibration!$B:$B,Calibration!$C:$C,0.25))</f>
        <v/>
      </c>
      <c r="AC398" s="28" t="str">
        <f t="array" ref="AC398">IF($I397="","",XLOOKUP(LOWER(XLOOKUP($B398,Derived_Variables!$A:$A,Derived_Variables!$T:$T,"Standard"))&amp;"_cyl_step",Calibration!$B:$B,Calibration!$C:$C,0.25))</f>
        <v/>
      </c>
      <c r="AD398" s="28" t="str">
        <f t="array" ref="AD398">IF($I397="","",IF(OR(C398="E",C398="H"),LET(startStep,XLOOKUP("axis_start_step",Calibration!$B:$B,Calibration!$C:$C,5),step1,XLOOKUP("axis_reversal_step_1",Calibration!$B:$B,Calibration!$C:$C,3),step2,XLOOKUP("axis_reversal_step_2",Calibration!$B:$B,Calibration!$C:$C,1),IF(OR(C397&lt;&gt;C398,AZ398="",AZ398="SAME",AZ398="CANT_TELL",I398="",I398="SAME",I398="CANT_TELL"),startStep,IF(OR(AND(AZ398="BETTER_1",I398="BETTER_2"),AND(AZ398="BETTER_2",I398="BETTER_1")),IF(AD397&gt;step1,step1,step2),AD397))),0))</f>
        <v/>
      </c>
      <c r="AE398" s="28" t="str">
        <f t="array" ref="AE398">IF($I397="","",XLOOKUP($B398,Derived_Variables!$A:$A,Derived_Variables!$AD:$AD,"No_Fog"))</f>
        <v/>
      </c>
      <c r="AF398" s="28" t="str">
        <f t="array" ref="AF398">IF($I397="","",XLOOKUP($B398,Derived_Variables!$A:$A,Derived_Variables!$AE:$AE,0))</f>
        <v/>
      </c>
      <c r="AG398" s="28" t="str">
        <f t="array" ref="AG398">IF($I397="","",XLOOKUP($B398,Derived_Variables!$A:$A,Derived_Variables!$AF:$AF,""))</f>
        <v/>
      </c>
      <c r="AH398" s="28" t="str">
        <f t="array" ref="AH398">IF($I397="","",XLOOKUP($B398,Derived_Variables!$A:$A,Derived_Variables!$AG:$AG,""))</f>
        <v/>
      </c>
      <c r="AI398" s="28" t="str">
        <f t="array" ref="AI398">IF($I397="","",XLOOKUP($B398,Derived_Variables!$A:$A,Derived_Variables!$AC:$AC,"Medium"))</f>
        <v/>
      </c>
      <c r="AJ398" s="28" t="str">
        <f t="array" ref="AJ398">IF($I397="","",XLOOKUP($B398,Derived_Variables!$A:$A,Derived_Variables!$Y:$Y,FALSE))</f>
        <v/>
      </c>
      <c r="AK398" s="28" t="str">
        <f t="array" ref="AK398">IF($I397="","",XLOOKUP($B398,Derived_Variables!$A:$A,Derived_Variables!$AA:$AA,"Normal"))</f>
        <v/>
      </c>
      <c r="AL398" s="28" t="str">
        <f t="array" ref="AL398">IF($I397="","",XLOOKUP($B398,Derived_Variables!$A:$A,Derived_Variables!$AB:$AB,"Normal"))</f>
        <v/>
      </c>
      <c r="AM398" s="28" t="str">
        <f t="array" ref="AM398">IF($I398="","",IFS(C398="B",IF(OR(I398="NOT_READABLE",I398="BLURRY"),-AB398,0),C398="G",IFS(I398="RED_CLEARER",XLOOKUP("duochrome_red_step",Calibration!$B:$B,Calibration!$C:$C,-0.25),I398="GREEN_CLEARER",XLOOKUP("duochrome_green_step",Calibration!$B:$B,Calibration!$C:$C,0.25),I398="EQUAL",IF(XLOOKUP($B398,Derived_Variables!$A:$A,Derived_Variables!$S:$S,"Neutral")="Undercorrect",XLOOKUP("undercorrect_step",Calibration!$B:$B,Calibration!$C:$C,0.25),IF(XLOOKUP($B398,Derived_Variables!$A:$A,Derived_Variables!$S:$S,"Neutral")="Overcorrect",-XLOOKUP("overcorrect_step",Calibration!$B:$B,Calibration!$C:$C,0.25),0)),TRUE,0),C398="K",IF(I398="TOP_CLEARER",XLOOKUP("bino_balance_step",Calibration!$B:$B,Calibration!$C:$C,0.25),0),TRUE,0))</f>
        <v/>
      </c>
      <c r="AN398" s="28" t="str">
        <f t="shared" si="10"/>
        <v/>
      </c>
      <c r="AO398" s="28" t="str">
        <f t="shared" si="11"/>
        <v/>
      </c>
      <c r="AP398" s="28" t="str">
        <f t="array" ref="AP398">IF($I398="","",IFS(C398="D",IF(OR(I398="NOT_READABLE",I398="BLURRY"),-AB398,0),C398="J",IFS(I398="RED_CLEARER",XLOOKUP("duochrome_red_step",Calibration!$B:$B,Calibration!$C:$C,-0.25),I398="GREEN_CLEARER",XLOOKUP("duochrome_green_step",Calibration!$B:$B,Calibration!$C:$C,0.25),I398="EQUAL",IF(XLOOKUP($B398,Derived_Variables!$A:$A,Derived_Variables!$S:$S,"Neutral")="Undercorrect",XLOOKUP("undercorrect_step",Calibration!$B:$B,Calibration!$C:$C,0.25),IF(XLOOKUP($B398,Derived_Variables!$A:$A,Derived_Variables!$S:$S,"Neutral")="Overcorrect",-XLOOKUP("overcorrect_step",Calibration!$B:$B,Calibration!$C:$C,0.25),0)),TRUE,0),C398="K",IF(I398="BOTTOM_CLEARER",XLOOKUP("bino_balance_step",Calibration!$B:$B,Calibration!$C:$C,0.25),0),TRUE,0))</f>
        <v/>
      </c>
      <c r="AQ398" s="28" t="str">
        <f t="shared" si="12"/>
        <v/>
      </c>
      <c r="AR398" s="28" t="str">
        <f t="shared" si="13"/>
        <v/>
      </c>
      <c r="AS398" s="28" t="str">
        <f t="array" ref="AS398">IF($I398="","",IF(C398="P",IF(OR(I398="NOT_READABLE",I398="BLURRY"),XLOOKUP("near_add_step",Calibration!$B:$B,Calibration!$C:$C,0.25),0),IF(C398="R",IF(I398="NOT_CLEAR",XLOOKUP("near_add_step",Calibration!$B:$B,Calibration!$C:$C,0.25),0),0)))</f>
        <v/>
      </c>
      <c r="AT398" s="28" t="str">
        <f t="array" ref="AT398">IF($I398="","",IF(C398="Q",IF(OR(I398="NOT_READABLE",I398="BLURRY"),XLOOKUP("near_add_step",Calibration!$B:$B,Calibration!$C:$C,0.25),0),IF(C398="R",IF(I398="NOT_CLEAR",XLOOKUP("near_add_step",Calibration!$B:$B,Calibration!$C:$C,0.25),0),0)))</f>
        <v/>
      </c>
      <c r="AU398" s="28" t="str">
        <f t="array" ref="AU398">IF($I398="","",IF(G398="SNELLEN_FEET",IF(I398="READABLE",IFERROR(XLOOKUP(XLOOKUP(R398,Chart_Scale_Distance!B:B,Chart_Scale_Distance!A:A)+1,Chart_Scale_Distance!A:A,Chart_Scale_Distance!B:B),R398),R398),R398))</f>
        <v/>
      </c>
      <c r="AV398" s="28" t="str">
        <f t="array" ref="AV398">IF($I397="","",IFERROR(XLOOKUP(R398,Chart_Scale_Distance!$B:$B,Chart_Scale_Distance!$A:$A,""),""))</f>
        <v/>
      </c>
      <c r="AW398" s="28" t="str">
        <f t="array" ref="AW398">IF($I397="","",IFERROR(XLOOKUP(AA398,Chart_Scale_Distance!$B:$B,Chart_Scale_Distance!$A:$A,""),""))</f>
        <v/>
      </c>
      <c r="AX398" s="28" t="str">
        <f t="shared" si="14"/>
        <v/>
      </c>
      <c r="AY398" s="28" t="str">
        <f t="shared" si="15"/>
        <v/>
      </c>
      <c r="AZ398" s="28" t="str">
        <f t="shared" si="16"/>
        <v/>
      </c>
      <c r="BA398" s="28" t="str">
        <f t="shared" si="17"/>
        <v/>
      </c>
      <c r="BB398" s="28" t="str">
        <f t="shared" si="18"/>
        <v/>
      </c>
      <c r="BC398" s="28" t="str">
        <f t="array" ref="BC398">IF($I398="","",LET(
conf,AI398,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duoMax,XLOOKUP($B398,Derived_Variables!$A:$A,Derived_Variables!$AI:$AI,4),
axisTol,XLOOKUP($B398,Derived_Variables!$A:$A,Derived_Variables!$W:$W,1),
maxStart,XLOOKUP($B398,Derived_Variables!$A:$A,Derived_Variables!$U:$U,1.25),
maxAR,XLOOKUP($B398,Derived_Variables!$A:$A,Derived_Variables!$V:$V,3),
anom,XLOOKUP($B398,Derived_Variables!$A:$A,Derived_Variables!$Z:$Z,FALSE),
reStart,XLOOKUP($B398,Derived_Variables!$A:$A,Derived_Variables!$K:$K,0),
leStart,XLOOKUP($B398,Derived_Variables!$A:$A,Derived_Variables!$N:$N,0),
reAR,XLOOKUP($B398,AR_Input!$A:$A,AR_Input!$B:$B,reStart),
leAR,XLOOKUP($B398,AR_Input!$A:$A,AR_Input!$E:$E,leStart),
reEsc,AND(anom,OR(ABS((S398+AM398)-reStart)&gt;maxStart,ABS((S398+AM398)-reAR)&gt;maxAR)),
leEsc,AND(anom,OR(ABS((V398+AP398)-leStart)&gt;maxStart,ABS((V398+AP398)-leAR)&gt;maxAR)),
phaseMax,IFS(
 AK398="Fast",
   IFS(
     OR(C398="B",C398="D"),XLOOKUP("timeout_coarse_fast",Calibration!$B:$B,Calibration!$C:$C,24),
     OR(C398="E",C398="F",C398="H",C398="I"),XLOOKUP("timeout_jcc_fast",Calibration!$B:$B,Calibration!$C:$C,10),
     OR(C398="G",C398="J"),XLOOKUP("timeout_duochrome_fast",Calibration!$B:$B,Calibration!$C:$C,8),
     C398="K",XLOOKUP("timeout_bino_fast",Calibration!$B:$B,Calibration!$C:$C,10),
     OR(C398="P",C398="Q",C398="R"),XLOOKUP("timeout_near_fast",Calibration!$B:$B,Calibration!$C:$C,16),
     TRUE,XLOOKUP("timeout_coarse_fast",Calibration!$B:$B,Calibration!$C:$C,24)
   ),
 AK398="Normal",
   IFS(
     OR(C398="B",C398="D"),XLOOKUP("timeout_coarse_normal",Calibration!$B:$B,Calibration!$C:$C,36),
     OR(C398="E",C398="F",C398="H",C398="I"),XLOOKUP("timeout_jcc_normal",Calibration!$B:$B,Calibration!$C:$C,14),
     OR(C398="G",C398="J"),XLOOKUP("timeout_duochrome_normal",Calibration!$B:$B,Calibration!$C:$C,10),
     C398="K",XLOOKUP("timeout_bino_normal",Calibration!$B:$B,Calibration!$C:$C,14),
     OR(C398="P",C398="Q",C398="R"),XLOOKUP("timeout_near_normal",Calibration!$B:$B,Calibration!$C:$C,22),
     TRUE,XLOOKUP("timeout_coarse_normal",Calibration!$B:$B,Calibration!$C:$C,36)
   ),
 TRUE,
   IFS(
     OR(C398="B",C398="D"),XLOOKUP("timeout_coarse_slow",Calibration!$B:$B,Calibration!$C:$C,48),
     OR(C398="E",C398="F",C398="H",C398="I"),XLOOKUP("timeout_jcc_slow",Calibration!$B:$B,Calibration!$C:$C,18),
     OR(C398="G",C398="J"),XLOOKUP("timeout_duochrome_slow",Calibration!$B:$B,Calibration!$C:$C,12),
     C398="K",XLOOKUP("timeout_bino_slow",Calibration!$B:$B,Calibration!$C:$C,18),
     OR(C398="P",C398="Q",C398="R"),XLOOKUP("timeout_near_slow",Calibration!$B:$B,Calibration!$C:$C,28),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AJ398=TRUE,"ESCALATE",
C398="A",
IF(OR(I398="NOT_READABLE",I398="BLURRY",AND(R398="20_20_20",I398="READABLE")),"B","A"),
C398="B",
IF(reEsc,"ESCALATE",IF(AY398&gt;=phaseMax,"ESCALATE",IF(AND(AV398&gt;=AW398,I398="READABLE"),"E","B"))),
C398="E",
IF(AY398&gt;=phaseMax,"ESCALATE",IF(OR(I398="SAME",I398="CANT_TELL",AD398&lt;axisTol),"F","E")),
C398="F",
IF(AY398&gt;=phaseMax,"ESCALATE",IF(AX398&gt;=powerSameN,"G","F")),
C398="G",
IF(AY398&gt;=phaseMax,"ESCALATE",IF(OR(AX398&gt;=duoEqualN,BB398&gt;=duoMax),"D","G")),
C398="D",
IF(leEsc,"ESCALATE",IF(AY398&gt;=phaseMax,"ESCALATE",IF(AND(AV398&gt;=AW398,I398="READABLE"),"H","D"))),
C398="H",
IF(AY398&gt;=phaseMax,"ESCALATE",IF(OR(I398="SAME",I398="CANT_TELL",AD398&lt;axisTol),"I","H")),
C398="I",
IF(AY398&gt;=phaseMax,"ESCALATE",IF(AX398&gt;=powerSameN,"J","I")),
C398="J",
IF(AY398&gt;=phaseMax,"ESCALATE",IF(OR(AX398&gt;=duoEqualN,BB398&gt;=duoMax),"K","J")),
C398="K",
IF(AY398&gt;=phaseMax,"ESCALATE",IF(AX398&gt;=binoSameN,IF(XLOOKUP($B398,Derived_Variables!$A:$A,Derived_Variables!$AJ:$AJ,FALSE)=TRUE,"P","END"),"K")),
C398="P",
IF(AY398&gt;=phaseMax,"ESCALATE",IF(OR(I398="READABLE",I398="SAME"),"Q","P")),
C398="Q",
IF(AY398&gt;=phaseMax,"ESCALATE",IF(OR(I398="READABLE",I398="SAME"),"R","Q")),
C398="R",
IF(AY398&gt;=phaseMax,"ESCALATE",IF(OR(I398=nearTarget,I398="SAME"),"END","R")),
TRUE,"END"
)))</f>
        <v/>
      </c>
      <c r="BD398" s="28" t="b">
        <f t="shared" si="19"/>
        <v>0</v>
      </c>
    </row>
    <row r="399" ht="15.75" customHeight="1">
      <c r="A399" s="28">
        <f t="shared" si="3"/>
        <v>398</v>
      </c>
      <c r="B399" s="28">
        <f t="shared" si="4"/>
        <v>6</v>
      </c>
      <c r="C399" s="28" t="str">
        <f t="shared" si="5"/>
        <v/>
      </c>
      <c r="D399" s="28" t="str">
        <f t="array" ref="D399">IF($I398="","",XLOOKUP(C399,FSM_State_Map!A:A,FSM_State_Map!B:B,""))</f>
        <v/>
      </c>
      <c r="E399" s="28" t="str">
        <f t="array" ref="E399">IF($I398="","",XLOOKUP(C399,FSM_State_Map!A:A,FSM_State_Map!C:C,""))</f>
        <v/>
      </c>
      <c r="F399" s="28" t="str">
        <f t="array" ref="F399">IF($I398="","",XLOOKUP(E399,Phase_UI_Map!A:A,Phase_UI_Map!B:B,""))</f>
        <v/>
      </c>
      <c r="G399" s="28" t="str">
        <f t="array" ref="G399">IF($I398="","",XLOOKUP(E399,Phase_UI_Map!A:A,Phase_UI_Map!C:C,""))</f>
        <v/>
      </c>
      <c r="H399" s="28" t="str">
        <f t="array" ref="H399">IF($I398="","",XLOOKUP(E399,Phase_UI_Map!A:A,Phase_UI_Map!D:D,""))</f>
        <v/>
      </c>
      <c r="I399" s="29"/>
      <c r="J399" s="28" t="str">
        <f>IFERROR(__xludf.DUMMYFUNCTION("IF($I398="""","""",IFERROR(INDEX(FILTER(Response_Lists!$B:$B,Response_Lists!$A:$A=$H399),1),""""))"),"")</f>
        <v/>
      </c>
      <c r="K399" s="28" t="str">
        <f>IFERROR(__xludf.DUMMYFUNCTION("IF($I398="""","""",IFERROR(INDEX(FILTER(Response_Lists!$B:$B,Response_Lists!$A:$A=$H399),2),""""))"),"")</f>
        <v/>
      </c>
      <c r="L399" s="28" t="str">
        <f>IFERROR(__xludf.DUMMYFUNCTION("IF($I398="""","""",IFERROR(INDEX(FILTER(Response_Lists!$B:$B,Response_Lists!$A:$A=$H399),3),""""))"),"")</f>
        <v/>
      </c>
      <c r="M399" s="28" t="str">
        <f>IFERROR(__xludf.DUMMYFUNCTION("IF($I398="""","""",IFERROR(INDEX(FILTER(Response_Lists!$B:$B,Response_Lists!$A:$A=$H399),4),""""))"),"")</f>
        <v/>
      </c>
      <c r="N399" s="28" t="str">
        <f>IFERROR(__xludf.DUMMYFUNCTION("IF($I398="""","""",IFERROR(INDEX(FILTER(Response_Lists!$B:$B,Response_Lists!$A:$A=$H399),5),""""))"),"")</f>
        <v/>
      </c>
      <c r="O399" s="28" t="str">
        <f>IFERROR(__xludf.DUMMYFUNCTION("IF($I398="""","""",IFERROR(INDEX(FILTER(Response_Lists!$B:$B,Response_Lists!$A:$A=$H399),6),""""))"),"")</f>
        <v/>
      </c>
      <c r="P399" s="28" t="str">
        <f t="shared" si="6"/>
        <v/>
      </c>
      <c r="Q399" s="28" t="str">
        <f t="array" ref="Q399">IF($I398="","",XLOOKUP(C399,FSM_State_Map!A:A,FSM_State_Map!D:D,""))</f>
        <v/>
      </c>
      <c r="R399" s="28" t="str">
        <f t="shared" si="7"/>
        <v/>
      </c>
      <c r="S399" s="28" t="str">
        <f t="array" ref="S399">IF($I398="","",
IF(
  AND(C399="B",C398&lt;&gt;"B"),
  XLOOKUP($B399,Derived_Variables!$A:$A,Derived_Variables!$K:$K,0)
  + XLOOKUP($B399,Derived_Variables!$A:$A,Derived_Variables!$AE:$AE,0),
  S398+AM398
))</f>
        <v/>
      </c>
      <c r="T399" s="28" t="str">
        <f t="shared" ref="T399:U399" si="808">IF($I398="","",T398+AN398)</f>
        <v/>
      </c>
      <c r="U399" s="28" t="str">
        <f t="shared" si="808"/>
        <v/>
      </c>
      <c r="V399" s="28" t="str">
        <f t="array" ref="V399">IF($I398="","",
IF(
  AND(C399="D",C398&lt;&gt;"D"),
  XLOOKUP($B399,Derived_Variables!$A:$A,Derived_Variables!$N:$N,0)
  + XLOOKUP($B399,Derived_Variables!$A:$A,Derived_Variables!$AE:$AE,0),
  V398+AP398
))</f>
        <v/>
      </c>
      <c r="W399" s="28" t="str">
        <f t="shared" ref="W399:X399" si="809">IF($I398="","",W398+AQ398)</f>
        <v/>
      </c>
      <c r="X399" s="28" t="str">
        <f t="shared" si="809"/>
        <v/>
      </c>
      <c r="Y399" s="28" t="str">
        <f t="array" ref="Y399">IF($I398="","",IF(AND(C399="P",C398&lt;&gt;"P"),IFERROR(XLOOKUP($B399,Lenso_Input!$A:$A,Lenso_Input!$E:$E,0),0),Y398+AS398))</f>
        <v/>
      </c>
      <c r="Z399" s="28" t="str">
        <f t="array" ref="Z399">IF($I398="","",IF(AND(C399="Q",C398&lt;&gt;"Q"),IFERROR(XLOOKUP($B399,Lenso_Input!$A:$A,Lenso_Input!$I:$I,0),0),Z398+AT398))</f>
        <v/>
      </c>
      <c r="AA399" s="28" t="str">
        <f t="array" ref="AA399">IF($I398="","",IF(XLOOKUP($B399,Derived_Variables!$A:$A,Derived_Variables!$R:$R,"6/6_target")="6/6_target","20_20_20","40_30_25"))</f>
        <v/>
      </c>
      <c r="AB399" s="28" t="str">
        <f t="array" ref="AB399">IF($I398="","",XLOOKUP(LOWER(XLOOKUP($B399,Derived_Variables!$A:$A,Derived_Variables!$T:$T,"Standard"))&amp;"_sph_step",Calibration!$B:$B,Calibration!$C:$C,0.25))</f>
        <v/>
      </c>
      <c r="AC399" s="28" t="str">
        <f t="array" ref="AC399">IF($I398="","",XLOOKUP(LOWER(XLOOKUP($B399,Derived_Variables!$A:$A,Derived_Variables!$T:$T,"Standard"))&amp;"_cyl_step",Calibration!$B:$B,Calibration!$C:$C,0.25))</f>
        <v/>
      </c>
      <c r="AD399" s="28" t="str">
        <f t="array" ref="AD399">IF($I398="","",IF(OR(C399="E",C399="H"),LET(startStep,XLOOKUP("axis_start_step",Calibration!$B:$B,Calibration!$C:$C,5),step1,XLOOKUP("axis_reversal_step_1",Calibration!$B:$B,Calibration!$C:$C,3),step2,XLOOKUP("axis_reversal_step_2",Calibration!$B:$B,Calibration!$C:$C,1),IF(OR(C398&lt;&gt;C399,AZ399="",AZ399="SAME",AZ399="CANT_TELL",I399="",I399="SAME",I399="CANT_TELL"),startStep,IF(OR(AND(AZ399="BETTER_1",I399="BETTER_2"),AND(AZ399="BETTER_2",I399="BETTER_1")),IF(AD398&gt;step1,step1,step2),AD398))),0))</f>
        <v/>
      </c>
      <c r="AE399" s="28" t="str">
        <f t="array" ref="AE399">IF($I398="","",XLOOKUP($B399,Derived_Variables!$A:$A,Derived_Variables!$AD:$AD,"No_Fog"))</f>
        <v/>
      </c>
      <c r="AF399" s="28" t="str">
        <f t="array" ref="AF399">IF($I398="","",XLOOKUP($B399,Derived_Variables!$A:$A,Derived_Variables!$AE:$AE,0))</f>
        <v/>
      </c>
      <c r="AG399" s="28" t="str">
        <f t="array" ref="AG399">IF($I398="","",XLOOKUP($B399,Derived_Variables!$A:$A,Derived_Variables!$AF:$AF,""))</f>
        <v/>
      </c>
      <c r="AH399" s="28" t="str">
        <f t="array" ref="AH399">IF($I398="","",XLOOKUP($B399,Derived_Variables!$A:$A,Derived_Variables!$AG:$AG,""))</f>
        <v/>
      </c>
      <c r="AI399" s="28" t="str">
        <f t="array" ref="AI399">IF($I398="","",XLOOKUP($B399,Derived_Variables!$A:$A,Derived_Variables!$AC:$AC,"Medium"))</f>
        <v/>
      </c>
      <c r="AJ399" s="28" t="str">
        <f t="array" ref="AJ399">IF($I398="","",XLOOKUP($B399,Derived_Variables!$A:$A,Derived_Variables!$Y:$Y,FALSE))</f>
        <v/>
      </c>
      <c r="AK399" s="28" t="str">
        <f t="array" ref="AK399">IF($I398="","",XLOOKUP($B399,Derived_Variables!$A:$A,Derived_Variables!$AA:$AA,"Normal"))</f>
        <v/>
      </c>
      <c r="AL399" s="28" t="str">
        <f t="array" ref="AL399">IF($I398="","",XLOOKUP($B399,Derived_Variables!$A:$A,Derived_Variables!$AB:$AB,"Normal"))</f>
        <v/>
      </c>
      <c r="AM399" s="28" t="str">
        <f t="array" ref="AM399">IF($I399="","",IFS(C399="B",IF(OR(I399="NOT_READABLE",I399="BLURRY"),-AB399,0),C399="G",IFS(I399="RED_CLEARER",XLOOKUP("duochrome_red_step",Calibration!$B:$B,Calibration!$C:$C,-0.25),I399="GREEN_CLEARER",XLOOKUP("duochrome_green_step",Calibration!$B:$B,Calibration!$C:$C,0.25),I399="EQUAL",IF(XLOOKUP($B399,Derived_Variables!$A:$A,Derived_Variables!$S:$S,"Neutral")="Undercorrect",XLOOKUP("undercorrect_step",Calibration!$B:$B,Calibration!$C:$C,0.25),IF(XLOOKUP($B399,Derived_Variables!$A:$A,Derived_Variables!$S:$S,"Neutral")="Overcorrect",-XLOOKUP("overcorrect_step",Calibration!$B:$B,Calibration!$C:$C,0.25),0)),TRUE,0),C399="K",IF(I399="TOP_CLEARER",XLOOKUP("bino_balance_step",Calibration!$B:$B,Calibration!$C:$C,0.25),0),TRUE,0))</f>
        <v/>
      </c>
      <c r="AN399" s="28" t="str">
        <f t="shared" si="10"/>
        <v/>
      </c>
      <c r="AO399" s="28" t="str">
        <f t="shared" si="11"/>
        <v/>
      </c>
      <c r="AP399" s="28" t="str">
        <f t="array" ref="AP399">IF($I399="","",IFS(C399="D",IF(OR(I399="NOT_READABLE",I399="BLURRY"),-AB399,0),C399="J",IFS(I399="RED_CLEARER",XLOOKUP("duochrome_red_step",Calibration!$B:$B,Calibration!$C:$C,-0.25),I399="GREEN_CLEARER",XLOOKUP("duochrome_green_step",Calibration!$B:$B,Calibration!$C:$C,0.25),I399="EQUAL",IF(XLOOKUP($B399,Derived_Variables!$A:$A,Derived_Variables!$S:$S,"Neutral")="Undercorrect",XLOOKUP("undercorrect_step",Calibration!$B:$B,Calibration!$C:$C,0.25),IF(XLOOKUP($B399,Derived_Variables!$A:$A,Derived_Variables!$S:$S,"Neutral")="Overcorrect",-XLOOKUP("overcorrect_step",Calibration!$B:$B,Calibration!$C:$C,0.25),0)),TRUE,0),C399="K",IF(I399="BOTTOM_CLEARER",XLOOKUP("bino_balance_step",Calibration!$B:$B,Calibration!$C:$C,0.25),0),TRUE,0))</f>
        <v/>
      </c>
      <c r="AQ399" s="28" t="str">
        <f t="shared" si="12"/>
        <v/>
      </c>
      <c r="AR399" s="28" t="str">
        <f t="shared" si="13"/>
        <v/>
      </c>
      <c r="AS399" s="28" t="str">
        <f t="array" ref="AS399">IF($I399="","",IF(C399="P",IF(OR(I399="NOT_READABLE",I399="BLURRY"),XLOOKUP("near_add_step",Calibration!$B:$B,Calibration!$C:$C,0.25),0),IF(C399="R",IF(I399="NOT_CLEAR",XLOOKUP("near_add_step",Calibration!$B:$B,Calibration!$C:$C,0.25),0),0)))</f>
        <v/>
      </c>
      <c r="AT399" s="28" t="str">
        <f t="array" ref="AT399">IF($I399="","",IF(C399="Q",IF(OR(I399="NOT_READABLE",I399="BLURRY"),XLOOKUP("near_add_step",Calibration!$B:$B,Calibration!$C:$C,0.25),0),IF(C399="R",IF(I399="NOT_CLEAR",XLOOKUP("near_add_step",Calibration!$B:$B,Calibration!$C:$C,0.25),0),0)))</f>
        <v/>
      </c>
      <c r="AU399" s="28" t="str">
        <f t="array" ref="AU399">IF($I399="","",IF(G399="SNELLEN_FEET",IF(I399="READABLE",IFERROR(XLOOKUP(XLOOKUP(R399,Chart_Scale_Distance!B:B,Chart_Scale_Distance!A:A)+1,Chart_Scale_Distance!A:A,Chart_Scale_Distance!B:B),R399),R399),R399))</f>
        <v/>
      </c>
      <c r="AV399" s="28" t="str">
        <f t="array" ref="AV399">IF($I398="","",IFERROR(XLOOKUP(R399,Chart_Scale_Distance!$B:$B,Chart_Scale_Distance!$A:$A,""),""))</f>
        <v/>
      </c>
      <c r="AW399" s="28" t="str">
        <f t="array" ref="AW399">IF($I398="","",IFERROR(XLOOKUP(AA399,Chart_Scale_Distance!$B:$B,Chart_Scale_Distance!$A:$A,""),""))</f>
        <v/>
      </c>
      <c r="AX399" s="28" t="str">
        <f t="shared" si="14"/>
        <v/>
      </c>
      <c r="AY399" s="28" t="str">
        <f t="shared" si="15"/>
        <v/>
      </c>
      <c r="AZ399" s="28" t="str">
        <f t="shared" si="16"/>
        <v/>
      </c>
      <c r="BA399" s="28" t="str">
        <f t="shared" si="17"/>
        <v/>
      </c>
      <c r="BB399" s="28" t="str">
        <f t="shared" si="18"/>
        <v/>
      </c>
      <c r="BC399" s="28" t="str">
        <f t="array" ref="BC399">IF($I399="","",LET(
conf,AI399,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duoMax,XLOOKUP($B399,Derived_Variables!$A:$A,Derived_Variables!$AI:$AI,4),
axisTol,XLOOKUP($B399,Derived_Variables!$A:$A,Derived_Variables!$W:$W,1),
maxStart,XLOOKUP($B399,Derived_Variables!$A:$A,Derived_Variables!$U:$U,1.25),
maxAR,XLOOKUP($B399,Derived_Variables!$A:$A,Derived_Variables!$V:$V,3),
anom,XLOOKUP($B399,Derived_Variables!$A:$A,Derived_Variables!$Z:$Z,FALSE),
reStart,XLOOKUP($B399,Derived_Variables!$A:$A,Derived_Variables!$K:$K,0),
leStart,XLOOKUP($B399,Derived_Variables!$A:$A,Derived_Variables!$N:$N,0),
reAR,XLOOKUP($B399,AR_Input!$A:$A,AR_Input!$B:$B,reStart),
leAR,XLOOKUP($B399,AR_Input!$A:$A,AR_Input!$E:$E,leStart),
reEsc,AND(anom,OR(ABS((S399+AM399)-reStart)&gt;maxStart,ABS((S399+AM399)-reAR)&gt;maxAR)),
leEsc,AND(anom,OR(ABS((V399+AP399)-leStart)&gt;maxStart,ABS((V399+AP399)-leAR)&gt;maxAR)),
phaseMax,IFS(
 AK399="Fast",
   IFS(
     OR(C399="B",C399="D"),XLOOKUP("timeout_coarse_fast",Calibration!$B:$B,Calibration!$C:$C,24),
     OR(C399="E",C399="F",C399="H",C399="I"),XLOOKUP("timeout_jcc_fast",Calibration!$B:$B,Calibration!$C:$C,10),
     OR(C399="G",C399="J"),XLOOKUP("timeout_duochrome_fast",Calibration!$B:$B,Calibration!$C:$C,8),
     C399="K",XLOOKUP("timeout_bino_fast",Calibration!$B:$B,Calibration!$C:$C,10),
     OR(C399="P",C399="Q",C399="R"),XLOOKUP("timeout_near_fast",Calibration!$B:$B,Calibration!$C:$C,16),
     TRUE,XLOOKUP("timeout_coarse_fast",Calibration!$B:$B,Calibration!$C:$C,24)
   ),
 AK399="Normal",
   IFS(
     OR(C399="B",C399="D"),XLOOKUP("timeout_coarse_normal",Calibration!$B:$B,Calibration!$C:$C,36),
     OR(C399="E",C399="F",C399="H",C399="I"),XLOOKUP("timeout_jcc_normal",Calibration!$B:$B,Calibration!$C:$C,14),
     OR(C399="G",C399="J"),XLOOKUP("timeout_duochrome_normal",Calibration!$B:$B,Calibration!$C:$C,10),
     C399="K",XLOOKUP("timeout_bino_normal",Calibration!$B:$B,Calibration!$C:$C,14),
     OR(C399="P",C399="Q",C399="R"),XLOOKUP("timeout_near_normal",Calibration!$B:$B,Calibration!$C:$C,22),
     TRUE,XLOOKUP("timeout_coarse_normal",Calibration!$B:$B,Calibration!$C:$C,36)
   ),
 TRUE,
   IFS(
     OR(C399="B",C399="D"),XLOOKUP("timeout_coarse_slow",Calibration!$B:$B,Calibration!$C:$C,48),
     OR(C399="E",C399="F",C399="H",C399="I"),XLOOKUP("timeout_jcc_slow",Calibration!$B:$B,Calibration!$C:$C,18),
     OR(C399="G",C399="J"),XLOOKUP("timeout_duochrome_slow",Calibration!$B:$B,Calibration!$C:$C,12),
     C399="K",XLOOKUP("timeout_bino_slow",Calibration!$B:$B,Calibration!$C:$C,18),
     OR(C399="P",C399="Q",C399="R"),XLOOKUP("timeout_near_slow",Calibration!$B:$B,Calibration!$C:$C,28),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AJ399=TRUE,"ESCALATE",
C399="A",
IF(OR(I399="NOT_READABLE",I399="BLURRY",AND(R399="20_20_20",I399="READABLE")),"B","A"),
C399="B",
IF(reEsc,"ESCALATE",IF(AY399&gt;=phaseMax,"ESCALATE",IF(AND(AV399&gt;=AW399,I399="READABLE"),"E","B"))),
C399="E",
IF(AY399&gt;=phaseMax,"ESCALATE",IF(OR(I399="SAME",I399="CANT_TELL",AD399&lt;axisTol),"F","E")),
C399="F",
IF(AY399&gt;=phaseMax,"ESCALATE",IF(AX399&gt;=powerSameN,"G","F")),
C399="G",
IF(AY399&gt;=phaseMax,"ESCALATE",IF(OR(AX399&gt;=duoEqualN,BB399&gt;=duoMax),"D","G")),
C399="D",
IF(leEsc,"ESCALATE",IF(AY399&gt;=phaseMax,"ESCALATE",IF(AND(AV399&gt;=AW399,I399="READABLE"),"H","D"))),
C399="H",
IF(AY399&gt;=phaseMax,"ESCALATE",IF(OR(I399="SAME",I399="CANT_TELL",AD399&lt;axisTol),"I","H")),
C399="I",
IF(AY399&gt;=phaseMax,"ESCALATE",IF(AX399&gt;=powerSameN,"J","I")),
C399="J",
IF(AY399&gt;=phaseMax,"ESCALATE",IF(OR(AX399&gt;=duoEqualN,BB399&gt;=duoMax),"K","J")),
C399="K",
IF(AY399&gt;=phaseMax,"ESCALATE",IF(AX399&gt;=binoSameN,IF(XLOOKUP($B399,Derived_Variables!$A:$A,Derived_Variables!$AJ:$AJ,FALSE)=TRUE,"P","END"),"K")),
C399="P",
IF(AY399&gt;=phaseMax,"ESCALATE",IF(OR(I399="READABLE",I399="SAME"),"Q","P")),
C399="Q",
IF(AY399&gt;=phaseMax,"ESCALATE",IF(OR(I399="READABLE",I399="SAME"),"R","Q")),
C399="R",
IF(AY399&gt;=phaseMax,"ESCALATE",IF(OR(I399=nearTarget,I399="SAME"),"END","R")),
TRUE,"END"
)))</f>
        <v/>
      </c>
      <c r="BD399" s="28" t="b">
        <f t="shared" si="19"/>
        <v>0</v>
      </c>
    </row>
    <row r="400" ht="15.75" customHeight="1">
      <c r="A400" s="28">
        <f t="shared" si="3"/>
        <v>399</v>
      </c>
      <c r="B400" s="28">
        <f t="shared" si="4"/>
        <v>6</v>
      </c>
      <c r="C400" s="28" t="str">
        <f t="shared" si="5"/>
        <v/>
      </c>
      <c r="D400" s="28" t="str">
        <f t="array" ref="D400">IF($I399="","",XLOOKUP(C400,FSM_State_Map!A:A,FSM_State_Map!B:B,""))</f>
        <v/>
      </c>
      <c r="E400" s="28" t="str">
        <f t="array" ref="E400">IF($I399="","",XLOOKUP(C400,FSM_State_Map!A:A,FSM_State_Map!C:C,""))</f>
        <v/>
      </c>
      <c r="F400" s="28" t="str">
        <f t="array" ref="F400">IF($I399="","",XLOOKUP(E400,Phase_UI_Map!A:A,Phase_UI_Map!B:B,""))</f>
        <v/>
      </c>
      <c r="G400" s="28" t="str">
        <f t="array" ref="G400">IF($I399="","",XLOOKUP(E400,Phase_UI_Map!A:A,Phase_UI_Map!C:C,""))</f>
        <v/>
      </c>
      <c r="H400" s="28" t="str">
        <f t="array" ref="H400">IF($I399="","",XLOOKUP(E400,Phase_UI_Map!A:A,Phase_UI_Map!D:D,""))</f>
        <v/>
      </c>
      <c r="I400" s="29"/>
      <c r="J400" s="28" t="str">
        <f>IFERROR(__xludf.DUMMYFUNCTION("IF($I399="""","""",IFERROR(INDEX(FILTER(Response_Lists!$B:$B,Response_Lists!$A:$A=$H400),1),""""))"),"")</f>
        <v/>
      </c>
      <c r="K400" s="28" t="str">
        <f>IFERROR(__xludf.DUMMYFUNCTION("IF($I399="""","""",IFERROR(INDEX(FILTER(Response_Lists!$B:$B,Response_Lists!$A:$A=$H400),2),""""))"),"")</f>
        <v/>
      </c>
      <c r="L400" s="28" t="str">
        <f>IFERROR(__xludf.DUMMYFUNCTION("IF($I399="""","""",IFERROR(INDEX(FILTER(Response_Lists!$B:$B,Response_Lists!$A:$A=$H400),3),""""))"),"")</f>
        <v/>
      </c>
      <c r="M400" s="28" t="str">
        <f>IFERROR(__xludf.DUMMYFUNCTION("IF($I399="""","""",IFERROR(INDEX(FILTER(Response_Lists!$B:$B,Response_Lists!$A:$A=$H400),4),""""))"),"")</f>
        <v/>
      </c>
      <c r="N400" s="28" t="str">
        <f>IFERROR(__xludf.DUMMYFUNCTION("IF($I399="""","""",IFERROR(INDEX(FILTER(Response_Lists!$B:$B,Response_Lists!$A:$A=$H400),5),""""))"),"")</f>
        <v/>
      </c>
      <c r="O400" s="28" t="str">
        <f>IFERROR(__xludf.DUMMYFUNCTION("IF($I399="""","""",IFERROR(INDEX(FILTER(Response_Lists!$B:$B,Response_Lists!$A:$A=$H400),6),""""))"),"")</f>
        <v/>
      </c>
      <c r="P400" s="28" t="str">
        <f t="shared" si="6"/>
        <v/>
      </c>
      <c r="Q400" s="28" t="str">
        <f t="array" ref="Q400">IF($I399="","",XLOOKUP(C400,FSM_State_Map!A:A,FSM_State_Map!D:D,""))</f>
        <v/>
      </c>
      <c r="R400" s="28" t="str">
        <f t="shared" si="7"/>
        <v/>
      </c>
      <c r="S400" s="28" t="str">
        <f t="array" ref="S400">IF($I399="","",
IF(
  AND(C400="B",C399&lt;&gt;"B"),
  XLOOKUP($B400,Derived_Variables!$A:$A,Derived_Variables!$K:$K,0)
  + XLOOKUP($B400,Derived_Variables!$A:$A,Derived_Variables!$AE:$AE,0),
  S399+AM399
))</f>
        <v/>
      </c>
      <c r="T400" s="28" t="str">
        <f t="shared" ref="T400:U400" si="810">IF($I399="","",T399+AN399)</f>
        <v/>
      </c>
      <c r="U400" s="28" t="str">
        <f t="shared" si="810"/>
        <v/>
      </c>
      <c r="V400" s="28" t="str">
        <f t="array" ref="V400">IF($I399="","",
IF(
  AND(C400="D",C399&lt;&gt;"D"),
  XLOOKUP($B400,Derived_Variables!$A:$A,Derived_Variables!$N:$N,0)
  + XLOOKUP($B400,Derived_Variables!$A:$A,Derived_Variables!$AE:$AE,0),
  V399+AP399
))</f>
        <v/>
      </c>
      <c r="W400" s="28" t="str">
        <f t="shared" ref="W400:X400" si="811">IF($I399="","",W399+AQ399)</f>
        <v/>
      </c>
      <c r="X400" s="28" t="str">
        <f t="shared" si="811"/>
        <v/>
      </c>
      <c r="Y400" s="28" t="str">
        <f t="array" ref="Y400">IF($I399="","",IF(AND(C400="P",C399&lt;&gt;"P"),IFERROR(XLOOKUP($B400,Lenso_Input!$A:$A,Lenso_Input!$E:$E,0),0),Y399+AS399))</f>
        <v/>
      </c>
      <c r="Z400" s="28" t="str">
        <f t="array" ref="Z400">IF($I399="","",IF(AND(C400="Q",C399&lt;&gt;"Q"),IFERROR(XLOOKUP($B400,Lenso_Input!$A:$A,Lenso_Input!$I:$I,0),0),Z399+AT399))</f>
        <v/>
      </c>
      <c r="AA400" s="28" t="str">
        <f t="array" ref="AA400">IF($I399="","",IF(XLOOKUP($B400,Derived_Variables!$A:$A,Derived_Variables!$R:$R,"6/6_target")="6/6_target","20_20_20","40_30_25"))</f>
        <v/>
      </c>
      <c r="AB400" s="28" t="str">
        <f t="array" ref="AB400">IF($I399="","",XLOOKUP(LOWER(XLOOKUP($B400,Derived_Variables!$A:$A,Derived_Variables!$T:$T,"Standard"))&amp;"_sph_step",Calibration!$B:$B,Calibration!$C:$C,0.25))</f>
        <v/>
      </c>
      <c r="AC400" s="28" t="str">
        <f t="array" ref="AC400">IF($I399="","",XLOOKUP(LOWER(XLOOKUP($B400,Derived_Variables!$A:$A,Derived_Variables!$T:$T,"Standard"))&amp;"_cyl_step",Calibration!$B:$B,Calibration!$C:$C,0.25))</f>
        <v/>
      </c>
      <c r="AD400" s="28" t="str">
        <f t="array" ref="AD400">IF($I399="","",IF(OR(C400="E",C400="H"),LET(startStep,XLOOKUP("axis_start_step",Calibration!$B:$B,Calibration!$C:$C,5),step1,XLOOKUP("axis_reversal_step_1",Calibration!$B:$B,Calibration!$C:$C,3),step2,XLOOKUP("axis_reversal_step_2",Calibration!$B:$B,Calibration!$C:$C,1),IF(OR(C399&lt;&gt;C400,AZ400="",AZ400="SAME",AZ400="CANT_TELL",I400="",I400="SAME",I400="CANT_TELL"),startStep,IF(OR(AND(AZ400="BETTER_1",I400="BETTER_2"),AND(AZ400="BETTER_2",I400="BETTER_1")),IF(AD399&gt;step1,step1,step2),AD399))),0))</f>
        <v/>
      </c>
      <c r="AE400" s="28" t="str">
        <f t="array" ref="AE400">IF($I399="","",XLOOKUP($B400,Derived_Variables!$A:$A,Derived_Variables!$AD:$AD,"No_Fog"))</f>
        <v/>
      </c>
      <c r="AF400" s="28" t="str">
        <f t="array" ref="AF400">IF($I399="","",XLOOKUP($B400,Derived_Variables!$A:$A,Derived_Variables!$AE:$AE,0))</f>
        <v/>
      </c>
      <c r="AG400" s="28" t="str">
        <f t="array" ref="AG400">IF($I399="","",XLOOKUP($B400,Derived_Variables!$A:$A,Derived_Variables!$AF:$AF,""))</f>
        <v/>
      </c>
      <c r="AH400" s="28" t="str">
        <f t="array" ref="AH400">IF($I399="","",XLOOKUP($B400,Derived_Variables!$A:$A,Derived_Variables!$AG:$AG,""))</f>
        <v/>
      </c>
      <c r="AI400" s="28" t="str">
        <f t="array" ref="AI400">IF($I399="","",XLOOKUP($B400,Derived_Variables!$A:$A,Derived_Variables!$AC:$AC,"Medium"))</f>
        <v/>
      </c>
      <c r="AJ400" s="28" t="str">
        <f t="array" ref="AJ400">IF($I399="","",XLOOKUP($B400,Derived_Variables!$A:$A,Derived_Variables!$Y:$Y,FALSE))</f>
        <v/>
      </c>
      <c r="AK400" s="28" t="str">
        <f t="array" ref="AK400">IF($I399="","",XLOOKUP($B400,Derived_Variables!$A:$A,Derived_Variables!$AA:$AA,"Normal"))</f>
        <v/>
      </c>
      <c r="AL400" s="28" t="str">
        <f t="array" ref="AL400">IF($I399="","",XLOOKUP($B400,Derived_Variables!$A:$A,Derived_Variables!$AB:$AB,"Normal"))</f>
        <v/>
      </c>
      <c r="AM400" s="28" t="str">
        <f t="array" ref="AM400">IF($I400="","",IFS(C400="B",IF(OR(I400="NOT_READABLE",I400="BLURRY"),-AB400,0),C400="G",IFS(I400="RED_CLEARER",XLOOKUP("duochrome_red_step",Calibration!$B:$B,Calibration!$C:$C,-0.25),I400="GREEN_CLEARER",XLOOKUP("duochrome_green_step",Calibration!$B:$B,Calibration!$C:$C,0.25),I400="EQUAL",IF(XLOOKUP($B400,Derived_Variables!$A:$A,Derived_Variables!$S:$S,"Neutral")="Undercorrect",XLOOKUP("undercorrect_step",Calibration!$B:$B,Calibration!$C:$C,0.25),IF(XLOOKUP($B400,Derived_Variables!$A:$A,Derived_Variables!$S:$S,"Neutral")="Overcorrect",-XLOOKUP("overcorrect_step",Calibration!$B:$B,Calibration!$C:$C,0.25),0)),TRUE,0),C400="K",IF(I400="TOP_CLEARER",XLOOKUP("bino_balance_step",Calibration!$B:$B,Calibration!$C:$C,0.25),0),TRUE,0))</f>
        <v/>
      </c>
      <c r="AN400" s="28" t="str">
        <f t="shared" si="10"/>
        <v/>
      </c>
      <c r="AO400" s="28" t="str">
        <f t="shared" si="11"/>
        <v/>
      </c>
      <c r="AP400" s="28" t="str">
        <f t="array" ref="AP400">IF($I400="","",IFS(C400="D",IF(OR(I400="NOT_READABLE",I400="BLURRY"),-AB400,0),C400="J",IFS(I400="RED_CLEARER",XLOOKUP("duochrome_red_step",Calibration!$B:$B,Calibration!$C:$C,-0.25),I400="GREEN_CLEARER",XLOOKUP("duochrome_green_step",Calibration!$B:$B,Calibration!$C:$C,0.25),I400="EQUAL",IF(XLOOKUP($B400,Derived_Variables!$A:$A,Derived_Variables!$S:$S,"Neutral")="Undercorrect",XLOOKUP("undercorrect_step",Calibration!$B:$B,Calibration!$C:$C,0.25),IF(XLOOKUP($B400,Derived_Variables!$A:$A,Derived_Variables!$S:$S,"Neutral")="Overcorrect",-XLOOKUP("overcorrect_step",Calibration!$B:$B,Calibration!$C:$C,0.25),0)),TRUE,0),C400="K",IF(I400="BOTTOM_CLEARER",XLOOKUP("bino_balance_step",Calibration!$B:$B,Calibration!$C:$C,0.25),0),TRUE,0))</f>
        <v/>
      </c>
      <c r="AQ400" s="28" t="str">
        <f t="shared" si="12"/>
        <v/>
      </c>
      <c r="AR400" s="28" t="str">
        <f t="shared" si="13"/>
        <v/>
      </c>
      <c r="AS400" s="28" t="str">
        <f t="array" ref="AS400">IF($I400="","",IF(C400="P",IF(OR(I400="NOT_READABLE",I400="BLURRY"),XLOOKUP("near_add_step",Calibration!$B:$B,Calibration!$C:$C,0.25),0),IF(C400="R",IF(I400="NOT_CLEAR",XLOOKUP("near_add_step",Calibration!$B:$B,Calibration!$C:$C,0.25),0),0)))</f>
        <v/>
      </c>
      <c r="AT400" s="28" t="str">
        <f t="array" ref="AT400">IF($I400="","",IF(C400="Q",IF(OR(I400="NOT_READABLE",I400="BLURRY"),XLOOKUP("near_add_step",Calibration!$B:$B,Calibration!$C:$C,0.25),0),IF(C400="R",IF(I400="NOT_CLEAR",XLOOKUP("near_add_step",Calibration!$B:$B,Calibration!$C:$C,0.25),0),0)))</f>
        <v/>
      </c>
      <c r="AU400" s="28" t="str">
        <f t="array" ref="AU400">IF($I400="","",IF(G400="SNELLEN_FEET",IF(I400="READABLE",IFERROR(XLOOKUP(XLOOKUP(R400,Chart_Scale_Distance!B:B,Chart_Scale_Distance!A:A)+1,Chart_Scale_Distance!A:A,Chart_Scale_Distance!B:B),R400),R400),R400))</f>
        <v/>
      </c>
      <c r="AV400" s="28" t="str">
        <f t="array" ref="AV400">IF($I399="","",IFERROR(XLOOKUP(R400,Chart_Scale_Distance!$B:$B,Chart_Scale_Distance!$A:$A,""),""))</f>
        <v/>
      </c>
      <c r="AW400" s="28" t="str">
        <f t="array" ref="AW400">IF($I399="","",IFERROR(XLOOKUP(AA400,Chart_Scale_Distance!$B:$B,Chart_Scale_Distance!$A:$A,""),""))</f>
        <v/>
      </c>
      <c r="AX400" s="28" t="str">
        <f t="shared" si="14"/>
        <v/>
      </c>
      <c r="AY400" s="28" t="str">
        <f t="shared" si="15"/>
        <v/>
      </c>
      <c r="AZ400" s="28" t="str">
        <f t="shared" si="16"/>
        <v/>
      </c>
      <c r="BA400" s="28" t="str">
        <f t="shared" si="17"/>
        <v/>
      </c>
      <c r="BB400" s="28" t="str">
        <f t="shared" si="18"/>
        <v/>
      </c>
      <c r="BC400" s="28" t="str">
        <f t="array" ref="BC400">IF($I400="","",LET(
conf,AI400,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duoMax,XLOOKUP($B400,Derived_Variables!$A:$A,Derived_Variables!$AI:$AI,4),
axisTol,XLOOKUP($B400,Derived_Variables!$A:$A,Derived_Variables!$W:$W,1),
maxStart,XLOOKUP($B400,Derived_Variables!$A:$A,Derived_Variables!$U:$U,1.25),
maxAR,XLOOKUP($B400,Derived_Variables!$A:$A,Derived_Variables!$V:$V,3),
anom,XLOOKUP($B400,Derived_Variables!$A:$A,Derived_Variables!$Z:$Z,FALSE),
reStart,XLOOKUP($B400,Derived_Variables!$A:$A,Derived_Variables!$K:$K,0),
leStart,XLOOKUP($B400,Derived_Variables!$A:$A,Derived_Variables!$N:$N,0),
reAR,XLOOKUP($B400,AR_Input!$A:$A,AR_Input!$B:$B,reStart),
leAR,XLOOKUP($B400,AR_Input!$A:$A,AR_Input!$E:$E,leStart),
reEsc,AND(anom,OR(ABS((S400+AM400)-reStart)&gt;maxStart,ABS((S400+AM400)-reAR)&gt;maxAR)),
leEsc,AND(anom,OR(ABS((V400+AP400)-leStart)&gt;maxStart,ABS((V400+AP400)-leAR)&gt;maxAR)),
phaseMax,IFS(
 AK400="Fast",
   IFS(
     OR(C400="B",C400="D"),XLOOKUP("timeout_coarse_fast",Calibration!$B:$B,Calibration!$C:$C,24),
     OR(C400="E",C400="F",C400="H",C400="I"),XLOOKUP("timeout_jcc_fast",Calibration!$B:$B,Calibration!$C:$C,10),
     OR(C400="G",C400="J"),XLOOKUP("timeout_duochrome_fast",Calibration!$B:$B,Calibration!$C:$C,8),
     C400="K",XLOOKUP("timeout_bino_fast",Calibration!$B:$B,Calibration!$C:$C,10),
     OR(C400="P",C400="Q",C400="R"),XLOOKUP("timeout_near_fast",Calibration!$B:$B,Calibration!$C:$C,16),
     TRUE,XLOOKUP("timeout_coarse_fast",Calibration!$B:$B,Calibration!$C:$C,24)
   ),
 AK400="Normal",
   IFS(
     OR(C400="B",C400="D"),XLOOKUP("timeout_coarse_normal",Calibration!$B:$B,Calibration!$C:$C,36),
     OR(C400="E",C400="F",C400="H",C400="I"),XLOOKUP("timeout_jcc_normal",Calibration!$B:$B,Calibration!$C:$C,14),
     OR(C400="G",C400="J"),XLOOKUP("timeout_duochrome_normal",Calibration!$B:$B,Calibration!$C:$C,10),
     C400="K",XLOOKUP("timeout_bino_normal",Calibration!$B:$B,Calibration!$C:$C,14),
     OR(C400="P",C400="Q",C400="R"),XLOOKUP("timeout_near_normal",Calibration!$B:$B,Calibration!$C:$C,22),
     TRUE,XLOOKUP("timeout_coarse_normal",Calibration!$B:$B,Calibration!$C:$C,36)
   ),
 TRUE,
   IFS(
     OR(C400="B",C400="D"),XLOOKUP("timeout_coarse_slow",Calibration!$B:$B,Calibration!$C:$C,48),
     OR(C400="E",C400="F",C400="H",C400="I"),XLOOKUP("timeout_jcc_slow",Calibration!$B:$B,Calibration!$C:$C,18),
     OR(C400="G",C400="J"),XLOOKUP("timeout_duochrome_slow",Calibration!$B:$B,Calibration!$C:$C,12),
     C400="K",XLOOKUP("timeout_bino_slow",Calibration!$B:$B,Calibration!$C:$C,18),
     OR(C400="P",C400="Q",C400="R"),XLOOKUP("timeout_near_slow",Calibration!$B:$B,Calibration!$C:$C,28),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AJ400=TRUE,"ESCALATE",
C400="A",
IF(OR(I400="NOT_READABLE",I400="BLURRY",AND(R400="20_20_20",I400="READABLE")),"B","A"),
C400="B",
IF(reEsc,"ESCALATE",IF(AY400&gt;=phaseMax,"ESCALATE",IF(AND(AV400&gt;=AW400,I400="READABLE"),"E","B"))),
C400="E",
IF(AY400&gt;=phaseMax,"ESCALATE",IF(OR(I400="SAME",I400="CANT_TELL",AD400&lt;axisTol),"F","E")),
C400="F",
IF(AY400&gt;=phaseMax,"ESCALATE",IF(AX400&gt;=powerSameN,"G","F")),
C400="G",
IF(AY400&gt;=phaseMax,"ESCALATE",IF(OR(AX400&gt;=duoEqualN,BB400&gt;=duoMax),"D","G")),
C400="D",
IF(leEsc,"ESCALATE",IF(AY400&gt;=phaseMax,"ESCALATE",IF(AND(AV400&gt;=AW400,I400="READABLE"),"H","D"))),
C400="H",
IF(AY400&gt;=phaseMax,"ESCALATE",IF(OR(I400="SAME",I400="CANT_TELL",AD400&lt;axisTol),"I","H")),
C400="I",
IF(AY400&gt;=phaseMax,"ESCALATE",IF(AX400&gt;=powerSameN,"J","I")),
C400="J",
IF(AY400&gt;=phaseMax,"ESCALATE",IF(OR(AX400&gt;=duoEqualN,BB400&gt;=duoMax),"K","J")),
C400="K",
IF(AY400&gt;=phaseMax,"ESCALATE",IF(AX400&gt;=binoSameN,IF(XLOOKUP($B400,Derived_Variables!$A:$A,Derived_Variables!$AJ:$AJ,FALSE)=TRUE,"P","END"),"K")),
C400="P",
IF(AY400&gt;=phaseMax,"ESCALATE",IF(OR(I400="READABLE",I400="SAME"),"Q","P")),
C400="Q",
IF(AY400&gt;=phaseMax,"ESCALATE",IF(OR(I400="READABLE",I400="SAME"),"R","Q")),
C400="R",
IF(AY400&gt;=phaseMax,"ESCALATE",IF(OR(I400=nearTarget,I400="SAME"),"END","R")),
TRUE,"END"
)))</f>
        <v/>
      </c>
      <c r="BD400" s="28" t="b">
        <f t="shared" si="19"/>
        <v>0</v>
      </c>
    </row>
    <row r="401" ht="15.75" customHeight="1">
      <c r="A401" s="28">
        <f t="shared" si="3"/>
        <v>400</v>
      </c>
      <c r="B401" s="28">
        <f t="shared" si="4"/>
        <v>6</v>
      </c>
      <c r="C401" s="28" t="str">
        <f t="shared" si="5"/>
        <v/>
      </c>
      <c r="D401" s="28" t="str">
        <f t="array" ref="D401">IF($I400="","",XLOOKUP(C401,FSM_State_Map!A:A,FSM_State_Map!B:B,""))</f>
        <v/>
      </c>
      <c r="E401" s="28" t="str">
        <f t="array" ref="E401">IF($I400="","",XLOOKUP(C401,FSM_State_Map!A:A,FSM_State_Map!C:C,""))</f>
        <v/>
      </c>
      <c r="F401" s="28" t="str">
        <f t="array" ref="F401">IF($I400="","",XLOOKUP(E401,Phase_UI_Map!A:A,Phase_UI_Map!B:B,""))</f>
        <v/>
      </c>
      <c r="G401" s="28" t="str">
        <f t="array" ref="G401">IF($I400="","",XLOOKUP(E401,Phase_UI_Map!A:A,Phase_UI_Map!C:C,""))</f>
        <v/>
      </c>
      <c r="H401" s="28" t="str">
        <f t="array" ref="H401">IF($I400="","",XLOOKUP(E401,Phase_UI_Map!A:A,Phase_UI_Map!D:D,""))</f>
        <v/>
      </c>
      <c r="I401" s="29"/>
      <c r="J401" s="28" t="str">
        <f>IFERROR(__xludf.DUMMYFUNCTION("IF($I400="""","""",IFERROR(INDEX(FILTER(Response_Lists!$B:$B,Response_Lists!$A:$A=$H401),1),""""))"),"")</f>
        <v/>
      </c>
      <c r="K401" s="28" t="str">
        <f>IFERROR(__xludf.DUMMYFUNCTION("IF($I400="""","""",IFERROR(INDEX(FILTER(Response_Lists!$B:$B,Response_Lists!$A:$A=$H401),2),""""))"),"")</f>
        <v/>
      </c>
      <c r="L401" s="28" t="str">
        <f>IFERROR(__xludf.DUMMYFUNCTION("IF($I400="""","""",IFERROR(INDEX(FILTER(Response_Lists!$B:$B,Response_Lists!$A:$A=$H401),3),""""))"),"")</f>
        <v/>
      </c>
      <c r="M401" s="28" t="str">
        <f>IFERROR(__xludf.DUMMYFUNCTION("IF($I400="""","""",IFERROR(INDEX(FILTER(Response_Lists!$B:$B,Response_Lists!$A:$A=$H401),4),""""))"),"")</f>
        <v/>
      </c>
      <c r="N401" s="28" t="str">
        <f>IFERROR(__xludf.DUMMYFUNCTION("IF($I400="""","""",IFERROR(INDEX(FILTER(Response_Lists!$B:$B,Response_Lists!$A:$A=$H401),5),""""))"),"")</f>
        <v/>
      </c>
      <c r="O401" s="28" t="str">
        <f>IFERROR(__xludf.DUMMYFUNCTION("IF($I400="""","""",IFERROR(INDEX(FILTER(Response_Lists!$B:$B,Response_Lists!$A:$A=$H401),6),""""))"),"")</f>
        <v/>
      </c>
      <c r="P401" s="28" t="str">
        <f t="shared" si="6"/>
        <v/>
      </c>
      <c r="Q401" s="28" t="str">
        <f t="array" ref="Q401">IF($I400="","",XLOOKUP(C401,FSM_State_Map!A:A,FSM_State_Map!D:D,""))</f>
        <v/>
      </c>
      <c r="R401" s="28" t="str">
        <f t="shared" si="7"/>
        <v/>
      </c>
      <c r="S401" s="28" t="str">
        <f t="array" ref="S401">IF($I400="","",
IF(
  AND(C401="B",C400&lt;&gt;"B"),
  XLOOKUP($B401,Derived_Variables!$A:$A,Derived_Variables!$K:$K,0)
  + XLOOKUP($B401,Derived_Variables!$A:$A,Derived_Variables!$AE:$AE,0),
  S400+AM400
))</f>
        <v/>
      </c>
      <c r="T401" s="28" t="str">
        <f t="shared" ref="T401:U401" si="812">IF($I400="","",T400+AN400)</f>
        <v/>
      </c>
      <c r="U401" s="28" t="str">
        <f t="shared" si="812"/>
        <v/>
      </c>
      <c r="V401" s="28" t="str">
        <f t="array" ref="V401">IF($I400="","",
IF(
  AND(C401="D",C400&lt;&gt;"D"),
  XLOOKUP($B401,Derived_Variables!$A:$A,Derived_Variables!$N:$N,0)
  + XLOOKUP($B401,Derived_Variables!$A:$A,Derived_Variables!$AE:$AE,0),
  V400+AP400
))</f>
        <v/>
      </c>
      <c r="W401" s="28" t="str">
        <f t="shared" ref="W401:X401" si="813">IF($I400="","",W400+AQ400)</f>
        <v/>
      </c>
      <c r="X401" s="28" t="str">
        <f t="shared" si="813"/>
        <v/>
      </c>
      <c r="Y401" s="28" t="str">
        <f t="array" ref="Y401">IF($I400="","",IF(AND(C401="P",C400&lt;&gt;"P"),IFERROR(XLOOKUP($B401,Lenso_Input!$A:$A,Lenso_Input!$E:$E,0),0),Y400+AS400))</f>
        <v/>
      </c>
      <c r="Z401" s="28" t="str">
        <f t="array" ref="Z401">IF($I400="","",IF(AND(C401="Q",C400&lt;&gt;"Q"),IFERROR(XLOOKUP($B401,Lenso_Input!$A:$A,Lenso_Input!$I:$I,0),0),Z400+AT400))</f>
        <v/>
      </c>
      <c r="AA401" s="28" t="str">
        <f t="array" ref="AA401">IF($I400="","",IF(XLOOKUP($B401,Derived_Variables!$A:$A,Derived_Variables!$R:$R,"6/6_target")="6/6_target","20_20_20","40_30_25"))</f>
        <v/>
      </c>
      <c r="AB401" s="28" t="str">
        <f t="array" ref="AB401">IF($I400="","",XLOOKUP(LOWER(XLOOKUP($B401,Derived_Variables!$A:$A,Derived_Variables!$T:$T,"Standard"))&amp;"_sph_step",Calibration!$B:$B,Calibration!$C:$C,0.25))</f>
        <v/>
      </c>
      <c r="AC401" s="28" t="str">
        <f t="array" ref="AC401">IF($I400="","",XLOOKUP(LOWER(XLOOKUP($B401,Derived_Variables!$A:$A,Derived_Variables!$T:$T,"Standard"))&amp;"_cyl_step",Calibration!$B:$B,Calibration!$C:$C,0.25))</f>
        <v/>
      </c>
      <c r="AD401" s="28" t="str">
        <f t="array" ref="AD401">IF($I400="","",IF(OR(C401="E",C401="H"),LET(startStep,XLOOKUP("axis_start_step",Calibration!$B:$B,Calibration!$C:$C,5),step1,XLOOKUP("axis_reversal_step_1",Calibration!$B:$B,Calibration!$C:$C,3),step2,XLOOKUP("axis_reversal_step_2",Calibration!$B:$B,Calibration!$C:$C,1),IF(OR(C400&lt;&gt;C401,AZ401="",AZ401="SAME",AZ401="CANT_TELL",I401="",I401="SAME",I401="CANT_TELL"),startStep,IF(OR(AND(AZ401="BETTER_1",I401="BETTER_2"),AND(AZ401="BETTER_2",I401="BETTER_1")),IF(AD400&gt;step1,step1,step2),AD400))),0))</f>
        <v/>
      </c>
      <c r="AE401" s="28" t="str">
        <f t="array" ref="AE401">IF($I400="","",XLOOKUP($B401,Derived_Variables!$A:$A,Derived_Variables!$AD:$AD,"No_Fog"))</f>
        <v/>
      </c>
      <c r="AF401" s="28" t="str">
        <f t="array" ref="AF401">IF($I400="","",XLOOKUP($B401,Derived_Variables!$A:$A,Derived_Variables!$AE:$AE,0))</f>
        <v/>
      </c>
      <c r="AG401" s="28" t="str">
        <f t="array" ref="AG401">IF($I400="","",XLOOKUP($B401,Derived_Variables!$A:$A,Derived_Variables!$AF:$AF,""))</f>
        <v/>
      </c>
      <c r="AH401" s="28" t="str">
        <f t="array" ref="AH401">IF($I400="","",XLOOKUP($B401,Derived_Variables!$A:$A,Derived_Variables!$AG:$AG,""))</f>
        <v/>
      </c>
      <c r="AI401" s="28" t="str">
        <f t="array" ref="AI401">IF($I400="","",XLOOKUP($B401,Derived_Variables!$A:$A,Derived_Variables!$AC:$AC,"Medium"))</f>
        <v/>
      </c>
      <c r="AJ401" s="28" t="str">
        <f t="array" ref="AJ401">IF($I400="","",XLOOKUP($B401,Derived_Variables!$A:$A,Derived_Variables!$Y:$Y,FALSE))</f>
        <v/>
      </c>
      <c r="AK401" s="28" t="str">
        <f t="array" ref="AK401">IF($I400="","",XLOOKUP($B401,Derived_Variables!$A:$A,Derived_Variables!$AA:$AA,"Normal"))</f>
        <v/>
      </c>
      <c r="AL401" s="28" t="str">
        <f t="array" ref="AL401">IF($I400="","",XLOOKUP($B401,Derived_Variables!$A:$A,Derived_Variables!$AB:$AB,"Normal"))</f>
        <v/>
      </c>
      <c r="AM401" s="28" t="str">
        <f t="array" ref="AM401">IF($I401="","",IFS(C401="B",IF(OR(I401="NOT_READABLE",I401="BLURRY"),-AB401,0),C401="G",IFS(I401="RED_CLEARER",XLOOKUP("duochrome_red_step",Calibration!$B:$B,Calibration!$C:$C,-0.25),I401="GREEN_CLEARER",XLOOKUP("duochrome_green_step",Calibration!$B:$B,Calibration!$C:$C,0.25),I401="EQUAL",IF(XLOOKUP($B401,Derived_Variables!$A:$A,Derived_Variables!$S:$S,"Neutral")="Undercorrect",XLOOKUP("undercorrect_step",Calibration!$B:$B,Calibration!$C:$C,0.25),IF(XLOOKUP($B401,Derived_Variables!$A:$A,Derived_Variables!$S:$S,"Neutral")="Overcorrect",-XLOOKUP("overcorrect_step",Calibration!$B:$B,Calibration!$C:$C,0.25),0)),TRUE,0),C401="K",IF(I401="TOP_CLEARER",XLOOKUP("bino_balance_step",Calibration!$B:$B,Calibration!$C:$C,0.25),0),TRUE,0))</f>
        <v/>
      </c>
      <c r="AN401" s="28" t="str">
        <f t="shared" si="10"/>
        <v/>
      </c>
      <c r="AO401" s="28" t="str">
        <f t="shared" si="11"/>
        <v/>
      </c>
      <c r="AP401" s="28" t="str">
        <f t="array" ref="AP401">IF($I401="","",IFS(C401="D",IF(OR(I401="NOT_READABLE",I401="BLURRY"),-AB401,0),C401="J",IFS(I401="RED_CLEARER",XLOOKUP("duochrome_red_step",Calibration!$B:$B,Calibration!$C:$C,-0.25),I401="GREEN_CLEARER",XLOOKUP("duochrome_green_step",Calibration!$B:$B,Calibration!$C:$C,0.25),I401="EQUAL",IF(XLOOKUP($B401,Derived_Variables!$A:$A,Derived_Variables!$S:$S,"Neutral")="Undercorrect",XLOOKUP("undercorrect_step",Calibration!$B:$B,Calibration!$C:$C,0.25),IF(XLOOKUP($B401,Derived_Variables!$A:$A,Derived_Variables!$S:$S,"Neutral")="Overcorrect",-XLOOKUP("overcorrect_step",Calibration!$B:$B,Calibration!$C:$C,0.25),0)),TRUE,0),C401="K",IF(I401="BOTTOM_CLEARER",XLOOKUP("bino_balance_step",Calibration!$B:$B,Calibration!$C:$C,0.25),0),TRUE,0))</f>
        <v/>
      </c>
      <c r="AQ401" s="28" t="str">
        <f t="shared" si="12"/>
        <v/>
      </c>
      <c r="AR401" s="28" t="str">
        <f t="shared" si="13"/>
        <v/>
      </c>
      <c r="AS401" s="28" t="str">
        <f t="array" ref="AS401">IF($I401="","",IF(C401="P",IF(OR(I401="NOT_READABLE",I401="BLURRY"),XLOOKUP("near_add_step",Calibration!$B:$B,Calibration!$C:$C,0.25),0),IF(C401="R",IF(I401="NOT_CLEAR",XLOOKUP("near_add_step",Calibration!$B:$B,Calibration!$C:$C,0.25),0),0)))</f>
        <v/>
      </c>
      <c r="AT401" s="28" t="str">
        <f t="array" ref="AT401">IF($I401="","",IF(C401="Q",IF(OR(I401="NOT_READABLE",I401="BLURRY"),XLOOKUP("near_add_step",Calibration!$B:$B,Calibration!$C:$C,0.25),0),IF(C401="R",IF(I401="NOT_CLEAR",XLOOKUP("near_add_step",Calibration!$B:$B,Calibration!$C:$C,0.25),0),0)))</f>
        <v/>
      </c>
      <c r="AU401" s="28" t="str">
        <f t="array" ref="AU401">IF($I401="","",IF(G401="SNELLEN_FEET",IF(I401="READABLE",IFERROR(XLOOKUP(XLOOKUP(R401,Chart_Scale_Distance!B:B,Chart_Scale_Distance!A:A)+1,Chart_Scale_Distance!A:A,Chart_Scale_Distance!B:B),R401),R401),R401))</f>
        <v/>
      </c>
      <c r="AV401" s="28" t="str">
        <f t="array" ref="AV401">IF($I400="","",IFERROR(XLOOKUP(R401,Chart_Scale_Distance!$B:$B,Chart_Scale_Distance!$A:$A,""),""))</f>
        <v/>
      </c>
      <c r="AW401" s="28" t="str">
        <f t="array" ref="AW401">IF($I400="","",IFERROR(XLOOKUP(AA401,Chart_Scale_Distance!$B:$B,Chart_Scale_Distance!$A:$A,""),""))</f>
        <v/>
      </c>
      <c r="AX401" s="28" t="str">
        <f t="shared" si="14"/>
        <v/>
      </c>
      <c r="AY401" s="28" t="str">
        <f t="shared" si="15"/>
        <v/>
      </c>
      <c r="AZ401" s="28" t="str">
        <f t="shared" si="16"/>
        <v/>
      </c>
      <c r="BA401" s="28" t="str">
        <f t="shared" si="17"/>
        <v/>
      </c>
      <c r="BB401" s="28" t="str">
        <f t="shared" si="18"/>
        <v/>
      </c>
      <c r="BC401" s="28" t="str">
        <f t="array" ref="BC401">IF($I401="","",LET(
conf,AI401,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duoMax,XLOOKUP($B401,Derived_Variables!$A:$A,Derived_Variables!$AI:$AI,4),
axisTol,XLOOKUP($B401,Derived_Variables!$A:$A,Derived_Variables!$W:$W,1),
maxStart,XLOOKUP($B401,Derived_Variables!$A:$A,Derived_Variables!$U:$U,1.25),
maxAR,XLOOKUP($B401,Derived_Variables!$A:$A,Derived_Variables!$V:$V,3),
anom,XLOOKUP($B401,Derived_Variables!$A:$A,Derived_Variables!$Z:$Z,FALSE),
reStart,XLOOKUP($B401,Derived_Variables!$A:$A,Derived_Variables!$K:$K,0),
leStart,XLOOKUP($B401,Derived_Variables!$A:$A,Derived_Variables!$N:$N,0),
reAR,XLOOKUP($B401,AR_Input!$A:$A,AR_Input!$B:$B,reStart),
leAR,XLOOKUP($B401,AR_Input!$A:$A,AR_Input!$E:$E,leStart),
reEsc,AND(anom,OR(ABS((S401+AM401)-reStart)&gt;maxStart,ABS((S401+AM401)-reAR)&gt;maxAR)),
leEsc,AND(anom,OR(ABS((V401+AP401)-leStart)&gt;maxStart,ABS((V401+AP401)-leAR)&gt;maxAR)),
phaseMax,IFS(
 AK401="Fast",
   IFS(
     OR(C401="B",C401="D"),XLOOKUP("timeout_coarse_fast",Calibration!$B:$B,Calibration!$C:$C,24),
     OR(C401="E",C401="F",C401="H",C401="I"),XLOOKUP("timeout_jcc_fast",Calibration!$B:$B,Calibration!$C:$C,10),
     OR(C401="G",C401="J"),XLOOKUP("timeout_duochrome_fast",Calibration!$B:$B,Calibration!$C:$C,8),
     C401="K",XLOOKUP("timeout_bino_fast",Calibration!$B:$B,Calibration!$C:$C,10),
     OR(C401="P",C401="Q",C401="R"),XLOOKUP("timeout_near_fast",Calibration!$B:$B,Calibration!$C:$C,16),
     TRUE,XLOOKUP("timeout_coarse_fast",Calibration!$B:$B,Calibration!$C:$C,24)
   ),
 AK401="Normal",
   IFS(
     OR(C401="B",C401="D"),XLOOKUP("timeout_coarse_normal",Calibration!$B:$B,Calibration!$C:$C,36),
     OR(C401="E",C401="F",C401="H",C401="I"),XLOOKUP("timeout_jcc_normal",Calibration!$B:$B,Calibration!$C:$C,14),
     OR(C401="G",C401="J"),XLOOKUP("timeout_duochrome_normal",Calibration!$B:$B,Calibration!$C:$C,10),
     C401="K",XLOOKUP("timeout_bino_normal",Calibration!$B:$B,Calibration!$C:$C,14),
     OR(C401="P",C401="Q",C401="R"),XLOOKUP("timeout_near_normal",Calibration!$B:$B,Calibration!$C:$C,22),
     TRUE,XLOOKUP("timeout_coarse_normal",Calibration!$B:$B,Calibration!$C:$C,36)
   ),
 TRUE,
   IFS(
     OR(C401="B",C401="D"),XLOOKUP("timeout_coarse_slow",Calibration!$B:$B,Calibration!$C:$C,48),
     OR(C401="E",C401="F",C401="H",C401="I"),XLOOKUP("timeout_jcc_slow",Calibration!$B:$B,Calibration!$C:$C,18),
     OR(C401="G",C401="J"),XLOOKUP("timeout_duochrome_slow",Calibration!$B:$B,Calibration!$C:$C,12),
     C401="K",XLOOKUP("timeout_bino_slow",Calibration!$B:$B,Calibration!$C:$C,18),
     OR(C401="P",C401="Q",C401="R"),XLOOKUP("timeout_near_slow",Calibration!$B:$B,Calibration!$C:$C,28),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AJ401=TRUE,"ESCALATE",
C401="A",
IF(OR(I401="NOT_READABLE",I401="BLURRY",AND(R401="20_20_20",I401="READABLE")),"B","A"),
C401="B",
IF(reEsc,"ESCALATE",IF(AY401&gt;=phaseMax,"ESCALATE",IF(AND(AV401&gt;=AW401,I401="READABLE"),"E","B"))),
C401="E",
IF(AY401&gt;=phaseMax,"ESCALATE",IF(OR(I401="SAME",I401="CANT_TELL",AD401&lt;axisTol),"F","E")),
C401="F",
IF(AY401&gt;=phaseMax,"ESCALATE",IF(AX401&gt;=powerSameN,"G","F")),
C401="G",
IF(AY401&gt;=phaseMax,"ESCALATE",IF(OR(AX401&gt;=duoEqualN,BB401&gt;=duoMax),"D","G")),
C401="D",
IF(leEsc,"ESCALATE",IF(AY401&gt;=phaseMax,"ESCALATE",IF(AND(AV401&gt;=AW401,I401="READABLE"),"H","D"))),
C401="H",
IF(AY401&gt;=phaseMax,"ESCALATE",IF(OR(I401="SAME",I401="CANT_TELL",AD401&lt;axisTol),"I","H")),
C401="I",
IF(AY401&gt;=phaseMax,"ESCALATE",IF(AX401&gt;=powerSameN,"J","I")),
C401="J",
IF(AY401&gt;=phaseMax,"ESCALATE",IF(OR(AX401&gt;=duoEqualN,BB401&gt;=duoMax),"K","J")),
C401="K",
IF(AY401&gt;=phaseMax,"ESCALATE",IF(AX401&gt;=binoSameN,IF(XLOOKUP($B401,Derived_Variables!$A:$A,Derived_Variables!$AJ:$AJ,FALSE)=TRUE,"P","END"),"K")),
C401="P",
IF(AY401&gt;=phaseMax,"ESCALATE",IF(OR(I401="READABLE",I401="SAME"),"Q","P")),
C401="Q",
IF(AY401&gt;=phaseMax,"ESCALATE",IF(OR(I401="READABLE",I401="SAME"),"R","Q")),
C401="R",
IF(AY401&gt;=phaseMax,"ESCALATE",IF(OR(I401=nearTarget,I401="SAME"),"END","R")),
TRUE,"END"
)))</f>
        <v/>
      </c>
      <c r="BD401" s="28" t="b">
        <f t="shared" si="19"/>
        <v>0</v>
      </c>
    </row>
    <row r="402" ht="15.75" customHeight="1">
      <c r="A402" s="28">
        <f t="shared" si="3"/>
        <v>401</v>
      </c>
      <c r="B402" s="28">
        <f t="shared" si="4"/>
        <v>6</v>
      </c>
      <c r="C402" s="28" t="str">
        <f t="shared" si="5"/>
        <v/>
      </c>
      <c r="D402" s="28" t="str">
        <f t="array" ref="D402">IF($I401="","",XLOOKUP(C402,FSM_State_Map!A:A,FSM_State_Map!B:B,""))</f>
        <v/>
      </c>
      <c r="E402" s="28" t="str">
        <f t="array" ref="E402">IF($I401="","",XLOOKUP(C402,FSM_State_Map!A:A,FSM_State_Map!C:C,""))</f>
        <v/>
      </c>
      <c r="F402" s="28" t="str">
        <f t="array" ref="F402">IF($I401="","",XLOOKUP(E402,Phase_UI_Map!A:A,Phase_UI_Map!B:B,""))</f>
        <v/>
      </c>
      <c r="G402" s="28" t="str">
        <f t="array" ref="G402">IF($I401="","",XLOOKUP(E402,Phase_UI_Map!A:A,Phase_UI_Map!C:C,""))</f>
        <v/>
      </c>
      <c r="H402" s="28" t="str">
        <f t="array" ref="H402">IF($I401="","",XLOOKUP(E402,Phase_UI_Map!A:A,Phase_UI_Map!D:D,""))</f>
        <v/>
      </c>
      <c r="I402" s="29"/>
      <c r="J402" s="28" t="str">
        <f>IFERROR(__xludf.DUMMYFUNCTION("IF($I401="""","""",IFERROR(INDEX(FILTER(Response_Lists!$B:$B,Response_Lists!$A:$A=$H402),1),""""))"),"")</f>
        <v/>
      </c>
      <c r="K402" s="28" t="str">
        <f>IFERROR(__xludf.DUMMYFUNCTION("IF($I401="""","""",IFERROR(INDEX(FILTER(Response_Lists!$B:$B,Response_Lists!$A:$A=$H402),2),""""))"),"")</f>
        <v/>
      </c>
      <c r="L402" s="28" t="str">
        <f>IFERROR(__xludf.DUMMYFUNCTION("IF($I401="""","""",IFERROR(INDEX(FILTER(Response_Lists!$B:$B,Response_Lists!$A:$A=$H402),3),""""))"),"")</f>
        <v/>
      </c>
      <c r="M402" s="28" t="str">
        <f>IFERROR(__xludf.DUMMYFUNCTION("IF($I401="""","""",IFERROR(INDEX(FILTER(Response_Lists!$B:$B,Response_Lists!$A:$A=$H402),4),""""))"),"")</f>
        <v/>
      </c>
      <c r="N402" s="28" t="str">
        <f>IFERROR(__xludf.DUMMYFUNCTION("IF($I401="""","""",IFERROR(INDEX(FILTER(Response_Lists!$B:$B,Response_Lists!$A:$A=$H402),5),""""))"),"")</f>
        <v/>
      </c>
      <c r="O402" s="28" t="str">
        <f>IFERROR(__xludf.DUMMYFUNCTION("IF($I401="""","""",IFERROR(INDEX(FILTER(Response_Lists!$B:$B,Response_Lists!$A:$A=$H402),6),""""))"),"")</f>
        <v/>
      </c>
      <c r="P402" s="28" t="str">
        <f t="shared" si="6"/>
        <v/>
      </c>
      <c r="Q402" s="28" t="str">
        <f t="array" ref="Q402">IF($I401="","",XLOOKUP(C402,FSM_State_Map!A:A,FSM_State_Map!D:D,""))</f>
        <v/>
      </c>
      <c r="R402" s="28" t="str">
        <f t="shared" si="7"/>
        <v/>
      </c>
      <c r="S402" s="28" t="str">
        <f t="array" ref="S402">IF($I401="","",
IF(
  AND(C402="B",C401&lt;&gt;"B"),
  XLOOKUP($B402,Derived_Variables!$A:$A,Derived_Variables!$K:$K,0)
  + XLOOKUP($B402,Derived_Variables!$A:$A,Derived_Variables!$AE:$AE,0),
  S401+AM401
))</f>
        <v/>
      </c>
      <c r="T402" s="28" t="str">
        <f t="shared" ref="T402:U402" si="814">IF($I401="","",T401+AN401)</f>
        <v/>
      </c>
      <c r="U402" s="28" t="str">
        <f t="shared" si="814"/>
        <v/>
      </c>
      <c r="V402" s="28" t="str">
        <f t="array" ref="V402">IF($I401="","",
IF(
  AND(C402="D",C401&lt;&gt;"D"),
  XLOOKUP($B402,Derived_Variables!$A:$A,Derived_Variables!$N:$N,0)
  + XLOOKUP($B402,Derived_Variables!$A:$A,Derived_Variables!$AE:$AE,0),
  V401+AP401
))</f>
        <v/>
      </c>
      <c r="W402" s="28" t="str">
        <f t="shared" ref="W402:X402" si="815">IF($I401="","",W401+AQ401)</f>
        <v/>
      </c>
      <c r="X402" s="28" t="str">
        <f t="shared" si="815"/>
        <v/>
      </c>
      <c r="Y402" s="28" t="str">
        <f t="array" ref="Y402">IF($I401="","",IF(AND(C402="P",C401&lt;&gt;"P"),IFERROR(XLOOKUP($B402,Lenso_Input!$A:$A,Lenso_Input!$E:$E,0),0),Y401+AS401))</f>
        <v/>
      </c>
      <c r="Z402" s="28" t="str">
        <f t="array" ref="Z402">IF($I401="","",IF(AND(C402="Q",C401&lt;&gt;"Q"),IFERROR(XLOOKUP($B402,Lenso_Input!$A:$A,Lenso_Input!$I:$I,0),0),Z401+AT401))</f>
        <v/>
      </c>
      <c r="AA402" s="28" t="str">
        <f t="array" ref="AA402">IF($I401="","",IF(XLOOKUP($B402,Derived_Variables!$A:$A,Derived_Variables!$R:$R,"6/6_target")="6/6_target","20_20_20","40_30_25"))</f>
        <v/>
      </c>
      <c r="AB402" s="28" t="str">
        <f t="array" ref="AB402">IF($I401="","",XLOOKUP(LOWER(XLOOKUP($B402,Derived_Variables!$A:$A,Derived_Variables!$T:$T,"Standard"))&amp;"_sph_step",Calibration!$B:$B,Calibration!$C:$C,0.25))</f>
        <v/>
      </c>
      <c r="AC402" s="28" t="str">
        <f t="array" ref="AC402">IF($I401="","",XLOOKUP(LOWER(XLOOKUP($B402,Derived_Variables!$A:$A,Derived_Variables!$T:$T,"Standard"))&amp;"_cyl_step",Calibration!$B:$B,Calibration!$C:$C,0.25))</f>
        <v/>
      </c>
      <c r="AD402" s="28" t="str">
        <f t="array" ref="AD402">IF($I401="","",IF(OR(C402="E",C402="H"),LET(startStep,XLOOKUP("axis_start_step",Calibration!$B:$B,Calibration!$C:$C,5),step1,XLOOKUP("axis_reversal_step_1",Calibration!$B:$B,Calibration!$C:$C,3),step2,XLOOKUP("axis_reversal_step_2",Calibration!$B:$B,Calibration!$C:$C,1),IF(OR(C401&lt;&gt;C402,AZ402="",AZ402="SAME",AZ402="CANT_TELL",I402="",I402="SAME",I402="CANT_TELL"),startStep,IF(OR(AND(AZ402="BETTER_1",I402="BETTER_2"),AND(AZ402="BETTER_2",I402="BETTER_1")),IF(AD401&gt;step1,step1,step2),AD401))),0))</f>
        <v/>
      </c>
      <c r="AE402" s="28" t="str">
        <f t="array" ref="AE402">IF($I401="","",XLOOKUP($B402,Derived_Variables!$A:$A,Derived_Variables!$AD:$AD,"No_Fog"))</f>
        <v/>
      </c>
      <c r="AF402" s="28" t="str">
        <f t="array" ref="AF402">IF($I401="","",XLOOKUP($B402,Derived_Variables!$A:$A,Derived_Variables!$AE:$AE,0))</f>
        <v/>
      </c>
      <c r="AG402" s="28" t="str">
        <f t="array" ref="AG402">IF($I401="","",XLOOKUP($B402,Derived_Variables!$A:$A,Derived_Variables!$AF:$AF,""))</f>
        <v/>
      </c>
      <c r="AH402" s="28" t="str">
        <f t="array" ref="AH402">IF($I401="","",XLOOKUP($B402,Derived_Variables!$A:$A,Derived_Variables!$AG:$AG,""))</f>
        <v/>
      </c>
      <c r="AI402" s="28" t="str">
        <f t="array" ref="AI402">IF($I401="","",XLOOKUP($B402,Derived_Variables!$A:$A,Derived_Variables!$AC:$AC,"Medium"))</f>
        <v/>
      </c>
      <c r="AJ402" s="28" t="str">
        <f t="array" ref="AJ402">IF($I401="","",XLOOKUP($B402,Derived_Variables!$A:$A,Derived_Variables!$Y:$Y,FALSE))</f>
        <v/>
      </c>
      <c r="AK402" s="28" t="str">
        <f t="array" ref="AK402">IF($I401="","",XLOOKUP($B402,Derived_Variables!$A:$A,Derived_Variables!$AA:$AA,"Normal"))</f>
        <v/>
      </c>
      <c r="AL402" s="28" t="str">
        <f t="array" ref="AL402">IF($I401="","",XLOOKUP($B402,Derived_Variables!$A:$A,Derived_Variables!$AB:$AB,"Normal"))</f>
        <v/>
      </c>
      <c r="AM402" s="28" t="str">
        <f t="array" ref="AM402">IF($I402="","",IFS(C402="B",IF(OR(I402="NOT_READABLE",I402="BLURRY"),-AB402,0),C402="G",IFS(I402="RED_CLEARER",XLOOKUP("duochrome_red_step",Calibration!$B:$B,Calibration!$C:$C,-0.25),I402="GREEN_CLEARER",XLOOKUP("duochrome_green_step",Calibration!$B:$B,Calibration!$C:$C,0.25),I402="EQUAL",IF(XLOOKUP($B402,Derived_Variables!$A:$A,Derived_Variables!$S:$S,"Neutral")="Undercorrect",XLOOKUP("undercorrect_step",Calibration!$B:$B,Calibration!$C:$C,0.25),IF(XLOOKUP($B402,Derived_Variables!$A:$A,Derived_Variables!$S:$S,"Neutral")="Overcorrect",-XLOOKUP("overcorrect_step",Calibration!$B:$B,Calibration!$C:$C,0.25),0)),TRUE,0),C402="K",IF(I402="TOP_CLEARER",XLOOKUP("bino_balance_step",Calibration!$B:$B,Calibration!$C:$C,0.25),0),TRUE,0))</f>
        <v/>
      </c>
      <c r="AN402" s="28" t="str">
        <f t="shared" si="10"/>
        <v/>
      </c>
      <c r="AO402" s="28" t="str">
        <f t="shared" si="11"/>
        <v/>
      </c>
      <c r="AP402" s="28" t="str">
        <f t="array" ref="AP402">IF($I402="","",IFS(C402="D",IF(OR(I402="NOT_READABLE",I402="BLURRY"),-AB402,0),C402="J",IFS(I402="RED_CLEARER",XLOOKUP("duochrome_red_step",Calibration!$B:$B,Calibration!$C:$C,-0.25),I402="GREEN_CLEARER",XLOOKUP("duochrome_green_step",Calibration!$B:$B,Calibration!$C:$C,0.25),I402="EQUAL",IF(XLOOKUP($B402,Derived_Variables!$A:$A,Derived_Variables!$S:$S,"Neutral")="Undercorrect",XLOOKUP("undercorrect_step",Calibration!$B:$B,Calibration!$C:$C,0.25),IF(XLOOKUP($B402,Derived_Variables!$A:$A,Derived_Variables!$S:$S,"Neutral")="Overcorrect",-XLOOKUP("overcorrect_step",Calibration!$B:$B,Calibration!$C:$C,0.25),0)),TRUE,0),C402="K",IF(I402="BOTTOM_CLEARER",XLOOKUP("bino_balance_step",Calibration!$B:$B,Calibration!$C:$C,0.25),0),TRUE,0))</f>
        <v/>
      </c>
      <c r="AQ402" s="28" t="str">
        <f t="shared" si="12"/>
        <v/>
      </c>
      <c r="AR402" s="28" t="str">
        <f t="shared" si="13"/>
        <v/>
      </c>
      <c r="AS402" s="28" t="str">
        <f t="array" ref="AS402">IF($I402="","",IF(C402="P",IF(OR(I402="NOT_READABLE",I402="BLURRY"),XLOOKUP("near_add_step",Calibration!$B:$B,Calibration!$C:$C,0.25),0),IF(C402="R",IF(I402="NOT_CLEAR",XLOOKUP("near_add_step",Calibration!$B:$B,Calibration!$C:$C,0.25),0),0)))</f>
        <v/>
      </c>
      <c r="AT402" s="28" t="str">
        <f t="array" ref="AT402">IF($I402="","",IF(C402="Q",IF(OR(I402="NOT_READABLE",I402="BLURRY"),XLOOKUP("near_add_step",Calibration!$B:$B,Calibration!$C:$C,0.25),0),IF(C402="R",IF(I402="NOT_CLEAR",XLOOKUP("near_add_step",Calibration!$B:$B,Calibration!$C:$C,0.25),0),0)))</f>
        <v/>
      </c>
      <c r="AU402" s="28" t="str">
        <f t="array" ref="AU402">IF($I402="","",IF(G402="SNELLEN_FEET",IF(I402="READABLE",IFERROR(XLOOKUP(XLOOKUP(R402,Chart_Scale_Distance!B:B,Chart_Scale_Distance!A:A)+1,Chart_Scale_Distance!A:A,Chart_Scale_Distance!B:B),R402),R402),R402))</f>
        <v/>
      </c>
      <c r="AV402" s="28" t="str">
        <f t="array" ref="AV402">IF($I401="","",IFERROR(XLOOKUP(R402,Chart_Scale_Distance!$B:$B,Chart_Scale_Distance!$A:$A,""),""))</f>
        <v/>
      </c>
      <c r="AW402" s="28" t="str">
        <f t="array" ref="AW402">IF($I401="","",IFERROR(XLOOKUP(AA402,Chart_Scale_Distance!$B:$B,Chart_Scale_Distance!$A:$A,""),""))</f>
        <v/>
      </c>
      <c r="AX402" s="28" t="str">
        <f t="shared" si="14"/>
        <v/>
      </c>
      <c r="AY402" s="28" t="str">
        <f t="shared" si="15"/>
        <v/>
      </c>
      <c r="AZ402" s="28" t="str">
        <f t="shared" si="16"/>
        <v/>
      </c>
      <c r="BA402" s="28" t="str">
        <f t="shared" si="17"/>
        <v/>
      </c>
      <c r="BB402" s="28" t="str">
        <f t="shared" si="18"/>
        <v/>
      </c>
      <c r="BC402" s="28" t="str">
        <f t="array" ref="BC402">IF($I402="","",LET(
conf,AI402,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duoMax,XLOOKUP($B402,Derived_Variables!$A:$A,Derived_Variables!$AI:$AI,4),
axisTol,XLOOKUP($B402,Derived_Variables!$A:$A,Derived_Variables!$W:$W,1),
maxStart,XLOOKUP($B402,Derived_Variables!$A:$A,Derived_Variables!$U:$U,1.25),
maxAR,XLOOKUP($B402,Derived_Variables!$A:$A,Derived_Variables!$V:$V,3),
anom,XLOOKUP($B402,Derived_Variables!$A:$A,Derived_Variables!$Z:$Z,FALSE),
reStart,XLOOKUP($B402,Derived_Variables!$A:$A,Derived_Variables!$K:$K,0),
leStart,XLOOKUP($B402,Derived_Variables!$A:$A,Derived_Variables!$N:$N,0),
reAR,XLOOKUP($B402,AR_Input!$A:$A,AR_Input!$B:$B,reStart),
leAR,XLOOKUP($B402,AR_Input!$A:$A,AR_Input!$E:$E,leStart),
reEsc,AND(anom,OR(ABS((S402+AM402)-reStart)&gt;maxStart,ABS((S402+AM402)-reAR)&gt;maxAR)),
leEsc,AND(anom,OR(ABS((V402+AP402)-leStart)&gt;maxStart,ABS((V402+AP402)-leAR)&gt;maxAR)),
phaseMax,IFS(
 AK402="Fast",
   IFS(
     OR(C402="B",C402="D"),XLOOKUP("timeout_coarse_fast",Calibration!$B:$B,Calibration!$C:$C,24),
     OR(C402="E",C402="F",C402="H",C402="I"),XLOOKUP("timeout_jcc_fast",Calibration!$B:$B,Calibration!$C:$C,10),
     OR(C402="G",C402="J"),XLOOKUP("timeout_duochrome_fast",Calibration!$B:$B,Calibration!$C:$C,8),
     C402="K",XLOOKUP("timeout_bino_fast",Calibration!$B:$B,Calibration!$C:$C,10),
     OR(C402="P",C402="Q",C402="R"),XLOOKUP("timeout_near_fast",Calibration!$B:$B,Calibration!$C:$C,16),
     TRUE,XLOOKUP("timeout_coarse_fast",Calibration!$B:$B,Calibration!$C:$C,24)
   ),
 AK402="Normal",
   IFS(
     OR(C402="B",C402="D"),XLOOKUP("timeout_coarse_normal",Calibration!$B:$B,Calibration!$C:$C,36),
     OR(C402="E",C402="F",C402="H",C402="I"),XLOOKUP("timeout_jcc_normal",Calibration!$B:$B,Calibration!$C:$C,14),
     OR(C402="G",C402="J"),XLOOKUP("timeout_duochrome_normal",Calibration!$B:$B,Calibration!$C:$C,10),
     C402="K",XLOOKUP("timeout_bino_normal",Calibration!$B:$B,Calibration!$C:$C,14),
     OR(C402="P",C402="Q",C402="R"),XLOOKUP("timeout_near_normal",Calibration!$B:$B,Calibration!$C:$C,22),
     TRUE,XLOOKUP("timeout_coarse_normal",Calibration!$B:$B,Calibration!$C:$C,36)
   ),
 TRUE,
   IFS(
     OR(C402="B",C402="D"),XLOOKUP("timeout_coarse_slow",Calibration!$B:$B,Calibration!$C:$C,48),
     OR(C402="E",C402="F",C402="H",C402="I"),XLOOKUP("timeout_jcc_slow",Calibration!$B:$B,Calibration!$C:$C,18),
     OR(C402="G",C402="J"),XLOOKUP("timeout_duochrome_slow",Calibration!$B:$B,Calibration!$C:$C,12),
     C402="K",XLOOKUP("timeout_bino_slow",Calibration!$B:$B,Calibration!$C:$C,18),
     OR(C402="P",C402="Q",C402="R"),XLOOKUP("timeout_near_slow",Calibration!$B:$B,Calibration!$C:$C,28),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AJ402=TRUE,"ESCALATE",
C402="A",
IF(OR(I402="NOT_READABLE",I402="BLURRY",AND(R402="20_20_20",I402="READABLE")),"B","A"),
C402="B",
IF(reEsc,"ESCALATE",IF(AY402&gt;=phaseMax,"ESCALATE",IF(AND(AV402&gt;=AW402,I402="READABLE"),"E","B"))),
C402="E",
IF(AY402&gt;=phaseMax,"ESCALATE",IF(OR(I402="SAME",I402="CANT_TELL",AD402&lt;axisTol),"F","E")),
C402="F",
IF(AY402&gt;=phaseMax,"ESCALATE",IF(AX402&gt;=powerSameN,"G","F")),
C402="G",
IF(AY402&gt;=phaseMax,"ESCALATE",IF(OR(AX402&gt;=duoEqualN,BB402&gt;=duoMax),"D","G")),
C402="D",
IF(leEsc,"ESCALATE",IF(AY402&gt;=phaseMax,"ESCALATE",IF(AND(AV402&gt;=AW402,I402="READABLE"),"H","D"))),
C402="H",
IF(AY402&gt;=phaseMax,"ESCALATE",IF(OR(I402="SAME",I402="CANT_TELL",AD402&lt;axisTol),"I","H")),
C402="I",
IF(AY402&gt;=phaseMax,"ESCALATE",IF(AX402&gt;=powerSameN,"J","I")),
C402="J",
IF(AY402&gt;=phaseMax,"ESCALATE",IF(OR(AX402&gt;=duoEqualN,BB402&gt;=duoMax),"K","J")),
C402="K",
IF(AY402&gt;=phaseMax,"ESCALATE",IF(AX402&gt;=binoSameN,IF(XLOOKUP($B402,Derived_Variables!$A:$A,Derived_Variables!$AJ:$AJ,FALSE)=TRUE,"P","END"),"K")),
C402="P",
IF(AY402&gt;=phaseMax,"ESCALATE",IF(OR(I402="READABLE",I402="SAME"),"Q","P")),
C402="Q",
IF(AY402&gt;=phaseMax,"ESCALATE",IF(OR(I402="READABLE",I402="SAME"),"R","Q")),
C402="R",
IF(AY402&gt;=phaseMax,"ESCALATE",IF(OR(I402=nearTarget,I402="SAME"),"END","R")),
TRUE,"END"
)))</f>
        <v/>
      </c>
      <c r="BD402" s="28" t="b">
        <f t="shared" si="19"/>
        <v>0</v>
      </c>
    </row>
    <row r="403" ht="15.75" customHeight="1">
      <c r="A403" s="28">
        <f t="shared" si="3"/>
        <v>402</v>
      </c>
      <c r="B403" s="28">
        <f t="shared" si="4"/>
        <v>6</v>
      </c>
      <c r="C403" s="28" t="str">
        <f t="shared" si="5"/>
        <v/>
      </c>
      <c r="D403" s="28" t="str">
        <f t="array" ref="D403">IF($I402="","",XLOOKUP(C403,FSM_State_Map!A:A,FSM_State_Map!B:B,""))</f>
        <v/>
      </c>
      <c r="E403" s="28" t="str">
        <f t="array" ref="E403">IF($I402="","",XLOOKUP(C403,FSM_State_Map!A:A,FSM_State_Map!C:C,""))</f>
        <v/>
      </c>
      <c r="F403" s="28" t="str">
        <f t="array" ref="F403">IF($I402="","",XLOOKUP(E403,Phase_UI_Map!A:A,Phase_UI_Map!B:B,""))</f>
        <v/>
      </c>
      <c r="G403" s="28" t="str">
        <f t="array" ref="G403">IF($I402="","",XLOOKUP(E403,Phase_UI_Map!A:A,Phase_UI_Map!C:C,""))</f>
        <v/>
      </c>
      <c r="H403" s="28" t="str">
        <f t="array" ref="H403">IF($I402="","",XLOOKUP(E403,Phase_UI_Map!A:A,Phase_UI_Map!D:D,""))</f>
        <v/>
      </c>
      <c r="I403" s="29"/>
      <c r="J403" s="28" t="str">
        <f>IFERROR(__xludf.DUMMYFUNCTION("IF($I402="""","""",IFERROR(INDEX(FILTER(Response_Lists!$B:$B,Response_Lists!$A:$A=$H403),1),""""))"),"")</f>
        <v/>
      </c>
      <c r="K403" s="28" t="str">
        <f>IFERROR(__xludf.DUMMYFUNCTION("IF($I402="""","""",IFERROR(INDEX(FILTER(Response_Lists!$B:$B,Response_Lists!$A:$A=$H403),2),""""))"),"")</f>
        <v/>
      </c>
      <c r="L403" s="28" t="str">
        <f>IFERROR(__xludf.DUMMYFUNCTION("IF($I402="""","""",IFERROR(INDEX(FILTER(Response_Lists!$B:$B,Response_Lists!$A:$A=$H403),3),""""))"),"")</f>
        <v/>
      </c>
      <c r="M403" s="28" t="str">
        <f>IFERROR(__xludf.DUMMYFUNCTION("IF($I402="""","""",IFERROR(INDEX(FILTER(Response_Lists!$B:$B,Response_Lists!$A:$A=$H403),4),""""))"),"")</f>
        <v/>
      </c>
      <c r="N403" s="28" t="str">
        <f>IFERROR(__xludf.DUMMYFUNCTION("IF($I402="""","""",IFERROR(INDEX(FILTER(Response_Lists!$B:$B,Response_Lists!$A:$A=$H403),5),""""))"),"")</f>
        <v/>
      </c>
      <c r="O403" s="28" t="str">
        <f>IFERROR(__xludf.DUMMYFUNCTION("IF($I402="""","""",IFERROR(INDEX(FILTER(Response_Lists!$B:$B,Response_Lists!$A:$A=$H403),6),""""))"),"")</f>
        <v/>
      </c>
      <c r="P403" s="28" t="str">
        <f t="shared" si="6"/>
        <v/>
      </c>
      <c r="Q403" s="28" t="str">
        <f t="array" ref="Q403">IF($I402="","",XLOOKUP(C403,FSM_State_Map!A:A,FSM_State_Map!D:D,""))</f>
        <v/>
      </c>
      <c r="R403" s="28" t="str">
        <f t="shared" si="7"/>
        <v/>
      </c>
      <c r="S403" s="28" t="str">
        <f t="array" ref="S403">IF($I402="","",
IF(
  AND(C403="B",C402&lt;&gt;"B"),
  XLOOKUP($B403,Derived_Variables!$A:$A,Derived_Variables!$K:$K,0)
  + XLOOKUP($B403,Derived_Variables!$A:$A,Derived_Variables!$AE:$AE,0),
  S402+AM402
))</f>
        <v/>
      </c>
      <c r="T403" s="28" t="str">
        <f t="shared" ref="T403:U403" si="816">IF($I402="","",T402+AN402)</f>
        <v/>
      </c>
      <c r="U403" s="28" t="str">
        <f t="shared" si="816"/>
        <v/>
      </c>
      <c r="V403" s="28" t="str">
        <f t="array" ref="V403">IF($I402="","",
IF(
  AND(C403="D",C402&lt;&gt;"D"),
  XLOOKUP($B403,Derived_Variables!$A:$A,Derived_Variables!$N:$N,0)
  + XLOOKUP($B403,Derived_Variables!$A:$A,Derived_Variables!$AE:$AE,0),
  V402+AP402
))</f>
        <v/>
      </c>
      <c r="W403" s="28" t="str">
        <f t="shared" ref="W403:X403" si="817">IF($I402="","",W402+AQ402)</f>
        <v/>
      </c>
      <c r="X403" s="28" t="str">
        <f t="shared" si="817"/>
        <v/>
      </c>
      <c r="Y403" s="28" t="str">
        <f t="array" ref="Y403">IF($I402="","",IF(AND(C403="P",C402&lt;&gt;"P"),IFERROR(XLOOKUP($B403,Lenso_Input!$A:$A,Lenso_Input!$E:$E,0),0),Y402+AS402))</f>
        <v/>
      </c>
      <c r="Z403" s="28" t="str">
        <f t="array" ref="Z403">IF($I402="","",IF(AND(C403="Q",C402&lt;&gt;"Q"),IFERROR(XLOOKUP($B403,Lenso_Input!$A:$A,Lenso_Input!$I:$I,0),0),Z402+AT402))</f>
        <v/>
      </c>
      <c r="AA403" s="28" t="str">
        <f t="array" ref="AA403">IF($I402="","",IF(XLOOKUP($B403,Derived_Variables!$A:$A,Derived_Variables!$R:$R,"6/6_target")="6/6_target","20_20_20","40_30_25"))</f>
        <v/>
      </c>
      <c r="AB403" s="28" t="str">
        <f t="array" ref="AB403">IF($I402="","",XLOOKUP(LOWER(XLOOKUP($B403,Derived_Variables!$A:$A,Derived_Variables!$T:$T,"Standard"))&amp;"_sph_step",Calibration!$B:$B,Calibration!$C:$C,0.25))</f>
        <v/>
      </c>
      <c r="AC403" s="28" t="str">
        <f t="array" ref="AC403">IF($I402="","",XLOOKUP(LOWER(XLOOKUP($B403,Derived_Variables!$A:$A,Derived_Variables!$T:$T,"Standard"))&amp;"_cyl_step",Calibration!$B:$B,Calibration!$C:$C,0.25))</f>
        <v/>
      </c>
      <c r="AD403" s="28" t="str">
        <f t="array" ref="AD403">IF($I402="","",IF(OR(C403="E",C403="H"),LET(startStep,XLOOKUP("axis_start_step",Calibration!$B:$B,Calibration!$C:$C,5),step1,XLOOKUP("axis_reversal_step_1",Calibration!$B:$B,Calibration!$C:$C,3),step2,XLOOKUP("axis_reversal_step_2",Calibration!$B:$B,Calibration!$C:$C,1),IF(OR(C402&lt;&gt;C403,AZ403="",AZ403="SAME",AZ403="CANT_TELL",I403="",I403="SAME",I403="CANT_TELL"),startStep,IF(OR(AND(AZ403="BETTER_1",I403="BETTER_2"),AND(AZ403="BETTER_2",I403="BETTER_1")),IF(AD402&gt;step1,step1,step2),AD402))),0))</f>
        <v/>
      </c>
      <c r="AE403" s="28" t="str">
        <f t="array" ref="AE403">IF($I402="","",XLOOKUP($B403,Derived_Variables!$A:$A,Derived_Variables!$AD:$AD,"No_Fog"))</f>
        <v/>
      </c>
      <c r="AF403" s="28" t="str">
        <f t="array" ref="AF403">IF($I402="","",XLOOKUP($B403,Derived_Variables!$A:$A,Derived_Variables!$AE:$AE,0))</f>
        <v/>
      </c>
      <c r="AG403" s="28" t="str">
        <f t="array" ref="AG403">IF($I402="","",XLOOKUP($B403,Derived_Variables!$A:$A,Derived_Variables!$AF:$AF,""))</f>
        <v/>
      </c>
      <c r="AH403" s="28" t="str">
        <f t="array" ref="AH403">IF($I402="","",XLOOKUP($B403,Derived_Variables!$A:$A,Derived_Variables!$AG:$AG,""))</f>
        <v/>
      </c>
      <c r="AI403" s="28" t="str">
        <f t="array" ref="AI403">IF($I402="","",XLOOKUP($B403,Derived_Variables!$A:$A,Derived_Variables!$AC:$AC,"Medium"))</f>
        <v/>
      </c>
      <c r="AJ403" s="28" t="str">
        <f t="array" ref="AJ403">IF($I402="","",XLOOKUP($B403,Derived_Variables!$A:$A,Derived_Variables!$Y:$Y,FALSE))</f>
        <v/>
      </c>
      <c r="AK403" s="28" t="str">
        <f t="array" ref="AK403">IF($I402="","",XLOOKUP($B403,Derived_Variables!$A:$A,Derived_Variables!$AA:$AA,"Normal"))</f>
        <v/>
      </c>
      <c r="AL403" s="28" t="str">
        <f t="array" ref="AL403">IF($I402="","",XLOOKUP($B403,Derived_Variables!$A:$A,Derived_Variables!$AB:$AB,"Normal"))</f>
        <v/>
      </c>
      <c r="AM403" s="28" t="str">
        <f t="array" ref="AM403">IF($I403="","",IFS(C403="B",IF(OR(I403="NOT_READABLE",I403="BLURRY"),-AB403,0),C403="G",IFS(I403="RED_CLEARER",XLOOKUP("duochrome_red_step",Calibration!$B:$B,Calibration!$C:$C,-0.25),I403="GREEN_CLEARER",XLOOKUP("duochrome_green_step",Calibration!$B:$B,Calibration!$C:$C,0.25),I403="EQUAL",IF(XLOOKUP($B403,Derived_Variables!$A:$A,Derived_Variables!$S:$S,"Neutral")="Undercorrect",XLOOKUP("undercorrect_step",Calibration!$B:$B,Calibration!$C:$C,0.25),IF(XLOOKUP($B403,Derived_Variables!$A:$A,Derived_Variables!$S:$S,"Neutral")="Overcorrect",-XLOOKUP("overcorrect_step",Calibration!$B:$B,Calibration!$C:$C,0.25),0)),TRUE,0),C403="K",IF(I403="TOP_CLEARER",XLOOKUP("bino_balance_step",Calibration!$B:$B,Calibration!$C:$C,0.25),0),TRUE,0))</f>
        <v/>
      </c>
      <c r="AN403" s="28" t="str">
        <f t="shared" si="10"/>
        <v/>
      </c>
      <c r="AO403" s="28" t="str">
        <f t="shared" si="11"/>
        <v/>
      </c>
      <c r="AP403" s="28" t="str">
        <f t="array" ref="AP403">IF($I403="","",IFS(C403="D",IF(OR(I403="NOT_READABLE",I403="BLURRY"),-AB403,0),C403="J",IFS(I403="RED_CLEARER",XLOOKUP("duochrome_red_step",Calibration!$B:$B,Calibration!$C:$C,-0.25),I403="GREEN_CLEARER",XLOOKUP("duochrome_green_step",Calibration!$B:$B,Calibration!$C:$C,0.25),I403="EQUAL",IF(XLOOKUP($B403,Derived_Variables!$A:$A,Derived_Variables!$S:$S,"Neutral")="Undercorrect",XLOOKUP("undercorrect_step",Calibration!$B:$B,Calibration!$C:$C,0.25),IF(XLOOKUP($B403,Derived_Variables!$A:$A,Derived_Variables!$S:$S,"Neutral")="Overcorrect",-XLOOKUP("overcorrect_step",Calibration!$B:$B,Calibration!$C:$C,0.25),0)),TRUE,0),C403="K",IF(I403="BOTTOM_CLEARER",XLOOKUP("bino_balance_step",Calibration!$B:$B,Calibration!$C:$C,0.25),0),TRUE,0))</f>
        <v/>
      </c>
      <c r="AQ403" s="28" t="str">
        <f t="shared" si="12"/>
        <v/>
      </c>
      <c r="AR403" s="28" t="str">
        <f t="shared" si="13"/>
        <v/>
      </c>
      <c r="AS403" s="28" t="str">
        <f t="array" ref="AS403">IF($I403="","",IF(C403="P",IF(OR(I403="NOT_READABLE",I403="BLURRY"),XLOOKUP("near_add_step",Calibration!$B:$B,Calibration!$C:$C,0.25),0),IF(C403="R",IF(I403="NOT_CLEAR",XLOOKUP("near_add_step",Calibration!$B:$B,Calibration!$C:$C,0.25),0),0)))</f>
        <v/>
      </c>
      <c r="AT403" s="28" t="str">
        <f t="array" ref="AT403">IF($I403="","",IF(C403="Q",IF(OR(I403="NOT_READABLE",I403="BLURRY"),XLOOKUP("near_add_step",Calibration!$B:$B,Calibration!$C:$C,0.25),0),IF(C403="R",IF(I403="NOT_CLEAR",XLOOKUP("near_add_step",Calibration!$B:$B,Calibration!$C:$C,0.25),0),0)))</f>
        <v/>
      </c>
      <c r="AU403" s="28" t="str">
        <f t="array" ref="AU403">IF($I403="","",IF(G403="SNELLEN_FEET",IF(I403="READABLE",IFERROR(XLOOKUP(XLOOKUP(R403,Chart_Scale_Distance!B:B,Chart_Scale_Distance!A:A)+1,Chart_Scale_Distance!A:A,Chart_Scale_Distance!B:B),R403),R403),R403))</f>
        <v/>
      </c>
      <c r="AV403" s="28" t="str">
        <f t="array" ref="AV403">IF($I402="","",IFERROR(XLOOKUP(R403,Chart_Scale_Distance!$B:$B,Chart_Scale_Distance!$A:$A,""),""))</f>
        <v/>
      </c>
      <c r="AW403" s="28" t="str">
        <f t="array" ref="AW403">IF($I402="","",IFERROR(XLOOKUP(AA403,Chart_Scale_Distance!$B:$B,Chart_Scale_Distance!$A:$A,""),""))</f>
        <v/>
      </c>
      <c r="AX403" s="28" t="str">
        <f t="shared" si="14"/>
        <v/>
      </c>
      <c r="AY403" s="28" t="str">
        <f t="shared" si="15"/>
        <v/>
      </c>
      <c r="AZ403" s="28" t="str">
        <f t="shared" si="16"/>
        <v/>
      </c>
      <c r="BA403" s="28" t="str">
        <f t="shared" si="17"/>
        <v/>
      </c>
      <c r="BB403" s="28" t="str">
        <f t="shared" si="18"/>
        <v/>
      </c>
      <c r="BC403" s="28" t="str">
        <f t="array" ref="BC403">IF($I403="","",LET(
conf,AI403,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duoMax,XLOOKUP($B403,Derived_Variables!$A:$A,Derived_Variables!$AI:$AI,4),
axisTol,XLOOKUP($B403,Derived_Variables!$A:$A,Derived_Variables!$W:$W,1),
maxStart,XLOOKUP($B403,Derived_Variables!$A:$A,Derived_Variables!$U:$U,1.25),
maxAR,XLOOKUP($B403,Derived_Variables!$A:$A,Derived_Variables!$V:$V,3),
anom,XLOOKUP($B403,Derived_Variables!$A:$A,Derived_Variables!$Z:$Z,FALSE),
reStart,XLOOKUP($B403,Derived_Variables!$A:$A,Derived_Variables!$K:$K,0),
leStart,XLOOKUP($B403,Derived_Variables!$A:$A,Derived_Variables!$N:$N,0),
reAR,XLOOKUP($B403,AR_Input!$A:$A,AR_Input!$B:$B,reStart),
leAR,XLOOKUP($B403,AR_Input!$A:$A,AR_Input!$E:$E,leStart),
reEsc,AND(anom,OR(ABS((S403+AM403)-reStart)&gt;maxStart,ABS((S403+AM403)-reAR)&gt;maxAR)),
leEsc,AND(anom,OR(ABS((V403+AP403)-leStart)&gt;maxStart,ABS((V403+AP403)-leAR)&gt;maxAR)),
phaseMax,IFS(
 AK403="Fast",
   IFS(
     OR(C403="B",C403="D"),XLOOKUP("timeout_coarse_fast",Calibration!$B:$B,Calibration!$C:$C,24),
     OR(C403="E",C403="F",C403="H",C403="I"),XLOOKUP("timeout_jcc_fast",Calibration!$B:$B,Calibration!$C:$C,10),
     OR(C403="G",C403="J"),XLOOKUP("timeout_duochrome_fast",Calibration!$B:$B,Calibration!$C:$C,8),
     C403="K",XLOOKUP("timeout_bino_fast",Calibration!$B:$B,Calibration!$C:$C,10),
     OR(C403="P",C403="Q",C403="R"),XLOOKUP("timeout_near_fast",Calibration!$B:$B,Calibration!$C:$C,16),
     TRUE,XLOOKUP("timeout_coarse_fast",Calibration!$B:$B,Calibration!$C:$C,24)
   ),
 AK403="Normal",
   IFS(
     OR(C403="B",C403="D"),XLOOKUP("timeout_coarse_normal",Calibration!$B:$B,Calibration!$C:$C,36),
     OR(C403="E",C403="F",C403="H",C403="I"),XLOOKUP("timeout_jcc_normal",Calibration!$B:$B,Calibration!$C:$C,14),
     OR(C403="G",C403="J"),XLOOKUP("timeout_duochrome_normal",Calibration!$B:$B,Calibration!$C:$C,10),
     C403="K",XLOOKUP("timeout_bino_normal",Calibration!$B:$B,Calibration!$C:$C,14),
     OR(C403="P",C403="Q",C403="R"),XLOOKUP("timeout_near_normal",Calibration!$B:$B,Calibration!$C:$C,22),
     TRUE,XLOOKUP("timeout_coarse_normal",Calibration!$B:$B,Calibration!$C:$C,36)
   ),
 TRUE,
   IFS(
     OR(C403="B",C403="D"),XLOOKUP("timeout_coarse_slow",Calibration!$B:$B,Calibration!$C:$C,48),
     OR(C403="E",C403="F",C403="H",C403="I"),XLOOKUP("timeout_jcc_slow",Calibration!$B:$B,Calibration!$C:$C,18),
     OR(C403="G",C403="J"),XLOOKUP("timeout_duochrome_slow",Calibration!$B:$B,Calibration!$C:$C,12),
     C403="K",XLOOKUP("timeout_bino_slow",Calibration!$B:$B,Calibration!$C:$C,18),
     OR(C403="P",C403="Q",C403="R"),XLOOKUP("timeout_near_slow",Calibration!$B:$B,Calibration!$C:$C,28),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AJ403=TRUE,"ESCALATE",
C403="A",
IF(OR(I403="NOT_READABLE",I403="BLURRY",AND(R403="20_20_20",I403="READABLE")),"B","A"),
C403="B",
IF(reEsc,"ESCALATE",IF(AY403&gt;=phaseMax,"ESCALATE",IF(AND(AV403&gt;=AW403,I403="READABLE"),"E","B"))),
C403="E",
IF(AY403&gt;=phaseMax,"ESCALATE",IF(OR(I403="SAME",I403="CANT_TELL",AD403&lt;axisTol),"F","E")),
C403="F",
IF(AY403&gt;=phaseMax,"ESCALATE",IF(AX403&gt;=powerSameN,"G","F")),
C403="G",
IF(AY403&gt;=phaseMax,"ESCALATE",IF(OR(AX403&gt;=duoEqualN,BB403&gt;=duoMax),"D","G")),
C403="D",
IF(leEsc,"ESCALATE",IF(AY403&gt;=phaseMax,"ESCALATE",IF(AND(AV403&gt;=AW403,I403="READABLE"),"H","D"))),
C403="H",
IF(AY403&gt;=phaseMax,"ESCALATE",IF(OR(I403="SAME",I403="CANT_TELL",AD403&lt;axisTol),"I","H")),
C403="I",
IF(AY403&gt;=phaseMax,"ESCALATE",IF(AX403&gt;=powerSameN,"J","I")),
C403="J",
IF(AY403&gt;=phaseMax,"ESCALATE",IF(OR(AX403&gt;=duoEqualN,BB403&gt;=duoMax),"K","J")),
C403="K",
IF(AY403&gt;=phaseMax,"ESCALATE",IF(AX403&gt;=binoSameN,IF(XLOOKUP($B403,Derived_Variables!$A:$A,Derived_Variables!$AJ:$AJ,FALSE)=TRUE,"P","END"),"K")),
C403="P",
IF(AY403&gt;=phaseMax,"ESCALATE",IF(OR(I403="READABLE",I403="SAME"),"Q","P")),
C403="Q",
IF(AY403&gt;=phaseMax,"ESCALATE",IF(OR(I403="READABLE",I403="SAME"),"R","Q")),
C403="R",
IF(AY403&gt;=phaseMax,"ESCALATE",IF(OR(I403=nearTarget,I403="SAME"),"END","R")),
TRUE,"END"
)))</f>
        <v/>
      </c>
      <c r="BD403" s="28" t="b">
        <f t="shared" si="19"/>
        <v>0</v>
      </c>
    </row>
    <row r="404" ht="15.75" customHeight="1">
      <c r="A404" s="28">
        <f t="shared" si="3"/>
        <v>403</v>
      </c>
      <c r="B404" s="28">
        <f t="shared" si="4"/>
        <v>6</v>
      </c>
      <c r="C404" s="28" t="str">
        <f t="shared" si="5"/>
        <v/>
      </c>
      <c r="D404" s="28" t="str">
        <f t="array" ref="D404">IF($I403="","",XLOOKUP(C404,FSM_State_Map!A:A,FSM_State_Map!B:B,""))</f>
        <v/>
      </c>
      <c r="E404" s="28" t="str">
        <f t="array" ref="E404">IF($I403="","",XLOOKUP(C404,FSM_State_Map!A:A,FSM_State_Map!C:C,""))</f>
        <v/>
      </c>
      <c r="F404" s="28" t="str">
        <f t="array" ref="F404">IF($I403="","",XLOOKUP(E404,Phase_UI_Map!A:A,Phase_UI_Map!B:B,""))</f>
        <v/>
      </c>
      <c r="G404" s="28" t="str">
        <f t="array" ref="G404">IF($I403="","",XLOOKUP(E404,Phase_UI_Map!A:A,Phase_UI_Map!C:C,""))</f>
        <v/>
      </c>
      <c r="H404" s="28" t="str">
        <f t="array" ref="H404">IF($I403="","",XLOOKUP(E404,Phase_UI_Map!A:A,Phase_UI_Map!D:D,""))</f>
        <v/>
      </c>
      <c r="I404" s="29"/>
      <c r="J404" s="28" t="str">
        <f>IFERROR(__xludf.DUMMYFUNCTION("IF($I403="""","""",IFERROR(INDEX(FILTER(Response_Lists!$B:$B,Response_Lists!$A:$A=$H404),1),""""))"),"")</f>
        <v/>
      </c>
      <c r="K404" s="28" t="str">
        <f>IFERROR(__xludf.DUMMYFUNCTION("IF($I403="""","""",IFERROR(INDEX(FILTER(Response_Lists!$B:$B,Response_Lists!$A:$A=$H404),2),""""))"),"")</f>
        <v/>
      </c>
      <c r="L404" s="28" t="str">
        <f>IFERROR(__xludf.DUMMYFUNCTION("IF($I403="""","""",IFERROR(INDEX(FILTER(Response_Lists!$B:$B,Response_Lists!$A:$A=$H404),3),""""))"),"")</f>
        <v/>
      </c>
      <c r="M404" s="28" t="str">
        <f>IFERROR(__xludf.DUMMYFUNCTION("IF($I403="""","""",IFERROR(INDEX(FILTER(Response_Lists!$B:$B,Response_Lists!$A:$A=$H404),4),""""))"),"")</f>
        <v/>
      </c>
      <c r="N404" s="28" t="str">
        <f>IFERROR(__xludf.DUMMYFUNCTION("IF($I403="""","""",IFERROR(INDEX(FILTER(Response_Lists!$B:$B,Response_Lists!$A:$A=$H404),5),""""))"),"")</f>
        <v/>
      </c>
      <c r="O404" s="28" t="str">
        <f>IFERROR(__xludf.DUMMYFUNCTION("IF($I403="""","""",IFERROR(INDEX(FILTER(Response_Lists!$B:$B,Response_Lists!$A:$A=$H404),6),""""))"),"")</f>
        <v/>
      </c>
      <c r="P404" s="28" t="str">
        <f t="shared" si="6"/>
        <v/>
      </c>
      <c r="Q404" s="28" t="str">
        <f t="array" ref="Q404">IF($I403="","",XLOOKUP(C404,FSM_State_Map!A:A,FSM_State_Map!D:D,""))</f>
        <v/>
      </c>
      <c r="R404" s="28" t="str">
        <f t="shared" si="7"/>
        <v/>
      </c>
      <c r="S404" s="28" t="str">
        <f t="array" ref="S404">IF($I403="","",
IF(
  AND(C404="B",C403&lt;&gt;"B"),
  XLOOKUP($B404,Derived_Variables!$A:$A,Derived_Variables!$K:$K,0)
  + XLOOKUP($B404,Derived_Variables!$A:$A,Derived_Variables!$AE:$AE,0),
  S403+AM403
))</f>
        <v/>
      </c>
      <c r="T404" s="28" t="str">
        <f t="shared" ref="T404:U404" si="818">IF($I403="","",T403+AN403)</f>
        <v/>
      </c>
      <c r="U404" s="28" t="str">
        <f t="shared" si="818"/>
        <v/>
      </c>
      <c r="V404" s="28" t="str">
        <f t="array" ref="V404">IF($I403="","",
IF(
  AND(C404="D",C403&lt;&gt;"D"),
  XLOOKUP($B404,Derived_Variables!$A:$A,Derived_Variables!$N:$N,0)
  + XLOOKUP($B404,Derived_Variables!$A:$A,Derived_Variables!$AE:$AE,0),
  V403+AP403
))</f>
        <v/>
      </c>
      <c r="W404" s="28" t="str">
        <f t="shared" ref="W404:X404" si="819">IF($I403="","",W403+AQ403)</f>
        <v/>
      </c>
      <c r="X404" s="28" t="str">
        <f t="shared" si="819"/>
        <v/>
      </c>
      <c r="Y404" s="28" t="str">
        <f t="array" ref="Y404">IF($I403="","",IF(AND(C404="P",C403&lt;&gt;"P"),IFERROR(XLOOKUP($B404,Lenso_Input!$A:$A,Lenso_Input!$E:$E,0),0),Y403+AS403))</f>
        <v/>
      </c>
      <c r="Z404" s="28" t="str">
        <f t="array" ref="Z404">IF($I403="","",IF(AND(C404="Q",C403&lt;&gt;"Q"),IFERROR(XLOOKUP($B404,Lenso_Input!$A:$A,Lenso_Input!$I:$I,0),0),Z403+AT403))</f>
        <v/>
      </c>
      <c r="AA404" s="28" t="str">
        <f t="array" ref="AA404">IF($I403="","",IF(XLOOKUP($B404,Derived_Variables!$A:$A,Derived_Variables!$R:$R,"6/6_target")="6/6_target","20_20_20","40_30_25"))</f>
        <v/>
      </c>
      <c r="AB404" s="28" t="str">
        <f t="array" ref="AB404">IF($I403="","",XLOOKUP(LOWER(XLOOKUP($B404,Derived_Variables!$A:$A,Derived_Variables!$T:$T,"Standard"))&amp;"_sph_step",Calibration!$B:$B,Calibration!$C:$C,0.25))</f>
        <v/>
      </c>
      <c r="AC404" s="28" t="str">
        <f t="array" ref="AC404">IF($I403="","",XLOOKUP(LOWER(XLOOKUP($B404,Derived_Variables!$A:$A,Derived_Variables!$T:$T,"Standard"))&amp;"_cyl_step",Calibration!$B:$B,Calibration!$C:$C,0.25))</f>
        <v/>
      </c>
      <c r="AD404" s="28" t="str">
        <f t="array" ref="AD404">IF($I403="","",IF(OR(C404="E",C404="H"),LET(startStep,XLOOKUP("axis_start_step",Calibration!$B:$B,Calibration!$C:$C,5),step1,XLOOKUP("axis_reversal_step_1",Calibration!$B:$B,Calibration!$C:$C,3),step2,XLOOKUP("axis_reversal_step_2",Calibration!$B:$B,Calibration!$C:$C,1),IF(OR(C403&lt;&gt;C404,AZ404="",AZ404="SAME",AZ404="CANT_TELL",I404="",I404="SAME",I404="CANT_TELL"),startStep,IF(OR(AND(AZ404="BETTER_1",I404="BETTER_2"),AND(AZ404="BETTER_2",I404="BETTER_1")),IF(AD403&gt;step1,step1,step2),AD403))),0))</f>
        <v/>
      </c>
      <c r="AE404" s="28" t="str">
        <f t="array" ref="AE404">IF($I403="","",XLOOKUP($B404,Derived_Variables!$A:$A,Derived_Variables!$AD:$AD,"No_Fog"))</f>
        <v/>
      </c>
      <c r="AF404" s="28" t="str">
        <f t="array" ref="AF404">IF($I403="","",XLOOKUP($B404,Derived_Variables!$A:$A,Derived_Variables!$AE:$AE,0))</f>
        <v/>
      </c>
      <c r="AG404" s="28" t="str">
        <f t="array" ref="AG404">IF($I403="","",XLOOKUP($B404,Derived_Variables!$A:$A,Derived_Variables!$AF:$AF,""))</f>
        <v/>
      </c>
      <c r="AH404" s="28" t="str">
        <f t="array" ref="AH404">IF($I403="","",XLOOKUP($B404,Derived_Variables!$A:$A,Derived_Variables!$AG:$AG,""))</f>
        <v/>
      </c>
      <c r="AI404" s="28" t="str">
        <f t="array" ref="AI404">IF($I403="","",XLOOKUP($B404,Derived_Variables!$A:$A,Derived_Variables!$AC:$AC,"Medium"))</f>
        <v/>
      </c>
      <c r="AJ404" s="28" t="str">
        <f t="array" ref="AJ404">IF($I403="","",XLOOKUP($B404,Derived_Variables!$A:$A,Derived_Variables!$Y:$Y,FALSE))</f>
        <v/>
      </c>
      <c r="AK404" s="28" t="str">
        <f t="array" ref="AK404">IF($I403="","",XLOOKUP($B404,Derived_Variables!$A:$A,Derived_Variables!$AA:$AA,"Normal"))</f>
        <v/>
      </c>
      <c r="AL404" s="28" t="str">
        <f t="array" ref="AL404">IF($I403="","",XLOOKUP($B404,Derived_Variables!$A:$A,Derived_Variables!$AB:$AB,"Normal"))</f>
        <v/>
      </c>
      <c r="AM404" s="28" t="str">
        <f t="array" ref="AM404">IF($I404="","",IFS(C404="B",IF(OR(I404="NOT_READABLE",I404="BLURRY"),-AB404,0),C404="G",IFS(I404="RED_CLEARER",XLOOKUP("duochrome_red_step",Calibration!$B:$B,Calibration!$C:$C,-0.25),I404="GREEN_CLEARER",XLOOKUP("duochrome_green_step",Calibration!$B:$B,Calibration!$C:$C,0.25),I404="EQUAL",IF(XLOOKUP($B404,Derived_Variables!$A:$A,Derived_Variables!$S:$S,"Neutral")="Undercorrect",XLOOKUP("undercorrect_step",Calibration!$B:$B,Calibration!$C:$C,0.25),IF(XLOOKUP($B404,Derived_Variables!$A:$A,Derived_Variables!$S:$S,"Neutral")="Overcorrect",-XLOOKUP("overcorrect_step",Calibration!$B:$B,Calibration!$C:$C,0.25),0)),TRUE,0),C404="K",IF(I404="TOP_CLEARER",XLOOKUP("bino_balance_step",Calibration!$B:$B,Calibration!$C:$C,0.25),0),TRUE,0))</f>
        <v/>
      </c>
      <c r="AN404" s="28" t="str">
        <f t="shared" si="10"/>
        <v/>
      </c>
      <c r="AO404" s="28" t="str">
        <f t="shared" si="11"/>
        <v/>
      </c>
      <c r="AP404" s="28" t="str">
        <f t="array" ref="AP404">IF($I404="","",IFS(C404="D",IF(OR(I404="NOT_READABLE",I404="BLURRY"),-AB404,0),C404="J",IFS(I404="RED_CLEARER",XLOOKUP("duochrome_red_step",Calibration!$B:$B,Calibration!$C:$C,-0.25),I404="GREEN_CLEARER",XLOOKUP("duochrome_green_step",Calibration!$B:$B,Calibration!$C:$C,0.25),I404="EQUAL",IF(XLOOKUP($B404,Derived_Variables!$A:$A,Derived_Variables!$S:$S,"Neutral")="Undercorrect",XLOOKUP("undercorrect_step",Calibration!$B:$B,Calibration!$C:$C,0.25),IF(XLOOKUP($B404,Derived_Variables!$A:$A,Derived_Variables!$S:$S,"Neutral")="Overcorrect",-XLOOKUP("overcorrect_step",Calibration!$B:$B,Calibration!$C:$C,0.25),0)),TRUE,0),C404="K",IF(I404="BOTTOM_CLEARER",XLOOKUP("bino_balance_step",Calibration!$B:$B,Calibration!$C:$C,0.25),0),TRUE,0))</f>
        <v/>
      </c>
      <c r="AQ404" s="28" t="str">
        <f t="shared" si="12"/>
        <v/>
      </c>
      <c r="AR404" s="28" t="str">
        <f t="shared" si="13"/>
        <v/>
      </c>
      <c r="AS404" s="28" t="str">
        <f t="array" ref="AS404">IF($I404="","",IF(C404="P",IF(OR(I404="NOT_READABLE",I404="BLURRY"),XLOOKUP("near_add_step",Calibration!$B:$B,Calibration!$C:$C,0.25),0),IF(C404="R",IF(I404="NOT_CLEAR",XLOOKUP("near_add_step",Calibration!$B:$B,Calibration!$C:$C,0.25),0),0)))</f>
        <v/>
      </c>
      <c r="AT404" s="28" t="str">
        <f t="array" ref="AT404">IF($I404="","",IF(C404="Q",IF(OR(I404="NOT_READABLE",I404="BLURRY"),XLOOKUP("near_add_step",Calibration!$B:$B,Calibration!$C:$C,0.25),0),IF(C404="R",IF(I404="NOT_CLEAR",XLOOKUP("near_add_step",Calibration!$B:$B,Calibration!$C:$C,0.25),0),0)))</f>
        <v/>
      </c>
      <c r="AU404" s="28" t="str">
        <f t="array" ref="AU404">IF($I404="","",IF(G404="SNELLEN_FEET",IF(I404="READABLE",IFERROR(XLOOKUP(XLOOKUP(R404,Chart_Scale_Distance!B:B,Chart_Scale_Distance!A:A)+1,Chart_Scale_Distance!A:A,Chart_Scale_Distance!B:B),R404),R404),R404))</f>
        <v/>
      </c>
      <c r="AV404" s="28" t="str">
        <f t="array" ref="AV404">IF($I403="","",IFERROR(XLOOKUP(R404,Chart_Scale_Distance!$B:$B,Chart_Scale_Distance!$A:$A,""),""))</f>
        <v/>
      </c>
      <c r="AW404" s="28" t="str">
        <f t="array" ref="AW404">IF($I403="","",IFERROR(XLOOKUP(AA404,Chart_Scale_Distance!$B:$B,Chart_Scale_Distance!$A:$A,""),""))</f>
        <v/>
      </c>
      <c r="AX404" s="28" t="str">
        <f t="shared" si="14"/>
        <v/>
      </c>
      <c r="AY404" s="28" t="str">
        <f t="shared" si="15"/>
        <v/>
      </c>
      <c r="AZ404" s="28" t="str">
        <f t="shared" si="16"/>
        <v/>
      </c>
      <c r="BA404" s="28" t="str">
        <f t="shared" si="17"/>
        <v/>
      </c>
      <c r="BB404" s="28" t="str">
        <f t="shared" si="18"/>
        <v/>
      </c>
      <c r="BC404" s="28" t="str">
        <f t="array" ref="BC404">IF($I404="","",LET(
conf,AI404,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duoMax,XLOOKUP($B404,Derived_Variables!$A:$A,Derived_Variables!$AI:$AI,4),
axisTol,XLOOKUP($B404,Derived_Variables!$A:$A,Derived_Variables!$W:$W,1),
maxStart,XLOOKUP($B404,Derived_Variables!$A:$A,Derived_Variables!$U:$U,1.25),
maxAR,XLOOKUP($B404,Derived_Variables!$A:$A,Derived_Variables!$V:$V,3),
anom,XLOOKUP($B404,Derived_Variables!$A:$A,Derived_Variables!$Z:$Z,FALSE),
reStart,XLOOKUP($B404,Derived_Variables!$A:$A,Derived_Variables!$K:$K,0),
leStart,XLOOKUP($B404,Derived_Variables!$A:$A,Derived_Variables!$N:$N,0),
reAR,XLOOKUP($B404,AR_Input!$A:$A,AR_Input!$B:$B,reStart),
leAR,XLOOKUP($B404,AR_Input!$A:$A,AR_Input!$E:$E,leStart),
reEsc,AND(anom,OR(ABS((S404+AM404)-reStart)&gt;maxStart,ABS((S404+AM404)-reAR)&gt;maxAR)),
leEsc,AND(anom,OR(ABS((V404+AP404)-leStart)&gt;maxStart,ABS((V404+AP404)-leAR)&gt;maxAR)),
phaseMax,IFS(
 AK404="Fast",
   IFS(
     OR(C404="B",C404="D"),XLOOKUP("timeout_coarse_fast",Calibration!$B:$B,Calibration!$C:$C,24),
     OR(C404="E",C404="F",C404="H",C404="I"),XLOOKUP("timeout_jcc_fast",Calibration!$B:$B,Calibration!$C:$C,10),
     OR(C404="G",C404="J"),XLOOKUP("timeout_duochrome_fast",Calibration!$B:$B,Calibration!$C:$C,8),
     C404="K",XLOOKUP("timeout_bino_fast",Calibration!$B:$B,Calibration!$C:$C,10),
     OR(C404="P",C404="Q",C404="R"),XLOOKUP("timeout_near_fast",Calibration!$B:$B,Calibration!$C:$C,16),
     TRUE,XLOOKUP("timeout_coarse_fast",Calibration!$B:$B,Calibration!$C:$C,24)
   ),
 AK404="Normal",
   IFS(
     OR(C404="B",C404="D"),XLOOKUP("timeout_coarse_normal",Calibration!$B:$B,Calibration!$C:$C,36),
     OR(C404="E",C404="F",C404="H",C404="I"),XLOOKUP("timeout_jcc_normal",Calibration!$B:$B,Calibration!$C:$C,14),
     OR(C404="G",C404="J"),XLOOKUP("timeout_duochrome_normal",Calibration!$B:$B,Calibration!$C:$C,10),
     C404="K",XLOOKUP("timeout_bino_normal",Calibration!$B:$B,Calibration!$C:$C,14),
     OR(C404="P",C404="Q",C404="R"),XLOOKUP("timeout_near_normal",Calibration!$B:$B,Calibration!$C:$C,22),
     TRUE,XLOOKUP("timeout_coarse_normal",Calibration!$B:$B,Calibration!$C:$C,36)
   ),
 TRUE,
   IFS(
     OR(C404="B",C404="D"),XLOOKUP("timeout_coarse_slow",Calibration!$B:$B,Calibration!$C:$C,48),
     OR(C404="E",C404="F",C404="H",C404="I"),XLOOKUP("timeout_jcc_slow",Calibration!$B:$B,Calibration!$C:$C,18),
     OR(C404="G",C404="J"),XLOOKUP("timeout_duochrome_slow",Calibration!$B:$B,Calibration!$C:$C,12),
     C404="K",XLOOKUP("timeout_bino_slow",Calibration!$B:$B,Calibration!$C:$C,18),
     OR(C404="P",C404="Q",C404="R"),XLOOKUP("timeout_near_slow",Calibration!$B:$B,Calibration!$C:$C,28),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AJ404=TRUE,"ESCALATE",
C404="A",
IF(OR(I404="NOT_READABLE",I404="BLURRY",AND(R404="20_20_20",I404="READABLE")),"B","A"),
C404="B",
IF(reEsc,"ESCALATE",IF(AY404&gt;=phaseMax,"ESCALATE",IF(AND(AV404&gt;=AW404,I404="READABLE"),"E","B"))),
C404="E",
IF(AY404&gt;=phaseMax,"ESCALATE",IF(OR(I404="SAME",I404="CANT_TELL",AD404&lt;axisTol),"F","E")),
C404="F",
IF(AY404&gt;=phaseMax,"ESCALATE",IF(AX404&gt;=powerSameN,"G","F")),
C404="G",
IF(AY404&gt;=phaseMax,"ESCALATE",IF(OR(AX404&gt;=duoEqualN,BB404&gt;=duoMax),"D","G")),
C404="D",
IF(leEsc,"ESCALATE",IF(AY404&gt;=phaseMax,"ESCALATE",IF(AND(AV404&gt;=AW404,I404="READABLE"),"H","D"))),
C404="H",
IF(AY404&gt;=phaseMax,"ESCALATE",IF(OR(I404="SAME",I404="CANT_TELL",AD404&lt;axisTol),"I","H")),
C404="I",
IF(AY404&gt;=phaseMax,"ESCALATE",IF(AX404&gt;=powerSameN,"J","I")),
C404="J",
IF(AY404&gt;=phaseMax,"ESCALATE",IF(OR(AX404&gt;=duoEqualN,BB404&gt;=duoMax),"K","J")),
C404="K",
IF(AY404&gt;=phaseMax,"ESCALATE",IF(AX404&gt;=binoSameN,IF(XLOOKUP($B404,Derived_Variables!$A:$A,Derived_Variables!$AJ:$AJ,FALSE)=TRUE,"P","END"),"K")),
C404="P",
IF(AY404&gt;=phaseMax,"ESCALATE",IF(OR(I404="READABLE",I404="SAME"),"Q","P")),
C404="Q",
IF(AY404&gt;=phaseMax,"ESCALATE",IF(OR(I404="READABLE",I404="SAME"),"R","Q")),
C404="R",
IF(AY404&gt;=phaseMax,"ESCALATE",IF(OR(I404=nearTarget,I404="SAME"),"END","R")),
TRUE,"END"
)))</f>
        <v/>
      </c>
      <c r="BD404" s="28" t="b">
        <f t="shared" si="19"/>
        <v>0</v>
      </c>
    </row>
    <row r="405" ht="15.75" customHeight="1">
      <c r="A405" s="28">
        <f t="shared" si="3"/>
        <v>404</v>
      </c>
      <c r="B405" s="28">
        <f t="shared" si="4"/>
        <v>6</v>
      </c>
      <c r="C405" s="28" t="str">
        <f t="shared" si="5"/>
        <v/>
      </c>
      <c r="D405" s="28" t="str">
        <f t="array" ref="D405">IF($I404="","",XLOOKUP(C405,FSM_State_Map!A:A,FSM_State_Map!B:B,""))</f>
        <v/>
      </c>
      <c r="E405" s="28" t="str">
        <f t="array" ref="E405">IF($I404="","",XLOOKUP(C405,FSM_State_Map!A:A,FSM_State_Map!C:C,""))</f>
        <v/>
      </c>
      <c r="F405" s="28" t="str">
        <f t="array" ref="F405">IF($I404="","",XLOOKUP(E405,Phase_UI_Map!A:A,Phase_UI_Map!B:B,""))</f>
        <v/>
      </c>
      <c r="G405" s="28" t="str">
        <f t="array" ref="G405">IF($I404="","",XLOOKUP(E405,Phase_UI_Map!A:A,Phase_UI_Map!C:C,""))</f>
        <v/>
      </c>
      <c r="H405" s="28" t="str">
        <f t="array" ref="H405">IF($I404="","",XLOOKUP(E405,Phase_UI_Map!A:A,Phase_UI_Map!D:D,""))</f>
        <v/>
      </c>
      <c r="I405" s="29"/>
      <c r="J405" s="28" t="str">
        <f>IFERROR(__xludf.DUMMYFUNCTION("IF($I404="""","""",IFERROR(INDEX(FILTER(Response_Lists!$B:$B,Response_Lists!$A:$A=$H405),1),""""))"),"")</f>
        <v/>
      </c>
      <c r="K405" s="28" t="str">
        <f>IFERROR(__xludf.DUMMYFUNCTION("IF($I404="""","""",IFERROR(INDEX(FILTER(Response_Lists!$B:$B,Response_Lists!$A:$A=$H405),2),""""))"),"")</f>
        <v/>
      </c>
      <c r="L405" s="28" t="str">
        <f>IFERROR(__xludf.DUMMYFUNCTION("IF($I404="""","""",IFERROR(INDEX(FILTER(Response_Lists!$B:$B,Response_Lists!$A:$A=$H405),3),""""))"),"")</f>
        <v/>
      </c>
      <c r="M405" s="28" t="str">
        <f>IFERROR(__xludf.DUMMYFUNCTION("IF($I404="""","""",IFERROR(INDEX(FILTER(Response_Lists!$B:$B,Response_Lists!$A:$A=$H405),4),""""))"),"")</f>
        <v/>
      </c>
      <c r="N405" s="28" t="str">
        <f>IFERROR(__xludf.DUMMYFUNCTION("IF($I404="""","""",IFERROR(INDEX(FILTER(Response_Lists!$B:$B,Response_Lists!$A:$A=$H405),5),""""))"),"")</f>
        <v/>
      </c>
      <c r="O405" s="28" t="str">
        <f>IFERROR(__xludf.DUMMYFUNCTION("IF($I404="""","""",IFERROR(INDEX(FILTER(Response_Lists!$B:$B,Response_Lists!$A:$A=$H405),6),""""))"),"")</f>
        <v/>
      </c>
      <c r="P405" s="28" t="str">
        <f t="shared" si="6"/>
        <v/>
      </c>
      <c r="Q405" s="28" t="str">
        <f t="array" ref="Q405">IF($I404="","",XLOOKUP(C405,FSM_State_Map!A:A,FSM_State_Map!D:D,""))</f>
        <v/>
      </c>
      <c r="R405" s="28" t="str">
        <f t="shared" si="7"/>
        <v/>
      </c>
      <c r="S405" s="28" t="str">
        <f t="array" ref="S405">IF($I404="","",
IF(
  AND(C405="B",C404&lt;&gt;"B"),
  XLOOKUP($B405,Derived_Variables!$A:$A,Derived_Variables!$K:$K,0)
  + XLOOKUP($B405,Derived_Variables!$A:$A,Derived_Variables!$AE:$AE,0),
  S404+AM404
))</f>
        <v/>
      </c>
      <c r="T405" s="28" t="str">
        <f t="shared" ref="T405:U405" si="820">IF($I404="","",T404+AN404)</f>
        <v/>
      </c>
      <c r="U405" s="28" t="str">
        <f t="shared" si="820"/>
        <v/>
      </c>
      <c r="V405" s="28" t="str">
        <f t="array" ref="V405">IF($I404="","",
IF(
  AND(C405="D",C404&lt;&gt;"D"),
  XLOOKUP($B405,Derived_Variables!$A:$A,Derived_Variables!$N:$N,0)
  + XLOOKUP($B405,Derived_Variables!$A:$A,Derived_Variables!$AE:$AE,0),
  V404+AP404
))</f>
        <v/>
      </c>
      <c r="W405" s="28" t="str">
        <f t="shared" ref="W405:X405" si="821">IF($I404="","",W404+AQ404)</f>
        <v/>
      </c>
      <c r="X405" s="28" t="str">
        <f t="shared" si="821"/>
        <v/>
      </c>
      <c r="Y405" s="28" t="str">
        <f t="array" ref="Y405">IF($I404="","",IF(AND(C405="P",C404&lt;&gt;"P"),IFERROR(XLOOKUP($B405,Lenso_Input!$A:$A,Lenso_Input!$E:$E,0),0),Y404+AS404))</f>
        <v/>
      </c>
      <c r="Z405" s="28" t="str">
        <f t="array" ref="Z405">IF($I404="","",IF(AND(C405="Q",C404&lt;&gt;"Q"),IFERROR(XLOOKUP($B405,Lenso_Input!$A:$A,Lenso_Input!$I:$I,0),0),Z404+AT404))</f>
        <v/>
      </c>
      <c r="AA405" s="28" t="str">
        <f t="array" ref="AA405">IF($I404="","",IF(XLOOKUP($B405,Derived_Variables!$A:$A,Derived_Variables!$R:$R,"6/6_target")="6/6_target","20_20_20","40_30_25"))</f>
        <v/>
      </c>
      <c r="AB405" s="28" t="str">
        <f t="array" ref="AB405">IF($I404="","",XLOOKUP(LOWER(XLOOKUP($B405,Derived_Variables!$A:$A,Derived_Variables!$T:$T,"Standard"))&amp;"_sph_step",Calibration!$B:$B,Calibration!$C:$C,0.25))</f>
        <v/>
      </c>
      <c r="AC405" s="28" t="str">
        <f t="array" ref="AC405">IF($I404="","",XLOOKUP(LOWER(XLOOKUP($B405,Derived_Variables!$A:$A,Derived_Variables!$T:$T,"Standard"))&amp;"_cyl_step",Calibration!$B:$B,Calibration!$C:$C,0.25))</f>
        <v/>
      </c>
      <c r="AD405" s="28" t="str">
        <f t="array" ref="AD405">IF($I404="","",IF(OR(C405="E",C405="H"),LET(startStep,XLOOKUP("axis_start_step",Calibration!$B:$B,Calibration!$C:$C,5),step1,XLOOKUP("axis_reversal_step_1",Calibration!$B:$B,Calibration!$C:$C,3),step2,XLOOKUP("axis_reversal_step_2",Calibration!$B:$B,Calibration!$C:$C,1),IF(OR(C404&lt;&gt;C405,AZ405="",AZ405="SAME",AZ405="CANT_TELL",I405="",I405="SAME",I405="CANT_TELL"),startStep,IF(OR(AND(AZ405="BETTER_1",I405="BETTER_2"),AND(AZ405="BETTER_2",I405="BETTER_1")),IF(AD404&gt;step1,step1,step2),AD404))),0))</f>
        <v/>
      </c>
      <c r="AE405" s="28" t="str">
        <f t="array" ref="AE405">IF($I404="","",XLOOKUP($B405,Derived_Variables!$A:$A,Derived_Variables!$AD:$AD,"No_Fog"))</f>
        <v/>
      </c>
      <c r="AF405" s="28" t="str">
        <f t="array" ref="AF405">IF($I404="","",XLOOKUP($B405,Derived_Variables!$A:$A,Derived_Variables!$AE:$AE,0))</f>
        <v/>
      </c>
      <c r="AG405" s="28" t="str">
        <f t="array" ref="AG405">IF($I404="","",XLOOKUP($B405,Derived_Variables!$A:$A,Derived_Variables!$AF:$AF,""))</f>
        <v/>
      </c>
      <c r="AH405" s="28" t="str">
        <f t="array" ref="AH405">IF($I404="","",XLOOKUP($B405,Derived_Variables!$A:$A,Derived_Variables!$AG:$AG,""))</f>
        <v/>
      </c>
      <c r="AI405" s="28" t="str">
        <f t="array" ref="AI405">IF($I404="","",XLOOKUP($B405,Derived_Variables!$A:$A,Derived_Variables!$AC:$AC,"Medium"))</f>
        <v/>
      </c>
      <c r="AJ405" s="28" t="str">
        <f t="array" ref="AJ405">IF($I404="","",XLOOKUP($B405,Derived_Variables!$A:$A,Derived_Variables!$Y:$Y,FALSE))</f>
        <v/>
      </c>
      <c r="AK405" s="28" t="str">
        <f t="array" ref="AK405">IF($I404="","",XLOOKUP($B405,Derived_Variables!$A:$A,Derived_Variables!$AA:$AA,"Normal"))</f>
        <v/>
      </c>
      <c r="AL405" s="28" t="str">
        <f t="array" ref="AL405">IF($I404="","",XLOOKUP($B405,Derived_Variables!$A:$A,Derived_Variables!$AB:$AB,"Normal"))</f>
        <v/>
      </c>
      <c r="AM405" s="28" t="str">
        <f t="array" ref="AM405">IF($I405="","",IFS(C405="B",IF(OR(I405="NOT_READABLE",I405="BLURRY"),-AB405,0),C405="G",IFS(I405="RED_CLEARER",XLOOKUP("duochrome_red_step",Calibration!$B:$B,Calibration!$C:$C,-0.25),I405="GREEN_CLEARER",XLOOKUP("duochrome_green_step",Calibration!$B:$B,Calibration!$C:$C,0.25),I405="EQUAL",IF(XLOOKUP($B405,Derived_Variables!$A:$A,Derived_Variables!$S:$S,"Neutral")="Undercorrect",XLOOKUP("undercorrect_step",Calibration!$B:$B,Calibration!$C:$C,0.25),IF(XLOOKUP($B405,Derived_Variables!$A:$A,Derived_Variables!$S:$S,"Neutral")="Overcorrect",-XLOOKUP("overcorrect_step",Calibration!$B:$B,Calibration!$C:$C,0.25),0)),TRUE,0),C405="K",IF(I405="TOP_CLEARER",XLOOKUP("bino_balance_step",Calibration!$B:$B,Calibration!$C:$C,0.25),0),TRUE,0))</f>
        <v/>
      </c>
      <c r="AN405" s="28" t="str">
        <f t="shared" si="10"/>
        <v/>
      </c>
      <c r="AO405" s="28" t="str">
        <f t="shared" si="11"/>
        <v/>
      </c>
      <c r="AP405" s="28" t="str">
        <f t="array" ref="AP405">IF($I405="","",IFS(C405="D",IF(OR(I405="NOT_READABLE",I405="BLURRY"),-AB405,0),C405="J",IFS(I405="RED_CLEARER",XLOOKUP("duochrome_red_step",Calibration!$B:$B,Calibration!$C:$C,-0.25),I405="GREEN_CLEARER",XLOOKUP("duochrome_green_step",Calibration!$B:$B,Calibration!$C:$C,0.25),I405="EQUAL",IF(XLOOKUP($B405,Derived_Variables!$A:$A,Derived_Variables!$S:$S,"Neutral")="Undercorrect",XLOOKUP("undercorrect_step",Calibration!$B:$B,Calibration!$C:$C,0.25),IF(XLOOKUP($B405,Derived_Variables!$A:$A,Derived_Variables!$S:$S,"Neutral")="Overcorrect",-XLOOKUP("overcorrect_step",Calibration!$B:$B,Calibration!$C:$C,0.25),0)),TRUE,0),C405="K",IF(I405="BOTTOM_CLEARER",XLOOKUP("bino_balance_step",Calibration!$B:$B,Calibration!$C:$C,0.25),0),TRUE,0))</f>
        <v/>
      </c>
      <c r="AQ405" s="28" t="str">
        <f t="shared" si="12"/>
        <v/>
      </c>
      <c r="AR405" s="28" t="str">
        <f t="shared" si="13"/>
        <v/>
      </c>
      <c r="AS405" s="28" t="str">
        <f t="array" ref="AS405">IF($I405="","",IF(C405="P",IF(OR(I405="NOT_READABLE",I405="BLURRY"),XLOOKUP("near_add_step",Calibration!$B:$B,Calibration!$C:$C,0.25),0),IF(C405="R",IF(I405="NOT_CLEAR",XLOOKUP("near_add_step",Calibration!$B:$B,Calibration!$C:$C,0.25),0),0)))</f>
        <v/>
      </c>
      <c r="AT405" s="28" t="str">
        <f t="array" ref="AT405">IF($I405="","",IF(C405="Q",IF(OR(I405="NOT_READABLE",I405="BLURRY"),XLOOKUP("near_add_step",Calibration!$B:$B,Calibration!$C:$C,0.25),0),IF(C405="R",IF(I405="NOT_CLEAR",XLOOKUP("near_add_step",Calibration!$B:$B,Calibration!$C:$C,0.25),0),0)))</f>
        <v/>
      </c>
      <c r="AU405" s="28" t="str">
        <f t="array" ref="AU405">IF($I405="","",IF(G405="SNELLEN_FEET",IF(I405="READABLE",IFERROR(XLOOKUP(XLOOKUP(R405,Chart_Scale_Distance!B:B,Chart_Scale_Distance!A:A)+1,Chart_Scale_Distance!A:A,Chart_Scale_Distance!B:B),R405),R405),R405))</f>
        <v/>
      </c>
      <c r="AV405" s="28" t="str">
        <f t="array" ref="AV405">IF($I404="","",IFERROR(XLOOKUP(R405,Chart_Scale_Distance!$B:$B,Chart_Scale_Distance!$A:$A,""),""))</f>
        <v/>
      </c>
      <c r="AW405" s="28" t="str">
        <f t="array" ref="AW405">IF($I404="","",IFERROR(XLOOKUP(AA405,Chart_Scale_Distance!$B:$B,Chart_Scale_Distance!$A:$A,""),""))</f>
        <v/>
      </c>
      <c r="AX405" s="28" t="str">
        <f t="shared" si="14"/>
        <v/>
      </c>
      <c r="AY405" s="28" t="str">
        <f t="shared" si="15"/>
        <v/>
      </c>
      <c r="AZ405" s="28" t="str">
        <f t="shared" si="16"/>
        <v/>
      </c>
      <c r="BA405" s="28" t="str">
        <f t="shared" si="17"/>
        <v/>
      </c>
      <c r="BB405" s="28" t="str">
        <f t="shared" si="18"/>
        <v/>
      </c>
      <c r="BC405" s="28" t="str">
        <f t="array" ref="BC405">IF($I405="","",LET(
conf,AI405,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duoMax,XLOOKUP($B405,Derived_Variables!$A:$A,Derived_Variables!$AI:$AI,4),
axisTol,XLOOKUP($B405,Derived_Variables!$A:$A,Derived_Variables!$W:$W,1),
maxStart,XLOOKUP($B405,Derived_Variables!$A:$A,Derived_Variables!$U:$U,1.25),
maxAR,XLOOKUP($B405,Derived_Variables!$A:$A,Derived_Variables!$V:$V,3),
anom,XLOOKUP($B405,Derived_Variables!$A:$A,Derived_Variables!$Z:$Z,FALSE),
reStart,XLOOKUP($B405,Derived_Variables!$A:$A,Derived_Variables!$K:$K,0),
leStart,XLOOKUP($B405,Derived_Variables!$A:$A,Derived_Variables!$N:$N,0),
reAR,XLOOKUP($B405,AR_Input!$A:$A,AR_Input!$B:$B,reStart),
leAR,XLOOKUP($B405,AR_Input!$A:$A,AR_Input!$E:$E,leStart),
reEsc,AND(anom,OR(ABS((S405+AM405)-reStart)&gt;maxStart,ABS((S405+AM405)-reAR)&gt;maxAR)),
leEsc,AND(anom,OR(ABS((V405+AP405)-leStart)&gt;maxStart,ABS((V405+AP405)-leAR)&gt;maxAR)),
phaseMax,IFS(
 AK405="Fast",
   IFS(
     OR(C405="B",C405="D"),XLOOKUP("timeout_coarse_fast",Calibration!$B:$B,Calibration!$C:$C,24),
     OR(C405="E",C405="F",C405="H",C405="I"),XLOOKUP("timeout_jcc_fast",Calibration!$B:$B,Calibration!$C:$C,10),
     OR(C405="G",C405="J"),XLOOKUP("timeout_duochrome_fast",Calibration!$B:$B,Calibration!$C:$C,8),
     C405="K",XLOOKUP("timeout_bino_fast",Calibration!$B:$B,Calibration!$C:$C,10),
     OR(C405="P",C405="Q",C405="R"),XLOOKUP("timeout_near_fast",Calibration!$B:$B,Calibration!$C:$C,16),
     TRUE,XLOOKUP("timeout_coarse_fast",Calibration!$B:$B,Calibration!$C:$C,24)
   ),
 AK405="Normal",
   IFS(
     OR(C405="B",C405="D"),XLOOKUP("timeout_coarse_normal",Calibration!$B:$B,Calibration!$C:$C,36),
     OR(C405="E",C405="F",C405="H",C405="I"),XLOOKUP("timeout_jcc_normal",Calibration!$B:$B,Calibration!$C:$C,14),
     OR(C405="G",C405="J"),XLOOKUP("timeout_duochrome_normal",Calibration!$B:$B,Calibration!$C:$C,10),
     C405="K",XLOOKUP("timeout_bino_normal",Calibration!$B:$B,Calibration!$C:$C,14),
     OR(C405="P",C405="Q",C405="R"),XLOOKUP("timeout_near_normal",Calibration!$B:$B,Calibration!$C:$C,22),
     TRUE,XLOOKUP("timeout_coarse_normal",Calibration!$B:$B,Calibration!$C:$C,36)
   ),
 TRUE,
   IFS(
     OR(C405="B",C405="D"),XLOOKUP("timeout_coarse_slow",Calibration!$B:$B,Calibration!$C:$C,48),
     OR(C405="E",C405="F",C405="H",C405="I"),XLOOKUP("timeout_jcc_slow",Calibration!$B:$B,Calibration!$C:$C,18),
     OR(C405="G",C405="J"),XLOOKUP("timeout_duochrome_slow",Calibration!$B:$B,Calibration!$C:$C,12),
     C405="K",XLOOKUP("timeout_bino_slow",Calibration!$B:$B,Calibration!$C:$C,18),
     OR(C405="P",C405="Q",C405="R"),XLOOKUP("timeout_near_slow",Calibration!$B:$B,Calibration!$C:$C,28),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AJ405=TRUE,"ESCALATE",
C405="A",
IF(OR(I405="NOT_READABLE",I405="BLURRY",AND(R405="20_20_20",I405="READABLE")),"B","A"),
C405="B",
IF(reEsc,"ESCALATE",IF(AY405&gt;=phaseMax,"ESCALATE",IF(AND(AV405&gt;=AW405,I405="READABLE"),"E","B"))),
C405="E",
IF(AY405&gt;=phaseMax,"ESCALATE",IF(OR(I405="SAME",I405="CANT_TELL",AD405&lt;axisTol),"F","E")),
C405="F",
IF(AY405&gt;=phaseMax,"ESCALATE",IF(AX405&gt;=powerSameN,"G","F")),
C405="G",
IF(AY405&gt;=phaseMax,"ESCALATE",IF(OR(AX405&gt;=duoEqualN,BB405&gt;=duoMax),"D","G")),
C405="D",
IF(leEsc,"ESCALATE",IF(AY405&gt;=phaseMax,"ESCALATE",IF(AND(AV405&gt;=AW405,I405="READABLE"),"H","D"))),
C405="H",
IF(AY405&gt;=phaseMax,"ESCALATE",IF(OR(I405="SAME",I405="CANT_TELL",AD405&lt;axisTol),"I","H")),
C405="I",
IF(AY405&gt;=phaseMax,"ESCALATE",IF(AX405&gt;=powerSameN,"J","I")),
C405="J",
IF(AY405&gt;=phaseMax,"ESCALATE",IF(OR(AX405&gt;=duoEqualN,BB405&gt;=duoMax),"K","J")),
C405="K",
IF(AY405&gt;=phaseMax,"ESCALATE",IF(AX405&gt;=binoSameN,IF(XLOOKUP($B405,Derived_Variables!$A:$A,Derived_Variables!$AJ:$AJ,FALSE)=TRUE,"P","END"),"K")),
C405="P",
IF(AY405&gt;=phaseMax,"ESCALATE",IF(OR(I405="READABLE",I405="SAME"),"Q","P")),
C405="Q",
IF(AY405&gt;=phaseMax,"ESCALATE",IF(OR(I405="READABLE",I405="SAME"),"R","Q")),
C405="R",
IF(AY405&gt;=phaseMax,"ESCALATE",IF(OR(I405=nearTarget,I405="SAME"),"END","R")),
TRUE,"END"
)))</f>
        <v/>
      </c>
      <c r="BD405" s="28" t="b">
        <f t="shared" si="19"/>
        <v>0</v>
      </c>
    </row>
    <row r="406" ht="15.75" customHeight="1">
      <c r="A406" s="28">
        <f t="shared" si="3"/>
        <v>405</v>
      </c>
      <c r="B406" s="28">
        <f t="shared" si="4"/>
        <v>6</v>
      </c>
      <c r="C406" s="28" t="str">
        <f t="shared" si="5"/>
        <v/>
      </c>
      <c r="D406" s="28" t="str">
        <f t="array" ref="D406">IF($I405="","",XLOOKUP(C406,FSM_State_Map!A:A,FSM_State_Map!B:B,""))</f>
        <v/>
      </c>
      <c r="E406" s="28" t="str">
        <f t="array" ref="E406">IF($I405="","",XLOOKUP(C406,FSM_State_Map!A:A,FSM_State_Map!C:C,""))</f>
        <v/>
      </c>
      <c r="F406" s="28" t="str">
        <f t="array" ref="F406">IF($I405="","",XLOOKUP(E406,Phase_UI_Map!A:A,Phase_UI_Map!B:B,""))</f>
        <v/>
      </c>
      <c r="G406" s="28" t="str">
        <f t="array" ref="G406">IF($I405="","",XLOOKUP(E406,Phase_UI_Map!A:A,Phase_UI_Map!C:C,""))</f>
        <v/>
      </c>
      <c r="H406" s="28" t="str">
        <f t="array" ref="H406">IF($I405="","",XLOOKUP(E406,Phase_UI_Map!A:A,Phase_UI_Map!D:D,""))</f>
        <v/>
      </c>
      <c r="I406" s="29"/>
      <c r="J406" s="28" t="str">
        <f>IFERROR(__xludf.DUMMYFUNCTION("IF($I405="""","""",IFERROR(INDEX(FILTER(Response_Lists!$B:$B,Response_Lists!$A:$A=$H406),1),""""))"),"")</f>
        <v/>
      </c>
      <c r="K406" s="28" t="str">
        <f>IFERROR(__xludf.DUMMYFUNCTION("IF($I405="""","""",IFERROR(INDEX(FILTER(Response_Lists!$B:$B,Response_Lists!$A:$A=$H406),2),""""))"),"")</f>
        <v/>
      </c>
      <c r="L406" s="28" t="str">
        <f>IFERROR(__xludf.DUMMYFUNCTION("IF($I405="""","""",IFERROR(INDEX(FILTER(Response_Lists!$B:$B,Response_Lists!$A:$A=$H406),3),""""))"),"")</f>
        <v/>
      </c>
      <c r="M406" s="28" t="str">
        <f>IFERROR(__xludf.DUMMYFUNCTION("IF($I405="""","""",IFERROR(INDEX(FILTER(Response_Lists!$B:$B,Response_Lists!$A:$A=$H406),4),""""))"),"")</f>
        <v/>
      </c>
      <c r="N406" s="28" t="str">
        <f>IFERROR(__xludf.DUMMYFUNCTION("IF($I405="""","""",IFERROR(INDEX(FILTER(Response_Lists!$B:$B,Response_Lists!$A:$A=$H406),5),""""))"),"")</f>
        <v/>
      </c>
      <c r="O406" s="28" t="str">
        <f>IFERROR(__xludf.DUMMYFUNCTION("IF($I405="""","""",IFERROR(INDEX(FILTER(Response_Lists!$B:$B,Response_Lists!$A:$A=$H406),6),""""))"),"")</f>
        <v/>
      </c>
      <c r="P406" s="28" t="str">
        <f t="shared" si="6"/>
        <v/>
      </c>
      <c r="Q406" s="28" t="str">
        <f t="array" ref="Q406">IF($I405="","",XLOOKUP(C406,FSM_State_Map!A:A,FSM_State_Map!D:D,""))</f>
        <v/>
      </c>
      <c r="R406" s="28" t="str">
        <f t="shared" si="7"/>
        <v/>
      </c>
      <c r="S406" s="28" t="str">
        <f t="array" ref="S406">IF($I405="","",
IF(
  AND(C406="B",C405&lt;&gt;"B"),
  XLOOKUP($B406,Derived_Variables!$A:$A,Derived_Variables!$K:$K,0)
  + XLOOKUP($B406,Derived_Variables!$A:$A,Derived_Variables!$AE:$AE,0),
  S405+AM405
))</f>
        <v/>
      </c>
      <c r="T406" s="28" t="str">
        <f t="shared" ref="T406:U406" si="822">IF($I405="","",T405+AN405)</f>
        <v/>
      </c>
      <c r="U406" s="28" t="str">
        <f t="shared" si="822"/>
        <v/>
      </c>
      <c r="V406" s="28" t="str">
        <f t="array" ref="V406">IF($I405="","",
IF(
  AND(C406="D",C405&lt;&gt;"D"),
  XLOOKUP($B406,Derived_Variables!$A:$A,Derived_Variables!$N:$N,0)
  + XLOOKUP($B406,Derived_Variables!$A:$A,Derived_Variables!$AE:$AE,0),
  V405+AP405
))</f>
        <v/>
      </c>
      <c r="W406" s="28" t="str">
        <f t="shared" ref="W406:X406" si="823">IF($I405="","",W405+AQ405)</f>
        <v/>
      </c>
      <c r="X406" s="28" t="str">
        <f t="shared" si="823"/>
        <v/>
      </c>
      <c r="Y406" s="28" t="str">
        <f t="array" ref="Y406">IF($I405="","",IF(AND(C406="P",C405&lt;&gt;"P"),IFERROR(XLOOKUP($B406,Lenso_Input!$A:$A,Lenso_Input!$E:$E,0),0),Y405+AS405))</f>
        <v/>
      </c>
      <c r="Z406" s="28" t="str">
        <f t="array" ref="Z406">IF($I405="","",IF(AND(C406="Q",C405&lt;&gt;"Q"),IFERROR(XLOOKUP($B406,Lenso_Input!$A:$A,Lenso_Input!$I:$I,0),0),Z405+AT405))</f>
        <v/>
      </c>
      <c r="AA406" s="28" t="str">
        <f t="array" ref="AA406">IF($I405="","",IF(XLOOKUP($B406,Derived_Variables!$A:$A,Derived_Variables!$R:$R,"6/6_target")="6/6_target","20_20_20","40_30_25"))</f>
        <v/>
      </c>
      <c r="AB406" s="28" t="str">
        <f t="array" ref="AB406">IF($I405="","",XLOOKUP(LOWER(XLOOKUP($B406,Derived_Variables!$A:$A,Derived_Variables!$T:$T,"Standard"))&amp;"_sph_step",Calibration!$B:$B,Calibration!$C:$C,0.25))</f>
        <v/>
      </c>
      <c r="AC406" s="28" t="str">
        <f t="array" ref="AC406">IF($I405="","",XLOOKUP(LOWER(XLOOKUP($B406,Derived_Variables!$A:$A,Derived_Variables!$T:$T,"Standard"))&amp;"_cyl_step",Calibration!$B:$B,Calibration!$C:$C,0.25))</f>
        <v/>
      </c>
      <c r="AD406" s="28" t="str">
        <f t="array" ref="AD406">IF($I405="","",IF(OR(C406="E",C406="H"),LET(startStep,XLOOKUP("axis_start_step",Calibration!$B:$B,Calibration!$C:$C,5),step1,XLOOKUP("axis_reversal_step_1",Calibration!$B:$B,Calibration!$C:$C,3),step2,XLOOKUP("axis_reversal_step_2",Calibration!$B:$B,Calibration!$C:$C,1),IF(OR(C405&lt;&gt;C406,AZ406="",AZ406="SAME",AZ406="CANT_TELL",I406="",I406="SAME",I406="CANT_TELL"),startStep,IF(OR(AND(AZ406="BETTER_1",I406="BETTER_2"),AND(AZ406="BETTER_2",I406="BETTER_1")),IF(AD405&gt;step1,step1,step2),AD405))),0))</f>
        <v/>
      </c>
      <c r="AE406" s="28" t="str">
        <f t="array" ref="AE406">IF($I405="","",XLOOKUP($B406,Derived_Variables!$A:$A,Derived_Variables!$AD:$AD,"No_Fog"))</f>
        <v/>
      </c>
      <c r="AF406" s="28" t="str">
        <f t="array" ref="AF406">IF($I405="","",XLOOKUP($B406,Derived_Variables!$A:$A,Derived_Variables!$AE:$AE,0))</f>
        <v/>
      </c>
      <c r="AG406" s="28" t="str">
        <f t="array" ref="AG406">IF($I405="","",XLOOKUP($B406,Derived_Variables!$A:$A,Derived_Variables!$AF:$AF,""))</f>
        <v/>
      </c>
      <c r="AH406" s="28" t="str">
        <f t="array" ref="AH406">IF($I405="","",XLOOKUP($B406,Derived_Variables!$A:$A,Derived_Variables!$AG:$AG,""))</f>
        <v/>
      </c>
      <c r="AI406" s="28" t="str">
        <f t="array" ref="AI406">IF($I405="","",XLOOKUP($B406,Derived_Variables!$A:$A,Derived_Variables!$AC:$AC,"Medium"))</f>
        <v/>
      </c>
      <c r="AJ406" s="28" t="str">
        <f t="array" ref="AJ406">IF($I405="","",XLOOKUP($B406,Derived_Variables!$A:$A,Derived_Variables!$Y:$Y,FALSE))</f>
        <v/>
      </c>
      <c r="AK406" s="28" t="str">
        <f t="array" ref="AK406">IF($I405="","",XLOOKUP($B406,Derived_Variables!$A:$A,Derived_Variables!$AA:$AA,"Normal"))</f>
        <v/>
      </c>
      <c r="AL406" s="28" t="str">
        <f t="array" ref="AL406">IF($I405="","",XLOOKUP($B406,Derived_Variables!$A:$A,Derived_Variables!$AB:$AB,"Normal"))</f>
        <v/>
      </c>
      <c r="AM406" s="28" t="str">
        <f t="array" ref="AM406">IF($I406="","",IFS(C406="B",IF(OR(I406="NOT_READABLE",I406="BLURRY"),-AB406,0),C406="G",IFS(I406="RED_CLEARER",XLOOKUP("duochrome_red_step",Calibration!$B:$B,Calibration!$C:$C,-0.25),I406="GREEN_CLEARER",XLOOKUP("duochrome_green_step",Calibration!$B:$B,Calibration!$C:$C,0.25),I406="EQUAL",IF(XLOOKUP($B406,Derived_Variables!$A:$A,Derived_Variables!$S:$S,"Neutral")="Undercorrect",XLOOKUP("undercorrect_step",Calibration!$B:$B,Calibration!$C:$C,0.25),IF(XLOOKUP($B406,Derived_Variables!$A:$A,Derived_Variables!$S:$S,"Neutral")="Overcorrect",-XLOOKUP("overcorrect_step",Calibration!$B:$B,Calibration!$C:$C,0.25),0)),TRUE,0),C406="K",IF(I406="TOP_CLEARER",XLOOKUP("bino_balance_step",Calibration!$B:$B,Calibration!$C:$C,0.25),0),TRUE,0))</f>
        <v/>
      </c>
      <c r="AN406" s="28" t="str">
        <f t="shared" si="10"/>
        <v/>
      </c>
      <c r="AO406" s="28" t="str">
        <f t="shared" si="11"/>
        <v/>
      </c>
      <c r="AP406" s="28" t="str">
        <f t="array" ref="AP406">IF($I406="","",IFS(C406="D",IF(OR(I406="NOT_READABLE",I406="BLURRY"),-AB406,0),C406="J",IFS(I406="RED_CLEARER",XLOOKUP("duochrome_red_step",Calibration!$B:$B,Calibration!$C:$C,-0.25),I406="GREEN_CLEARER",XLOOKUP("duochrome_green_step",Calibration!$B:$B,Calibration!$C:$C,0.25),I406="EQUAL",IF(XLOOKUP($B406,Derived_Variables!$A:$A,Derived_Variables!$S:$S,"Neutral")="Undercorrect",XLOOKUP("undercorrect_step",Calibration!$B:$B,Calibration!$C:$C,0.25),IF(XLOOKUP($B406,Derived_Variables!$A:$A,Derived_Variables!$S:$S,"Neutral")="Overcorrect",-XLOOKUP("overcorrect_step",Calibration!$B:$B,Calibration!$C:$C,0.25),0)),TRUE,0),C406="K",IF(I406="BOTTOM_CLEARER",XLOOKUP("bino_balance_step",Calibration!$B:$B,Calibration!$C:$C,0.25),0),TRUE,0))</f>
        <v/>
      </c>
      <c r="AQ406" s="28" t="str">
        <f t="shared" si="12"/>
        <v/>
      </c>
      <c r="AR406" s="28" t="str">
        <f t="shared" si="13"/>
        <v/>
      </c>
      <c r="AS406" s="28" t="str">
        <f t="array" ref="AS406">IF($I406="","",IF(C406="P",IF(OR(I406="NOT_READABLE",I406="BLURRY"),XLOOKUP("near_add_step",Calibration!$B:$B,Calibration!$C:$C,0.25),0),IF(C406="R",IF(I406="NOT_CLEAR",XLOOKUP("near_add_step",Calibration!$B:$B,Calibration!$C:$C,0.25),0),0)))</f>
        <v/>
      </c>
      <c r="AT406" s="28" t="str">
        <f t="array" ref="AT406">IF($I406="","",IF(C406="Q",IF(OR(I406="NOT_READABLE",I406="BLURRY"),XLOOKUP("near_add_step",Calibration!$B:$B,Calibration!$C:$C,0.25),0),IF(C406="R",IF(I406="NOT_CLEAR",XLOOKUP("near_add_step",Calibration!$B:$B,Calibration!$C:$C,0.25),0),0)))</f>
        <v/>
      </c>
      <c r="AU406" s="28" t="str">
        <f t="array" ref="AU406">IF($I406="","",IF(G406="SNELLEN_FEET",IF(I406="READABLE",IFERROR(XLOOKUP(XLOOKUP(R406,Chart_Scale_Distance!B:B,Chart_Scale_Distance!A:A)+1,Chart_Scale_Distance!A:A,Chart_Scale_Distance!B:B),R406),R406),R406))</f>
        <v/>
      </c>
      <c r="AV406" s="28" t="str">
        <f t="array" ref="AV406">IF($I405="","",IFERROR(XLOOKUP(R406,Chart_Scale_Distance!$B:$B,Chart_Scale_Distance!$A:$A,""),""))</f>
        <v/>
      </c>
      <c r="AW406" s="28" t="str">
        <f t="array" ref="AW406">IF($I405="","",IFERROR(XLOOKUP(AA406,Chart_Scale_Distance!$B:$B,Chart_Scale_Distance!$A:$A,""),""))</f>
        <v/>
      </c>
      <c r="AX406" s="28" t="str">
        <f t="shared" si="14"/>
        <v/>
      </c>
      <c r="AY406" s="28" t="str">
        <f t="shared" si="15"/>
        <v/>
      </c>
      <c r="AZ406" s="28" t="str">
        <f t="shared" si="16"/>
        <v/>
      </c>
      <c r="BA406" s="28" t="str">
        <f t="shared" si="17"/>
        <v/>
      </c>
      <c r="BB406" s="28" t="str">
        <f t="shared" si="18"/>
        <v/>
      </c>
      <c r="BC406" s="28" t="str">
        <f t="array" ref="BC406">IF($I406="","",LET(
conf,AI406,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duoMax,XLOOKUP($B406,Derived_Variables!$A:$A,Derived_Variables!$AI:$AI,4),
axisTol,XLOOKUP($B406,Derived_Variables!$A:$A,Derived_Variables!$W:$W,1),
maxStart,XLOOKUP($B406,Derived_Variables!$A:$A,Derived_Variables!$U:$U,1.25),
maxAR,XLOOKUP($B406,Derived_Variables!$A:$A,Derived_Variables!$V:$V,3),
anom,XLOOKUP($B406,Derived_Variables!$A:$A,Derived_Variables!$Z:$Z,FALSE),
reStart,XLOOKUP($B406,Derived_Variables!$A:$A,Derived_Variables!$K:$K,0),
leStart,XLOOKUP($B406,Derived_Variables!$A:$A,Derived_Variables!$N:$N,0),
reAR,XLOOKUP($B406,AR_Input!$A:$A,AR_Input!$B:$B,reStart),
leAR,XLOOKUP($B406,AR_Input!$A:$A,AR_Input!$E:$E,leStart),
reEsc,AND(anom,OR(ABS((S406+AM406)-reStart)&gt;maxStart,ABS((S406+AM406)-reAR)&gt;maxAR)),
leEsc,AND(anom,OR(ABS((V406+AP406)-leStart)&gt;maxStart,ABS((V406+AP406)-leAR)&gt;maxAR)),
phaseMax,IFS(
 AK406="Fast",
   IFS(
     OR(C406="B",C406="D"),XLOOKUP("timeout_coarse_fast",Calibration!$B:$B,Calibration!$C:$C,24),
     OR(C406="E",C406="F",C406="H",C406="I"),XLOOKUP("timeout_jcc_fast",Calibration!$B:$B,Calibration!$C:$C,10),
     OR(C406="G",C406="J"),XLOOKUP("timeout_duochrome_fast",Calibration!$B:$B,Calibration!$C:$C,8),
     C406="K",XLOOKUP("timeout_bino_fast",Calibration!$B:$B,Calibration!$C:$C,10),
     OR(C406="P",C406="Q",C406="R"),XLOOKUP("timeout_near_fast",Calibration!$B:$B,Calibration!$C:$C,16),
     TRUE,XLOOKUP("timeout_coarse_fast",Calibration!$B:$B,Calibration!$C:$C,24)
   ),
 AK406="Normal",
   IFS(
     OR(C406="B",C406="D"),XLOOKUP("timeout_coarse_normal",Calibration!$B:$B,Calibration!$C:$C,36),
     OR(C406="E",C406="F",C406="H",C406="I"),XLOOKUP("timeout_jcc_normal",Calibration!$B:$B,Calibration!$C:$C,14),
     OR(C406="G",C406="J"),XLOOKUP("timeout_duochrome_normal",Calibration!$B:$B,Calibration!$C:$C,10),
     C406="K",XLOOKUP("timeout_bino_normal",Calibration!$B:$B,Calibration!$C:$C,14),
     OR(C406="P",C406="Q",C406="R"),XLOOKUP("timeout_near_normal",Calibration!$B:$B,Calibration!$C:$C,22),
     TRUE,XLOOKUP("timeout_coarse_normal",Calibration!$B:$B,Calibration!$C:$C,36)
   ),
 TRUE,
   IFS(
     OR(C406="B",C406="D"),XLOOKUP("timeout_coarse_slow",Calibration!$B:$B,Calibration!$C:$C,48),
     OR(C406="E",C406="F",C406="H",C406="I"),XLOOKUP("timeout_jcc_slow",Calibration!$B:$B,Calibration!$C:$C,18),
     OR(C406="G",C406="J"),XLOOKUP("timeout_duochrome_slow",Calibration!$B:$B,Calibration!$C:$C,12),
     C406="K",XLOOKUP("timeout_bino_slow",Calibration!$B:$B,Calibration!$C:$C,18),
     OR(C406="P",C406="Q",C406="R"),XLOOKUP("timeout_near_slow",Calibration!$B:$B,Calibration!$C:$C,28),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AJ406=TRUE,"ESCALATE",
C406="A",
IF(OR(I406="NOT_READABLE",I406="BLURRY",AND(R406="20_20_20",I406="READABLE")),"B","A"),
C406="B",
IF(reEsc,"ESCALATE",IF(AY406&gt;=phaseMax,"ESCALATE",IF(AND(AV406&gt;=AW406,I406="READABLE"),"E","B"))),
C406="E",
IF(AY406&gt;=phaseMax,"ESCALATE",IF(OR(I406="SAME",I406="CANT_TELL",AD406&lt;axisTol),"F","E")),
C406="F",
IF(AY406&gt;=phaseMax,"ESCALATE",IF(AX406&gt;=powerSameN,"G","F")),
C406="G",
IF(AY406&gt;=phaseMax,"ESCALATE",IF(OR(AX406&gt;=duoEqualN,BB406&gt;=duoMax),"D","G")),
C406="D",
IF(leEsc,"ESCALATE",IF(AY406&gt;=phaseMax,"ESCALATE",IF(AND(AV406&gt;=AW406,I406="READABLE"),"H","D"))),
C406="H",
IF(AY406&gt;=phaseMax,"ESCALATE",IF(OR(I406="SAME",I406="CANT_TELL",AD406&lt;axisTol),"I","H")),
C406="I",
IF(AY406&gt;=phaseMax,"ESCALATE",IF(AX406&gt;=powerSameN,"J","I")),
C406="J",
IF(AY406&gt;=phaseMax,"ESCALATE",IF(OR(AX406&gt;=duoEqualN,BB406&gt;=duoMax),"K","J")),
C406="K",
IF(AY406&gt;=phaseMax,"ESCALATE",IF(AX406&gt;=binoSameN,IF(XLOOKUP($B406,Derived_Variables!$A:$A,Derived_Variables!$AJ:$AJ,FALSE)=TRUE,"P","END"),"K")),
C406="P",
IF(AY406&gt;=phaseMax,"ESCALATE",IF(OR(I406="READABLE",I406="SAME"),"Q","P")),
C406="Q",
IF(AY406&gt;=phaseMax,"ESCALATE",IF(OR(I406="READABLE",I406="SAME"),"R","Q")),
C406="R",
IF(AY406&gt;=phaseMax,"ESCALATE",IF(OR(I406=nearTarget,I406="SAME"),"END","R")),
TRUE,"END"
)))</f>
        <v/>
      </c>
      <c r="BD406" s="28" t="b">
        <f t="shared" si="19"/>
        <v>0</v>
      </c>
    </row>
    <row r="407" ht="15.75" customHeight="1">
      <c r="A407" s="28">
        <f t="shared" si="3"/>
        <v>406</v>
      </c>
      <c r="B407" s="28">
        <f t="shared" si="4"/>
        <v>6</v>
      </c>
      <c r="C407" s="28" t="str">
        <f t="shared" si="5"/>
        <v/>
      </c>
      <c r="D407" s="28" t="str">
        <f t="array" ref="D407">IF($I406="","",XLOOKUP(C407,FSM_State_Map!A:A,FSM_State_Map!B:B,""))</f>
        <v/>
      </c>
      <c r="E407" s="28" t="str">
        <f t="array" ref="E407">IF($I406="","",XLOOKUP(C407,FSM_State_Map!A:A,FSM_State_Map!C:C,""))</f>
        <v/>
      </c>
      <c r="F407" s="28" t="str">
        <f t="array" ref="F407">IF($I406="","",XLOOKUP(E407,Phase_UI_Map!A:A,Phase_UI_Map!B:B,""))</f>
        <v/>
      </c>
      <c r="G407" s="28" t="str">
        <f t="array" ref="G407">IF($I406="","",XLOOKUP(E407,Phase_UI_Map!A:A,Phase_UI_Map!C:C,""))</f>
        <v/>
      </c>
      <c r="H407" s="28" t="str">
        <f t="array" ref="H407">IF($I406="","",XLOOKUP(E407,Phase_UI_Map!A:A,Phase_UI_Map!D:D,""))</f>
        <v/>
      </c>
      <c r="I407" s="29"/>
      <c r="J407" s="28" t="str">
        <f>IFERROR(__xludf.DUMMYFUNCTION("IF($I406="""","""",IFERROR(INDEX(FILTER(Response_Lists!$B:$B,Response_Lists!$A:$A=$H407),1),""""))"),"")</f>
        <v/>
      </c>
      <c r="K407" s="28" t="str">
        <f>IFERROR(__xludf.DUMMYFUNCTION("IF($I406="""","""",IFERROR(INDEX(FILTER(Response_Lists!$B:$B,Response_Lists!$A:$A=$H407),2),""""))"),"")</f>
        <v/>
      </c>
      <c r="L407" s="28" t="str">
        <f>IFERROR(__xludf.DUMMYFUNCTION("IF($I406="""","""",IFERROR(INDEX(FILTER(Response_Lists!$B:$B,Response_Lists!$A:$A=$H407),3),""""))"),"")</f>
        <v/>
      </c>
      <c r="M407" s="28" t="str">
        <f>IFERROR(__xludf.DUMMYFUNCTION("IF($I406="""","""",IFERROR(INDEX(FILTER(Response_Lists!$B:$B,Response_Lists!$A:$A=$H407),4),""""))"),"")</f>
        <v/>
      </c>
      <c r="N407" s="28" t="str">
        <f>IFERROR(__xludf.DUMMYFUNCTION("IF($I406="""","""",IFERROR(INDEX(FILTER(Response_Lists!$B:$B,Response_Lists!$A:$A=$H407),5),""""))"),"")</f>
        <v/>
      </c>
      <c r="O407" s="28" t="str">
        <f>IFERROR(__xludf.DUMMYFUNCTION("IF($I406="""","""",IFERROR(INDEX(FILTER(Response_Lists!$B:$B,Response_Lists!$A:$A=$H407),6),""""))"),"")</f>
        <v/>
      </c>
      <c r="P407" s="28" t="str">
        <f t="shared" si="6"/>
        <v/>
      </c>
      <c r="Q407" s="28" t="str">
        <f t="array" ref="Q407">IF($I406="","",XLOOKUP(C407,FSM_State_Map!A:A,FSM_State_Map!D:D,""))</f>
        <v/>
      </c>
      <c r="R407" s="28" t="str">
        <f t="shared" si="7"/>
        <v/>
      </c>
      <c r="S407" s="28" t="str">
        <f t="array" ref="S407">IF($I406="","",
IF(
  AND(C407="B",C406&lt;&gt;"B"),
  XLOOKUP($B407,Derived_Variables!$A:$A,Derived_Variables!$K:$K,0)
  + XLOOKUP($B407,Derived_Variables!$A:$A,Derived_Variables!$AE:$AE,0),
  S406+AM406
))</f>
        <v/>
      </c>
      <c r="T407" s="28" t="str">
        <f t="shared" ref="T407:U407" si="824">IF($I406="","",T406+AN406)</f>
        <v/>
      </c>
      <c r="U407" s="28" t="str">
        <f t="shared" si="824"/>
        <v/>
      </c>
      <c r="V407" s="28" t="str">
        <f t="array" ref="V407">IF($I406="","",
IF(
  AND(C407="D",C406&lt;&gt;"D"),
  XLOOKUP($B407,Derived_Variables!$A:$A,Derived_Variables!$N:$N,0)
  + XLOOKUP($B407,Derived_Variables!$A:$A,Derived_Variables!$AE:$AE,0),
  V406+AP406
))</f>
        <v/>
      </c>
      <c r="W407" s="28" t="str">
        <f t="shared" ref="W407:X407" si="825">IF($I406="","",W406+AQ406)</f>
        <v/>
      </c>
      <c r="X407" s="28" t="str">
        <f t="shared" si="825"/>
        <v/>
      </c>
      <c r="Y407" s="28" t="str">
        <f t="array" ref="Y407">IF($I406="","",IF(AND(C407="P",C406&lt;&gt;"P"),IFERROR(XLOOKUP($B407,Lenso_Input!$A:$A,Lenso_Input!$E:$E,0),0),Y406+AS406))</f>
        <v/>
      </c>
      <c r="Z407" s="28" t="str">
        <f t="array" ref="Z407">IF($I406="","",IF(AND(C407="Q",C406&lt;&gt;"Q"),IFERROR(XLOOKUP($B407,Lenso_Input!$A:$A,Lenso_Input!$I:$I,0),0),Z406+AT406))</f>
        <v/>
      </c>
      <c r="AA407" s="28" t="str">
        <f t="array" ref="AA407">IF($I406="","",IF(XLOOKUP($B407,Derived_Variables!$A:$A,Derived_Variables!$R:$R,"6/6_target")="6/6_target","20_20_20","40_30_25"))</f>
        <v/>
      </c>
      <c r="AB407" s="28" t="str">
        <f t="array" ref="AB407">IF($I406="","",XLOOKUP(LOWER(XLOOKUP($B407,Derived_Variables!$A:$A,Derived_Variables!$T:$T,"Standard"))&amp;"_sph_step",Calibration!$B:$B,Calibration!$C:$C,0.25))</f>
        <v/>
      </c>
      <c r="AC407" s="28" t="str">
        <f t="array" ref="AC407">IF($I406="","",XLOOKUP(LOWER(XLOOKUP($B407,Derived_Variables!$A:$A,Derived_Variables!$T:$T,"Standard"))&amp;"_cyl_step",Calibration!$B:$B,Calibration!$C:$C,0.25))</f>
        <v/>
      </c>
      <c r="AD407" s="28" t="str">
        <f t="array" ref="AD407">IF($I406="","",IF(OR(C407="E",C407="H"),LET(startStep,XLOOKUP("axis_start_step",Calibration!$B:$B,Calibration!$C:$C,5),step1,XLOOKUP("axis_reversal_step_1",Calibration!$B:$B,Calibration!$C:$C,3),step2,XLOOKUP("axis_reversal_step_2",Calibration!$B:$B,Calibration!$C:$C,1),IF(OR(C406&lt;&gt;C407,AZ407="",AZ407="SAME",AZ407="CANT_TELL",I407="",I407="SAME",I407="CANT_TELL"),startStep,IF(OR(AND(AZ407="BETTER_1",I407="BETTER_2"),AND(AZ407="BETTER_2",I407="BETTER_1")),IF(AD406&gt;step1,step1,step2),AD406))),0))</f>
        <v/>
      </c>
      <c r="AE407" s="28" t="str">
        <f t="array" ref="AE407">IF($I406="","",XLOOKUP($B407,Derived_Variables!$A:$A,Derived_Variables!$AD:$AD,"No_Fog"))</f>
        <v/>
      </c>
      <c r="AF407" s="28" t="str">
        <f t="array" ref="AF407">IF($I406="","",XLOOKUP($B407,Derived_Variables!$A:$A,Derived_Variables!$AE:$AE,0))</f>
        <v/>
      </c>
      <c r="AG407" s="28" t="str">
        <f t="array" ref="AG407">IF($I406="","",XLOOKUP($B407,Derived_Variables!$A:$A,Derived_Variables!$AF:$AF,""))</f>
        <v/>
      </c>
      <c r="AH407" s="28" t="str">
        <f t="array" ref="AH407">IF($I406="","",XLOOKUP($B407,Derived_Variables!$A:$A,Derived_Variables!$AG:$AG,""))</f>
        <v/>
      </c>
      <c r="AI407" s="28" t="str">
        <f t="array" ref="AI407">IF($I406="","",XLOOKUP($B407,Derived_Variables!$A:$A,Derived_Variables!$AC:$AC,"Medium"))</f>
        <v/>
      </c>
      <c r="AJ407" s="28" t="str">
        <f t="array" ref="AJ407">IF($I406="","",XLOOKUP($B407,Derived_Variables!$A:$A,Derived_Variables!$Y:$Y,FALSE))</f>
        <v/>
      </c>
      <c r="AK407" s="28" t="str">
        <f t="array" ref="AK407">IF($I406="","",XLOOKUP($B407,Derived_Variables!$A:$A,Derived_Variables!$AA:$AA,"Normal"))</f>
        <v/>
      </c>
      <c r="AL407" s="28" t="str">
        <f t="array" ref="AL407">IF($I406="","",XLOOKUP($B407,Derived_Variables!$A:$A,Derived_Variables!$AB:$AB,"Normal"))</f>
        <v/>
      </c>
      <c r="AM407" s="28" t="str">
        <f t="array" ref="AM407">IF($I407="","",IFS(C407="B",IF(OR(I407="NOT_READABLE",I407="BLURRY"),-AB407,0),C407="G",IFS(I407="RED_CLEARER",XLOOKUP("duochrome_red_step",Calibration!$B:$B,Calibration!$C:$C,-0.25),I407="GREEN_CLEARER",XLOOKUP("duochrome_green_step",Calibration!$B:$B,Calibration!$C:$C,0.25),I407="EQUAL",IF(XLOOKUP($B407,Derived_Variables!$A:$A,Derived_Variables!$S:$S,"Neutral")="Undercorrect",XLOOKUP("undercorrect_step",Calibration!$B:$B,Calibration!$C:$C,0.25),IF(XLOOKUP($B407,Derived_Variables!$A:$A,Derived_Variables!$S:$S,"Neutral")="Overcorrect",-XLOOKUP("overcorrect_step",Calibration!$B:$B,Calibration!$C:$C,0.25),0)),TRUE,0),C407="K",IF(I407="TOP_CLEARER",XLOOKUP("bino_balance_step",Calibration!$B:$B,Calibration!$C:$C,0.25),0),TRUE,0))</f>
        <v/>
      </c>
      <c r="AN407" s="28" t="str">
        <f t="shared" si="10"/>
        <v/>
      </c>
      <c r="AO407" s="28" t="str">
        <f t="shared" si="11"/>
        <v/>
      </c>
      <c r="AP407" s="28" t="str">
        <f t="array" ref="AP407">IF($I407="","",IFS(C407="D",IF(OR(I407="NOT_READABLE",I407="BLURRY"),-AB407,0),C407="J",IFS(I407="RED_CLEARER",XLOOKUP("duochrome_red_step",Calibration!$B:$B,Calibration!$C:$C,-0.25),I407="GREEN_CLEARER",XLOOKUP("duochrome_green_step",Calibration!$B:$B,Calibration!$C:$C,0.25),I407="EQUAL",IF(XLOOKUP($B407,Derived_Variables!$A:$A,Derived_Variables!$S:$S,"Neutral")="Undercorrect",XLOOKUP("undercorrect_step",Calibration!$B:$B,Calibration!$C:$C,0.25),IF(XLOOKUP($B407,Derived_Variables!$A:$A,Derived_Variables!$S:$S,"Neutral")="Overcorrect",-XLOOKUP("overcorrect_step",Calibration!$B:$B,Calibration!$C:$C,0.25),0)),TRUE,0),C407="K",IF(I407="BOTTOM_CLEARER",XLOOKUP("bino_balance_step",Calibration!$B:$B,Calibration!$C:$C,0.25),0),TRUE,0))</f>
        <v/>
      </c>
      <c r="AQ407" s="28" t="str">
        <f t="shared" si="12"/>
        <v/>
      </c>
      <c r="AR407" s="28" t="str">
        <f t="shared" si="13"/>
        <v/>
      </c>
      <c r="AS407" s="28" t="str">
        <f t="array" ref="AS407">IF($I407="","",IF(C407="P",IF(OR(I407="NOT_READABLE",I407="BLURRY"),XLOOKUP("near_add_step",Calibration!$B:$B,Calibration!$C:$C,0.25),0),IF(C407="R",IF(I407="NOT_CLEAR",XLOOKUP("near_add_step",Calibration!$B:$B,Calibration!$C:$C,0.25),0),0)))</f>
        <v/>
      </c>
      <c r="AT407" s="28" t="str">
        <f t="array" ref="AT407">IF($I407="","",IF(C407="Q",IF(OR(I407="NOT_READABLE",I407="BLURRY"),XLOOKUP("near_add_step",Calibration!$B:$B,Calibration!$C:$C,0.25),0),IF(C407="R",IF(I407="NOT_CLEAR",XLOOKUP("near_add_step",Calibration!$B:$B,Calibration!$C:$C,0.25),0),0)))</f>
        <v/>
      </c>
      <c r="AU407" s="28" t="str">
        <f t="array" ref="AU407">IF($I407="","",IF(G407="SNELLEN_FEET",IF(I407="READABLE",IFERROR(XLOOKUP(XLOOKUP(R407,Chart_Scale_Distance!B:B,Chart_Scale_Distance!A:A)+1,Chart_Scale_Distance!A:A,Chart_Scale_Distance!B:B),R407),R407),R407))</f>
        <v/>
      </c>
      <c r="AV407" s="28" t="str">
        <f t="array" ref="AV407">IF($I406="","",IFERROR(XLOOKUP(R407,Chart_Scale_Distance!$B:$B,Chart_Scale_Distance!$A:$A,""),""))</f>
        <v/>
      </c>
      <c r="AW407" s="28" t="str">
        <f t="array" ref="AW407">IF($I406="","",IFERROR(XLOOKUP(AA407,Chart_Scale_Distance!$B:$B,Chart_Scale_Distance!$A:$A,""),""))</f>
        <v/>
      </c>
      <c r="AX407" s="28" t="str">
        <f t="shared" si="14"/>
        <v/>
      </c>
      <c r="AY407" s="28" t="str">
        <f t="shared" si="15"/>
        <v/>
      </c>
      <c r="AZ407" s="28" t="str">
        <f t="shared" si="16"/>
        <v/>
      </c>
      <c r="BA407" s="28" t="str">
        <f t="shared" si="17"/>
        <v/>
      </c>
      <c r="BB407" s="28" t="str">
        <f t="shared" si="18"/>
        <v/>
      </c>
      <c r="BC407" s="28" t="str">
        <f t="array" ref="BC407">IF($I407="","",LET(
conf,AI407,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duoMax,XLOOKUP($B407,Derived_Variables!$A:$A,Derived_Variables!$AI:$AI,4),
axisTol,XLOOKUP($B407,Derived_Variables!$A:$A,Derived_Variables!$W:$W,1),
maxStart,XLOOKUP($B407,Derived_Variables!$A:$A,Derived_Variables!$U:$U,1.25),
maxAR,XLOOKUP($B407,Derived_Variables!$A:$A,Derived_Variables!$V:$V,3),
anom,XLOOKUP($B407,Derived_Variables!$A:$A,Derived_Variables!$Z:$Z,FALSE),
reStart,XLOOKUP($B407,Derived_Variables!$A:$A,Derived_Variables!$K:$K,0),
leStart,XLOOKUP($B407,Derived_Variables!$A:$A,Derived_Variables!$N:$N,0),
reAR,XLOOKUP($B407,AR_Input!$A:$A,AR_Input!$B:$B,reStart),
leAR,XLOOKUP($B407,AR_Input!$A:$A,AR_Input!$E:$E,leStart),
reEsc,AND(anom,OR(ABS((S407+AM407)-reStart)&gt;maxStart,ABS((S407+AM407)-reAR)&gt;maxAR)),
leEsc,AND(anom,OR(ABS((V407+AP407)-leStart)&gt;maxStart,ABS((V407+AP407)-leAR)&gt;maxAR)),
phaseMax,IFS(
 AK407="Fast",
   IFS(
     OR(C407="B",C407="D"),XLOOKUP("timeout_coarse_fast",Calibration!$B:$B,Calibration!$C:$C,24),
     OR(C407="E",C407="F",C407="H",C407="I"),XLOOKUP("timeout_jcc_fast",Calibration!$B:$B,Calibration!$C:$C,10),
     OR(C407="G",C407="J"),XLOOKUP("timeout_duochrome_fast",Calibration!$B:$B,Calibration!$C:$C,8),
     C407="K",XLOOKUP("timeout_bino_fast",Calibration!$B:$B,Calibration!$C:$C,10),
     OR(C407="P",C407="Q",C407="R"),XLOOKUP("timeout_near_fast",Calibration!$B:$B,Calibration!$C:$C,16),
     TRUE,XLOOKUP("timeout_coarse_fast",Calibration!$B:$B,Calibration!$C:$C,24)
   ),
 AK407="Normal",
   IFS(
     OR(C407="B",C407="D"),XLOOKUP("timeout_coarse_normal",Calibration!$B:$B,Calibration!$C:$C,36),
     OR(C407="E",C407="F",C407="H",C407="I"),XLOOKUP("timeout_jcc_normal",Calibration!$B:$B,Calibration!$C:$C,14),
     OR(C407="G",C407="J"),XLOOKUP("timeout_duochrome_normal",Calibration!$B:$B,Calibration!$C:$C,10),
     C407="K",XLOOKUP("timeout_bino_normal",Calibration!$B:$B,Calibration!$C:$C,14),
     OR(C407="P",C407="Q",C407="R"),XLOOKUP("timeout_near_normal",Calibration!$B:$B,Calibration!$C:$C,22),
     TRUE,XLOOKUP("timeout_coarse_normal",Calibration!$B:$B,Calibration!$C:$C,36)
   ),
 TRUE,
   IFS(
     OR(C407="B",C407="D"),XLOOKUP("timeout_coarse_slow",Calibration!$B:$B,Calibration!$C:$C,48),
     OR(C407="E",C407="F",C407="H",C407="I"),XLOOKUP("timeout_jcc_slow",Calibration!$B:$B,Calibration!$C:$C,18),
     OR(C407="G",C407="J"),XLOOKUP("timeout_duochrome_slow",Calibration!$B:$B,Calibration!$C:$C,12),
     C407="K",XLOOKUP("timeout_bino_slow",Calibration!$B:$B,Calibration!$C:$C,18),
     OR(C407="P",C407="Q",C407="R"),XLOOKUP("timeout_near_slow",Calibration!$B:$B,Calibration!$C:$C,28),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AJ407=TRUE,"ESCALATE",
C407="A",
IF(OR(I407="NOT_READABLE",I407="BLURRY",AND(R407="20_20_20",I407="READABLE")),"B","A"),
C407="B",
IF(reEsc,"ESCALATE",IF(AY407&gt;=phaseMax,"ESCALATE",IF(AND(AV407&gt;=AW407,I407="READABLE"),"E","B"))),
C407="E",
IF(AY407&gt;=phaseMax,"ESCALATE",IF(OR(I407="SAME",I407="CANT_TELL",AD407&lt;axisTol),"F","E")),
C407="F",
IF(AY407&gt;=phaseMax,"ESCALATE",IF(AX407&gt;=powerSameN,"G","F")),
C407="G",
IF(AY407&gt;=phaseMax,"ESCALATE",IF(OR(AX407&gt;=duoEqualN,BB407&gt;=duoMax),"D","G")),
C407="D",
IF(leEsc,"ESCALATE",IF(AY407&gt;=phaseMax,"ESCALATE",IF(AND(AV407&gt;=AW407,I407="READABLE"),"H","D"))),
C407="H",
IF(AY407&gt;=phaseMax,"ESCALATE",IF(OR(I407="SAME",I407="CANT_TELL",AD407&lt;axisTol),"I","H")),
C407="I",
IF(AY407&gt;=phaseMax,"ESCALATE",IF(AX407&gt;=powerSameN,"J","I")),
C407="J",
IF(AY407&gt;=phaseMax,"ESCALATE",IF(OR(AX407&gt;=duoEqualN,BB407&gt;=duoMax),"K","J")),
C407="K",
IF(AY407&gt;=phaseMax,"ESCALATE",IF(AX407&gt;=binoSameN,IF(XLOOKUP($B407,Derived_Variables!$A:$A,Derived_Variables!$AJ:$AJ,FALSE)=TRUE,"P","END"),"K")),
C407="P",
IF(AY407&gt;=phaseMax,"ESCALATE",IF(OR(I407="READABLE",I407="SAME"),"Q","P")),
C407="Q",
IF(AY407&gt;=phaseMax,"ESCALATE",IF(OR(I407="READABLE",I407="SAME"),"R","Q")),
C407="R",
IF(AY407&gt;=phaseMax,"ESCALATE",IF(OR(I407=nearTarget,I407="SAME"),"END","R")),
TRUE,"END"
)))</f>
        <v/>
      </c>
      <c r="BD407" s="28" t="b">
        <f t="shared" si="19"/>
        <v>0</v>
      </c>
    </row>
    <row r="408" ht="15.75" customHeight="1">
      <c r="A408" s="28">
        <f t="shared" si="3"/>
        <v>407</v>
      </c>
      <c r="B408" s="28">
        <f t="shared" si="4"/>
        <v>6</v>
      </c>
      <c r="C408" s="28" t="str">
        <f t="shared" si="5"/>
        <v/>
      </c>
      <c r="D408" s="28" t="str">
        <f t="array" ref="D408">IF($I407="","",XLOOKUP(C408,FSM_State_Map!A:A,FSM_State_Map!B:B,""))</f>
        <v/>
      </c>
      <c r="E408" s="28" t="str">
        <f t="array" ref="E408">IF($I407="","",XLOOKUP(C408,FSM_State_Map!A:A,FSM_State_Map!C:C,""))</f>
        <v/>
      </c>
      <c r="F408" s="28" t="str">
        <f t="array" ref="F408">IF($I407="","",XLOOKUP(E408,Phase_UI_Map!A:A,Phase_UI_Map!B:B,""))</f>
        <v/>
      </c>
      <c r="G408" s="28" t="str">
        <f t="array" ref="G408">IF($I407="","",XLOOKUP(E408,Phase_UI_Map!A:A,Phase_UI_Map!C:C,""))</f>
        <v/>
      </c>
      <c r="H408" s="28" t="str">
        <f t="array" ref="H408">IF($I407="","",XLOOKUP(E408,Phase_UI_Map!A:A,Phase_UI_Map!D:D,""))</f>
        <v/>
      </c>
      <c r="I408" s="29"/>
      <c r="J408" s="28" t="str">
        <f>IFERROR(__xludf.DUMMYFUNCTION("IF($I407="""","""",IFERROR(INDEX(FILTER(Response_Lists!$B:$B,Response_Lists!$A:$A=$H408),1),""""))"),"")</f>
        <v/>
      </c>
      <c r="K408" s="28" t="str">
        <f>IFERROR(__xludf.DUMMYFUNCTION("IF($I407="""","""",IFERROR(INDEX(FILTER(Response_Lists!$B:$B,Response_Lists!$A:$A=$H408),2),""""))"),"")</f>
        <v/>
      </c>
      <c r="L408" s="28" t="str">
        <f>IFERROR(__xludf.DUMMYFUNCTION("IF($I407="""","""",IFERROR(INDEX(FILTER(Response_Lists!$B:$B,Response_Lists!$A:$A=$H408),3),""""))"),"")</f>
        <v/>
      </c>
      <c r="M408" s="28" t="str">
        <f>IFERROR(__xludf.DUMMYFUNCTION("IF($I407="""","""",IFERROR(INDEX(FILTER(Response_Lists!$B:$B,Response_Lists!$A:$A=$H408),4),""""))"),"")</f>
        <v/>
      </c>
      <c r="N408" s="28" t="str">
        <f>IFERROR(__xludf.DUMMYFUNCTION("IF($I407="""","""",IFERROR(INDEX(FILTER(Response_Lists!$B:$B,Response_Lists!$A:$A=$H408),5),""""))"),"")</f>
        <v/>
      </c>
      <c r="O408" s="28" t="str">
        <f>IFERROR(__xludf.DUMMYFUNCTION("IF($I407="""","""",IFERROR(INDEX(FILTER(Response_Lists!$B:$B,Response_Lists!$A:$A=$H408),6),""""))"),"")</f>
        <v/>
      </c>
      <c r="P408" s="28" t="str">
        <f t="shared" si="6"/>
        <v/>
      </c>
      <c r="Q408" s="28" t="str">
        <f t="array" ref="Q408">IF($I407="","",XLOOKUP(C408,FSM_State_Map!A:A,FSM_State_Map!D:D,""))</f>
        <v/>
      </c>
      <c r="R408" s="28" t="str">
        <f t="shared" si="7"/>
        <v/>
      </c>
      <c r="S408" s="28" t="str">
        <f t="array" ref="S408">IF($I407="","",
IF(
  AND(C408="B",C407&lt;&gt;"B"),
  XLOOKUP($B408,Derived_Variables!$A:$A,Derived_Variables!$K:$K,0)
  + XLOOKUP($B408,Derived_Variables!$A:$A,Derived_Variables!$AE:$AE,0),
  S407+AM407
))</f>
        <v/>
      </c>
      <c r="T408" s="28" t="str">
        <f t="shared" ref="T408:U408" si="826">IF($I407="","",T407+AN407)</f>
        <v/>
      </c>
      <c r="U408" s="28" t="str">
        <f t="shared" si="826"/>
        <v/>
      </c>
      <c r="V408" s="28" t="str">
        <f t="array" ref="V408">IF($I407="","",
IF(
  AND(C408="D",C407&lt;&gt;"D"),
  XLOOKUP($B408,Derived_Variables!$A:$A,Derived_Variables!$N:$N,0)
  + XLOOKUP($B408,Derived_Variables!$A:$A,Derived_Variables!$AE:$AE,0),
  V407+AP407
))</f>
        <v/>
      </c>
      <c r="W408" s="28" t="str">
        <f t="shared" ref="W408:X408" si="827">IF($I407="","",W407+AQ407)</f>
        <v/>
      </c>
      <c r="X408" s="28" t="str">
        <f t="shared" si="827"/>
        <v/>
      </c>
      <c r="Y408" s="28" t="str">
        <f t="array" ref="Y408">IF($I407="","",IF(AND(C408="P",C407&lt;&gt;"P"),IFERROR(XLOOKUP($B408,Lenso_Input!$A:$A,Lenso_Input!$E:$E,0),0),Y407+AS407))</f>
        <v/>
      </c>
      <c r="Z408" s="28" t="str">
        <f t="array" ref="Z408">IF($I407="","",IF(AND(C408="Q",C407&lt;&gt;"Q"),IFERROR(XLOOKUP($B408,Lenso_Input!$A:$A,Lenso_Input!$I:$I,0),0),Z407+AT407))</f>
        <v/>
      </c>
      <c r="AA408" s="28" t="str">
        <f t="array" ref="AA408">IF($I407="","",IF(XLOOKUP($B408,Derived_Variables!$A:$A,Derived_Variables!$R:$R,"6/6_target")="6/6_target","20_20_20","40_30_25"))</f>
        <v/>
      </c>
      <c r="AB408" s="28" t="str">
        <f t="array" ref="AB408">IF($I407="","",XLOOKUP(LOWER(XLOOKUP($B408,Derived_Variables!$A:$A,Derived_Variables!$T:$T,"Standard"))&amp;"_sph_step",Calibration!$B:$B,Calibration!$C:$C,0.25))</f>
        <v/>
      </c>
      <c r="AC408" s="28" t="str">
        <f t="array" ref="AC408">IF($I407="","",XLOOKUP(LOWER(XLOOKUP($B408,Derived_Variables!$A:$A,Derived_Variables!$T:$T,"Standard"))&amp;"_cyl_step",Calibration!$B:$B,Calibration!$C:$C,0.25))</f>
        <v/>
      </c>
      <c r="AD408" s="28" t="str">
        <f t="array" ref="AD408">IF($I407="","",IF(OR(C408="E",C408="H"),LET(startStep,XLOOKUP("axis_start_step",Calibration!$B:$B,Calibration!$C:$C,5),step1,XLOOKUP("axis_reversal_step_1",Calibration!$B:$B,Calibration!$C:$C,3),step2,XLOOKUP("axis_reversal_step_2",Calibration!$B:$B,Calibration!$C:$C,1),IF(OR(C407&lt;&gt;C408,AZ408="",AZ408="SAME",AZ408="CANT_TELL",I408="",I408="SAME",I408="CANT_TELL"),startStep,IF(OR(AND(AZ408="BETTER_1",I408="BETTER_2"),AND(AZ408="BETTER_2",I408="BETTER_1")),IF(AD407&gt;step1,step1,step2),AD407))),0))</f>
        <v/>
      </c>
      <c r="AE408" s="28" t="str">
        <f t="array" ref="AE408">IF($I407="","",XLOOKUP($B408,Derived_Variables!$A:$A,Derived_Variables!$AD:$AD,"No_Fog"))</f>
        <v/>
      </c>
      <c r="AF408" s="28" t="str">
        <f t="array" ref="AF408">IF($I407="","",XLOOKUP($B408,Derived_Variables!$A:$A,Derived_Variables!$AE:$AE,0))</f>
        <v/>
      </c>
      <c r="AG408" s="28" t="str">
        <f t="array" ref="AG408">IF($I407="","",XLOOKUP($B408,Derived_Variables!$A:$A,Derived_Variables!$AF:$AF,""))</f>
        <v/>
      </c>
      <c r="AH408" s="28" t="str">
        <f t="array" ref="AH408">IF($I407="","",XLOOKUP($B408,Derived_Variables!$A:$A,Derived_Variables!$AG:$AG,""))</f>
        <v/>
      </c>
      <c r="AI408" s="28" t="str">
        <f t="array" ref="AI408">IF($I407="","",XLOOKUP($B408,Derived_Variables!$A:$A,Derived_Variables!$AC:$AC,"Medium"))</f>
        <v/>
      </c>
      <c r="AJ408" s="28" t="str">
        <f t="array" ref="AJ408">IF($I407="","",XLOOKUP($B408,Derived_Variables!$A:$A,Derived_Variables!$Y:$Y,FALSE))</f>
        <v/>
      </c>
      <c r="AK408" s="28" t="str">
        <f t="array" ref="AK408">IF($I407="","",XLOOKUP($B408,Derived_Variables!$A:$A,Derived_Variables!$AA:$AA,"Normal"))</f>
        <v/>
      </c>
      <c r="AL408" s="28" t="str">
        <f t="array" ref="AL408">IF($I407="","",XLOOKUP($B408,Derived_Variables!$A:$A,Derived_Variables!$AB:$AB,"Normal"))</f>
        <v/>
      </c>
      <c r="AM408" s="28" t="str">
        <f t="array" ref="AM408">IF($I408="","",IFS(C408="B",IF(OR(I408="NOT_READABLE",I408="BLURRY"),-AB408,0),C408="G",IFS(I408="RED_CLEARER",XLOOKUP("duochrome_red_step",Calibration!$B:$B,Calibration!$C:$C,-0.25),I408="GREEN_CLEARER",XLOOKUP("duochrome_green_step",Calibration!$B:$B,Calibration!$C:$C,0.25),I408="EQUAL",IF(XLOOKUP($B408,Derived_Variables!$A:$A,Derived_Variables!$S:$S,"Neutral")="Undercorrect",XLOOKUP("undercorrect_step",Calibration!$B:$B,Calibration!$C:$C,0.25),IF(XLOOKUP($B408,Derived_Variables!$A:$A,Derived_Variables!$S:$S,"Neutral")="Overcorrect",-XLOOKUP("overcorrect_step",Calibration!$B:$B,Calibration!$C:$C,0.25),0)),TRUE,0),C408="K",IF(I408="TOP_CLEARER",XLOOKUP("bino_balance_step",Calibration!$B:$B,Calibration!$C:$C,0.25),0),TRUE,0))</f>
        <v/>
      </c>
      <c r="AN408" s="28" t="str">
        <f t="shared" si="10"/>
        <v/>
      </c>
      <c r="AO408" s="28" t="str">
        <f t="shared" si="11"/>
        <v/>
      </c>
      <c r="AP408" s="28" t="str">
        <f t="array" ref="AP408">IF($I408="","",IFS(C408="D",IF(OR(I408="NOT_READABLE",I408="BLURRY"),-AB408,0),C408="J",IFS(I408="RED_CLEARER",XLOOKUP("duochrome_red_step",Calibration!$B:$B,Calibration!$C:$C,-0.25),I408="GREEN_CLEARER",XLOOKUP("duochrome_green_step",Calibration!$B:$B,Calibration!$C:$C,0.25),I408="EQUAL",IF(XLOOKUP($B408,Derived_Variables!$A:$A,Derived_Variables!$S:$S,"Neutral")="Undercorrect",XLOOKUP("undercorrect_step",Calibration!$B:$B,Calibration!$C:$C,0.25),IF(XLOOKUP($B408,Derived_Variables!$A:$A,Derived_Variables!$S:$S,"Neutral")="Overcorrect",-XLOOKUP("overcorrect_step",Calibration!$B:$B,Calibration!$C:$C,0.25),0)),TRUE,0),C408="K",IF(I408="BOTTOM_CLEARER",XLOOKUP("bino_balance_step",Calibration!$B:$B,Calibration!$C:$C,0.25),0),TRUE,0))</f>
        <v/>
      </c>
      <c r="AQ408" s="28" t="str">
        <f t="shared" si="12"/>
        <v/>
      </c>
      <c r="AR408" s="28" t="str">
        <f t="shared" si="13"/>
        <v/>
      </c>
      <c r="AS408" s="28" t="str">
        <f t="array" ref="AS408">IF($I408="","",IF(C408="P",IF(OR(I408="NOT_READABLE",I408="BLURRY"),XLOOKUP("near_add_step",Calibration!$B:$B,Calibration!$C:$C,0.25),0),IF(C408="R",IF(I408="NOT_CLEAR",XLOOKUP("near_add_step",Calibration!$B:$B,Calibration!$C:$C,0.25),0),0)))</f>
        <v/>
      </c>
      <c r="AT408" s="28" t="str">
        <f t="array" ref="AT408">IF($I408="","",IF(C408="Q",IF(OR(I408="NOT_READABLE",I408="BLURRY"),XLOOKUP("near_add_step",Calibration!$B:$B,Calibration!$C:$C,0.25),0),IF(C408="R",IF(I408="NOT_CLEAR",XLOOKUP("near_add_step",Calibration!$B:$B,Calibration!$C:$C,0.25),0),0)))</f>
        <v/>
      </c>
      <c r="AU408" s="28" t="str">
        <f t="array" ref="AU408">IF($I408="","",IF(G408="SNELLEN_FEET",IF(I408="READABLE",IFERROR(XLOOKUP(XLOOKUP(R408,Chart_Scale_Distance!B:B,Chart_Scale_Distance!A:A)+1,Chart_Scale_Distance!A:A,Chart_Scale_Distance!B:B),R408),R408),R408))</f>
        <v/>
      </c>
      <c r="AV408" s="28" t="str">
        <f t="array" ref="AV408">IF($I407="","",IFERROR(XLOOKUP(R408,Chart_Scale_Distance!$B:$B,Chart_Scale_Distance!$A:$A,""),""))</f>
        <v/>
      </c>
      <c r="AW408" s="28" t="str">
        <f t="array" ref="AW408">IF($I407="","",IFERROR(XLOOKUP(AA408,Chart_Scale_Distance!$B:$B,Chart_Scale_Distance!$A:$A,""),""))</f>
        <v/>
      </c>
      <c r="AX408" s="28" t="str">
        <f t="shared" si="14"/>
        <v/>
      </c>
      <c r="AY408" s="28" t="str">
        <f t="shared" si="15"/>
        <v/>
      </c>
      <c r="AZ408" s="28" t="str">
        <f t="shared" si="16"/>
        <v/>
      </c>
      <c r="BA408" s="28" t="str">
        <f t="shared" si="17"/>
        <v/>
      </c>
      <c r="BB408" s="28" t="str">
        <f t="shared" si="18"/>
        <v/>
      </c>
      <c r="BC408" s="28" t="str">
        <f t="array" ref="BC408">IF($I408="","",LET(
conf,AI408,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duoMax,XLOOKUP($B408,Derived_Variables!$A:$A,Derived_Variables!$AI:$AI,4),
axisTol,XLOOKUP($B408,Derived_Variables!$A:$A,Derived_Variables!$W:$W,1),
maxStart,XLOOKUP($B408,Derived_Variables!$A:$A,Derived_Variables!$U:$U,1.25),
maxAR,XLOOKUP($B408,Derived_Variables!$A:$A,Derived_Variables!$V:$V,3),
anom,XLOOKUP($B408,Derived_Variables!$A:$A,Derived_Variables!$Z:$Z,FALSE),
reStart,XLOOKUP($B408,Derived_Variables!$A:$A,Derived_Variables!$K:$K,0),
leStart,XLOOKUP($B408,Derived_Variables!$A:$A,Derived_Variables!$N:$N,0),
reAR,XLOOKUP($B408,AR_Input!$A:$A,AR_Input!$B:$B,reStart),
leAR,XLOOKUP($B408,AR_Input!$A:$A,AR_Input!$E:$E,leStart),
reEsc,AND(anom,OR(ABS((S408+AM408)-reStart)&gt;maxStart,ABS((S408+AM408)-reAR)&gt;maxAR)),
leEsc,AND(anom,OR(ABS((V408+AP408)-leStart)&gt;maxStart,ABS((V408+AP408)-leAR)&gt;maxAR)),
phaseMax,IFS(
 AK408="Fast",
   IFS(
     OR(C408="B",C408="D"),XLOOKUP("timeout_coarse_fast",Calibration!$B:$B,Calibration!$C:$C,24),
     OR(C408="E",C408="F",C408="H",C408="I"),XLOOKUP("timeout_jcc_fast",Calibration!$B:$B,Calibration!$C:$C,10),
     OR(C408="G",C408="J"),XLOOKUP("timeout_duochrome_fast",Calibration!$B:$B,Calibration!$C:$C,8),
     C408="K",XLOOKUP("timeout_bino_fast",Calibration!$B:$B,Calibration!$C:$C,10),
     OR(C408="P",C408="Q",C408="R"),XLOOKUP("timeout_near_fast",Calibration!$B:$B,Calibration!$C:$C,16),
     TRUE,XLOOKUP("timeout_coarse_fast",Calibration!$B:$B,Calibration!$C:$C,24)
   ),
 AK408="Normal",
   IFS(
     OR(C408="B",C408="D"),XLOOKUP("timeout_coarse_normal",Calibration!$B:$B,Calibration!$C:$C,36),
     OR(C408="E",C408="F",C408="H",C408="I"),XLOOKUP("timeout_jcc_normal",Calibration!$B:$B,Calibration!$C:$C,14),
     OR(C408="G",C408="J"),XLOOKUP("timeout_duochrome_normal",Calibration!$B:$B,Calibration!$C:$C,10),
     C408="K",XLOOKUP("timeout_bino_normal",Calibration!$B:$B,Calibration!$C:$C,14),
     OR(C408="P",C408="Q",C408="R"),XLOOKUP("timeout_near_normal",Calibration!$B:$B,Calibration!$C:$C,22),
     TRUE,XLOOKUP("timeout_coarse_normal",Calibration!$B:$B,Calibration!$C:$C,36)
   ),
 TRUE,
   IFS(
     OR(C408="B",C408="D"),XLOOKUP("timeout_coarse_slow",Calibration!$B:$B,Calibration!$C:$C,48),
     OR(C408="E",C408="F",C408="H",C408="I"),XLOOKUP("timeout_jcc_slow",Calibration!$B:$B,Calibration!$C:$C,18),
     OR(C408="G",C408="J"),XLOOKUP("timeout_duochrome_slow",Calibration!$B:$B,Calibration!$C:$C,12),
     C408="K",XLOOKUP("timeout_bino_slow",Calibration!$B:$B,Calibration!$C:$C,18),
     OR(C408="P",C408="Q",C408="R"),XLOOKUP("timeout_near_slow",Calibration!$B:$B,Calibration!$C:$C,28),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AJ408=TRUE,"ESCALATE",
C408="A",
IF(OR(I408="NOT_READABLE",I408="BLURRY",AND(R408="20_20_20",I408="READABLE")),"B","A"),
C408="B",
IF(reEsc,"ESCALATE",IF(AY408&gt;=phaseMax,"ESCALATE",IF(AND(AV408&gt;=AW408,I408="READABLE"),"E","B"))),
C408="E",
IF(AY408&gt;=phaseMax,"ESCALATE",IF(OR(I408="SAME",I408="CANT_TELL",AD408&lt;axisTol),"F","E")),
C408="F",
IF(AY408&gt;=phaseMax,"ESCALATE",IF(AX408&gt;=powerSameN,"G","F")),
C408="G",
IF(AY408&gt;=phaseMax,"ESCALATE",IF(OR(AX408&gt;=duoEqualN,BB408&gt;=duoMax),"D","G")),
C408="D",
IF(leEsc,"ESCALATE",IF(AY408&gt;=phaseMax,"ESCALATE",IF(AND(AV408&gt;=AW408,I408="READABLE"),"H","D"))),
C408="H",
IF(AY408&gt;=phaseMax,"ESCALATE",IF(OR(I408="SAME",I408="CANT_TELL",AD408&lt;axisTol),"I","H")),
C408="I",
IF(AY408&gt;=phaseMax,"ESCALATE",IF(AX408&gt;=powerSameN,"J","I")),
C408="J",
IF(AY408&gt;=phaseMax,"ESCALATE",IF(OR(AX408&gt;=duoEqualN,BB408&gt;=duoMax),"K","J")),
C408="K",
IF(AY408&gt;=phaseMax,"ESCALATE",IF(AX408&gt;=binoSameN,IF(XLOOKUP($B408,Derived_Variables!$A:$A,Derived_Variables!$AJ:$AJ,FALSE)=TRUE,"P","END"),"K")),
C408="P",
IF(AY408&gt;=phaseMax,"ESCALATE",IF(OR(I408="READABLE",I408="SAME"),"Q","P")),
C408="Q",
IF(AY408&gt;=phaseMax,"ESCALATE",IF(OR(I408="READABLE",I408="SAME"),"R","Q")),
C408="R",
IF(AY408&gt;=phaseMax,"ESCALATE",IF(OR(I408=nearTarget,I408="SAME"),"END","R")),
TRUE,"END"
)))</f>
        <v/>
      </c>
      <c r="BD408" s="28" t="b">
        <f t="shared" si="19"/>
        <v>0</v>
      </c>
    </row>
    <row r="409" ht="15.75" customHeight="1">
      <c r="A409" s="28">
        <f t="shared" si="3"/>
        <v>408</v>
      </c>
      <c r="B409" s="28">
        <f t="shared" si="4"/>
        <v>6</v>
      </c>
      <c r="C409" s="28" t="str">
        <f t="shared" si="5"/>
        <v/>
      </c>
      <c r="D409" s="28" t="str">
        <f t="array" ref="D409">IF($I408="","",XLOOKUP(C409,FSM_State_Map!A:A,FSM_State_Map!B:B,""))</f>
        <v/>
      </c>
      <c r="E409" s="28" t="str">
        <f t="array" ref="E409">IF($I408="","",XLOOKUP(C409,FSM_State_Map!A:A,FSM_State_Map!C:C,""))</f>
        <v/>
      </c>
      <c r="F409" s="28" t="str">
        <f t="array" ref="F409">IF($I408="","",XLOOKUP(E409,Phase_UI_Map!A:A,Phase_UI_Map!B:B,""))</f>
        <v/>
      </c>
      <c r="G409" s="28" t="str">
        <f t="array" ref="G409">IF($I408="","",XLOOKUP(E409,Phase_UI_Map!A:A,Phase_UI_Map!C:C,""))</f>
        <v/>
      </c>
      <c r="H409" s="28" t="str">
        <f t="array" ref="H409">IF($I408="","",XLOOKUP(E409,Phase_UI_Map!A:A,Phase_UI_Map!D:D,""))</f>
        <v/>
      </c>
      <c r="I409" s="29"/>
      <c r="J409" s="28" t="str">
        <f>IFERROR(__xludf.DUMMYFUNCTION("IF($I408="""","""",IFERROR(INDEX(FILTER(Response_Lists!$B:$B,Response_Lists!$A:$A=$H409),1),""""))"),"")</f>
        <v/>
      </c>
      <c r="K409" s="28" t="str">
        <f>IFERROR(__xludf.DUMMYFUNCTION("IF($I408="""","""",IFERROR(INDEX(FILTER(Response_Lists!$B:$B,Response_Lists!$A:$A=$H409),2),""""))"),"")</f>
        <v/>
      </c>
      <c r="L409" s="28" t="str">
        <f>IFERROR(__xludf.DUMMYFUNCTION("IF($I408="""","""",IFERROR(INDEX(FILTER(Response_Lists!$B:$B,Response_Lists!$A:$A=$H409),3),""""))"),"")</f>
        <v/>
      </c>
      <c r="M409" s="28" t="str">
        <f>IFERROR(__xludf.DUMMYFUNCTION("IF($I408="""","""",IFERROR(INDEX(FILTER(Response_Lists!$B:$B,Response_Lists!$A:$A=$H409),4),""""))"),"")</f>
        <v/>
      </c>
      <c r="N409" s="28" t="str">
        <f>IFERROR(__xludf.DUMMYFUNCTION("IF($I408="""","""",IFERROR(INDEX(FILTER(Response_Lists!$B:$B,Response_Lists!$A:$A=$H409),5),""""))"),"")</f>
        <v/>
      </c>
      <c r="O409" s="28" t="str">
        <f>IFERROR(__xludf.DUMMYFUNCTION("IF($I408="""","""",IFERROR(INDEX(FILTER(Response_Lists!$B:$B,Response_Lists!$A:$A=$H409),6),""""))"),"")</f>
        <v/>
      </c>
      <c r="P409" s="28" t="str">
        <f t="shared" si="6"/>
        <v/>
      </c>
      <c r="Q409" s="28" t="str">
        <f t="array" ref="Q409">IF($I408="","",XLOOKUP(C409,FSM_State_Map!A:A,FSM_State_Map!D:D,""))</f>
        <v/>
      </c>
      <c r="R409" s="28" t="str">
        <f t="shared" si="7"/>
        <v/>
      </c>
      <c r="S409" s="28" t="str">
        <f t="array" ref="S409">IF($I408="","",
IF(
  AND(C409="B",C408&lt;&gt;"B"),
  XLOOKUP($B409,Derived_Variables!$A:$A,Derived_Variables!$K:$K,0)
  + XLOOKUP($B409,Derived_Variables!$A:$A,Derived_Variables!$AE:$AE,0),
  S408+AM408
))</f>
        <v/>
      </c>
      <c r="T409" s="28" t="str">
        <f t="shared" ref="T409:U409" si="828">IF($I408="","",T408+AN408)</f>
        <v/>
      </c>
      <c r="U409" s="28" t="str">
        <f t="shared" si="828"/>
        <v/>
      </c>
      <c r="V409" s="28" t="str">
        <f t="array" ref="V409">IF($I408="","",
IF(
  AND(C409="D",C408&lt;&gt;"D"),
  XLOOKUP($B409,Derived_Variables!$A:$A,Derived_Variables!$N:$N,0)
  + XLOOKUP($B409,Derived_Variables!$A:$A,Derived_Variables!$AE:$AE,0),
  V408+AP408
))</f>
        <v/>
      </c>
      <c r="W409" s="28" t="str">
        <f t="shared" ref="W409:X409" si="829">IF($I408="","",W408+AQ408)</f>
        <v/>
      </c>
      <c r="X409" s="28" t="str">
        <f t="shared" si="829"/>
        <v/>
      </c>
      <c r="Y409" s="28" t="str">
        <f t="array" ref="Y409">IF($I408="","",IF(AND(C409="P",C408&lt;&gt;"P"),IFERROR(XLOOKUP($B409,Lenso_Input!$A:$A,Lenso_Input!$E:$E,0),0),Y408+AS408))</f>
        <v/>
      </c>
      <c r="Z409" s="28" t="str">
        <f t="array" ref="Z409">IF($I408="","",IF(AND(C409="Q",C408&lt;&gt;"Q"),IFERROR(XLOOKUP($B409,Lenso_Input!$A:$A,Lenso_Input!$I:$I,0),0),Z408+AT408))</f>
        <v/>
      </c>
      <c r="AA409" s="28" t="str">
        <f t="array" ref="AA409">IF($I408="","",IF(XLOOKUP($B409,Derived_Variables!$A:$A,Derived_Variables!$R:$R,"6/6_target")="6/6_target","20_20_20","40_30_25"))</f>
        <v/>
      </c>
      <c r="AB409" s="28" t="str">
        <f t="array" ref="AB409">IF($I408="","",XLOOKUP(LOWER(XLOOKUP($B409,Derived_Variables!$A:$A,Derived_Variables!$T:$T,"Standard"))&amp;"_sph_step",Calibration!$B:$B,Calibration!$C:$C,0.25))</f>
        <v/>
      </c>
      <c r="AC409" s="28" t="str">
        <f t="array" ref="AC409">IF($I408="","",XLOOKUP(LOWER(XLOOKUP($B409,Derived_Variables!$A:$A,Derived_Variables!$T:$T,"Standard"))&amp;"_cyl_step",Calibration!$B:$B,Calibration!$C:$C,0.25))</f>
        <v/>
      </c>
      <c r="AD409" s="28" t="str">
        <f t="array" ref="AD409">IF($I408="","",IF(OR(C409="E",C409="H"),LET(startStep,XLOOKUP("axis_start_step",Calibration!$B:$B,Calibration!$C:$C,5),step1,XLOOKUP("axis_reversal_step_1",Calibration!$B:$B,Calibration!$C:$C,3),step2,XLOOKUP("axis_reversal_step_2",Calibration!$B:$B,Calibration!$C:$C,1),IF(OR(C408&lt;&gt;C409,AZ409="",AZ409="SAME",AZ409="CANT_TELL",I409="",I409="SAME",I409="CANT_TELL"),startStep,IF(OR(AND(AZ409="BETTER_1",I409="BETTER_2"),AND(AZ409="BETTER_2",I409="BETTER_1")),IF(AD408&gt;step1,step1,step2),AD408))),0))</f>
        <v/>
      </c>
      <c r="AE409" s="28" t="str">
        <f t="array" ref="AE409">IF($I408="","",XLOOKUP($B409,Derived_Variables!$A:$A,Derived_Variables!$AD:$AD,"No_Fog"))</f>
        <v/>
      </c>
      <c r="AF409" s="28" t="str">
        <f t="array" ref="AF409">IF($I408="","",XLOOKUP($B409,Derived_Variables!$A:$A,Derived_Variables!$AE:$AE,0))</f>
        <v/>
      </c>
      <c r="AG409" s="28" t="str">
        <f t="array" ref="AG409">IF($I408="","",XLOOKUP($B409,Derived_Variables!$A:$A,Derived_Variables!$AF:$AF,""))</f>
        <v/>
      </c>
      <c r="AH409" s="28" t="str">
        <f t="array" ref="AH409">IF($I408="","",XLOOKUP($B409,Derived_Variables!$A:$A,Derived_Variables!$AG:$AG,""))</f>
        <v/>
      </c>
      <c r="AI409" s="28" t="str">
        <f t="array" ref="AI409">IF($I408="","",XLOOKUP($B409,Derived_Variables!$A:$A,Derived_Variables!$AC:$AC,"Medium"))</f>
        <v/>
      </c>
      <c r="AJ409" s="28" t="str">
        <f t="array" ref="AJ409">IF($I408="","",XLOOKUP($B409,Derived_Variables!$A:$A,Derived_Variables!$Y:$Y,FALSE))</f>
        <v/>
      </c>
      <c r="AK409" s="28" t="str">
        <f t="array" ref="AK409">IF($I408="","",XLOOKUP($B409,Derived_Variables!$A:$A,Derived_Variables!$AA:$AA,"Normal"))</f>
        <v/>
      </c>
      <c r="AL409" s="28" t="str">
        <f t="array" ref="AL409">IF($I408="","",XLOOKUP($B409,Derived_Variables!$A:$A,Derived_Variables!$AB:$AB,"Normal"))</f>
        <v/>
      </c>
      <c r="AM409" s="28" t="str">
        <f t="array" ref="AM409">IF($I409="","",IFS(C409="B",IF(OR(I409="NOT_READABLE",I409="BLURRY"),-AB409,0),C409="G",IFS(I409="RED_CLEARER",XLOOKUP("duochrome_red_step",Calibration!$B:$B,Calibration!$C:$C,-0.25),I409="GREEN_CLEARER",XLOOKUP("duochrome_green_step",Calibration!$B:$B,Calibration!$C:$C,0.25),I409="EQUAL",IF(XLOOKUP($B409,Derived_Variables!$A:$A,Derived_Variables!$S:$S,"Neutral")="Undercorrect",XLOOKUP("undercorrect_step",Calibration!$B:$B,Calibration!$C:$C,0.25),IF(XLOOKUP($B409,Derived_Variables!$A:$A,Derived_Variables!$S:$S,"Neutral")="Overcorrect",-XLOOKUP("overcorrect_step",Calibration!$B:$B,Calibration!$C:$C,0.25),0)),TRUE,0),C409="K",IF(I409="TOP_CLEARER",XLOOKUP("bino_balance_step",Calibration!$B:$B,Calibration!$C:$C,0.25),0),TRUE,0))</f>
        <v/>
      </c>
      <c r="AN409" s="28" t="str">
        <f t="shared" si="10"/>
        <v/>
      </c>
      <c r="AO409" s="28" t="str">
        <f t="shared" si="11"/>
        <v/>
      </c>
      <c r="AP409" s="28" t="str">
        <f t="array" ref="AP409">IF($I409="","",IFS(C409="D",IF(OR(I409="NOT_READABLE",I409="BLURRY"),-AB409,0),C409="J",IFS(I409="RED_CLEARER",XLOOKUP("duochrome_red_step",Calibration!$B:$B,Calibration!$C:$C,-0.25),I409="GREEN_CLEARER",XLOOKUP("duochrome_green_step",Calibration!$B:$B,Calibration!$C:$C,0.25),I409="EQUAL",IF(XLOOKUP($B409,Derived_Variables!$A:$A,Derived_Variables!$S:$S,"Neutral")="Undercorrect",XLOOKUP("undercorrect_step",Calibration!$B:$B,Calibration!$C:$C,0.25),IF(XLOOKUP($B409,Derived_Variables!$A:$A,Derived_Variables!$S:$S,"Neutral")="Overcorrect",-XLOOKUP("overcorrect_step",Calibration!$B:$B,Calibration!$C:$C,0.25),0)),TRUE,0),C409="K",IF(I409="BOTTOM_CLEARER",XLOOKUP("bino_balance_step",Calibration!$B:$B,Calibration!$C:$C,0.25),0),TRUE,0))</f>
        <v/>
      </c>
      <c r="AQ409" s="28" t="str">
        <f t="shared" si="12"/>
        <v/>
      </c>
      <c r="AR409" s="28" t="str">
        <f t="shared" si="13"/>
        <v/>
      </c>
      <c r="AS409" s="28" t="str">
        <f t="array" ref="AS409">IF($I409="","",IF(C409="P",IF(OR(I409="NOT_READABLE",I409="BLURRY"),XLOOKUP("near_add_step",Calibration!$B:$B,Calibration!$C:$C,0.25),0),IF(C409="R",IF(I409="NOT_CLEAR",XLOOKUP("near_add_step",Calibration!$B:$B,Calibration!$C:$C,0.25),0),0)))</f>
        <v/>
      </c>
      <c r="AT409" s="28" t="str">
        <f t="array" ref="AT409">IF($I409="","",IF(C409="Q",IF(OR(I409="NOT_READABLE",I409="BLURRY"),XLOOKUP("near_add_step",Calibration!$B:$B,Calibration!$C:$C,0.25),0),IF(C409="R",IF(I409="NOT_CLEAR",XLOOKUP("near_add_step",Calibration!$B:$B,Calibration!$C:$C,0.25),0),0)))</f>
        <v/>
      </c>
      <c r="AU409" s="28" t="str">
        <f t="array" ref="AU409">IF($I409="","",IF(G409="SNELLEN_FEET",IF(I409="READABLE",IFERROR(XLOOKUP(XLOOKUP(R409,Chart_Scale_Distance!B:B,Chart_Scale_Distance!A:A)+1,Chart_Scale_Distance!A:A,Chart_Scale_Distance!B:B),R409),R409),R409))</f>
        <v/>
      </c>
      <c r="AV409" s="28" t="str">
        <f t="array" ref="AV409">IF($I408="","",IFERROR(XLOOKUP(R409,Chart_Scale_Distance!$B:$B,Chart_Scale_Distance!$A:$A,""),""))</f>
        <v/>
      </c>
      <c r="AW409" s="28" t="str">
        <f t="array" ref="AW409">IF($I408="","",IFERROR(XLOOKUP(AA409,Chart_Scale_Distance!$B:$B,Chart_Scale_Distance!$A:$A,""),""))</f>
        <v/>
      </c>
      <c r="AX409" s="28" t="str">
        <f t="shared" si="14"/>
        <v/>
      </c>
      <c r="AY409" s="28" t="str">
        <f t="shared" si="15"/>
        <v/>
      </c>
      <c r="AZ409" s="28" t="str">
        <f t="shared" si="16"/>
        <v/>
      </c>
      <c r="BA409" s="28" t="str">
        <f t="shared" si="17"/>
        <v/>
      </c>
      <c r="BB409" s="28" t="str">
        <f t="shared" si="18"/>
        <v/>
      </c>
      <c r="BC409" s="28" t="str">
        <f t="array" ref="BC409">IF($I409="","",LET(
conf,AI409,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duoMax,XLOOKUP($B409,Derived_Variables!$A:$A,Derived_Variables!$AI:$AI,4),
axisTol,XLOOKUP($B409,Derived_Variables!$A:$A,Derived_Variables!$W:$W,1),
maxStart,XLOOKUP($B409,Derived_Variables!$A:$A,Derived_Variables!$U:$U,1.25),
maxAR,XLOOKUP($B409,Derived_Variables!$A:$A,Derived_Variables!$V:$V,3),
anom,XLOOKUP($B409,Derived_Variables!$A:$A,Derived_Variables!$Z:$Z,FALSE),
reStart,XLOOKUP($B409,Derived_Variables!$A:$A,Derived_Variables!$K:$K,0),
leStart,XLOOKUP($B409,Derived_Variables!$A:$A,Derived_Variables!$N:$N,0),
reAR,XLOOKUP($B409,AR_Input!$A:$A,AR_Input!$B:$B,reStart),
leAR,XLOOKUP($B409,AR_Input!$A:$A,AR_Input!$E:$E,leStart),
reEsc,AND(anom,OR(ABS((S409+AM409)-reStart)&gt;maxStart,ABS((S409+AM409)-reAR)&gt;maxAR)),
leEsc,AND(anom,OR(ABS((V409+AP409)-leStart)&gt;maxStart,ABS((V409+AP409)-leAR)&gt;maxAR)),
phaseMax,IFS(
 AK409="Fast",
   IFS(
     OR(C409="B",C409="D"),XLOOKUP("timeout_coarse_fast",Calibration!$B:$B,Calibration!$C:$C,24),
     OR(C409="E",C409="F",C409="H",C409="I"),XLOOKUP("timeout_jcc_fast",Calibration!$B:$B,Calibration!$C:$C,10),
     OR(C409="G",C409="J"),XLOOKUP("timeout_duochrome_fast",Calibration!$B:$B,Calibration!$C:$C,8),
     C409="K",XLOOKUP("timeout_bino_fast",Calibration!$B:$B,Calibration!$C:$C,10),
     OR(C409="P",C409="Q",C409="R"),XLOOKUP("timeout_near_fast",Calibration!$B:$B,Calibration!$C:$C,16),
     TRUE,XLOOKUP("timeout_coarse_fast",Calibration!$B:$B,Calibration!$C:$C,24)
   ),
 AK409="Normal",
   IFS(
     OR(C409="B",C409="D"),XLOOKUP("timeout_coarse_normal",Calibration!$B:$B,Calibration!$C:$C,36),
     OR(C409="E",C409="F",C409="H",C409="I"),XLOOKUP("timeout_jcc_normal",Calibration!$B:$B,Calibration!$C:$C,14),
     OR(C409="G",C409="J"),XLOOKUP("timeout_duochrome_normal",Calibration!$B:$B,Calibration!$C:$C,10),
     C409="K",XLOOKUP("timeout_bino_normal",Calibration!$B:$B,Calibration!$C:$C,14),
     OR(C409="P",C409="Q",C409="R"),XLOOKUP("timeout_near_normal",Calibration!$B:$B,Calibration!$C:$C,22),
     TRUE,XLOOKUP("timeout_coarse_normal",Calibration!$B:$B,Calibration!$C:$C,36)
   ),
 TRUE,
   IFS(
     OR(C409="B",C409="D"),XLOOKUP("timeout_coarse_slow",Calibration!$B:$B,Calibration!$C:$C,48),
     OR(C409="E",C409="F",C409="H",C409="I"),XLOOKUP("timeout_jcc_slow",Calibration!$B:$B,Calibration!$C:$C,18),
     OR(C409="G",C409="J"),XLOOKUP("timeout_duochrome_slow",Calibration!$B:$B,Calibration!$C:$C,12),
     C409="K",XLOOKUP("timeout_bino_slow",Calibration!$B:$B,Calibration!$C:$C,18),
     OR(C409="P",C409="Q",C409="R"),XLOOKUP("timeout_near_slow",Calibration!$B:$B,Calibration!$C:$C,28),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AJ409=TRUE,"ESCALATE",
C409="A",
IF(OR(I409="NOT_READABLE",I409="BLURRY",AND(R409="20_20_20",I409="READABLE")),"B","A"),
C409="B",
IF(reEsc,"ESCALATE",IF(AY409&gt;=phaseMax,"ESCALATE",IF(AND(AV409&gt;=AW409,I409="READABLE"),"E","B"))),
C409="E",
IF(AY409&gt;=phaseMax,"ESCALATE",IF(OR(I409="SAME",I409="CANT_TELL",AD409&lt;axisTol),"F","E")),
C409="F",
IF(AY409&gt;=phaseMax,"ESCALATE",IF(AX409&gt;=powerSameN,"G","F")),
C409="G",
IF(AY409&gt;=phaseMax,"ESCALATE",IF(OR(AX409&gt;=duoEqualN,BB409&gt;=duoMax),"D","G")),
C409="D",
IF(leEsc,"ESCALATE",IF(AY409&gt;=phaseMax,"ESCALATE",IF(AND(AV409&gt;=AW409,I409="READABLE"),"H","D"))),
C409="H",
IF(AY409&gt;=phaseMax,"ESCALATE",IF(OR(I409="SAME",I409="CANT_TELL",AD409&lt;axisTol),"I","H")),
C409="I",
IF(AY409&gt;=phaseMax,"ESCALATE",IF(AX409&gt;=powerSameN,"J","I")),
C409="J",
IF(AY409&gt;=phaseMax,"ESCALATE",IF(OR(AX409&gt;=duoEqualN,BB409&gt;=duoMax),"K","J")),
C409="K",
IF(AY409&gt;=phaseMax,"ESCALATE",IF(AX409&gt;=binoSameN,IF(XLOOKUP($B409,Derived_Variables!$A:$A,Derived_Variables!$AJ:$AJ,FALSE)=TRUE,"P","END"),"K")),
C409="P",
IF(AY409&gt;=phaseMax,"ESCALATE",IF(OR(I409="READABLE",I409="SAME"),"Q","P")),
C409="Q",
IF(AY409&gt;=phaseMax,"ESCALATE",IF(OR(I409="READABLE",I409="SAME"),"R","Q")),
C409="R",
IF(AY409&gt;=phaseMax,"ESCALATE",IF(OR(I409=nearTarget,I409="SAME"),"END","R")),
TRUE,"END"
)))</f>
        <v/>
      </c>
      <c r="BD409" s="28" t="b">
        <f t="shared" si="19"/>
        <v>0</v>
      </c>
    </row>
    <row r="410" ht="15.75" customHeight="1">
      <c r="A410" s="28">
        <f t="shared" si="3"/>
        <v>409</v>
      </c>
      <c r="B410" s="28">
        <f t="shared" si="4"/>
        <v>6</v>
      </c>
      <c r="C410" s="28" t="str">
        <f t="shared" si="5"/>
        <v/>
      </c>
      <c r="D410" s="28" t="str">
        <f t="array" ref="D410">IF($I409="","",XLOOKUP(C410,FSM_State_Map!A:A,FSM_State_Map!B:B,""))</f>
        <v/>
      </c>
      <c r="E410" s="28" t="str">
        <f t="array" ref="E410">IF($I409="","",XLOOKUP(C410,FSM_State_Map!A:A,FSM_State_Map!C:C,""))</f>
        <v/>
      </c>
      <c r="F410" s="28" t="str">
        <f t="array" ref="F410">IF($I409="","",XLOOKUP(E410,Phase_UI_Map!A:A,Phase_UI_Map!B:B,""))</f>
        <v/>
      </c>
      <c r="G410" s="28" t="str">
        <f t="array" ref="G410">IF($I409="","",XLOOKUP(E410,Phase_UI_Map!A:A,Phase_UI_Map!C:C,""))</f>
        <v/>
      </c>
      <c r="H410" s="28" t="str">
        <f t="array" ref="H410">IF($I409="","",XLOOKUP(E410,Phase_UI_Map!A:A,Phase_UI_Map!D:D,""))</f>
        <v/>
      </c>
      <c r="I410" s="29"/>
      <c r="J410" s="28" t="str">
        <f>IFERROR(__xludf.DUMMYFUNCTION("IF($I409="""","""",IFERROR(INDEX(FILTER(Response_Lists!$B:$B,Response_Lists!$A:$A=$H410),1),""""))"),"")</f>
        <v/>
      </c>
      <c r="K410" s="28" t="str">
        <f>IFERROR(__xludf.DUMMYFUNCTION("IF($I409="""","""",IFERROR(INDEX(FILTER(Response_Lists!$B:$B,Response_Lists!$A:$A=$H410),2),""""))"),"")</f>
        <v/>
      </c>
      <c r="L410" s="28" t="str">
        <f>IFERROR(__xludf.DUMMYFUNCTION("IF($I409="""","""",IFERROR(INDEX(FILTER(Response_Lists!$B:$B,Response_Lists!$A:$A=$H410),3),""""))"),"")</f>
        <v/>
      </c>
      <c r="M410" s="28" t="str">
        <f>IFERROR(__xludf.DUMMYFUNCTION("IF($I409="""","""",IFERROR(INDEX(FILTER(Response_Lists!$B:$B,Response_Lists!$A:$A=$H410),4),""""))"),"")</f>
        <v/>
      </c>
      <c r="N410" s="28" t="str">
        <f>IFERROR(__xludf.DUMMYFUNCTION("IF($I409="""","""",IFERROR(INDEX(FILTER(Response_Lists!$B:$B,Response_Lists!$A:$A=$H410),5),""""))"),"")</f>
        <v/>
      </c>
      <c r="O410" s="28" t="str">
        <f>IFERROR(__xludf.DUMMYFUNCTION("IF($I409="""","""",IFERROR(INDEX(FILTER(Response_Lists!$B:$B,Response_Lists!$A:$A=$H410),6),""""))"),"")</f>
        <v/>
      </c>
      <c r="P410" s="28" t="str">
        <f t="shared" si="6"/>
        <v/>
      </c>
      <c r="Q410" s="28" t="str">
        <f t="array" ref="Q410">IF($I409="","",XLOOKUP(C410,FSM_State_Map!A:A,FSM_State_Map!D:D,""))</f>
        <v/>
      </c>
      <c r="R410" s="28" t="str">
        <f t="shared" si="7"/>
        <v/>
      </c>
      <c r="S410" s="28" t="str">
        <f t="array" ref="S410">IF($I409="","",
IF(
  AND(C410="B",C409&lt;&gt;"B"),
  XLOOKUP($B410,Derived_Variables!$A:$A,Derived_Variables!$K:$K,0)
  + XLOOKUP($B410,Derived_Variables!$A:$A,Derived_Variables!$AE:$AE,0),
  S409+AM409
))</f>
        <v/>
      </c>
      <c r="T410" s="28" t="str">
        <f t="shared" ref="T410:U410" si="830">IF($I409="","",T409+AN409)</f>
        <v/>
      </c>
      <c r="U410" s="28" t="str">
        <f t="shared" si="830"/>
        <v/>
      </c>
      <c r="V410" s="28" t="str">
        <f t="array" ref="V410">IF($I409="","",
IF(
  AND(C410="D",C409&lt;&gt;"D"),
  XLOOKUP($B410,Derived_Variables!$A:$A,Derived_Variables!$N:$N,0)
  + XLOOKUP($B410,Derived_Variables!$A:$A,Derived_Variables!$AE:$AE,0),
  V409+AP409
))</f>
        <v/>
      </c>
      <c r="W410" s="28" t="str">
        <f t="shared" ref="W410:X410" si="831">IF($I409="","",W409+AQ409)</f>
        <v/>
      </c>
      <c r="X410" s="28" t="str">
        <f t="shared" si="831"/>
        <v/>
      </c>
      <c r="Y410" s="28" t="str">
        <f t="array" ref="Y410">IF($I409="","",IF(AND(C410="P",C409&lt;&gt;"P"),IFERROR(XLOOKUP($B410,Lenso_Input!$A:$A,Lenso_Input!$E:$E,0),0),Y409+AS409))</f>
        <v/>
      </c>
      <c r="Z410" s="28" t="str">
        <f t="array" ref="Z410">IF($I409="","",IF(AND(C410="Q",C409&lt;&gt;"Q"),IFERROR(XLOOKUP($B410,Lenso_Input!$A:$A,Lenso_Input!$I:$I,0),0),Z409+AT409))</f>
        <v/>
      </c>
      <c r="AA410" s="28" t="str">
        <f t="array" ref="AA410">IF($I409="","",IF(XLOOKUP($B410,Derived_Variables!$A:$A,Derived_Variables!$R:$R,"6/6_target")="6/6_target","20_20_20","40_30_25"))</f>
        <v/>
      </c>
      <c r="AB410" s="28" t="str">
        <f t="array" ref="AB410">IF($I409="","",XLOOKUP(LOWER(XLOOKUP($B410,Derived_Variables!$A:$A,Derived_Variables!$T:$T,"Standard"))&amp;"_sph_step",Calibration!$B:$B,Calibration!$C:$C,0.25))</f>
        <v/>
      </c>
      <c r="AC410" s="28" t="str">
        <f t="array" ref="AC410">IF($I409="","",XLOOKUP(LOWER(XLOOKUP($B410,Derived_Variables!$A:$A,Derived_Variables!$T:$T,"Standard"))&amp;"_cyl_step",Calibration!$B:$B,Calibration!$C:$C,0.25))</f>
        <v/>
      </c>
      <c r="AD410" s="28" t="str">
        <f t="array" ref="AD410">IF($I409="","",IF(OR(C410="E",C410="H"),LET(startStep,XLOOKUP("axis_start_step",Calibration!$B:$B,Calibration!$C:$C,5),step1,XLOOKUP("axis_reversal_step_1",Calibration!$B:$B,Calibration!$C:$C,3),step2,XLOOKUP("axis_reversal_step_2",Calibration!$B:$B,Calibration!$C:$C,1),IF(OR(C409&lt;&gt;C410,AZ410="",AZ410="SAME",AZ410="CANT_TELL",I410="",I410="SAME",I410="CANT_TELL"),startStep,IF(OR(AND(AZ410="BETTER_1",I410="BETTER_2"),AND(AZ410="BETTER_2",I410="BETTER_1")),IF(AD409&gt;step1,step1,step2),AD409))),0))</f>
        <v/>
      </c>
      <c r="AE410" s="28" t="str">
        <f t="array" ref="AE410">IF($I409="","",XLOOKUP($B410,Derived_Variables!$A:$A,Derived_Variables!$AD:$AD,"No_Fog"))</f>
        <v/>
      </c>
      <c r="AF410" s="28" t="str">
        <f t="array" ref="AF410">IF($I409="","",XLOOKUP($B410,Derived_Variables!$A:$A,Derived_Variables!$AE:$AE,0))</f>
        <v/>
      </c>
      <c r="AG410" s="28" t="str">
        <f t="array" ref="AG410">IF($I409="","",XLOOKUP($B410,Derived_Variables!$A:$A,Derived_Variables!$AF:$AF,""))</f>
        <v/>
      </c>
      <c r="AH410" s="28" t="str">
        <f t="array" ref="AH410">IF($I409="","",XLOOKUP($B410,Derived_Variables!$A:$A,Derived_Variables!$AG:$AG,""))</f>
        <v/>
      </c>
      <c r="AI410" s="28" t="str">
        <f t="array" ref="AI410">IF($I409="","",XLOOKUP($B410,Derived_Variables!$A:$A,Derived_Variables!$AC:$AC,"Medium"))</f>
        <v/>
      </c>
      <c r="AJ410" s="28" t="str">
        <f t="array" ref="AJ410">IF($I409="","",XLOOKUP($B410,Derived_Variables!$A:$A,Derived_Variables!$Y:$Y,FALSE))</f>
        <v/>
      </c>
      <c r="AK410" s="28" t="str">
        <f t="array" ref="AK410">IF($I409="","",XLOOKUP($B410,Derived_Variables!$A:$A,Derived_Variables!$AA:$AA,"Normal"))</f>
        <v/>
      </c>
      <c r="AL410" s="28" t="str">
        <f t="array" ref="AL410">IF($I409="","",XLOOKUP($B410,Derived_Variables!$A:$A,Derived_Variables!$AB:$AB,"Normal"))</f>
        <v/>
      </c>
      <c r="AM410" s="28" t="str">
        <f t="array" ref="AM410">IF($I410="","",IFS(C410="B",IF(OR(I410="NOT_READABLE",I410="BLURRY"),-AB410,0),C410="G",IFS(I410="RED_CLEARER",XLOOKUP("duochrome_red_step",Calibration!$B:$B,Calibration!$C:$C,-0.25),I410="GREEN_CLEARER",XLOOKUP("duochrome_green_step",Calibration!$B:$B,Calibration!$C:$C,0.25),I410="EQUAL",IF(XLOOKUP($B410,Derived_Variables!$A:$A,Derived_Variables!$S:$S,"Neutral")="Undercorrect",XLOOKUP("undercorrect_step",Calibration!$B:$B,Calibration!$C:$C,0.25),IF(XLOOKUP($B410,Derived_Variables!$A:$A,Derived_Variables!$S:$S,"Neutral")="Overcorrect",-XLOOKUP("overcorrect_step",Calibration!$B:$B,Calibration!$C:$C,0.25),0)),TRUE,0),C410="K",IF(I410="TOP_CLEARER",XLOOKUP("bino_balance_step",Calibration!$B:$B,Calibration!$C:$C,0.25),0),TRUE,0))</f>
        <v/>
      </c>
      <c r="AN410" s="28" t="str">
        <f t="shared" si="10"/>
        <v/>
      </c>
      <c r="AO410" s="28" t="str">
        <f t="shared" si="11"/>
        <v/>
      </c>
      <c r="AP410" s="28" t="str">
        <f t="array" ref="AP410">IF($I410="","",IFS(C410="D",IF(OR(I410="NOT_READABLE",I410="BLURRY"),-AB410,0),C410="J",IFS(I410="RED_CLEARER",XLOOKUP("duochrome_red_step",Calibration!$B:$B,Calibration!$C:$C,-0.25),I410="GREEN_CLEARER",XLOOKUP("duochrome_green_step",Calibration!$B:$B,Calibration!$C:$C,0.25),I410="EQUAL",IF(XLOOKUP($B410,Derived_Variables!$A:$A,Derived_Variables!$S:$S,"Neutral")="Undercorrect",XLOOKUP("undercorrect_step",Calibration!$B:$B,Calibration!$C:$C,0.25),IF(XLOOKUP($B410,Derived_Variables!$A:$A,Derived_Variables!$S:$S,"Neutral")="Overcorrect",-XLOOKUP("overcorrect_step",Calibration!$B:$B,Calibration!$C:$C,0.25),0)),TRUE,0),C410="K",IF(I410="BOTTOM_CLEARER",XLOOKUP("bino_balance_step",Calibration!$B:$B,Calibration!$C:$C,0.25),0),TRUE,0))</f>
        <v/>
      </c>
      <c r="AQ410" s="28" t="str">
        <f t="shared" si="12"/>
        <v/>
      </c>
      <c r="AR410" s="28" t="str">
        <f t="shared" si="13"/>
        <v/>
      </c>
      <c r="AS410" s="28" t="str">
        <f t="array" ref="AS410">IF($I410="","",IF(C410="P",IF(OR(I410="NOT_READABLE",I410="BLURRY"),XLOOKUP("near_add_step",Calibration!$B:$B,Calibration!$C:$C,0.25),0),IF(C410="R",IF(I410="NOT_CLEAR",XLOOKUP("near_add_step",Calibration!$B:$B,Calibration!$C:$C,0.25),0),0)))</f>
        <v/>
      </c>
      <c r="AT410" s="28" t="str">
        <f t="array" ref="AT410">IF($I410="","",IF(C410="Q",IF(OR(I410="NOT_READABLE",I410="BLURRY"),XLOOKUP("near_add_step",Calibration!$B:$B,Calibration!$C:$C,0.25),0),IF(C410="R",IF(I410="NOT_CLEAR",XLOOKUP("near_add_step",Calibration!$B:$B,Calibration!$C:$C,0.25),0),0)))</f>
        <v/>
      </c>
      <c r="AU410" s="28" t="str">
        <f t="array" ref="AU410">IF($I410="","",IF(G410="SNELLEN_FEET",IF(I410="READABLE",IFERROR(XLOOKUP(XLOOKUP(R410,Chart_Scale_Distance!B:B,Chart_Scale_Distance!A:A)+1,Chart_Scale_Distance!A:A,Chart_Scale_Distance!B:B),R410),R410),R410))</f>
        <v/>
      </c>
      <c r="AV410" s="28" t="str">
        <f t="array" ref="AV410">IF($I409="","",IFERROR(XLOOKUP(R410,Chart_Scale_Distance!$B:$B,Chart_Scale_Distance!$A:$A,""),""))</f>
        <v/>
      </c>
      <c r="AW410" s="28" t="str">
        <f t="array" ref="AW410">IF($I409="","",IFERROR(XLOOKUP(AA410,Chart_Scale_Distance!$B:$B,Chart_Scale_Distance!$A:$A,""),""))</f>
        <v/>
      </c>
      <c r="AX410" s="28" t="str">
        <f t="shared" si="14"/>
        <v/>
      </c>
      <c r="AY410" s="28" t="str">
        <f t="shared" si="15"/>
        <v/>
      </c>
      <c r="AZ410" s="28" t="str">
        <f t="shared" si="16"/>
        <v/>
      </c>
      <c r="BA410" s="28" t="str">
        <f t="shared" si="17"/>
        <v/>
      </c>
      <c r="BB410" s="28" t="str">
        <f t="shared" si="18"/>
        <v/>
      </c>
      <c r="BC410" s="28" t="str">
        <f t="array" ref="BC410">IF($I410="","",LET(
conf,AI410,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duoMax,XLOOKUP($B410,Derived_Variables!$A:$A,Derived_Variables!$AI:$AI,4),
axisTol,XLOOKUP($B410,Derived_Variables!$A:$A,Derived_Variables!$W:$W,1),
maxStart,XLOOKUP($B410,Derived_Variables!$A:$A,Derived_Variables!$U:$U,1.25),
maxAR,XLOOKUP($B410,Derived_Variables!$A:$A,Derived_Variables!$V:$V,3),
anom,XLOOKUP($B410,Derived_Variables!$A:$A,Derived_Variables!$Z:$Z,FALSE),
reStart,XLOOKUP($B410,Derived_Variables!$A:$A,Derived_Variables!$K:$K,0),
leStart,XLOOKUP($B410,Derived_Variables!$A:$A,Derived_Variables!$N:$N,0),
reAR,XLOOKUP($B410,AR_Input!$A:$A,AR_Input!$B:$B,reStart),
leAR,XLOOKUP($B410,AR_Input!$A:$A,AR_Input!$E:$E,leStart),
reEsc,AND(anom,OR(ABS((S410+AM410)-reStart)&gt;maxStart,ABS((S410+AM410)-reAR)&gt;maxAR)),
leEsc,AND(anom,OR(ABS((V410+AP410)-leStart)&gt;maxStart,ABS((V410+AP410)-leAR)&gt;maxAR)),
phaseMax,IFS(
 AK410="Fast",
   IFS(
     OR(C410="B",C410="D"),XLOOKUP("timeout_coarse_fast",Calibration!$B:$B,Calibration!$C:$C,24),
     OR(C410="E",C410="F",C410="H",C410="I"),XLOOKUP("timeout_jcc_fast",Calibration!$B:$B,Calibration!$C:$C,10),
     OR(C410="G",C410="J"),XLOOKUP("timeout_duochrome_fast",Calibration!$B:$B,Calibration!$C:$C,8),
     C410="K",XLOOKUP("timeout_bino_fast",Calibration!$B:$B,Calibration!$C:$C,10),
     OR(C410="P",C410="Q",C410="R"),XLOOKUP("timeout_near_fast",Calibration!$B:$B,Calibration!$C:$C,16),
     TRUE,XLOOKUP("timeout_coarse_fast",Calibration!$B:$B,Calibration!$C:$C,24)
   ),
 AK410="Normal",
   IFS(
     OR(C410="B",C410="D"),XLOOKUP("timeout_coarse_normal",Calibration!$B:$B,Calibration!$C:$C,36),
     OR(C410="E",C410="F",C410="H",C410="I"),XLOOKUP("timeout_jcc_normal",Calibration!$B:$B,Calibration!$C:$C,14),
     OR(C410="G",C410="J"),XLOOKUP("timeout_duochrome_normal",Calibration!$B:$B,Calibration!$C:$C,10),
     C410="K",XLOOKUP("timeout_bino_normal",Calibration!$B:$B,Calibration!$C:$C,14),
     OR(C410="P",C410="Q",C410="R"),XLOOKUP("timeout_near_normal",Calibration!$B:$B,Calibration!$C:$C,22),
     TRUE,XLOOKUP("timeout_coarse_normal",Calibration!$B:$B,Calibration!$C:$C,36)
   ),
 TRUE,
   IFS(
     OR(C410="B",C410="D"),XLOOKUP("timeout_coarse_slow",Calibration!$B:$B,Calibration!$C:$C,48),
     OR(C410="E",C410="F",C410="H",C410="I"),XLOOKUP("timeout_jcc_slow",Calibration!$B:$B,Calibration!$C:$C,18),
     OR(C410="G",C410="J"),XLOOKUP("timeout_duochrome_slow",Calibration!$B:$B,Calibration!$C:$C,12),
     C410="K",XLOOKUP("timeout_bino_slow",Calibration!$B:$B,Calibration!$C:$C,18),
     OR(C410="P",C410="Q",C410="R"),XLOOKUP("timeout_near_slow",Calibration!$B:$B,Calibration!$C:$C,28),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AJ410=TRUE,"ESCALATE",
C410="A",
IF(OR(I410="NOT_READABLE",I410="BLURRY",AND(R410="20_20_20",I410="READABLE")),"B","A"),
C410="B",
IF(reEsc,"ESCALATE",IF(AY410&gt;=phaseMax,"ESCALATE",IF(AND(AV410&gt;=AW410,I410="READABLE"),"E","B"))),
C410="E",
IF(AY410&gt;=phaseMax,"ESCALATE",IF(OR(I410="SAME",I410="CANT_TELL",AD410&lt;axisTol),"F","E")),
C410="F",
IF(AY410&gt;=phaseMax,"ESCALATE",IF(AX410&gt;=powerSameN,"G","F")),
C410="G",
IF(AY410&gt;=phaseMax,"ESCALATE",IF(OR(AX410&gt;=duoEqualN,BB410&gt;=duoMax),"D","G")),
C410="D",
IF(leEsc,"ESCALATE",IF(AY410&gt;=phaseMax,"ESCALATE",IF(AND(AV410&gt;=AW410,I410="READABLE"),"H","D"))),
C410="H",
IF(AY410&gt;=phaseMax,"ESCALATE",IF(OR(I410="SAME",I410="CANT_TELL",AD410&lt;axisTol),"I","H")),
C410="I",
IF(AY410&gt;=phaseMax,"ESCALATE",IF(AX410&gt;=powerSameN,"J","I")),
C410="J",
IF(AY410&gt;=phaseMax,"ESCALATE",IF(OR(AX410&gt;=duoEqualN,BB410&gt;=duoMax),"K","J")),
C410="K",
IF(AY410&gt;=phaseMax,"ESCALATE",IF(AX410&gt;=binoSameN,IF(XLOOKUP($B410,Derived_Variables!$A:$A,Derived_Variables!$AJ:$AJ,FALSE)=TRUE,"P","END"),"K")),
C410="P",
IF(AY410&gt;=phaseMax,"ESCALATE",IF(OR(I410="READABLE",I410="SAME"),"Q","P")),
C410="Q",
IF(AY410&gt;=phaseMax,"ESCALATE",IF(OR(I410="READABLE",I410="SAME"),"R","Q")),
C410="R",
IF(AY410&gt;=phaseMax,"ESCALATE",IF(OR(I410=nearTarget,I410="SAME"),"END","R")),
TRUE,"END"
)))</f>
        <v/>
      </c>
      <c r="BD410" s="28" t="b">
        <f t="shared" si="19"/>
        <v>0</v>
      </c>
    </row>
    <row r="411" ht="15.75" customHeight="1">
      <c r="A411" s="28">
        <f t="shared" si="3"/>
        <v>410</v>
      </c>
      <c r="B411" s="28">
        <f t="shared" si="4"/>
        <v>6</v>
      </c>
      <c r="C411" s="28" t="str">
        <f t="shared" si="5"/>
        <v/>
      </c>
      <c r="D411" s="28" t="str">
        <f t="array" ref="D411">IF($I410="","",XLOOKUP(C411,FSM_State_Map!A:A,FSM_State_Map!B:B,""))</f>
        <v/>
      </c>
      <c r="E411" s="28" t="str">
        <f t="array" ref="E411">IF($I410="","",XLOOKUP(C411,FSM_State_Map!A:A,FSM_State_Map!C:C,""))</f>
        <v/>
      </c>
      <c r="F411" s="28" t="str">
        <f t="array" ref="F411">IF($I410="","",XLOOKUP(E411,Phase_UI_Map!A:A,Phase_UI_Map!B:B,""))</f>
        <v/>
      </c>
      <c r="G411" s="28" t="str">
        <f t="array" ref="G411">IF($I410="","",XLOOKUP(E411,Phase_UI_Map!A:A,Phase_UI_Map!C:C,""))</f>
        <v/>
      </c>
      <c r="H411" s="28" t="str">
        <f t="array" ref="H411">IF($I410="","",XLOOKUP(E411,Phase_UI_Map!A:A,Phase_UI_Map!D:D,""))</f>
        <v/>
      </c>
      <c r="I411" s="29"/>
      <c r="J411" s="28" t="str">
        <f>IFERROR(__xludf.DUMMYFUNCTION("IF($I410="""","""",IFERROR(INDEX(FILTER(Response_Lists!$B:$B,Response_Lists!$A:$A=$H411),1),""""))"),"")</f>
        <v/>
      </c>
      <c r="K411" s="28" t="str">
        <f>IFERROR(__xludf.DUMMYFUNCTION("IF($I410="""","""",IFERROR(INDEX(FILTER(Response_Lists!$B:$B,Response_Lists!$A:$A=$H411),2),""""))"),"")</f>
        <v/>
      </c>
      <c r="L411" s="28" t="str">
        <f>IFERROR(__xludf.DUMMYFUNCTION("IF($I410="""","""",IFERROR(INDEX(FILTER(Response_Lists!$B:$B,Response_Lists!$A:$A=$H411),3),""""))"),"")</f>
        <v/>
      </c>
      <c r="M411" s="28" t="str">
        <f>IFERROR(__xludf.DUMMYFUNCTION("IF($I410="""","""",IFERROR(INDEX(FILTER(Response_Lists!$B:$B,Response_Lists!$A:$A=$H411),4),""""))"),"")</f>
        <v/>
      </c>
      <c r="N411" s="28" t="str">
        <f>IFERROR(__xludf.DUMMYFUNCTION("IF($I410="""","""",IFERROR(INDEX(FILTER(Response_Lists!$B:$B,Response_Lists!$A:$A=$H411),5),""""))"),"")</f>
        <v/>
      </c>
      <c r="O411" s="28" t="str">
        <f>IFERROR(__xludf.DUMMYFUNCTION("IF($I410="""","""",IFERROR(INDEX(FILTER(Response_Lists!$B:$B,Response_Lists!$A:$A=$H411),6),""""))"),"")</f>
        <v/>
      </c>
      <c r="P411" s="28" t="str">
        <f t="shared" si="6"/>
        <v/>
      </c>
      <c r="Q411" s="28" t="str">
        <f t="array" ref="Q411">IF($I410="","",XLOOKUP(C411,FSM_State_Map!A:A,FSM_State_Map!D:D,""))</f>
        <v/>
      </c>
      <c r="R411" s="28" t="str">
        <f t="shared" si="7"/>
        <v/>
      </c>
      <c r="S411" s="28" t="str">
        <f t="array" ref="S411">IF($I410="","",
IF(
  AND(C411="B",C410&lt;&gt;"B"),
  XLOOKUP($B411,Derived_Variables!$A:$A,Derived_Variables!$K:$K,0)
  + XLOOKUP($B411,Derived_Variables!$A:$A,Derived_Variables!$AE:$AE,0),
  S410+AM410
))</f>
        <v/>
      </c>
      <c r="T411" s="28" t="str">
        <f t="shared" ref="T411:U411" si="832">IF($I410="","",T410+AN410)</f>
        <v/>
      </c>
      <c r="U411" s="28" t="str">
        <f t="shared" si="832"/>
        <v/>
      </c>
      <c r="V411" s="28" t="str">
        <f t="array" ref="V411">IF($I410="","",
IF(
  AND(C411="D",C410&lt;&gt;"D"),
  XLOOKUP($B411,Derived_Variables!$A:$A,Derived_Variables!$N:$N,0)
  + XLOOKUP($B411,Derived_Variables!$A:$A,Derived_Variables!$AE:$AE,0),
  V410+AP410
))</f>
        <v/>
      </c>
      <c r="W411" s="28" t="str">
        <f t="shared" ref="W411:X411" si="833">IF($I410="","",W410+AQ410)</f>
        <v/>
      </c>
      <c r="X411" s="28" t="str">
        <f t="shared" si="833"/>
        <v/>
      </c>
      <c r="Y411" s="28" t="str">
        <f t="array" ref="Y411">IF($I410="","",IF(AND(C411="P",C410&lt;&gt;"P"),IFERROR(XLOOKUP($B411,Lenso_Input!$A:$A,Lenso_Input!$E:$E,0),0),Y410+AS410))</f>
        <v/>
      </c>
      <c r="Z411" s="28" t="str">
        <f t="array" ref="Z411">IF($I410="","",IF(AND(C411="Q",C410&lt;&gt;"Q"),IFERROR(XLOOKUP($B411,Lenso_Input!$A:$A,Lenso_Input!$I:$I,0),0),Z410+AT410))</f>
        <v/>
      </c>
      <c r="AA411" s="28" t="str">
        <f t="array" ref="AA411">IF($I410="","",IF(XLOOKUP($B411,Derived_Variables!$A:$A,Derived_Variables!$R:$R,"6/6_target")="6/6_target","20_20_20","40_30_25"))</f>
        <v/>
      </c>
      <c r="AB411" s="28" t="str">
        <f t="array" ref="AB411">IF($I410="","",XLOOKUP(LOWER(XLOOKUP($B411,Derived_Variables!$A:$A,Derived_Variables!$T:$T,"Standard"))&amp;"_sph_step",Calibration!$B:$B,Calibration!$C:$C,0.25))</f>
        <v/>
      </c>
      <c r="AC411" s="28" t="str">
        <f t="array" ref="AC411">IF($I410="","",XLOOKUP(LOWER(XLOOKUP($B411,Derived_Variables!$A:$A,Derived_Variables!$T:$T,"Standard"))&amp;"_cyl_step",Calibration!$B:$B,Calibration!$C:$C,0.25))</f>
        <v/>
      </c>
      <c r="AD411" s="28" t="str">
        <f t="array" ref="AD411">IF($I410="","",IF(OR(C411="E",C411="H"),LET(startStep,XLOOKUP("axis_start_step",Calibration!$B:$B,Calibration!$C:$C,5),step1,XLOOKUP("axis_reversal_step_1",Calibration!$B:$B,Calibration!$C:$C,3),step2,XLOOKUP("axis_reversal_step_2",Calibration!$B:$B,Calibration!$C:$C,1),IF(OR(C410&lt;&gt;C411,AZ411="",AZ411="SAME",AZ411="CANT_TELL",I411="",I411="SAME",I411="CANT_TELL"),startStep,IF(OR(AND(AZ411="BETTER_1",I411="BETTER_2"),AND(AZ411="BETTER_2",I411="BETTER_1")),IF(AD410&gt;step1,step1,step2),AD410))),0))</f>
        <v/>
      </c>
      <c r="AE411" s="28" t="str">
        <f t="array" ref="AE411">IF($I410="","",XLOOKUP($B411,Derived_Variables!$A:$A,Derived_Variables!$AD:$AD,"No_Fog"))</f>
        <v/>
      </c>
      <c r="AF411" s="28" t="str">
        <f t="array" ref="AF411">IF($I410="","",XLOOKUP($B411,Derived_Variables!$A:$A,Derived_Variables!$AE:$AE,0))</f>
        <v/>
      </c>
      <c r="AG411" s="28" t="str">
        <f t="array" ref="AG411">IF($I410="","",XLOOKUP($B411,Derived_Variables!$A:$A,Derived_Variables!$AF:$AF,""))</f>
        <v/>
      </c>
      <c r="AH411" s="28" t="str">
        <f t="array" ref="AH411">IF($I410="","",XLOOKUP($B411,Derived_Variables!$A:$A,Derived_Variables!$AG:$AG,""))</f>
        <v/>
      </c>
      <c r="AI411" s="28" t="str">
        <f t="array" ref="AI411">IF($I410="","",XLOOKUP($B411,Derived_Variables!$A:$A,Derived_Variables!$AC:$AC,"Medium"))</f>
        <v/>
      </c>
      <c r="AJ411" s="28" t="str">
        <f t="array" ref="AJ411">IF($I410="","",XLOOKUP($B411,Derived_Variables!$A:$A,Derived_Variables!$Y:$Y,FALSE))</f>
        <v/>
      </c>
      <c r="AK411" s="28" t="str">
        <f t="array" ref="AK411">IF($I410="","",XLOOKUP($B411,Derived_Variables!$A:$A,Derived_Variables!$AA:$AA,"Normal"))</f>
        <v/>
      </c>
      <c r="AL411" s="28" t="str">
        <f t="array" ref="AL411">IF($I410="","",XLOOKUP($B411,Derived_Variables!$A:$A,Derived_Variables!$AB:$AB,"Normal"))</f>
        <v/>
      </c>
      <c r="AM411" s="28" t="str">
        <f t="array" ref="AM411">IF($I411="","",IFS(C411="B",IF(OR(I411="NOT_READABLE",I411="BLURRY"),-AB411,0),C411="G",IFS(I411="RED_CLEARER",XLOOKUP("duochrome_red_step",Calibration!$B:$B,Calibration!$C:$C,-0.25),I411="GREEN_CLEARER",XLOOKUP("duochrome_green_step",Calibration!$B:$B,Calibration!$C:$C,0.25),I411="EQUAL",IF(XLOOKUP($B411,Derived_Variables!$A:$A,Derived_Variables!$S:$S,"Neutral")="Undercorrect",XLOOKUP("undercorrect_step",Calibration!$B:$B,Calibration!$C:$C,0.25),IF(XLOOKUP($B411,Derived_Variables!$A:$A,Derived_Variables!$S:$S,"Neutral")="Overcorrect",-XLOOKUP("overcorrect_step",Calibration!$B:$B,Calibration!$C:$C,0.25),0)),TRUE,0),C411="K",IF(I411="TOP_CLEARER",XLOOKUP("bino_balance_step",Calibration!$B:$B,Calibration!$C:$C,0.25),0),TRUE,0))</f>
        <v/>
      </c>
      <c r="AN411" s="28" t="str">
        <f t="shared" si="10"/>
        <v/>
      </c>
      <c r="AO411" s="28" t="str">
        <f t="shared" si="11"/>
        <v/>
      </c>
      <c r="AP411" s="28" t="str">
        <f t="array" ref="AP411">IF($I411="","",IFS(C411="D",IF(OR(I411="NOT_READABLE",I411="BLURRY"),-AB411,0),C411="J",IFS(I411="RED_CLEARER",XLOOKUP("duochrome_red_step",Calibration!$B:$B,Calibration!$C:$C,-0.25),I411="GREEN_CLEARER",XLOOKUP("duochrome_green_step",Calibration!$B:$B,Calibration!$C:$C,0.25),I411="EQUAL",IF(XLOOKUP($B411,Derived_Variables!$A:$A,Derived_Variables!$S:$S,"Neutral")="Undercorrect",XLOOKUP("undercorrect_step",Calibration!$B:$B,Calibration!$C:$C,0.25),IF(XLOOKUP($B411,Derived_Variables!$A:$A,Derived_Variables!$S:$S,"Neutral")="Overcorrect",-XLOOKUP("overcorrect_step",Calibration!$B:$B,Calibration!$C:$C,0.25),0)),TRUE,0),C411="K",IF(I411="BOTTOM_CLEARER",XLOOKUP("bino_balance_step",Calibration!$B:$B,Calibration!$C:$C,0.25),0),TRUE,0))</f>
        <v/>
      </c>
      <c r="AQ411" s="28" t="str">
        <f t="shared" si="12"/>
        <v/>
      </c>
      <c r="AR411" s="28" t="str">
        <f t="shared" si="13"/>
        <v/>
      </c>
      <c r="AS411" s="28" t="str">
        <f t="array" ref="AS411">IF($I411="","",IF(C411="P",IF(OR(I411="NOT_READABLE",I411="BLURRY"),XLOOKUP("near_add_step",Calibration!$B:$B,Calibration!$C:$C,0.25),0),IF(C411="R",IF(I411="NOT_CLEAR",XLOOKUP("near_add_step",Calibration!$B:$B,Calibration!$C:$C,0.25),0),0)))</f>
        <v/>
      </c>
      <c r="AT411" s="28" t="str">
        <f t="array" ref="AT411">IF($I411="","",IF(C411="Q",IF(OR(I411="NOT_READABLE",I411="BLURRY"),XLOOKUP("near_add_step",Calibration!$B:$B,Calibration!$C:$C,0.25),0),IF(C411="R",IF(I411="NOT_CLEAR",XLOOKUP("near_add_step",Calibration!$B:$B,Calibration!$C:$C,0.25),0),0)))</f>
        <v/>
      </c>
      <c r="AU411" s="28" t="str">
        <f t="array" ref="AU411">IF($I411="","",IF(G411="SNELLEN_FEET",IF(I411="READABLE",IFERROR(XLOOKUP(XLOOKUP(R411,Chart_Scale_Distance!B:B,Chart_Scale_Distance!A:A)+1,Chart_Scale_Distance!A:A,Chart_Scale_Distance!B:B),R411),R411),R411))</f>
        <v/>
      </c>
      <c r="AV411" s="28" t="str">
        <f t="array" ref="AV411">IF($I410="","",IFERROR(XLOOKUP(R411,Chart_Scale_Distance!$B:$B,Chart_Scale_Distance!$A:$A,""),""))</f>
        <v/>
      </c>
      <c r="AW411" s="28" t="str">
        <f t="array" ref="AW411">IF($I410="","",IFERROR(XLOOKUP(AA411,Chart_Scale_Distance!$B:$B,Chart_Scale_Distance!$A:$A,""),""))</f>
        <v/>
      </c>
      <c r="AX411" s="28" t="str">
        <f t="shared" si="14"/>
        <v/>
      </c>
      <c r="AY411" s="28" t="str">
        <f t="shared" si="15"/>
        <v/>
      </c>
      <c r="AZ411" s="28" t="str">
        <f t="shared" si="16"/>
        <v/>
      </c>
      <c r="BA411" s="28" t="str">
        <f t="shared" si="17"/>
        <v/>
      </c>
      <c r="BB411" s="28" t="str">
        <f t="shared" si="18"/>
        <v/>
      </c>
      <c r="BC411" s="28" t="str">
        <f t="array" ref="BC411">IF($I411="","",LET(
conf,AI411,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duoMax,XLOOKUP($B411,Derived_Variables!$A:$A,Derived_Variables!$AI:$AI,4),
axisTol,XLOOKUP($B411,Derived_Variables!$A:$A,Derived_Variables!$W:$W,1),
maxStart,XLOOKUP($B411,Derived_Variables!$A:$A,Derived_Variables!$U:$U,1.25),
maxAR,XLOOKUP($B411,Derived_Variables!$A:$A,Derived_Variables!$V:$V,3),
anom,XLOOKUP($B411,Derived_Variables!$A:$A,Derived_Variables!$Z:$Z,FALSE),
reStart,XLOOKUP($B411,Derived_Variables!$A:$A,Derived_Variables!$K:$K,0),
leStart,XLOOKUP($B411,Derived_Variables!$A:$A,Derived_Variables!$N:$N,0),
reAR,XLOOKUP($B411,AR_Input!$A:$A,AR_Input!$B:$B,reStart),
leAR,XLOOKUP($B411,AR_Input!$A:$A,AR_Input!$E:$E,leStart),
reEsc,AND(anom,OR(ABS((S411+AM411)-reStart)&gt;maxStart,ABS((S411+AM411)-reAR)&gt;maxAR)),
leEsc,AND(anom,OR(ABS((V411+AP411)-leStart)&gt;maxStart,ABS((V411+AP411)-leAR)&gt;maxAR)),
phaseMax,IFS(
 AK411="Fast",
   IFS(
     OR(C411="B",C411="D"),XLOOKUP("timeout_coarse_fast",Calibration!$B:$B,Calibration!$C:$C,24),
     OR(C411="E",C411="F",C411="H",C411="I"),XLOOKUP("timeout_jcc_fast",Calibration!$B:$B,Calibration!$C:$C,10),
     OR(C411="G",C411="J"),XLOOKUP("timeout_duochrome_fast",Calibration!$B:$B,Calibration!$C:$C,8),
     C411="K",XLOOKUP("timeout_bino_fast",Calibration!$B:$B,Calibration!$C:$C,10),
     OR(C411="P",C411="Q",C411="R"),XLOOKUP("timeout_near_fast",Calibration!$B:$B,Calibration!$C:$C,16),
     TRUE,XLOOKUP("timeout_coarse_fast",Calibration!$B:$B,Calibration!$C:$C,24)
   ),
 AK411="Normal",
   IFS(
     OR(C411="B",C411="D"),XLOOKUP("timeout_coarse_normal",Calibration!$B:$B,Calibration!$C:$C,36),
     OR(C411="E",C411="F",C411="H",C411="I"),XLOOKUP("timeout_jcc_normal",Calibration!$B:$B,Calibration!$C:$C,14),
     OR(C411="G",C411="J"),XLOOKUP("timeout_duochrome_normal",Calibration!$B:$B,Calibration!$C:$C,10),
     C411="K",XLOOKUP("timeout_bino_normal",Calibration!$B:$B,Calibration!$C:$C,14),
     OR(C411="P",C411="Q",C411="R"),XLOOKUP("timeout_near_normal",Calibration!$B:$B,Calibration!$C:$C,22),
     TRUE,XLOOKUP("timeout_coarse_normal",Calibration!$B:$B,Calibration!$C:$C,36)
   ),
 TRUE,
   IFS(
     OR(C411="B",C411="D"),XLOOKUP("timeout_coarse_slow",Calibration!$B:$B,Calibration!$C:$C,48),
     OR(C411="E",C411="F",C411="H",C411="I"),XLOOKUP("timeout_jcc_slow",Calibration!$B:$B,Calibration!$C:$C,18),
     OR(C411="G",C411="J"),XLOOKUP("timeout_duochrome_slow",Calibration!$B:$B,Calibration!$C:$C,12),
     C411="K",XLOOKUP("timeout_bino_slow",Calibration!$B:$B,Calibration!$C:$C,18),
     OR(C411="P",C411="Q",C411="R"),XLOOKUP("timeout_near_slow",Calibration!$B:$B,Calibration!$C:$C,28),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AJ411=TRUE,"ESCALATE",
C411="A",
IF(OR(I411="NOT_READABLE",I411="BLURRY",AND(R411="20_20_20",I411="READABLE")),"B","A"),
C411="B",
IF(reEsc,"ESCALATE",IF(AY411&gt;=phaseMax,"ESCALATE",IF(AND(AV411&gt;=AW411,I411="READABLE"),"E","B"))),
C411="E",
IF(AY411&gt;=phaseMax,"ESCALATE",IF(OR(I411="SAME",I411="CANT_TELL",AD411&lt;axisTol),"F","E")),
C411="F",
IF(AY411&gt;=phaseMax,"ESCALATE",IF(AX411&gt;=powerSameN,"G","F")),
C411="G",
IF(AY411&gt;=phaseMax,"ESCALATE",IF(OR(AX411&gt;=duoEqualN,BB411&gt;=duoMax),"D","G")),
C411="D",
IF(leEsc,"ESCALATE",IF(AY411&gt;=phaseMax,"ESCALATE",IF(AND(AV411&gt;=AW411,I411="READABLE"),"H","D"))),
C411="H",
IF(AY411&gt;=phaseMax,"ESCALATE",IF(OR(I411="SAME",I411="CANT_TELL",AD411&lt;axisTol),"I","H")),
C411="I",
IF(AY411&gt;=phaseMax,"ESCALATE",IF(AX411&gt;=powerSameN,"J","I")),
C411="J",
IF(AY411&gt;=phaseMax,"ESCALATE",IF(OR(AX411&gt;=duoEqualN,BB411&gt;=duoMax),"K","J")),
C411="K",
IF(AY411&gt;=phaseMax,"ESCALATE",IF(AX411&gt;=binoSameN,IF(XLOOKUP($B411,Derived_Variables!$A:$A,Derived_Variables!$AJ:$AJ,FALSE)=TRUE,"P","END"),"K")),
C411="P",
IF(AY411&gt;=phaseMax,"ESCALATE",IF(OR(I411="READABLE",I411="SAME"),"Q","P")),
C411="Q",
IF(AY411&gt;=phaseMax,"ESCALATE",IF(OR(I411="READABLE",I411="SAME"),"R","Q")),
C411="R",
IF(AY411&gt;=phaseMax,"ESCALATE",IF(OR(I411=nearTarget,I411="SAME"),"END","R")),
TRUE,"END"
)))</f>
        <v/>
      </c>
      <c r="BD411" s="28" t="b">
        <f t="shared" si="19"/>
        <v>0</v>
      </c>
    </row>
    <row r="412" ht="15.75" customHeight="1">
      <c r="A412" s="28">
        <f t="shared" si="3"/>
        <v>411</v>
      </c>
      <c r="B412" s="28">
        <f t="shared" si="4"/>
        <v>6</v>
      </c>
      <c r="C412" s="28" t="str">
        <f t="shared" si="5"/>
        <v/>
      </c>
      <c r="D412" s="28" t="str">
        <f t="array" ref="D412">IF($I411="","",XLOOKUP(C412,FSM_State_Map!A:A,FSM_State_Map!B:B,""))</f>
        <v/>
      </c>
      <c r="E412" s="28" t="str">
        <f t="array" ref="E412">IF($I411="","",XLOOKUP(C412,FSM_State_Map!A:A,FSM_State_Map!C:C,""))</f>
        <v/>
      </c>
      <c r="F412" s="28" t="str">
        <f t="array" ref="F412">IF($I411="","",XLOOKUP(E412,Phase_UI_Map!A:A,Phase_UI_Map!B:B,""))</f>
        <v/>
      </c>
      <c r="G412" s="28" t="str">
        <f t="array" ref="G412">IF($I411="","",XLOOKUP(E412,Phase_UI_Map!A:A,Phase_UI_Map!C:C,""))</f>
        <v/>
      </c>
      <c r="H412" s="28" t="str">
        <f t="array" ref="H412">IF($I411="","",XLOOKUP(E412,Phase_UI_Map!A:A,Phase_UI_Map!D:D,""))</f>
        <v/>
      </c>
      <c r="I412" s="29"/>
      <c r="J412" s="28" t="str">
        <f>IFERROR(__xludf.DUMMYFUNCTION("IF($I411="""","""",IFERROR(INDEX(FILTER(Response_Lists!$B:$B,Response_Lists!$A:$A=$H412),1),""""))"),"")</f>
        <v/>
      </c>
      <c r="K412" s="28" t="str">
        <f>IFERROR(__xludf.DUMMYFUNCTION("IF($I411="""","""",IFERROR(INDEX(FILTER(Response_Lists!$B:$B,Response_Lists!$A:$A=$H412),2),""""))"),"")</f>
        <v/>
      </c>
      <c r="L412" s="28" t="str">
        <f>IFERROR(__xludf.DUMMYFUNCTION("IF($I411="""","""",IFERROR(INDEX(FILTER(Response_Lists!$B:$B,Response_Lists!$A:$A=$H412),3),""""))"),"")</f>
        <v/>
      </c>
      <c r="M412" s="28" t="str">
        <f>IFERROR(__xludf.DUMMYFUNCTION("IF($I411="""","""",IFERROR(INDEX(FILTER(Response_Lists!$B:$B,Response_Lists!$A:$A=$H412),4),""""))"),"")</f>
        <v/>
      </c>
      <c r="N412" s="28" t="str">
        <f>IFERROR(__xludf.DUMMYFUNCTION("IF($I411="""","""",IFERROR(INDEX(FILTER(Response_Lists!$B:$B,Response_Lists!$A:$A=$H412),5),""""))"),"")</f>
        <v/>
      </c>
      <c r="O412" s="28" t="str">
        <f>IFERROR(__xludf.DUMMYFUNCTION("IF($I411="""","""",IFERROR(INDEX(FILTER(Response_Lists!$B:$B,Response_Lists!$A:$A=$H412),6),""""))"),"")</f>
        <v/>
      </c>
      <c r="P412" s="28" t="str">
        <f t="shared" si="6"/>
        <v/>
      </c>
      <c r="Q412" s="28" t="str">
        <f t="array" ref="Q412">IF($I411="","",XLOOKUP(C412,FSM_State_Map!A:A,FSM_State_Map!D:D,""))</f>
        <v/>
      </c>
      <c r="R412" s="28" t="str">
        <f t="shared" si="7"/>
        <v/>
      </c>
      <c r="S412" s="28" t="str">
        <f t="array" ref="S412">IF($I411="","",
IF(
  AND(C412="B",C411&lt;&gt;"B"),
  XLOOKUP($B412,Derived_Variables!$A:$A,Derived_Variables!$K:$K,0)
  + XLOOKUP($B412,Derived_Variables!$A:$A,Derived_Variables!$AE:$AE,0),
  S411+AM411
))</f>
        <v/>
      </c>
      <c r="T412" s="28" t="str">
        <f t="shared" ref="T412:U412" si="834">IF($I411="","",T411+AN411)</f>
        <v/>
      </c>
      <c r="U412" s="28" t="str">
        <f t="shared" si="834"/>
        <v/>
      </c>
      <c r="V412" s="28" t="str">
        <f t="array" ref="V412">IF($I411="","",
IF(
  AND(C412="D",C411&lt;&gt;"D"),
  XLOOKUP($B412,Derived_Variables!$A:$A,Derived_Variables!$N:$N,0)
  + XLOOKUP($B412,Derived_Variables!$A:$A,Derived_Variables!$AE:$AE,0),
  V411+AP411
))</f>
        <v/>
      </c>
      <c r="W412" s="28" t="str">
        <f t="shared" ref="W412:X412" si="835">IF($I411="","",W411+AQ411)</f>
        <v/>
      </c>
      <c r="X412" s="28" t="str">
        <f t="shared" si="835"/>
        <v/>
      </c>
      <c r="Y412" s="28" t="str">
        <f t="array" ref="Y412">IF($I411="","",IF(AND(C412="P",C411&lt;&gt;"P"),IFERROR(XLOOKUP($B412,Lenso_Input!$A:$A,Lenso_Input!$E:$E,0),0),Y411+AS411))</f>
        <v/>
      </c>
      <c r="Z412" s="28" t="str">
        <f t="array" ref="Z412">IF($I411="","",IF(AND(C412="Q",C411&lt;&gt;"Q"),IFERROR(XLOOKUP($B412,Lenso_Input!$A:$A,Lenso_Input!$I:$I,0),0),Z411+AT411))</f>
        <v/>
      </c>
      <c r="AA412" s="28" t="str">
        <f t="array" ref="AA412">IF($I411="","",IF(XLOOKUP($B412,Derived_Variables!$A:$A,Derived_Variables!$R:$R,"6/6_target")="6/6_target","20_20_20","40_30_25"))</f>
        <v/>
      </c>
      <c r="AB412" s="28" t="str">
        <f t="array" ref="AB412">IF($I411="","",XLOOKUP(LOWER(XLOOKUP($B412,Derived_Variables!$A:$A,Derived_Variables!$T:$T,"Standard"))&amp;"_sph_step",Calibration!$B:$B,Calibration!$C:$C,0.25))</f>
        <v/>
      </c>
      <c r="AC412" s="28" t="str">
        <f t="array" ref="AC412">IF($I411="","",XLOOKUP(LOWER(XLOOKUP($B412,Derived_Variables!$A:$A,Derived_Variables!$T:$T,"Standard"))&amp;"_cyl_step",Calibration!$B:$B,Calibration!$C:$C,0.25))</f>
        <v/>
      </c>
      <c r="AD412" s="28" t="str">
        <f t="array" ref="AD412">IF($I411="","",IF(OR(C412="E",C412="H"),LET(startStep,XLOOKUP("axis_start_step",Calibration!$B:$B,Calibration!$C:$C,5),step1,XLOOKUP("axis_reversal_step_1",Calibration!$B:$B,Calibration!$C:$C,3),step2,XLOOKUP("axis_reversal_step_2",Calibration!$B:$B,Calibration!$C:$C,1),IF(OR(C411&lt;&gt;C412,AZ412="",AZ412="SAME",AZ412="CANT_TELL",I412="",I412="SAME",I412="CANT_TELL"),startStep,IF(OR(AND(AZ412="BETTER_1",I412="BETTER_2"),AND(AZ412="BETTER_2",I412="BETTER_1")),IF(AD411&gt;step1,step1,step2),AD411))),0))</f>
        <v/>
      </c>
      <c r="AE412" s="28" t="str">
        <f t="array" ref="AE412">IF($I411="","",XLOOKUP($B412,Derived_Variables!$A:$A,Derived_Variables!$AD:$AD,"No_Fog"))</f>
        <v/>
      </c>
      <c r="AF412" s="28" t="str">
        <f t="array" ref="AF412">IF($I411="","",XLOOKUP($B412,Derived_Variables!$A:$A,Derived_Variables!$AE:$AE,0))</f>
        <v/>
      </c>
      <c r="AG412" s="28" t="str">
        <f t="array" ref="AG412">IF($I411="","",XLOOKUP($B412,Derived_Variables!$A:$A,Derived_Variables!$AF:$AF,""))</f>
        <v/>
      </c>
      <c r="AH412" s="28" t="str">
        <f t="array" ref="AH412">IF($I411="","",XLOOKUP($B412,Derived_Variables!$A:$A,Derived_Variables!$AG:$AG,""))</f>
        <v/>
      </c>
      <c r="AI412" s="28" t="str">
        <f t="array" ref="AI412">IF($I411="","",XLOOKUP($B412,Derived_Variables!$A:$A,Derived_Variables!$AC:$AC,"Medium"))</f>
        <v/>
      </c>
      <c r="AJ412" s="28" t="str">
        <f t="array" ref="AJ412">IF($I411="","",XLOOKUP($B412,Derived_Variables!$A:$A,Derived_Variables!$Y:$Y,FALSE))</f>
        <v/>
      </c>
      <c r="AK412" s="28" t="str">
        <f t="array" ref="AK412">IF($I411="","",XLOOKUP($B412,Derived_Variables!$A:$A,Derived_Variables!$AA:$AA,"Normal"))</f>
        <v/>
      </c>
      <c r="AL412" s="28" t="str">
        <f t="array" ref="AL412">IF($I411="","",XLOOKUP($B412,Derived_Variables!$A:$A,Derived_Variables!$AB:$AB,"Normal"))</f>
        <v/>
      </c>
      <c r="AM412" s="28" t="str">
        <f t="array" ref="AM412">IF($I412="","",IFS(C412="B",IF(OR(I412="NOT_READABLE",I412="BLURRY"),-AB412,0),C412="G",IFS(I412="RED_CLEARER",XLOOKUP("duochrome_red_step",Calibration!$B:$B,Calibration!$C:$C,-0.25),I412="GREEN_CLEARER",XLOOKUP("duochrome_green_step",Calibration!$B:$B,Calibration!$C:$C,0.25),I412="EQUAL",IF(XLOOKUP($B412,Derived_Variables!$A:$A,Derived_Variables!$S:$S,"Neutral")="Undercorrect",XLOOKUP("undercorrect_step",Calibration!$B:$B,Calibration!$C:$C,0.25),IF(XLOOKUP($B412,Derived_Variables!$A:$A,Derived_Variables!$S:$S,"Neutral")="Overcorrect",-XLOOKUP("overcorrect_step",Calibration!$B:$B,Calibration!$C:$C,0.25),0)),TRUE,0),C412="K",IF(I412="TOP_CLEARER",XLOOKUP("bino_balance_step",Calibration!$B:$B,Calibration!$C:$C,0.25),0),TRUE,0))</f>
        <v/>
      </c>
      <c r="AN412" s="28" t="str">
        <f t="shared" si="10"/>
        <v/>
      </c>
      <c r="AO412" s="28" t="str">
        <f t="shared" si="11"/>
        <v/>
      </c>
      <c r="AP412" s="28" t="str">
        <f t="array" ref="AP412">IF($I412="","",IFS(C412="D",IF(OR(I412="NOT_READABLE",I412="BLURRY"),-AB412,0),C412="J",IFS(I412="RED_CLEARER",XLOOKUP("duochrome_red_step",Calibration!$B:$B,Calibration!$C:$C,-0.25),I412="GREEN_CLEARER",XLOOKUP("duochrome_green_step",Calibration!$B:$B,Calibration!$C:$C,0.25),I412="EQUAL",IF(XLOOKUP($B412,Derived_Variables!$A:$A,Derived_Variables!$S:$S,"Neutral")="Undercorrect",XLOOKUP("undercorrect_step",Calibration!$B:$B,Calibration!$C:$C,0.25),IF(XLOOKUP($B412,Derived_Variables!$A:$A,Derived_Variables!$S:$S,"Neutral")="Overcorrect",-XLOOKUP("overcorrect_step",Calibration!$B:$B,Calibration!$C:$C,0.25),0)),TRUE,0),C412="K",IF(I412="BOTTOM_CLEARER",XLOOKUP("bino_balance_step",Calibration!$B:$B,Calibration!$C:$C,0.25),0),TRUE,0))</f>
        <v/>
      </c>
      <c r="AQ412" s="28" t="str">
        <f t="shared" si="12"/>
        <v/>
      </c>
      <c r="AR412" s="28" t="str">
        <f t="shared" si="13"/>
        <v/>
      </c>
      <c r="AS412" s="28" t="str">
        <f t="array" ref="AS412">IF($I412="","",IF(C412="P",IF(OR(I412="NOT_READABLE",I412="BLURRY"),XLOOKUP("near_add_step",Calibration!$B:$B,Calibration!$C:$C,0.25),0),IF(C412="R",IF(I412="NOT_CLEAR",XLOOKUP("near_add_step",Calibration!$B:$B,Calibration!$C:$C,0.25),0),0)))</f>
        <v/>
      </c>
      <c r="AT412" s="28" t="str">
        <f t="array" ref="AT412">IF($I412="","",IF(C412="Q",IF(OR(I412="NOT_READABLE",I412="BLURRY"),XLOOKUP("near_add_step",Calibration!$B:$B,Calibration!$C:$C,0.25),0),IF(C412="R",IF(I412="NOT_CLEAR",XLOOKUP("near_add_step",Calibration!$B:$B,Calibration!$C:$C,0.25),0),0)))</f>
        <v/>
      </c>
      <c r="AU412" s="28" t="str">
        <f t="array" ref="AU412">IF($I412="","",IF(G412="SNELLEN_FEET",IF(I412="READABLE",IFERROR(XLOOKUP(XLOOKUP(R412,Chart_Scale_Distance!B:B,Chart_Scale_Distance!A:A)+1,Chart_Scale_Distance!A:A,Chart_Scale_Distance!B:B),R412),R412),R412))</f>
        <v/>
      </c>
      <c r="AV412" s="28" t="str">
        <f t="array" ref="AV412">IF($I411="","",IFERROR(XLOOKUP(R412,Chart_Scale_Distance!$B:$B,Chart_Scale_Distance!$A:$A,""),""))</f>
        <v/>
      </c>
      <c r="AW412" s="28" t="str">
        <f t="array" ref="AW412">IF($I411="","",IFERROR(XLOOKUP(AA412,Chart_Scale_Distance!$B:$B,Chart_Scale_Distance!$A:$A,""),""))</f>
        <v/>
      </c>
      <c r="AX412" s="28" t="str">
        <f t="shared" si="14"/>
        <v/>
      </c>
      <c r="AY412" s="28" t="str">
        <f t="shared" si="15"/>
        <v/>
      </c>
      <c r="AZ412" s="28" t="str">
        <f t="shared" si="16"/>
        <v/>
      </c>
      <c r="BA412" s="28" t="str">
        <f t="shared" si="17"/>
        <v/>
      </c>
      <c r="BB412" s="28" t="str">
        <f t="shared" si="18"/>
        <v/>
      </c>
      <c r="BC412" s="28" t="str">
        <f t="array" ref="BC412">IF($I412="","",LET(
conf,AI412,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duoMax,XLOOKUP($B412,Derived_Variables!$A:$A,Derived_Variables!$AI:$AI,4),
axisTol,XLOOKUP($B412,Derived_Variables!$A:$A,Derived_Variables!$W:$W,1),
maxStart,XLOOKUP($B412,Derived_Variables!$A:$A,Derived_Variables!$U:$U,1.25),
maxAR,XLOOKUP($B412,Derived_Variables!$A:$A,Derived_Variables!$V:$V,3),
anom,XLOOKUP($B412,Derived_Variables!$A:$A,Derived_Variables!$Z:$Z,FALSE),
reStart,XLOOKUP($B412,Derived_Variables!$A:$A,Derived_Variables!$K:$K,0),
leStart,XLOOKUP($B412,Derived_Variables!$A:$A,Derived_Variables!$N:$N,0),
reAR,XLOOKUP($B412,AR_Input!$A:$A,AR_Input!$B:$B,reStart),
leAR,XLOOKUP($B412,AR_Input!$A:$A,AR_Input!$E:$E,leStart),
reEsc,AND(anom,OR(ABS((S412+AM412)-reStart)&gt;maxStart,ABS((S412+AM412)-reAR)&gt;maxAR)),
leEsc,AND(anom,OR(ABS((V412+AP412)-leStart)&gt;maxStart,ABS((V412+AP412)-leAR)&gt;maxAR)),
phaseMax,IFS(
 AK412="Fast",
   IFS(
     OR(C412="B",C412="D"),XLOOKUP("timeout_coarse_fast",Calibration!$B:$B,Calibration!$C:$C,24),
     OR(C412="E",C412="F",C412="H",C412="I"),XLOOKUP("timeout_jcc_fast",Calibration!$B:$B,Calibration!$C:$C,10),
     OR(C412="G",C412="J"),XLOOKUP("timeout_duochrome_fast",Calibration!$B:$B,Calibration!$C:$C,8),
     C412="K",XLOOKUP("timeout_bino_fast",Calibration!$B:$B,Calibration!$C:$C,10),
     OR(C412="P",C412="Q",C412="R"),XLOOKUP("timeout_near_fast",Calibration!$B:$B,Calibration!$C:$C,16),
     TRUE,XLOOKUP("timeout_coarse_fast",Calibration!$B:$B,Calibration!$C:$C,24)
   ),
 AK412="Normal",
   IFS(
     OR(C412="B",C412="D"),XLOOKUP("timeout_coarse_normal",Calibration!$B:$B,Calibration!$C:$C,36),
     OR(C412="E",C412="F",C412="H",C412="I"),XLOOKUP("timeout_jcc_normal",Calibration!$B:$B,Calibration!$C:$C,14),
     OR(C412="G",C412="J"),XLOOKUP("timeout_duochrome_normal",Calibration!$B:$B,Calibration!$C:$C,10),
     C412="K",XLOOKUP("timeout_bino_normal",Calibration!$B:$B,Calibration!$C:$C,14),
     OR(C412="P",C412="Q",C412="R"),XLOOKUP("timeout_near_normal",Calibration!$B:$B,Calibration!$C:$C,22),
     TRUE,XLOOKUP("timeout_coarse_normal",Calibration!$B:$B,Calibration!$C:$C,36)
   ),
 TRUE,
   IFS(
     OR(C412="B",C412="D"),XLOOKUP("timeout_coarse_slow",Calibration!$B:$B,Calibration!$C:$C,48),
     OR(C412="E",C412="F",C412="H",C412="I"),XLOOKUP("timeout_jcc_slow",Calibration!$B:$B,Calibration!$C:$C,18),
     OR(C412="G",C412="J"),XLOOKUP("timeout_duochrome_slow",Calibration!$B:$B,Calibration!$C:$C,12),
     C412="K",XLOOKUP("timeout_bino_slow",Calibration!$B:$B,Calibration!$C:$C,18),
     OR(C412="P",C412="Q",C412="R"),XLOOKUP("timeout_near_slow",Calibration!$B:$B,Calibration!$C:$C,28),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AJ412=TRUE,"ESCALATE",
C412="A",
IF(OR(I412="NOT_READABLE",I412="BLURRY",AND(R412="20_20_20",I412="READABLE")),"B","A"),
C412="B",
IF(reEsc,"ESCALATE",IF(AY412&gt;=phaseMax,"ESCALATE",IF(AND(AV412&gt;=AW412,I412="READABLE"),"E","B"))),
C412="E",
IF(AY412&gt;=phaseMax,"ESCALATE",IF(OR(I412="SAME",I412="CANT_TELL",AD412&lt;axisTol),"F","E")),
C412="F",
IF(AY412&gt;=phaseMax,"ESCALATE",IF(AX412&gt;=powerSameN,"G","F")),
C412="G",
IF(AY412&gt;=phaseMax,"ESCALATE",IF(OR(AX412&gt;=duoEqualN,BB412&gt;=duoMax),"D","G")),
C412="D",
IF(leEsc,"ESCALATE",IF(AY412&gt;=phaseMax,"ESCALATE",IF(AND(AV412&gt;=AW412,I412="READABLE"),"H","D"))),
C412="H",
IF(AY412&gt;=phaseMax,"ESCALATE",IF(OR(I412="SAME",I412="CANT_TELL",AD412&lt;axisTol),"I","H")),
C412="I",
IF(AY412&gt;=phaseMax,"ESCALATE",IF(AX412&gt;=powerSameN,"J","I")),
C412="J",
IF(AY412&gt;=phaseMax,"ESCALATE",IF(OR(AX412&gt;=duoEqualN,BB412&gt;=duoMax),"K","J")),
C412="K",
IF(AY412&gt;=phaseMax,"ESCALATE",IF(AX412&gt;=binoSameN,IF(XLOOKUP($B412,Derived_Variables!$A:$A,Derived_Variables!$AJ:$AJ,FALSE)=TRUE,"P","END"),"K")),
C412="P",
IF(AY412&gt;=phaseMax,"ESCALATE",IF(OR(I412="READABLE",I412="SAME"),"Q","P")),
C412="Q",
IF(AY412&gt;=phaseMax,"ESCALATE",IF(OR(I412="READABLE",I412="SAME"),"R","Q")),
C412="R",
IF(AY412&gt;=phaseMax,"ESCALATE",IF(OR(I412=nearTarget,I412="SAME"),"END","R")),
TRUE,"END"
)))</f>
        <v/>
      </c>
      <c r="BD412" s="28" t="b">
        <f t="shared" si="19"/>
        <v>0</v>
      </c>
    </row>
    <row r="413" ht="15.75" customHeight="1">
      <c r="A413" s="28">
        <f t="shared" si="3"/>
        <v>412</v>
      </c>
      <c r="B413" s="28">
        <f t="shared" si="4"/>
        <v>6</v>
      </c>
      <c r="C413" s="28" t="str">
        <f t="shared" si="5"/>
        <v/>
      </c>
      <c r="D413" s="28" t="str">
        <f t="array" ref="D413">IF($I412="","",XLOOKUP(C413,FSM_State_Map!A:A,FSM_State_Map!B:B,""))</f>
        <v/>
      </c>
      <c r="E413" s="28" t="str">
        <f t="array" ref="E413">IF($I412="","",XLOOKUP(C413,FSM_State_Map!A:A,FSM_State_Map!C:C,""))</f>
        <v/>
      </c>
      <c r="F413" s="28" t="str">
        <f t="array" ref="F413">IF($I412="","",XLOOKUP(E413,Phase_UI_Map!A:A,Phase_UI_Map!B:B,""))</f>
        <v/>
      </c>
      <c r="G413" s="28" t="str">
        <f t="array" ref="G413">IF($I412="","",XLOOKUP(E413,Phase_UI_Map!A:A,Phase_UI_Map!C:C,""))</f>
        <v/>
      </c>
      <c r="H413" s="28" t="str">
        <f t="array" ref="H413">IF($I412="","",XLOOKUP(E413,Phase_UI_Map!A:A,Phase_UI_Map!D:D,""))</f>
        <v/>
      </c>
      <c r="I413" s="29"/>
      <c r="J413" s="28" t="str">
        <f>IFERROR(__xludf.DUMMYFUNCTION("IF($I412="""","""",IFERROR(INDEX(FILTER(Response_Lists!$B:$B,Response_Lists!$A:$A=$H413),1),""""))"),"")</f>
        <v/>
      </c>
      <c r="K413" s="28" t="str">
        <f>IFERROR(__xludf.DUMMYFUNCTION("IF($I412="""","""",IFERROR(INDEX(FILTER(Response_Lists!$B:$B,Response_Lists!$A:$A=$H413),2),""""))"),"")</f>
        <v/>
      </c>
      <c r="L413" s="28" t="str">
        <f>IFERROR(__xludf.DUMMYFUNCTION("IF($I412="""","""",IFERROR(INDEX(FILTER(Response_Lists!$B:$B,Response_Lists!$A:$A=$H413),3),""""))"),"")</f>
        <v/>
      </c>
      <c r="M413" s="28" t="str">
        <f>IFERROR(__xludf.DUMMYFUNCTION("IF($I412="""","""",IFERROR(INDEX(FILTER(Response_Lists!$B:$B,Response_Lists!$A:$A=$H413),4),""""))"),"")</f>
        <v/>
      </c>
      <c r="N413" s="28" t="str">
        <f>IFERROR(__xludf.DUMMYFUNCTION("IF($I412="""","""",IFERROR(INDEX(FILTER(Response_Lists!$B:$B,Response_Lists!$A:$A=$H413),5),""""))"),"")</f>
        <v/>
      </c>
      <c r="O413" s="28" t="str">
        <f>IFERROR(__xludf.DUMMYFUNCTION("IF($I412="""","""",IFERROR(INDEX(FILTER(Response_Lists!$B:$B,Response_Lists!$A:$A=$H413),6),""""))"),"")</f>
        <v/>
      </c>
      <c r="P413" s="28" t="str">
        <f t="shared" si="6"/>
        <v/>
      </c>
      <c r="Q413" s="28" t="str">
        <f t="array" ref="Q413">IF($I412="","",XLOOKUP(C413,FSM_State_Map!A:A,FSM_State_Map!D:D,""))</f>
        <v/>
      </c>
      <c r="R413" s="28" t="str">
        <f t="shared" si="7"/>
        <v/>
      </c>
      <c r="S413" s="28" t="str">
        <f t="array" ref="S413">IF($I412="","",
IF(
  AND(C413="B",C412&lt;&gt;"B"),
  XLOOKUP($B413,Derived_Variables!$A:$A,Derived_Variables!$K:$K,0)
  + XLOOKUP($B413,Derived_Variables!$A:$A,Derived_Variables!$AE:$AE,0),
  S412+AM412
))</f>
        <v/>
      </c>
      <c r="T413" s="28" t="str">
        <f t="shared" ref="T413:U413" si="836">IF($I412="","",T412+AN412)</f>
        <v/>
      </c>
      <c r="U413" s="28" t="str">
        <f t="shared" si="836"/>
        <v/>
      </c>
      <c r="V413" s="28" t="str">
        <f t="array" ref="V413">IF($I412="","",
IF(
  AND(C413="D",C412&lt;&gt;"D"),
  XLOOKUP($B413,Derived_Variables!$A:$A,Derived_Variables!$N:$N,0)
  + XLOOKUP($B413,Derived_Variables!$A:$A,Derived_Variables!$AE:$AE,0),
  V412+AP412
))</f>
        <v/>
      </c>
      <c r="W413" s="28" t="str">
        <f t="shared" ref="W413:X413" si="837">IF($I412="","",W412+AQ412)</f>
        <v/>
      </c>
      <c r="X413" s="28" t="str">
        <f t="shared" si="837"/>
        <v/>
      </c>
      <c r="Y413" s="28" t="str">
        <f t="array" ref="Y413">IF($I412="","",IF(AND(C413="P",C412&lt;&gt;"P"),IFERROR(XLOOKUP($B413,Lenso_Input!$A:$A,Lenso_Input!$E:$E,0),0),Y412+AS412))</f>
        <v/>
      </c>
      <c r="Z413" s="28" t="str">
        <f t="array" ref="Z413">IF($I412="","",IF(AND(C413="Q",C412&lt;&gt;"Q"),IFERROR(XLOOKUP($B413,Lenso_Input!$A:$A,Lenso_Input!$I:$I,0),0),Z412+AT412))</f>
        <v/>
      </c>
      <c r="AA413" s="28" t="str">
        <f t="array" ref="AA413">IF($I412="","",IF(XLOOKUP($B413,Derived_Variables!$A:$A,Derived_Variables!$R:$R,"6/6_target")="6/6_target","20_20_20","40_30_25"))</f>
        <v/>
      </c>
      <c r="AB413" s="28" t="str">
        <f t="array" ref="AB413">IF($I412="","",XLOOKUP(LOWER(XLOOKUP($B413,Derived_Variables!$A:$A,Derived_Variables!$T:$T,"Standard"))&amp;"_sph_step",Calibration!$B:$B,Calibration!$C:$C,0.25))</f>
        <v/>
      </c>
      <c r="AC413" s="28" t="str">
        <f t="array" ref="AC413">IF($I412="","",XLOOKUP(LOWER(XLOOKUP($B413,Derived_Variables!$A:$A,Derived_Variables!$T:$T,"Standard"))&amp;"_cyl_step",Calibration!$B:$B,Calibration!$C:$C,0.25))</f>
        <v/>
      </c>
      <c r="AD413" s="28" t="str">
        <f t="array" ref="AD413">IF($I412="","",IF(OR(C413="E",C413="H"),LET(startStep,XLOOKUP("axis_start_step",Calibration!$B:$B,Calibration!$C:$C,5),step1,XLOOKUP("axis_reversal_step_1",Calibration!$B:$B,Calibration!$C:$C,3),step2,XLOOKUP("axis_reversal_step_2",Calibration!$B:$B,Calibration!$C:$C,1),IF(OR(C412&lt;&gt;C413,AZ413="",AZ413="SAME",AZ413="CANT_TELL",I413="",I413="SAME",I413="CANT_TELL"),startStep,IF(OR(AND(AZ413="BETTER_1",I413="BETTER_2"),AND(AZ413="BETTER_2",I413="BETTER_1")),IF(AD412&gt;step1,step1,step2),AD412))),0))</f>
        <v/>
      </c>
      <c r="AE413" s="28" t="str">
        <f t="array" ref="AE413">IF($I412="","",XLOOKUP($B413,Derived_Variables!$A:$A,Derived_Variables!$AD:$AD,"No_Fog"))</f>
        <v/>
      </c>
      <c r="AF413" s="28" t="str">
        <f t="array" ref="AF413">IF($I412="","",XLOOKUP($B413,Derived_Variables!$A:$A,Derived_Variables!$AE:$AE,0))</f>
        <v/>
      </c>
      <c r="AG413" s="28" t="str">
        <f t="array" ref="AG413">IF($I412="","",XLOOKUP($B413,Derived_Variables!$A:$A,Derived_Variables!$AF:$AF,""))</f>
        <v/>
      </c>
      <c r="AH413" s="28" t="str">
        <f t="array" ref="AH413">IF($I412="","",XLOOKUP($B413,Derived_Variables!$A:$A,Derived_Variables!$AG:$AG,""))</f>
        <v/>
      </c>
      <c r="AI413" s="28" t="str">
        <f t="array" ref="AI413">IF($I412="","",XLOOKUP($B413,Derived_Variables!$A:$A,Derived_Variables!$AC:$AC,"Medium"))</f>
        <v/>
      </c>
      <c r="AJ413" s="28" t="str">
        <f t="array" ref="AJ413">IF($I412="","",XLOOKUP($B413,Derived_Variables!$A:$A,Derived_Variables!$Y:$Y,FALSE))</f>
        <v/>
      </c>
      <c r="AK413" s="28" t="str">
        <f t="array" ref="AK413">IF($I412="","",XLOOKUP($B413,Derived_Variables!$A:$A,Derived_Variables!$AA:$AA,"Normal"))</f>
        <v/>
      </c>
      <c r="AL413" s="28" t="str">
        <f t="array" ref="AL413">IF($I412="","",XLOOKUP($B413,Derived_Variables!$A:$A,Derived_Variables!$AB:$AB,"Normal"))</f>
        <v/>
      </c>
      <c r="AM413" s="28" t="str">
        <f t="array" ref="AM413">IF($I413="","",IFS(C413="B",IF(OR(I413="NOT_READABLE",I413="BLURRY"),-AB413,0),C413="G",IFS(I413="RED_CLEARER",XLOOKUP("duochrome_red_step",Calibration!$B:$B,Calibration!$C:$C,-0.25),I413="GREEN_CLEARER",XLOOKUP("duochrome_green_step",Calibration!$B:$B,Calibration!$C:$C,0.25),I413="EQUAL",IF(XLOOKUP($B413,Derived_Variables!$A:$A,Derived_Variables!$S:$S,"Neutral")="Undercorrect",XLOOKUP("undercorrect_step",Calibration!$B:$B,Calibration!$C:$C,0.25),IF(XLOOKUP($B413,Derived_Variables!$A:$A,Derived_Variables!$S:$S,"Neutral")="Overcorrect",-XLOOKUP("overcorrect_step",Calibration!$B:$B,Calibration!$C:$C,0.25),0)),TRUE,0),C413="K",IF(I413="TOP_CLEARER",XLOOKUP("bino_balance_step",Calibration!$B:$B,Calibration!$C:$C,0.25),0),TRUE,0))</f>
        <v/>
      </c>
      <c r="AN413" s="28" t="str">
        <f t="shared" si="10"/>
        <v/>
      </c>
      <c r="AO413" s="28" t="str">
        <f t="shared" si="11"/>
        <v/>
      </c>
      <c r="AP413" s="28" t="str">
        <f t="array" ref="AP413">IF($I413="","",IFS(C413="D",IF(OR(I413="NOT_READABLE",I413="BLURRY"),-AB413,0),C413="J",IFS(I413="RED_CLEARER",XLOOKUP("duochrome_red_step",Calibration!$B:$B,Calibration!$C:$C,-0.25),I413="GREEN_CLEARER",XLOOKUP("duochrome_green_step",Calibration!$B:$B,Calibration!$C:$C,0.25),I413="EQUAL",IF(XLOOKUP($B413,Derived_Variables!$A:$A,Derived_Variables!$S:$S,"Neutral")="Undercorrect",XLOOKUP("undercorrect_step",Calibration!$B:$B,Calibration!$C:$C,0.25),IF(XLOOKUP($B413,Derived_Variables!$A:$A,Derived_Variables!$S:$S,"Neutral")="Overcorrect",-XLOOKUP("overcorrect_step",Calibration!$B:$B,Calibration!$C:$C,0.25),0)),TRUE,0),C413="K",IF(I413="BOTTOM_CLEARER",XLOOKUP("bino_balance_step",Calibration!$B:$B,Calibration!$C:$C,0.25),0),TRUE,0))</f>
        <v/>
      </c>
      <c r="AQ413" s="28" t="str">
        <f t="shared" si="12"/>
        <v/>
      </c>
      <c r="AR413" s="28" t="str">
        <f t="shared" si="13"/>
        <v/>
      </c>
      <c r="AS413" s="28" t="str">
        <f t="array" ref="AS413">IF($I413="","",IF(C413="P",IF(OR(I413="NOT_READABLE",I413="BLURRY"),XLOOKUP("near_add_step",Calibration!$B:$B,Calibration!$C:$C,0.25),0),IF(C413="R",IF(I413="NOT_CLEAR",XLOOKUP("near_add_step",Calibration!$B:$B,Calibration!$C:$C,0.25),0),0)))</f>
        <v/>
      </c>
      <c r="AT413" s="28" t="str">
        <f t="array" ref="AT413">IF($I413="","",IF(C413="Q",IF(OR(I413="NOT_READABLE",I413="BLURRY"),XLOOKUP("near_add_step",Calibration!$B:$B,Calibration!$C:$C,0.25),0),IF(C413="R",IF(I413="NOT_CLEAR",XLOOKUP("near_add_step",Calibration!$B:$B,Calibration!$C:$C,0.25),0),0)))</f>
        <v/>
      </c>
      <c r="AU413" s="28" t="str">
        <f t="array" ref="AU413">IF($I413="","",IF(G413="SNELLEN_FEET",IF(I413="READABLE",IFERROR(XLOOKUP(XLOOKUP(R413,Chart_Scale_Distance!B:B,Chart_Scale_Distance!A:A)+1,Chart_Scale_Distance!A:A,Chart_Scale_Distance!B:B),R413),R413),R413))</f>
        <v/>
      </c>
      <c r="AV413" s="28" t="str">
        <f t="array" ref="AV413">IF($I412="","",IFERROR(XLOOKUP(R413,Chart_Scale_Distance!$B:$B,Chart_Scale_Distance!$A:$A,""),""))</f>
        <v/>
      </c>
      <c r="AW413" s="28" t="str">
        <f t="array" ref="AW413">IF($I412="","",IFERROR(XLOOKUP(AA413,Chart_Scale_Distance!$B:$B,Chart_Scale_Distance!$A:$A,""),""))</f>
        <v/>
      </c>
      <c r="AX413" s="28" t="str">
        <f t="shared" si="14"/>
        <v/>
      </c>
      <c r="AY413" s="28" t="str">
        <f t="shared" si="15"/>
        <v/>
      </c>
      <c r="AZ413" s="28" t="str">
        <f t="shared" si="16"/>
        <v/>
      </c>
      <c r="BA413" s="28" t="str">
        <f t="shared" si="17"/>
        <v/>
      </c>
      <c r="BB413" s="28" t="str">
        <f t="shared" si="18"/>
        <v/>
      </c>
      <c r="BC413" s="28" t="str">
        <f t="array" ref="BC413">IF($I413="","",LET(
conf,AI413,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duoMax,XLOOKUP($B413,Derived_Variables!$A:$A,Derived_Variables!$AI:$AI,4),
axisTol,XLOOKUP($B413,Derived_Variables!$A:$A,Derived_Variables!$W:$W,1),
maxStart,XLOOKUP($B413,Derived_Variables!$A:$A,Derived_Variables!$U:$U,1.25),
maxAR,XLOOKUP($B413,Derived_Variables!$A:$A,Derived_Variables!$V:$V,3),
anom,XLOOKUP($B413,Derived_Variables!$A:$A,Derived_Variables!$Z:$Z,FALSE),
reStart,XLOOKUP($B413,Derived_Variables!$A:$A,Derived_Variables!$K:$K,0),
leStart,XLOOKUP($B413,Derived_Variables!$A:$A,Derived_Variables!$N:$N,0),
reAR,XLOOKUP($B413,AR_Input!$A:$A,AR_Input!$B:$B,reStart),
leAR,XLOOKUP($B413,AR_Input!$A:$A,AR_Input!$E:$E,leStart),
reEsc,AND(anom,OR(ABS((S413+AM413)-reStart)&gt;maxStart,ABS((S413+AM413)-reAR)&gt;maxAR)),
leEsc,AND(anom,OR(ABS((V413+AP413)-leStart)&gt;maxStart,ABS((V413+AP413)-leAR)&gt;maxAR)),
phaseMax,IFS(
 AK413="Fast",
   IFS(
     OR(C413="B",C413="D"),XLOOKUP("timeout_coarse_fast",Calibration!$B:$B,Calibration!$C:$C,24),
     OR(C413="E",C413="F",C413="H",C413="I"),XLOOKUP("timeout_jcc_fast",Calibration!$B:$B,Calibration!$C:$C,10),
     OR(C413="G",C413="J"),XLOOKUP("timeout_duochrome_fast",Calibration!$B:$B,Calibration!$C:$C,8),
     C413="K",XLOOKUP("timeout_bino_fast",Calibration!$B:$B,Calibration!$C:$C,10),
     OR(C413="P",C413="Q",C413="R"),XLOOKUP("timeout_near_fast",Calibration!$B:$B,Calibration!$C:$C,16),
     TRUE,XLOOKUP("timeout_coarse_fast",Calibration!$B:$B,Calibration!$C:$C,24)
   ),
 AK413="Normal",
   IFS(
     OR(C413="B",C413="D"),XLOOKUP("timeout_coarse_normal",Calibration!$B:$B,Calibration!$C:$C,36),
     OR(C413="E",C413="F",C413="H",C413="I"),XLOOKUP("timeout_jcc_normal",Calibration!$B:$B,Calibration!$C:$C,14),
     OR(C413="G",C413="J"),XLOOKUP("timeout_duochrome_normal",Calibration!$B:$B,Calibration!$C:$C,10),
     C413="K",XLOOKUP("timeout_bino_normal",Calibration!$B:$B,Calibration!$C:$C,14),
     OR(C413="P",C413="Q",C413="R"),XLOOKUP("timeout_near_normal",Calibration!$B:$B,Calibration!$C:$C,22),
     TRUE,XLOOKUP("timeout_coarse_normal",Calibration!$B:$B,Calibration!$C:$C,36)
   ),
 TRUE,
   IFS(
     OR(C413="B",C413="D"),XLOOKUP("timeout_coarse_slow",Calibration!$B:$B,Calibration!$C:$C,48),
     OR(C413="E",C413="F",C413="H",C413="I"),XLOOKUP("timeout_jcc_slow",Calibration!$B:$B,Calibration!$C:$C,18),
     OR(C413="G",C413="J"),XLOOKUP("timeout_duochrome_slow",Calibration!$B:$B,Calibration!$C:$C,12),
     C413="K",XLOOKUP("timeout_bino_slow",Calibration!$B:$B,Calibration!$C:$C,18),
     OR(C413="P",C413="Q",C413="R"),XLOOKUP("timeout_near_slow",Calibration!$B:$B,Calibration!$C:$C,28),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AJ413=TRUE,"ESCALATE",
C413="A",
IF(OR(I413="NOT_READABLE",I413="BLURRY",AND(R413="20_20_20",I413="READABLE")),"B","A"),
C413="B",
IF(reEsc,"ESCALATE",IF(AY413&gt;=phaseMax,"ESCALATE",IF(AND(AV413&gt;=AW413,I413="READABLE"),"E","B"))),
C413="E",
IF(AY413&gt;=phaseMax,"ESCALATE",IF(OR(I413="SAME",I413="CANT_TELL",AD413&lt;axisTol),"F","E")),
C413="F",
IF(AY413&gt;=phaseMax,"ESCALATE",IF(AX413&gt;=powerSameN,"G","F")),
C413="G",
IF(AY413&gt;=phaseMax,"ESCALATE",IF(OR(AX413&gt;=duoEqualN,BB413&gt;=duoMax),"D","G")),
C413="D",
IF(leEsc,"ESCALATE",IF(AY413&gt;=phaseMax,"ESCALATE",IF(AND(AV413&gt;=AW413,I413="READABLE"),"H","D"))),
C413="H",
IF(AY413&gt;=phaseMax,"ESCALATE",IF(OR(I413="SAME",I413="CANT_TELL",AD413&lt;axisTol),"I","H")),
C413="I",
IF(AY413&gt;=phaseMax,"ESCALATE",IF(AX413&gt;=powerSameN,"J","I")),
C413="J",
IF(AY413&gt;=phaseMax,"ESCALATE",IF(OR(AX413&gt;=duoEqualN,BB413&gt;=duoMax),"K","J")),
C413="K",
IF(AY413&gt;=phaseMax,"ESCALATE",IF(AX413&gt;=binoSameN,IF(XLOOKUP($B413,Derived_Variables!$A:$A,Derived_Variables!$AJ:$AJ,FALSE)=TRUE,"P","END"),"K")),
C413="P",
IF(AY413&gt;=phaseMax,"ESCALATE",IF(OR(I413="READABLE",I413="SAME"),"Q","P")),
C413="Q",
IF(AY413&gt;=phaseMax,"ESCALATE",IF(OR(I413="READABLE",I413="SAME"),"R","Q")),
C413="R",
IF(AY413&gt;=phaseMax,"ESCALATE",IF(OR(I413=nearTarget,I413="SAME"),"END","R")),
TRUE,"END"
)))</f>
        <v/>
      </c>
      <c r="BD413" s="28" t="b">
        <f t="shared" si="19"/>
        <v>0</v>
      </c>
    </row>
    <row r="414" ht="15.75" customHeight="1">
      <c r="A414" s="28">
        <f t="shared" si="3"/>
        <v>413</v>
      </c>
      <c r="B414" s="28">
        <f t="shared" si="4"/>
        <v>6</v>
      </c>
      <c r="C414" s="28" t="str">
        <f t="shared" si="5"/>
        <v/>
      </c>
      <c r="D414" s="28" t="str">
        <f t="array" ref="D414">IF($I413="","",XLOOKUP(C414,FSM_State_Map!A:A,FSM_State_Map!B:B,""))</f>
        <v/>
      </c>
      <c r="E414" s="28" t="str">
        <f t="array" ref="E414">IF($I413="","",XLOOKUP(C414,FSM_State_Map!A:A,FSM_State_Map!C:C,""))</f>
        <v/>
      </c>
      <c r="F414" s="28" t="str">
        <f t="array" ref="F414">IF($I413="","",XLOOKUP(E414,Phase_UI_Map!A:A,Phase_UI_Map!B:B,""))</f>
        <v/>
      </c>
      <c r="G414" s="28" t="str">
        <f t="array" ref="G414">IF($I413="","",XLOOKUP(E414,Phase_UI_Map!A:A,Phase_UI_Map!C:C,""))</f>
        <v/>
      </c>
      <c r="H414" s="28" t="str">
        <f t="array" ref="H414">IF($I413="","",XLOOKUP(E414,Phase_UI_Map!A:A,Phase_UI_Map!D:D,""))</f>
        <v/>
      </c>
      <c r="I414" s="29"/>
      <c r="J414" s="28" t="str">
        <f>IFERROR(__xludf.DUMMYFUNCTION("IF($I413="""","""",IFERROR(INDEX(FILTER(Response_Lists!$B:$B,Response_Lists!$A:$A=$H414),1),""""))"),"")</f>
        <v/>
      </c>
      <c r="K414" s="28" t="str">
        <f>IFERROR(__xludf.DUMMYFUNCTION("IF($I413="""","""",IFERROR(INDEX(FILTER(Response_Lists!$B:$B,Response_Lists!$A:$A=$H414),2),""""))"),"")</f>
        <v/>
      </c>
      <c r="L414" s="28" t="str">
        <f>IFERROR(__xludf.DUMMYFUNCTION("IF($I413="""","""",IFERROR(INDEX(FILTER(Response_Lists!$B:$B,Response_Lists!$A:$A=$H414),3),""""))"),"")</f>
        <v/>
      </c>
      <c r="M414" s="28" t="str">
        <f>IFERROR(__xludf.DUMMYFUNCTION("IF($I413="""","""",IFERROR(INDEX(FILTER(Response_Lists!$B:$B,Response_Lists!$A:$A=$H414),4),""""))"),"")</f>
        <v/>
      </c>
      <c r="N414" s="28" t="str">
        <f>IFERROR(__xludf.DUMMYFUNCTION("IF($I413="""","""",IFERROR(INDEX(FILTER(Response_Lists!$B:$B,Response_Lists!$A:$A=$H414),5),""""))"),"")</f>
        <v/>
      </c>
      <c r="O414" s="28" t="str">
        <f>IFERROR(__xludf.DUMMYFUNCTION("IF($I413="""","""",IFERROR(INDEX(FILTER(Response_Lists!$B:$B,Response_Lists!$A:$A=$H414),6),""""))"),"")</f>
        <v/>
      </c>
      <c r="P414" s="28" t="str">
        <f t="shared" si="6"/>
        <v/>
      </c>
      <c r="Q414" s="28" t="str">
        <f t="array" ref="Q414">IF($I413="","",XLOOKUP(C414,FSM_State_Map!A:A,FSM_State_Map!D:D,""))</f>
        <v/>
      </c>
      <c r="R414" s="28" t="str">
        <f t="shared" si="7"/>
        <v/>
      </c>
      <c r="S414" s="28" t="str">
        <f t="array" ref="S414">IF($I413="","",
IF(
  AND(C414="B",C413&lt;&gt;"B"),
  XLOOKUP($B414,Derived_Variables!$A:$A,Derived_Variables!$K:$K,0)
  + XLOOKUP($B414,Derived_Variables!$A:$A,Derived_Variables!$AE:$AE,0),
  S413+AM413
))</f>
        <v/>
      </c>
      <c r="T414" s="28" t="str">
        <f t="shared" ref="T414:U414" si="838">IF($I413="","",T413+AN413)</f>
        <v/>
      </c>
      <c r="U414" s="28" t="str">
        <f t="shared" si="838"/>
        <v/>
      </c>
      <c r="V414" s="28" t="str">
        <f t="array" ref="V414">IF($I413="","",
IF(
  AND(C414="D",C413&lt;&gt;"D"),
  XLOOKUP($B414,Derived_Variables!$A:$A,Derived_Variables!$N:$N,0)
  + XLOOKUP($B414,Derived_Variables!$A:$A,Derived_Variables!$AE:$AE,0),
  V413+AP413
))</f>
        <v/>
      </c>
      <c r="W414" s="28" t="str">
        <f t="shared" ref="W414:X414" si="839">IF($I413="","",W413+AQ413)</f>
        <v/>
      </c>
      <c r="X414" s="28" t="str">
        <f t="shared" si="839"/>
        <v/>
      </c>
      <c r="Y414" s="28" t="str">
        <f t="array" ref="Y414">IF($I413="","",IF(AND(C414="P",C413&lt;&gt;"P"),IFERROR(XLOOKUP($B414,Lenso_Input!$A:$A,Lenso_Input!$E:$E,0),0),Y413+AS413))</f>
        <v/>
      </c>
      <c r="Z414" s="28" t="str">
        <f t="array" ref="Z414">IF($I413="","",IF(AND(C414="Q",C413&lt;&gt;"Q"),IFERROR(XLOOKUP($B414,Lenso_Input!$A:$A,Lenso_Input!$I:$I,0),0),Z413+AT413))</f>
        <v/>
      </c>
      <c r="AA414" s="28" t="str">
        <f t="array" ref="AA414">IF($I413="","",IF(XLOOKUP($B414,Derived_Variables!$A:$A,Derived_Variables!$R:$R,"6/6_target")="6/6_target","20_20_20","40_30_25"))</f>
        <v/>
      </c>
      <c r="AB414" s="28" t="str">
        <f t="array" ref="AB414">IF($I413="","",XLOOKUP(LOWER(XLOOKUP($B414,Derived_Variables!$A:$A,Derived_Variables!$T:$T,"Standard"))&amp;"_sph_step",Calibration!$B:$B,Calibration!$C:$C,0.25))</f>
        <v/>
      </c>
      <c r="AC414" s="28" t="str">
        <f t="array" ref="AC414">IF($I413="","",XLOOKUP(LOWER(XLOOKUP($B414,Derived_Variables!$A:$A,Derived_Variables!$T:$T,"Standard"))&amp;"_cyl_step",Calibration!$B:$B,Calibration!$C:$C,0.25))</f>
        <v/>
      </c>
      <c r="AD414" s="28" t="str">
        <f t="array" ref="AD414">IF($I413="","",IF(OR(C414="E",C414="H"),LET(startStep,XLOOKUP("axis_start_step",Calibration!$B:$B,Calibration!$C:$C,5),step1,XLOOKUP("axis_reversal_step_1",Calibration!$B:$B,Calibration!$C:$C,3),step2,XLOOKUP("axis_reversal_step_2",Calibration!$B:$B,Calibration!$C:$C,1),IF(OR(C413&lt;&gt;C414,AZ414="",AZ414="SAME",AZ414="CANT_TELL",I414="",I414="SAME",I414="CANT_TELL"),startStep,IF(OR(AND(AZ414="BETTER_1",I414="BETTER_2"),AND(AZ414="BETTER_2",I414="BETTER_1")),IF(AD413&gt;step1,step1,step2),AD413))),0))</f>
        <v/>
      </c>
      <c r="AE414" s="28" t="str">
        <f t="array" ref="AE414">IF($I413="","",XLOOKUP($B414,Derived_Variables!$A:$A,Derived_Variables!$AD:$AD,"No_Fog"))</f>
        <v/>
      </c>
      <c r="AF414" s="28" t="str">
        <f t="array" ref="AF414">IF($I413="","",XLOOKUP($B414,Derived_Variables!$A:$A,Derived_Variables!$AE:$AE,0))</f>
        <v/>
      </c>
      <c r="AG414" s="28" t="str">
        <f t="array" ref="AG414">IF($I413="","",XLOOKUP($B414,Derived_Variables!$A:$A,Derived_Variables!$AF:$AF,""))</f>
        <v/>
      </c>
      <c r="AH414" s="28" t="str">
        <f t="array" ref="AH414">IF($I413="","",XLOOKUP($B414,Derived_Variables!$A:$A,Derived_Variables!$AG:$AG,""))</f>
        <v/>
      </c>
      <c r="AI414" s="28" t="str">
        <f t="array" ref="AI414">IF($I413="","",XLOOKUP($B414,Derived_Variables!$A:$A,Derived_Variables!$AC:$AC,"Medium"))</f>
        <v/>
      </c>
      <c r="AJ414" s="28" t="str">
        <f t="array" ref="AJ414">IF($I413="","",XLOOKUP($B414,Derived_Variables!$A:$A,Derived_Variables!$Y:$Y,FALSE))</f>
        <v/>
      </c>
      <c r="AK414" s="28" t="str">
        <f t="array" ref="AK414">IF($I413="","",XLOOKUP($B414,Derived_Variables!$A:$A,Derived_Variables!$AA:$AA,"Normal"))</f>
        <v/>
      </c>
      <c r="AL414" s="28" t="str">
        <f t="array" ref="AL414">IF($I413="","",XLOOKUP($B414,Derived_Variables!$A:$A,Derived_Variables!$AB:$AB,"Normal"))</f>
        <v/>
      </c>
      <c r="AM414" s="28" t="str">
        <f t="array" ref="AM414">IF($I414="","",IFS(C414="B",IF(OR(I414="NOT_READABLE",I414="BLURRY"),-AB414,0),C414="G",IFS(I414="RED_CLEARER",XLOOKUP("duochrome_red_step",Calibration!$B:$B,Calibration!$C:$C,-0.25),I414="GREEN_CLEARER",XLOOKUP("duochrome_green_step",Calibration!$B:$B,Calibration!$C:$C,0.25),I414="EQUAL",IF(XLOOKUP($B414,Derived_Variables!$A:$A,Derived_Variables!$S:$S,"Neutral")="Undercorrect",XLOOKUP("undercorrect_step",Calibration!$B:$B,Calibration!$C:$C,0.25),IF(XLOOKUP($B414,Derived_Variables!$A:$A,Derived_Variables!$S:$S,"Neutral")="Overcorrect",-XLOOKUP("overcorrect_step",Calibration!$B:$B,Calibration!$C:$C,0.25),0)),TRUE,0),C414="K",IF(I414="TOP_CLEARER",XLOOKUP("bino_balance_step",Calibration!$B:$B,Calibration!$C:$C,0.25),0),TRUE,0))</f>
        <v/>
      </c>
      <c r="AN414" s="28" t="str">
        <f t="shared" si="10"/>
        <v/>
      </c>
      <c r="AO414" s="28" t="str">
        <f t="shared" si="11"/>
        <v/>
      </c>
      <c r="AP414" s="28" t="str">
        <f t="array" ref="AP414">IF($I414="","",IFS(C414="D",IF(OR(I414="NOT_READABLE",I414="BLURRY"),-AB414,0),C414="J",IFS(I414="RED_CLEARER",XLOOKUP("duochrome_red_step",Calibration!$B:$B,Calibration!$C:$C,-0.25),I414="GREEN_CLEARER",XLOOKUP("duochrome_green_step",Calibration!$B:$B,Calibration!$C:$C,0.25),I414="EQUAL",IF(XLOOKUP($B414,Derived_Variables!$A:$A,Derived_Variables!$S:$S,"Neutral")="Undercorrect",XLOOKUP("undercorrect_step",Calibration!$B:$B,Calibration!$C:$C,0.25),IF(XLOOKUP($B414,Derived_Variables!$A:$A,Derived_Variables!$S:$S,"Neutral")="Overcorrect",-XLOOKUP("overcorrect_step",Calibration!$B:$B,Calibration!$C:$C,0.25),0)),TRUE,0),C414="K",IF(I414="BOTTOM_CLEARER",XLOOKUP("bino_balance_step",Calibration!$B:$B,Calibration!$C:$C,0.25),0),TRUE,0))</f>
        <v/>
      </c>
      <c r="AQ414" s="28" t="str">
        <f t="shared" si="12"/>
        <v/>
      </c>
      <c r="AR414" s="28" t="str">
        <f t="shared" si="13"/>
        <v/>
      </c>
      <c r="AS414" s="28" t="str">
        <f t="array" ref="AS414">IF($I414="","",IF(C414="P",IF(OR(I414="NOT_READABLE",I414="BLURRY"),XLOOKUP("near_add_step",Calibration!$B:$B,Calibration!$C:$C,0.25),0),IF(C414="R",IF(I414="NOT_CLEAR",XLOOKUP("near_add_step",Calibration!$B:$B,Calibration!$C:$C,0.25),0),0)))</f>
        <v/>
      </c>
      <c r="AT414" s="28" t="str">
        <f t="array" ref="AT414">IF($I414="","",IF(C414="Q",IF(OR(I414="NOT_READABLE",I414="BLURRY"),XLOOKUP("near_add_step",Calibration!$B:$B,Calibration!$C:$C,0.25),0),IF(C414="R",IF(I414="NOT_CLEAR",XLOOKUP("near_add_step",Calibration!$B:$B,Calibration!$C:$C,0.25),0),0)))</f>
        <v/>
      </c>
      <c r="AU414" s="28" t="str">
        <f t="array" ref="AU414">IF($I414="","",IF(G414="SNELLEN_FEET",IF(I414="READABLE",IFERROR(XLOOKUP(XLOOKUP(R414,Chart_Scale_Distance!B:B,Chart_Scale_Distance!A:A)+1,Chart_Scale_Distance!A:A,Chart_Scale_Distance!B:B),R414),R414),R414))</f>
        <v/>
      </c>
      <c r="AV414" s="28" t="str">
        <f t="array" ref="AV414">IF($I413="","",IFERROR(XLOOKUP(R414,Chart_Scale_Distance!$B:$B,Chart_Scale_Distance!$A:$A,""),""))</f>
        <v/>
      </c>
      <c r="AW414" s="28" t="str">
        <f t="array" ref="AW414">IF($I413="","",IFERROR(XLOOKUP(AA414,Chart_Scale_Distance!$B:$B,Chart_Scale_Distance!$A:$A,""),""))</f>
        <v/>
      </c>
      <c r="AX414" s="28" t="str">
        <f t="shared" si="14"/>
        <v/>
      </c>
      <c r="AY414" s="28" t="str">
        <f t="shared" si="15"/>
        <v/>
      </c>
      <c r="AZ414" s="28" t="str">
        <f t="shared" si="16"/>
        <v/>
      </c>
      <c r="BA414" s="28" t="str">
        <f t="shared" si="17"/>
        <v/>
      </c>
      <c r="BB414" s="28" t="str">
        <f t="shared" si="18"/>
        <v/>
      </c>
      <c r="BC414" s="28" t="str">
        <f t="array" ref="BC414">IF($I414="","",LET(
conf,AI414,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duoMax,XLOOKUP($B414,Derived_Variables!$A:$A,Derived_Variables!$AI:$AI,4),
axisTol,XLOOKUP($B414,Derived_Variables!$A:$A,Derived_Variables!$W:$W,1),
maxStart,XLOOKUP($B414,Derived_Variables!$A:$A,Derived_Variables!$U:$U,1.25),
maxAR,XLOOKUP($B414,Derived_Variables!$A:$A,Derived_Variables!$V:$V,3),
anom,XLOOKUP($B414,Derived_Variables!$A:$A,Derived_Variables!$Z:$Z,FALSE),
reStart,XLOOKUP($B414,Derived_Variables!$A:$A,Derived_Variables!$K:$K,0),
leStart,XLOOKUP($B414,Derived_Variables!$A:$A,Derived_Variables!$N:$N,0),
reAR,XLOOKUP($B414,AR_Input!$A:$A,AR_Input!$B:$B,reStart),
leAR,XLOOKUP($B414,AR_Input!$A:$A,AR_Input!$E:$E,leStart),
reEsc,AND(anom,OR(ABS((S414+AM414)-reStart)&gt;maxStart,ABS((S414+AM414)-reAR)&gt;maxAR)),
leEsc,AND(anom,OR(ABS((V414+AP414)-leStart)&gt;maxStart,ABS((V414+AP414)-leAR)&gt;maxAR)),
phaseMax,IFS(
 AK414="Fast",
   IFS(
     OR(C414="B",C414="D"),XLOOKUP("timeout_coarse_fast",Calibration!$B:$B,Calibration!$C:$C,24),
     OR(C414="E",C414="F",C414="H",C414="I"),XLOOKUP("timeout_jcc_fast",Calibration!$B:$B,Calibration!$C:$C,10),
     OR(C414="G",C414="J"),XLOOKUP("timeout_duochrome_fast",Calibration!$B:$B,Calibration!$C:$C,8),
     C414="K",XLOOKUP("timeout_bino_fast",Calibration!$B:$B,Calibration!$C:$C,10),
     OR(C414="P",C414="Q",C414="R"),XLOOKUP("timeout_near_fast",Calibration!$B:$B,Calibration!$C:$C,16),
     TRUE,XLOOKUP("timeout_coarse_fast",Calibration!$B:$B,Calibration!$C:$C,24)
   ),
 AK414="Normal",
   IFS(
     OR(C414="B",C414="D"),XLOOKUP("timeout_coarse_normal",Calibration!$B:$B,Calibration!$C:$C,36),
     OR(C414="E",C414="F",C414="H",C414="I"),XLOOKUP("timeout_jcc_normal",Calibration!$B:$B,Calibration!$C:$C,14),
     OR(C414="G",C414="J"),XLOOKUP("timeout_duochrome_normal",Calibration!$B:$B,Calibration!$C:$C,10),
     C414="K",XLOOKUP("timeout_bino_normal",Calibration!$B:$B,Calibration!$C:$C,14),
     OR(C414="P",C414="Q",C414="R"),XLOOKUP("timeout_near_normal",Calibration!$B:$B,Calibration!$C:$C,22),
     TRUE,XLOOKUP("timeout_coarse_normal",Calibration!$B:$B,Calibration!$C:$C,36)
   ),
 TRUE,
   IFS(
     OR(C414="B",C414="D"),XLOOKUP("timeout_coarse_slow",Calibration!$B:$B,Calibration!$C:$C,48),
     OR(C414="E",C414="F",C414="H",C414="I"),XLOOKUP("timeout_jcc_slow",Calibration!$B:$B,Calibration!$C:$C,18),
     OR(C414="G",C414="J"),XLOOKUP("timeout_duochrome_slow",Calibration!$B:$B,Calibration!$C:$C,12),
     C414="K",XLOOKUP("timeout_bino_slow",Calibration!$B:$B,Calibration!$C:$C,18),
     OR(C414="P",C414="Q",C414="R"),XLOOKUP("timeout_near_slow",Calibration!$B:$B,Calibration!$C:$C,28),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AJ414=TRUE,"ESCALATE",
C414="A",
IF(OR(I414="NOT_READABLE",I414="BLURRY",AND(R414="20_20_20",I414="READABLE")),"B","A"),
C414="B",
IF(reEsc,"ESCALATE",IF(AY414&gt;=phaseMax,"ESCALATE",IF(AND(AV414&gt;=AW414,I414="READABLE"),"E","B"))),
C414="E",
IF(AY414&gt;=phaseMax,"ESCALATE",IF(OR(I414="SAME",I414="CANT_TELL",AD414&lt;axisTol),"F","E")),
C414="F",
IF(AY414&gt;=phaseMax,"ESCALATE",IF(AX414&gt;=powerSameN,"G","F")),
C414="G",
IF(AY414&gt;=phaseMax,"ESCALATE",IF(OR(AX414&gt;=duoEqualN,BB414&gt;=duoMax),"D","G")),
C414="D",
IF(leEsc,"ESCALATE",IF(AY414&gt;=phaseMax,"ESCALATE",IF(AND(AV414&gt;=AW414,I414="READABLE"),"H","D"))),
C414="H",
IF(AY414&gt;=phaseMax,"ESCALATE",IF(OR(I414="SAME",I414="CANT_TELL",AD414&lt;axisTol),"I","H")),
C414="I",
IF(AY414&gt;=phaseMax,"ESCALATE",IF(AX414&gt;=powerSameN,"J","I")),
C414="J",
IF(AY414&gt;=phaseMax,"ESCALATE",IF(OR(AX414&gt;=duoEqualN,BB414&gt;=duoMax),"K","J")),
C414="K",
IF(AY414&gt;=phaseMax,"ESCALATE",IF(AX414&gt;=binoSameN,IF(XLOOKUP($B414,Derived_Variables!$A:$A,Derived_Variables!$AJ:$AJ,FALSE)=TRUE,"P","END"),"K")),
C414="P",
IF(AY414&gt;=phaseMax,"ESCALATE",IF(OR(I414="READABLE",I414="SAME"),"Q","P")),
C414="Q",
IF(AY414&gt;=phaseMax,"ESCALATE",IF(OR(I414="READABLE",I414="SAME"),"R","Q")),
C414="R",
IF(AY414&gt;=phaseMax,"ESCALATE",IF(OR(I414=nearTarget,I414="SAME"),"END","R")),
TRUE,"END"
)))</f>
        <v/>
      </c>
      <c r="BD414" s="28" t="b">
        <f t="shared" si="19"/>
        <v>0</v>
      </c>
    </row>
    <row r="415" ht="15.75" customHeight="1">
      <c r="A415" s="28">
        <f t="shared" si="3"/>
        <v>414</v>
      </c>
      <c r="B415" s="28">
        <f t="shared" si="4"/>
        <v>6</v>
      </c>
      <c r="C415" s="28" t="str">
        <f t="shared" si="5"/>
        <v/>
      </c>
      <c r="D415" s="28" t="str">
        <f t="array" ref="D415">IF($I414="","",XLOOKUP(C415,FSM_State_Map!A:A,FSM_State_Map!B:B,""))</f>
        <v/>
      </c>
      <c r="E415" s="28" t="str">
        <f t="array" ref="E415">IF($I414="","",XLOOKUP(C415,FSM_State_Map!A:A,FSM_State_Map!C:C,""))</f>
        <v/>
      </c>
      <c r="F415" s="28" t="str">
        <f t="array" ref="F415">IF($I414="","",XLOOKUP(E415,Phase_UI_Map!A:A,Phase_UI_Map!B:B,""))</f>
        <v/>
      </c>
      <c r="G415" s="28" t="str">
        <f t="array" ref="G415">IF($I414="","",XLOOKUP(E415,Phase_UI_Map!A:A,Phase_UI_Map!C:C,""))</f>
        <v/>
      </c>
      <c r="H415" s="28" t="str">
        <f t="array" ref="H415">IF($I414="","",XLOOKUP(E415,Phase_UI_Map!A:A,Phase_UI_Map!D:D,""))</f>
        <v/>
      </c>
      <c r="I415" s="29"/>
      <c r="J415" s="28" t="str">
        <f>IFERROR(__xludf.DUMMYFUNCTION("IF($I414="""","""",IFERROR(INDEX(FILTER(Response_Lists!$B:$B,Response_Lists!$A:$A=$H415),1),""""))"),"")</f>
        <v/>
      </c>
      <c r="K415" s="28" t="str">
        <f>IFERROR(__xludf.DUMMYFUNCTION("IF($I414="""","""",IFERROR(INDEX(FILTER(Response_Lists!$B:$B,Response_Lists!$A:$A=$H415),2),""""))"),"")</f>
        <v/>
      </c>
      <c r="L415" s="28" t="str">
        <f>IFERROR(__xludf.DUMMYFUNCTION("IF($I414="""","""",IFERROR(INDEX(FILTER(Response_Lists!$B:$B,Response_Lists!$A:$A=$H415),3),""""))"),"")</f>
        <v/>
      </c>
      <c r="M415" s="28" t="str">
        <f>IFERROR(__xludf.DUMMYFUNCTION("IF($I414="""","""",IFERROR(INDEX(FILTER(Response_Lists!$B:$B,Response_Lists!$A:$A=$H415),4),""""))"),"")</f>
        <v/>
      </c>
      <c r="N415" s="28" t="str">
        <f>IFERROR(__xludf.DUMMYFUNCTION("IF($I414="""","""",IFERROR(INDEX(FILTER(Response_Lists!$B:$B,Response_Lists!$A:$A=$H415),5),""""))"),"")</f>
        <v/>
      </c>
      <c r="O415" s="28" t="str">
        <f>IFERROR(__xludf.DUMMYFUNCTION("IF($I414="""","""",IFERROR(INDEX(FILTER(Response_Lists!$B:$B,Response_Lists!$A:$A=$H415),6),""""))"),"")</f>
        <v/>
      </c>
      <c r="P415" s="28" t="str">
        <f t="shared" si="6"/>
        <v/>
      </c>
      <c r="Q415" s="28" t="str">
        <f t="array" ref="Q415">IF($I414="","",XLOOKUP(C415,FSM_State_Map!A:A,FSM_State_Map!D:D,""))</f>
        <v/>
      </c>
      <c r="R415" s="28" t="str">
        <f t="shared" si="7"/>
        <v/>
      </c>
      <c r="S415" s="28" t="str">
        <f t="array" ref="S415">IF($I414="","",
IF(
  AND(C415="B",C414&lt;&gt;"B"),
  XLOOKUP($B415,Derived_Variables!$A:$A,Derived_Variables!$K:$K,0)
  + XLOOKUP($B415,Derived_Variables!$A:$A,Derived_Variables!$AE:$AE,0),
  S414+AM414
))</f>
        <v/>
      </c>
      <c r="T415" s="28" t="str">
        <f t="shared" ref="T415:U415" si="840">IF($I414="","",T414+AN414)</f>
        <v/>
      </c>
      <c r="U415" s="28" t="str">
        <f t="shared" si="840"/>
        <v/>
      </c>
      <c r="V415" s="28" t="str">
        <f t="array" ref="V415">IF($I414="","",
IF(
  AND(C415="D",C414&lt;&gt;"D"),
  XLOOKUP($B415,Derived_Variables!$A:$A,Derived_Variables!$N:$N,0)
  + XLOOKUP($B415,Derived_Variables!$A:$A,Derived_Variables!$AE:$AE,0),
  V414+AP414
))</f>
        <v/>
      </c>
      <c r="W415" s="28" t="str">
        <f t="shared" ref="W415:X415" si="841">IF($I414="","",W414+AQ414)</f>
        <v/>
      </c>
      <c r="X415" s="28" t="str">
        <f t="shared" si="841"/>
        <v/>
      </c>
      <c r="Y415" s="28" t="str">
        <f t="array" ref="Y415">IF($I414="","",IF(AND(C415="P",C414&lt;&gt;"P"),IFERROR(XLOOKUP($B415,Lenso_Input!$A:$A,Lenso_Input!$E:$E,0),0),Y414+AS414))</f>
        <v/>
      </c>
      <c r="Z415" s="28" t="str">
        <f t="array" ref="Z415">IF($I414="","",IF(AND(C415="Q",C414&lt;&gt;"Q"),IFERROR(XLOOKUP($B415,Lenso_Input!$A:$A,Lenso_Input!$I:$I,0),0),Z414+AT414))</f>
        <v/>
      </c>
      <c r="AA415" s="28" t="str">
        <f t="array" ref="AA415">IF($I414="","",IF(XLOOKUP($B415,Derived_Variables!$A:$A,Derived_Variables!$R:$R,"6/6_target")="6/6_target","20_20_20","40_30_25"))</f>
        <v/>
      </c>
      <c r="AB415" s="28" t="str">
        <f t="array" ref="AB415">IF($I414="","",XLOOKUP(LOWER(XLOOKUP($B415,Derived_Variables!$A:$A,Derived_Variables!$T:$T,"Standard"))&amp;"_sph_step",Calibration!$B:$B,Calibration!$C:$C,0.25))</f>
        <v/>
      </c>
      <c r="AC415" s="28" t="str">
        <f t="array" ref="AC415">IF($I414="","",XLOOKUP(LOWER(XLOOKUP($B415,Derived_Variables!$A:$A,Derived_Variables!$T:$T,"Standard"))&amp;"_cyl_step",Calibration!$B:$B,Calibration!$C:$C,0.25))</f>
        <v/>
      </c>
      <c r="AD415" s="28" t="str">
        <f t="array" ref="AD415">IF($I414="","",IF(OR(C415="E",C415="H"),LET(startStep,XLOOKUP("axis_start_step",Calibration!$B:$B,Calibration!$C:$C,5),step1,XLOOKUP("axis_reversal_step_1",Calibration!$B:$B,Calibration!$C:$C,3),step2,XLOOKUP("axis_reversal_step_2",Calibration!$B:$B,Calibration!$C:$C,1),IF(OR(C414&lt;&gt;C415,AZ415="",AZ415="SAME",AZ415="CANT_TELL",I415="",I415="SAME",I415="CANT_TELL"),startStep,IF(OR(AND(AZ415="BETTER_1",I415="BETTER_2"),AND(AZ415="BETTER_2",I415="BETTER_1")),IF(AD414&gt;step1,step1,step2),AD414))),0))</f>
        <v/>
      </c>
      <c r="AE415" s="28" t="str">
        <f t="array" ref="AE415">IF($I414="","",XLOOKUP($B415,Derived_Variables!$A:$A,Derived_Variables!$AD:$AD,"No_Fog"))</f>
        <v/>
      </c>
      <c r="AF415" s="28" t="str">
        <f t="array" ref="AF415">IF($I414="","",XLOOKUP($B415,Derived_Variables!$A:$A,Derived_Variables!$AE:$AE,0))</f>
        <v/>
      </c>
      <c r="AG415" s="28" t="str">
        <f t="array" ref="AG415">IF($I414="","",XLOOKUP($B415,Derived_Variables!$A:$A,Derived_Variables!$AF:$AF,""))</f>
        <v/>
      </c>
      <c r="AH415" s="28" t="str">
        <f t="array" ref="AH415">IF($I414="","",XLOOKUP($B415,Derived_Variables!$A:$A,Derived_Variables!$AG:$AG,""))</f>
        <v/>
      </c>
      <c r="AI415" s="28" t="str">
        <f t="array" ref="AI415">IF($I414="","",XLOOKUP($B415,Derived_Variables!$A:$A,Derived_Variables!$AC:$AC,"Medium"))</f>
        <v/>
      </c>
      <c r="AJ415" s="28" t="str">
        <f t="array" ref="AJ415">IF($I414="","",XLOOKUP($B415,Derived_Variables!$A:$A,Derived_Variables!$Y:$Y,FALSE))</f>
        <v/>
      </c>
      <c r="AK415" s="28" t="str">
        <f t="array" ref="AK415">IF($I414="","",XLOOKUP($B415,Derived_Variables!$A:$A,Derived_Variables!$AA:$AA,"Normal"))</f>
        <v/>
      </c>
      <c r="AL415" s="28" t="str">
        <f t="array" ref="AL415">IF($I414="","",XLOOKUP($B415,Derived_Variables!$A:$A,Derived_Variables!$AB:$AB,"Normal"))</f>
        <v/>
      </c>
      <c r="AM415" s="28" t="str">
        <f t="array" ref="AM415">IF($I415="","",IFS(C415="B",IF(OR(I415="NOT_READABLE",I415="BLURRY"),-AB415,0),C415="G",IFS(I415="RED_CLEARER",XLOOKUP("duochrome_red_step",Calibration!$B:$B,Calibration!$C:$C,-0.25),I415="GREEN_CLEARER",XLOOKUP("duochrome_green_step",Calibration!$B:$B,Calibration!$C:$C,0.25),I415="EQUAL",IF(XLOOKUP($B415,Derived_Variables!$A:$A,Derived_Variables!$S:$S,"Neutral")="Undercorrect",XLOOKUP("undercorrect_step",Calibration!$B:$B,Calibration!$C:$C,0.25),IF(XLOOKUP($B415,Derived_Variables!$A:$A,Derived_Variables!$S:$S,"Neutral")="Overcorrect",-XLOOKUP("overcorrect_step",Calibration!$B:$B,Calibration!$C:$C,0.25),0)),TRUE,0),C415="K",IF(I415="TOP_CLEARER",XLOOKUP("bino_balance_step",Calibration!$B:$B,Calibration!$C:$C,0.25),0),TRUE,0))</f>
        <v/>
      </c>
      <c r="AN415" s="28" t="str">
        <f t="shared" si="10"/>
        <v/>
      </c>
      <c r="AO415" s="28" t="str">
        <f t="shared" si="11"/>
        <v/>
      </c>
      <c r="AP415" s="28" t="str">
        <f t="array" ref="AP415">IF($I415="","",IFS(C415="D",IF(OR(I415="NOT_READABLE",I415="BLURRY"),-AB415,0),C415="J",IFS(I415="RED_CLEARER",XLOOKUP("duochrome_red_step",Calibration!$B:$B,Calibration!$C:$C,-0.25),I415="GREEN_CLEARER",XLOOKUP("duochrome_green_step",Calibration!$B:$B,Calibration!$C:$C,0.25),I415="EQUAL",IF(XLOOKUP($B415,Derived_Variables!$A:$A,Derived_Variables!$S:$S,"Neutral")="Undercorrect",XLOOKUP("undercorrect_step",Calibration!$B:$B,Calibration!$C:$C,0.25),IF(XLOOKUP($B415,Derived_Variables!$A:$A,Derived_Variables!$S:$S,"Neutral")="Overcorrect",-XLOOKUP("overcorrect_step",Calibration!$B:$B,Calibration!$C:$C,0.25),0)),TRUE,0),C415="K",IF(I415="BOTTOM_CLEARER",XLOOKUP("bino_balance_step",Calibration!$B:$B,Calibration!$C:$C,0.25),0),TRUE,0))</f>
        <v/>
      </c>
      <c r="AQ415" s="28" t="str">
        <f t="shared" si="12"/>
        <v/>
      </c>
      <c r="AR415" s="28" t="str">
        <f t="shared" si="13"/>
        <v/>
      </c>
      <c r="AS415" s="28" t="str">
        <f t="array" ref="AS415">IF($I415="","",IF(C415="P",IF(OR(I415="NOT_READABLE",I415="BLURRY"),XLOOKUP("near_add_step",Calibration!$B:$B,Calibration!$C:$C,0.25),0),IF(C415="R",IF(I415="NOT_CLEAR",XLOOKUP("near_add_step",Calibration!$B:$B,Calibration!$C:$C,0.25),0),0)))</f>
        <v/>
      </c>
      <c r="AT415" s="28" t="str">
        <f t="array" ref="AT415">IF($I415="","",IF(C415="Q",IF(OR(I415="NOT_READABLE",I415="BLURRY"),XLOOKUP("near_add_step",Calibration!$B:$B,Calibration!$C:$C,0.25),0),IF(C415="R",IF(I415="NOT_CLEAR",XLOOKUP("near_add_step",Calibration!$B:$B,Calibration!$C:$C,0.25),0),0)))</f>
        <v/>
      </c>
      <c r="AU415" s="28" t="str">
        <f t="array" ref="AU415">IF($I415="","",IF(G415="SNELLEN_FEET",IF(I415="READABLE",IFERROR(XLOOKUP(XLOOKUP(R415,Chart_Scale_Distance!B:B,Chart_Scale_Distance!A:A)+1,Chart_Scale_Distance!A:A,Chart_Scale_Distance!B:B),R415),R415),R415))</f>
        <v/>
      </c>
      <c r="AV415" s="28" t="str">
        <f t="array" ref="AV415">IF($I414="","",IFERROR(XLOOKUP(R415,Chart_Scale_Distance!$B:$B,Chart_Scale_Distance!$A:$A,""),""))</f>
        <v/>
      </c>
      <c r="AW415" s="28" t="str">
        <f t="array" ref="AW415">IF($I414="","",IFERROR(XLOOKUP(AA415,Chart_Scale_Distance!$B:$B,Chart_Scale_Distance!$A:$A,""),""))</f>
        <v/>
      </c>
      <c r="AX415" s="28" t="str">
        <f t="shared" si="14"/>
        <v/>
      </c>
      <c r="AY415" s="28" t="str">
        <f t="shared" si="15"/>
        <v/>
      </c>
      <c r="AZ415" s="28" t="str">
        <f t="shared" si="16"/>
        <v/>
      </c>
      <c r="BA415" s="28" t="str">
        <f t="shared" si="17"/>
        <v/>
      </c>
      <c r="BB415" s="28" t="str">
        <f t="shared" si="18"/>
        <v/>
      </c>
      <c r="BC415" s="28" t="str">
        <f t="array" ref="BC415">IF($I415="","",LET(
conf,AI415,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duoMax,XLOOKUP($B415,Derived_Variables!$A:$A,Derived_Variables!$AI:$AI,4),
axisTol,XLOOKUP($B415,Derived_Variables!$A:$A,Derived_Variables!$W:$W,1),
maxStart,XLOOKUP($B415,Derived_Variables!$A:$A,Derived_Variables!$U:$U,1.25),
maxAR,XLOOKUP($B415,Derived_Variables!$A:$A,Derived_Variables!$V:$V,3),
anom,XLOOKUP($B415,Derived_Variables!$A:$A,Derived_Variables!$Z:$Z,FALSE),
reStart,XLOOKUP($B415,Derived_Variables!$A:$A,Derived_Variables!$K:$K,0),
leStart,XLOOKUP($B415,Derived_Variables!$A:$A,Derived_Variables!$N:$N,0),
reAR,XLOOKUP($B415,AR_Input!$A:$A,AR_Input!$B:$B,reStart),
leAR,XLOOKUP($B415,AR_Input!$A:$A,AR_Input!$E:$E,leStart),
reEsc,AND(anom,OR(ABS((S415+AM415)-reStart)&gt;maxStart,ABS((S415+AM415)-reAR)&gt;maxAR)),
leEsc,AND(anom,OR(ABS((V415+AP415)-leStart)&gt;maxStart,ABS((V415+AP415)-leAR)&gt;maxAR)),
phaseMax,IFS(
 AK415="Fast",
   IFS(
     OR(C415="B",C415="D"),XLOOKUP("timeout_coarse_fast",Calibration!$B:$B,Calibration!$C:$C,24),
     OR(C415="E",C415="F",C415="H",C415="I"),XLOOKUP("timeout_jcc_fast",Calibration!$B:$B,Calibration!$C:$C,10),
     OR(C415="G",C415="J"),XLOOKUP("timeout_duochrome_fast",Calibration!$B:$B,Calibration!$C:$C,8),
     C415="K",XLOOKUP("timeout_bino_fast",Calibration!$B:$B,Calibration!$C:$C,10),
     OR(C415="P",C415="Q",C415="R"),XLOOKUP("timeout_near_fast",Calibration!$B:$B,Calibration!$C:$C,16),
     TRUE,XLOOKUP("timeout_coarse_fast",Calibration!$B:$B,Calibration!$C:$C,24)
   ),
 AK415="Normal",
   IFS(
     OR(C415="B",C415="D"),XLOOKUP("timeout_coarse_normal",Calibration!$B:$B,Calibration!$C:$C,36),
     OR(C415="E",C415="F",C415="H",C415="I"),XLOOKUP("timeout_jcc_normal",Calibration!$B:$B,Calibration!$C:$C,14),
     OR(C415="G",C415="J"),XLOOKUP("timeout_duochrome_normal",Calibration!$B:$B,Calibration!$C:$C,10),
     C415="K",XLOOKUP("timeout_bino_normal",Calibration!$B:$B,Calibration!$C:$C,14),
     OR(C415="P",C415="Q",C415="R"),XLOOKUP("timeout_near_normal",Calibration!$B:$B,Calibration!$C:$C,22),
     TRUE,XLOOKUP("timeout_coarse_normal",Calibration!$B:$B,Calibration!$C:$C,36)
   ),
 TRUE,
   IFS(
     OR(C415="B",C415="D"),XLOOKUP("timeout_coarse_slow",Calibration!$B:$B,Calibration!$C:$C,48),
     OR(C415="E",C415="F",C415="H",C415="I"),XLOOKUP("timeout_jcc_slow",Calibration!$B:$B,Calibration!$C:$C,18),
     OR(C415="G",C415="J"),XLOOKUP("timeout_duochrome_slow",Calibration!$B:$B,Calibration!$C:$C,12),
     C415="K",XLOOKUP("timeout_bino_slow",Calibration!$B:$B,Calibration!$C:$C,18),
     OR(C415="P",C415="Q",C415="R"),XLOOKUP("timeout_near_slow",Calibration!$B:$B,Calibration!$C:$C,28),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AJ415=TRUE,"ESCALATE",
C415="A",
IF(OR(I415="NOT_READABLE",I415="BLURRY",AND(R415="20_20_20",I415="READABLE")),"B","A"),
C415="B",
IF(reEsc,"ESCALATE",IF(AY415&gt;=phaseMax,"ESCALATE",IF(AND(AV415&gt;=AW415,I415="READABLE"),"E","B"))),
C415="E",
IF(AY415&gt;=phaseMax,"ESCALATE",IF(OR(I415="SAME",I415="CANT_TELL",AD415&lt;axisTol),"F","E")),
C415="F",
IF(AY415&gt;=phaseMax,"ESCALATE",IF(AX415&gt;=powerSameN,"G","F")),
C415="G",
IF(AY415&gt;=phaseMax,"ESCALATE",IF(OR(AX415&gt;=duoEqualN,BB415&gt;=duoMax),"D","G")),
C415="D",
IF(leEsc,"ESCALATE",IF(AY415&gt;=phaseMax,"ESCALATE",IF(AND(AV415&gt;=AW415,I415="READABLE"),"H","D"))),
C415="H",
IF(AY415&gt;=phaseMax,"ESCALATE",IF(OR(I415="SAME",I415="CANT_TELL",AD415&lt;axisTol),"I","H")),
C415="I",
IF(AY415&gt;=phaseMax,"ESCALATE",IF(AX415&gt;=powerSameN,"J","I")),
C415="J",
IF(AY415&gt;=phaseMax,"ESCALATE",IF(OR(AX415&gt;=duoEqualN,BB415&gt;=duoMax),"K","J")),
C415="K",
IF(AY415&gt;=phaseMax,"ESCALATE",IF(AX415&gt;=binoSameN,IF(XLOOKUP($B415,Derived_Variables!$A:$A,Derived_Variables!$AJ:$AJ,FALSE)=TRUE,"P","END"),"K")),
C415="P",
IF(AY415&gt;=phaseMax,"ESCALATE",IF(OR(I415="READABLE",I415="SAME"),"Q","P")),
C415="Q",
IF(AY415&gt;=phaseMax,"ESCALATE",IF(OR(I415="READABLE",I415="SAME"),"R","Q")),
C415="R",
IF(AY415&gt;=phaseMax,"ESCALATE",IF(OR(I415=nearTarget,I415="SAME"),"END","R")),
TRUE,"END"
)))</f>
        <v/>
      </c>
      <c r="BD415" s="28" t="b">
        <f t="shared" si="19"/>
        <v>0</v>
      </c>
    </row>
    <row r="416" ht="15.75" customHeight="1">
      <c r="A416" s="28">
        <f t="shared" si="3"/>
        <v>415</v>
      </c>
      <c r="B416" s="28">
        <f t="shared" si="4"/>
        <v>6</v>
      </c>
      <c r="C416" s="28" t="str">
        <f t="shared" si="5"/>
        <v/>
      </c>
      <c r="D416" s="28" t="str">
        <f t="array" ref="D416">IF($I415="","",XLOOKUP(C416,FSM_State_Map!A:A,FSM_State_Map!B:B,""))</f>
        <v/>
      </c>
      <c r="E416" s="28" t="str">
        <f t="array" ref="E416">IF($I415="","",XLOOKUP(C416,FSM_State_Map!A:A,FSM_State_Map!C:C,""))</f>
        <v/>
      </c>
      <c r="F416" s="28" t="str">
        <f t="array" ref="F416">IF($I415="","",XLOOKUP(E416,Phase_UI_Map!A:A,Phase_UI_Map!B:B,""))</f>
        <v/>
      </c>
      <c r="G416" s="28" t="str">
        <f t="array" ref="G416">IF($I415="","",XLOOKUP(E416,Phase_UI_Map!A:A,Phase_UI_Map!C:C,""))</f>
        <v/>
      </c>
      <c r="H416" s="28" t="str">
        <f t="array" ref="H416">IF($I415="","",XLOOKUP(E416,Phase_UI_Map!A:A,Phase_UI_Map!D:D,""))</f>
        <v/>
      </c>
      <c r="I416" s="29"/>
      <c r="J416" s="28" t="str">
        <f>IFERROR(__xludf.DUMMYFUNCTION("IF($I415="""","""",IFERROR(INDEX(FILTER(Response_Lists!$B:$B,Response_Lists!$A:$A=$H416),1),""""))"),"")</f>
        <v/>
      </c>
      <c r="K416" s="28" t="str">
        <f>IFERROR(__xludf.DUMMYFUNCTION("IF($I415="""","""",IFERROR(INDEX(FILTER(Response_Lists!$B:$B,Response_Lists!$A:$A=$H416),2),""""))"),"")</f>
        <v/>
      </c>
      <c r="L416" s="28" t="str">
        <f>IFERROR(__xludf.DUMMYFUNCTION("IF($I415="""","""",IFERROR(INDEX(FILTER(Response_Lists!$B:$B,Response_Lists!$A:$A=$H416),3),""""))"),"")</f>
        <v/>
      </c>
      <c r="M416" s="28" t="str">
        <f>IFERROR(__xludf.DUMMYFUNCTION("IF($I415="""","""",IFERROR(INDEX(FILTER(Response_Lists!$B:$B,Response_Lists!$A:$A=$H416),4),""""))"),"")</f>
        <v/>
      </c>
      <c r="N416" s="28" t="str">
        <f>IFERROR(__xludf.DUMMYFUNCTION("IF($I415="""","""",IFERROR(INDEX(FILTER(Response_Lists!$B:$B,Response_Lists!$A:$A=$H416),5),""""))"),"")</f>
        <v/>
      </c>
      <c r="O416" s="28" t="str">
        <f>IFERROR(__xludf.DUMMYFUNCTION("IF($I415="""","""",IFERROR(INDEX(FILTER(Response_Lists!$B:$B,Response_Lists!$A:$A=$H416),6),""""))"),"")</f>
        <v/>
      </c>
      <c r="P416" s="28" t="str">
        <f t="shared" si="6"/>
        <v/>
      </c>
      <c r="Q416" s="28" t="str">
        <f t="array" ref="Q416">IF($I415="","",XLOOKUP(C416,FSM_State_Map!A:A,FSM_State_Map!D:D,""))</f>
        <v/>
      </c>
      <c r="R416" s="28" t="str">
        <f t="shared" si="7"/>
        <v/>
      </c>
      <c r="S416" s="28" t="str">
        <f t="array" ref="S416">IF($I415="","",
IF(
  AND(C416="B",C415&lt;&gt;"B"),
  XLOOKUP($B416,Derived_Variables!$A:$A,Derived_Variables!$K:$K,0)
  + XLOOKUP($B416,Derived_Variables!$A:$A,Derived_Variables!$AE:$AE,0),
  S415+AM415
))</f>
        <v/>
      </c>
      <c r="T416" s="28" t="str">
        <f t="shared" ref="T416:U416" si="842">IF($I415="","",T415+AN415)</f>
        <v/>
      </c>
      <c r="U416" s="28" t="str">
        <f t="shared" si="842"/>
        <v/>
      </c>
      <c r="V416" s="28" t="str">
        <f t="array" ref="V416">IF($I415="","",
IF(
  AND(C416="D",C415&lt;&gt;"D"),
  XLOOKUP($B416,Derived_Variables!$A:$A,Derived_Variables!$N:$N,0)
  + XLOOKUP($B416,Derived_Variables!$A:$A,Derived_Variables!$AE:$AE,0),
  V415+AP415
))</f>
        <v/>
      </c>
      <c r="W416" s="28" t="str">
        <f t="shared" ref="W416:X416" si="843">IF($I415="","",W415+AQ415)</f>
        <v/>
      </c>
      <c r="X416" s="28" t="str">
        <f t="shared" si="843"/>
        <v/>
      </c>
      <c r="Y416" s="28" t="str">
        <f t="array" ref="Y416">IF($I415="","",IF(AND(C416="P",C415&lt;&gt;"P"),IFERROR(XLOOKUP($B416,Lenso_Input!$A:$A,Lenso_Input!$E:$E,0),0),Y415+AS415))</f>
        <v/>
      </c>
      <c r="Z416" s="28" t="str">
        <f t="array" ref="Z416">IF($I415="","",IF(AND(C416="Q",C415&lt;&gt;"Q"),IFERROR(XLOOKUP($B416,Lenso_Input!$A:$A,Lenso_Input!$I:$I,0),0),Z415+AT415))</f>
        <v/>
      </c>
      <c r="AA416" s="28" t="str">
        <f t="array" ref="AA416">IF($I415="","",IF(XLOOKUP($B416,Derived_Variables!$A:$A,Derived_Variables!$R:$R,"6/6_target")="6/6_target","20_20_20","40_30_25"))</f>
        <v/>
      </c>
      <c r="AB416" s="28" t="str">
        <f t="array" ref="AB416">IF($I415="","",XLOOKUP(LOWER(XLOOKUP($B416,Derived_Variables!$A:$A,Derived_Variables!$T:$T,"Standard"))&amp;"_sph_step",Calibration!$B:$B,Calibration!$C:$C,0.25))</f>
        <v/>
      </c>
      <c r="AC416" s="28" t="str">
        <f t="array" ref="AC416">IF($I415="","",XLOOKUP(LOWER(XLOOKUP($B416,Derived_Variables!$A:$A,Derived_Variables!$T:$T,"Standard"))&amp;"_cyl_step",Calibration!$B:$B,Calibration!$C:$C,0.25))</f>
        <v/>
      </c>
      <c r="AD416" s="28" t="str">
        <f t="array" ref="AD416">IF($I415="","",IF(OR(C416="E",C416="H"),LET(startStep,XLOOKUP("axis_start_step",Calibration!$B:$B,Calibration!$C:$C,5),step1,XLOOKUP("axis_reversal_step_1",Calibration!$B:$B,Calibration!$C:$C,3),step2,XLOOKUP("axis_reversal_step_2",Calibration!$B:$B,Calibration!$C:$C,1),IF(OR(C415&lt;&gt;C416,AZ416="",AZ416="SAME",AZ416="CANT_TELL",I416="",I416="SAME",I416="CANT_TELL"),startStep,IF(OR(AND(AZ416="BETTER_1",I416="BETTER_2"),AND(AZ416="BETTER_2",I416="BETTER_1")),IF(AD415&gt;step1,step1,step2),AD415))),0))</f>
        <v/>
      </c>
      <c r="AE416" s="28" t="str">
        <f t="array" ref="AE416">IF($I415="","",XLOOKUP($B416,Derived_Variables!$A:$A,Derived_Variables!$AD:$AD,"No_Fog"))</f>
        <v/>
      </c>
      <c r="AF416" s="28" t="str">
        <f t="array" ref="AF416">IF($I415="","",XLOOKUP($B416,Derived_Variables!$A:$A,Derived_Variables!$AE:$AE,0))</f>
        <v/>
      </c>
      <c r="AG416" s="28" t="str">
        <f t="array" ref="AG416">IF($I415="","",XLOOKUP($B416,Derived_Variables!$A:$A,Derived_Variables!$AF:$AF,""))</f>
        <v/>
      </c>
      <c r="AH416" s="28" t="str">
        <f t="array" ref="AH416">IF($I415="","",XLOOKUP($B416,Derived_Variables!$A:$A,Derived_Variables!$AG:$AG,""))</f>
        <v/>
      </c>
      <c r="AI416" s="28" t="str">
        <f t="array" ref="AI416">IF($I415="","",XLOOKUP($B416,Derived_Variables!$A:$A,Derived_Variables!$AC:$AC,"Medium"))</f>
        <v/>
      </c>
      <c r="AJ416" s="28" t="str">
        <f t="array" ref="AJ416">IF($I415="","",XLOOKUP($B416,Derived_Variables!$A:$A,Derived_Variables!$Y:$Y,FALSE))</f>
        <v/>
      </c>
      <c r="AK416" s="28" t="str">
        <f t="array" ref="AK416">IF($I415="","",XLOOKUP($B416,Derived_Variables!$A:$A,Derived_Variables!$AA:$AA,"Normal"))</f>
        <v/>
      </c>
      <c r="AL416" s="28" t="str">
        <f t="array" ref="AL416">IF($I415="","",XLOOKUP($B416,Derived_Variables!$A:$A,Derived_Variables!$AB:$AB,"Normal"))</f>
        <v/>
      </c>
      <c r="AM416" s="28" t="str">
        <f t="array" ref="AM416">IF($I416="","",IFS(C416="B",IF(OR(I416="NOT_READABLE",I416="BLURRY"),-AB416,0),C416="G",IFS(I416="RED_CLEARER",XLOOKUP("duochrome_red_step",Calibration!$B:$B,Calibration!$C:$C,-0.25),I416="GREEN_CLEARER",XLOOKUP("duochrome_green_step",Calibration!$B:$B,Calibration!$C:$C,0.25),I416="EQUAL",IF(XLOOKUP($B416,Derived_Variables!$A:$A,Derived_Variables!$S:$S,"Neutral")="Undercorrect",XLOOKUP("undercorrect_step",Calibration!$B:$B,Calibration!$C:$C,0.25),IF(XLOOKUP($B416,Derived_Variables!$A:$A,Derived_Variables!$S:$S,"Neutral")="Overcorrect",-XLOOKUP("overcorrect_step",Calibration!$B:$B,Calibration!$C:$C,0.25),0)),TRUE,0),C416="K",IF(I416="TOP_CLEARER",XLOOKUP("bino_balance_step",Calibration!$B:$B,Calibration!$C:$C,0.25),0),TRUE,0))</f>
        <v/>
      </c>
      <c r="AN416" s="28" t="str">
        <f t="shared" si="10"/>
        <v/>
      </c>
      <c r="AO416" s="28" t="str">
        <f t="shared" si="11"/>
        <v/>
      </c>
      <c r="AP416" s="28" t="str">
        <f t="array" ref="AP416">IF($I416="","",IFS(C416="D",IF(OR(I416="NOT_READABLE",I416="BLURRY"),-AB416,0),C416="J",IFS(I416="RED_CLEARER",XLOOKUP("duochrome_red_step",Calibration!$B:$B,Calibration!$C:$C,-0.25),I416="GREEN_CLEARER",XLOOKUP("duochrome_green_step",Calibration!$B:$B,Calibration!$C:$C,0.25),I416="EQUAL",IF(XLOOKUP($B416,Derived_Variables!$A:$A,Derived_Variables!$S:$S,"Neutral")="Undercorrect",XLOOKUP("undercorrect_step",Calibration!$B:$B,Calibration!$C:$C,0.25),IF(XLOOKUP($B416,Derived_Variables!$A:$A,Derived_Variables!$S:$S,"Neutral")="Overcorrect",-XLOOKUP("overcorrect_step",Calibration!$B:$B,Calibration!$C:$C,0.25),0)),TRUE,0),C416="K",IF(I416="BOTTOM_CLEARER",XLOOKUP("bino_balance_step",Calibration!$B:$B,Calibration!$C:$C,0.25),0),TRUE,0))</f>
        <v/>
      </c>
      <c r="AQ416" s="28" t="str">
        <f t="shared" si="12"/>
        <v/>
      </c>
      <c r="AR416" s="28" t="str">
        <f t="shared" si="13"/>
        <v/>
      </c>
      <c r="AS416" s="28" t="str">
        <f t="array" ref="AS416">IF($I416="","",IF(C416="P",IF(OR(I416="NOT_READABLE",I416="BLURRY"),XLOOKUP("near_add_step",Calibration!$B:$B,Calibration!$C:$C,0.25),0),IF(C416="R",IF(I416="NOT_CLEAR",XLOOKUP("near_add_step",Calibration!$B:$B,Calibration!$C:$C,0.25),0),0)))</f>
        <v/>
      </c>
      <c r="AT416" s="28" t="str">
        <f t="array" ref="AT416">IF($I416="","",IF(C416="Q",IF(OR(I416="NOT_READABLE",I416="BLURRY"),XLOOKUP("near_add_step",Calibration!$B:$B,Calibration!$C:$C,0.25),0),IF(C416="R",IF(I416="NOT_CLEAR",XLOOKUP("near_add_step",Calibration!$B:$B,Calibration!$C:$C,0.25),0),0)))</f>
        <v/>
      </c>
      <c r="AU416" s="28" t="str">
        <f t="array" ref="AU416">IF($I416="","",IF(G416="SNELLEN_FEET",IF(I416="READABLE",IFERROR(XLOOKUP(XLOOKUP(R416,Chart_Scale_Distance!B:B,Chart_Scale_Distance!A:A)+1,Chart_Scale_Distance!A:A,Chart_Scale_Distance!B:B),R416),R416),R416))</f>
        <v/>
      </c>
      <c r="AV416" s="28" t="str">
        <f t="array" ref="AV416">IF($I415="","",IFERROR(XLOOKUP(R416,Chart_Scale_Distance!$B:$B,Chart_Scale_Distance!$A:$A,""),""))</f>
        <v/>
      </c>
      <c r="AW416" s="28" t="str">
        <f t="array" ref="AW416">IF($I415="","",IFERROR(XLOOKUP(AA416,Chart_Scale_Distance!$B:$B,Chart_Scale_Distance!$A:$A,""),""))</f>
        <v/>
      </c>
      <c r="AX416" s="28" t="str">
        <f t="shared" si="14"/>
        <v/>
      </c>
      <c r="AY416" s="28" t="str">
        <f t="shared" si="15"/>
        <v/>
      </c>
      <c r="AZ416" s="28" t="str">
        <f t="shared" si="16"/>
        <v/>
      </c>
      <c r="BA416" s="28" t="str">
        <f t="shared" si="17"/>
        <v/>
      </c>
      <c r="BB416" s="28" t="str">
        <f t="shared" si="18"/>
        <v/>
      </c>
      <c r="BC416" s="28" t="str">
        <f t="array" ref="BC416">IF($I416="","",LET(
conf,AI416,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duoMax,XLOOKUP($B416,Derived_Variables!$A:$A,Derived_Variables!$AI:$AI,4),
axisTol,XLOOKUP($B416,Derived_Variables!$A:$A,Derived_Variables!$W:$W,1),
maxStart,XLOOKUP($B416,Derived_Variables!$A:$A,Derived_Variables!$U:$U,1.25),
maxAR,XLOOKUP($B416,Derived_Variables!$A:$A,Derived_Variables!$V:$V,3),
anom,XLOOKUP($B416,Derived_Variables!$A:$A,Derived_Variables!$Z:$Z,FALSE),
reStart,XLOOKUP($B416,Derived_Variables!$A:$A,Derived_Variables!$K:$K,0),
leStart,XLOOKUP($B416,Derived_Variables!$A:$A,Derived_Variables!$N:$N,0),
reAR,XLOOKUP($B416,AR_Input!$A:$A,AR_Input!$B:$B,reStart),
leAR,XLOOKUP($B416,AR_Input!$A:$A,AR_Input!$E:$E,leStart),
reEsc,AND(anom,OR(ABS((S416+AM416)-reStart)&gt;maxStart,ABS((S416+AM416)-reAR)&gt;maxAR)),
leEsc,AND(anom,OR(ABS((V416+AP416)-leStart)&gt;maxStart,ABS((V416+AP416)-leAR)&gt;maxAR)),
phaseMax,IFS(
 AK416="Fast",
   IFS(
     OR(C416="B",C416="D"),XLOOKUP("timeout_coarse_fast",Calibration!$B:$B,Calibration!$C:$C,24),
     OR(C416="E",C416="F",C416="H",C416="I"),XLOOKUP("timeout_jcc_fast",Calibration!$B:$B,Calibration!$C:$C,10),
     OR(C416="G",C416="J"),XLOOKUP("timeout_duochrome_fast",Calibration!$B:$B,Calibration!$C:$C,8),
     C416="K",XLOOKUP("timeout_bino_fast",Calibration!$B:$B,Calibration!$C:$C,10),
     OR(C416="P",C416="Q",C416="R"),XLOOKUP("timeout_near_fast",Calibration!$B:$B,Calibration!$C:$C,16),
     TRUE,XLOOKUP("timeout_coarse_fast",Calibration!$B:$B,Calibration!$C:$C,24)
   ),
 AK416="Normal",
   IFS(
     OR(C416="B",C416="D"),XLOOKUP("timeout_coarse_normal",Calibration!$B:$B,Calibration!$C:$C,36),
     OR(C416="E",C416="F",C416="H",C416="I"),XLOOKUP("timeout_jcc_normal",Calibration!$B:$B,Calibration!$C:$C,14),
     OR(C416="G",C416="J"),XLOOKUP("timeout_duochrome_normal",Calibration!$B:$B,Calibration!$C:$C,10),
     C416="K",XLOOKUP("timeout_bino_normal",Calibration!$B:$B,Calibration!$C:$C,14),
     OR(C416="P",C416="Q",C416="R"),XLOOKUP("timeout_near_normal",Calibration!$B:$B,Calibration!$C:$C,22),
     TRUE,XLOOKUP("timeout_coarse_normal",Calibration!$B:$B,Calibration!$C:$C,36)
   ),
 TRUE,
   IFS(
     OR(C416="B",C416="D"),XLOOKUP("timeout_coarse_slow",Calibration!$B:$B,Calibration!$C:$C,48),
     OR(C416="E",C416="F",C416="H",C416="I"),XLOOKUP("timeout_jcc_slow",Calibration!$B:$B,Calibration!$C:$C,18),
     OR(C416="G",C416="J"),XLOOKUP("timeout_duochrome_slow",Calibration!$B:$B,Calibration!$C:$C,12),
     C416="K",XLOOKUP("timeout_bino_slow",Calibration!$B:$B,Calibration!$C:$C,18),
     OR(C416="P",C416="Q",C416="R"),XLOOKUP("timeout_near_slow",Calibration!$B:$B,Calibration!$C:$C,28),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AJ416=TRUE,"ESCALATE",
C416="A",
IF(OR(I416="NOT_READABLE",I416="BLURRY",AND(R416="20_20_20",I416="READABLE")),"B","A"),
C416="B",
IF(reEsc,"ESCALATE",IF(AY416&gt;=phaseMax,"ESCALATE",IF(AND(AV416&gt;=AW416,I416="READABLE"),"E","B"))),
C416="E",
IF(AY416&gt;=phaseMax,"ESCALATE",IF(OR(I416="SAME",I416="CANT_TELL",AD416&lt;axisTol),"F","E")),
C416="F",
IF(AY416&gt;=phaseMax,"ESCALATE",IF(AX416&gt;=powerSameN,"G","F")),
C416="G",
IF(AY416&gt;=phaseMax,"ESCALATE",IF(OR(AX416&gt;=duoEqualN,BB416&gt;=duoMax),"D","G")),
C416="D",
IF(leEsc,"ESCALATE",IF(AY416&gt;=phaseMax,"ESCALATE",IF(AND(AV416&gt;=AW416,I416="READABLE"),"H","D"))),
C416="H",
IF(AY416&gt;=phaseMax,"ESCALATE",IF(OR(I416="SAME",I416="CANT_TELL",AD416&lt;axisTol),"I","H")),
C416="I",
IF(AY416&gt;=phaseMax,"ESCALATE",IF(AX416&gt;=powerSameN,"J","I")),
C416="J",
IF(AY416&gt;=phaseMax,"ESCALATE",IF(OR(AX416&gt;=duoEqualN,BB416&gt;=duoMax),"K","J")),
C416="K",
IF(AY416&gt;=phaseMax,"ESCALATE",IF(AX416&gt;=binoSameN,IF(XLOOKUP($B416,Derived_Variables!$A:$A,Derived_Variables!$AJ:$AJ,FALSE)=TRUE,"P","END"),"K")),
C416="P",
IF(AY416&gt;=phaseMax,"ESCALATE",IF(OR(I416="READABLE",I416="SAME"),"Q","P")),
C416="Q",
IF(AY416&gt;=phaseMax,"ESCALATE",IF(OR(I416="READABLE",I416="SAME"),"R","Q")),
C416="R",
IF(AY416&gt;=phaseMax,"ESCALATE",IF(OR(I416=nearTarget,I416="SAME"),"END","R")),
TRUE,"END"
)))</f>
        <v/>
      </c>
      <c r="BD416" s="28" t="b">
        <f t="shared" si="19"/>
        <v>0</v>
      </c>
    </row>
    <row r="417" ht="15.75" customHeight="1">
      <c r="A417" s="28">
        <f t="shared" si="3"/>
        <v>416</v>
      </c>
      <c r="B417" s="28">
        <f t="shared" si="4"/>
        <v>6</v>
      </c>
      <c r="C417" s="28" t="str">
        <f t="shared" si="5"/>
        <v/>
      </c>
      <c r="D417" s="28" t="str">
        <f t="array" ref="D417">IF($I416="","",XLOOKUP(C417,FSM_State_Map!A:A,FSM_State_Map!B:B,""))</f>
        <v/>
      </c>
      <c r="E417" s="28" t="str">
        <f t="array" ref="E417">IF($I416="","",XLOOKUP(C417,FSM_State_Map!A:A,FSM_State_Map!C:C,""))</f>
        <v/>
      </c>
      <c r="F417" s="28" t="str">
        <f t="array" ref="F417">IF($I416="","",XLOOKUP(E417,Phase_UI_Map!A:A,Phase_UI_Map!B:B,""))</f>
        <v/>
      </c>
      <c r="G417" s="28" t="str">
        <f t="array" ref="G417">IF($I416="","",XLOOKUP(E417,Phase_UI_Map!A:A,Phase_UI_Map!C:C,""))</f>
        <v/>
      </c>
      <c r="H417" s="28" t="str">
        <f t="array" ref="H417">IF($I416="","",XLOOKUP(E417,Phase_UI_Map!A:A,Phase_UI_Map!D:D,""))</f>
        <v/>
      </c>
      <c r="I417" s="29"/>
      <c r="J417" s="28" t="str">
        <f>IFERROR(__xludf.DUMMYFUNCTION("IF($I416="""","""",IFERROR(INDEX(FILTER(Response_Lists!$B:$B,Response_Lists!$A:$A=$H417),1),""""))"),"")</f>
        <v/>
      </c>
      <c r="K417" s="28" t="str">
        <f>IFERROR(__xludf.DUMMYFUNCTION("IF($I416="""","""",IFERROR(INDEX(FILTER(Response_Lists!$B:$B,Response_Lists!$A:$A=$H417),2),""""))"),"")</f>
        <v/>
      </c>
      <c r="L417" s="28" t="str">
        <f>IFERROR(__xludf.DUMMYFUNCTION("IF($I416="""","""",IFERROR(INDEX(FILTER(Response_Lists!$B:$B,Response_Lists!$A:$A=$H417),3),""""))"),"")</f>
        <v/>
      </c>
      <c r="M417" s="28" t="str">
        <f>IFERROR(__xludf.DUMMYFUNCTION("IF($I416="""","""",IFERROR(INDEX(FILTER(Response_Lists!$B:$B,Response_Lists!$A:$A=$H417),4),""""))"),"")</f>
        <v/>
      </c>
      <c r="N417" s="28" t="str">
        <f>IFERROR(__xludf.DUMMYFUNCTION("IF($I416="""","""",IFERROR(INDEX(FILTER(Response_Lists!$B:$B,Response_Lists!$A:$A=$H417),5),""""))"),"")</f>
        <v/>
      </c>
      <c r="O417" s="28" t="str">
        <f>IFERROR(__xludf.DUMMYFUNCTION("IF($I416="""","""",IFERROR(INDEX(FILTER(Response_Lists!$B:$B,Response_Lists!$A:$A=$H417),6),""""))"),"")</f>
        <v/>
      </c>
      <c r="P417" s="28" t="str">
        <f t="shared" si="6"/>
        <v/>
      </c>
      <c r="Q417" s="28" t="str">
        <f t="array" ref="Q417">IF($I416="","",XLOOKUP(C417,FSM_State_Map!A:A,FSM_State_Map!D:D,""))</f>
        <v/>
      </c>
      <c r="R417" s="28" t="str">
        <f t="shared" si="7"/>
        <v/>
      </c>
      <c r="S417" s="28" t="str">
        <f t="array" ref="S417">IF($I416="","",
IF(
  AND(C417="B",C416&lt;&gt;"B"),
  XLOOKUP($B417,Derived_Variables!$A:$A,Derived_Variables!$K:$K,0)
  + XLOOKUP($B417,Derived_Variables!$A:$A,Derived_Variables!$AE:$AE,0),
  S416+AM416
))</f>
        <v/>
      </c>
      <c r="T417" s="28" t="str">
        <f t="shared" ref="T417:U417" si="844">IF($I416="","",T416+AN416)</f>
        <v/>
      </c>
      <c r="U417" s="28" t="str">
        <f t="shared" si="844"/>
        <v/>
      </c>
      <c r="V417" s="28" t="str">
        <f t="array" ref="V417">IF($I416="","",
IF(
  AND(C417="D",C416&lt;&gt;"D"),
  XLOOKUP($B417,Derived_Variables!$A:$A,Derived_Variables!$N:$N,0)
  + XLOOKUP($B417,Derived_Variables!$A:$A,Derived_Variables!$AE:$AE,0),
  V416+AP416
))</f>
        <v/>
      </c>
      <c r="W417" s="28" t="str">
        <f t="shared" ref="W417:X417" si="845">IF($I416="","",W416+AQ416)</f>
        <v/>
      </c>
      <c r="X417" s="28" t="str">
        <f t="shared" si="845"/>
        <v/>
      </c>
      <c r="Y417" s="28" t="str">
        <f t="array" ref="Y417">IF($I416="","",IF(AND(C417="P",C416&lt;&gt;"P"),IFERROR(XLOOKUP($B417,Lenso_Input!$A:$A,Lenso_Input!$E:$E,0),0),Y416+AS416))</f>
        <v/>
      </c>
      <c r="Z417" s="28" t="str">
        <f t="array" ref="Z417">IF($I416="","",IF(AND(C417="Q",C416&lt;&gt;"Q"),IFERROR(XLOOKUP($B417,Lenso_Input!$A:$A,Lenso_Input!$I:$I,0),0),Z416+AT416))</f>
        <v/>
      </c>
      <c r="AA417" s="28" t="str">
        <f t="array" ref="AA417">IF($I416="","",IF(XLOOKUP($B417,Derived_Variables!$A:$A,Derived_Variables!$R:$R,"6/6_target")="6/6_target","20_20_20","40_30_25"))</f>
        <v/>
      </c>
      <c r="AB417" s="28" t="str">
        <f t="array" ref="AB417">IF($I416="","",XLOOKUP(LOWER(XLOOKUP($B417,Derived_Variables!$A:$A,Derived_Variables!$T:$T,"Standard"))&amp;"_sph_step",Calibration!$B:$B,Calibration!$C:$C,0.25))</f>
        <v/>
      </c>
      <c r="AC417" s="28" t="str">
        <f t="array" ref="AC417">IF($I416="","",XLOOKUP(LOWER(XLOOKUP($B417,Derived_Variables!$A:$A,Derived_Variables!$T:$T,"Standard"))&amp;"_cyl_step",Calibration!$B:$B,Calibration!$C:$C,0.25))</f>
        <v/>
      </c>
      <c r="AD417" s="28" t="str">
        <f t="array" ref="AD417">IF($I416="","",IF(OR(C417="E",C417="H"),LET(startStep,XLOOKUP("axis_start_step",Calibration!$B:$B,Calibration!$C:$C,5),step1,XLOOKUP("axis_reversal_step_1",Calibration!$B:$B,Calibration!$C:$C,3),step2,XLOOKUP("axis_reversal_step_2",Calibration!$B:$B,Calibration!$C:$C,1),IF(OR(C416&lt;&gt;C417,AZ417="",AZ417="SAME",AZ417="CANT_TELL",I417="",I417="SAME",I417="CANT_TELL"),startStep,IF(OR(AND(AZ417="BETTER_1",I417="BETTER_2"),AND(AZ417="BETTER_2",I417="BETTER_1")),IF(AD416&gt;step1,step1,step2),AD416))),0))</f>
        <v/>
      </c>
      <c r="AE417" s="28" t="str">
        <f t="array" ref="AE417">IF($I416="","",XLOOKUP($B417,Derived_Variables!$A:$A,Derived_Variables!$AD:$AD,"No_Fog"))</f>
        <v/>
      </c>
      <c r="AF417" s="28" t="str">
        <f t="array" ref="AF417">IF($I416="","",XLOOKUP($B417,Derived_Variables!$A:$A,Derived_Variables!$AE:$AE,0))</f>
        <v/>
      </c>
      <c r="AG417" s="28" t="str">
        <f t="array" ref="AG417">IF($I416="","",XLOOKUP($B417,Derived_Variables!$A:$A,Derived_Variables!$AF:$AF,""))</f>
        <v/>
      </c>
      <c r="AH417" s="28" t="str">
        <f t="array" ref="AH417">IF($I416="","",XLOOKUP($B417,Derived_Variables!$A:$A,Derived_Variables!$AG:$AG,""))</f>
        <v/>
      </c>
      <c r="AI417" s="28" t="str">
        <f t="array" ref="AI417">IF($I416="","",XLOOKUP($B417,Derived_Variables!$A:$A,Derived_Variables!$AC:$AC,"Medium"))</f>
        <v/>
      </c>
      <c r="AJ417" s="28" t="str">
        <f t="array" ref="AJ417">IF($I416="","",XLOOKUP($B417,Derived_Variables!$A:$A,Derived_Variables!$Y:$Y,FALSE))</f>
        <v/>
      </c>
      <c r="AK417" s="28" t="str">
        <f t="array" ref="AK417">IF($I416="","",XLOOKUP($B417,Derived_Variables!$A:$A,Derived_Variables!$AA:$AA,"Normal"))</f>
        <v/>
      </c>
      <c r="AL417" s="28" t="str">
        <f t="array" ref="AL417">IF($I416="","",XLOOKUP($B417,Derived_Variables!$A:$A,Derived_Variables!$AB:$AB,"Normal"))</f>
        <v/>
      </c>
      <c r="AM417" s="28" t="str">
        <f t="array" ref="AM417">IF($I417="","",IFS(C417="B",IF(OR(I417="NOT_READABLE",I417="BLURRY"),-AB417,0),C417="G",IFS(I417="RED_CLEARER",XLOOKUP("duochrome_red_step",Calibration!$B:$B,Calibration!$C:$C,-0.25),I417="GREEN_CLEARER",XLOOKUP("duochrome_green_step",Calibration!$B:$B,Calibration!$C:$C,0.25),I417="EQUAL",IF(XLOOKUP($B417,Derived_Variables!$A:$A,Derived_Variables!$S:$S,"Neutral")="Undercorrect",XLOOKUP("undercorrect_step",Calibration!$B:$B,Calibration!$C:$C,0.25),IF(XLOOKUP($B417,Derived_Variables!$A:$A,Derived_Variables!$S:$S,"Neutral")="Overcorrect",-XLOOKUP("overcorrect_step",Calibration!$B:$B,Calibration!$C:$C,0.25),0)),TRUE,0),C417="K",IF(I417="TOP_CLEARER",XLOOKUP("bino_balance_step",Calibration!$B:$B,Calibration!$C:$C,0.25),0),TRUE,0))</f>
        <v/>
      </c>
      <c r="AN417" s="28" t="str">
        <f t="shared" si="10"/>
        <v/>
      </c>
      <c r="AO417" s="28" t="str">
        <f t="shared" si="11"/>
        <v/>
      </c>
      <c r="AP417" s="28" t="str">
        <f t="array" ref="AP417">IF($I417="","",IFS(C417="D",IF(OR(I417="NOT_READABLE",I417="BLURRY"),-AB417,0),C417="J",IFS(I417="RED_CLEARER",XLOOKUP("duochrome_red_step",Calibration!$B:$B,Calibration!$C:$C,-0.25),I417="GREEN_CLEARER",XLOOKUP("duochrome_green_step",Calibration!$B:$B,Calibration!$C:$C,0.25),I417="EQUAL",IF(XLOOKUP($B417,Derived_Variables!$A:$A,Derived_Variables!$S:$S,"Neutral")="Undercorrect",XLOOKUP("undercorrect_step",Calibration!$B:$B,Calibration!$C:$C,0.25),IF(XLOOKUP($B417,Derived_Variables!$A:$A,Derived_Variables!$S:$S,"Neutral")="Overcorrect",-XLOOKUP("overcorrect_step",Calibration!$B:$B,Calibration!$C:$C,0.25),0)),TRUE,0),C417="K",IF(I417="BOTTOM_CLEARER",XLOOKUP("bino_balance_step",Calibration!$B:$B,Calibration!$C:$C,0.25),0),TRUE,0))</f>
        <v/>
      </c>
      <c r="AQ417" s="28" t="str">
        <f t="shared" si="12"/>
        <v/>
      </c>
      <c r="AR417" s="28" t="str">
        <f t="shared" si="13"/>
        <v/>
      </c>
      <c r="AS417" s="28" t="str">
        <f t="array" ref="AS417">IF($I417="","",IF(C417="P",IF(OR(I417="NOT_READABLE",I417="BLURRY"),XLOOKUP("near_add_step",Calibration!$B:$B,Calibration!$C:$C,0.25),0),IF(C417="R",IF(I417="NOT_CLEAR",XLOOKUP("near_add_step",Calibration!$B:$B,Calibration!$C:$C,0.25),0),0)))</f>
        <v/>
      </c>
      <c r="AT417" s="28" t="str">
        <f t="array" ref="AT417">IF($I417="","",IF(C417="Q",IF(OR(I417="NOT_READABLE",I417="BLURRY"),XLOOKUP("near_add_step",Calibration!$B:$B,Calibration!$C:$C,0.25),0),IF(C417="R",IF(I417="NOT_CLEAR",XLOOKUP("near_add_step",Calibration!$B:$B,Calibration!$C:$C,0.25),0),0)))</f>
        <v/>
      </c>
      <c r="AU417" s="28" t="str">
        <f t="array" ref="AU417">IF($I417="","",IF(G417="SNELLEN_FEET",IF(I417="READABLE",IFERROR(XLOOKUP(XLOOKUP(R417,Chart_Scale_Distance!B:B,Chart_Scale_Distance!A:A)+1,Chart_Scale_Distance!A:A,Chart_Scale_Distance!B:B),R417),R417),R417))</f>
        <v/>
      </c>
      <c r="AV417" s="28" t="str">
        <f t="array" ref="AV417">IF($I416="","",IFERROR(XLOOKUP(R417,Chart_Scale_Distance!$B:$B,Chart_Scale_Distance!$A:$A,""),""))</f>
        <v/>
      </c>
      <c r="AW417" s="28" t="str">
        <f t="array" ref="AW417">IF($I416="","",IFERROR(XLOOKUP(AA417,Chart_Scale_Distance!$B:$B,Chart_Scale_Distance!$A:$A,""),""))</f>
        <v/>
      </c>
      <c r="AX417" s="28" t="str">
        <f t="shared" si="14"/>
        <v/>
      </c>
      <c r="AY417" s="28" t="str">
        <f t="shared" si="15"/>
        <v/>
      </c>
      <c r="AZ417" s="28" t="str">
        <f t="shared" si="16"/>
        <v/>
      </c>
      <c r="BA417" s="28" t="str">
        <f t="shared" si="17"/>
        <v/>
      </c>
      <c r="BB417" s="28" t="str">
        <f t="shared" si="18"/>
        <v/>
      </c>
      <c r="BC417" s="28" t="str">
        <f t="array" ref="BC417">IF($I417="","",LET(
conf,AI417,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duoMax,XLOOKUP($B417,Derived_Variables!$A:$A,Derived_Variables!$AI:$AI,4),
axisTol,XLOOKUP($B417,Derived_Variables!$A:$A,Derived_Variables!$W:$W,1),
maxStart,XLOOKUP($B417,Derived_Variables!$A:$A,Derived_Variables!$U:$U,1.25),
maxAR,XLOOKUP($B417,Derived_Variables!$A:$A,Derived_Variables!$V:$V,3),
anom,XLOOKUP($B417,Derived_Variables!$A:$A,Derived_Variables!$Z:$Z,FALSE),
reStart,XLOOKUP($B417,Derived_Variables!$A:$A,Derived_Variables!$K:$K,0),
leStart,XLOOKUP($B417,Derived_Variables!$A:$A,Derived_Variables!$N:$N,0),
reAR,XLOOKUP($B417,AR_Input!$A:$A,AR_Input!$B:$B,reStart),
leAR,XLOOKUP($B417,AR_Input!$A:$A,AR_Input!$E:$E,leStart),
reEsc,AND(anom,OR(ABS((S417+AM417)-reStart)&gt;maxStart,ABS((S417+AM417)-reAR)&gt;maxAR)),
leEsc,AND(anom,OR(ABS((V417+AP417)-leStart)&gt;maxStart,ABS((V417+AP417)-leAR)&gt;maxAR)),
phaseMax,IFS(
 AK417="Fast",
   IFS(
     OR(C417="B",C417="D"),XLOOKUP("timeout_coarse_fast",Calibration!$B:$B,Calibration!$C:$C,24),
     OR(C417="E",C417="F",C417="H",C417="I"),XLOOKUP("timeout_jcc_fast",Calibration!$B:$B,Calibration!$C:$C,10),
     OR(C417="G",C417="J"),XLOOKUP("timeout_duochrome_fast",Calibration!$B:$B,Calibration!$C:$C,8),
     C417="K",XLOOKUP("timeout_bino_fast",Calibration!$B:$B,Calibration!$C:$C,10),
     OR(C417="P",C417="Q",C417="R"),XLOOKUP("timeout_near_fast",Calibration!$B:$B,Calibration!$C:$C,16),
     TRUE,XLOOKUP("timeout_coarse_fast",Calibration!$B:$B,Calibration!$C:$C,24)
   ),
 AK417="Normal",
   IFS(
     OR(C417="B",C417="D"),XLOOKUP("timeout_coarse_normal",Calibration!$B:$B,Calibration!$C:$C,36),
     OR(C417="E",C417="F",C417="H",C417="I"),XLOOKUP("timeout_jcc_normal",Calibration!$B:$B,Calibration!$C:$C,14),
     OR(C417="G",C417="J"),XLOOKUP("timeout_duochrome_normal",Calibration!$B:$B,Calibration!$C:$C,10),
     C417="K",XLOOKUP("timeout_bino_normal",Calibration!$B:$B,Calibration!$C:$C,14),
     OR(C417="P",C417="Q",C417="R"),XLOOKUP("timeout_near_normal",Calibration!$B:$B,Calibration!$C:$C,22),
     TRUE,XLOOKUP("timeout_coarse_normal",Calibration!$B:$B,Calibration!$C:$C,36)
   ),
 TRUE,
   IFS(
     OR(C417="B",C417="D"),XLOOKUP("timeout_coarse_slow",Calibration!$B:$B,Calibration!$C:$C,48),
     OR(C417="E",C417="F",C417="H",C417="I"),XLOOKUP("timeout_jcc_slow",Calibration!$B:$B,Calibration!$C:$C,18),
     OR(C417="G",C417="J"),XLOOKUP("timeout_duochrome_slow",Calibration!$B:$B,Calibration!$C:$C,12),
     C417="K",XLOOKUP("timeout_bino_slow",Calibration!$B:$B,Calibration!$C:$C,18),
     OR(C417="P",C417="Q",C417="R"),XLOOKUP("timeout_near_slow",Calibration!$B:$B,Calibration!$C:$C,28),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AJ417=TRUE,"ESCALATE",
C417="A",
IF(OR(I417="NOT_READABLE",I417="BLURRY",AND(R417="20_20_20",I417="READABLE")),"B","A"),
C417="B",
IF(reEsc,"ESCALATE",IF(AY417&gt;=phaseMax,"ESCALATE",IF(AND(AV417&gt;=AW417,I417="READABLE"),"E","B"))),
C417="E",
IF(AY417&gt;=phaseMax,"ESCALATE",IF(OR(I417="SAME",I417="CANT_TELL",AD417&lt;axisTol),"F","E")),
C417="F",
IF(AY417&gt;=phaseMax,"ESCALATE",IF(AX417&gt;=powerSameN,"G","F")),
C417="G",
IF(AY417&gt;=phaseMax,"ESCALATE",IF(OR(AX417&gt;=duoEqualN,BB417&gt;=duoMax),"D","G")),
C417="D",
IF(leEsc,"ESCALATE",IF(AY417&gt;=phaseMax,"ESCALATE",IF(AND(AV417&gt;=AW417,I417="READABLE"),"H","D"))),
C417="H",
IF(AY417&gt;=phaseMax,"ESCALATE",IF(OR(I417="SAME",I417="CANT_TELL",AD417&lt;axisTol),"I","H")),
C417="I",
IF(AY417&gt;=phaseMax,"ESCALATE",IF(AX417&gt;=powerSameN,"J","I")),
C417="J",
IF(AY417&gt;=phaseMax,"ESCALATE",IF(OR(AX417&gt;=duoEqualN,BB417&gt;=duoMax),"K","J")),
C417="K",
IF(AY417&gt;=phaseMax,"ESCALATE",IF(AX417&gt;=binoSameN,IF(XLOOKUP($B417,Derived_Variables!$A:$A,Derived_Variables!$AJ:$AJ,FALSE)=TRUE,"P","END"),"K")),
C417="P",
IF(AY417&gt;=phaseMax,"ESCALATE",IF(OR(I417="READABLE",I417="SAME"),"Q","P")),
C417="Q",
IF(AY417&gt;=phaseMax,"ESCALATE",IF(OR(I417="READABLE",I417="SAME"),"R","Q")),
C417="R",
IF(AY417&gt;=phaseMax,"ESCALATE",IF(OR(I417=nearTarget,I417="SAME"),"END","R")),
TRUE,"END"
)))</f>
        <v/>
      </c>
      <c r="BD417" s="28" t="b">
        <f t="shared" si="19"/>
        <v>0</v>
      </c>
    </row>
    <row r="418" ht="15.75" customHeight="1">
      <c r="A418" s="28">
        <f t="shared" si="3"/>
        <v>417</v>
      </c>
      <c r="B418" s="28">
        <f t="shared" si="4"/>
        <v>6</v>
      </c>
      <c r="C418" s="28" t="str">
        <f t="shared" si="5"/>
        <v/>
      </c>
      <c r="D418" s="28" t="str">
        <f t="array" ref="D418">IF($I417="","",XLOOKUP(C418,FSM_State_Map!A:A,FSM_State_Map!B:B,""))</f>
        <v/>
      </c>
      <c r="E418" s="28" t="str">
        <f t="array" ref="E418">IF($I417="","",XLOOKUP(C418,FSM_State_Map!A:A,FSM_State_Map!C:C,""))</f>
        <v/>
      </c>
      <c r="F418" s="28" t="str">
        <f t="array" ref="F418">IF($I417="","",XLOOKUP(E418,Phase_UI_Map!A:A,Phase_UI_Map!B:B,""))</f>
        <v/>
      </c>
      <c r="G418" s="28" t="str">
        <f t="array" ref="G418">IF($I417="","",XLOOKUP(E418,Phase_UI_Map!A:A,Phase_UI_Map!C:C,""))</f>
        <v/>
      </c>
      <c r="H418" s="28" t="str">
        <f t="array" ref="H418">IF($I417="","",XLOOKUP(E418,Phase_UI_Map!A:A,Phase_UI_Map!D:D,""))</f>
        <v/>
      </c>
      <c r="I418" s="29"/>
      <c r="J418" s="28" t="str">
        <f>IFERROR(__xludf.DUMMYFUNCTION("IF($I417="""","""",IFERROR(INDEX(FILTER(Response_Lists!$B:$B,Response_Lists!$A:$A=$H418),1),""""))"),"")</f>
        <v/>
      </c>
      <c r="K418" s="28" t="str">
        <f>IFERROR(__xludf.DUMMYFUNCTION("IF($I417="""","""",IFERROR(INDEX(FILTER(Response_Lists!$B:$B,Response_Lists!$A:$A=$H418),2),""""))"),"")</f>
        <v/>
      </c>
      <c r="L418" s="28" t="str">
        <f>IFERROR(__xludf.DUMMYFUNCTION("IF($I417="""","""",IFERROR(INDEX(FILTER(Response_Lists!$B:$B,Response_Lists!$A:$A=$H418),3),""""))"),"")</f>
        <v/>
      </c>
      <c r="M418" s="28" t="str">
        <f>IFERROR(__xludf.DUMMYFUNCTION("IF($I417="""","""",IFERROR(INDEX(FILTER(Response_Lists!$B:$B,Response_Lists!$A:$A=$H418),4),""""))"),"")</f>
        <v/>
      </c>
      <c r="N418" s="28" t="str">
        <f>IFERROR(__xludf.DUMMYFUNCTION("IF($I417="""","""",IFERROR(INDEX(FILTER(Response_Lists!$B:$B,Response_Lists!$A:$A=$H418),5),""""))"),"")</f>
        <v/>
      </c>
      <c r="O418" s="28" t="str">
        <f>IFERROR(__xludf.DUMMYFUNCTION("IF($I417="""","""",IFERROR(INDEX(FILTER(Response_Lists!$B:$B,Response_Lists!$A:$A=$H418),6),""""))"),"")</f>
        <v/>
      </c>
      <c r="P418" s="28" t="str">
        <f t="shared" si="6"/>
        <v/>
      </c>
      <c r="Q418" s="28" t="str">
        <f t="array" ref="Q418">IF($I417="","",XLOOKUP(C418,FSM_State_Map!A:A,FSM_State_Map!D:D,""))</f>
        <v/>
      </c>
      <c r="R418" s="28" t="str">
        <f t="shared" si="7"/>
        <v/>
      </c>
      <c r="S418" s="28" t="str">
        <f t="array" ref="S418">IF($I417="","",
IF(
  AND(C418="B",C417&lt;&gt;"B"),
  XLOOKUP($B418,Derived_Variables!$A:$A,Derived_Variables!$K:$K,0)
  + XLOOKUP($B418,Derived_Variables!$A:$A,Derived_Variables!$AE:$AE,0),
  S417+AM417
))</f>
        <v/>
      </c>
      <c r="T418" s="28" t="str">
        <f t="shared" ref="T418:U418" si="846">IF($I417="","",T417+AN417)</f>
        <v/>
      </c>
      <c r="U418" s="28" t="str">
        <f t="shared" si="846"/>
        <v/>
      </c>
      <c r="V418" s="28" t="str">
        <f t="array" ref="V418">IF($I417="","",
IF(
  AND(C418="D",C417&lt;&gt;"D"),
  XLOOKUP($B418,Derived_Variables!$A:$A,Derived_Variables!$N:$N,0)
  + XLOOKUP($B418,Derived_Variables!$A:$A,Derived_Variables!$AE:$AE,0),
  V417+AP417
))</f>
        <v/>
      </c>
      <c r="W418" s="28" t="str">
        <f t="shared" ref="W418:X418" si="847">IF($I417="","",W417+AQ417)</f>
        <v/>
      </c>
      <c r="X418" s="28" t="str">
        <f t="shared" si="847"/>
        <v/>
      </c>
      <c r="Y418" s="28" t="str">
        <f t="array" ref="Y418">IF($I417="","",IF(AND(C418="P",C417&lt;&gt;"P"),IFERROR(XLOOKUP($B418,Lenso_Input!$A:$A,Lenso_Input!$E:$E,0),0),Y417+AS417))</f>
        <v/>
      </c>
      <c r="Z418" s="28" t="str">
        <f t="array" ref="Z418">IF($I417="","",IF(AND(C418="Q",C417&lt;&gt;"Q"),IFERROR(XLOOKUP($B418,Lenso_Input!$A:$A,Lenso_Input!$I:$I,0),0),Z417+AT417))</f>
        <v/>
      </c>
      <c r="AA418" s="28" t="str">
        <f t="array" ref="AA418">IF($I417="","",IF(XLOOKUP($B418,Derived_Variables!$A:$A,Derived_Variables!$R:$R,"6/6_target")="6/6_target","20_20_20","40_30_25"))</f>
        <v/>
      </c>
      <c r="AB418" s="28" t="str">
        <f t="array" ref="AB418">IF($I417="","",XLOOKUP(LOWER(XLOOKUP($B418,Derived_Variables!$A:$A,Derived_Variables!$T:$T,"Standard"))&amp;"_sph_step",Calibration!$B:$B,Calibration!$C:$C,0.25))</f>
        <v/>
      </c>
      <c r="AC418" s="28" t="str">
        <f t="array" ref="AC418">IF($I417="","",XLOOKUP(LOWER(XLOOKUP($B418,Derived_Variables!$A:$A,Derived_Variables!$T:$T,"Standard"))&amp;"_cyl_step",Calibration!$B:$B,Calibration!$C:$C,0.25))</f>
        <v/>
      </c>
      <c r="AD418" s="28" t="str">
        <f t="array" ref="AD418">IF($I417="","",IF(OR(C418="E",C418="H"),LET(startStep,XLOOKUP("axis_start_step",Calibration!$B:$B,Calibration!$C:$C,5),step1,XLOOKUP("axis_reversal_step_1",Calibration!$B:$B,Calibration!$C:$C,3),step2,XLOOKUP("axis_reversal_step_2",Calibration!$B:$B,Calibration!$C:$C,1),IF(OR(C417&lt;&gt;C418,AZ418="",AZ418="SAME",AZ418="CANT_TELL",I418="",I418="SAME",I418="CANT_TELL"),startStep,IF(OR(AND(AZ418="BETTER_1",I418="BETTER_2"),AND(AZ418="BETTER_2",I418="BETTER_1")),IF(AD417&gt;step1,step1,step2),AD417))),0))</f>
        <v/>
      </c>
      <c r="AE418" s="28" t="str">
        <f t="array" ref="AE418">IF($I417="","",XLOOKUP($B418,Derived_Variables!$A:$A,Derived_Variables!$AD:$AD,"No_Fog"))</f>
        <v/>
      </c>
      <c r="AF418" s="28" t="str">
        <f t="array" ref="AF418">IF($I417="","",XLOOKUP($B418,Derived_Variables!$A:$A,Derived_Variables!$AE:$AE,0))</f>
        <v/>
      </c>
      <c r="AG418" s="28" t="str">
        <f t="array" ref="AG418">IF($I417="","",XLOOKUP($B418,Derived_Variables!$A:$A,Derived_Variables!$AF:$AF,""))</f>
        <v/>
      </c>
      <c r="AH418" s="28" t="str">
        <f t="array" ref="AH418">IF($I417="","",XLOOKUP($B418,Derived_Variables!$A:$A,Derived_Variables!$AG:$AG,""))</f>
        <v/>
      </c>
      <c r="AI418" s="28" t="str">
        <f t="array" ref="AI418">IF($I417="","",XLOOKUP($B418,Derived_Variables!$A:$A,Derived_Variables!$AC:$AC,"Medium"))</f>
        <v/>
      </c>
      <c r="AJ418" s="28" t="str">
        <f t="array" ref="AJ418">IF($I417="","",XLOOKUP($B418,Derived_Variables!$A:$A,Derived_Variables!$Y:$Y,FALSE))</f>
        <v/>
      </c>
      <c r="AK418" s="28" t="str">
        <f t="array" ref="AK418">IF($I417="","",XLOOKUP($B418,Derived_Variables!$A:$A,Derived_Variables!$AA:$AA,"Normal"))</f>
        <v/>
      </c>
      <c r="AL418" s="28" t="str">
        <f t="array" ref="AL418">IF($I417="","",XLOOKUP($B418,Derived_Variables!$A:$A,Derived_Variables!$AB:$AB,"Normal"))</f>
        <v/>
      </c>
      <c r="AM418" s="28" t="str">
        <f t="array" ref="AM418">IF($I418="","",IFS(C418="B",IF(OR(I418="NOT_READABLE",I418="BLURRY"),-AB418,0),C418="G",IFS(I418="RED_CLEARER",XLOOKUP("duochrome_red_step",Calibration!$B:$B,Calibration!$C:$C,-0.25),I418="GREEN_CLEARER",XLOOKUP("duochrome_green_step",Calibration!$B:$B,Calibration!$C:$C,0.25),I418="EQUAL",IF(XLOOKUP($B418,Derived_Variables!$A:$A,Derived_Variables!$S:$S,"Neutral")="Undercorrect",XLOOKUP("undercorrect_step",Calibration!$B:$B,Calibration!$C:$C,0.25),IF(XLOOKUP($B418,Derived_Variables!$A:$A,Derived_Variables!$S:$S,"Neutral")="Overcorrect",-XLOOKUP("overcorrect_step",Calibration!$B:$B,Calibration!$C:$C,0.25),0)),TRUE,0),C418="K",IF(I418="TOP_CLEARER",XLOOKUP("bino_balance_step",Calibration!$B:$B,Calibration!$C:$C,0.25),0),TRUE,0))</f>
        <v/>
      </c>
      <c r="AN418" s="28" t="str">
        <f t="shared" si="10"/>
        <v/>
      </c>
      <c r="AO418" s="28" t="str">
        <f t="shared" si="11"/>
        <v/>
      </c>
      <c r="AP418" s="28" t="str">
        <f t="array" ref="AP418">IF($I418="","",IFS(C418="D",IF(OR(I418="NOT_READABLE",I418="BLURRY"),-AB418,0),C418="J",IFS(I418="RED_CLEARER",XLOOKUP("duochrome_red_step",Calibration!$B:$B,Calibration!$C:$C,-0.25),I418="GREEN_CLEARER",XLOOKUP("duochrome_green_step",Calibration!$B:$B,Calibration!$C:$C,0.25),I418="EQUAL",IF(XLOOKUP($B418,Derived_Variables!$A:$A,Derived_Variables!$S:$S,"Neutral")="Undercorrect",XLOOKUP("undercorrect_step",Calibration!$B:$B,Calibration!$C:$C,0.25),IF(XLOOKUP($B418,Derived_Variables!$A:$A,Derived_Variables!$S:$S,"Neutral")="Overcorrect",-XLOOKUP("overcorrect_step",Calibration!$B:$B,Calibration!$C:$C,0.25),0)),TRUE,0),C418="K",IF(I418="BOTTOM_CLEARER",XLOOKUP("bino_balance_step",Calibration!$B:$B,Calibration!$C:$C,0.25),0),TRUE,0))</f>
        <v/>
      </c>
      <c r="AQ418" s="28" t="str">
        <f t="shared" si="12"/>
        <v/>
      </c>
      <c r="AR418" s="28" t="str">
        <f t="shared" si="13"/>
        <v/>
      </c>
      <c r="AS418" s="28" t="str">
        <f t="array" ref="AS418">IF($I418="","",IF(C418="P",IF(OR(I418="NOT_READABLE",I418="BLURRY"),XLOOKUP("near_add_step",Calibration!$B:$B,Calibration!$C:$C,0.25),0),IF(C418="R",IF(I418="NOT_CLEAR",XLOOKUP("near_add_step",Calibration!$B:$B,Calibration!$C:$C,0.25),0),0)))</f>
        <v/>
      </c>
      <c r="AT418" s="28" t="str">
        <f t="array" ref="AT418">IF($I418="","",IF(C418="Q",IF(OR(I418="NOT_READABLE",I418="BLURRY"),XLOOKUP("near_add_step",Calibration!$B:$B,Calibration!$C:$C,0.25),0),IF(C418="R",IF(I418="NOT_CLEAR",XLOOKUP("near_add_step",Calibration!$B:$B,Calibration!$C:$C,0.25),0),0)))</f>
        <v/>
      </c>
      <c r="AU418" s="28" t="str">
        <f t="array" ref="AU418">IF($I418="","",IF(G418="SNELLEN_FEET",IF(I418="READABLE",IFERROR(XLOOKUP(XLOOKUP(R418,Chart_Scale_Distance!B:B,Chart_Scale_Distance!A:A)+1,Chart_Scale_Distance!A:A,Chart_Scale_Distance!B:B),R418),R418),R418))</f>
        <v/>
      </c>
      <c r="AV418" s="28" t="str">
        <f t="array" ref="AV418">IF($I417="","",IFERROR(XLOOKUP(R418,Chart_Scale_Distance!$B:$B,Chart_Scale_Distance!$A:$A,""),""))</f>
        <v/>
      </c>
      <c r="AW418" s="28" t="str">
        <f t="array" ref="AW418">IF($I417="","",IFERROR(XLOOKUP(AA418,Chart_Scale_Distance!$B:$B,Chart_Scale_Distance!$A:$A,""),""))</f>
        <v/>
      </c>
      <c r="AX418" s="28" t="str">
        <f t="shared" si="14"/>
        <v/>
      </c>
      <c r="AY418" s="28" t="str">
        <f t="shared" si="15"/>
        <v/>
      </c>
      <c r="AZ418" s="28" t="str">
        <f t="shared" si="16"/>
        <v/>
      </c>
      <c r="BA418" s="28" t="str">
        <f t="shared" si="17"/>
        <v/>
      </c>
      <c r="BB418" s="28" t="str">
        <f t="shared" si="18"/>
        <v/>
      </c>
      <c r="BC418" s="28" t="str">
        <f t="array" ref="BC418">IF($I418="","",LET(
conf,AI418,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duoMax,XLOOKUP($B418,Derived_Variables!$A:$A,Derived_Variables!$AI:$AI,4),
axisTol,XLOOKUP($B418,Derived_Variables!$A:$A,Derived_Variables!$W:$W,1),
maxStart,XLOOKUP($B418,Derived_Variables!$A:$A,Derived_Variables!$U:$U,1.25),
maxAR,XLOOKUP($B418,Derived_Variables!$A:$A,Derived_Variables!$V:$V,3),
anom,XLOOKUP($B418,Derived_Variables!$A:$A,Derived_Variables!$Z:$Z,FALSE),
reStart,XLOOKUP($B418,Derived_Variables!$A:$A,Derived_Variables!$K:$K,0),
leStart,XLOOKUP($B418,Derived_Variables!$A:$A,Derived_Variables!$N:$N,0),
reAR,XLOOKUP($B418,AR_Input!$A:$A,AR_Input!$B:$B,reStart),
leAR,XLOOKUP($B418,AR_Input!$A:$A,AR_Input!$E:$E,leStart),
reEsc,AND(anom,OR(ABS((S418+AM418)-reStart)&gt;maxStart,ABS((S418+AM418)-reAR)&gt;maxAR)),
leEsc,AND(anom,OR(ABS((V418+AP418)-leStart)&gt;maxStart,ABS((V418+AP418)-leAR)&gt;maxAR)),
phaseMax,IFS(
 AK418="Fast",
   IFS(
     OR(C418="B",C418="D"),XLOOKUP("timeout_coarse_fast",Calibration!$B:$B,Calibration!$C:$C,24),
     OR(C418="E",C418="F",C418="H",C418="I"),XLOOKUP("timeout_jcc_fast",Calibration!$B:$B,Calibration!$C:$C,10),
     OR(C418="G",C418="J"),XLOOKUP("timeout_duochrome_fast",Calibration!$B:$B,Calibration!$C:$C,8),
     C418="K",XLOOKUP("timeout_bino_fast",Calibration!$B:$B,Calibration!$C:$C,10),
     OR(C418="P",C418="Q",C418="R"),XLOOKUP("timeout_near_fast",Calibration!$B:$B,Calibration!$C:$C,16),
     TRUE,XLOOKUP("timeout_coarse_fast",Calibration!$B:$B,Calibration!$C:$C,24)
   ),
 AK418="Normal",
   IFS(
     OR(C418="B",C418="D"),XLOOKUP("timeout_coarse_normal",Calibration!$B:$B,Calibration!$C:$C,36),
     OR(C418="E",C418="F",C418="H",C418="I"),XLOOKUP("timeout_jcc_normal",Calibration!$B:$B,Calibration!$C:$C,14),
     OR(C418="G",C418="J"),XLOOKUP("timeout_duochrome_normal",Calibration!$B:$B,Calibration!$C:$C,10),
     C418="K",XLOOKUP("timeout_bino_normal",Calibration!$B:$B,Calibration!$C:$C,14),
     OR(C418="P",C418="Q",C418="R"),XLOOKUP("timeout_near_normal",Calibration!$B:$B,Calibration!$C:$C,22),
     TRUE,XLOOKUP("timeout_coarse_normal",Calibration!$B:$B,Calibration!$C:$C,36)
   ),
 TRUE,
   IFS(
     OR(C418="B",C418="D"),XLOOKUP("timeout_coarse_slow",Calibration!$B:$B,Calibration!$C:$C,48),
     OR(C418="E",C418="F",C418="H",C418="I"),XLOOKUP("timeout_jcc_slow",Calibration!$B:$B,Calibration!$C:$C,18),
     OR(C418="G",C418="J"),XLOOKUP("timeout_duochrome_slow",Calibration!$B:$B,Calibration!$C:$C,12),
     C418="K",XLOOKUP("timeout_bino_slow",Calibration!$B:$B,Calibration!$C:$C,18),
     OR(C418="P",C418="Q",C418="R"),XLOOKUP("timeout_near_slow",Calibration!$B:$B,Calibration!$C:$C,28),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AJ418=TRUE,"ESCALATE",
C418="A",
IF(OR(I418="NOT_READABLE",I418="BLURRY",AND(R418="20_20_20",I418="READABLE")),"B","A"),
C418="B",
IF(reEsc,"ESCALATE",IF(AY418&gt;=phaseMax,"ESCALATE",IF(AND(AV418&gt;=AW418,I418="READABLE"),"E","B"))),
C418="E",
IF(AY418&gt;=phaseMax,"ESCALATE",IF(OR(I418="SAME",I418="CANT_TELL",AD418&lt;axisTol),"F","E")),
C418="F",
IF(AY418&gt;=phaseMax,"ESCALATE",IF(AX418&gt;=powerSameN,"G","F")),
C418="G",
IF(AY418&gt;=phaseMax,"ESCALATE",IF(OR(AX418&gt;=duoEqualN,BB418&gt;=duoMax),"D","G")),
C418="D",
IF(leEsc,"ESCALATE",IF(AY418&gt;=phaseMax,"ESCALATE",IF(AND(AV418&gt;=AW418,I418="READABLE"),"H","D"))),
C418="H",
IF(AY418&gt;=phaseMax,"ESCALATE",IF(OR(I418="SAME",I418="CANT_TELL",AD418&lt;axisTol),"I","H")),
C418="I",
IF(AY418&gt;=phaseMax,"ESCALATE",IF(AX418&gt;=powerSameN,"J","I")),
C418="J",
IF(AY418&gt;=phaseMax,"ESCALATE",IF(OR(AX418&gt;=duoEqualN,BB418&gt;=duoMax),"K","J")),
C418="K",
IF(AY418&gt;=phaseMax,"ESCALATE",IF(AX418&gt;=binoSameN,IF(XLOOKUP($B418,Derived_Variables!$A:$A,Derived_Variables!$AJ:$AJ,FALSE)=TRUE,"P","END"),"K")),
C418="P",
IF(AY418&gt;=phaseMax,"ESCALATE",IF(OR(I418="READABLE",I418="SAME"),"Q","P")),
C418="Q",
IF(AY418&gt;=phaseMax,"ESCALATE",IF(OR(I418="READABLE",I418="SAME"),"R","Q")),
C418="R",
IF(AY418&gt;=phaseMax,"ESCALATE",IF(OR(I418=nearTarget,I418="SAME"),"END","R")),
TRUE,"END"
)))</f>
        <v/>
      </c>
      <c r="BD418" s="28" t="b">
        <f t="shared" si="19"/>
        <v>0</v>
      </c>
    </row>
    <row r="419" ht="15.75" customHeight="1">
      <c r="A419" s="28">
        <f t="shared" si="3"/>
        <v>418</v>
      </c>
      <c r="B419" s="28">
        <f t="shared" si="4"/>
        <v>6</v>
      </c>
      <c r="C419" s="28" t="str">
        <f t="shared" si="5"/>
        <v/>
      </c>
      <c r="D419" s="28" t="str">
        <f t="array" ref="D419">IF($I418="","",XLOOKUP(C419,FSM_State_Map!A:A,FSM_State_Map!B:B,""))</f>
        <v/>
      </c>
      <c r="E419" s="28" t="str">
        <f t="array" ref="E419">IF($I418="","",XLOOKUP(C419,FSM_State_Map!A:A,FSM_State_Map!C:C,""))</f>
        <v/>
      </c>
      <c r="F419" s="28" t="str">
        <f t="array" ref="F419">IF($I418="","",XLOOKUP(E419,Phase_UI_Map!A:A,Phase_UI_Map!B:B,""))</f>
        <v/>
      </c>
      <c r="G419" s="28" t="str">
        <f t="array" ref="G419">IF($I418="","",XLOOKUP(E419,Phase_UI_Map!A:A,Phase_UI_Map!C:C,""))</f>
        <v/>
      </c>
      <c r="H419" s="28" t="str">
        <f t="array" ref="H419">IF($I418="","",XLOOKUP(E419,Phase_UI_Map!A:A,Phase_UI_Map!D:D,""))</f>
        <v/>
      </c>
      <c r="I419" s="29"/>
      <c r="J419" s="28" t="str">
        <f>IFERROR(__xludf.DUMMYFUNCTION("IF($I418="""","""",IFERROR(INDEX(FILTER(Response_Lists!$B:$B,Response_Lists!$A:$A=$H419),1),""""))"),"")</f>
        <v/>
      </c>
      <c r="K419" s="28" t="str">
        <f>IFERROR(__xludf.DUMMYFUNCTION("IF($I418="""","""",IFERROR(INDEX(FILTER(Response_Lists!$B:$B,Response_Lists!$A:$A=$H419),2),""""))"),"")</f>
        <v/>
      </c>
      <c r="L419" s="28" t="str">
        <f>IFERROR(__xludf.DUMMYFUNCTION("IF($I418="""","""",IFERROR(INDEX(FILTER(Response_Lists!$B:$B,Response_Lists!$A:$A=$H419),3),""""))"),"")</f>
        <v/>
      </c>
      <c r="M419" s="28" t="str">
        <f>IFERROR(__xludf.DUMMYFUNCTION("IF($I418="""","""",IFERROR(INDEX(FILTER(Response_Lists!$B:$B,Response_Lists!$A:$A=$H419),4),""""))"),"")</f>
        <v/>
      </c>
      <c r="N419" s="28" t="str">
        <f>IFERROR(__xludf.DUMMYFUNCTION("IF($I418="""","""",IFERROR(INDEX(FILTER(Response_Lists!$B:$B,Response_Lists!$A:$A=$H419),5),""""))"),"")</f>
        <v/>
      </c>
      <c r="O419" s="28" t="str">
        <f>IFERROR(__xludf.DUMMYFUNCTION("IF($I418="""","""",IFERROR(INDEX(FILTER(Response_Lists!$B:$B,Response_Lists!$A:$A=$H419),6),""""))"),"")</f>
        <v/>
      </c>
      <c r="P419" s="28" t="str">
        <f t="shared" si="6"/>
        <v/>
      </c>
      <c r="Q419" s="28" t="str">
        <f t="array" ref="Q419">IF($I418="","",XLOOKUP(C419,FSM_State_Map!A:A,FSM_State_Map!D:D,""))</f>
        <v/>
      </c>
      <c r="R419" s="28" t="str">
        <f t="shared" si="7"/>
        <v/>
      </c>
      <c r="S419" s="28" t="str">
        <f t="array" ref="S419">IF($I418="","",
IF(
  AND(C419="B",C418&lt;&gt;"B"),
  XLOOKUP($B419,Derived_Variables!$A:$A,Derived_Variables!$K:$K,0)
  + XLOOKUP($B419,Derived_Variables!$A:$A,Derived_Variables!$AE:$AE,0),
  S418+AM418
))</f>
        <v/>
      </c>
      <c r="T419" s="28" t="str">
        <f t="shared" ref="T419:U419" si="848">IF($I418="","",T418+AN418)</f>
        <v/>
      </c>
      <c r="U419" s="28" t="str">
        <f t="shared" si="848"/>
        <v/>
      </c>
      <c r="V419" s="28" t="str">
        <f t="array" ref="V419">IF($I418="","",
IF(
  AND(C419="D",C418&lt;&gt;"D"),
  XLOOKUP($B419,Derived_Variables!$A:$A,Derived_Variables!$N:$N,0)
  + XLOOKUP($B419,Derived_Variables!$A:$A,Derived_Variables!$AE:$AE,0),
  V418+AP418
))</f>
        <v/>
      </c>
      <c r="W419" s="28" t="str">
        <f t="shared" ref="W419:X419" si="849">IF($I418="","",W418+AQ418)</f>
        <v/>
      </c>
      <c r="X419" s="28" t="str">
        <f t="shared" si="849"/>
        <v/>
      </c>
      <c r="Y419" s="28" t="str">
        <f t="array" ref="Y419">IF($I418="","",IF(AND(C419="P",C418&lt;&gt;"P"),IFERROR(XLOOKUP($B419,Lenso_Input!$A:$A,Lenso_Input!$E:$E,0),0),Y418+AS418))</f>
        <v/>
      </c>
      <c r="Z419" s="28" t="str">
        <f t="array" ref="Z419">IF($I418="","",IF(AND(C419="Q",C418&lt;&gt;"Q"),IFERROR(XLOOKUP($B419,Lenso_Input!$A:$A,Lenso_Input!$I:$I,0),0),Z418+AT418))</f>
        <v/>
      </c>
      <c r="AA419" s="28" t="str">
        <f t="array" ref="AA419">IF($I418="","",IF(XLOOKUP($B419,Derived_Variables!$A:$A,Derived_Variables!$R:$R,"6/6_target")="6/6_target","20_20_20","40_30_25"))</f>
        <v/>
      </c>
      <c r="AB419" s="28" t="str">
        <f t="array" ref="AB419">IF($I418="","",XLOOKUP(LOWER(XLOOKUP($B419,Derived_Variables!$A:$A,Derived_Variables!$T:$T,"Standard"))&amp;"_sph_step",Calibration!$B:$B,Calibration!$C:$C,0.25))</f>
        <v/>
      </c>
      <c r="AC419" s="28" t="str">
        <f t="array" ref="AC419">IF($I418="","",XLOOKUP(LOWER(XLOOKUP($B419,Derived_Variables!$A:$A,Derived_Variables!$T:$T,"Standard"))&amp;"_cyl_step",Calibration!$B:$B,Calibration!$C:$C,0.25))</f>
        <v/>
      </c>
      <c r="AD419" s="28" t="str">
        <f t="array" ref="AD419">IF($I418="","",IF(OR(C419="E",C419="H"),LET(startStep,XLOOKUP("axis_start_step",Calibration!$B:$B,Calibration!$C:$C,5),step1,XLOOKUP("axis_reversal_step_1",Calibration!$B:$B,Calibration!$C:$C,3),step2,XLOOKUP("axis_reversal_step_2",Calibration!$B:$B,Calibration!$C:$C,1),IF(OR(C418&lt;&gt;C419,AZ419="",AZ419="SAME",AZ419="CANT_TELL",I419="",I419="SAME",I419="CANT_TELL"),startStep,IF(OR(AND(AZ419="BETTER_1",I419="BETTER_2"),AND(AZ419="BETTER_2",I419="BETTER_1")),IF(AD418&gt;step1,step1,step2),AD418))),0))</f>
        <v/>
      </c>
      <c r="AE419" s="28" t="str">
        <f t="array" ref="AE419">IF($I418="","",XLOOKUP($B419,Derived_Variables!$A:$A,Derived_Variables!$AD:$AD,"No_Fog"))</f>
        <v/>
      </c>
      <c r="AF419" s="28" t="str">
        <f t="array" ref="AF419">IF($I418="","",XLOOKUP($B419,Derived_Variables!$A:$A,Derived_Variables!$AE:$AE,0))</f>
        <v/>
      </c>
      <c r="AG419" s="28" t="str">
        <f t="array" ref="AG419">IF($I418="","",XLOOKUP($B419,Derived_Variables!$A:$A,Derived_Variables!$AF:$AF,""))</f>
        <v/>
      </c>
      <c r="AH419" s="28" t="str">
        <f t="array" ref="AH419">IF($I418="","",XLOOKUP($B419,Derived_Variables!$A:$A,Derived_Variables!$AG:$AG,""))</f>
        <v/>
      </c>
      <c r="AI419" s="28" t="str">
        <f t="array" ref="AI419">IF($I418="","",XLOOKUP($B419,Derived_Variables!$A:$A,Derived_Variables!$AC:$AC,"Medium"))</f>
        <v/>
      </c>
      <c r="AJ419" s="28" t="str">
        <f t="array" ref="AJ419">IF($I418="","",XLOOKUP($B419,Derived_Variables!$A:$A,Derived_Variables!$Y:$Y,FALSE))</f>
        <v/>
      </c>
      <c r="AK419" s="28" t="str">
        <f t="array" ref="AK419">IF($I418="","",XLOOKUP($B419,Derived_Variables!$A:$A,Derived_Variables!$AA:$AA,"Normal"))</f>
        <v/>
      </c>
      <c r="AL419" s="28" t="str">
        <f t="array" ref="AL419">IF($I418="","",XLOOKUP($B419,Derived_Variables!$A:$A,Derived_Variables!$AB:$AB,"Normal"))</f>
        <v/>
      </c>
      <c r="AM419" s="28" t="str">
        <f t="array" ref="AM419">IF($I419="","",IFS(C419="B",IF(OR(I419="NOT_READABLE",I419="BLURRY"),-AB419,0),C419="G",IFS(I419="RED_CLEARER",XLOOKUP("duochrome_red_step",Calibration!$B:$B,Calibration!$C:$C,-0.25),I419="GREEN_CLEARER",XLOOKUP("duochrome_green_step",Calibration!$B:$B,Calibration!$C:$C,0.25),I419="EQUAL",IF(XLOOKUP($B419,Derived_Variables!$A:$A,Derived_Variables!$S:$S,"Neutral")="Undercorrect",XLOOKUP("undercorrect_step",Calibration!$B:$B,Calibration!$C:$C,0.25),IF(XLOOKUP($B419,Derived_Variables!$A:$A,Derived_Variables!$S:$S,"Neutral")="Overcorrect",-XLOOKUP("overcorrect_step",Calibration!$B:$B,Calibration!$C:$C,0.25),0)),TRUE,0),C419="K",IF(I419="TOP_CLEARER",XLOOKUP("bino_balance_step",Calibration!$B:$B,Calibration!$C:$C,0.25),0),TRUE,0))</f>
        <v/>
      </c>
      <c r="AN419" s="28" t="str">
        <f t="shared" si="10"/>
        <v/>
      </c>
      <c r="AO419" s="28" t="str">
        <f t="shared" si="11"/>
        <v/>
      </c>
      <c r="AP419" s="28" t="str">
        <f t="array" ref="AP419">IF($I419="","",IFS(C419="D",IF(OR(I419="NOT_READABLE",I419="BLURRY"),-AB419,0),C419="J",IFS(I419="RED_CLEARER",XLOOKUP("duochrome_red_step",Calibration!$B:$B,Calibration!$C:$C,-0.25),I419="GREEN_CLEARER",XLOOKUP("duochrome_green_step",Calibration!$B:$B,Calibration!$C:$C,0.25),I419="EQUAL",IF(XLOOKUP($B419,Derived_Variables!$A:$A,Derived_Variables!$S:$S,"Neutral")="Undercorrect",XLOOKUP("undercorrect_step",Calibration!$B:$B,Calibration!$C:$C,0.25),IF(XLOOKUP($B419,Derived_Variables!$A:$A,Derived_Variables!$S:$S,"Neutral")="Overcorrect",-XLOOKUP("overcorrect_step",Calibration!$B:$B,Calibration!$C:$C,0.25),0)),TRUE,0),C419="K",IF(I419="BOTTOM_CLEARER",XLOOKUP("bino_balance_step",Calibration!$B:$B,Calibration!$C:$C,0.25),0),TRUE,0))</f>
        <v/>
      </c>
      <c r="AQ419" s="28" t="str">
        <f t="shared" si="12"/>
        <v/>
      </c>
      <c r="AR419" s="28" t="str">
        <f t="shared" si="13"/>
        <v/>
      </c>
      <c r="AS419" s="28" t="str">
        <f t="array" ref="AS419">IF($I419="","",IF(C419="P",IF(OR(I419="NOT_READABLE",I419="BLURRY"),XLOOKUP("near_add_step",Calibration!$B:$B,Calibration!$C:$C,0.25),0),IF(C419="R",IF(I419="NOT_CLEAR",XLOOKUP("near_add_step",Calibration!$B:$B,Calibration!$C:$C,0.25),0),0)))</f>
        <v/>
      </c>
      <c r="AT419" s="28" t="str">
        <f t="array" ref="AT419">IF($I419="","",IF(C419="Q",IF(OR(I419="NOT_READABLE",I419="BLURRY"),XLOOKUP("near_add_step",Calibration!$B:$B,Calibration!$C:$C,0.25),0),IF(C419="R",IF(I419="NOT_CLEAR",XLOOKUP("near_add_step",Calibration!$B:$B,Calibration!$C:$C,0.25),0),0)))</f>
        <v/>
      </c>
      <c r="AU419" s="28" t="str">
        <f t="array" ref="AU419">IF($I419="","",IF(G419="SNELLEN_FEET",IF(I419="READABLE",IFERROR(XLOOKUP(XLOOKUP(R419,Chart_Scale_Distance!B:B,Chart_Scale_Distance!A:A)+1,Chart_Scale_Distance!A:A,Chart_Scale_Distance!B:B),R419),R419),R419))</f>
        <v/>
      </c>
      <c r="AV419" s="28" t="str">
        <f t="array" ref="AV419">IF($I418="","",IFERROR(XLOOKUP(R419,Chart_Scale_Distance!$B:$B,Chart_Scale_Distance!$A:$A,""),""))</f>
        <v/>
      </c>
      <c r="AW419" s="28" t="str">
        <f t="array" ref="AW419">IF($I418="","",IFERROR(XLOOKUP(AA419,Chart_Scale_Distance!$B:$B,Chart_Scale_Distance!$A:$A,""),""))</f>
        <v/>
      </c>
      <c r="AX419" s="28" t="str">
        <f t="shared" si="14"/>
        <v/>
      </c>
      <c r="AY419" s="28" t="str">
        <f t="shared" si="15"/>
        <v/>
      </c>
      <c r="AZ419" s="28" t="str">
        <f t="shared" si="16"/>
        <v/>
      </c>
      <c r="BA419" s="28" t="str">
        <f t="shared" si="17"/>
        <v/>
      </c>
      <c r="BB419" s="28" t="str">
        <f t="shared" si="18"/>
        <v/>
      </c>
      <c r="BC419" s="28" t="str">
        <f t="array" ref="BC419">IF($I419="","",LET(
conf,AI419,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duoMax,XLOOKUP($B419,Derived_Variables!$A:$A,Derived_Variables!$AI:$AI,4),
axisTol,XLOOKUP($B419,Derived_Variables!$A:$A,Derived_Variables!$W:$W,1),
maxStart,XLOOKUP($B419,Derived_Variables!$A:$A,Derived_Variables!$U:$U,1.25),
maxAR,XLOOKUP($B419,Derived_Variables!$A:$A,Derived_Variables!$V:$V,3),
anom,XLOOKUP($B419,Derived_Variables!$A:$A,Derived_Variables!$Z:$Z,FALSE),
reStart,XLOOKUP($B419,Derived_Variables!$A:$A,Derived_Variables!$K:$K,0),
leStart,XLOOKUP($B419,Derived_Variables!$A:$A,Derived_Variables!$N:$N,0),
reAR,XLOOKUP($B419,AR_Input!$A:$A,AR_Input!$B:$B,reStart),
leAR,XLOOKUP($B419,AR_Input!$A:$A,AR_Input!$E:$E,leStart),
reEsc,AND(anom,OR(ABS((S419+AM419)-reStart)&gt;maxStart,ABS((S419+AM419)-reAR)&gt;maxAR)),
leEsc,AND(anom,OR(ABS((V419+AP419)-leStart)&gt;maxStart,ABS((V419+AP419)-leAR)&gt;maxAR)),
phaseMax,IFS(
 AK419="Fast",
   IFS(
     OR(C419="B",C419="D"),XLOOKUP("timeout_coarse_fast",Calibration!$B:$B,Calibration!$C:$C,24),
     OR(C419="E",C419="F",C419="H",C419="I"),XLOOKUP("timeout_jcc_fast",Calibration!$B:$B,Calibration!$C:$C,10),
     OR(C419="G",C419="J"),XLOOKUP("timeout_duochrome_fast",Calibration!$B:$B,Calibration!$C:$C,8),
     C419="K",XLOOKUP("timeout_bino_fast",Calibration!$B:$B,Calibration!$C:$C,10),
     OR(C419="P",C419="Q",C419="R"),XLOOKUP("timeout_near_fast",Calibration!$B:$B,Calibration!$C:$C,16),
     TRUE,XLOOKUP("timeout_coarse_fast",Calibration!$B:$B,Calibration!$C:$C,24)
   ),
 AK419="Normal",
   IFS(
     OR(C419="B",C419="D"),XLOOKUP("timeout_coarse_normal",Calibration!$B:$B,Calibration!$C:$C,36),
     OR(C419="E",C419="F",C419="H",C419="I"),XLOOKUP("timeout_jcc_normal",Calibration!$B:$B,Calibration!$C:$C,14),
     OR(C419="G",C419="J"),XLOOKUP("timeout_duochrome_normal",Calibration!$B:$B,Calibration!$C:$C,10),
     C419="K",XLOOKUP("timeout_bino_normal",Calibration!$B:$B,Calibration!$C:$C,14),
     OR(C419="P",C419="Q",C419="R"),XLOOKUP("timeout_near_normal",Calibration!$B:$B,Calibration!$C:$C,22),
     TRUE,XLOOKUP("timeout_coarse_normal",Calibration!$B:$B,Calibration!$C:$C,36)
   ),
 TRUE,
   IFS(
     OR(C419="B",C419="D"),XLOOKUP("timeout_coarse_slow",Calibration!$B:$B,Calibration!$C:$C,48),
     OR(C419="E",C419="F",C419="H",C419="I"),XLOOKUP("timeout_jcc_slow",Calibration!$B:$B,Calibration!$C:$C,18),
     OR(C419="G",C419="J"),XLOOKUP("timeout_duochrome_slow",Calibration!$B:$B,Calibration!$C:$C,12),
     C419="K",XLOOKUP("timeout_bino_slow",Calibration!$B:$B,Calibration!$C:$C,18),
     OR(C419="P",C419="Q",C419="R"),XLOOKUP("timeout_near_slow",Calibration!$B:$B,Calibration!$C:$C,28),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AJ419=TRUE,"ESCALATE",
C419="A",
IF(OR(I419="NOT_READABLE",I419="BLURRY",AND(R419="20_20_20",I419="READABLE")),"B","A"),
C419="B",
IF(reEsc,"ESCALATE",IF(AY419&gt;=phaseMax,"ESCALATE",IF(AND(AV419&gt;=AW419,I419="READABLE"),"E","B"))),
C419="E",
IF(AY419&gt;=phaseMax,"ESCALATE",IF(OR(I419="SAME",I419="CANT_TELL",AD419&lt;axisTol),"F","E")),
C419="F",
IF(AY419&gt;=phaseMax,"ESCALATE",IF(AX419&gt;=powerSameN,"G","F")),
C419="G",
IF(AY419&gt;=phaseMax,"ESCALATE",IF(OR(AX419&gt;=duoEqualN,BB419&gt;=duoMax),"D","G")),
C419="D",
IF(leEsc,"ESCALATE",IF(AY419&gt;=phaseMax,"ESCALATE",IF(AND(AV419&gt;=AW419,I419="READABLE"),"H","D"))),
C419="H",
IF(AY419&gt;=phaseMax,"ESCALATE",IF(OR(I419="SAME",I419="CANT_TELL",AD419&lt;axisTol),"I","H")),
C419="I",
IF(AY419&gt;=phaseMax,"ESCALATE",IF(AX419&gt;=powerSameN,"J","I")),
C419="J",
IF(AY419&gt;=phaseMax,"ESCALATE",IF(OR(AX419&gt;=duoEqualN,BB419&gt;=duoMax),"K","J")),
C419="K",
IF(AY419&gt;=phaseMax,"ESCALATE",IF(AX419&gt;=binoSameN,IF(XLOOKUP($B419,Derived_Variables!$A:$A,Derived_Variables!$AJ:$AJ,FALSE)=TRUE,"P","END"),"K")),
C419="P",
IF(AY419&gt;=phaseMax,"ESCALATE",IF(OR(I419="READABLE",I419="SAME"),"Q","P")),
C419="Q",
IF(AY419&gt;=phaseMax,"ESCALATE",IF(OR(I419="READABLE",I419="SAME"),"R","Q")),
C419="R",
IF(AY419&gt;=phaseMax,"ESCALATE",IF(OR(I419=nearTarget,I419="SAME"),"END","R")),
TRUE,"END"
)))</f>
        <v/>
      </c>
      <c r="BD419" s="28" t="b">
        <f t="shared" si="19"/>
        <v>0</v>
      </c>
    </row>
    <row r="420" ht="15.75" customHeight="1">
      <c r="A420" s="28">
        <f t="shared" si="3"/>
        <v>419</v>
      </c>
      <c r="B420" s="28">
        <f t="shared" si="4"/>
        <v>6</v>
      </c>
      <c r="C420" s="28" t="str">
        <f t="shared" si="5"/>
        <v/>
      </c>
      <c r="D420" s="28" t="str">
        <f t="array" ref="D420">IF($I419="","",XLOOKUP(C420,FSM_State_Map!A:A,FSM_State_Map!B:B,""))</f>
        <v/>
      </c>
      <c r="E420" s="28" t="str">
        <f t="array" ref="E420">IF($I419="","",XLOOKUP(C420,FSM_State_Map!A:A,FSM_State_Map!C:C,""))</f>
        <v/>
      </c>
      <c r="F420" s="28" t="str">
        <f t="array" ref="F420">IF($I419="","",XLOOKUP(E420,Phase_UI_Map!A:A,Phase_UI_Map!B:B,""))</f>
        <v/>
      </c>
      <c r="G420" s="28" t="str">
        <f t="array" ref="G420">IF($I419="","",XLOOKUP(E420,Phase_UI_Map!A:A,Phase_UI_Map!C:C,""))</f>
        <v/>
      </c>
      <c r="H420" s="28" t="str">
        <f t="array" ref="H420">IF($I419="","",XLOOKUP(E420,Phase_UI_Map!A:A,Phase_UI_Map!D:D,""))</f>
        <v/>
      </c>
      <c r="I420" s="29"/>
      <c r="J420" s="28" t="str">
        <f>IFERROR(__xludf.DUMMYFUNCTION("IF($I419="""","""",IFERROR(INDEX(FILTER(Response_Lists!$B:$B,Response_Lists!$A:$A=$H420),1),""""))"),"")</f>
        <v/>
      </c>
      <c r="K420" s="28" t="str">
        <f>IFERROR(__xludf.DUMMYFUNCTION("IF($I419="""","""",IFERROR(INDEX(FILTER(Response_Lists!$B:$B,Response_Lists!$A:$A=$H420),2),""""))"),"")</f>
        <v/>
      </c>
      <c r="L420" s="28" t="str">
        <f>IFERROR(__xludf.DUMMYFUNCTION("IF($I419="""","""",IFERROR(INDEX(FILTER(Response_Lists!$B:$B,Response_Lists!$A:$A=$H420),3),""""))"),"")</f>
        <v/>
      </c>
      <c r="M420" s="28" t="str">
        <f>IFERROR(__xludf.DUMMYFUNCTION("IF($I419="""","""",IFERROR(INDEX(FILTER(Response_Lists!$B:$B,Response_Lists!$A:$A=$H420),4),""""))"),"")</f>
        <v/>
      </c>
      <c r="N420" s="28" t="str">
        <f>IFERROR(__xludf.DUMMYFUNCTION("IF($I419="""","""",IFERROR(INDEX(FILTER(Response_Lists!$B:$B,Response_Lists!$A:$A=$H420),5),""""))"),"")</f>
        <v/>
      </c>
      <c r="O420" s="28" t="str">
        <f>IFERROR(__xludf.DUMMYFUNCTION("IF($I419="""","""",IFERROR(INDEX(FILTER(Response_Lists!$B:$B,Response_Lists!$A:$A=$H420),6),""""))"),"")</f>
        <v/>
      </c>
      <c r="P420" s="28" t="str">
        <f t="shared" si="6"/>
        <v/>
      </c>
      <c r="Q420" s="28" t="str">
        <f t="array" ref="Q420">IF($I419="","",XLOOKUP(C420,FSM_State_Map!A:A,FSM_State_Map!D:D,""))</f>
        <v/>
      </c>
      <c r="R420" s="28" t="str">
        <f t="shared" si="7"/>
        <v/>
      </c>
      <c r="S420" s="28" t="str">
        <f t="array" ref="S420">IF($I419="","",
IF(
  AND(C420="B",C419&lt;&gt;"B"),
  XLOOKUP($B420,Derived_Variables!$A:$A,Derived_Variables!$K:$K,0)
  + XLOOKUP($B420,Derived_Variables!$A:$A,Derived_Variables!$AE:$AE,0),
  S419+AM419
))</f>
        <v/>
      </c>
      <c r="T420" s="28" t="str">
        <f t="shared" ref="T420:U420" si="850">IF($I419="","",T419+AN419)</f>
        <v/>
      </c>
      <c r="U420" s="28" t="str">
        <f t="shared" si="850"/>
        <v/>
      </c>
      <c r="V420" s="28" t="str">
        <f t="array" ref="V420">IF($I419="","",
IF(
  AND(C420="D",C419&lt;&gt;"D"),
  XLOOKUP($B420,Derived_Variables!$A:$A,Derived_Variables!$N:$N,0)
  + XLOOKUP($B420,Derived_Variables!$A:$A,Derived_Variables!$AE:$AE,0),
  V419+AP419
))</f>
        <v/>
      </c>
      <c r="W420" s="28" t="str">
        <f t="shared" ref="W420:X420" si="851">IF($I419="","",W419+AQ419)</f>
        <v/>
      </c>
      <c r="X420" s="28" t="str">
        <f t="shared" si="851"/>
        <v/>
      </c>
      <c r="Y420" s="28" t="str">
        <f t="array" ref="Y420">IF($I419="","",IF(AND(C420="P",C419&lt;&gt;"P"),IFERROR(XLOOKUP($B420,Lenso_Input!$A:$A,Lenso_Input!$E:$E,0),0),Y419+AS419))</f>
        <v/>
      </c>
      <c r="Z420" s="28" t="str">
        <f t="array" ref="Z420">IF($I419="","",IF(AND(C420="Q",C419&lt;&gt;"Q"),IFERROR(XLOOKUP($B420,Lenso_Input!$A:$A,Lenso_Input!$I:$I,0),0),Z419+AT419))</f>
        <v/>
      </c>
      <c r="AA420" s="28" t="str">
        <f t="array" ref="AA420">IF($I419="","",IF(XLOOKUP($B420,Derived_Variables!$A:$A,Derived_Variables!$R:$R,"6/6_target")="6/6_target","20_20_20","40_30_25"))</f>
        <v/>
      </c>
      <c r="AB420" s="28" t="str">
        <f t="array" ref="AB420">IF($I419="","",XLOOKUP(LOWER(XLOOKUP($B420,Derived_Variables!$A:$A,Derived_Variables!$T:$T,"Standard"))&amp;"_sph_step",Calibration!$B:$B,Calibration!$C:$C,0.25))</f>
        <v/>
      </c>
      <c r="AC420" s="28" t="str">
        <f t="array" ref="AC420">IF($I419="","",XLOOKUP(LOWER(XLOOKUP($B420,Derived_Variables!$A:$A,Derived_Variables!$T:$T,"Standard"))&amp;"_cyl_step",Calibration!$B:$B,Calibration!$C:$C,0.25))</f>
        <v/>
      </c>
      <c r="AD420" s="28" t="str">
        <f t="array" ref="AD420">IF($I419="","",IF(OR(C420="E",C420="H"),LET(startStep,XLOOKUP("axis_start_step",Calibration!$B:$B,Calibration!$C:$C,5),step1,XLOOKUP("axis_reversal_step_1",Calibration!$B:$B,Calibration!$C:$C,3),step2,XLOOKUP("axis_reversal_step_2",Calibration!$B:$B,Calibration!$C:$C,1),IF(OR(C419&lt;&gt;C420,AZ420="",AZ420="SAME",AZ420="CANT_TELL",I420="",I420="SAME",I420="CANT_TELL"),startStep,IF(OR(AND(AZ420="BETTER_1",I420="BETTER_2"),AND(AZ420="BETTER_2",I420="BETTER_1")),IF(AD419&gt;step1,step1,step2),AD419))),0))</f>
        <v/>
      </c>
      <c r="AE420" s="28" t="str">
        <f t="array" ref="AE420">IF($I419="","",XLOOKUP($B420,Derived_Variables!$A:$A,Derived_Variables!$AD:$AD,"No_Fog"))</f>
        <v/>
      </c>
      <c r="AF420" s="28" t="str">
        <f t="array" ref="AF420">IF($I419="","",XLOOKUP($B420,Derived_Variables!$A:$A,Derived_Variables!$AE:$AE,0))</f>
        <v/>
      </c>
      <c r="AG420" s="28" t="str">
        <f t="array" ref="AG420">IF($I419="","",XLOOKUP($B420,Derived_Variables!$A:$A,Derived_Variables!$AF:$AF,""))</f>
        <v/>
      </c>
      <c r="AH420" s="28" t="str">
        <f t="array" ref="AH420">IF($I419="","",XLOOKUP($B420,Derived_Variables!$A:$A,Derived_Variables!$AG:$AG,""))</f>
        <v/>
      </c>
      <c r="AI420" s="28" t="str">
        <f t="array" ref="AI420">IF($I419="","",XLOOKUP($B420,Derived_Variables!$A:$A,Derived_Variables!$AC:$AC,"Medium"))</f>
        <v/>
      </c>
      <c r="AJ420" s="28" t="str">
        <f t="array" ref="AJ420">IF($I419="","",XLOOKUP($B420,Derived_Variables!$A:$A,Derived_Variables!$Y:$Y,FALSE))</f>
        <v/>
      </c>
      <c r="AK420" s="28" t="str">
        <f t="array" ref="AK420">IF($I419="","",XLOOKUP($B420,Derived_Variables!$A:$A,Derived_Variables!$AA:$AA,"Normal"))</f>
        <v/>
      </c>
      <c r="AL420" s="28" t="str">
        <f t="array" ref="AL420">IF($I419="","",XLOOKUP($B420,Derived_Variables!$A:$A,Derived_Variables!$AB:$AB,"Normal"))</f>
        <v/>
      </c>
      <c r="AM420" s="28" t="str">
        <f t="array" ref="AM420">IF($I420="","",IFS(C420="B",IF(OR(I420="NOT_READABLE",I420="BLURRY"),-AB420,0),C420="G",IFS(I420="RED_CLEARER",XLOOKUP("duochrome_red_step",Calibration!$B:$B,Calibration!$C:$C,-0.25),I420="GREEN_CLEARER",XLOOKUP("duochrome_green_step",Calibration!$B:$B,Calibration!$C:$C,0.25),I420="EQUAL",IF(XLOOKUP($B420,Derived_Variables!$A:$A,Derived_Variables!$S:$S,"Neutral")="Undercorrect",XLOOKUP("undercorrect_step",Calibration!$B:$B,Calibration!$C:$C,0.25),IF(XLOOKUP($B420,Derived_Variables!$A:$A,Derived_Variables!$S:$S,"Neutral")="Overcorrect",-XLOOKUP("overcorrect_step",Calibration!$B:$B,Calibration!$C:$C,0.25),0)),TRUE,0),C420="K",IF(I420="TOP_CLEARER",XLOOKUP("bino_balance_step",Calibration!$B:$B,Calibration!$C:$C,0.25),0),TRUE,0))</f>
        <v/>
      </c>
      <c r="AN420" s="28" t="str">
        <f t="shared" si="10"/>
        <v/>
      </c>
      <c r="AO420" s="28" t="str">
        <f t="shared" si="11"/>
        <v/>
      </c>
      <c r="AP420" s="28" t="str">
        <f t="array" ref="AP420">IF($I420="","",IFS(C420="D",IF(OR(I420="NOT_READABLE",I420="BLURRY"),-AB420,0),C420="J",IFS(I420="RED_CLEARER",XLOOKUP("duochrome_red_step",Calibration!$B:$B,Calibration!$C:$C,-0.25),I420="GREEN_CLEARER",XLOOKUP("duochrome_green_step",Calibration!$B:$B,Calibration!$C:$C,0.25),I420="EQUAL",IF(XLOOKUP($B420,Derived_Variables!$A:$A,Derived_Variables!$S:$S,"Neutral")="Undercorrect",XLOOKUP("undercorrect_step",Calibration!$B:$B,Calibration!$C:$C,0.25),IF(XLOOKUP($B420,Derived_Variables!$A:$A,Derived_Variables!$S:$S,"Neutral")="Overcorrect",-XLOOKUP("overcorrect_step",Calibration!$B:$B,Calibration!$C:$C,0.25),0)),TRUE,0),C420="K",IF(I420="BOTTOM_CLEARER",XLOOKUP("bino_balance_step",Calibration!$B:$B,Calibration!$C:$C,0.25),0),TRUE,0))</f>
        <v/>
      </c>
      <c r="AQ420" s="28" t="str">
        <f t="shared" si="12"/>
        <v/>
      </c>
      <c r="AR420" s="28" t="str">
        <f t="shared" si="13"/>
        <v/>
      </c>
      <c r="AS420" s="28" t="str">
        <f t="array" ref="AS420">IF($I420="","",IF(C420="P",IF(OR(I420="NOT_READABLE",I420="BLURRY"),XLOOKUP("near_add_step",Calibration!$B:$B,Calibration!$C:$C,0.25),0),IF(C420="R",IF(I420="NOT_CLEAR",XLOOKUP("near_add_step",Calibration!$B:$B,Calibration!$C:$C,0.25),0),0)))</f>
        <v/>
      </c>
      <c r="AT420" s="28" t="str">
        <f t="array" ref="AT420">IF($I420="","",IF(C420="Q",IF(OR(I420="NOT_READABLE",I420="BLURRY"),XLOOKUP("near_add_step",Calibration!$B:$B,Calibration!$C:$C,0.25),0),IF(C420="R",IF(I420="NOT_CLEAR",XLOOKUP("near_add_step",Calibration!$B:$B,Calibration!$C:$C,0.25),0),0)))</f>
        <v/>
      </c>
      <c r="AU420" s="28" t="str">
        <f t="array" ref="AU420">IF($I420="","",IF(G420="SNELLEN_FEET",IF(I420="READABLE",IFERROR(XLOOKUP(XLOOKUP(R420,Chart_Scale_Distance!B:B,Chart_Scale_Distance!A:A)+1,Chart_Scale_Distance!A:A,Chart_Scale_Distance!B:B),R420),R420),R420))</f>
        <v/>
      </c>
      <c r="AV420" s="28" t="str">
        <f t="array" ref="AV420">IF($I419="","",IFERROR(XLOOKUP(R420,Chart_Scale_Distance!$B:$B,Chart_Scale_Distance!$A:$A,""),""))</f>
        <v/>
      </c>
      <c r="AW420" s="28" t="str">
        <f t="array" ref="AW420">IF($I419="","",IFERROR(XLOOKUP(AA420,Chart_Scale_Distance!$B:$B,Chart_Scale_Distance!$A:$A,""),""))</f>
        <v/>
      </c>
      <c r="AX420" s="28" t="str">
        <f t="shared" si="14"/>
        <v/>
      </c>
      <c r="AY420" s="28" t="str">
        <f t="shared" si="15"/>
        <v/>
      </c>
      <c r="AZ420" s="28" t="str">
        <f t="shared" si="16"/>
        <v/>
      </c>
      <c r="BA420" s="28" t="str">
        <f t="shared" si="17"/>
        <v/>
      </c>
      <c r="BB420" s="28" t="str">
        <f t="shared" si="18"/>
        <v/>
      </c>
      <c r="BC420" s="28" t="str">
        <f t="array" ref="BC420">IF($I420="","",LET(
conf,AI420,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duoMax,XLOOKUP($B420,Derived_Variables!$A:$A,Derived_Variables!$AI:$AI,4),
axisTol,XLOOKUP($B420,Derived_Variables!$A:$A,Derived_Variables!$W:$W,1),
maxStart,XLOOKUP($B420,Derived_Variables!$A:$A,Derived_Variables!$U:$U,1.25),
maxAR,XLOOKUP($B420,Derived_Variables!$A:$A,Derived_Variables!$V:$V,3),
anom,XLOOKUP($B420,Derived_Variables!$A:$A,Derived_Variables!$Z:$Z,FALSE),
reStart,XLOOKUP($B420,Derived_Variables!$A:$A,Derived_Variables!$K:$K,0),
leStart,XLOOKUP($B420,Derived_Variables!$A:$A,Derived_Variables!$N:$N,0),
reAR,XLOOKUP($B420,AR_Input!$A:$A,AR_Input!$B:$B,reStart),
leAR,XLOOKUP($B420,AR_Input!$A:$A,AR_Input!$E:$E,leStart),
reEsc,AND(anom,OR(ABS((S420+AM420)-reStart)&gt;maxStart,ABS((S420+AM420)-reAR)&gt;maxAR)),
leEsc,AND(anom,OR(ABS((V420+AP420)-leStart)&gt;maxStart,ABS((V420+AP420)-leAR)&gt;maxAR)),
phaseMax,IFS(
 AK420="Fast",
   IFS(
     OR(C420="B",C420="D"),XLOOKUP("timeout_coarse_fast",Calibration!$B:$B,Calibration!$C:$C,24),
     OR(C420="E",C420="F",C420="H",C420="I"),XLOOKUP("timeout_jcc_fast",Calibration!$B:$B,Calibration!$C:$C,10),
     OR(C420="G",C420="J"),XLOOKUP("timeout_duochrome_fast",Calibration!$B:$B,Calibration!$C:$C,8),
     C420="K",XLOOKUP("timeout_bino_fast",Calibration!$B:$B,Calibration!$C:$C,10),
     OR(C420="P",C420="Q",C420="R"),XLOOKUP("timeout_near_fast",Calibration!$B:$B,Calibration!$C:$C,16),
     TRUE,XLOOKUP("timeout_coarse_fast",Calibration!$B:$B,Calibration!$C:$C,24)
   ),
 AK420="Normal",
   IFS(
     OR(C420="B",C420="D"),XLOOKUP("timeout_coarse_normal",Calibration!$B:$B,Calibration!$C:$C,36),
     OR(C420="E",C420="F",C420="H",C420="I"),XLOOKUP("timeout_jcc_normal",Calibration!$B:$B,Calibration!$C:$C,14),
     OR(C420="G",C420="J"),XLOOKUP("timeout_duochrome_normal",Calibration!$B:$B,Calibration!$C:$C,10),
     C420="K",XLOOKUP("timeout_bino_normal",Calibration!$B:$B,Calibration!$C:$C,14),
     OR(C420="P",C420="Q",C420="R"),XLOOKUP("timeout_near_normal",Calibration!$B:$B,Calibration!$C:$C,22),
     TRUE,XLOOKUP("timeout_coarse_normal",Calibration!$B:$B,Calibration!$C:$C,36)
   ),
 TRUE,
   IFS(
     OR(C420="B",C420="D"),XLOOKUP("timeout_coarse_slow",Calibration!$B:$B,Calibration!$C:$C,48),
     OR(C420="E",C420="F",C420="H",C420="I"),XLOOKUP("timeout_jcc_slow",Calibration!$B:$B,Calibration!$C:$C,18),
     OR(C420="G",C420="J"),XLOOKUP("timeout_duochrome_slow",Calibration!$B:$B,Calibration!$C:$C,12),
     C420="K",XLOOKUP("timeout_bino_slow",Calibration!$B:$B,Calibration!$C:$C,18),
     OR(C420="P",C420="Q",C420="R"),XLOOKUP("timeout_near_slow",Calibration!$B:$B,Calibration!$C:$C,28),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AJ420=TRUE,"ESCALATE",
C420="A",
IF(OR(I420="NOT_READABLE",I420="BLURRY",AND(R420="20_20_20",I420="READABLE")),"B","A"),
C420="B",
IF(reEsc,"ESCALATE",IF(AY420&gt;=phaseMax,"ESCALATE",IF(AND(AV420&gt;=AW420,I420="READABLE"),"E","B"))),
C420="E",
IF(AY420&gt;=phaseMax,"ESCALATE",IF(OR(I420="SAME",I420="CANT_TELL",AD420&lt;axisTol),"F","E")),
C420="F",
IF(AY420&gt;=phaseMax,"ESCALATE",IF(AX420&gt;=powerSameN,"G","F")),
C420="G",
IF(AY420&gt;=phaseMax,"ESCALATE",IF(OR(AX420&gt;=duoEqualN,BB420&gt;=duoMax),"D","G")),
C420="D",
IF(leEsc,"ESCALATE",IF(AY420&gt;=phaseMax,"ESCALATE",IF(AND(AV420&gt;=AW420,I420="READABLE"),"H","D"))),
C420="H",
IF(AY420&gt;=phaseMax,"ESCALATE",IF(OR(I420="SAME",I420="CANT_TELL",AD420&lt;axisTol),"I","H")),
C420="I",
IF(AY420&gt;=phaseMax,"ESCALATE",IF(AX420&gt;=powerSameN,"J","I")),
C420="J",
IF(AY420&gt;=phaseMax,"ESCALATE",IF(OR(AX420&gt;=duoEqualN,BB420&gt;=duoMax),"K","J")),
C420="K",
IF(AY420&gt;=phaseMax,"ESCALATE",IF(AX420&gt;=binoSameN,IF(XLOOKUP($B420,Derived_Variables!$A:$A,Derived_Variables!$AJ:$AJ,FALSE)=TRUE,"P","END"),"K")),
C420="P",
IF(AY420&gt;=phaseMax,"ESCALATE",IF(OR(I420="READABLE",I420="SAME"),"Q","P")),
C420="Q",
IF(AY420&gt;=phaseMax,"ESCALATE",IF(OR(I420="READABLE",I420="SAME"),"R","Q")),
C420="R",
IF(AY420&gt;=phaseMax,"ESCALATE",IF(OR(I420=nearTarget,I420="SAME"),"END","R")),
TRUE,"END"
)))</f>
        <v/>
      </c>
      <c r="BD420" s="28" t="b">
        <f t="shared" si="19"/>
        <v>0</v>
      </c>
    </row>
    <row r="421" ht="15.75" customHeight="1">
      <c r="A421" s="28">
        <f t="shared" si="3"/>
        <v>420</v>
      </c>
      <c r="B421" s="28">
        <f t="shared" si="4"/>
        <v>6</v>
      </c>
      <c r="C421" s="28" t="str">
        <f t="shared" si="5"/>
        <v/>
      </c>
      <c r="D421" s="28" t="str">
        <f t="array" ref="D421">IF($I420="","",XLOOKUP(C421,FSM_State_Map!A:A,FSM_State_Map!B:B,""))</f>
        <v/>
      </c>
      <c r="E421" s="28" t="str">
        <f t="array" ref="E421">IF($I420="","",XLOOKUP(C421,FSM_State_Map!A:A,FSM_State_Map!C:C,""))</f>
        <v/>
      </c>
      <c r="F421" s="28" t="str">
        <f t="array" ref="F421">IF($I420="","",XLOOKUP(E421,Phase_UI_Map!A:A,Phase_UI_Map!B:B,""))</f>
        <v/>
      </c>
      <c r="G421" s="28" t="str">
        <f t="array" ref="G421">IF($I420="","",XLOOKUP(E421,Phase_UI_Map!A:A,Phase_UI_Map!C:C,""))</f>
        <v/>
      </c>
      <c r="H421" s="28" t="str">
        <f t="array" ref="H421">IF($I420="","",XLOOKUP(E421,Phase_UI_Map!A:A,Phase_UI_Map!D:D,""))</f>
        <v/>
      </c>
      <c r="I421" s="29"/>
      <c r="J421" s="28" t="str">
        <f>IFERROR(__xludf.DUMMYFUNCTION("IF($I420="""","""",IFERROR(INDEX(FILTER(Response_Lists!$B:$B,Response_Lists!$A:$A=$H421),1),""""))"),"")</f>
        <v/>
      </c>
      <c r="K421" s="28" t="str">
        <f>IFERROR(__xludf.DUMMYFUNCTION("IF($I420="""","""",IFERROR(INDEX(FILTER(Response_Lists!$B:$B,Response_Lists!$A:$A=$H421),2),""""))"),"")</f>
        <v/>
      </c>
      <c r="L421" s="28" t="str">
        <f>IFERROR(__xludf.DUMMYFUNCTION("IF($I420="""","""",IFERROR(INDEX(FILTER(Response_Lists!$B:$B,Response_Lists!$A:$A=$H421),3),""""))"),"")</f>
        <v/>
      </c>
      <c r="M421" s="28" t="str">
        <f>IFERROR(__xludf.DUMMYFUNCTION("IF($I420="""","""",IFERROR(INDEX(FILTER(Response_Lists!$B:$B,Response_Lists!$A:$A=$H421),4),""""))"),"")</f>
        <v/>
      </c>
      <c r="N421" s="28" t="str">
        <f>IFERROR(__xludf.DUMMYFUNCTION("IF($I420="""","""",IFERROR(INDEX(FILTER(Response_Lists!$B:$B,Response_Lists!$A:$A=$H421),5),""""))"),"")</f>
        <v/>
      </c>
      <c r="O421" s="28" t="str">
        <f>IFERROR(__xludf.DUMMYFUNCTION("IF($I420="""","""",IFERROR(INDEX(FILTER(Response_Lists!$B:$B,Response_Lists!$A:$A=$H421),6),""""))"),"")</f>
        <v/>
      </c>
      <c r="P421" s="28" t="str">
        <f t="shared" si="6"/>
        <v/>
      </c>
      <c r="Q421" s="28" t="str">
        <f t="array" ref="Q421">IF($I420="","",XLOOKUP(C421,FSM_State_Map!A:A,FSM_State_Map!D:D,""))</f>
        <v/>
      </c>
      <c r="R421" s="28" t="str">
        <f t="shared" si="7"/>
        <v/>
      </c>
      <c r="S421" s="28" t="str">
        <f t="array" ref="S421">IF($I420="","",
IF(
  AND(C421="B",C420&lt;&gt;"B"),
  XLOOKUP($B421,Derived_Variables!$A:$A,Derived_Variables!$K:$K,0)
  + XLOOKUP($B421,Derived_Variables!$A:$A,Derived_Variables!$AE:$AE,0),
  S420+AM420
))</f>
        <v/>
      </c>
      <c r="T421" s="28" t="str">
        <f t="shared" ref="T421:U421" si="852">IF($I420="","",T420+AN420)</f>
        <v/>
      </c>
      <c r="U421" s="28" t="str">
        <f t="shared" si="852"/>
        <v/>
      </c>
      <c r="V421" s="28" t="str">
        <f t="array" ref="V421">IF($I420="","",
IF(
  AND(C421="D",C420&lt;&gt;"D"),
  XLOOKUP($B421,Derived_Variables!$A:$A,Derived_Variables!$N:$N,0)
  + XLOOKUP($B421,Derived_Variables!$A:$A,Derived_Variables!$AE:$AE,0),
  V420+AP420
))</f>
        <v/>
      </c>
      <c r="W421" s="28" t="str">
        <f t="shared" ref="W421:X421" si="853">IF($I420="","",W420+AQ420)</f>
        <v/>
      </c>
      <c r="X421" s="28" t="str">
        <f t="shared" si="853"/>
        <v/>
      </c>
      <c r="Y421" s="28" t="str">
        <f t="array" ref="Y421">IF($I420="","",IF(AND(C421="P",C420&lt;&gt;"P"),IFERROR(XLOOKUP($B421,Lenso_Input!$A:$A,Lenso_Input!$E:$E,0),0),Y420+AS420))</f>
        <v/>
      </c>
      <c r="Z421" s="28" t="str">
        <f t="array" ref="Z421">IF($I420="","",IF(AND(C421="Q",C420&lt;&gt;"Q"),IFERROR(XLOOKUP($B421,Lenso_Input!$A:$A,Lenso_Input!$I:$I,0),0),Z420+AT420))</f>
        <v/>
      </c>
      <c r="AA421" s="28" t="str">
        <f t="array" ref="AA421">IF($I420="","",IF(XLOOKUP($B421,Derived_Variables!$A:$A,Derived_Variables!$R:$R,"6/6_target")="6/6_target","20_20_20","40_30_25"))</f>
        <v/>
      </c>
      <c r="AB421" s="28" t="str">
        <f t="array" ref="AB421">IF($I420="","",XLOOKUP(LOWER(XLOOKUP($B421,Derived_Variables!$A:$A,Derived_Variables!$T:$T,"Standard"))&amp;"_sph_step",Calibration!$B:$B,Calibration!$C:$C,0.25))</f>
        <v/>
      </c>
      <c r="AC421" s="28" t="str">
        <f t="array" ref="AC421">IF($I420="","",XLOOKUP(LOWER(XLOOKUP($B421,Derived_Variables!$A:$A,Derived_Variables!$T:$T,"Standard"))&amp;"_cyl_step",Calibration!$B:$B,Calibration!$C:$C,0.25))</f>
        <v/>
      </c>
      <c r="AD421" s="28" t="str">
        <f t="array" ref="AD421">IF($I420="","",IF(OR(C421="E",C421="H"),LET(startStep,XLOOKUP("axis_start_step",Calibration!$B:$B,Calibration!$C:$C,5),step1,XLOOKUP("axis_reversal_step_1",Calibration!$B:$B,Calibration!$C:$C,3),step2,XLOOKUP("axis_reversal_step_2",Calibration!$B:$B,Calibration!$C:$C,1),IF(OR(C420&lt;&gt;C421,AZ421="",AZ421="SAME",AZ421="CANT_TELL",I421="",I421="SAME",I421="CANT_TELL"),startStep,IF(OR(AND(AZ421="BETTER_1",I421="BETTER_2"),AND(AZ421="BETTER_2",I421="BETTER_1")),IF(AD420&gt;step1,step1,step2),AD420))),0))</f>
        <v/>
      </c>
      <c r="AE421" s="28" t="str">
        <f t="array" ref="AE421">IF($I420="","",XLOOKUP($B421,Derived_Variables!$A:$A,Derived_Variables!$AD:$AD,"No_Fog"))</f>
        <v/>
      </c>
      <c r="AF421" s="28" t="str">
        <f t="array" ref="AF421">IF($I420="","",XLOOKUP($B421,Derived_Variables!$A:$A,Derived_Variables!$AE:$AE,0))</f>
        <v/>
      </c>
      <c r="AG421" s="28" t="str">
        <f t="array" ref="AG421">IF($I420="","",XLOOKUP($B421,Derived_Variables!$A:$A,Derived_Variables!$AF:$AF,""))</f>
        <v/>
      </c>
      <c r="AH421" s="28" t="str">
        <f t="array" ref="AH421">IF($I420="","",XLOOKUP($B421,Derived_Variables!$A:$A,Derived_Variables!$AG:$AG,""))</f>
        <v/>
      </c>
      <c r="AI421" s="28" t="str">
        <f t="array" ref="AI421">IF($I420="","",XLOOKUP($B421,Derived_Variables!$A:$A,Derived_Variables!$AC:$AC,"Medium"))</f>
        <v/>
      </c>
      <c r="AJ421" s="28" t="str">
        <f t="array" ref="AJ421">IF($I420="","",XLOOKUP($B421,Derived_Variables!$A:$A,Derived_Variables!$Y:$Y,FALSE))</f>
        <v/>
      </c>
      <c r="AK421" s="28" t="str">
        <f t="array" ref="AK421">IF($I420="","",XLOOKUP($B421,Derived_Variables!$A:$A,Derived_Variables!$AA:$AA,"Normal"))</f>
        <v/>
      </c>
      <c r="AL421" s="28" t="str">
        <f t="array" ref="AL421">IF($I420="","",XLOOKUP($B421,Derived_Variables!$A:$A,Derived_Variables!$AB:$AB,"Normal"))</f>
        <v/>
      </c>
      <c r="AM421" s="28" t="str">
        <f t="array" ref="AM421">IF($I421="","",IFS(C421="B",IF(OR(I421="NOT_READABLE",I421="BLURRY"),-AB421,0),C421="G",IFS(I421="RED_CLEARER",XLOOKUP("duochrome_red_step",Calibration!$B:$B,Calibration!$C:$C,-0.25),I421="GREEN_CLEARER",XLOOKUP("duochrome_green_step",Calibration!$B:$B,Calibration!$C:$C,0.25),I421="EQUAL",IF(XLOOKUP($B421,Derived_Variables!$A:$A,Derived_Variables!$S:$S,"Neutral")="Undercorrect",XLOOKUP("undercorrect_step",Calibration!$B:$B,Calibration!$C:$C,0.25),IF(XLOOKUP($B421,Derived_Variables!$A:$A,Derived_Variables!$S:$S,"Neutral")="Overcorrect",-XLOOKUP("overcorrect_step",Calibration!$B:$B,Calibration!$C:$C,0.25),0)),TRUE,0),C421="K",IF(I421="TOP_CLEARER",XLOOKUP("bino_balance_step",Calibration!$B:$B,Calibration!$C:$C,0.25),0),TRUE,0))</f>
        <v/>
      </c>
      <c r="AN421" s="28" t="str">
        <f t="shared" si="10"/>
        <v/>
      </c>
      <c r="AO421" s="28" t="str">
        <f t="shared" si="11"/>
        <v/>
      </c>
      <c r="AP421" s="28" t="str">
        <f t="array" ref="AP421">IF($I421="","",IFS(C421="D",IF(OR(I421="NOT_READABLE",I421="BLURRY"),-AB421,0),C421="J",IFS(I421="RED_CLEARER",XLOOKUP("duochrome_red_step",Calibration!$B:$B,Calibration!$C:$C,-0.25),I421="GREEN_CLEARER",XLOOKUP("duochrome_green_step",Calibration!$B:$B,Calibration!$C:$C,0.25),I421="EQUAL",IF(XLOOKUP($B421,Derived_Variables!$A:$A,Derived_Variables!$S:$S,"Neutral")="Undercorrect",XLOOKUP("undercorrect_step",Calibration!$B:$B,Calibration!$C:$C,0.25),IF(XLOOKUP($B421,Derived_Variables!$A:$A,Derived_Variables!$S:$S,"Neutral")="Overcorrect",-XLOOKUP("overcorrect_step",Calibration!$B:$B,Calibration!$C:$C,0.25),0)),TRUE,0),C421="K",IF(I421="BOTTOM_CLEARER",XLOOKUP("bino_balance_step",Calibration!$B:$B,Calibration!$C:$C,0.25),0),TRUE,0))</f>
        <v/>
      </c>
      <c r="AQ421" s="28" t="str">
        <f t="shared" si="12"/>
        <v/>
      </c>
      <c r="AR421" s="28" t="str">
        <f t="shared" si="13"/>
        <v/>
      </c>
      <c r="AS421" s="28" t="str">
        <f t="array" ref="AS421">IF($I421="","",IF(C421="P",IF(OR(I421="NOT_READABLE",I421="BLURRY"),XLOOKUP("near_add_step",Calibration!$B:$B,Calibration!$C:$C,0.25),0),IF(C421="R",IF(I421="NOT_CLEAR",XLOOKUP("near_add_step",Calibration!$B:$B,Calibration!$C:$C,0.25),0),0)))</f>
        <v/>
      </c>
      <c r="AT421" s="28" t="str">
        <f t="array" ref="AT421">IF($I421="","",IF(C421="Q",IF(OR(I421="NOT_READABLE",I421="BLURRY"),XLOOKUP("near_add_step",Calibration!$B:$B,Calibration!$C:$C,0.25),0),IF(C421="R",IF(I421="NOT_CLEAR",XLOOKUP("near_add_step",Calibration!$B:$B,Calibration!$C:$C,0.25),0),0)))</f>
        <v/>
      </c>
      <c r="AU421" s="28" t="str">
        <f t="array" ref="AU421">IF($I421="","",IF(G421="SNELLEN_FEET",IF(I421="READABLE",IFERROR(XLOOKUP(XLOOKUP(R421,Chart_Scale_Distance!B:B,Chart_Scale_Distance!A:A)+1,Chart_Scale_Distance!A:A,Chart_Scale_Distance!B:B),R421),R421),R421))</f>
        <v/>
      </c>
      <c r="AV421" s="28" t="str">
        <f t="array" ref="AV421">IF($I420="","",IFERROR(XLOOKUP(R421,Chart_Scale_Distance!$B:$B,Chart_Scale_Distance!$A:$A,""),""))</f>
        <v/>
      </c>
      <c r="AW421" s="28" t="str">
        <f t="array" ref="AW421">IF($I420="","",IFERROR(XLOOKUP(AA421,Chart_Scale_Distance!$B:$B,Chart_Scale_Distance!$A:$A,""),""))</f>
        <v/>
      </c>
      <c r="AX421" s="28" t="str">
        <f t="shared" si="14"/>
        <v/>
      </c>
      <c r="AY421" s="28" t="str">
        <f t="shared" si="15"/>
        <v/>
      </c>
      <c r="AZ421" s="28" t="str">
        <f t="shared" si="16"/>
        <v/>
      </c>
      <c r="BA421" s="28" t="str">
        <f t="shared" si="17"/>
        <v/>
      </c>
      <c r="BB421" s="28" t="str">
        <f t="shared" si="18"/>
        <v/>
      </c>
      <c r="BC421" s="28" t="str">
        <f t="array" ref="BC421">IF($I421="","",LET(
conf,AI421,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duoMax,XLOOKUP($B421,Derived_Variables!$A:$A,Derived_Variables!$AI:$AI,4),
axisTol,XLOOKUP($B421,Derived_Variables!$A:$A,Derived_Variables!$W:$W,1),
maxStart,XLOOKUP($B421,Derived_Variables!$A:$A,Derived_Variables!$U:$U,1.25),
maxAR,XLOOKUP($B421,Derived_Variables!$A:$A,Derived_Variables!$V:$V,3),
anom,XLOOKUP($B421,Derived_Variables!$A:$A,Derived_Variables!$Z:$Z,FALSE),
reStart,XLOOKUP($B421,Derived_Variables!$A:$A,Derived_Variables!$K:$K,0),
leStart,XLOOKUP($B421,Derived_Variables!$A:$A,Derived_Variables!$N:$N,0),
reAR,XLOOKUP($B421,AR_Input!$A:$A,AR_Input!$B:$B,reStart),
leAR,XLOOKUP($B421,AR_Input!$A:$A,AR_Input!$E:$E,leStart),
reEsc,AND(anom,OR(ABS((S421+AM421)-reStart)&gt;maxStart,ABS((S421+AM421)-reAR)&gt;maxAR)),
leEsc,AND(anom,OR(ABS((V421+AP421)-leStart)&gt;maxStart,ABS((V421+AP421)-leAR)&gt;maxAR)),
phaseMax,IFS(
 AK421="Fast",
   IFS(
     OR(C421="B",C421="D"),XLOOKUP("timeout_coarse_fast",Calibration!$B:$B,Calibration!$C:$C,24),
     OR(C421="E",C421="F",C421="H",C421="I"),XLOOKUP("timeout_jcc_fast",Calibration!$B:$B,Calibration!$C:$C,10),
     OR(C421="G",C421="J"),XLOOKUP("timeout_duochrome_fast",Calibration!$B:$B,Calibration!$C:$C,8),
     C421="K",XLOOKUP("timeout_bino_fast",Calibration!$B:$B,Calibration!$C:$C,10),
     OR(C421="P",C421="Q",C421="R"),XLOOKUP("timeout_near_fast",Calibration!$B:$B,Calibration!$C:$C,16),
     TRUE,XLOOKUP("timeout_coarse_fast",Calibration!$B:$B,Calibration!$C:$C,24)
   ),
 AK421="Normal",
   IFS(
     OR(C421="B",C421="D"),XLOOKUP("timeout_coarse_normal",Calibration!$B:$B,Calibration!$C:$C,36),
     OR(C421="E",C421="F",C421="H",C421="I"),XLOOKUP("timeout_jcc_normal",Calibration!$B:$B,Calibration!$C:$C,14),
     OR(C421="G",C421="J"),XLOOKUP("timeout_duochrome_normal",Calibration!$B:$B,Calibration!$C:$C,10),
     C421="K",XLOOKUP("timeout_bino_normal",Calibration!$B:$B,Calibration!$C:$C,14),
     OR(C421="P",C421="Q",C421="R"),XLOOKUP("timeout_near_normal",Calibration!$B:$B,Calibration!$C:$C,22),
     TRUE,XLOOKUP("timeout_coarse_normal",Calibration!$B:$B,Calibration!$C:$C,36)
   ),
 TRUE,
   IFS(
     OR(C421="B",C421="D"),XLOOKUP("timeout_coarse_slow",Calibration!$B:$B,Calibration!$C:$C,48),
     OR(C421="E",C421="F",C421="H",C421="I"),XLOOKUP("timeout_jcc_slow",Calibration!$B:$B,Calibration!$C:$C,18),
     OR(C421="G",C421="J"),XLOOKUP("timeout_duochrome_slow",Calibration!$B:$B,Calibration!$C:$C,12),
     C421="K",XLOOKUP("timeout_bino_slow",Calibration!$B:$B,Calibration!$C:$C,18),
     OR(C421="P",C421="Q",C421="R"),XLOOKUP("timeout_near_slow",Calibration!$B:$B,Calibration!$C:$C,28),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AJ421=TRUE,"ESCALATE",
C421="A",
IF(OR(I421="NOT_READABLE",I421="BLURRY",AND(R421="20_20_20",I421="READABLE")),"B","A"),
C421="B",
IF(reEsc,"ESCALATE",IF(AY421&gt;=phaseMax,"ESCALATE",IF(AND(AV421&gt;=AW421,I421="READABLE"),"E","B"))),
C421="E",
IF(AY421&gt;=phaseMax,"ESCALATE",IF(OR(I421="SAME",I421="CANT_TELL",AD421&lt;axisTol),"F","E")),
C421="F",
IF(AY421&gt;=phaseMax,"ESCALATE",IF(AX421&gt;=powerSameN,"G","F")),
C421="G",
IF(AY421&gt;=phaseMax,"ESCALATE",IF(OR(AX421&gt;=duoEqualN,BB421&gt;=duoMax),"D","G")),
C421="D",
IF(leEsc,"ESCALATE",IF(AY421&gt;=phaseMax,"ESCALATE",IF(AND(AV421&gt;=AW421,I421="READABLE"),"H","D"))),
C421="H",
IF(AY421&gt;=phaseMax,"ESCALATE",IF(OR(I421="SAME",I421="CANT_TELL",AD421&lt;axisTol),"I","H")),
C421="I",
IF(AY421&gt;=phaseMax,"ESCALATE",IF(AX421&gt;=powerSameN,"J","I")),
C421="J",
IF(AY421&gt;=phaseMax,"ESCALATE",IF(OR(AX421&gt;=duoEqualN,BB421&gt;=duoMax),"K","J")),
C421="K",
IF(AY421&gt;=phaseMax,"ESCALATE",IF(AX421&gt;=binoSameN,IF(XLOOKUP($B421,Derived_Variables!$A:$A,Derived_Variables!$AJ:$AJ,FALSE)=TRUE,"P","END"),"K")),
C421="P",
IF(AY421&gt;=phaseMax,"ESCALATE",IF(OR(I421="READABLE",I421="SAME"),"Q","P")),
C421="Q",
IF(AY421&gt;=phaseMax,"ESCALATE",IF(OR(I421="READABLE",I421="SAME"),"R","Q")),
C421="R",
IF(AY421&gt;=phaseMax,"ESCALATE",IF(OR(I421=nearTarget,I421="SAME"),"END","R")),
TRUE,"END"
)))</f>
        <v/>
      </c>
      <c r="BD421" s="28" t="b">
        <f t="shared" si="19"/>
        <v>0</v>
      </c>
    </row>
    <row r="422" ht="15.75" customHeight="1">
      <c r="A422" s="28">
        <f t="shared" si="3"/>
        <v>421</v>
      </c>
      <c r="B422" s="28">
        <f t="shared" si="4"/>
        <v>6</v>
      </c>
      <c r="C422" s="28" t="str">
        <f t="shared" si="5"/>
        <v/>
      </c>
      <c r="D422" s="28" t="str">
        <f t="array" ref="D422">IF($I421="","",XLOOKUP(C422,FSM_State_Map!A:A,FSM_State_Map!B:B,""))</f>
        <v/>
      </c>
      <c r="E422" s="28" t="str">
        <f t="array" ref="E422">IF($I421="","",XLOOKUP(C422,FSM_State_Map!A:A,FSM_State_Map!C:C,""))</f>
        <v/>
      </c>
      <c r="F422" s="28" t="str">
        <f t="array" ref="F422">IF($I421="","",XLOOKUP(E422,Phase_UI_Map!A:A,Phase_UI_Map!B:B,""))</f>
        <v/>
      </c>
      <c r="G422" s="28" t="str">
        <f t="array" ref="G422">IF($I421="","",XLOOKUP(E422,Phase_UI_Map!A:A,Phase_UI_Map!C:C,""))</f>
        <v/>
      </c>
      <c r="H422" s="28" t="str">
        <f t="array" ref="H422">IF($I421="","",XLOOKUP(E422,Phase_UI_Map!A:A,Phase_UI_Map!D:D,""))</f>
        <v/>
      </c>
      <c r="I422" s="29"/>
      <c r="J422" s="28" t="str">
        <f>IFERROR(__xludf.DUMMYFUNCTION("IF($I421="""","""",IFERROR(INDEX(FILTER(Response_Lists!$B:$B,Response_Lists!$A:$A=$H422),1),""""))"),"")</f>
        <v/>
      </c>
      <c r="K422" s="28" t="str">
        <f>IFERROR(__xludf.DUMMYFUNCTION("IF($I421="""","""",IFERROR(INDEX(FILTER(Response_Lists!$B:$B,Response_Lists!$A:$A=$H422),2),""""))"),"")</f>
        <v/>
      </c>
      <c r="L422" s="28" t="str">
        <f>IFERROR(__xludf.DUMMYFUNCTION("IF($I421="""","""",IFERROR(INDEX(FILTER(Response_Lists!$B:$B,Response_Lists!$A:$A=$H422),3),""""))"),"")</f>
        <v/>
      </c>
      <c r="M422" s="28" t="str">
        <f>IFERROR(__xludf.DUMMYFUNCTION("IF($I421="""","""",IFERROR(INDEX(FILTER(Response_Lists!$B:$B,Response_Lists!$A:$A=$H422),4),""""))"),"")</f>
        <v/>
      </c>
      <c r="N422" s="28" t="str">
        <f>IFERROR(__xludf.DUMMYFUNCTION("IF($I421="""","""",IFERROR(INDEX(FILTER(Response_Lists!$B:$B,Response_Lists!$A:$A=$H422),5),""""))"),"")</f>
        <v/>
      </c>
      <c r="O422" s="28" t="str">
        <f>IFERROR(__xludf.DUMMYFUNCTION("IF($I421="""","""",IFERROR(INDEX(FILTER(Response_Lists!$B:$B,Response_Lists!$A:$A=$H422),6),""""))"),"")</f>
        <v/>
      </c>
      <c r="P422" s="28" t="str">
        <f t="shared" si="6"/>
        <v/>
      </c>
      <c r="Q422" s="28" t="str">
        <f t="array" ref="Q422">IF($I421="","",XLOOKUP(C422,FSM_State_Map!A:A,FSM_State_Map!D:D,""))</f>
        <v/>
      </c>
      <c r="R422" s="28" t="str">
        <f t="shared" si="7"/>
        <v/>
      </c>
      <c r="S422" s="28" t="str">
        <f t="array" ref="S422">IF($I421="","",
IF(
  AND(C422="B",C421&lt;&gt;"B"),
  XLOOKUP($B422,Derived_Variables!$A:$A,Derived_Variables!$K:$K,0)
  + XLOOKUP($B422,Derived_Variables!$A:$A,Derived_Variables!$AE:$AE,0),
  S421+AM421
))</f>
        <v/>
      </c>
      <c r="T422" s="28" t="str">
        <f t="shared" ref="T422:U422" si="854">IF($I421="","",T421+AN421)</f>
        <v/>
      </c>
      <c r="U422" s="28" t="str">
        <f t="shared" si="854"/>
        <v/>
      </c>
      <c r="V422" s="28" t="str">
        <f t="array" ref="V422">IF($I421="","",
IF(
  AND(C422="D",C421&lt;&gt;"D"),
  XLOOKUP($B422,Derived_Variables!$A:$A,Derived_Variables!$N:$N,0)
  + XLOOKUP($B422,Derived_Variables!$A:$A,Derived_Variables!$AE:$AE,0),
  V421+AP421
))</f>
        <v/>
      </c>
      <c r="W422" s="28" t="str">
        <f t="shared" ref="W422:X422" si="855">IF($I421="","",W421+AQ421)</f>
        <v/>
      </c>
      <c r="X422" s="28" t="str">
        <f t="shared" si="855"/>
        <v/>
      </c>
      <c r="Y422" s="28" t="str">
        <f t="array" ref="Y422">IF($I421="","",IF(AND(C422="P",C421&lt;&gt;"P"),IFERROR(XLOOKUP($B422,Lenso_Input!$A:$A,Lenso_Input!$E:$E,0),0),Y421+AS421))</f>
        <v/>
      </c>
      <c r="Z422" s="28" t="str">
        <f t="array" ref="Z422">IF($I421="","",IF(AND(C422="Q",C421&lt;&gt;"Q"),IFERROR(XLOOKUP($B422,Lenso_Input!$A:$A,Lenso_Input!$I:$I,0),0),Z421+AT421))</f>
        <v/>
      </c>
      <c r="AA422" s="28" t="str">
        <f t="array" ref="AA422">IF($I421="","",IF(XLOOKUP($B422,Derived_Variables!$A:$A,Derived_Variables!$R:$R,"6/6_target")="6/6_target","20_20_20","40_30_25"))</f>
        <v/>
      </c>
      <c r="AB422" s="28" t="str">
        <f t="array" ref="AB422">IF($I421="","",XLOOKUP(LOWER(XLOOKUP($B422,Derived_Variables!$A:$A,Derived_Variables!$T:$T,"Standard"))&amp;"_sph_step",Calibration!$B:$B,Calibration!$C:$C,0.25))</f>
        <v/>
      </c>
      <c r="AC422" s="28" t="str">
        <f t="array" ref="AC422">IF($I421="","",XLOOKUP(LOWER(XLOOKUP($B422,Derived_Variables!$A:$A,Derived_Variables!$T:$T,"Standard"))&amp;"_cyl_step",Calibration!$B:$B,Calibration!$C:$C,0.25))</f>
        <v/>
      </c>
      <c r="AD422" s="28" t="str">
        <f t="array" ref="AD422">IF($I421="","",IF(OR(C422="E",C422="H"),LET(startStep,XLOOKUP("axis_start_step",Calibration!$B:$B,Calibration!$C:$C,5),step1,XLOOKUP("axis_reversal_step_1",Calibration!$B:$B,Calibration!$C:$C,3),step2,XLOOKUP("axis_reversal_step_2",Calibration!$B:$B,Calibration!$C:$C,1),IF(OR(C421&lt;&gt;C422,AZ422="",AZ422="SAME",AZ422="CANT_TELL",I422="",I422="SAME",I422="CANT_TELL"),startStep,IF(OR(AND(AZ422="BETTER_1",I422="BETTER_2"),AND(AZ422="BETTER_2",I422="BETTER_1")),IF(AD421&gt;step1,step1,step2),AD421))),0))</f>
        <v/>
      </c>
      <c r="AE422" s="28" t="str">
        <f t="array" ref="AE422">IF($I421="","",XLOOKUP($B422,Derived_Variables!$A:$A,Derived_Variables!$AD:$AD,"No_Fog"))</f>
        <v/>
      </c>
      <c r="AF422" s="28" t="str">
        <f t="array" ref="AF422">IF($I421="","",XLOOKUP($B422,Derived_Variables!$A:$A,Derived_Variables!$AE:$AE,0))</f>
        <v/>
      </c>
      <c r="AG422" s="28" t="str">
        <f t="array" ref="AG422">IF($I421="","",XLOOKUP($B422,Derived_Variables!$A:$A,Derived_Variables!$AF:$AF,""))</f>
        <v/>
      </c>
      <c r="AH422" s="28" t="str">
        <f t="array" ref="AH422">IF($I421="","",XLOOKUP($B422,Derived_Variables!$A:$A,Derived_Variables!$AG:$AG,""))</f>
        <v/>
      </c>
      <c r="AI422" s="28" t="str">
        <f t="array" ref="AI422">IF($I421="","",XLOOKUP($B422,Derived_Variables!$A:$A,Derived_Variables!$AC:$AC,"Medium"))</f>
        <v/>
      </c>
      <c r="AJ422" s="28" t="str">
        <f t="array" ref="AJ422">IF($I421="","",XLOOKUP($B422,Derived_Variables!$A:$A,Derived_Variables!$Y:$Y,FALSE))</f>
        <v/>
      </c>
      <c r="AK422" s="28" t="str">
        <f t="array" ref="AK422">IF($I421="","",XLOOKUP($B422,Derived_Variables!$A:$A,Derived_Variables!$AA:$AA,"Normal"))</f>
        <v/>
      </c>
      <c r="AL422" s="28" t="str">
        <f t="array" ref="AL422">IF($I421="","",XLOOKUP($B422,Derived_Variables!$A:$A,Derived_Variables!$AB:$AB,"Normal"))</f>
        <v/>
      </c>
      <c r="AM422" s="28" t="str">
        <f t="array" ref="AM422">IF($I422="","",IFS(C422="B",IF(OR(I422="NOT_READABLE",I422="BLURRY"),-AB422,0),C422="G",IFS(I422="RED_CLEARER",XLOOKUP("duochrome_red_step",Calibration!$B:$B,Calibration!$C:$C,-0.25),I422="GREEN_CLEARER",XLOOKUP("duochrome_green_step",Calibration!$B:$B,Calibration!$C:$C,0.25),I422="EQUAL",IF(XLOOKUP($B422,Derived_Variables!$A:$A,Derived_Variables!$S:$S,"Neutral")="Undercorrect",XLOOKUP("undercorrect_step",Calibration!$B:$B,Calibration!$C:$C,0.25),IF(XLOOKUP($B422,Derived_Variables!$A:$A,Derived_Variables!$S:$S,"Neutral")="Overcorrect",-XLOOKUP("overcorrect_step",Calibration!$B:$B,Calibration!$C:$C,0.25),0)),TRUE,0),C422="K",IF(I422="TOP_CLEARER",XLOOKUP("bino_balance_step",Calibration!$B:$B,Calibration!$C:$C,0.25),0),TRUE,0))</f>
        <v/>
      </c>
      <c r="AN422" s="28" t="str">
        <f t="shared" si="10"/>
        <v/>
      </c>
      <c r="AO422" s="28" t="str">
        <f t="shared" si="11"/>
        <v/>
      </c>
      <c r="AP422" s="28" t="str">
        <f t="array" ref="AP422">IF($I422="","",IFS(C422="D",IF(OR(I422="NOT_READABLE",I422="BLURRY"),-AB422,0),C422="J",IFS(I422="RED_CLEARER",XLOOKUP("duochrome_red_step",Calibration!$B:$B,Calibration!$C:$C,-0.25),I422="GREEN_CLEARER",XLOOKUP("duochrome_green_step",Calibration!$B:$B,Calibration!$C:$C,0.25),I422="EQUAL",IF(XLOOKUP($B422,Derived_Variables!$A:$A,Derived_Variables!$S:$S,"Neutral")="Undercorrect",XLOOKUP("undercorrect_step",Calibration!$B:$B,Calibration!$C:$C,0.25),IF(XLOOKUP($B422,Derived_Variables!$A:$A,Derived_Variables!$S:$S,"Neutral")="Overcorrect",-XLOOKUP("overcorrect_step",Calibration!$B:$B,Calibration!$C:$C,0.25),0)),TRUE,0),C422="K",IF(I422="BOTTOM_CLEARER",XLOOKUP("bino_balance_step",Calibration!$B:$B,Calibration!$C:$C,0.25),0),TRUE,0))</f>
        <v/>
      </c>
      <c r="AQ422" s="28" t="str">
        <f t="shared" si="12"/>
        <v/>
      </c>
      <c r="AR422" s="28" t="str">
        <f t="shared" si="13"/>
        <v/>
      </c>
      <c r="AS422" s="28" t="str">
        <f t="array" ref="AS422">IF($I422="","",IF(C422="P",IF(OR(I422="NOT_READABLE",I422="BLURRY"),XLOOKUP("near_add_step",Calibration!$B:$B,Calibration!$C:$C,0.25),0),IF(C422="R",IF(I422="NOT_CLEAR",XLOOKUP("near_add_step",Calibration!$B:$B,Calibration!$C:$C,0.25),0),0)))</f>
        <v/>
      </c>
      <c r="AT422" s="28" t="str">
        <f t="array" ref="AT422">IF($I422="","",IF(C422="Q",IF(OR(I422="NOT_READABLE",I422="BLURRY"),XLOOKUP("near_add_step",Calibration!$B:$B,Calibration!$C:$C,0.25),0),IF(C422="R",IF(I422="NOT_CLEAR",XLOOKUP("near_add_step",Calibration!$B:$B,Calibration!$C:$C,0.25),0),0)))</f>
        <v/>
      </c>
      <c r="AU422" s="28" t="str">
        <f t="array" ref="AU422">IF($I422="","",IF(G422="SNELLEN_FEET",IF(I422="READABLE",IFERROR(XLOOKUP(XLOOKUP(R422,Chart_Scale_Distance!B:B,Chart_Scale_Distance!A:A)+1,Chart_Scale_Distance!A:A,Chart_Scale_Distance!B:B),R422),R422),R422))</f>
        <v/>
      </c>
      <c r="AV422" s="28" t="str">
        <f t="array" ref="AV422">IF($I421="","",IFERROR(XLOOKUP(R422,Chart_Scale_Distance!$B:$B,Chart_Scale_Distance!$A:$A,""),""))</f>
        <v/>
      </c>
      <c r="AW422" s="28" t="str">
        <f t="array" ref="AW422">IF($I421="","",IFERROR(XLOOKUP(AA422,Chart_Scale_Distance!$B:$B,Chart_Scale_Distance!$A:$A,""),""))</f>
        <v/>
      </c>
      <c r="AX422" s="28" t="str">
        <f t="shared" si="14"/>
        <v/>
      </c>
      <c r="AY422" s="28" t="str">
        <f t="shared" si="15"/>
        <v/>
      </c>
      <c r="AZ422" s="28" t="str">
        <f t="shared" si="16"/>
        <v/>
      </c>
      <c r="BA422" s="28" t="str">
        <f t="shared" si="17"/>
        <v/>
      </c>
      <c r="BB422" s="28" t="str">
        <f t="shared" si="18"/>
        <v/>
      </c>
      <c r="BC422" s="28" t="str">
        <f t="array" ref="BC422">IF($I422="","",LET(
conf,AI422,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duoMax,XLOOKUP($B422,Derived_Variables!$A:$A,Derived_Variables!$AI:$AI,4),
axisTol,XLOOKUP($B422,Derived_Variables!$A:$A,Derived_Variables!$W:$W,1),
maxStart,XLOOKUP($B422,Derived_Variables!$A:$A,Derived_Variables!$U:$U,1.25),
maxAR,XLOOKUP($B422,Derived_Variables!$A:$A,Derived_Variables!$V:$V,3),
anom,XLOOKUP($B422,Derived_Variables!$A:$A,Derived_Variables!$Z:$Z,FALSE),
reStart,XLOOKUP($B422,Derived_Variables!$A:$A,Derived_Variables!$K:$K,0),
leStart,XLOOKUP($B422,Derived_Variables!$A:$A,Derived_Variables!$N:$N,0),
reAR,XLOOKUP($B422,AR_Input!$A:$A,AR_Input!$B:$B,reStart),
leAR,XLOOKUP($B422,AR_Input!$A:$A,AR_Input!$E:$E,leStart),
reEsc,AND(anom,OR(ABS((S422+AM422)-reStart)&gt;maxStart,ABS((S422+AM422)-reAR)&gt;maxAR)),
leEsc,AND(anom,OR(ABS((V422+AP422)-leStart)&gt;maxStart,ABS((V422+AP422)-leAR)&gt;maxAR)),
phaseMax,IFS(
 AK422="Fast",
   IFS(
     OR(C422="B",C422="D"),XLOOKUP("timeout_coarse_fast",Calibration!$B:$B,Calibration!$C:$C,24),
     OR(C422="E",C422="F",C422="H",C422="I"),XLOOKUP("timeout_jcc_fast",Calibration!$B:$B,Calibration!$C:$C,10),
     OR(C422="G",C422="J"),XLOOKUP("timeout_duochrome_fast",Calibration!$B:$B,Calibration!$C:$C,8),
     C422="K",XLOOKUP("timeout_bino_fast",Calibration!$B:$B,Calibration!$C:$C,10),
     OR(C422="P",C422="Q",C422="R"),XLOOKUP("timeout_near_fast",Calibration!$B:$B,Calibration!$C:$C,16),
     TRUE,XLOOKUP("timeout_coarse_fast",Calibration!$B:$B,Calibration!$C:$C,24)
   ),
 AK422="Normal",
   IFS(
     OR(C422="B",C422="D"),XLOOKUP("timeout_coarse_normal",Calibration!$B:$B,Calibration!$C:$C,36),
     OR(C422="E",C422="F",C422="H",C422="I"),XLOOKUP("timeout_jcc_normal",Calibration!$B:$B,Calibration!$C:$C,14),
     OR(C422="G",C422="J"),XLOOKUP("timeout_duochrome_normal",Calibration!$B:$B,Calibration!$C:$C,10),
     C422="K",XLOOKUP("timeout_bino_normal",Calibration!$B:$B,Calibration!$C:$C,14),
     OR(C422="P",C422="Q",C422="R"),XLOOKUP("timeout_near_normal",Calibration!$B:$B,Calibration!$C:$C,22),
     TRUE,XLOOKUP("timeout_coarse_normal",Calibration!$B:$B,Calibration!$C:$C,36)
   ),
 TRUE,
   IFS(
     OR(C422="B",C422="D"),XLOOKUP("timeout_coarse_slow",Calibration!$B:$B,Calibration!$C:$C,48),
     OR(C422="E",C422="F",C422="H",C422="I"),XLOOKUP("timeout_jcc_slow",Calibration!$B:$B,Calibration!$C:$C,18),
     OR(C422="G",C422="J"),XLOOKUP("timeout_duochrome_slow",Calibration!$B:$B,Calibration!$C:$C,12),
     C422="K",XLOOKUP("timeout_bino_slow",Calibration!$B:$B,Calibration!$C:$C,18),
     OR(C422="P",C422="Q",C422="R"),XLOOKUP("timeout_near_slow",Calibration!$B:$B,Calibration!$C:$C,28),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AJ422=TRUE,"ESCALATE",
C422="A",
IF(OR(I422="NOT_READABLE",I422="BLURRY",AND(R422="20_20_20",I422="READABLE")),"B","A"),
C422="B",
IF(reEsc,"ESCALATE",IF(AY422&gt;=phaseMax,"ESCALATE",IF(AND(AV422&gt;=AW422,I422="READABLE"),"E","B"))),
C422="E",
IF(AY422&gt;=phaseMax,"ESCALATE",IF(OR(I422="SAME",I422="CANT_TELL",AD422&lt;axisTol),"F","E")),
C422="F",
IF(AY422&gt;=phaseMax,"ESCALATE",IF(AX422&gt;=powerSameN,"G","F")),
C422="G",
IF(AY422&gt;=phaseMax,"ESCALATE",IF(OR(AX422&gt;=duoEqualN,BB422&gt;=duoMax),"D","G")),
C422="D",
IF(leEsc,"ESCALATE",IF(AY422&gt;=phaseMax,"ESCALATE",IF(AND(AV422&gt;=AW422,I422="READABLE"),"H","D"))),
C422="H",
IF(AY422&gt;=phaseMax,"ESCALATE",IF(OR(I422="SAME",I422="CANT_TELL",AD422&lt;axisTol),"I","H")),
C422="I",
IF(AY422&gt;=phaseMax,"ESCALATE",IF(AX422&gt;=powerSameN,"J","I")),
C422="J",
IF(AY422&gt;=phaseMax,"ESCALATE",IF(OR(AX422&gt;=duoEqualN,BB422&gt;=duoMax),"K","J")),
C422="K",
IF(AY422&gt;=phaseMax,"ESCALATE",IF(AX422&gt;=binoSameN,IF(XLOOKUP($B422,Derived_Variables!$A:$A,Derived_Variables!$AJ:$AJ,FALSE)=TRUE,"P","END"),"K")),
C422="P",
IF(AY422&gt;=phaseMax,"ESCALATE",IF(OR(I422="READABLE",I422="SAME"),"Q","P")),
C422="Q",
IF(AY422&gt;=phaseMax,"ESCALATE",IF(OR(I422="READABLE",I422="SAME"),"R","Q")),
C422="R",
IF(AY422&gt;=phaseMax,"ESCALATE",IF(OR(I422=nearTarget,I422="SAME"),"END","R")),
TRUE,"END"
)))</f>
        <v/>
      </c>
      <c r="BD422" s="28" t="b">
        <f t="shared" si="19"/>
        <v>0</v>
      </c>
    </row>
    <row r="423" ht="15.75" customHeight="1">
      <c r="A423" s="28">
        <f t="shared" si="3"/>
        <v>422</v>
      </c>
      <c r="B423" s="28">
        <f t="shared" si="4"/>
        <v>6</v>
      </c>
      <c r="C423" s="28" t="str">
        <f t="shared" si="5"/>
        <v/>
      </c>
      <c r="D423" s="28" t="str">
        <f t="array" ref="D423">IF($I422="","",XLOOKUP(C423,FSM_State_Map!A:A,FSM_State_Map!B:B,""))</f>
        <v/>
      </c>
      <c r="E423" s="28" t="str">
        <f t="array" ref="E423">IF($I422="","",XLOOKUP(C423,FSM_State_Map!A:A,FSM_State_Map!C:C,""))</f>
        <v/>
      </c>
      <c r="F423" s="28" t="str">
        <f t="array" ref="F423">IF($I422="","",XLOOKUP(E423,Phase_UI_Map!A:A,Phase_UI_Map!B:B,""))</f>
        <v/>
      </c>
      <c r="G423" s="28" t="str">
        <f t="array" ref="G423">IF($I422="","",XLOOKUP(E423,Phase_UI_Map!A:A,Phase_UI_Map!C:C,""))</f>
        <v/>
      </c>
      <c r="H423" s="28" t="str">
        <f t="array" ref="H423">IF($I422="","",XLOOKUP(E423,Phase_UI_Map!A:A,Phase_UI_Map!D:D,""))</f>
        <v/>
      </c>
      <c r="I423" s="29"/>
      <c r="J423" s="28" t="str">
        <f>IFERROR(__xludf.DUMMYFUNCTION("IF($I422="""","""",IFERROR(INDEX(FILTER(Response_Lists!$B:$B,Response_Lists!$A:$A=$H423),1),""""))"),"")</f>
        <v/>
      </c>
      <c r="K423" s="28" t="str">
        <f>IFERROR(__xludf.DUMMYFUNCTION("IF($I422="""","""",IFERROR(INDEX(FILTER(Response_Lists!$B:$B,Response_Lists!$A:$A=$H423),2),""""))"),"")</f>
        <v/>
      </c>
      <c r="L423" s="28" t="str">
        <f>IFERROR(__xludf.DUMMYFUNCTION("IF($I422="""","""",IFERROR(INDEX(FILTER(Response_Lists!$B:$B,Response_Lists!$A:$A=$H423),3),""""))"),"")</f>
        <v/>
      </c>
      <c r="M423" s="28" t="str">
        <f>IFERROR(__xludf.DUMMYFUNCTION("IF($I422="""","""",IFERROR(INDEX(FILTER(Response_Lists!$B:$B,Response_Lists!$A:$A=$H423),4),""""))"),"")</f>
        <v/>
      </c>
      <c r="N423" s="28" t="str">
        <f>IFERROR(__xludf.DUMMYFUNCTION("IF($I422="""","""",IFERROR(INDEX(FILTER(Response_Lists!$B:$B,Response_Lists!$A:$A=$H423),5),""""))"),"")</f>
        <v/>
      </c>
      <c r="O423" s="28" t="str">
        <f>IFERROR(__xludf.DUMMYFUNCTION("IF($I422="""","""",IFERROR(INDEX(FILTER(Response_Lists!$B:$B,Response_Lists!$A:$A=$H423),6),""""))"),"")</f>
        <v/>
      </c>
      <c r="P423" s="28" t="str">
        <f t="shared" si="6"/>
        <v/>
      </c>
      <c r="Q423" s="28" t="str">
        <f t="array" ref="Q423">IF($I422="","",XLOOKUP(C423,FSM_State_Map!A:A,FSM_State_Map!D:D,""))</f>
        <v/>
      </c>
      <c r="R423" s="28" t="str">
        <f t="shared" si="7"/>
        <v/>
      </c>
      <c r="S423" s="28" t="str">
        <f t="array" ref="S423">IF($I422="","",
IF(
  AND(C423="B",C422&lt;&gt;"B"),
  XLOOKUP($B423,Derived_Variables!$A:$A,Derived_Variables!$K:$K,0)
  + XLOOKUP($B423,Derived_Variables!$A:$A,Derived_Variables!$AE:$AE,0),
  S422+AM422
))</f>
        <v/>
      </c>
      <c r="T423" s="28" t="str">
        <f t="shared" ref="T423:U423" si="856">IF($I422="","",T422+AN422)</f>
        <v/>
      </c>
      <c r="U423" s="28" t="str">
        <f t="shared" si="856"/>
        <v/>
      </c>
      <c r="V423" s="28" t="str">
        <f t="array" ref="V423">IF($I422="","",
IF(
  AND(C423="D",C422&lt;&gt;"D"),
  XLOOKUP($B423,Derived_Variables!$A:$A,Derived_Variables!$N:$N,0)
  + XLOOKUP($B423,Derived_Variables!$A:$A,Derived_Variables!$AE:$AE,0),
  V422+AP422
))</f>
        <v/>
      </c>
      <c r="W423" s="28" t="str">
        <f t="shared" ref="W423:X423" si="857">IF($I422="","",W422+AQ422)</f>
        <v/>
      </c>
      <c r="X423" s="28" t="str">
        <f t="shared" si="857"/>
        <v/>
      </c>
      <c r="Y423" s="28" t="str">
        <f t="array" ref="Y423">IF($I422="","",IF(AND(C423="P",C422&lt;&gt;"P"),IFERROR(XLOOKUP($B423,Lenso_Input!$A:$A,Lenso_Input!$E:$E,0),0),Y422+AS422))</f>
        <v/>
      </c>
      <c r="Z423" s="28" t="str">
        <f t="array" ref="Z423">IF($I422="","",IF(AND(C423="Q",C422&lt;&gt;"Q"),IFERROR(XLOOKUP($B423,Lenso_Input!$A:$A,Lenso_Input!$I:$I,0),0),Z422+AT422))</f>
        <v/>
      </c>
      <c r="AA423" s="28" t="str">
        <f t="array" ref="AA423">IF($I422="","",IF(XLOOKUP($B423,Derived_Variables!$A:$A,Derived_Variables!$R:$R,"6/6_target")="6/6_target","20_20_20","40_30_25"))</f>
        <v/>
      </c>
      <c r="AB423" s="28" t="str">
        <f t="array" ref="AB423">IF($I422="","",XLOOKUP(LOWER(XLOOKUP($B423,Derived_Variables!$A:$A,Derived_Variables!$T:$T,"Standard"))&amp;"_sph_step",Calibration!$B:$B,Calibration!$C:$C,0.25))</f>
        <v/>
      </c>
      <c r="AC423" s="28" t="str">
        <f t="array" ref="AC423">IF($I422="","",XLOOKUP(LOWER(XLOOKUP($B423,Derived_Variables!$A:$A,Derived_Variables!$T:$T,"Standard"))&amp;"_cyl_step",Calibration!$B:$B,Calibration!$C:$C,0.25))</f>
        <v/>
      </c>
      <c r="AD423" s="28" t="str">
        <f t="array" ref="AD423">IF($I422="","",IF(OR(C423="E",C423="H"),LET(startStep,XLOOKUP("axis_start_step",Calibration!$B:$B,Calibration!$C:$C,5),step1,XLOOKUP("axis_reversal_step_1",Calibration!$B:$B,Calibration!$C:$C,3),step2,XLOOKUP("axis_reversal_step_2",Calibration!$B:$B,Calibration!$C:$C,1),IF(OR(C422&lt;&gt;C423,AZ423="",AZ423="SAME",AZ423="CANT_TELL",I423="",I423="SAME",I423="CANT_TELL"),startStep,IF(OR(AND(AZ423="BETTER_1",I423="BETTER_2"),AND(AZ423="BETTER_2",I423="BETTER_1")),IF(AD422&gt;step1,step1,step2),AD422))),0))</f>
        <v/>
      </c>
      <c r="AE423" s="28" t="str">
        <f t="array" ref="AE423">IF($I422="","",XLOOKUP($B423,Derived_Variables!$A:$A,Derived_Variables!$AD:$AD,"No_Fog"))</f>
        <v/>
      </c>
      <c r="AF423" s="28" t="str">
        <f t="array" ref="AF423">IF($I422="","",XLOOKUP($B423,Derived_Variables!$A:$A,Derived_Variables!$AE:$AE,0))</f>
        <v/>
      </c>
      <c r="AG423" s="28" t="str">
        <f t="array" ref="AG423">IF($I422="","",XLOOKUP($B423,Derived_Variables!$A:$A,Derived_Variables!$AF:$AF,""))</f>
        <v/>
      </c>
      <c r="AH423" s="28" t="str">
        <f t="array" ref="AH423">IF($I422="","",XLOOKUP($B423,Derived_Variables!$A:$A,Derived_Variables!$AG:$AG,""))</f>
        <v/>
      </c>
      <c r="AI423" s="28" t="str">
        <f t="array" ref="AI423">IF($I422="","",XLOOKUP($B423,Derived_Variables!$A:$A,Derived_Variables!$AC:$AC,"Medium"))</f>
        <v/>
      </c>
      <c r="AJ423" s="28" t="str">
        <f t="array" ref="AJ423">IF($I422="","",XLOOKUP($B423,Derived_Variables!$A:$A,Derived_Variables!$Y:$Y,FALSE))</f>
        <v/>
      </c>
      <c r="AK423" s="28" t="str">
        <f t="array" ref="AK423">IF($I422="","",XLOOKUP($B423,Derived_Variables!$A:$A,Derived_Variables!$AA:$AA,"Normal"))</f>
        <v/>
      </c>
      <c r="AL423" s="28" t="str">
        <f t="array" ref="AL423">IF($I422="","",XLOOKUP($B423,Derived_Variables!$A:$A,Derived_Variables!$AB:$AB,"Normal"))</f>
        <v/>
      </c>
      <c r="AM423" s="28" t="str">
        <f t="array" ref="AM423">IF($I423="","",IFS(C423="B",IF(OR(I423="NOT_READABLE",I423="BLURRY"),-AB423,0),C423="G",IFS(I423="RED_CLEARER",XLOOKUP("duochrome_red_step",Calibration!$B:$B,Calibration!$C:$C,-0.25),I423="GREEN_CLEARER",XLOOKUP("duochrome_green_step",Calibration!$B:$B,Calibration!$C:$C,0.25),I423="EQUAL",IF(XLOOKUP($B423,Derived_Variables!$A:$A,Derived_Variables!$S:$S,"Neutral")="Undercorrect",XLOOKUP("undercorrect_step",Calibration!$B:$B,Calibration!$C:$C,0.25),IF(XLOOKUP($B423,Derived_Variables!$A:$A,Derived_Variables!$S:$S,"Neutral")="Overcorrect",-XLOOKUP("overcorrect_step",Calibration!$B:$B,Calibration!$C:$C,0.25),0)),TRUE,0),C423="K",IF(I423="TOP_CLEARER",XLOOKUP("bino_balance_step",Calibration!$B:$B,Calibration!$C:$C,0.25),0),TRUE,0))</f>
        <v/>
      </c>
      <c r="AN423" s="28" t="str">
        <f t="shared" si="10"/>
        <v/>
      </c>
      <c r="AO423" s="28" t="str">
        <f t="shared" si="11"/>
        <v/>
      </c>
      <c r="AP423" s="28" t="str">
        <f t="array" ref="AP423">IF($I423="","",IFS(C423="D",IF(OR(I423="NOT_READABLE",I423="BLURRY"),-AB423,0),C423="J",IFS(I423="RED_CLEARER",XLOOKUP("duochrome_red_step",Calibration!$B:$B,Calibration!$C:$C,-0.25),I423="GREEN_CLEARER",XLOOKUP("duochrome_green_step",Calibration!$B:$B,Calibration!$C:$C,0.25),I423="EQUAL",IF(XLOOKUP($B423,Derived_Variables!$A:$A,Derived_Variables!$S:$S,"Neutral")="Undercorrect",XLOOKUP("undercorrect_step",Calibration!$B:$B,Calibration!$C:$C,0.25),IF(XLOOKUP($B423,Derived_Variables!$A:$A,Derived_Variables!$S:$S,"Neutral")="Overcorrect",-XLOOKUP("overcorrect_step",Calibration!$B:$B,Calibration!$C:$C,0.25),0)),TRUE,0),C423="K",IF(I423="BOTTOM_CLEARER",XLOOKUP("bino_balance_step",Calibration!$B:$B,Calibration!$C:$C,0.25),0),TRUE,0))</f>
        <v/>
      </c>
      <c r="AQ423" s="28" t="str">
        <f t="shared" si="12"/>
        <v/>
      </c>
      <c r="AR423" s="28" t="str">
        <f t="shared" si="13"/>
        <v/>
      </c>
      <c r="AS423" s="28" t="str">
        <f t="array" ref="AS423">IF($I423="","",IF(C423="P",IF(OR(I423="NOT_READABLE",I423="BLURRY"),XLOOKUP("near_add_step",Calibration!$B:$B,Calibration!$C:$C,0.25),0),IF(C423="R",IF(I423="NOT_CLEAR",XLOOKUP("near_add_step",Calibration!$B:$B,Calibration!$C:$C,0.25),0),0)))</f>
        <v/>
      </c>
      <c r="AT423" s="28" t="str">
        <f t="array" ref="AT423">IF($I423="","",IF(C423="Q",IF(OR(I423="NOT_READABLE",I423="BLURRY"),XLOOKUP("near_add_step",Calibration!$B:$B,Calibration!$C:$C,0.25),0),IF(C423="R",IF(I423="NOT_CLEAR",XLOOKUP("near_add_step",Calibration!$B:$B,Calibration!$C:$C,0.25),0),0)))</f>
        <v/>
      </c>
      <c r="AU423" s="28" t="str">
        <f t="array" ref="AU423">IF($I423="","",IF(G423="SNELLEN_FEET",IF(I423="READABLE",IFERROR(XLOOKUP(XLOOKUP(R423,Chart_Scale_Distance!B:B,Chart_Scale_Distance!A:A)+1,Chart_Scale_Distance!A:A,Chart_Scale_Distance!B:B),R423),R423),R423))</f>
        <v/>
      </c>
      <c r="AV423" s="28" t="str">
        <f t="array" ref="AV423">IF($I422="","",IFERROR(XLOOKUP(R423,Chart_Scale_Distance!$B:$B,Chart_Scale_Distance!$A:$A,""),""))</f>
        <v/>
      </c>
      <c r="AW423" s="28" t="str">
        <f t="array" ref="AW423">IF($I422="","",IFERROR(XLOOKUP(AA423,Chart_Scale_Distance!$B:$B,Chart_Scale_Distance!$A:$A,""),""))</f>
        <v/>
      </c>
      <c r="AX423" s="28" t="str">
        <f t="shared" si="14"/>
        <v/>
      </c>
      <c r="AY423" s="28" t="str">
        <f t="shared" si="15"/>
        <v/>
      </c>
      <c r="AZ423" s="28" t="str">
        <f t="shared" si="16"/>
        <v/>
      </c>
      <c r="BA423" s="28" t="str">
        <f t="shared" si="17"/>
        <v/>
      </c>
      <c r="BB423" s="28" t="str">
        <f t="shared" si="18"/>
        <v/>
      </c>
      <c r="BC423" s="28" t="str">
        <f t="array" ref="BC423">IF($I423="","",LET(
conf,AI423,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duoMax,XLOOKUP($B423,Derived_Variables!$A:$A,Derived_Variables!$AI:$AI,4),
axisTol,XLOOKUP($B423,Derived_Variables!$A:$A,Derived_Variables!$W:$W,1),
maxStart,XLOOKUP($B423,Derived_Variables!$A:$A,Derived_Variables!$U:$U,1.25),
maxAR,XLOOKUP($B423,Derived_Variables!$A:$A,Derived_Variables!$V:$V,3),
anom,XLOOKUP($B423,Derived_Variables!$A:$A,Derived_Variables!$Z:$Z,FALSE),
reStart,XLOOKUP($B423,Derived_Variables!$A:$A,Derived_Variables!$K:$K,0),
leStart,XLOOKUP($B423,Derived_Variables!$A:$A,Derived_Variables!$N:$N,0),
reAR,XLOOKUP($B423,AR_Input!$A:$A,AR_Input!$B:$B,reStart),
leAR,XLOOKUP($B423,AR_Input!$A:$A,AR_Input!$E:$E,leStart),
reEsc,AND(anom,OR(ABS((S423+AM423)-reStart)&gt;maxStart,ABS((S423+AM423)-reAR)&gt;maxAR)),
leEsc,AND(anom,OR(ABS((V423+AP423)-leStart)&gt;maxStart,ABS((V423+AP423)-leAR)&gt;maxAR)),
phaseMax,IFS(
 AK423="Fast",
   IFS(
     OR(C423="B",C423="D"),XLOOKUP("timeout_coarse_fast",Calibration!$B:$B,Calibration!$C:$C,24),
     OR(C423="E",C423="F",C423="H",C423="I"),XLOOKUP("timeout_jcc_fast",Calibration!$B:$B,Calibration!$C:$C,10),
     OR(C423="G",C423="J"),XLOOKUP("timeout_duochrome_fast",Calibration!$B:$B,Calibration!$C:$C,8),
     C423="K",XLOOKUP("timeout_bino_fast",Calibration!$B:$B,Calibration!$C:$C,10),
     OR(C423="P",C423="Q",C423="R"),XLOOKUP("timeout_near_fast",Calibration!$B:$B,Calibration!$C:$C,16),
     TRUE,XLOOKUP("timeout_coarse_fast",Calibration!$B:$B,Calibration!$C:$C,24)
   ),
 AK423="Normal",
   IFS(
     OR(C423="B",C423="D"),XLOOKUP("timeout_coarse_normal",Calibration!$B:$B,Calibration!$C:$C,36),
     OR(C423="E",C423="F",C423="H",C423="I"),XLOOKUP("timeout_jcc_normal",Calibration!$B:$B,Calibration!$C:$C,14),
     OR(C423="G",C423="J"),XLOOKUP("timeout_duochrome_normal",Calibration!$B:$B,Calibration!$C:$C,10),
     C423="K",XLOOKUP("timeout_bino_normal",Calibration!$B:$B,Calibration!$C:$C,14),
     OR(C423="P",C423="Q",C423="R"),XLOOKUP("timeout_near_normal",Calibration!$B:$B,Calibration!$C:$C,22),
     TRUE,XLOOKUP("timeout_coarse_normal",Calibration!$B:$B,Calibration!$C:$C,36)
   ),
 TRUE,
   IFS(
     OR(C423="B",C423="D"),XLOOKUP("timeout_coarse_slow",Calibration!$B:$B,Calibration!$C:$C,48),
     OR(C423="E",C423="F",C423="H",C423="I"),XLOOKUP("timeout_jcc_slow",Calibration!$B:$B,Calibration!$C:$C,18),
     OR(C423="G",C423="J"),XLOOKUP("timeout_duochrome_slow",Calibration!$B:$B,Calibration!$C:$C,12),
     C423="K",XLOOKUP("timeout_bino_slow",Calibration!$B:$B,Calibration!$C:$C,18),
     OR(C423="P",C423="Q",C423="R"),XLOOKUP("timeout_near_slow",Calibration!$B:$B,Calibration!$C:$C,28),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AJ423=TRUE,"ESCALATE",
C423="A",
IF(OR(I423="NOT_READABLE",I423="BLURRY",AND(R423="20_20_20",I423="READABLE")),"B","A"),
C423="B",
IF(reEsc,"ESCALATE",IF(AY423&gt;=phaseMax,"ESCALATE",IF(AND(AV423&gt;=AW423,I423="READABLE"),"E","B"))),
C423="E",
IF(AY423&gt;=phaseMax,"ESCALATE",IF(OR(I423="SAME",I423="CANT_TELL",AD423&lt;axisTol),"F","E")),
C423="F",
IF(AY423&gt;=phaseMax,"ESCALATE",IF(AX423&gt;=powerSameN,"G","F")),
C423="G",
IF(AY423&gt;=phaseMax,"ESCALATE",IF(OR(AX423&gt;=duoEqualN,BB423&gt;=duoMax),"D","G")),
C423="D",
IF(leEsc,"ESCALATE",IF(AY423&gt;=phaseMax,"ESCALATE",IF(AND(AV423&gt;=AW423,I423="READABLE"),"H","D"))),
C423="H",
IF(AY423&gt;=phaseMax,"ESCALATE",IF(OR(I423="SAME",I423="CANT_TELL",AD423&lt;axisTol),"I","H")),
C423="I",
IF(AY423&gt;=phaseMax,"ESCALATE",IF(AX423&gt;=powerSameN,"J","I")),
C423="J",
IF(AY423&gt;=phaseMax,"ESCALATE",IF(OR(AX423&gt;=duoEqualN,BB423&gt;=duoMax),"K","J")),
C423="K",
IF(AY423&gt;=phaseMax,"ESCALATE",IF(AX423&gt;=binoSameN,IF(XLOOKUP($B423,Derived_Variables!$A:$A,Derived_Variables!$AJ:$AJ,FALSE)=TRUE,"P","END"),"K")),
C423="P",
IF(AY423&gt;=phaseMax,"ESCALATE",IF(OR(I423="READABLE",I423="SAME"),"Q","P")),
C423="Q",
IF(AY423&gt;=phaseMax,"ESCALATE",IF(OR(I423="READABLE",I423="SAME"),"R","Q")),
C423="R",
IF(AY423&gt;=phaseMax,"ESCALATE",IF(OR(I423=nearTarget,I423="SAME"),"END","R")),
TRUE,"END"
)))</f>
        <v/>
      </c>
      <c r="BD423" s="28" t="b">
        <f t="shared" si="19"/>
        <v>0</v>
      </c>
    </row>
    <row r="424" ht="15.75" customHeight="1">
      <c r="A424" s="28">
        <f t="shared" si="3"/>
        <v>423</v>
      </c>
      <c r="B424" s="28">
        <f t="shared" si="4"/>
        <v>6</v>
      </c>
      <c r="C424" s="28" t="str">
        <f t="shared" si="5"/>
        <v/>
      </c>
      <c r="D424" s="28" t="str">
        <f t="array" ref="D424">IF($I423="","",XLOOKUP(C424,FSM_State_Map!A:A,FSM_State_Map!B:B,""))</f>
        <v/>
      </c>
      <c r="E424" s="28" t="str">
        <f t="array" ref="E424">IF($I423="","",XLOOKUP(C424,FSM_State_Map!A:A,FSM_State_Map!C:C,""))</f>
        <v/>
      </c>
      <c r="F424" s="28" t="str">
        <f t="array" ref="F424">IF($I423="","",XLOOKUP(E424,Phase_UI_Map!A:A,Phase_UI_Map!B:B,""))</f>
        <v/>
      </c>
      <c r="G424" s="28" t="str">
        <f t="array" ref="G424">IF($I423="","",XLOOKUP(E424,Phase_UI_Map!A:A,Phase_UI_Map!C:C,""))</f>
        <v/>
      </c>
      <c r="H424" s="28" t="str">
        <f t="array" ref="H424">IF($I423="","",XLOOKUP(E424,Phase_UI_Map!A:A,Phase_UI_Map!D:D,""))</f>
        <v/>
      </c>
      <c r="I424" s="29"/>
      <c r="J424" s="28" t="str">
        <f>IFERROR(__xludf.DUMMYFUNCTION("IF($I423="""","""",IFERROR(INDEX(FILTER(Response_Lists!$B:$B,Response_Lists!$A:$A=$H424),1),""""))"),"")</f>
        <v/>
      </c>
      <c r="K424" s="28" t="str">
        <f>IFERROR(__xludf.DUMMYFUNCTION("IF($I423="""","""",IFERROR(INDEX(FILTER(Response_Lists!$B:$B,Response_Lists!$A:$A=$H424),2),""""))"),"")</f>
        <v/>
      </c>
      <c r="L424" s="28" t="str">
        <f>IFERROR(__xludf.DUMMYFUNCTION("IF($I423="""","""",IFERROR(INDEX(FILTER(Response_Lists!$B:$B,Response_Lists!$A:$A=$H424),3),""""))"),"")</f>
        <v/>
      </c>
      <c r="M424" s="28" t="str">
        <f>IFERROR(__xludf.DUMMYFUNCTION("IF($I423="""","""",IFERROR(INDEX(FILTER(Response_Lists!$B:$B,Response_Lists!$A:$A=$H424),4),""""))"),"")</f>
        <v/>
      </c>
      <c r="N424" s="28" t="str">
        <f>IFERROR(__xludf.DUMMYFUNCTION("IF($I423="""","""",IFERROR(INDEX(FILTER(Response_Lists!$B:$B,Response_Lists!$A:$A=$H424),5),""""))"),"")</f>
        <v/>
      </c>
      <c r="O424" s="28" t="str">
        <f>IFERROR(__xludf.DUMMYFUNCTION("IF($I423="""","""",IFERROR(INDEX(FILTER(Response_Lists!$B:$B,Response_Lists!$A:$A=$H424),6),""""))"),"")</f>
        <v/>
      </c>
      <c r="P424" s="28" t="str">
        <f t="shared" si="6"/>
        <v/>
      </c>
      <c r="Q424" s="28" t="str">
        <f t="array" ref="Q424">IF($I423="","",XLOOKUP(C424,FSM_State_Map!A:A,FSM_State_Map!D:D,""))</f>
        <v/>
      </c>
      <c r="R424" s="28" t="str">
        <f t="shared" si="7"/>
        <v/>
      </c>
      <c r="S424" s="28" t="str">
        <f t="array" ref="S424">IF($I423="","",
IF(
  AND(C424="B",C423&lt;&gt;"B"),
  XLOOKUP($B424,Derived_Variables!$A:$A,Derived_Variables!$K:$K,0)
  + XLOOKUP($B424,Derived_Variables!$A:$A,Derived_Variables!$AE:$AE,0),
  S423+AM423
))</f>
        <v/>
      </c>
      <c r="T424" s="28" t="str">
        <f t="shared" ref="T424:U424" si="858">IF($I423="","",T423+AN423)</f>
        <v/>
      </c>
      <c r="U424" s="28" t="str">
        <f t="shared" si="858"/>
        <v/>
      </c>
      <c r="V424" s="28" t="str">
        <f t="array" ref="V424">IF($I423="","",
IF(
  AND(C424="D",C423&lt;&gt;"D"),
  XLOOKUP($B424,Derived_Variables!$A:$A,Derived_Variables!$N:$N,0)
  + XLOOKUP($B424,Derived_Variables!$A:$A,Derived_Variables!$AE:$AE,0),
  V423+AP423
))</f>
        <v/>
      </c>
      <c r="W424" s="28" t="str">
        <f t="shared" ref="W424:X424" si="859">IF($I423="","",W423+AQ423)</f>
        <v/>
      </c>
      <c r="X424" s="28" t="str">
        <f t="shared" si="859"/>
        <v/>
      </c>
      <c r="Y424" s="28" t="str">
        <f t="array" ref="Y424">IF($I423="","",IF(AND(C424="P",C423&lt;&gt;"P"),IFERROR(XLOOKUP($B424,Lenso_Input!$A:$A,Lenso_Input!$E:$E,0),0),Y423+AS423))</f>
        <v/>
      </c>
      <c r="Z424" s="28" t="str">
        <f t="array" ref="Z424">IF($I423="","",IF(AND(C424="Q",C423&lt;&gt;"Q"),IFERROR(XLOOKUP($B424,Lenso_Input!$A:$A,Lenso_Input!$I:$I,0),0),Z423+AT423))</f>
        <v/>
      </c>
      <c r="AA424" s="28" t="str">
        <f t="array" ref="AA424">IF($I423="","",IF(XLOOKUP($B424,Derived_Variables!$A:$A,Derived_Variables!$R:$R,"6/6_target")="6/6_target","20_20_20","40_30_25"))</f>
        <v/>
      </c>
      <c r="AB424" s="28" t="str">
        <f t="array" ref="AB424">IF($I423="","",XLOOKUP(LOWER(XLOOKUP($B424,Derived_Variables!$A:$A,Derived_Variables!$T:$T,"Standard"))&amp;"_sph_step",Calibration!$B:$B,Calibration!$C:$C,0.25))</f>
        <v/>
      </c>
      <c r="AC424" s="28" t="str">
        <f t="array" ref="AC424">IF($I423="","",XLOOKUP(LOWER(XLOOKUP($B424,Derived_Variables!$A:$A,Derived_Variables!$T:$T,"Standard"))&amp;"_cyl_step",Calibration!$B:$B,Calibration!$C:$C,0.25))</f>
        <v/>
      </c>
      <c r="AD424" s="28" t="str">
        <f t="array" ref="AD424">IF($I423="","",IF(OR(C424="E",C424="H"),LET(startStep,XLOOKUP("axis_start_step",Calibration!$B:$B,Calibration!$C:$C,5),step1,XLOOKUP("axis_reversal_step_1",Calibration!$B:$B,Calibration!$C:$C,3),step2,XLOOKUP("axis_reversal_step_2",Calibration!$B:$B,Calibration!$C:$C,1),IF(OR(C423&lt;&gt;C424,AZ424="",AZ424="SAME",AZ424="CANT_TELL",I424="",I424="SAME",I424="CANT_TELL"),startStep,IF(OR(AND(AZ424="BETTER_1",I424="BETTER_2"),AND(AZ424="BETTER_2",I424="BETTER_1")),IF(AD423&gt;step1,step1,step2),AD423))),0))</f>
        <v/>
      </c>
      <c r="AE424" s="28" t="str">
        <f t="array" ref="AE424">IF($I423="","",XLOOKUP($B424,Derived_Variables!$A:$A,Derived_Variables!$AD:$AD,"No_Fog"))</f>
        <v/>
      </c>
      <c r="AF424" s="28" t="str">
        <f t="array" ref="AF424">IF($I423="","",XLOOKUP($B424,Derived_Variables!$A:$A,Derived_Variables!$AE:$AE,0))</f>
        <v/>
      </c>
      <c r="AG424" s="28" t="str">
        <f t="array" ref="AG424">IF($I423="","",XLOOKUP($B424,Derived_Variables!$A:$A,Derived_Variables!$AF:$AF,""))</f>
        <v/>
      </c>
      <c r="AH424" s="28" t="str">
        <f t="array" ref="AH424">IF($I423="","",XLOOKUP($B424,Derived_Variables!$A:$A,Derived_Variables!$AG:$AG,""))</f>
        <v/>
      </c>
      <c r="AI424" s="28" t="str">
        <f t="array" ref="AI424">IF($I423="","",XLOOKUP($B424,Derived_Variables!$A:$A,Derived_Variables!$AC:$AC,"Medium"))</f>
        <v/>
      </c>
      <c r="AJ424" s="28" t="str">
        <f t="array" ref="AJ424">IF($I423="","",XLOOKUP($B424,Derived_Variables!$A:$A,Derived_Variables!$Y:$Y,FALSE))</f>
        <v/>
      </c>
      <c r="AK424" s="28" t="str">
        <f t="array" ref="AK424">IF($I423="","",XLOOKUP($B424,Derived_Variables!$A:$A,Derived_Variables!$AA:$AA,"Normal"))</f>
        <v/>
      </c>
      <c r="AL424" s="28" t="str">
        <f t="array" ref="AL424">IF($I423="","",XLOOKUP($B424,Derived_Variables!$A:$A,Derived_Variables!$AB:$AB,"Normal"))</f>
        <v/>
      </c>
      <c r="AM424" s="28" t="str">
        <f t="array" ref="AM424">IF($I424="","",IFS(C424="B",IF(OR(I424="NOT_READABLE",I424="BLURRY"),-AB424,0),C424="G",IFS(I424="RED_CLEARER",XLOOKUP("duochrome_red_step",Calibration!$B:$B,Calibration!$C:$C,-0.25),I424="GREEN_CLEARER",XLOOKUP("duochrome_green_step",Calibration!$B:$B,Calibration!$C:$C,0.25),I424="EQUAL",IF(XLOOKUP($B424,Derived_Variables!$A:$A,Derived_Variables!$S:$S,"Neutral")="Undercorrect",XLOOKUP("undercorrect_step",Calibration!$B:$B,Calibration!$C:$C,0.25),IF(XLOOKUP($B424,Derived_Variables!$A:$A,Derived_Variables!$S:$S,"Neutral")="Overcorrect",-XLOOKUP("overcorrect_step",Calibration!$B:$B,Calibration!$C:$C,0.25),0)),TRUE,0),C424="K",IF(I424="TOP_CLEARER",XLOOKUP("bino_balance_step",Calibration!$B:$B,Calibration!$C:$C,0.25),0),TRUE,0))</f>
        <v/>
      </c>
      <c r="AN424" s="28" t="str">
        <f t="shared" si="10"/>
        <v/>
      </c>
      <c r="AO424" s="28" t="str">
        <f t="shared" si="11"/>
        <v/>
      </c>
      <c r="AP424" s="28" t="str">
        <f t="array" ref="AP424">IF($I424="","",IFS(C424="D",IF(OR(I424="NOT_READABLE",I424="BLURRY"),-AB424,0),C424="J",IFS(I424="RED_CLEARER",XLOOKUP("duochrome_red_step",Calibration!$B:$B,Calibration!$C:$C,-0.25),I424="GREEN_CLEARER",XLOOKUP("duochrome_green_step",Calibration!$B:$B,Calibration!$C:$C,0.25),I424="EQUAL",IF(XLOOKUP($B424,Derived_Variables!$A:$A,Derived_Variables!$S:$S,"Neutral")="Undercorrect",XLOOKUP("undercorrect_step",Calibration!$B:$B,Calibration!$C:$C,0.25),IF(XLOOKUP($B424,Derived_Variables!$A:$A,Derived_Variables!$S:$S,"Neutral")="Overcorrect",-XLOOKUP("overcorrect_step",Calibration!$B:$B,Calibration!$C:$C,0.25),0)),TRUE,0),C424="K",IF(I424="BOTTOM_CLEARER",XLOOKUP("bino_balance_step",Calibration!$B:$B,Calibration!$C:$C,0.25),0),TRUE,0))</f>
        <v/>
      </c>
      <c r="AQ424" s="28" t="str">
        <f t="shared" si="12"/>
        <v/>
      </c>
      <c r="AR424" s="28" t="str">
        <f t="shared" si="13"/>
        <v/>
      </c>
      <c r="AS424" s="28" t="str">
        <f t="array" ref="AS424">IF($I424="","",IF(C424="P",IF(OR(I424="NOT_READABLE",I424="BLURRY"),XLOOKUP("near_add_step",Calibration!$B:$B,Calibration!$C:$C,0.25),0),IF(C424="R",IF(I424="NOT_CLEAR",XLOOKUP("near_add_step",Calibration!$B:$B,Calibration!$C:$C,0.25),0),0)))</f>
        <v/>
      </c>
      <c r="AT424" s="28" t="str">
        <f t="array" ref="AT424">IF($I424="","",IF(C424="Q",IF(OR(I424="NOT_READABLE",I424="BLURRY"),XLOOKUP("near_add_step",Calibration!$B:$B,Calibration!$C:$C,0.25),0),IF(C424="R",IF(I424="NOT_CLEAR",XLOOKUP("near_add_step",Calibration!$B:$B,Calibration!$C:$C,0.25),0),0)))</f>
        <v/>
      </c>
      <c r="AU424" s="28" t="str">
        <f t="array" ref="AU424">IF($I424="","",IF(G424="SNELLEN_FEET",IF(I424="READABLE",IFERROR(XLOOKUP(XLOOKUP(R424,Chart_Scale_Distance!B:B,Chart_Scale_Distance!A:A)+1,Chart_Scale_Distance!A:A,Chart_Scale_Distance!B:B),R424),R424),R424))</f>
        <v/>
      </c>
      <c r="AV424" s="28" t="str">
        <f t="array" ref="AV424">IF($I423="","",IFERROR(XLOOKUP(R424,Chart_Scale_Distance!$B:$B,Chart_Scale_Distance!$A:$A,""),""))</f>
        <v/>
      </c>
      <c r="AW424" s="28" t="str">
        <f t="array" ref="AW424">IF($I423="","",IFERROR(XLOOKUP(AA424,Chart_Scale_Distance!$B:$B,Chart_Scale_Distance!$A:$A,""),""))</f>
        <v/>
      </c>
      <c r="AX424" s="28" t="str">
        <f t="shared" si="14"/>
        <v/>
      </c>
      <c r="AY424" s="28" t="str">
        <f t="shared" si="15"/>
        <v/>
      </c>
      <c r="AZ424" s="28" t="str">
        <f t="shared" si="16"/>
        <v/>
      </c>
      <c r="BA424" s="28" t="str">
        <f t="shared" si="17"/>
        <v/>
      </c>
      <c r="BB424" s="28" t="str">
        <f t="shared" si="18"/>
        <v/>
      </c>
      <c r="BC424" s="28" t="str">
        <f t="array" ref="BC424">IF($I424="","",LET(
conf,AI424,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duoMax,XLOOKUP($B424,Derived_Variables!$A:$A,Derived_Variables!$AI:$AI,4),
axisTol,XLOOKUP($B424,Derived_Variables!$A:$A,Derived_Variables!$W:$W,1),
maxStart,XLOOKUP($B424,Derived_Variables!$A:$A,Derived_Variables!$U:$U,1.25),
maxAR,XLOOKUP($B424,Derived_Variables!$A:$A,Derived_Variables!$V:$V,3),
anom,XLOOKUP($B424,Derived_Variables!$A:$A,Derived_Variables!$Z:$Z,FALSE),
reStart,XLOOKUP($B424,Derived_Variables!$A:$A,Derived_Variables!$K:$K,0),
leStart,XLOOKUP($B424,Derived_Variables!$A:$A,Derived_Variables!$N:$N,0),
reAR,XLOOKUP($B424,AR_Input!$A:$A,AR_Input!$B:$B,reStart),
leAR,XLOOKUP($B424,AR_Input!$A:$A,AR_Input!$E:$E,leStart),
reEsc,AND(anom,OR(ABS((S424+AM424)-reStart)&gt;maxStart,ABS((S424+AM424)-reAR)&gt;maxAR)),
leEsc,AND(anom,OR(ABS((V424+AP424)-leStart)&gt;maxStart,ABS((V424+AP424)-leAR)&gt;maxAR)),
phaseMax,IFS(
 AK424="Fast",
   IFS(
     OR(C424="B",C424="D"),XLOOKUP("timeout_coarse_fast",Calibration!$B:$B,Calibration!$C:$C,24),
     OR(C424="E",C424="F",C424="H",C424="I"),XLOOKUP("timeout_jcc_fast",Calibration!$B:$B,Calibration!$C:$C,10),
     OR(C424="G",C424="J"),XLOOKUP("timeout_duochrome_fast",Calibration!$B:$B,Calibration!$C:$C,8),
     C424="K",XLOOKUP("timeout_bino_fast",Calibration!$B:$B,Calibration!$C:$C,10),
     OR(C424="P",C424="Q",C424="R"),XLOOKUP("timeout_near_fast",Calibration!$B:$B,Calibration!$C:$C,16),
     TRUE,XLOOKUP("timeout_coarse_fast",Calibration!$B:$B,Calibration!$C:$C,24)
   ),
 AK424="Normal",
   IFS(
     OR(C424="B",C424="D"),XLOOKUP("timeout_coarse_normal",Calibration!$B:$B,Calibration!$C:$C,36),
     OR(C424="E",C424="F",C424="H",C424="I"),XLOOKUP("timeout_jcc_normal",Calibration!$B:$B,Calibration!$C:$C,14),
     OR(C424="G",C424="J"),XLOOKUP("timeout_duochrome_normal",Calibration!$B:$B,Calibration!$C:$C,10),
     C424="K",XLOOKUP("timeout_bino_normal",Calibration!$B:$B,Calibration!$C:$C,14),
     OR(C424="P",C424="Q",C424="R"),XLOOKUP("timeout_near_normal",Calibration!$B:$B,Calibration!$C:$C,22),
     TRUE,XLOOKUP("timeout_coarse_normal",Calibration!$B:$B,Calibration!$C:$C,36)
   ),
 TRUE,
   IFS(
     OR(C424="B",C424="D"),XLOOKUP("timeout_coarse_slow",Calibration!$B:$B,Calibration!$C:$C,48),
     OR(C424="E",C424="F",C424="H",C424="I"),XLOOKUP("timeout_jcc_slow",Calibration!$B:$B,Calibration!$C:$C,18),
     OR(C424="G",C424="J"),XLOOKUP("timeout_duochrome_slow",Calibration!$B:$B,Calibration!$C:$C,12),
     C424="K",XLOOKUP("timeout_bino_slow",Calibration!$B:$B,Calibration!$C:$C,18),
     OR(C424="P",C424="Q",C424="R"),XLOOKUP("timeout_near_slow",Calibration!$B:$B,Calibration!$C:$C,28),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AJ424=TRUE,"ESCALATE",
C424="A",
IF(OR(I424="NOT_READABLE",I424="BLURRY",AND(R424="20_20_20",I424="READABLE")),"B","A"),
C424="B",
IF(reEsc,"ESCALATE",IF(AY424&gt;=phaseMax,"ESCALATE",IF(AND(AV424&gt;=AW424,I424="READABLE"),"E","B"))),
C424="E",
IF(AY424&gt;=phaseMax,"ESCALATE",IF(OR(I424="SAME",I424="CANT_TELL",AD424&lt;axisTol),"F","E")),
C424="F",
IF(AY424&gt;=phaseMax,"ESCALATE",IF(AX424&gt;=powerSameN,"G","F")),
C424="G",
IF(AY424&gt;=phaseMax,"ESCALATE",IF(OR(AX424&gt;=duoEqualN,BB424&gt;=duoMax),"D","G")),
C424="D",
IF(leEsc,"ESCALATE",IF(AY424&gt;=phaseMax,"ESCALATE",IF(AND(AV424&gt;=AW424,I424="READABLE"),"H","D"))),
C424="H",
IF(AY424&gt;=phaseMax,"ESCALATE",IF(OR(I424="SAME",I424="CANT_TELL",AD424&lt;axisTol),"I","H")),
C424="I",
IF(AY424&gt;=phaseMax,"ESCALATE",IF(AX424&gt;=powerSameN,"J","I")),
C424="J",
IF(AY424&gt;=phaseMax,"ESCALATE",IF(OR(AX424&gt;=duoEqualN,BB424&gt;=duoMax),"K","J")),
C424="K",
IF(AY424&gt;=phaseMax,"ESCALATE",IF(AX424&gt;=binoSameN,IF(XLOOKUP($B424,Derived_Variables!$A:$A,Derived_Variables!$AJ:$AJ,FALSE)=TRUE,"P","END"),"K")),
C424="P",
IF(AY424&gt;=phaseMax,"ESCALATE",IF(OR(I424="READABLE",I424="SAME"),"Q","P")),
C424="Q",
IF(AY424&gt;=phaseMax,"ESCALATE",IF(OR(I424="READABLE",I424="SAME"),"R","Q")),
C424="R",
IF(AY424&gt;=phaseMax,"ESCALATE",IF(OR(I424=nearTarget,I424="SAME"),"END","R")),
TRUE,"END"
)))</f>
        <v/>
      </c>
      <c r="BD424" s="28" t="b">
        <f t="shared" si="19"/>
        <v>0</v>
      </c>
    </row>
    <row r="425" ht="15.75" customHeight="1">
      <c r="A425" s="28">
        <f t="shared" si="3"/>
        <v>424</v>
      </c>
      <c r="B425" s="28">
        <f t="shared" si="4"/>
        <v>6</v>
      </c>
      <c r="C425" s="28" t="str">
        <f t="shared" si="5"/>
        <v/>
      </c>
      <c r="D425" s="28" t="str">
        <f t="array" ref="D425">IF($I424="","",XLOOKUP(C425,FSM_State_Map!A:A,FSM_State_Map!B:B,""))</f>
        <v/>
      </c>
      <c r="E425" s="28" t="str">
        <f t="array" ref="E425">IF($I424="","",XLOOKUP(C425,FSM_State_Map!A:A,FSM_State_Map!C:C,""))</f>
        <v/>
      </c>
      <c r="F425" s="28" t="str">
        <f t="array" ref="F425">IF($I424="","",XLOOKUP(E425,Phase_UI_Map!A:A,Phase_UI_Map!B:B,""))</f>
        <v/>
      </c>
      <c r="G425" s="28" t="str">
        <f t="array" ref="G425">IF($I424="","",XLOOKUP(E425,Phase_UI_Map!A:A,Phase_UI_Map!C:C,""))</f>
        <v/>
      </c>
      <c r="H425" s="28" t="str">
        <f t="array" ref="H425">IF($I424="","",XLOOKUP(E425,Phase_UI_Map!A:A,Phase_UI_Map!D:D,""))</f>
        <v/>
      </c>
      <c r="I425" s="29"/>
      <c r="J425" s="28" t="str">
        <f>IFERROR(__xludf.DUMMYFUNCTION("IF($I424="""","""",IFERROR(INDEX(FILTER(Response_Lists!$B:$B,Response_Lists!$A:$A=$H425),1),""""))"),"")</f>
        <v/>
      </c>
      <c r="K425" s="28" t="str">
        <f>IFERROR(__xludf.DUMMYFUNCTION("IF($I424="""","""",IFERROR(INDEX(FILTER(Response_Lists!$B:$B,Response_Lists!$A:$A=$H425),2),""""))"),"")</f>
        <v/>
      </c>
      <c r="L425" s="28" t="str">
        <f>IFERROR(__xludf.DUMMYFUNCTION("IF($I424="""","""",IFERROR(INDEX(FILTER(Response_Lists!$B:$B,Response_Lists!$A:$A=$H425),3),""""))"),"")</f>
        <v/>
      </c>
      <c r="M425" s="28" t="str">
        <f>IFERROR(__xludf.DUMMYFUNCTION("IF($I424="""","""",IFERROR(INDEX(FILTER(Response_Lists!$B:$B,Response_Lists!$A:$A=$H425),4),""""))"),"")</f>
        <v/>
      </c>
      <c r="N425" s="28" t="str">
        <f>IFERROR(__xludf.DUMMYFUNCTION("IF($I424="""","""",IFERROR(INDEX(FILTER(Response_Lists!$B:$B,Response_Lists!$A:$A=$H425),5),""""))"),"")</f>
        <v/>
      </c>
      <c r="O425" s="28" t="str">
        <f>IFERROR(__xludf.DUMMYFUNCTION("IF($I424="""","""",IFERROR(INDEX(FILTER(Response_Lists!$B:$B,Response_Lists!$A:$A=$H425),6),""""))"),"")</f>
        <v/>
      </c>
      <c r="P425" s="28" t="str">
        <f t="shared" si="6"/>
        <v/>
      </c>
      <c r="Q425" s="28" t="str">
        <f t="array" ref="Q425">IF($I424="","",XLOOKUP(C425,FSM_State_Map!A:A,FSM_State_Map!D:D,""))</f>
        <v/>
      </c>
      <c r="R425" s="28" t="str">
        <f t="shared" si="7"/>
        <v/>
      </c>
      <c r="S425" s="28" t="str">
        <f t="array" ref="S425">IF($I424="","",
IF(
  AND(C425="B",C424&lt;&gt;"B"),
  XLOOKUP($B425,Derived_Variables!$A:$A,Derived_Variables!$K:$K,0)
  + XLOOKUP($B425,Derived_Variables!$A:$A,Derived_Variables!$AE:$AE,0),
  S424+AM424
))</f>
        <v/>
      </c>
      <c r="T425" s="28" t="str">
        <f t="shared" ref="T425:U425" si="860">IF($I424="","",T424+AN424)</f>
        <v/>
      </c>
      <c r="U425" s="28" t="str">
        <f t="shared" si="860"/>
        <v/>
      </c>
      <c r="V425" s="28" t="str">
        <f t="array" ref="V425">IF($I424="","",
IF(
  AND(C425="D",C424&lt;&gt;"D"),
  XLOOKUP($B425,Derived_Variables!$A:$A,Derived_Variables!$N:$N,0)
  + XLOOKUP($B425,Derived_Variables!$A:$A,Derived_Variables!$AE:$AE,0),
  V424+AP424
))</f>
        <v/>
      </c>
      <c r="W425" s="28" t="str">
        <f t="shared" ref="W425:X425" si="861">IF($I424="","",W424+AQ424)</f>
        <v/>
      </c>
      <c r="X425" s="28" t="str">
        <f t="shared" si="861"/>
        <v/>
      </c>
      <c r="Y425" s="28" t="str">
        <f t="array" ref="Y425">IF($I424="","",IF(AND(C425="P",C424&lt;&gt;"P"),IFERROR(XLOOKUP($B425,Lenso_Input!$A:$A,Lenso_Input!$E:$E,0),0),Y424+AS424))</f>
        <v/>
      </c>
      <c r="Z425" s="28" t="str">
        <f t="array" ref="Z425">IF($I424="","",IF(AND(C425="Q",C424&lt;&gt;"Q"),IFERROR(XLOOKUP($B425,Lenso_Input!$A:$A,Lenso_Input!$I:$I,0),0),Z424+AT424))</f>
        <v/>
      </c>
      <c r="AA425" s="28" t="str">
        <f t="array" ref="AA425">IF($I424="","",IF(XLOOKUP($B425,Derived_Variables!$A:$A,Derived_Variables!$R:$R,"6/6_target")="6/6_target","20_20_20","40_30_25"))</f>
        <v/>
      </c>
      <c r="AB425" s="28" t="str">
        <f t="array" ref="AB425">IF($I424="","",XLOOKUP(LOWER(XLOOKUP($B425,Derived_Variables!$A:$A,Derived_Variables!$T:$T,"Standard"))&amp;"_sph_step",Calibration!$B:$B,Calibration!$C:$C,0.25))</f>
        <v/>
      </c>
      <c r="AC425" s="28" t="str">
        <f t="array" ref="AC425">IF($I424="","",XLOOKUP(LOWER(XLOOKUP($B425,Derived_Variables!$A:$A,Derived_Variables!$T:$T,"Standard"))&amp;"_cyl_step",Calibration!$B:$B,Calibration!$C:$C,0.25))</f>
        <v/>
      </c>
      <c r="AD425" s="28" t="str">
        <f t="array" ref="AD425">IF($I424="","",IF(OR(C425="E",C425="H"),LET(startStep,XLOOKUP("axis_start_step",Calibration!$B:$B,Calibration!$C:$C,5),step1,XLOOKUP("axis_reversal_step_1",Calibration!$B:$B,Calibration!$C:$C,3),step2,XLOOKUP("axis_reversal_step_2",Calibration!$B:$B,Calibration!$C:$C,1),IF(OR(C424&lt;&gt;C425,AZ425="",AZ425="SAME",AZ425="CANT_TELL",I425="",I425="SAME",I425="CANT_TELL"),startStep,IF(OR(AND(AZ425="BETTER_1",I425="BETTER_2"),AND(AZ425="BETTER_2",I425="BETTER_1")),IF(AD424&gt;step1,step1,step2),AD424))),0))</f>
        <v/>
      </c>
      <c r="AE425" s="28" t="str">
        <f t="array" ref="AE425">IF($I424="","",XLOOKUP($B425,Derived_Variables!$A:$A,Derived_Variables!$AD:$AD,"No_Fog"))</f>
        <v/>
      </c>
      <c r="AF425" s="28" t="str">
        <f t="array" ref="AF425">IF($I424="","",XLOOKUP($B425,Derived_Variables!$A:$A,Derived_Variables!$AE:$AE,0))</f>
        <v/>
      </c>
      <c r="AG425" s="28" t="str">
        <f t="array" ref="AG425">IF($I424="","",XLOOKUP($B425,Derived_Variables!$A:$A,Derived_Variables!$AF:$AF,""))</f>
        <v/>
      </c>
      <c r="AH425" s="28" t="str">
        <f t="array" ref="AH425">IF($I424="","",XLOOKUP($B425,Derived_Variables!$A:$A,Derived_Variables!$AG:$AG,""))</f>
        <v/>
      </c>
      <c r="AI425" s="28" t="str">
        <f t="array" ref="AI425">IF($I424="","",XLOOKUP($B425,Derived_Variables!$A:$A,Derived_Variables!$AC:$AC,"Medium"))</f>
        <v/>
      </c>
      <c r="AJ425" s="28" t="str">
        <f t="array" ref="AJ425">IF($I424="","",XLOOKUP($B425,Derived_Variables!$A:$A,Derived_Variables!$Y:$Y,FALSE))</f>
        <v/>
      </c>
      <c r="AK425" s="28" t="str">
        <f t="array" ref="AK425">IF($I424="","",XLOOKUP($B425,Derived_Variables!$A:$A,Derived_Variables!$AA:$AA,"Normal"))</f>
        <v/>
      </c>
      <c r="AL425" s="28" t="str">
        <f t="array" ref="AL425">IF($I424="","",XLOOKUP($B425,Derived_Variables!$A:$A,Derived_Variables!$AB:$AB,"Normal"))</f>
        <v/>
      </c>
      <c r="AM425" s="28" t="str">
        <f t="array" ref="AM425">IF($I425="","",IFS(C425="B",IF(OR(I425="NOT_READABLE",I425="BLURRY"),-AB425,0),C425="G",IFS(I425="RED_CLEARER",XLOOKUP("duochrome_red_step",Calibration!$B:$B,Calibration!$C:$C,-0.25),I425="GREEN_CLEARER",XLOOKUP("duochrome_green_step",Calibration!$B:$B,Calibration!$C:$C,0.25),I425="EQUAL",IF(XLOOKUP($B425,Derived_Variables!$A:$A,Derived_Variables!$S:$S,"Neutral")="Undercorrect",XLOOKUP("undercorrect_step",Calibration!$B:$B,Calibration!$C:$C,0.25),IF(XLOOKUP($B425,Derived_Variables!$A:$A,Derived_Variables!$S:$S,"Neutral")="Overcorrect",-XLOOKUP("overcorrect_step",Calibration!$B:$B,Calibration!$C:$C,0.25),0)),TRUE,0),C425="K",IF(I425="TOP_CLEARER",XLOOKUP("bino_balance_step",Calibration!$B:$B,Calibration!$C:$C,0.25),0),TRUE,0))</f>
        <v/>
      </c>
      <c r="AN425" s="28" t="str">
        <f t="shared" si="10"/>
        <v/>
      </c>
      <c r="AO425" s="28" t="str">
        <f t="shared" si="11"/>
        <v/>
      </c>
      <c r="AP425" s="28" t="str">
        <f t="array" ref="AP425">IF($I425="","",IFS(C425="D",IF(OR(I425="NOT_READABLE",I425="BLURRY"),-AB425,0),C425="J",IFS(I425="RED_CLEARER",XLOOKUP("duochrome_red_step",Calibration!$B:$B,Calibration!$C:$C,-0.25),I425="GREEN_CLEARER",XLOOKUP("duochrome_green_step",Calibration!$B:$B,Calibration!$C:$C,0.25),I425="EQUAL",IF(XLOOKUP($B425,Derived_Variables!$A:$A,Derived_Variables!$S:$S,"Neutral")="Undercorrect",XLOOKUP("undercorrect_step",Calibration!$B:$B,Calibration!$C:$C,0.25),IF(XLOOKUP($B425,Derived_Variables!$A:$A,Derived_Variables!$S:$S,"Neutral")="Overcorrect",-XLOOKUP("overcorrect_step",Calibration!$B:$B,Calibration!$C:$C,0.25),0)),TRUE,0),C425="K",IF(I425="BOTTOM_CLEARER",XLOOKUP("bino_balance_step",Calibration!$B:$B,Calibration!$C:$C,0.25),0),TRUE,0))</f>
        <v/>
      </c>
      <c r="AQ425" s="28" t="str">
        <f t="shared" si="12"/>
        <v/>
      </c>
      <c r="AR425" s="28" t="str">
        <f t="shared" si="13"/>
        <v/>
      </c>
      <c r="AS425" s="28" t="str">
        <f t="array" ref="AS425">IF($I425="","",IF(C425="P",IF(OR(I425="NOT_READABLE",I425="BLURRY"),XLOOKUP("near_add_step",Calibration!$B:$B,Calibration!$C:$C,0.25),0),IF(C425="R",IF(I425="NOT_CLEAR",XLOOKUP("near_add_step",Calibration!$B:$B,Calibration!$C:$C,0.25),0),0)))</f>
        <v/>
      </c>
      <c r="AT425" s="28" t="str">
        <f t="array" ref="AT425">IF($I425="","",IF(C425="Q",IF(OR(I425="NOT_READABLE",I425="BLURRY"),XLOOKUP("near_add_step",Calibration!$B:$B,Calibration!$C:$C,0.25),0),IF(C425="R",IF(I425="NOT_CLEAR",XLOOKUP("near_add_step",Calibration!$B:$B,Calibration!$C:$C,0.25),0),0)))</f>
        <v/>
      </c>
      <c r="AU425" s="28" t="str">
        <f t="array" ref="AU425">IF($I425="","",IF(G425="SNELLEN_FEET",IF(I425="READABLE",IFERROR(XLOOKUP(XLOOKUP(R425,Chart_Scale_Distance!B:B,Chart_Scale_Distance!A:A)+1,Chart_Scale_Distance!A:A,Chart_Scale_Distance!B:B),R425),R425),R425))</f>
        <v/>
      </c>
      <c r="AV425" s="28" t="str">
        <f t="array" ref="AV425">IF($I424="","",IFERROR(XLOOKUP(R425,Chart_Scale_Distance!$B:$B,Chart_Scale_Distance!$A:$A,""),""))</f>
        <v/>
      </c>
      <c r="AW425" s="28" t="str">
        <f t="array" ref="AW425">IF($I424="","",IFERROR(XLOOKUP(AA425,Chart_Scale_Distance!$B:$B,Chart_Scale_Distance!$A:$A,""),""))</f>
        <v/>
      </c>
      <c r="AX425" s="28" t="str">
        <f t="shared" si="14"/>
        <v/>
      </c>
      <c r="AY425" s="28" t="str">
        <f t="shared" si="15"/>
        <v/>
      </c>
      <c r="AZ425" s="28" t="str">
        <f t="shared" si="16"/>
        <v/>
      </c>
      <c r="BA425" s="28" t="str">
        <f t="shared" si="17"/>
        <v/>
      </c>
      <c r="BB425" s="28" t="str">
        <f t="shared" si="18"/>
        <v/>
      </c>
      <c r="BC425" s="28" t="str">
        <f t="array" ref="BC425">IF($I425="","",LET(
conf,AI425,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duoMax,XLOOKUP($B425,Derived_Variables!$A:$A,Derived_Variables!$AI:$AI,4),
axisTol,XLOOKUP($B425,Derived_Variables!$A:$A,Derived_Variables!$W:$W,1),
maxStart,XLOOKUP($B425,Derived_Variables!$A:$A,Derived_Variables!$U:$U,1.25),
maxAR,XLOOKUP($B425,Derived_Variables!$A:$A,Derived_Variables!$V:$V,3),
anom,XLOOKUP($B425,Derived_Variables!$A:$A,Derived_Variables!$Z:$Z,FALSE),
reStart,XLOOKUP($B425,Derived_Variables!$A:$A,Derived_Variables!$K:$K,0),
leStart,XLOOKUP($B425,Derived_Variables!$A:$A,Derived_Variables!$N:$N,0),
reAR,XLOOKUP($B425,AR_Input!$A:$A,AR_Input!$B:$B,reStart),
leAR,XLOOKUP($B425,AR_Input!$A:$A,AR_Input!$E:$E,leStart),
reEsc,AND(anom,OR(ABS((S425+AM425)-reStart)&gt;maxStart,ABS((S425+AM425)-reAR)&gt;maxAR)),
leEsc,AND(anom,OR(ABS((V425+AP425)-leStart)&gt;maxStart,ABS((V425+AP425)-leAR)&gt;maxAR)),
phaseMax,IFS(
 AK425="Fast",
   IFS(
     OR(C425="B",C425="D"),XLOOKUP("timeout_coarse_fast",Calibration!$B:$B,Calibration!$C:$C,24),
     OR(C425="E",C425="F",C425="H",C425="I"),XLOOKUP("timeout_jcc_fast",Calibration!$B:$B,Calibration!$C:$C,10),
     OR(C425="G",C425="J"),XLOOKUP("timeout_duochrome_fast",Calibration!$B:$B,Calibration!$C:$C,8),
     C425="K",XLOOKUP("timeout_bino_fast",Calibration!$B:$B,Calibration!$C:$C,10),
     OR(C425="P",C425="Q",C425="R"),XLOOKUP("timeout_near_fast",Calibration!$B:$B,Calibration!$C:$C,16),
     TRUE,XLOOKUP("timeout_coarse_fast",Calibration!$B:$B,Calibration!$C:$C,24)
   ),
 AK425="Normal",
   IFS(
     OR(C425="B",C425="D"),XLOOKUP("timeout_coarse_normal",Calibration!$B:$B,Calibration!$C:$C,36),
     OR(C425="E",C425="F",C425="H",C425="I"),XLOOKUP("timeout_jcc_normal",Calibration!$B:$B,Calibration!$C:$C,14),
     OR(C425="G",C425="J"),XLOOKUP("timeout_duochrome_normal",Calibration!$B:$B,Calibration!$C:$C,10),
     C425="K",XLOOKUP("timeout_bino_normal",Calibration!$B:$B,Calibration!$C:$C,14),
     OR(C425="P",C425="Q",C425="R"),XLOOKUP("timeout_near_normal",Calibration!$B:$B,Calibration!$C:$C,22),
     TRUE,XLOOKUP("timeout_coarse_normal",Calibration!$B:$B,Calibration!$C:$C,36)
   ),
 TRUE,
   IFS(
     OR(C425="B",C425="D"),XLOOKUP("timeout_coarse_slow",Calibration!$B:$B,Calibration!$C:$C,48),
     OR(C425="E",C425="F",C425="H",C425="I"),XLOOKUP("timeout_jcc_slow",Calibration!$B:$B,Calibration!$C:$C,18),
     OR(C425="G",C425="J"),XLOOKUP("timeout_duochrome_slow",Calibration!$B:$B,Calibration!$C:$C,12),
     C425="K",XLOOKUP("timeout_bino_slow",Calibration!$B:$B,Calibration!$C:$C,18),
     OR(C425="P",C425="Q",C425="R"),XLOOKUP("timeout_near_slow",Calibration!$B:$B,Calibration!$C:$C,28),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AJ425=TRUE,"ESCALATE",
C425="A",
IF(OR(I425="NOT_READABLE",I425="BLURRY",AND(R425="20_20_20",I425="READABLE")),"B","A"),
C425="B",
IF(reEsc,"ESCALATE",IF(AY425&gt;=phaseMax,"ESCALATE",IF(AND(AV425&gt;=AW425,I425="READABLE"),"E","B"))),
C425="E",
IF(AY425&gt;=phaseMax,"ESCALATE",IF(OR(I425="SAME",I425="CANT_TELL",AD425&lt;axisTol),"F","E")),
C425="F",
IF(AY425&gt;=phaseMax,"ESCALATE",IF(AX425&gt;=powerSameN,"G","F")),
C425="G",
IF(AY425&gt;=phaseMax,"ESCALATE",IF(OR(AX425&gt;=duoEqualN,BB425&gt;=duoMax),"D","G")),
C425="D",
IF(leEsc,"ESCALATE",IF(AY425&gt;=phaseMax,"ESCALATE",IF(AND(AV425&gt;=AW425,I425="READABLE"),"H","D"))),
C425="H",
IF(AY425&gt;=phaseMax,"ESCALATE",IF(OR(I425="SAME",I425="CANT_TELL",AD425&lt;axisTol),"I","H")),
C425="I",
IF(AY425&gt;=phaseMax,"ESCALATE",IF(AX425&gt;=powerSameN,"J","I")),
C425="J",
IF(AY425&gt;=phaseMax,"ESCALATE",IF(OR(AX425&gt;=duoEqualN,BB425&gt;=duoMax),"K","J")),
C425="K",
IF(AY425&gt;=phaseMax,"ESCALATE",IF(AX425&gt;=binoSameN,IF(XLOOKUP($B425,Derived_Variables!$A:$A,Derived_Variables!$AJ:$AJ,FALSE)=TRUE,"P","END"),"K")),
C425="P",
IF(AY425&gt;=phaseMax,"ESCALATE",IF(OR(I425="READABLE",I425="SAME"),"Q","P")),
C425="Q",
IF(AY425&gt;=phaseMax,"ESCALATE",IF(OR(I425="READABLE",I425="SAME"),"R","Q")),
C425="R",
IF(AY425&gt;=phaseMax,"ESCALATE",IF(OR(I425=nearTarget,I425="SAME"),"END","R")),
TRUE,"END"
)))</f>
        <v/>
      </c>
      <c r="BD425" s="28" t="b">
        <f t="shared" si="19"/>
        <v>0</v>
      </c>
    </row>
    <row r="426" ht="15.75" customHeight="1">
      <c r="A426" s="28">
        <f t="shared" si="3"/>
        <v>425</v>
      </c>
      <c r="B426" s="28">
        <f t="shared" si="4"/>
        <v>6</v>
      </c>
      <c r="C426" s="28" t="str">
        <f t="shared" si="5"/>
        <v/>
      </c>
      <c r="D426" s="28" t="str">
        <f t="array" ref="D426">IF($I425="","",XLOOKUP(C426,FSM_State_Map!A:A,FSM_State_Map!B:B,""))</f>
        <v/>
      </c>
      <c r="E426" s="28" t="str">
        <f t="array" ref="E426">IF($I425="","",XLOOKUP(C426,FSM_State_Map!A:A,FSM_State_Map!C:C,""))</f>
        <v/>
      </c>
      <c r="F426" s="28" t="str">
        <f t="array" ref="F426">IF($I425="","",XLOOKUP(E426,Phase_UI_Map!A:A,Phase_UI_Map!B:B,""))</f>
        <v/>
      </c>
      <c r="G426" s="28" t="str">
        <f t="array" ref="G426">IF($I425="","",XLOOKUP(E426,Phase_UI_Map!A:A,Phase_UI_Map!C:C,""))</f>
        <v/>
      </c>
      <c r="H426" s="28" t="str">
        <f t="array" ref="H426">IF($I425="","",XLOOKUP(E426,Phase_UI_Map!A:A,Phase_UI_Map!D:D,""))</f>
        <v/>
      </c>
      <c r="I426" s="29"/>
      <c r="J426" s="28" t="str">
        <f>IFERROR(__xludf.DUMMYFUNCTION("IF($I425="""","""",IFERROR(INDEX(FILTER(Response_Lists!$B:$B,Response_Lists!$A:$A=$H426),1),""""))"),"")</f>
        <v/>
      </c>
      <c r="K426" s="28" t="str">
        <f>IFERROR(__xludf.DUMMYFUNCTION("IF($I425="""","""",IFERROR(INDEX(FILTER(Response_Lists!$B:$B,Response_Lists!$A:$A=$H426),2),""""))"),"")</f>
        <v/>
      </c>
      <c r="L426" s="28" t="str">
        <f>IFERROR(__xludf.DUMMYFUNCTION("IF($I425="""","""",IFERROR(INDEX(FILTER(Response_Lists!$B:$B,Response_Lists!$A:$A=$H426),3),""""))"),"")</f>
        <v/>
      </c>
      <c r="M426" s="28" t="str">
        <f>IFERROR(__xludf.DUMMYFUNCTION("IF($I425="""","""",IFERROR(INDEX(FILTER(Response_Lists!$B:$B,Response_Lists!$A:$A=$H426),4),""""))"),"")</f>
        <v/>
      </c>
      <c r="N426" s="28" t="str">
        <f>IFERROR(__xludf.DUMMYFUNCTION("IF($I425="""","""",IFERROR(INDEX(FILTER(Response_Lists!$B:$B,Response_Lists!$A:$A=$H426),5),""""))"),"")</f>
        <v/>
      </c>
      <c r="O426" s="28" t="str">
        <f>IFERROR(__xludf.DUMMYFUNCTION("IF($I425="""","""",IFERROR(INDEX(FILTER(Response_Lists!$B:$B,Response_Lists!$A:$A=$H426),6),""""))"),"")</f>
        <v/>
      </c>
      <c r="P426" s="28" t="str">
        <f t="shared" si="6"/>
        <v/>
      </c>
      <c r="Q426" s="28" t="str">
        <f t="array" ref="Q426">IF($I425="","",XLOOKUP(C426,FSM_State_Map!A:A,FSM_State_Map!D:D,""))</f>
        <v/>
      </c>
      <c r="R426" s="28" t="str">
        <f t="shared" si="7"/>
        <v/>
      </c>
      <c r="S426" s="28" t="str">
        <f t="array" ref="S426">IF($I425="","",
IF(
  AND(C426="B",C425&lt;&gt;"B"),
  XLOOKUP($B426,Derived_Variables!$A:$A,Derived_Variables!$K:$K,0)
  + XLOOKUP($B426,Derived_Variables!$A:$A,Derived_Variables!$AE:$AE,0),
  S425+AM425
))</f>
        <v/>
      </c>
      <c r="T426" s="28" t="str">
        <f t="shared" ref="T426:U426" si="862">IF($I425="","",T425+AN425)</f>
        <v/>
      </c>
      <c r="U426" s="28" t="str">
        <f t="shared" si="862"/>
        <v/>
      </c>
      <c r="V426" s="28" t="str">
        <f t="array" ref="V426">IF($I425="","",
IF(
  AND(C426="D",C425&lt;&gt;"D"),
  XLOOKUP($B426,Derived_Variables!$A:$A,Derived_Variables!$N:$N,0)
  + XLOOKUP($B426,Derived_Variables!$A:$A,Derived_Variables!$AE:$AE,0),
  V425+AP425
))</f>
        <v/>
      </c>
      <c r="W426" s="28" t="str">
        <f t="shared" ref="W426:X426" si="863">IF($I425="","",W425+AQ425)</f>
        <v/>
      </c>
      <c r="X426" s="28" t="str">
        <f t="shared" si="863"/>
        <v/>
      </c>
      <c r="Y426" s="28" t="str">
        <f t="array" ref="Y426">IF($I425="","",IF(AND(C426="P",C425&lt;&gt;"P"),IFERROR(XLOOKUP($B426,Lenso_Input!$A:$A,Lenso_Input!$E:$E,0),0),Y425+AS425))</f>
        <v/>
      </c>
      <c r="Z426" s="28" t="str">
        <f t="array" ref="Z426">IF($I425="","",IF(AND(C426="Q",C425&lt;&gt;"Q"),IFERROR(XLOOKUP($B426,Lenso_Input!$A:$A,Lenso_Input!$I:$I,0),0),Z425+AT425))</f>
        <v/>
      </c>
      <c r="AA426" s="28" t="str">
        <f t="array" ref="AA426">IF($I425="","",IF(XLOOKUP($B426,Derived_Variables!$A:$A,Derived_Variables!$R:$R,"6/6_target")="6/6_target","20_20_20","40_30_25"))</f>
        <v/>
      </c>
      <c r="AB426" s="28" t="str">
        <f t="array" ref="AB426">IF($I425="","",XLOOKUP(LOWER(XLOOKUP($B426,Derived_Variables!$A:$A,Derived_Variables!$T:$T,"Standard"))&amp;"_sph_step",Calibration!$B:$B,Calibration!$C:$C,0.25))</f>
        <v/>
      </c>
      <c r="AC426" s="28" t="str">
        <f t="array" ref="AC426">IF($I425="","",XLOOKUP(LOWER(XLOOKUP($B426,Derived_Variables!$A:$A,Derived_Variables!$T:$T,"Standard"))&amp;"_cyl_step",Calibration!$B:$B,Calibration!$C:$C,0.25))</f>
        <v/>
      </c>
      <c r="AD426" s="28" t="str">
        <f t="array" ref="AD426">IF($I425="","",IF(OR(C426="E",C426="H"),LET(startStep,XLOOKUP("axis_start_step",Calibration!$B:$B,Calibration!$C:$C,5),step1,XLOOKUP("axis_reversal_step_1",Calibration!$B:$B,Calibration!$C:$C,3),step2,XLOOKUP("axis_reversal_step_2",Calibration!$B:$B,Calibration!$C:$C,1),IF(OR(C425&lt;&gt;C426,AZ426="",AZ426="SAME",AZ426="CANT_TELL",I426="",I426="SAME",I426="CANT_TELL"),startStep,IF(OR(AND(AZ426="BETTER_1",I426="BETTER_2"),AND(AZ426="BETTER_2",I426="BETTER_1")),IF(AD425&gt;step1,step1,step2),AD425))),0))</f>
        <v/>
      </c>
      <c r="AE426" s="28" t="str">
        <f t="array" ref="AE426">IF($I425="","",XLOOKUP($B426,Derived_Variables!$A:$A,Derived_Variables!$AD:$AD,"No_Fog"))</f>
        <v/>
      </c>
      <c r="AF426" s="28" t="str">
        <f t="array" ref="AF426">IF($I425="","",XLOOKUP($B426,Derived_Variables!$A:$A,Derived_Variables!$AE:$AE,0))</f>
        <v/>
      </c>
      <c r="AG426" s="28" t="str">
        <f t="array" ref="AG426">IF($I425="","",XLOOKUP($B426,Derived_Variables!$A:$A,Derived_Variables!$AF:$AF,""))</f>
        <v/>
      </c>
      <c r="AH426" s="28" t="str">
        <f t="array" ref="AH426">IF($I425="","",XLOOKUP($B426,Derived_Variables!$A:$A,Derived_Variables!$AG:$AG,""))</f>
        <v/>
      </c>
      <c r="AI426" s="28" t="str">
        <f t="array" ref="AI426">IF($I425="","",XLOOKUP($B426,Derived_Variables!$A:$A,Derived_Variables!$AC:$AC,"Medium"))</f>
        <v/>
      </c>
      <c r="AJ426" s="28" t="str">
        <f t="array" ref="AJ426">IF($I425="","",XLOOKUP($B426,Derived_Variables!$A:$A,Derived_Variables!$Y:$Y,FALSE))</f>
        <v/>
      </c>
      <c r="AK426" s="28" t="str">
        <f t="array" ref="AK426">IF($I425="","",XLOOKUP($B426,Derived_Variables!$A:$A,Derived_Variables!$AA:$AA,"Normal"))</f>
        <v/>
      </c>
      <c r="AL426" s="28" t="str">
        <f t="array" ref="AL426">IF($I425="","",XLOOKUP($B426,Derived_Variables!$A:$A,Derived_Variables!$AB:$AB,"Normal"))</f>
        <v/>
      </c>
      <c r="AM426" s="28" t="str">
        <f t="array" ref="AM426">IF($I426="","",IFS(C426="B",IF(OR(I426="NOT_READABLE",I426="BLURRY"),-AB426,0),C426="G",IFS(I426="RED_CLEARER",XLOOKUP("duochrome_red_step",Calibration!$B:$B,Calibration!$C:$C,-0.25),I426="GREEN_CLEARER",XLOOKUP("duochrome_green_step",Calibration!$B:$B,Calibration!$C:$C,0.25),I426="EQUAL",IF(XLOOKUP($B426,Derived_Variables!$A:$A,Derived_Variables!$S:$S,"Neutral")="Undercorrect",XLOOKUP("undercorrect_step",Calibration!$B:$B,Calibration!$C:$C,0.25),IF(XLOOKUP($B426,Derived_Variables!$A:$A,Derived_Variables!$S:$S,"Neutral")="Overcorrect",-XLOOKUP("overcorrect_step",Calibration!$B:$B,Calibration!$C:$C,0.25),0)),TRUE,0),C426="K",IF(I426="TOP_CLEARER",XLOOKUP("bino_balance_step",Calibration!$B:$B,Calibration!$C:$C,0.25),0),TRUE,0))</f>
        <v/>
      </c>
      <c r="AN426" s="28" t="str">
        <f t="shared" si="10"/>
        <v/>
      </c>
      <c r="AO426" s="28" t="str">
        <f t="shared" si="11"/>
        <v/>
      </c>
      <c r="AP426" s="28" t="str">
        <f t="array" ref="AP426">IF($I426="","",IFS(C426="D",IF(OR(I426="NOT_READABLE",I426="BLURRY"),-AB426,0),C426="J",IFS(I426="RED_CLEARER",XLOOKUP("duochrome_red_step",Calibration!$B:$B,Calibration!$C:$C,-0.25),I426="GREEN_CLEARER",XLOOKUP("duochrome_green_step",Calibration!$B:$B,Calibration!$C:$C,0.25),I426="EQUAL",IF(XLOOKUP($B426,Derived_Variables!$A:$A,Derived_Variables!$S:$S,"Neutral")="Undercorrect",XLOOKUP("undercorrect_step",Calibration!$B:$B,Calibration!$C:$C,0.25),IF(XLOOKUP($B426,Derived_Variables!$A:$A,Derived_Variables!$S:$S,"Neutral")="Overcorrect",-XLOOKUP("overcorrect_step",Calibration!$B:$B,Calibration!$C:$C,0.25),0)),TRUE,0),C426="K",IF(I426="BOTTOM_CLEARER",XLOOKUP("bino_balance_step",Calibration!$B:$B,Calibration!$C:$C,0.25),0),TRUE,0))</f>
        <v/>
      </c>
      <c r="AQ426" s="28" t="str">
        <f t="shared" si="12"/>
        <v/>
      </c>
      <c r="AR426" s="28" t="str">
        <f t="shared" si="13"/>
        <v/>
      </c>
      <c r="AS426" s="28" t="str">
        <f t="array" ref="AS426">IF($I426="","",IF(C426="P",IF(OR(I426="NOT_READABLE",I426="BLURRY"),XLOOKUP("near_add_step",Calibration!$B:$B,Calibration!$C:$C,0.25),0),IF(C426="R",IF(I426="NOT_CLEAR",XLOOKUP("near_add_step",Calibration!$B:$B,Calibration!$C:$C,0.25),0),0)))</f>
        <v/>
      </c>
      <c r="AT426" s="28" t="str">
        <f t="array" ref="AT426">IF($I426="","",IF(C426="Q",IF(OR(I426="NOT_READABLE",I426="BLURRY"),XLOOKUP("near_add_step",Calibration!$B:$B,Calibration!$C:$C,0.25),0),IF(C426="R",IF(I426="NOT_CLEAR",XLOOKUP("near_add_step",Calibration!$B:$B,Calibration!$C:$C,0.25),0),0)))</f>
        <v/>
      </c>
      <c r="AU426" s="28" t="str">
        <f t="array" ref="AU426">IF($I426="","",IF(G426="SNELLEN_FEET",IF(I426="READABLE",IFERROR(XLOOKUP(XLOOKUP(R426,Chart_Scale_Distance!B:B,Chart_Scale_Distance!A:A)+1,Chart_Scale_Distance!A:A,Chart_Scale_Distance!B:B),R426),R426),R426))</f>
        <v/>
      </c>
      <c r="AV426" s="28" t="str">
        <f t="array" ref="AV426">IF($I425="","",IFERROR(XLOOKUP(R426,Chart_Scale_Distance!$B:$B,Chart_Scale_Distance!$A:$A,""),""))</f>
        <v/>
      </c>
      <c r="AW426" s="28" t="str">
        <f t="array" ref="AW426">IF($I425="","",IFERROR(XLOOKUP(AA426,Chart_Scale_Distance!$B:$B,Chart_Scale_Distance!$A:$A,""),""))</f>
        <v/>
      </c>
      <c r="AX426" s="28" t="str">
        <f t="shared" si="14"/>
        <v/>
      </c>
      <c r="AY426" s="28" t="str">
        <f t="shared" si="15"/>
        <v/>
      </c>
      <c r="AZ426" s="28" t="str">
        <f t="shared" si="16"/>
        <v/>
      </c>
      <c r="BA426" s="28" t="str">
        <f t="shared" si="17"/>
        <v/>
      </c>
      <c r="BB426" s="28" t="str">
        <f t="shared" si="18"/>
        <v/>
      </c>
      <c r="BC426" s="28" t="str">
        <f t="array" ref="BC426">IF($I426="","",LET(
conf,AI426,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duoMax,XLOOKUP($B426,Derived_Variables!$A:$A,Derived_Variables!$AI:$AI,4),
axisTol,XLOOKUP($B426,Derived_Variables!$A:$A,Derived_Variables!$W:$W,1),
maxStart,XLOOKUP($B426,Derived_Variables!$A:$A,Derived_Variables!$U:$U,1.25),
maxAR,XLOOKUP($B426,Derived_Variables!$A:$A,Derived_Variables!$V:$V,3),
anom,XLOOKUP($B426,Derived_Variables!$A:$A,Derived_Variables!$Z:$Z,FALSE),
reStart,XLOOKUP($B426,Derived_Variables!$A:$A,Derived_Variables!$K:$K,0),
leStart,XLOOKUP($B426,Derived_Variables!$A:$A,Derived_Variables!$N:$N,0),
reAR,XLOOKUP($B426,AR_Input!$A:$A,AR_Input!$B:$B,reStart),
leAR,XLOOKUP($B426,AR_Input!$A:$A,AR_Input!$E:$E,leStart),
reEsc,AND(anom,OR(ABS((S426+AM426)-reStart)&gt;maxStart,ABS((S426+AM426)-reAR)&gt;maxAR)),
leEsc,AND(anom,OR(ABS((V426+AP426)-leStart)&gt;maxStart,ABS((V426+AP426)-leAR)&gt;maxAR)),
phaseMax,IFS(
 AK426="Fast",
   IFS(
     OR(C426="B",C426="D"),XLOOKUP("timeout_coarse_fast",Calibration!$B:$B,Calibration!$C:$C,24),
     OR(C426="E",C426="F",C426="H",C426="I"),XLOOKUP("timeout_jcc_fast",Calibration!$B:$B,Calibration!$C:$C,10),
     OR(C426="G",C426="J"),XLOOKUP("timeout_duochrome_fast",Calibration!$B:$B,Calibration!$C:$C,8),
     C426="K",XLOOKUP("timeout_bino_fast",Calibration!$B:$B,Calibration!$C:$C,10),
     OR(C426="P",C426="Q",C426="R"),XLOOKUP("timeout_near_fast",Calibration!$B:$B,Calibration!$C:$C,16),
     TRUE,XLOOKUP("timeout_coarse_fast",Calibration!$B:$B,Calibration!$C:$C,24)
   ),
 AK426="Normal",
   IFS(
     OR(C426="B",C426="D"),XLOOKUP("timeout_coarse_normal",Calibration!$B:$B,Calibration!$C:$C,36),
     OR(C426="E",C426="F",C426="H",C426="I"),XLOOKUP("timeout_jcc_normal",Calibration!$B:$B,Calibration!$C:$C,14),
     OR(C426="G",C426="J"),XLOOKUP("timeout_duochrome_normal",Calibration!$B:$B,Calibration!$C:$C,10),
     C426="K",XLOOKUP("timeout_bino_normal",Calibration!$B:$B,Calibration!$C:$C,14),
     OR(C426="P",C426="Q",C426="R"),XLOOKUP("timeout_near_normal",Calibration!$B:$B,Calibration!$C:$C,22),
     TRUE,XLOOKUP("timeout_coarse_normal",Calibration!$B:$B,Calibration!$C:$C,36)
   ),
 TRUE,
   IFS(
     OR(C426="B",C426="D"),XLOOKUP("timeout_coarse_slow",Calibration!$B:$B,Calibration!$C:$C,48),
     OR(C426="E",C426="F",C426="H",C426="I"),XLOOKUP("timeout_jcc_slow",Calibration!$B:$B,Calibration!$C:$C,18),
     OR(C426="G",C426="J"),XLOOKUP("timeout_duochrome_slow",Calibration!$B:$B,Calibration!$C:$C,12),
     C426="K",XLOOKUP("timeout_bino_slow",Calibration!$B:$B,Calibration!$C:$C,18),
     OR(C426="P",C426="Q",C426="R"),XLOOKUP("timeout_near_slow",Calibration!$B:$B,Calibration!$C:$C,28),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AJ426=TRUE,"ESCALATE",
C426="A",
IF(OR(I426="NOT_READABLE",I426="BLURRY",AND(R426="20_20_20",I426="READABLE")),"B","A"),
C426="B",
IF(reEsc,"ESCALATE",IF(AY426&gt;=phaseMax,"ESCALATE",IF(AND(AV426&gt;=AW426,I426="READABLE"),"E","B"))),
C426="E",
IF(AY426&gt;=phaseMax,"ESCALATE",IF(OR(I426="SAME",I426="CANT_TELL",AD426&lt;axisTol),"F","E")),
C426="F",
IF(AY426&gt;=phaseMax,"ESCALATE",IF(AX426&gt;=powerSameN,"G","F")),
C426="G",
IF(AY426&gt;=phaseMax,"ESCALATE",IF(OR(AX426&gt;=duoEqualN,BB426&gt;=duoMax),"D","G")),
C426="D",
IF(leEsc,"ESCALATE",IF(AY426&gt;=phaseMax,"ESCALATE",IF(AND(AV426&gt;=AW426,I426="READABLE"),"H","D"))),
C426="H",
IF(AY426&gt;=phaseMax,"ESCALATE",IF(OR(I426="SAME",I426="CANT_TELL",AD426&lt;axisTol),"I","H")),
C426="I",
IF(AY426&gt;=phaseMax,"ESCALATE",IF(AX426&gt;=powerSameN,"J","I")),
C426="J",
IF(AY426&gt;=phaseMax,"ESCALATE",IF(OR(AX426&gt;=duoEqualN,BB426&gt;=duoMax),"K","J")),
C426="K",
IF(AY426&gt;=phaseMax,"ESCALATE",IF(AX426&gt;=binoSameN,IF(XLOOKUP($B426,Derived_Variables!$A:$A,Derived_Variables!$AJ:$AJ,FALSE)=TRUE,"P","END"),"K")),
C426="P",
IF(AY426&gt;=phaseMax,"ESCALATE",IF(OR(I426="READABLE",I426="SAME"),"Q","P")),
C426="Q",
IF(AY426&gt;=phaseMax,"ESCALATE",IF(OR(I426="READABLE",I426="SAME"),"R","Q")),
C426="R",
IF(AY426&gt;=phaseMax,"ESCALATE",IF(OR(I426=nearTarget,I426="SAME"),"END","R")),
TRUE,"END"
)))</f>
        <v/>
      </c>
      <c r="BD426" s="28" t="b">
        <f t="shared" si="19"/>
        <v>0</v>
      </c>
    </row>
    <row r="427" ht="15.75" customHeight="1">
      <c r="A427" s="28">
        <f t="shared" si="3"/>
        <v>426</v>
      </c>
      <c r="B427" s="28">
        <f t="shared" si="4"/>
        <v>6</v>
      </c>
      <c r="C427" s="28" t="str">
        <f t="shared" si="5"/>
        <v/>
      </c>
      <c r="D427" s="28" t="str">
        <f t="array" ref="D427">IF($I426="","",XLOOKUP(C427,FSM_State_Map!A:A,FSM_State_Map!B:B,""))</f>
        <v/>
      </c>
      <c r="E427" s="28" t="str">
        <f t="array" ref="E427">IF($I426="","",XLOOKUP(C427,FSM_State_Map!A:A,FSM_State_Map!C:C,""))</f>
        <v/>
      </c>
      <c r="F427" s="28" t="str">
        <f t="array" ref="F427">IF($I426="","",XLOOKUP(E427,Phase_UI_Map!A:A,Phase_UI_Map!B:B,""))</f>
        <v/>
      </c>
      <c r="G427" s="28" t="str">
        <f t="array" ref="G427">IF($I426="","",XLOOKUP(E427,Phase_UI_Map!A:A,Phase_UI_Map!C:C,""))</f>
        <v/>
      </c>
      <c r="H427" s="28" t="str">
        <f t="array" ref="H427">IF($I426="","",XLOOKUP(E427,Phase_UI_Map!A:A,Phase_UI_Map!D:D,""))</f>
        <v/>
      </c>
      <c r="I427" s="29"/>
      <c r="J427" s="28" t="str">
        <f>IFERROR(__xludf.DUMMYFUNCTION("IF($I426="""","""",IFERROR(INDEX(FILTER(Response_Lists!$B:$B,Response_Lists!$A:$A=$H427),1),""""))"),"")</f>
        <v/>
      </c>
      <c r="K427" s="28" t="str">
        <f>IFERROR(__xludf.DUMMYFUNCTION("IF($I426="""","""",IFERROR(INDEX(FILTER(Response_Lists!$B:$B,Response_Lists!$A:$A=$H427),2),""""))"),"")</f>
        <v/>
      </c>
      <c r="L427" s="28" t="str">
        <f>IFERROR(__xludf.DUMMYFUNCTION("IF($I426="""","""",IFERROR(INDEX(FILTER(Response_Lists!$B:$B,Response_Lists!$A:$A=$H427),3),""""))"),"")</f>
        <v/>
      </c>
      <c r="M427" s="28" t="str">
        <f>IFERROR(__xludf.DUMMYFUNCTION("IF($I426="""","""",IFERROR(INDEX(FILTER(Response_Lists!$B:$B,Response_Lists!$A:$A=$H427),4),""""))"),"")</f>
        <v/>
      </c>
      <c r="N427" s="28" t="str">
        <f>IFERROR(__xludf.DUMMYFUNCTION("IF($I426="""","""",IFERROR(INDEX(FILTER(Response_Lists!$B:$B,Response_Lists!$A:$A=$H427),5),""""))"),"")</f>
        <v/>
      </c>
      <c r="O427" s="28" t="str">
        <f>IFERROR(__xludf.DUMMYFUNCTION("IF($I426="""","""",IFERROR(INDEX(FILTER(Response_Lists!$B:$B,Response_Lists!$A:$A=$H427),6),""""))"),"")</f>
        <v/>
      </c>
      <c r="P427" s="28" t="str">
        <f t="shared" si="6"/>
        <v/>
      </c>
      <c r="Q427" s="28" t="str">
        <f t="array" ref="Q427">IF($I426="","",XLOOKUP(C427,FSM_State_Map!A:A,FSM_State_Map!D:D,""))</f>
        <v/>
      </c>
      <c r="R427" s="28" t="str">
        <f t="shared" si="7"/>
        <v/>
      </c>
      <c r="S427" s="28" t="str">
        <f t="array" ref="S427">IF($I426="","",
IF(
  AND(C427="B",C426&lt;&gt;"B"),
  XLOOKUP($B427,Derived_Variables!$A:$A,Derived_Variables!$K:$K,0)
  + XLOOKUP($B427,Derived_Variables!$A:$A,Derived_Variables!$AE:$AE,0),
  S426+AM426
))</f>
        <v/>
      </c>
      <c r="T427" s="28" t="str">
        <f t="shared" ref="T427:U427" si="864">IF($I426="","",T426+AN426)</f>
        <v/>
      </c>
      <c r="U427" s="28" t="str">
        <f t="shared" si="864"/>
        <v/>
      </c>
      <c r="V427" s="28" t="str">
        <f t="array" ref="V427">IF($I426="","",
IF(
  AND(C427="D",C426&lt;&gt;"D"),
  XLOOKUP($B427,Derived_Variables!$A:$A,Derived_Variables!$N:$N,0)
  + XLOOKUP($B427,Derived_Variables!$A:$A,Derived_Variables!$AE:$AE,0),
  V426+AP426
))</f>
        <v/>
      </c>
      <c r="W427" s="28" t="str">
        <f t="shared" ref="W427:X427" si="865">IF($I426="","",W426+AQ426)</f>
        <v/>
      </c>
      <c r="X427" s="28" t="str">
        <f t="shared" si="865"/>
        <v/>
      </c>
      <c r="Y427" s="28" t="str">
        <f t="array" ref="Y427">IF($I426="","",IF(AND(C427="P",C426&lt;&gt;"P"),IFERROR(XLOOKUP($B427,Lenso_Input!$A:$A,Lenso_Input!$E:$E,0),0),Y426+AS426))</f>
        <v/>
      </c>
      <c r="Z427" s="28" t="str">
        <f t="array" ref="Z427">IF($I426="","",IF(AND(C427="Q",C426&lt;&gt;"Q"),IFERROR(XLOOKUP($B427,Lenso_Input!$A:$A,Lenso_Input!$I:$I,0),0),Z426+AT426))</f>
        <v/>
      </c>
      <c r="AA427" s="28" t="str">
        <f t="array" ref="AA427">IF($I426="","",IF(XLOOKUP($B427,Derived_Variables!$A:$A,Derived_Variables!$R:$R,"6/6_target")="6/6_target","20_20_20","40_30_25"))</f>
        <v/>
      </c>
      <c r="AB427" s="28" t="str">
        <f t="array" ref="AB427">IF($I426="","",XLOOKUP(LOWER(XLOOKUP($B427,Derived_Variables!$A:$A,Derived_Variables!$T:$T,"Standard"))&amp;"_sph_step",Calibration!$B:$B,Calibration!$C:$C,0.25))</f>
        <v/>
      </c>
      <c r="AC427" s="28" t="str">
        <f t="array" ref="AC427">IF($I426="","",XLOOKUP(LOWER(XLOOKUP($B427,Derived_Variables!$A:$A,Derived_Variables!$T:$T,"Standard"))&amp;"_cyl_step",Calibration!$B:$B,Calibration!$C:$C,0.25))</f>
        <v/>
      </c>
      <c r="AD427" s="28" t="str">
        <f t="array" ref="AD427">IF($I426="","",IF(OR(C427="E",C427="H"),LET(startStep,XLOOKUP("axis_start_step",Calibration!$B:$B,Calibration!$C:$C,5),step1,XLOOKUP("axis_reversal_step_1",Calibration!$B:$B,Calibration!$C:$C,3),step2,XLOOKUP("axis_reversal_step_2",Calibration!$B:$B,Calibration!$C:$C,1),IF(OR(C426&lt;&gt;C427,AZ427="",AZ427="SAME",AZ427="CANT_TELL",I427="",I427="SAME",I427="CANT_TELL"),startStep,IF(OR(AND(AZ427="BETTER_1",I427="BETTER_2"),AND(AZ427="BETTER_2",I427="BETTER_1")),IF(AD426&gt;step1,step1,step2),AD426))),0))</f>
        <v/>
      </c>
      <c r="AE427" s="28" t="str">
        <f t="array" ref="AE427">IF($I426="","",XLOOKUP($B427,Derived_Variables!$A:$A,Derived_Variables!$AD:$AD,"No_Fog"))</f>
        <v/>
      </c>
      <c r="AF427" s="28" t="str">
        <f t="array" ref="AF427">IF($I426="","",XLOOKUP($B427,Derived_Variables!$A:$A,Derived_Variables!$AE:$AE,0))</f>
        <v/>
      </c>
      <c r="AG427" s="28" t="str">
        <f t="array" ref="AG427">IF($I426="","",XLOOKUP($B427,Derived_Variables!$A:$A,Derived_Variables!$AF:$AF,""))</f>
        <v/>
      </c>
      <c r="AH427" s="28" t="str">
        <f t="array" ref="AH427">IF($I426="","",XLOOKUP($B427,Derived_Variables!$A:$A,Derived_Variables!$AG:$AG,""))</f>
        <v/>
      </c>
      <c r="AI427" s="28" t="str">
        <f t="array" ref="AI427">IF($I426="","",XLOOKUP($B427,Derived_Variables!$A:$A,Derived_Variables!$AC:$AC,"Medium"))</f>
        <v/>
      </c>
      <c r="AJ427" s="28" t="str">
        <f t="array" ref="AJ427">IF($I426="","",XLOOKUP($B427,Derived_Variables!$A:$A,Derived_Variables!$Y:$Y,FALSE))</f>
        <v/>
      </c>
      <c r="AK427" s="28" t="str">
        <f t="array" ref="AK427">IF($I426="","",XLOOKUP($B427,Derived_Variables!$A:$A,Derived_Variables!$AA:$AA,"Normal"))</f>
        <v/>
      </c>
      <c r="AL427" s="28" t="str">
        <f t="array" ref="AL427">IF($I426="","",XLOOKUP($B427,Derived_Variables!$A:$A,Derived_Variables!$AB:$AB,"Normal"))</f>
        <v/>
      </c>
      <c r="AM427" s="28" t="str">
        <f t="array" ref="AM427">IF($I427="","",IFS(C427="B",IF(OR(I427="NOT_READABLE",I427="BLURRY"),-AB427,0),C427="G",IFS(I427="RED_CLEARER",XLOOKUP("duochrome_red_step",Calibration!$B:$B,Calibration!$C:$C,-0.25),I427="GREEN_CLEARER",XLOOKUP("duochrome_green_step",Calibration!$B:$B,Calibration!$C:$C,0.25),I427="EQUAL",IF(XLOOKUP($B427,Derived_Variables!$A:$A,Derived_Variables!$S:$S,"Neutral")="Undercorrect",XLOOKUP("undercorrect_step",Calibration!$B:$B,Calibration!$C:$C,0.25),IF(XLOOKUP($B427,Derived_Variables!$A:$A,Derived_Variables!$S:$S,"Neutral")="Overcorrect",-XLOOKUP("overcorrect_step",Calibration!$B:$B,Calibration!$C:$C,0.25),0)),TRUE,0),C427="K",IF(I427="TOP_CLEARER",XLOOKUP("bino_balance_step",Calibration!$B:$B,Calibration!$C:$C,0.25),0),TRUE,0))</f>
        <v/>
      </c>
      <c r="AN427" s="28" t="str">
        <f t="shared" si="10"/>
        <v/>
      </c>
      <c r="AO427" s="28" t="str">
        <f t="shared" si="11"/>
        <v/>
      </c>
      <c r="AP427" s="28" t="str">
        <f t="array" ref="AP427">IF($I427="","",IFS(C427="D",IF(OR(I427="NOT_READABLE",I427="BLURRY"),-AB427,0),C427="J",IFS(I427="RED_CLEARER",XLOOKUP("duochrome_red_step",Calibration!$B:$B,Calibration!$C:$C,-0.25),I427="GREEN_CLEARER",XLOOKUP("duochrome_green_step",Calibration!$B:$B,Calibration!$C:$C,0.25),I427="EQUAL",IF(XLOOKUP($B427,Derived_Variables!$A:$A,Derived_Variables!$S:$S,"Neutral")="Undercorrect",XLOOKUP("undercorrect_step",Calibration!$B:$B,Calibration!$C:$C,0.25),IF(XLOOKUP($B427,Derived_Variables!$A:$A,Derived_Variables!$S:$S,"Neutral")="Overcorrect",-XLOOKUP("overcorrect_step",Calibration!$B:$B,Calibration!$C:$C,0.25),0)),TRUE,0),C427="K",IF(I427="BOTTOM_CLEARER",XLOOKUP("bino_balance_step",Calibration!$B:$B,Calibration!$C:$C,0.25),0),TRUE,0))</f>
        <v/>
      </c>
      <c r="AQ427" s="28" t="str">
        <f t="shared" si="12"/>
        <v/>
      </c>
      <c r="AR427" s="28" t="str">
        <f t="shared" si="13"/>
        <v/>
      </c>
      <c r="AS427" s="28" t="str">
        <f t="array" ref="AS427">IF($I427="","",IF(C427="P",IF(OR(I427="NOT_READABLE",I427="BLURRY"),XLOOKUP("near_add_step",Calibration!$B:$B,Calibration!$C:$C,0.25),0),IF(C427="R",IF(I427="NOT_CLEAR",XLOOKUP("near_add_step",Calibration!$B:$B,Calibration!$C:$C,0.25),0),0)))</f>
        <v/>
      </c>
      <c r="AT427" s="28" t="str">
        <f t="array" ref="AT427">IF($I427="","",IF(C427="Q",IF(OR(I427="NOT_READABLE",I427="BLURRY"),XLOOKUP("near_add_step",Calibration!$B:$B,Calibration!$C:$C,0.25),0),IF(C427="R",IF(I427="NOT_CLEAR",XLOOKUP("near_add_step",Calibration!$B:$B,Calibration!$C:$C,0.25),0),0)))</f>
        <v/>
      </c>
      <c r="AU427" s="28" t="str">
        <f t="array" ref="AU427">IF($I427="","",IF(G427="SNELLEN_FEET",IF(I427="READABLE",IFERROR(XLOOKUP(XLOOKUP(R427,Chart_Scale_Distance!B:B,Chart_Scale_Distance!A:A)+1,Chart_Scale_Distance!A:A,Chart_Scale_Distance!B:B),R427),R427),R427))</f>
        <v/>
      </c>
      <c r="AV427" s="28" t="str">
        <f t="array" ref="AV427">IF($I426="","",IFERROR(XLOOKUP(R427,Chart_Scale_Distance!$B:$B,Chart_Scale_Distance!$A:$A,""),""))</f>
        <v/>
      </c>
      <c r="AW427" s="28" t="str">
        <f t="array" ref="AW427">IF($I426="","",IFERROR(XLOOKUP(AA427,Chart_Scale_Distance!$B:$B,Chart_Scale_Distance!$A:$A,""),""))</f>
        <v/>
      </c>
      <c r="AX427" s="28" t="str">
        <f t="shared" si="14"/>
        <v/>
      </c>
      <c r="AY427" s="28" t="str">
        <f t="shared" si="15"/>
        <v/>
      </c>
      <c r="AZ427" s="28" t="str">
        <f t="shared" si="16"/>
        <v/>
      </c>
      <c r="BA427" s="28" t="str">
        <f t="shared" si="17"/>
        <v/>
      </c>
      <c r="BB427" s="28" t="str">
        <f t="shared" si="18"/>
        <v/>
      </c>
      <c r="BC427" s="28" t="str">
        <f t="array" ref="BC427">IF($I427="","",LET(
conf,AI427,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duoMax,XLOOKUP($B427,Derived_Variables!$A:$A,Derived_Variables!$AI:$AI,4),
axisTol,XLOOKUP($B427,Derived_Variables!$A:$A,Derived_Variables!$W:$W,1),
maxStart,XLOOKUP($B427,Derived_Variables!$A:$A,Derived_Variables!$U:$U,1.25),
maxAR,XLOOKUP($B427,Derived_Variables!$A:$A,Derived_Variables!$V:$V,3),
anom,XLOOKUP($B427,Derived_Variables!$A:$A,Derived_Variables!$Z:$Z,FALSE),
reStart,XLOOKUP($B427,Derived_Variables!$A:$A,Derived_Variables!$K:$K,0),
leStart,XLOOKUP($B427,Derived_Variables!$A:$A,Derived_Variables!$N:$N,0),
reAR,XLOOKUP($B427,AR_Input!$A:$A,AR_Input!$B:$B,reStart),
leAR,XLOOKUP($B427,AR_Input!$A:$A,AR_Input!$E:$E,leStart),
reEsc,AND(anom,OR(ABS((S427+AM427)-reStart)&gt;maxStart,ABS((S427+AM427)-reAR)&gt;maxAR)),
leEsc,AND(anom,OR(ABS((V427+AP427)-leStart)&gt;maxStart,ABS((V427+AP427)-leAR)&gt;maxAR)),
phaseMax,IFS(
 AK427="Fast",
   IFS(
     OR(C427="B",C427="D"),XLOOKUP("timeout_coarse_fast",Calibration!$B:$B,Calibration!$C:$C,24),
     OR(C427="E",C427="F",C427="H",C427="I"),XLOOKUP("timeout_jcc_fast",Calibration!$B:$B,Calibration!$C:$C,10),
     OR(C427="G",C427="J"),XLOOKUP("timeout_duochrome_fast",Calibration!$B:$B,Calibration!$C:$C,8),
     C427="K",XLOOKUP("timeout_bino_fast",Calibration!$B:$B,Calibration!$C:$C,10),
     OR(C427="P",C427="Q",C427="R"),XLOOKUP("timeout_near_fast",Calibration!$B:$B,Calibration!$C:$C,16),
     TRUE,XLOOKUP("timeout_coarse_fast",Calibration!$B:$B,Calibration!$C:$C,24)
   ),
 AK427="Normal",
   IFS(
     OR(C427="B",C427="D"),XLOOKUP("timeout_coarse_normal",Calibration!$B:$B,Calibration!$C:$C,36),
     OR(C427="E",C427="F",C427="H",C427="I"),XLOOKUP("timeout_jcc_normal",Calibration!$B:$B,Calibration!$C:$C,14),
     OR(C427="G",C427="J"),XLOOKUP("timeout_duochrome_normal",Calibration!$B:$B,Calibration!$C:$C,10),
     C427="K",XLOOKUP("timeout_bino_normal",Calibration!$B:$B,Calibration!$C:$C,14),
     OR(C427="P",C427="Q",C427="R"),XLOOKUP("timeout_near_normal",Calibration!$B:$B,Calibration!$C:$C,22),
     TRUE,XLOOKUP("timeout_coarse_normal",Calibration!$B:$B,Calibration!$C:$C,36)
   ),
 TRUE,
   IFS(
     OR(C427="B",C427="D"),XLOOKUP("timeout_coarse_slow",Calibration!$B:$B,Calibration!$C:$C,48),
     OR(C427="E",C427="F",C427="H",C427="I"),XLOOKUP("timeout_jcc_slow",Calibration!$B:$B,Calibration!$C:$C,18),
     OR(C427="G",C427="J"),XLOOKUP("timeout_duochrome_slow",Calibration!$B:$B,Calibration!$C:$C,12),
     C427="K",XLOOKUP("timeout_bino_slow",Calibration!$B:$B,Calibration!$C:$C,18),
     OR(C427="P",C427="Q",C427="R"),XLOOKUP("timeout_near_slow",Calibration!$B:$B,Calibration!$C:$C,28),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AJ427=TRUE,"ESCALATE",
C427="A",
IF(OR(I427="NOT_READABLE",I427="BLURRY",AND(R427="20_20_20",I427="READABLE")),"B","A"),
C427="B",
IF(reEsc,"ESCALATE",IF(AY427&gt;=phaseMax,"ESCALATE",IF(AND(AV427&gt;=AW427,I427="READABLE"),"E","B"))),
C427="E",
IF(AY427&gt;=phaseMax,"ESCALATE",IF(OR(I427="SAME",I427="CANT_TELL",AD427&lt;axisTol),"F","E")),
C427="F",
IF(AY427&gt;=phaseMax,"ESCALATE",IF(AX427&gt;=powerSameN,"G","F")),
C427="G",
IF(AY427&gt;=phaseMax,"ESCALATE",IF(OR(AX427&gt;=duoEqualN,BB427&gt;=duoMax),"D","G")),
C427="D",
IF(leEsc,"ESCALATE",IF(AY427&gt;=phaseMax,"ESCALATE",IF(AND(AV427&gt;=AW427,I427="READABLE"),"H","D"))),
C427="H",
IF(AY427&gt;=phaseMax,"ESCALATE",IF(OR(I427="SAME",I427="CANT_TELL",AD427&lt;axisTol),"I","H")),
C427="I",
IF(AY427&gt;=phaseMax,"ESCALATE",IF(AX427&gt;=powerSameN,"J","I")),
C427="J",
IF(AY427&gt;=phaseMax,"ESCALATE",IF(OR(AX427&gt;=duoEqualN,BB427&gt;=duoMax),"K","J")),
C427="K",
IF(AY427&gt;=phaseMax,"ESCALATE",IF(AX427&gt;=binoSameN,IF(XLOOKUP($B427,Derived_Variables!$A:$A,Derived_Variables!$AJ:$AJ,FALSE)=TRUE,"P","END"),"K")),
C427="P",
IF(AY427&gt;=phaseMax,"ESCALATE",IF(OR(I427="READABLE",I427="SAME"),"Q","P")),
C427="Q",
IF(AY427&gt;=phaseMax,"ESCALATE",IF(OR(I427="READABLE",I427="SAME"),"R","Q")),
C427="R",
IF(AY427&gt;=phaseMax,"ESCALATE",IF(OR(I427=nearTarget,I427="SAME"),"END","R")),
TRUE,"END"
)))</f>
        <v/>
      </c>
      <c r="BD427" s="28" t="b">
        <f t="shared" si="19"/>
        <v>0</v>
      </c>
    </row>
    <row r="428" ht="15.75" customHeight="1">
      <c r="A428" s="28">
        <f t="shared" si="3"/>
        <v>427</v>
      </c>
      <c r="B428" s="28">
        <f t="shared" si="4"/>
        <v>6</v>
      </c>
      <c r="C428" s="28" t="str">
        <f t="shared" si="5"/>
        <v/>
      </c>
      <c r="D428" s="28" t="str">
        <f t="array" ref="D428">IF($I427="","",XLOOKUP(C428,FSM_State_Map!A:A,FSM_State_Map!B:B,""))</f>
        <v/>
      </c>
      <c r="E428" s="28" t="str">
        <f t="array" ref="E428">IF($I427="","",XLOOKUP(C428,FSM_State_Map!A:A,FSM_State_Map!C:C,""))</f>
        <v/>
      </c>
      <c r="F428" s="28" t="str">
        <f t="array" ref="F428">IF($I427="","",XLOOKUP(E428,Phase_UI_Map!A:A,Phase_UI_Map!B:B,""))</f>
        <v/>
      </c>
      <c r="G428" s="28" t="str">
        <f t="array" ref="G428">IF($I427="","",XLOOKUP(E428,Phase_UI_Map!A:A,Phase_UI_Map!C:C,""))</f>
        <v/>
      </c>
      <c r="H428" s="28" t="str">
        <f t="array" ref="H428">IF($I427="","",XLOOKUP(E428,Phase_UI_Map!A:A,Phase_UI_Map!D:D,""))</f>
        <v/>
      </c>
      <c r="I428" s="29"/>
      <c r="J428" s="28" t="str">
        <f>IFERROR(__xludf.DUMMYFUNCTION("IF($I427="""","""",IFERROR(INDEX(FILTER(Response_Lists!$B:$B,Response_Lists!$A:$A=$H428),1),""""))"),"")</f>
        <v/>
      </c>
      <c r="K428" s="28" t="str">
        <f>IFERROR(__xludf.DUMMYFUNCTION("IF($I427="""","""",IFERROR(INDEX(FILTER(Response_Lists!$B:$B,Response_Lists!$A:$A=$H428),2),""""))"),"")</f>
        <v/>
      </c>
      <c r="L428" s="28" t="str">
        <f>IFERROR(__xludf.DUMMYFUNCTION("IF($I427="""","""",IFERROR(INDEX(FILTER(Response_Lists!$B:$B,Response_Lists!$A:$A=$H428),3),""""))"),"")</f>
        <v/>
      </c>
      <c r="M428" s="28" t="str">
        <f>IFERROR(__xludf.DUMMYFUNCTION("IF($I427="""","""",IFERROR(INDEX(FILTER(Response_Lists!$B:$B,Response_Lists!$A:$A=$H428),4),""""))"),"")</f>
        <v/>
      </c>
      <c r="N428" s="28" t="str">
        <f>IFERROR(__xludf.DUMMYFUNCTION("IF($I427="""","""",IFERROR(INDEX(FILTER(Response_Lists!$B:$B,Response_Lists!$A:$A=$H428),5),""""))"),"")</f>
        <v/>
      </c>
      <c r="O428" s="28" t="str">
        <f>IFERROR(__xludf.DUMMYFUNCTION("IF($I427="""","""",IFERROR(INDEX(FILTER(Response_Lists!$B:$B,Response_Lists!$A:$A=$H428),6),""""))"),"")</f>
        <v/>
      </c>
      <c r="P428" s="28" t="str">
        <f t="shared" si="6"/>
        <v/>
      </c>
      <c r="Q428" s="28" t="str">
        <f t="array" ref="Q428">IF($I427="","",XLOOKUP(C428,FSM_State_Map!A:A,FSM_State_Map!D:D,""))</f>
        <v/>
      </c>
      <c r="R428" s="28" t="str">
        <f t="shared" si="7"/>
        <v/>
      </c>
      <c r="S428" s="28" t="str">
        <f t="array" ref="S428">IF($I427="","",
IF(
  AND(C428="B",C427&lt;&gt;"B"),
  XLOOKUP($B428,Derived_Variables!$A:$A,Derived_Variables!$K:$K,0)
  + XLOOKUP($B428,Derived_Variables!$A:$A,Derived_Variables!$AE:$AE,0),
  S427+AM427
))</f>
        <v/>
      </c>
      <c r="T428" s="28" t="str">
        <f t="shared" ref="T428:U428" si="866">IF($I427="","",T427+AN427)</f>
        <v/>
      </c>
      <c r="U428" s="28" t="str">
        <f t="shared" si="866"/>
        <v/>
      </c>
      <c r="V428" s="28" t="str">
        <f t="array" ref="V428">IF($I427="","",
IF(
  AND(C428="D",C427&lt;&gt;"D"),
  XLOOKUP($B428,Derived_Variables!$A:$A,Derived_Variables!$N:$N,0)
  + XLOOKUP($B428,Derived_Variables!$A:$A,Derived_Variables!$AE:$AE,0),
  V427+AP427
))</f>
        <v/>
      </c>
      <c r="W428" s="28" t="str">
        <f t="shared" ref="W428:X428" si="867">IF($I427="","",W427+AQ427)</f>
        <v/>
      </c>
      <c r="X428" s="28" t="str">
        <f t="shared" si="867"/>
        <v/>
      </c>
      <c r="Y428" s="28" t="str">
        <f t="array" ref="Y428">IF($I427="","",IF(AND(C428="P",C427&lt;&gt;"P"),IFERROR(XLOOKUP($B428,Lenso_Input!$A:$A,Lenso_Input!$E:$E,0),0),Y427+AS427))</f>
        <v/>
      </c>
      <c r="Z428" s="28" t="str">
        <f t="array" ref="Z428">IF($I427="","",IF(AND(C428="Q",C427&lt;&gt;"Q"),IFERROR(XLOOKUP($B428,Lenso_Input!$A:$A,Lenso_Input!$I:$I,0),0),Z427+AT427))</f>
        <v/>
      </c>
      <c r="AA428" s="28" t="str">
        <f t="array" ref="AA428">IF($I427="","",IF(XLOOKUP($B428,Derived_Variables!$A:$A,Derived_Variables!$R:$R,"6/6_target")="6/6_target","20_20_20","40_30_25"))</f>
        <v/>
      </c>
      <c r="AB428" s="28" t="str">
        <f t="array" ref="AB428">IF($I427="","",XLOOKUP(LOWER(XLOOKUP($B428,Derived_Variables!$A:$A,Derived_Variables!$T:$T,"Standard"))&amp;"_sph_step",Calibration!$B:$B,Calibration!$C:$C,0.25))</f>
        <v/>
      </c>
      <c r="AC428" s="28" t="str">
        <f t="array" ref="AC428">IF($I427="","",XLOOKUP(LOWER(XLOOKUP($B428,Derived_Variables!$A:$A,Derived_Variables!$T:$T,"Standard"))&amp;"_cyl_step",Calibration!$B:$B,Calibration!$C:$C,0.25))</f>
        <v/>
      </c>
      <c r="AD428" s="28" t="str">
        <f t="array" ref="AD428">IF($I427="","",IF(OR(C428="E",C428="H"),LET(startStep,XLOOKUP("axis_start_step",Calibration!$B:$B,Calibration!$C:$C,5),step1,XLOOKUP("axis_reversal_step_1",Calibration!$B:$B,Calibration!$C:$C,3),step2,XLOOKUP("axis_reversal_step_2",Calibration!$B:$B,Calibration!$C:$C,1),IF(OR(C427&lt;&gt;C428,AZ428="",AZ428="SAME",AZ428="CANT_TELL",I428="",I428="SAME",I428="CANT_TELL"),startStep,IF(OR(AND(AZ428="BETTER_1",I428="BETTER_2"),AND(AZ428="BETTER_2",I428="BETTER_1")),IF(AD427&gt;step1,step1,step2),AD427))),0))</f>
        <v/>
      </c>
      <c r="AE428" s="28" t="str">
        <f t="array" ref="AE428">IF($I427="","",XLOOKUP($B428,Derived_Variables!$A:$A,Derived_Variables!$AD:$AD,"No_Fog"))</f>
        <v/>
      </c>
      <c r="AF428" s="28" t="str">
        <f t="array" ref="AF428">IF($I427="","",XLOOKUP($B428,Derived_Variables!$A:$A,Derived_Variables!$AE:$AE,0))</f>
        <v/>
      </c>
      <c r="AG428" s="28" t="str">
        <f t="array" ref="AG428">IF($I427="","",XLOOKUP($B428,Derived_Variables!$A:$A,Derived_Variables!$AF:$AF,""))</f>
        <v/>
      </c>
      <c r="AH428" s="28" t="str">
        <f t="array" ref="AH428">IF($I427="","",XLOOKUP($B428,Derived_Variables!$A:$A,Derived_Variables!$AG:$AG,""))</f>
        <v/>
      </c>
      <c r="AI428" s="28" t="str">
        <f t="array" ref="AI428">IF($I427="","",XLOOKUP($B428,Derived_Variables!$A:$A,Derived_Variables!$AC:$AC,"Medium"))</f>
        <v/>
      </c>
      <c r="AJ428" s="28" t="str">
        <f t="array" ref="AJ428">IF($I427="","",XLOOKUP($B428,Derived_Variables!$A:$A,Derived_Variables!$Y:$Y,FALSE))</f>
        <v/>
      </c>
      <c r="AK428" s="28" t="str">
        <f t="array" ref="AK428">IF($I427="","",XLOOKUP($B428,Derived_Variables!$A:$A,Derived_Variables!$AA:$AA,"Normal"))</f>
        <v/>
      </c>
      <c r="AL428" s="28" t="str">
        <f t="array" ref="AL428">IF($I427="","",XLOOKUP($B428,Derived_Variables!$A:$A,Derived_Variables!$AB:$AB,"Normal"))</f>
        <v/>
      </c>
      <c r="AM428" s="28" t="str">
        <f t="array" ref="AM428">IF($I428="","",IFS(C428="B",IF(OR(I428="NOT_READABLE",I428="BLURRY"),-AB428,0),C428="G",IFS(I428="RED_CLEARER",XLOOKUP("duochrome_red_step",Calibration!$B:$B,Calibration!$C:$C,-0.25),I428="GREEN_CLEARER",XLOOKUP("duochrome_green_step",Calibration!$B:$B,Calibration!$C:$C,0.25),I428="EQUAL",IF(XLOOKUP($B428,Derived_Variables!$A:$A,Derived_Variables!$S:$S,"Neutral")="Undercorrect",XLOOKUP("undercorrect_step",Calibration!$B:$B,Calibration!$C:$C,0.25),IF(XLOOKUP($B428,Derived_Variables!$A:$A,Derived_Variables!$S:$S,"Neutral")="Overcorrect",-XLOOKUP("overcorrect_step",Calibration!$B:$B,Calibration!$C:$C,0.25),0)),TRUE,0),C428="K",IF(I428="TOP_CLEARER",XLOOKUP("bino_balance_step",Calibration!$B:$B,Calibration!$C:$C,0.25),0),TRUE,0))</f>
        <v/>
      </c>
      <c r="AN428" s="28" t="str">
        <f t="shared" si="10"/>
        <v/>
      </c>
      <c r="AO428" s="28" t="str">
        <f t="shared" si="11"/>
        <v/>
      </c>
      <c r="AP428" s="28" t="str">
        <f t="array" ref="AP428">IF($I428="","",IFS(C428="D",IF(OR(I428="NOT_READABLE",I428="BLURRY"),-AB428,0),C428="J",IFS(I428="RED_CLEARER",XLOOKUP("duochrome_red_step",Calibration!$B:$B,Calibration!$C:$C,-0.25),I428="GREEN_CLEARER",XLOOKUP("duochrome_green_step",Calibration!$B:$B,Calibration!$C:$C,0.25),I428="EQUAL",IF(XLOOKUP($B428,Derived_Variables!$A:$A,Derived_Variables!$S:$S,"Neutral")="Undercorrect",XLOOKUP("undercorrect_step",Calibration!$B:$B,Calibration!$C:$C,0.25),IF(XLOOKUP($B428,Derived_Variables!$A:$A,Derived_Variables!$S:$S,"Neutral")="Overcorrect",-XLOOKUP("overcorrect_step",Calibration!$B:$B,Calibration!$C:$C,0.25),0)),TRUE,0),C428="K",IF(I428="BOTTOM_CLEARER",XLOOKUP("bino_balance_step",Calibration!$B:$B,Calibration!$C:$C,0.25),0),TRUE,0))</f>
        <v/>
      </c>
      <c r="AQ428" s="28" t="str">
        <f t="shared" si="12"/>
        <v/>
      </c>
      <c r="AR428" s="28" t="str">
        <f t="shared" si="13"/>
        <v/>
      </c>
      <c r="AS428" s="28" t="str">
        <f t="array" ref="AS428">IF($I428="","",IF(C428="P",IF(OR(I428="NOT_READABLE",I428="BLURRY"),XLOOKUP("near_add_step",Calibration!$B:$B,Calibration!$C:$C,0.25),0),IF(C428="R",IF(I428="NOT_CLEAR",XLOOKUP("near_add_step",Calibration!$B:$B,Calibration!$C:$C,0.25),0),0)))</f>
        <v/>
      </c>
      <c r="AT428" s="28" t="str">
        <f t="array" ref="AT428">IF($I428="","",IF(C428="Q",IF(OR(I428="NOT_READABLE",I428="BLURRY"),XLOOKUP("near_add_step",Calibration!$B:$B,Calibration!$C:$C,0.25),0),IF(C428="R",IF(I428="NOT_CLEAR",XLOOKUP("near_add_step",Calibration!$B:$B,Calibration!$C:$C,0.25),0),0)))</f>
        <v/>
      </c>
      <c r="AU428" s="28" t="str">
        <f t="array" ref="AU428">IF($I428="","",IF(G428="SNELLEN_FEET",IF(I428="READABLE",IFERROR(XLOOKUP(XLOOKUP(R428,Chart_Scale_Distance!B:B,Chart_Scale_Distance!A:A)+1,Chart_Scale_Distance!A:A,Chart_Scale_Distance!B:B),R428),R428),R428))</f>
        <v/>
      </c>
      <c r="AV428" s="28" t="str">
        <f t="array" ref="AV428">IF($I427="","",IFERROR(XLOOKUP(R428,Chart_Scale_Distance!$B:$B,Chart_Scale_Distance!$A:$A,""),""))</f>
        <v/>
      </c>
      <c r="AW428" s="28" t="str">
        <f t="array" ref="AW428">IF($I427="","",IFERROR(XLOOKUP(AA428,Chart_Scale_Distance!$B:$B,Chart_Scale_Distance!$A:$A,""),""))</f>
        <v/>
      </c>
      <c r="AX428" s="28" t="str">
        <f t="shared" si="14"/>
        <v/>
      </c>
      <c r="AY428" s="28" t="str">
        <f t="shared" si="15"/>
        <v/>
      </c>
      <c r="AZ428" s="28" t="str">
        <f t="shared" si="16"/>
        <v/>
      </c>
      <c r="BA428" s="28" t="str">
        <f t="shared" si="17"/>
        <v/>
      </c>
      <c r="BB428" s="28" t="str">
        <f t="shared" si="18"/>
        <v/>
      </c>
      <c r="BC428" s="28" t="str">
        <f t="array" ref="BC428">IF($I428="","",LET(
conf,AI428,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duoMax,XLOOKUP($B428,Derived_Variables!$A:$A,Derived_Variables!$AI:$AI,4),
axisTol,XLOOKUP($B428,Derived_Variables!$A:$A,Derived_Variables!$W:$W,1),
maxStart,XLOOKUP($B428,Derived_Variables!$A:$A,Derived_Variables!$U:$U,1.25),
maxAR,XLOOKUP($B428,Derived_Variables!$A:$A,Derived_Variables!$V:$V,3),
anom,XLOOKUP($B428,Derived_Variables!$A:$A,Derived_Variables!$Z:$Z,FALSE),
reStart,XLOOKUP($B428,Derived_Variables!$A:$A,Derived_Variables!$K:$K,0),
leStart,XLOOKUP($B428,Derived_Variables!$A:$A,Derived_Variables!$N:$N,0),
reAR,XLOOKUP($B428,AR_Input!$A:$A,AR_Input!$B:$B,reStart),
leAR,XLOOKUP($B428,AR_Input!$A:$A,AR_Input!$E:$E,leStart),
reEsc,AND(anom,OR(ABS((S428+AM428)-reStart)&gt;maxStart,ABS((S428+AM428)-reAR)&gt;maxAR)),
leEsc,AND(anom,OR(ABS((V428+AP428)-leStart)&gt;maxStart,ABS((V428+AP428)-leAR)&gt;maxAR)),
phaseMax,IFS(
 AK428="Fast",
   IFS(
     OR(C428="B",C428="D"),XLOOKUP("timeout_coarse_fast",Calibration!$B:$B,Calibration!$C:$C,24),
     OR(C428="E",C428="F",C428="H",C428="I"),XLOOKUP("timeout_jcc_fast",Calibration!$B:$B,Calibration!$C:$C,10),
     OR(C428="G",C428="J"),XLOOKUP("timeout_duochrome_fast",Calibration!$B:$B,Calibration!$C:$C,8),
     C428="K",XLOOKUP("timeout_bino_fast",Calibration!$B:$B,Calibration!$C:$C,10),
     OR(C428="P",C428="Q",C428="R"),XLOOKUP("timeout_near_fast",Calibration!$B:$B,Calibration!$C:$C,16),
     TRUE,XLOOKUP("timeout_coarse_fast",Calibration!$B:$B,Calibration!$C:$C,24)
   ),
 AK428="Normal",
   IFS(
     OR(C428="B",C428="D"),XLOOKUP("timeout_coarse_normal",Calibration!$B:$B,Calibration!$C:$C,36),
     OR(C428="E",C428="F",C428="H",C428="I"),XLOOKUP("timeout_jcc_normal",Calibration!$B:$B,Calibration!$C:$C,14),
     OR(C428="G",C428="J"),XLOOKUP("timeout_duochrome_normal",Calibration!$B:$B,Calibration!$C:$C,10),
     C428="K",XLOOKUP("timeout_bino_normal",Calibration!$B:$B,Calibration!$C:$C,14),
     OR(C428="P",C428="Q",C428="R"),XLOOKUP("timeout_near_normal",Calibration!$B:$B,Calibration!$C:$C,22),
     TRUE,XLOOKUP("timeout_coarse_normal",Calibration!$B:$B,Calibration!$C:$C,36)
   ),
 TRUE,
   IFS(
     OR(C428="B",C428="D"),XLOOKUP("timeout_coarse_slow",Calibration!$B:$B,Calibration!$C:$C,48),
     OR(C428="E",C428="F",C428="H",C428="I"),XLOOKUP("timeout_jcc_slow",Calibration!$B:$B,Calibration!$C:$C,18),
     OR(C428="G",C428="J"),XLOOKUP("timeout_duochrome_slow",Calibration!$B:$B,Calibration!$C:$C,12),
     C428="K",XLOOKUP("timeout_bino_slow",Calibration!$B:$B,Calibration!$C:$C,18),
     OR(C428="P",C428="Q",C428="R"),XLOOKUP("timeout_near_slow",Calibration!$B:$B,Calibration!$C:$C,28),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AJ428=TRUE,"ESCALATE",
C428="A",
IF(OR(I428="NOT_READABLE",I428="BLURRY",AND(R428="20_20_20",I428="READABLE")),"B","A"),
C428="B",
IF(reEsc,"ESCALATE",IF(AY428&gt;=phaseMax,"ESCALATE",IF(AND(AV428&gt;=AW428,I428="READABLE"),"E","B"))),
C428="E",
IF(AY428&gt;=phaseMax,"ESCALATE",IF(OR(I428="SAME",I428="CANT_TELL",AD428&lt;axisTol),"F","E")),
C428="F",
IF(AY428&gt;=phaseMax,"ESCALATE",IF(AX428&gt;=powerSameN,"G","F")),
C428="G",
IF(AY428&gt;=phaseMax,"ESCALATE",IF(OR(AX428&gt;=duoEqualN,BB428&gt;=duoMax),"D","G")),
C428="D",
IF(leEsc,"ESCALATE",IF(AY428&gt;=phaseMax,"ESCALATE",IF(AND(AV428&gt;=AW428,I428="READABLE"),"H","D"))),
C428="H",
IF(AY428&gt;=phaseMax,"ESCALATE",IF(OR(I428="SAME",I428="CANT_TELL",AD428&lt;axisTol),"I","H")),
C428="I",
IF(AY428&gt;=phaseMax,"ESCALATE",IF(AX428&gt;=powerSameN,"J","I")),
C428="J",
IF(AY428&gt;=phaseMax,"ESCALATE",IF(OR(AX428&gt;=duoEqualN,BB428&gt;=duoMax),"K","J")),
C428="K",
IF(AY428&gt;=phaseMax,"ESCALATE",IF(AX428&gt;=binoSameN,IF(XLOOKUP($B428,Derived_Variables!$A:$A,Derived_Variables!$AJ:$AJ,FALSE)=TRUE,"P","END"),"K")),
C428="P",
IF(AY428&gt;=phaseMax,"ESCALATE",IF(OR(I428="READABLE",I428="SAME"),"Q","P")),
C428="Q",
IF(AY428&gt;=phaseMax,"ESCALATE",IF(OR(I428="READABLE",I428="SAME"),"R","Q")),
C428="R",
IF(AY428&gt;=phaseMax,"ESCALATE",IF(OR(I428=nearTarget,I428="SAME"),"END","R")),
TRUE,"END"
)))</f>
        <v/>
      </c>
      <c r="BD428" s="28" t="b">
        <f t="shared" si="19"/>
        <v>0</v>
      </c>
    </row>
    <row r="429" ht="15.75" customHeight="1">
      <c r="A429" s="28">
        <f t="shared" si="3"/>
        <v>428</v>
      </c>
      <c r="B429" s="28">
        <f t="shared" si="4"/>
        <v>6</v>
      </c>
      <c r="C429" s="28" t="str">
        <f t="shared" si="5"/>
        <v/>
      </c>
      <c r="D429" s="28" t="str">
        <f t="array" ref="D429">IF($I428="","",XLOOKUP(C429,FSM_State_Map!A:A,FSM_State_Map!B:B,""))</f>
        <v/>
      </c>
      <c r="E429" s="28" t="str">
        <f t="array" ref="E429">IF($I428="","",XLOOKUP(C429,FSM_State_Map!A:A,FSM_State_Map!C:C,""))</f>
        <v/>
      </c>
      <c r="F429" s="28" t="str">
        <f t="array" ref="F429">IF($I428="","",XLOOKUP(E429,Phase_UI_Map!A:A,Phase_UI_Map!B:B,""))</f>
        <v/>
      </c>
      <c r="G429" s="28" t="str">
        <f t="array" ref="G429">IF($I428="","",XLOOKUP(E429,Phase_UI_Map!A:A,Phase_UI_Map!C:C,""))</f>
        <v/>
      </c>
      <c r="H429" s="28" t="str">
        <f t="array" ref="H429">IF($I428="","",XLOOKUP(E429,Phase_UI_Map!A:A,Phase_UI_Map!D:D,""))</f>
        <v/>
      </c>
      <c r="I429" s="29"/>
      <c r="J429" s="28" t="str">
        <f>IFERROR(__xludf.DUMMYFUNCTION("IF($I428="""","""",IFERROR(INDEX(FILTER(Response_Lists!$B:$B,Response_Lists!$A:$A=$H429),1),""""))"),"")</f>
        <v/>
      </c>
      <c r="K429" s="28" t="str">
        <f>IFERROR(__xludf.DUMMYFUNCTION("IF($I428="""","""",IFERROR(INDEX(FILTER(Response_Lists!$B:$B,Response_Lists!$A:$A=$H429),2),""""))"),"")</f>
        <v/>
      </c>
      <c r="L429" s="28" t="str">
        <f>IFERROR(__xludf.DUMMYFUNCTION("IF($I428="""","""",IFERROR(INDEX(FILTER(Response_Lists!$B:$B,Response_Lists!$A:$A=$H429),3),""""))"),"")</f>
        <v/>
      </c>
      <c r="M429" s="28" t="str">
        <f>IFERROR(__xludf.DUMMYFUNCTION("IF($I428="""","""",IFERROR(INDEX(FILTER(Response_Lists!$B:$B,Response_Lists!$A:$A=$H429),4),""""))"),"")</f>
        <v/>
      </c>
      <c r="N429" s="28" t="str">
        <f>IFERROR(__xludf.DUMMYFUNCTION("IF($I428="""","""",IFERROR(INDEX(FILTER(Response_Lists!$B:$B,Response_Lists!$A:$A=$H429),5),""""))"),"")</f>
        <v/>
      </c>
      <c r="O429" s="28" t="str">
        <f>IFERROR(__xludf.DUMMYFUNCTION("IF($I428="""","""",IFERROR(INDEX(FILTER(Response_Lists!$B:$B,Response_Lists!$A:$A=$H429),6),""""))"),"")</f>
        <v/>
      </c>
      <c r="P429" s="28" t="str">
        <f t="shared" si="6"/>
        <v/>
      </c>
      <c r="Q429" s="28" t="str">
        <f t="array" ref="Q429">IF($I428="","",XLOOKUP(C429,FSM_State_Map!A:A,FSM_State_Map!D:D,""))</f>
        <v/>
      </c>
      <c r="R429" s="28" t="str">
        <f t="shared" si="7"/>
        <v/>
      </c>
      <c r="S429" s="28" t="str">
        <f t="array" ref="S429">IF($I428="","",
IF(
  AND(C429="B",C428&lt;&gt;"B"),
  XLOOKUP($B429,Derived_Variables!$A:$A,Derived_Variables!$K:$K,0)
  + XLOOKUP($B429,Derived_Variables!$A:$A,Derived_Variables!$AE:$AE,0),
  S428+AM428
))</f>
        <v/>
      </c>
      <c r="T429" s="28" t="str">
        <f t="shared" ref="T429:U429" si="868">IF($I428="","",T428+AN428)</f>
        <v/>
      </c>
      <c r="U429" s="28" t="str">
        <f t="shared" si="868"/>
        <v/>
      </c>
      <c r="V429" s="28" t="str">
        <f t="array" ref="V429">IF($I428="","",
IF(
  AND(C429="D",C428&lt;&gt;"D"),
  XLOOKUP($B429,Derived_Variables!$A:$A,Derived_Variables!$N:$N,0)
  + XLOOKUP($B429,Derived_Variables!$A:$A,Derived_Variables!$AE:$AE,0),
  V428+AP428
))</f>
        <v/>
      </c>
      <c r="W429" s="28" t="str">
        <f t="shared" ref="W429:X429" si="869">IF($I428="","",W428+AQ428)</f>
        <v/>
      </c>
      <c r="X429" s="28" t="str">
        <f t="shared" si="869"/>
        <v/>
      </c>
      <c r="Y429" s="28" t="str">
        <f t="array" ref="Y429">IF($I428="","",IF(AND(C429="P",C428&lt;&gt;"P"),IFERROR(XLOOKUP($B429,Lenso_Input!$A:$A,Lenso_Input!$E:$E,0),0),Y428+AS428))</f>
        <v/>
      </c>
      <c r="Z429" s="28" t="str">
        <f t="array" ref="Z429">IF($I428="","",IF(AND(C429="Q",C428&lt;&gt;"Q"),IFERROR(XLOOKUP($B429,Lenso_Input!$A:$A,Lenso_Input!$I:$I,0),0),Z428+AT428))</f>
        <v/>
      </c>
      <c r="AA429" s="28" t="str">
        <f t="array" ref="AA429">IF($I428="","",IF(XLOOKUP($B429,Derived_Variables!$A:$A,Derived_Variables!$R:$R,"6/6_target")="6/6_target","20_20_20","40_30_25"))</f>
        <v/>
      </c>
      <c r="AB429" s="28" t="str">
        <f t="array" ref="AB429">IF($I428="","",XLOOKUP(LOWER(XLOOKUP($B429,Derived_Variables!$A:$A,Derived_Variables!$T:$T,"Standard"))&amp;"_sph_step",Calibration!$B:$B,Calibration!$C:$C,0.25))</f>
        <v/>
      </c>
      <c r="AC429" s="28" t="str">
        <f t="array" ref="AC429">IF($I428="","",XLOOKUP(LOWER(XLOOKUP($B429,Derived_Variables!$A:$A,Derived_Variables!$T:$T,"Standard"))&amp;"_cyl_step",Calibration!$B:$B,Calibration!$C:$C,0.25))</f>
        <v/>
      </c>
      <c r="AD429" s="28" t="str">
        <f t="array" ref="AD429">IF($I428="","",IF(OR(C429="E",C429="H"),LET(startStep,XLOOKUP("axis_start_step",Calibration!$B:$B,Calibration!$C:$C,5),step1,XLOOKUP("axis_reversal_step_1",Calibration!$B:$B,Calibration!$C:$C,3),step2,XLOOKUP("axis_reversal_step_2",Calibration!$B:$B,Calibration!$C:$C,1),IF(OR(C428&lt;&gt;C429,AZ429="",AZ429="SAME",AZ429="CANT_TELL",I429="",I429="SAME",I429="CANT_TELL"),startStep,IF(OR(AND(AZ429="BETTER_1",I429="BETTER_2"),AND(AZ429="BETTER_2",I429="BETTER_1")),IF(AD428&gt;step1,step1,step2),AD428))),0))</f>
        <v/>
      </c>
      <c r="AE429" s="28" t="str">
        <f t="array" ref="AE429">IF($I428="","",XLOOKUP($B429,Derived_Variables!$A:$A,Derived_Variables!$AD:$AD,"No_Fog"))</f>
        <v/>
      </c>
      <c r="AF429" s="28" t="str">
        <f t="array" ref="AF429">IF($I428="","",XLOOKUP($B429,Derived_Variables!$A:$A,Derived_Variables!$AE:$AE,0))</f>
        <v/>
      </c>
      <c r="AG429" s="28" t="str">
        <f t="array" ref="AG429">IF($I428="","",XLOOKUP($B429,Derived_Variables!$A:$A,Derived_Variables!$AF:$AF,""))</f>
        <v/>
      </c>
      <c r="AH429" s="28" t="str">
        <f t="array" ref="AH429">IF($I428="","",XLOOKUP($B429,Derived_Variables!$A:$A,Derived_Variables!$AG:$AG,""))</f>
        <v/>
      </c>
      <c r="AI429" s="28" t="str">
        <f t="array" ref="AI429">IF($I428="","",XLOOKUP($B429,Derived_Variables!$A:$A,Derived_Variables!$AC:$AC,"Medium"))</f>
        <v/>
      </c>
      <c r="AJ429" s="28" t="str">
        <f t="array" ref="AJ429">IF($I428="","",XLOOKUP($B429,Derived_Variables!$A:$A,Derived_Variables!$Y:$Y,FALSE))</f>
        <v/>
      </c>
      <c r="AK429" s="28" t="str">
        <f t="array" ref="AK429">IF($I428="","",XLOOKUP($B429,Derived_Variables!$A:$A,Derived_Variables!$AA:$AA,"Normal"))</f>
        <v/>
      </c>
      <c r="AL429" s="28" t="str">
        <f t="array" ref="AL429">IF($I428="","",XLOOKUP($B429,Derived_Variables!$A:$A,Derived_Variables!$AB:$AB,"Normal"))</f>
        <v/>
      </c>
      <c r="AM429" s="28" t="str">
        <f t="array" ref="AM429">IF($I429="","",IFS(C429="B",IF(OR(I429="NOT_READABLE",I429="BLURRY"),-AB429,0),C429="G",IFS(I429="RED_CLEARER",XLOOKUP("duochrome_red_step",Calibration!$B:$B,Calibration!$C:$C,-0.25),I429="GREEN_CLEARER",XLOOKUP("duochrome_green_step",Calibration!$B:$B,Calibration!$C:$C,0.25),I429="EQUAL",IF(XLOOKUP($B429,Derived_Variables!$A:$A,Derived_Variables!$S:$S,"Neutral")="Undercorrect",XLOOKUP("undercorrect_step",Calibration!$B:$B,Calibration!$C:$C,0.25),IF(XLOOKUP($B429,Derived_Variables!$A:$A,Derived_Variables!$S:$S,"Neutral")="Overcorrect",-XLOOKUP("overcorrect_step",Calibration!$B:$B,Calibration!$C:$C,0.25),0)),TRUE,0),C429="K",IF(I429="TOP_CLEARER",XLOOKUP("bino_balance_step",Calibration!$B:$B,Calibration!$C:$C,0.25),0),TRUE,0))</f>
        <v/>
      </c>
      <c r="AN429" s="28" t="str">
        <f t="shared" si="10"/>
        <v/>
      </c>
      <c r="AO429" s="28" t="str">
        <f t="shared" si="11"/>
        <v/>
      </c>
      <c r="AP429" s="28" t="str">
        <f t="array" ref="AP429">IF($I429="","",IFS(C429="D",IF(OR(I429="NOT_READABLE",I429="BLURRY"),-AB429,0),C429="J",IFS(I429="RED_CLEARER",XLOOKUP("duochrome_red_step",Calibration!$B:$B,Calibration!$C:$C,-0.25),I429="GREEN_CLEARER",XLOOKUP("duochrome_green_step",Calibration!$B:$B,Calibration!$C:$C,0.25),I429="EQUAL",IF(XLOOKUP($B429,Derived_Variables!$A:$A,Derived_Variables!$S:$S,"Neutral")="Undercorrect",XLOOKUP("undercorrect_step",Calibration!$B:$B,Calibration!$C:$C,0.25),IF(XLOOKUP($B429,Derived_Variables!$A:$A,Derived_Variables!$S:$S,"Neutral")="Overcorrect",-XLOOKUP("overcorrect_step",Calibration!$B:$B,Calibration!$C:$C,0.25),0)),TRUE,0),C429="K",IF(I429="BOTTOM_CLEARER",XLOOKUP("bino_balance_step",Calibration!$B:$B,Calibration!$C:$C,0.25),0),TRUE,0))</f>
        <v/>
      </c>
      <c r="AQ429" s="28" t="str">
        <f t="shared" si="12"/>
        <v/>
      </c>
      <c r="AR429" s="28" t="str">
        <f t="shared" si="13"/>
        <v/>
      </c>
      <c r="AS429" s="28" t="str">
        <f t="array" ref="AS429">IF($I429="","",IF(C429="P",IF(OR(I429="NOT_READABLE",I429="BLURRY"),XLOOKUP("near_add_step",Calibration!$B:$B,Calibration!$C:$C,0.25),0),IF(C429="R",IF(I429="NOT_CLEAR",XLOOKUP("near_add_step",Calibration!$B:$B,Calibration!$C:$C,0.25),0),0)))</f>
        <v/>
      </c>
      <c r="AT429" s="28" t="str">
        <f t="array" ref="AT429">IF($I429="","",IF(C429="Q",IF(OR(I429="NOT_READABLE",I429="BLURRY"),XLOOKUP("near_add_step",Calibration!$B:$B,Calibration!$C:$C,0.25),0),IF(C429="R",IF(I429="NOT_CLEAR",XLOOKUP("near_add_step",Calibration!$B:$B,Calibration!$C:$C,0.25),0),0)))</f>
        <v/>
      </c>
      <c r="AU429" s="28" t="str">
        <f t="array" ref="AU429">IF($I429="","",IF(G429="SNELLEN_FEET",IF(I429="READABLE",IFERROR(XLOOKUP(XLOOKUP(R429,Chart_Scale_Distance!B:B,Chart_Scale_Distance!A:A)+1,Chart_Scale_Distance!A:A,Chart_Scale_Distance!B:B),R429),R429),R429))</f>
        <v/>
      </c>
      <c r="AV429" s="28" t="str">
        <f t="array" ref="AV429">IF($I428="","",IFERROR(XLOOKUP(R429,Chart_Scale_Distance!$B:$B,Chart_Scale_Distance!$A:$A,""),""))</f>
        <v/>
      </c>
      <c r="AW429" s="28" t="str">
        <f t="array" ref="AW429">IF($I428="","",IFERROR(XLOOKUP(AA429,Chart_Scale_Distance!$B:$B,Chart_Scale_Distance!$A:$A,""),""))</f>
        <v/>
      </c>
      <c r="AX429" s="28" t="str">
        <f t="shared" si="14"/>
        <v/>
      </c>
      <c r="AY429" s="28" t="str">
        <f t="shared" si="15"/>
        <v/>
      </c>
      <c r="AZ429" s="28" t="str">
        <f t="shared" si="16"/>
        <v/>
      </c>
      <c r="BA429" s="28" t="str">
        <f t="shared" si="17"/>
        <v/>
      </c>
      <c r="BB429" s="28" t="str">
        <f t="shared" si="18"/>
        <v/>
      </c>
      <c r="BC429" s="28" t="str">
        <f t="array" ref="BC429">IF($I429="","",LET(
conf,AI429,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duoMax,XLOOKUP($B429,Derived_Variables!$A:$A,Derived_Variables!$AI:$AI,4),
axisTol,XLOOKUP($B429,Derived_Variables!$A:$A,Derived_Variables!$W:$W,1),
maxStart,XLOOKUP($B429,Derived_Variables!$A:$A,Derived_Variables!$U:$U,1.25),
maxAR,XLOOKUP($B429,Derived_Variables!$A:$A,Derived_Variables!$V:$V,3),
anom,XLOOKUP($B429,Derived_Variables!$A:$A,Derived_Variables!$Z:$Z,FALSE),
reStart,XLOOKUP($B429,Derived_Variables!$A:$A,Derived_Variables!$K:$K,0),
leStart,XLOOKUP($B429,Derived_Variables!$A:$A,Derived_Variables!$N:$N,0),
reAR,XLOOKUP($B429,AR_Input!$A:$A,AR_Input!$B:$B,reStart),
leAR,XLOOKUP($B429,AR_Input!$A:$A,AR_Input!$E:$E,leStart),
reEsc,AND(anom,OR(ABS((S429+AM429)-reStart)&gt;maxStart,ABS((S429+AM429)-reAR)&gt;maxAR)),
leEsc,AND(anom,OR(ABS((V429+AP429)-leStart)&gt;maxStart,ABS((V429+AP429)-leAR)&gt;maxAR)),
phaseMax,IFS(
 AK429="Fast",
   IFS(
     OR(C429="B",C429="D"),XLOOKUP("timeout_coarse_fast",Calibration!$B:$B,Calibration!$C:$C,24),
     OR(C429="E",C429="F",C429="H",C429="I"),XLOOKUP("timeout_jcc_fast",Calibration!$B:$B,Calibration!$C:$C,10),
     OR(C429="G",C429="J"),XLOOKUP("timeout_duochrome_fast",Calibration!$B:$B,Calibration!$C:$C,8),
     C429="K",XLOOKUP("timeout_bino_fast",Calibration!$B:$B,Calibration!$C:$C,10),
     OR(C429="P",C429="Q",C429="R"),XLOOKUP("timeout_near_fast",Calibration!$B:$B,Calibration!$C:$C,16),
     TRUE,XLOOKUP("timeout_coarse_fast",Calibration!$B:$B,Calibration!$C:$C,24)
   ),
 AK429="Normal",
   IFS(
     OR(C429="B",C429="D"),XLOOKUP("timeout_coarse_normal",Calibration!$B:$B,Calibration!$C:$C,36),
     OR(C429="E",C429="F",C429="H",C429="I"),XLOOKUP("timeout_jcc_normal",Calibration!$B:$B,Calibration!$C:$C,14),
     OR(C429="G",C429="J"),XLOOKUP("timeout_duochrome_normal",Calibration!$B:$B,Calibration!$C:$C,10),
     C429="K",XLOOKUP("timeout_bino_normal",Calibration!$B:$B,Calibration!$C:$C,14),
     OR(C429="P",C429="Q",C429="R"),XLOOKUP("timeout_near_normal",Calibration!$B:$B,Calibration!$C:$C,22),
     TRUE,XLOOKUP("timeout_coarse_normal",Calibration!$B:$B,Calibration!$C:$C,36)
   ),
 TRUE,
   IFS(
     OR(C429="B",C429="D"),XLOOKUP("timeout_coarse_slow",Calibration!$B:$B,Calibration!$C:$C,48),
     OR(C429="E",C429="F",C429="H",C429="I"),XLOOKUP("timeout_jcc_slow",Calibration!$B:$B,Calibration!$C:$C,18),
     OR(C429="G",C429="J"),XLOOKUP("timeout_duochrome_slow",Calibration!$B:$B,Calibration!$C:$C,12),
     C429="K",XLOOKUP("timeout_bino_slow",Calibration!$B:$B,Calibration!$C:$C,18),
     OR(C429="P",C429="Q",C429="R"),XLOOKUP("timeout_near_slow",Calibration!$B:$B,Calibration!$C:$C,28),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AJ429=TRUE,"ESCALATE",
C429="A",
IF(OR(I429="NOT_READABLE",I429="BLURRY",AND(R429="20_20_20",I429="READABLE")),"B","A"),
C429="B",
IF(reEsc,"ESCALATE",IF(AY429&gt;=phaseMax,"ESCALATE",IF(AND(AV429&gt;=AW429,I429="READABLE"),"E","B"))),
C429="E",
IF(AY429&gt;=phaseMax,"ESCALATE",IF(OR(I429="SAME",I429="CANT_TELL",AD429&lt;axisTol),"F","E")),
C429="F",
IF(AY429&gt;=phaseMax,"ESCALATE",IF(AX429&gt;=powerSameN,"G","F")),
C429="G",
IF(AY429&gt;=phaseMax,"ESCALATE",IF(OR(AX429&gt;=duoEqualN,BB429&gt;=duoMax),"D","G")),
C429="D",
IF(leEsc,"ESCALATE",IF(AY429&gt;=phaseMax,"ESCALATE",IF(AND(AV429&gt;=AW429,I429="READABLE"),"H","D"))),
C429="H",
IF(AY429&gt;=phaseMax,"ESCALATE",IF(OR(I429="SAME",I429="CANT_TELL",AD429&lt;axisTol),"I","H")),
C429="I",
IF(AY429&gt;=phaseMax,"ESCALATE",IF(AX429&gt;=powerSameN,"J","I")),
C429="J",
IF(AY429&gt;=phaseMax,"ESCALATE",IF(OR(AX429&gt;=duoEqualN,BB429&gt;=duoMax),"K","J")),
C429="K",
IF(AY429&gt;=phaseMax,"ESCALATE",IF(AX429&gt;=binoSameN,IF(XLOOKUP($B429,Derived_Variables!$A:$A,Derived_Variables!$AJ:$AJ,FALSE)=TRUE,"P","END"),"K")),
C429="P",
IF(AY429&gt;=phaseMax,"ESCALATE",IF(OR(I429="READABLE",I429="SAME"),"Q","P")),
C429="Q",
IF(AY429&gt;=phaseMax,"ESCALATE",IF(OR(I429="READABLE",I429="SAME"),"R","Q")),
C429="R",
IF(AY429&gt;=phaseMax,"ESCALATE",IF(OR(I429=nearTarget,I429="SAME"),"END","R")),
TRUE,"END"
)))</f>
        <v/>
      </c>
      <c r="BD429" s="28" t="b">
        <f t="shared" si="19"/>
        <v>0</v>
      </c>
    </row>
    <row r="430" ht="15.75" customHeight="1">
      <c r="A430" s="28">
        <f t="shared" si="3"/>
        <v>429</v>
      </c>
      <c r="B430" s="28">
        <f t="shared" si="4"/>
        <v>6</v>
      </c>
      <c r="C430" s="28" t="str">
        <f t="shared" si="5"/>
        <v/>
      </c>
      <c r="D430" s="28" t="str">
        <f t="array" ref="D430">IF($I429="","",XLOOKUP(C430,FSM_State_Map!A:A,FSM_State_Map!B:B,""))</f>
        <v/>
      </c>
      <c r="E430" s="28" t="str">
        <f t="array" ref="E430">IF($I429="","",XLOOKUP(C430,FSM_State_Map!A:A,FSM_State_Map!C:C,""))</f>
        <v/>
      </c>
      <c r="F430" s="28" t="str">
        <f t="array" ref="F430">IF($I429="","",XLOOKUP(E430,Phase_UI_Map!A:A,Phase_UI_Map!B:B,""))</f>
        <v/>
      </c>
      <c r="G430" s="28" t="str">
        <f t="array" ref="G430">IF($I429="","",XLOOKUP(E430,Phase_UI_Map!A:A,Phase_UI_Map!C:C,""))</f>
        <v/>
      </c>
      <c r="H430" s="28" t="str">
        <f t="array" ref="H430">IF($I429="","",XLOOKUP(E430,Phase_UI_Map!A:A,Phase_UI_Map!D:D,""))</f>
        <v/>
      </c>
      <c r="I430" s="29"/>
      <c r="J430" s="28" t="str">
        <f>IFERROR(__xludf.DUMMYFUNCTION("IF($I429="""","""",IFERROR(INDEX(FILTER(Response_Lists!$B:$B,Response_Lists!$A:$A=$H430),1),""""))"),"")</f>
        <v/>
      </c>
      <c r="K430" s="28" t="str">
        <f>IFERROR(__xludf.DUMMYFUNCTION("IF($I429="""","""",IFERROR(INDEX(FILTER(Response_Lists!$B:$B,Response_Lists!$A:$A=$H430),2),""""))"),"")</f>
        <v/>
      </c>
      <c r="L430" s="28" t="str">
        <f>IFERROR(__xludf.DUMMYFUNCTION("IF($I429="""","""",IFERROR(INDEX(FILTER(Response_Lists!$B:$B,Response_Lists!$A:$A=$H430),3),""""))"),"")</f>
        <v/>
      </c>
      <c r="M430" s="28" t="str">
        <f>IFERROR(__xludf.DUMMYFUNCTION("IF($I429="""","""",IFERROR(INDEX(FILTER(Response_Lists!$B:$B,Response_Lists!$A:$A=$H430),4),""""))"),"")</f>
        <v/>
      </c>
      <c r="N430" s="28" t="str">
        <f>IFERROR(__xludf.DUMMYFUNCTION("IF($I429="""","""",IFERROR(INDEX(FILTER(Response_Lists!$B:$B,Response_Lists!$A:$A=$H430),5),""""))"),"")</f>
        <v/>
      </c>
      <c r="O430" s="28" t="str">
        <f>IFERROR(__xludf.DUMMYFUNCTION("IF($I429="""","""",IFERROR(INDEX(FILTER(Response_Lists!$B:$B,Response_Lists!$A:$A=$H430),6),""""))"),"")</f>
        <v/>
      </c>
      <c r="P430" s="28" t="str">
        <f t="shared" si="6"/>
        <v/>
      </c>
      <c r="Q430" s="28" t="str">
        <f t="array" ref="Q430">IF($I429="","",XLOOKUP(C430,FSM_State_Map!A:A,FSM_State_Map!D:D,""))</f>
        <v/>
      </c>
      <c r="R430" s="28" t="str">
        <f t="shared" si="7"/>
        <v/>
      </c>
      <c r="S430" s="28" t="str">
        <f t="array" ref="S430">IF($I429="","",
IF(
  AND(C430="B",C429&lt;&gt;"B"),
  XLOOKUP($B430,Derived_Variables!$A:$A,Derived_Variables!$K:$K,0)
  + XLOOKUP($B430,Derived_Variables!$A:$A,Derived_Variables!$AE:$AE,0),
  S429+AM429
))</f>
        <v/>
      </c>
      <c r="T430" s="28" t="str">
        <f t="shared" ref="T430:U430" si="870">IF($I429="","",T429+AN429)</f>
        <v/>
      </c>
      <c r="U430" s="28" t="str">
        <f t="shared" si="870"/>
        <v/>
      </c>
      <c r="V430" s="28" t="str">
        <f t="array" ref="V430">IF($I429="","",
IF(
  AND(C430="D",C429&lt;&gt;"D"),
  XLOOKUP($B430,Derived_Variables!$A:$A,Derived_Variables!$N:$N,0)
  + XLOOKUP($B430,Derived_Variables!$A:$A,Derived_Variables!$AE:$AE,0),
  V429+AP429
))</f>
        <v/>
      </c>
      <c r="W430" s="28" t="str">
        <f t="shared" ref="W430:X430" si="871">IF($I429="","",W429+AQ429)</f>
        <v/>
      </c>
      <c r="X430" s="28" t="str">
        <f t="shared" si="871"/>
        <v/>
      </c>
      <c r="Y430" s="28" t="str">
        <f t="array" ref="Y430">IF($I429="","",IF(AND(C430="P",C429&lt;&gt;"P"),IFERROR(XLOOKUP($B430,Lenso_Input!$A:$A,Lenso_Input!$E:$E,0),0),Y429+AS429))</f>
        <v/>
      </c>
      <c r="Z430" s="28" t="str">
        <f t="array" ref="Z430">IF($I429="","",IF(AND(C430="Q",C429&lt;&gt;"Q"),IFERROR(XLOOKUP($B430,Lenso_Input!$A:$A,Lenso_Input!$I:$I,0),0),Z429+AT429))</f>
        <v/>
      </c>
      <c r="AA430" s="28" t="str">
        <f t="array" ref="AA430">IF($I429="","",IF(XLOOKUP($B430,Derived_Variables!$A:$A,Derived_Variables!$R:$R,"6/6_target")="6/6_target","20_20_20","40_30_25"))</f>
        <v/>
      </c>
      <c r="AB430" s="28" t="str">
        <f t="array" ref="AB430">IF($I429="","",XLOOKUP(LOWER(XLOOKUP($B430,Derived_Variables!$A:$A,Derived_Variables!$T:$T,"Standard"))&amp;"_sph_step",Calibration!$B:$B,Calibration!$C:$C,0.25))</f>
        <v/>
      </c>
      <c r="AC430" s="28" t="str">
        <f t="array" ref="AC430">IF($I429="","",XLOOKUP(LOWER(XLOOKUP($B430,Derived_Variables!$A:$A,Derived_Variables!$T:$T,"Standard"))&amp;"_cyl_step",Calibration!$B:$B,Calibration!$C:$C,0.25))</f>
        <v/>
      </c>
      <c r="AD430" s="28" t="str">
        <f t="array" ref="AD430">IF($I429="","",IF(OR(C430="E",C430="H"),LET(startStep,XLOOKUP("axis_start_step",Calibration!$B:$B,Calibration!$C:$C,5),step1,XLOOKUP("axis_reversal_step_1",Calibration!$B:$B,Calibration!$C:$C,3),step2,XLOOKUP("axis_reversal_step_2",Calibration!$B:$B,Calibration!$C:$C,1),IF(OR(C429&lt;&gt;C430,AZ430="",AZ430="SAME",AZ430="CANT_TELL",I430="",I430="SAME",I430="CANT_TELL"),startStep,IF(OR(AND(AZ430="BETTER_1",I430="BETTER_2"),AND(AZ430="BETTER_2",I430="BETTER_1")),IF(AD429&gt;step1,step1,step2),AD429))),0))</f>
        <v/>
      </c>
      <c r="AE430" s="28" t="str">
        <f t="array" ref="AE430">IF($I429="","",XLOOKUP($B430,Derived_Variables!$A:$A,Derived_Variables!$AD:$AD,"No_Fog"))</f>
        <v/>
      </c>
      <c r="AF430" s="28" t="str">
        <f t="array" ref="AF430">IF($I429="","",XLOOKUP($B430,Derived_Variables!$A:$A,Derived_Variables!$AE:$AE,0))</f>
        <v/>
      </c>
      <c r="AG430" s="28" t="str">
        <f t="array" ref="AG430">IF($I429="","",XLOOKUP($B430,Derived_Variables!$A:$A,Derived_Variables!$AF:$AF,""))</f>
        <v/>
      </c>
      <c r="AH430" s="28" t="str">
        <f t="array" ref="AH430">IF($I429="","",XLOOKUP($B430,Derived_Variables!$A:$A,Derived_Variables!$AG:$AG,""))</f>
        <v/>
      </c>
      <c r="AI430" s="28" t="str">
        <f t="array" ref="AI430">IF($I429="","",XLOOKUP($B430,Derived_Variables!$A:$A,Derived_Variables!$AC:$AC,"Medium"))</f>
        <v/>
      </c>
      <c r="AJ430" s="28" t="str">
        <f t="array" ref="AJ430">IF($I429="","",XLOOKUP($B430,Derived_Variables!$A:$A,Derived_Variables!$Y:$Y,FALSE))</f>
        <v/>
      </c>
      <c r="AK430" s="28" t="str">
        <f t="array" ref="AK430">IF($I429="","",XLOOKUP($B430,Derived_Variables!$A:$A,Derived_Variables!$AA:$AA,"Normal"))</f>
        <v/>
      </c>
      <c r="AL430" s="28" t="str">
        <f t="array" ref="AL430">IF($I429="","",XLOOKUP($B430,Derived_Variables!$A:$A,Derived_Variables!$AB:$AB,"Normal"))</f>
        <v/>
      </c>
      <c r="AM430" s="28" t="str">
        <f t="array" ref="AM430">IF($I430="","",IFS(C430="B",IF(OR(I430="NOT_READABLE",I430="BLURRY"),-AB430,0),C430="G",IFS(I430="RED_CLEARER",XLOOKUP("duochrome_red_step",Calibration!$B:$B,Calibration!$C:$C,-0.25),I430="GREEN_CLEARER",XLOOKUP("duochrome_green_step",Calibration!$B:$B,Calibration!$C:$C,0.25),I430="EQUAL",IF(XLOOKUP($B430,Derived_Variables!$A:$A,Derived_Variables!$S:$S,"Neutral")="Undercorrect",XLOOKUP("undercorrect_step",Calibration!$B:$B,Calibration!$C:$C,0.25),IF(XLOOKUP($B430,Derived_Variables!$A:$A,Derived_Variables!$S:$S,"Neutral")="Overcorrect",-XLOOKUP("overcorrect_step",Calibration!$B:$B,Calibration!$C:$C,0.25),0)),TRUE,0),C430="K",IF(I430="TOP_CLEARER",XLOOKUP("bino_balance_step",Calibration!$B:$B,Calibration!$C:$C,0.25),0),TRUE,0))</f>
        <v/>
      </c>
      <c r="AN430" s="28" t="str">
        <f t="shared" si="10"/>
        <v/>
      </c>
      <c r="AO430" s="28" t="str">
        <f t="shared" si="11"/>
        <v/>
      </c>
      <c r="AP430" s="28" t="str">
        <f t="array" ref="AP430">IF($I430="","",IFS(C430="D",IF(OR(I430="NOT_READABLE",I430="BLURRY"),-AB430,0),C430="J",IFS(I430="RED_CLEARER",XLOOKUP("duochrome_red_step",Calibration!$B:$B,Calibration!$C:$C,-0.25),I430="GREEN_CLEARER",XLOOKUP("duochrome_green_step",Calibration!$B:$B,Calibration!$C:$C,0.25),I430="EQUAL",IF(XLOOKUP($B430,Derived_Variables!$A:$A,Derived_Variables!$S:$S,"Neutral")="Undercorrect",XLOOKUP("undercorrect_step",Calibration!$B:$B,Calibration!$C:$C,0.25),IF(XLOOKUP($B430,Derived_Variables!$A:$A,Derived_Variables!$S:$S,"Neutral")="Overcorrect",-XLOOKUP("overcorrect_step",Calibration!$B:$B,Calibration!$C:$C,0.25),0)),TRUE,0),C430="K",IF(I430="BOTTOM_CLEARER",XLOOKUP("bino_balance_step",Calibration!$B:$B,Calibration!$C:$C,0.25),0),TRUE,0))</f>
        <v/>
      </c>
      <c r="AQ430" s="28" t="str">
        <f t="shared" si="12"/>
        <v/>
      </c>
      <c r="AR430" s="28" t="str">
        <f t="shared" si="13"/>
        <v/>
      </c>
      <c r="AS430" s="28" t="str">
        <f t="array" ref="AS430">IF($I430="","",IF(C430="P",IF(OR(I430="NOT_READABLE",I430="BLURRY"),XLOOKUP("near_add_step",Calibration!$B:$B,Calibration!$C:$C,0.25),0),IF(C430="R",IF(I430="NOT_CLEAR",XLOOKUP("near_add_step",Calibration!$B:$B,Calibration!$C:$C,0.25),0),0)))</f>
        <v/>
      </c>
      <c r="AT430" s="28" t="str">
        <f t="array" ref="AT430">IF($I430="","",IF(C430="Q",IF(OR(I430="NOT_READABLE",I430="BLURRY"),XLOOKUP("near_add_step",Calibration!$B:$B,Calibration!$C:$C,0.25),0),IF(C430="R",IF(I430="NOT_CLEAR",XLOOKUP("near_add_step",Calibration!$B:$B,Calibration!$C:$C,0.25),0),0)))</f>
        <v/>
      </c>
      <c r="AU430" s="28" t="str">
        <f t="array" ref="AU430">IF($I430="","",IF(G430="SNELLEN_FEET",IF(I430="READABLE",IFERROR(XLOOKUP(XLOOKUP(R430,Chart_Scale_Distance!B:B,Chart_Scale_Distance!A:A)+1,Chart_Scale_Distance!A:A,Chart_Scale_Distance!B:B),R430),R430),R430))</f>
        <v/>
      </c>
      <c r="AV430" s="28" t="str">
        <f t="array" ref="AV430">IF($I429="","",IFERROR(XLOOKUP(R430,Chart_Scale_Distance!$B:$B,Chart_Scale_Distance!$A:$A,""),""))</f>
        <v/>
      </c>
      <c r="AW430" s="28" t="str">
        <f t="array" ref="AW430">IF($I429="","",IFERROR(XLOOKUP(AA430,Chart_Scale_Distance!$B:$B,Chart_Scale_Distance!$A:$A,""),""))</f>
        <v/>
      </c>
      <c r="AX430" s="28" t="str">
        <f t="shared" si="14"/>
        <v/>
      </c>
      <c r="AY430" s="28" t="str">
        <f t="shared" si="15"/>
        <v/>
      </c>
      <c r="AZ430" s="28" t="str">
        <f t="shared" si="16"/>
        <v/>
      </c>
      <c r="BA430" s="28" t="str">
        <f t="shared" si="17"/>
        <v/>
      </c>
      <c r="BB430" s="28" t="str">
        <f t="shared" si="18"/>
        <v/>
      </c>
      <c r="BC430" s="28" t="str">
        <f t="array" ref="BC430">IF($I430="","",LET(
conf,AI430,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duoMax,XLOOKUP($B430,Derived_Variables!$A:$A,Derived_Variables!$AI:$AI,4),
axisTol,XLOOKUP($B430,Derived_Variables!$A:$A,Derived_Variables!$W:$W,1),
maxStart,XLOOKUP($B430,Derived_Variables!$A:$A,Derived_Variables!$U:$U,1.25),
maxAR,XLOOKUP($B430,Derived_Variables!$A:$A,Derived_Variables!$V:$V,3),
anom,XLOOKUP($B430,Derived_Variables!$A:$A,Derived_Variables!$Z:$Z,FALSE),
reStart,XLOOKUP($B430,Derived_Variables!$A:$A,Derived_Variables!$K:$K,0),
leStart,XLOOKUP($B430,Derived_Variables!$A:$A,Derived_Variables!$N:$N,0),
reAR,XLOOKUP($B430,AR_Input!$A:$A,AR_Input!$B:$B,reStart),
leAR,XLOOKUP($B430,AR_Input!$A:$A,AR_Input!$E:$E,leStart),
reEsc,AND(anom,OR(ABS((S430+AM430)-reStart)&gt;maxStart,ABS((S430+AM430)-reAR)&gt;maxAR)),
leEsc,AND(anom,OR(ABS((V430+AP430)-leStart)&gt;maxStart,ABS((V430+AP430)-leAR)&gt;maxAR)),
phaseMax,IFS(
 AK430="Fast",
   IFS(
     OR(C430="B",C430="D"),XLOOKUP("timeout_coarse_fast",Calibration!$B:$B,Calibration!$C:$C,24),
     OR(C430="E",C430="F",C430="H",C430="I"),XLOOKUP("timeout_jcc_fast",Calibration!$B:$B,Calibration!$C:$C,10),
     OR(C430="G",C430="J"),XLOOKUP("timeout_duochrome_fast",Calibration!$B:$B,Calibration!$C:$C,8),
     C430="K",XLOOKUP("timeout_bino_fast",Calibration!$B:$B,Calibration!$C:$C,10),
     OR(C430="P",C430="Q",C430="R"),XLOOKUP("timeout_near_fast",Calibration!$B:$B,Calibration!$C:$C,16),
     TRUE,XLOOKUP("timeout_coarse_fast",Calibration!$B:$B,Calibration!$C:$C,24)
   ),
 AK430="Normal",
   IFS(
     OR(C430="B",C430="D"),XLOOKUP("timeout_coarse_normal",Calibration!$B:$B,Calibration!$C:$C,36),
     OR(C430="E",C430="F",C430="H",C430="I"),XLOOKUP("timeout_jcc_normal",Calibration!$B:$B,Calibration!$C:$C,14),
     OR(C430="G",C430="J"),XLOOKUP("timeout_duochrome_normal",Calibration!$B:$B,Calibration!$C:$C,10),
     C430="K",XLOOKUP("timeout_bino_normal",Calibration!$B:$B,Calibration!$C:$C,14),
     OR(C430="P",C430="Q",C430="R"),XLOOKUP("timeout_near_normal",Calibration!$B:$B,Calibration!$C:$C,22),
     TRUE,XLOOKUP("timeout_coarse_normal",Calibration!$B:$B,Calibration!$C:$C,36)
   ),
 TRUE,
   IFS(
     OR(C430="B",C430="D"),XLOOKUP("timeout_coarse_slow",Calibration!$B:$B,Calibration!$C:$C,48),
     OR(C430="E",C430="F",C430="H",C430="I"),XLOOKUP("timeout_jcc_slow",Calibration!$B:$B,Calibration!$C:$C,18),
     OR(C430="G",C430="J"),XLOOKUP("timeout_duochrome_slow",Calibration!$B:$B,Calibration!$C:$C,12),
     C430="K",XLOOKUP("timeout_bino_slow",Calibration!$B:$B,Calibration!$C:$C,18),
     OR(C430="P",C430="Q",C430="R"),XLOOKUP("timeout_near_slow",Calibration!$B:$B,Calibration!$C:$C,28),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AJ430=TRUE,"ESCALATE",
C430="A",
IF(OR(I430="NOT_READABLE",I430="BLURRY",AND(R430="20_20_20",I430="READABLE")),"B","A"),
C430="B",
IF(reEsc,"ESCALATE",IF(AY430&gt;=phaseMax,"ESCALATE",IF(AND(AV430&gt;=AW430,I430="READABLE"),"E","B"))),
C430="E",
IF(AY430&gt;=phaseMax,"ESCALATE",IF(OR(I430="SAME",I430="CANT_TELL",AD430&lt;axisTol),"F","E")),
C430="F",
IF(AY430&gt;=phaseMax,"ESCALATE",IF(AX430&gt;=powerSameN,"G","F")),
C430="G",
IF(AY430&gt;=phaseMax,"ESCALATE",IF(OR(AX430&gt;=duoEqualN,BB430&gt;=duoMax),"D","G")),
C430="D",
IF(leEsc,"ESCALATE",IF(AY430&gt;=phaseMax,"ESCALATE",IF(AND(AV430&gt;=AW430,I430="READABLE"),"H","D"))),
C430="H",
IF(AY430&gt;=phaseMax,"ESCALATE",IF(OR(I430="SAME",I430="CANT_TELL",AD430&lt;axisTol),"I","H")),
C430="I",
IF(AY430&gt;=phaseMax,"ESCALATE",IF(AX430&gt;=powerSameN,"J","I")),
C430="J",
IF(AY430&gt;=phaseMax,"ESCALATE",IF(OR(AX430&gt;=duoEqualN,BB430&gt;=duoMax),"K","J")),
C430="K",
IF(AY430&gt;=phaseMax,"ESCALATE",IF(AX430&gt;=binoSameN,IF(XLOOKUP($B430,Derived_Variables!$A:$A,Derived_Variables!$AJ:$AJ,FALSE)=TRUE,"P","END"),"K")),
C430="P",
IF(AY430&gt;=phaseMax,"ESCALATE",IF(OR(I430="READABLE",I430="SAME"),"Q","P")),
C430="Q",
IF(AY430&gt;=phaseMax,"ESCALATE",IF(OR(I430="READABLE",I430="SAME"),"R","Q")),
C430="R",
IF(AY430&gt;=phaseMax,"ESCALATE",IF(OR(I430=nearTarget,I430="SAME"),"END","R")),
TRUE,"END"
)))</f>
        <v/>
      </c>
      <c r="BD430" s="28" t="b">
        <f t="shared" si="19"/>
        <v>0</v>
      </c>
    </row>
    <row r="431" ht="15.75" customHeight="1">
      <c r="A431" s="28">
        <f t="shared" si="3"/>
        <v>430</v>
      </c>
      <c r="B431" s="28">
        <f t="shared" si="4"/>
        <v>6</v>
      </c>
      <c r="C431" s="28" t="str">
        <f t="shared" si="5"/>
        <v/>
      </c>
      <c r="D431" s="28" t="str">
        <f t="array" ref="D431">IF($I430="","",XLOOKUP(C431,FSM_State_Map!A:A,FSM_State_Map!B:B,""))</f>
        <v/>
      </c>
      <c r="E431" s="28" t="str">
        <f t="array" ref="E431">IF($I430="","",XLOOKUP(C431,FSM_State_Map!A:A,FSM_State_Map!C:C,""))</f>
        <v/>
      </c>
      <c r="F431" s="28" t="str">
        <f t="array" ref="F431">IF($I430="","",XLOOKUP(E431,Phase_UI_Map!A:A,Phase_UI_Map!B:B,""))</f>
        <v/>
      </c>
      <c r="G431" s="28" t="str">
        <f t="array" ref="G431">IF($I430="","",XLOOKUP(E431,Phase_UI_Map!A:A,Phase_UI_Map!C:C,""))</f>
        <v/>
      </c>
      <c r="H431" s="28" t="str">
        <f t="array" ref="H431">IF($I430="","",XLOOKUP(E431,Phase_UI_Map!A:A,Phase_UI_Map!D:D,""))</f>
        <v/>
      </c>
      <c r="I431" s="29"/>
      <c r="J431" s="28" t="str">
        <f>IFERROR(__xludf.DUMMYFUNCTION("IF($I430="""","""",IFERROR(INDEX(FILTER(Response_Lists!$B:$B,Response_Lists!$A:$A=$H431),1),""""))"),"")</f>
        <v/>
      </c>
      <c r="K431" s="28" t="str">
        <f>IFERROR(__xludf.DUMMYFUNCTION("IF($I430="""","""",IFERROR(INDEX(FILTER(Response_Lists!$B:$B,Response_Lists!$A:$A=$H431),2),""""))"),"")</f>
        <v/>
      </c>
      <c r="L431" s="28" t="str">
        <f>IFERROR(__xludf.DUMMYFUNCTION("IF($I430="""","""",IFERROR(INDEX(FILTER(Response_Lists!$B:$B,Response_Lists!$A:$A=$H431),3),""""))"),"")</f>
        <v/>
      </c>
      <c r="M431" s="28" t="str">
        <f>IFERROR(__xludf.DUMMYFUNCTION("IF($I430="""","""",IFERROR(INDEX(FILTER(Response_Lists!$B:$B,Response_Lists!$A:$A=$H431),4),""""))"),"")</f>
        <v/>
      </c>
      <c r="N431" s="28" t="str">
        <f>IFERROR(__xludf.DUMMYFUNCTION("IF($I430="""","""",IFERROR(INDEX(FILTER(Response_Lists!$B:$B,Response_Lists!$A:$A=$H431),5),""""))"),"")</f>
        <v/>
      </c>
      <c r="O431" s="28" t="str">
        <f>IFERROR(__xludf.DUMMYFUNCTION("IF($I430="""","""",IFERROR(INDEX(FILTER(Response_Lists!$B:$B,Response_Lists!$A:$A=$H431),6),""""))"),"")</f>
        <v/>
      </c>
      <c r="P431" s="28" t="str">
        <f t="shared" si="6"/>
        <v/>
      </c>
      <c r="Q431" s="28" t="str">
        <f t="array" ref="Q431">IF($I430="","",XLOOKUP(C431,FSM_State_Map!A:A,FSM_State_Map!D:D,""))</f>
        <v/>
      </c>
      <c r="R431" s="28" t="str">
        <f t="shared" si="7"/>
        <v/>
      </c>
      <c r="S431" s="28" t="str">
        <f t="array" ref="S431">IF($I430="","",
IF(
  AND(C431="B",C430&lt;&gt;"B"),
  XLOOKUP($B431,Derived_Variables!$A:$A,Derived_Variables!$K:$K,0)
  + XLOOKUP($B431,Derived_Variables!$A:$A,Derived_Variables!$AE:$AE,0),
  S430+AM430
))</f>
        <v/>
      </c>
      <c r="T431" s="28" t="str">
        <f t="shared" ref="T431:U431" si="872">IF($I430="","",T430+AN430)</f>
        <v/>
      </c>
      <c r="U431" s="28" t="str">
        <f t="shared" si="872"/>
        <v/>
      </c>
      <c r="V431" s="28" t="str">
        <f t="array" ref="V431">IF($I430="","",
IF(
  AND(C431="D",C430&lt;&gt;"D"),
  XLOOKUP($B431,Derived_Variables!$A:$A,Derived_Variables!$N:$N,0)
  + XLOOKUP($B431,Derived_Variables!$A:$A,Derived_Variables!$AE:$AE,0),
  V430+AP430
))</f>
        <v/>
      </c>
      <c r="W431" s="28" t="str">
        <f t="shared" ref="W431:X431" si="873">IF($I430="","",W430+AQ430)</f>
        <v/>
      </c>
      <c r="X431" s="28" t="str">
        <f t="shared" si="873"/>
        <v/>
      </c>
      <c r="Y431" s="28" t="str">
        <f t="array" ref="Y431">IF($I430="","",IF(AND(C431="P",C430&lt;&gt;"P"),IFERROR(XLOOKUP($B431,Lenso_Input!$A:$A,Lenso_Input!$E:$E,0),0),Y430+AS430))</f>
        <v/>
      </c>
      <c r="Z431" s="28" t="str">
        <f t="array" ref="Z431">IF($I430="","",IF(AND(C431="Q",C430&lt;&gt;"Q"),IFERROR(XLOOKUP($B431,Lenso_Input!$A:$A,Lenso_Input!$I:$I,0),0),Z430+AT430))</f>
        <v/>
      </c>
      <c r="AA431" s="28" t="str">
        <f t="array" ref="AA431">IF($I430="","",IF(XLOOKUP($B431,Derived_Variables!$A:$A,Derived_Variables!$R:$R,"6/6_target")="6/6_target","20_20_20","40_30_25"))</f>
        <v/>
      </c>
      <c r="AB431" s="28" t="str">
        <f t="array" ref="AB431">IF($I430="","",XLOOKUP(LOWER(XLOOKUP($B431,Derived_Variables!$A:$A,Derived_Variables!$T:$T,"Standard"))&amp;"_sph_step",Calibration!$B:$B,Calibration!$C:$C,0.25))</f>
        <v/>
      </c>
      <c r="AC431" s="28" t="str">
        <f t="array" ref="AC431">IF($I430="","",XLOOKUP(LOWER(XLOOKUP($B431,Derived_Variables!$A:$A,Derived_Variables!$T:$T,"Standard"))&amp;"_cyl_step",Calibration!$B:$B,Calibration!$C:$C,0.25))</f>
        <v/>
      </c>
      <c r="AD431" s="28" t="str">
        <f t="array" ref="AD431">IF($I430="","",IF(OR(C431="E",C431="H"),LET(startStep,XLOOKUP("axis_start_step",Calibration!$B:$B,Calibration!$C:$C,5),step1,XLOOKUP("axis_reversal_step_1",Calibration!$B:$B,Calibration!$C:$C,3),step2,XLOOKUP("axis_reversal_step_2",Calibration!$B:$B,Calibration!$C:$C,1),IF(OR(C430&lt;&gt;C431,AZ431="",AZ431="SAME",AZ431="CANT_TELL",I431="",I431="SAME",I431="CANT_TELL"),startStep,IF(OR(AND(AZ431="BETTER_1",I431="BETTER_2"),AND(AZ431="BETTER_2",I431="BETTER_1")),IF(AD430&gt;step1,step1,step2),AD430))),0))</f>
        <v/>
      </c>
      <c r="AE431" s="28" t="str">
        <f t="array" ref="AE431">IF($I430="","",XLOOKUP($B431,Derived_Variables!$A:$A,Derived_Variables!$AD:$AD,"No_Fog"))</f>
        <v/>
      </c>
      <c r="AF431" s="28" t="str">
        <f t="array" ref="AF431">IF($I430="","",XLOOKUP($B431,Derived_Variables!$A:$A,Derived_Variables!$AE:$AE,0))</f>
        <v/>
      </c>
      <c r="AG431" s="28" t="str">
        <f t="array" ref="AG431">IF($I430="","",XLOOKUP($B431,Derived_Variables!$A:$A,Derived_Variables!$AF:$AF,""))</f>
        <v/>
      </c>
      <c r="AH431" s="28" t="str">
        <f t="array" ref="AH431">IF($I430="","",XLOOKUP($B431,Derived_Variables!$A:$A,Derived_Variables!$AG:$AG,""))</f>
        <v/>
      </c>
      <c r="AI431" s="28" t="str">
        <f t="array" ref="AI431">IF($I430="","",XLOOKUP($B431,Derived_Variables!$A:$A,Derived_Variables!$AC:$AC,"Medium"))</f>
        <v/>
      </c>
      <c r="AJ431" s="28" t="str">
        <f t="array" ref="AJ431">IF($I430="","",XLOOKUP($B431,Derived_Variables!$A:$A,Derived_Variables!$Y:$Y,FALSE))</f>
        <v/>
      </c>
      <c r="AK431" s="28" t="str">
        <f t="array" ref="AK431">IF($I430="","",XLOOKUP($B431,Derived_Variables!$A:$A,Derived_Variables!$AA:$AA,"Normal"))</f>
        <v/>
      </c>
      <c r="AL431" s="28" t="str">
        <f t="array" ref="AL431">IF($I430="","",XLOOKUP($B431,Derived_Variables!$A:$A,Derived_Variables!$AB:$AB,"Normal"))</f>
        <v/>
      </c>
      <c r="AM431" s="28" t="str">
        <f t="array" ref="AM431">IF($I431="","",IFS(C431="B",IF(OR(I431="NOT_READABLE",I431="BLURRY"),-AB431,0),C431="G",IFS(I431="RED_CLEARER",XLOOKUP("duochrome_red_step",Calibration!$B:$B,Calibration!$C:$C,-0.25),I431="GREEN_CLEARER",XLOOKUP("duochrome_green_step",Calibration!$B:$B,Calibration!$C:$C,0.25),I431="EQUAL",IF(XLOOKUP($B431,Derived_Variables!$A:$A,Derived_Variables!$S:$S,"Neutral")="Undercorrect",XLOOKUP("undercorrect_step",Calibration!$B:$B,Calibration!$C:$C,0.25),IF(XLOOKUP($B431,Derived_Variables!$A:$A,Derived_Variables!$S:$S,"Neutral")="Overcorrect",-XLOOKUP("overcorrect_step",Calibration!$B:$B,Calibration!$C:$C,0.25),0)),TRUE,0),C431="K",IF(I431="TOP_CLEARER",XLOOKUP("bino_balance_step",Calibration!$B:$B,Calibration!$C:$C,0.25),0),TRUE,0))</f>
        <v/>
      </c>
      <c r="AN431" s="28" t="str">
        <f t="shared" si="10"/>
        <v/>
      </c>
      <c r="AO431" s="28" t="str">
        <f t="shared" si="11"/>
        <v/>
      </c>
      <c r="AP431" s="28" t="str">
        <f t="array" ref="AP431">IF($I431="","",IFS(C431="D",IF(OR(I431="NOT_READABLE",I431="BLURRY"),-AB431,0),C431="J",IFS(I431="RED_CLEARER",XLOOKUP("duochrome_red_step",Calibration!$B:$B,Calibration!$C:$C,-0.25),I431="GREEN_CLEARER",XLOOKUP("duochrome_green_step",Calibration!$B:$B,Calibration!$C:$C,0.25),I431="EQUAL",IF(XLOOKUP($B431,Derived_Variables!$A:$A,Derived_Variables!$S:$S,"Neutral")="Undercorrect",XLOOKUP("undercorrect_step",Calibration!$B:$B,Calibration!$C:$C,0.25),IF(XLOOKUP($B431,Derived_Variables!$A:$A,Derived_Variables!$S:$S,"Neutral")="Overcorrect",-XLOOKUP("overcorrect_step",Calibration!$B:$B,Calibration!$C:$C,0.25),0)),TRUE,0),C431="K",IF(I431="BOTTOM_CLEARER",XLOOKUP("bino_balance_step",Calibration!$B:$B,Calibration!$C:$C,0.25),0),TRUE,0))</f>
        <v/>
      </c>
      <c r="AQ431" s="28" t="str">
        <f t="shared" si="12"/>
        <v/>
      </c>
      <c r="AR431" s="28" t="str">
        <f t="shared" si="13"/>
        <v/>
      </c>
      <c r="AS431" s="28" t="str">
        <f t="array" ref="AS431">IF($I431="","",IF(C431="P",IF(OR(I431="NOT_READABLE",I431="BLURRY"),XLOOKUP("near_add_step",Calibration!$B:$B,Calibration!$C:$C,0.25),0),IF(C431="R",IF(I431="NOT_CLEAR",XLOOKUP("near_add_step",Calibration!$B:$B,Calibration!$C:$C,0.25),0),0)))</f>
        <v/>
      </c>
      <c r="AT431" s="28" t="str">
        <f t="array" ref="AT431">IF($I431="","",IF(C431="Q",IF(OR(I431="NOT_READABLE",I431="BLURRY"),XLOOKUP("near_add_step",Calibration!$B:$B,Calibration!$C:$C,0.25),0),IF(C431="R",IF(I431="NOT_CLEAR",XLOOKUP("near_add_step",Calibration!$B:$B,Calibration!$C:$C,0.25),0),0)))</f>
        <v/>
      </c>
      <c r="AU431" s="28" t="str">
        <f t="array" ref="AU431">IF($I431="","",IF(G431="SNELLEN_FEET",IF(I431="READABLE",IFERROR(XLOOKUP(XLOOKUP(R431,Chart_Scale_Distance!B:B,Chart_Scale_Distance!A:A)+1,Chart_Scale_Distance!A:A,Chart_Scale_Distance!B:B),R431),R431),R431))</f>
        <v/>
      </c>
      <c r="AV431" s="28" t="str">
        <f t="array" ref="AV431">IF($I430="","",IFERROR(XLOOKUP(R431,Chart_Scale_Distance!$B:$B,Chart_Scale_Distance!$A:$A,""),""))</f>
        <v/>
      </c>
      <c r="AW431" s="28" t="str">
        <f t="array" ref="AW431">IF($I430="","",IFERROR(XLOOKUP(AA431,Chart_Scale_Distance!$B:$B,Chart_Scale_Distance!$A:$A,""),""))</f>
        <v/>
      </c>
      <c r="AX431" s="28" t="str">
        <f t="shared" si="14"/>
        <v/>
      </c>
      <c r="AY431" s="28" t="str">
        <f t="shared" si="15"/>
        <v/>
      </c>
      <c r="AZ431" s="28" t="str">
        <f t="shared" si="16"/>
        <v/>
      </c>
      <c r="BA431" s="28" t="str">
        <f t="shared" si="17"/>
        <v/>
      </c>
      <c r="BB431" s="28" t="str">
        <f t="shared" si="18"/>
        <v/>
      </c>
      <c r="BC431" s="28" t="str">
        <f t="array" ref="BC431">IF($I431="","",LET(
conf,AI431,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duoMax,XLOOKUP($B431,Derived_Variables!$A:$A,Derived_Variables!$AI:$AI,4),
axisTol,XLOOKUP($B431,Derived_Variables!$A:$A,Derived_Variables!$W:$W,1),
maxStart,XLOOKUP($B431,Derived_Variables!$A:$A,Derived_Variables!$U:$U,1.25),
maxAR,XLOOKUP($B431,Derived_Variables!$A:$A,Derived_Variables!$V:$V,3),
anom,XLOOKUP($B431,Derived_Variables!$A:$A,Derived_Variables!$Z:$Z,FALSE),
reStart,XLOOKUP($B431,Derived_Variables!$A:$A,Derived_Variables!$K:$K,0),
leStart,XLOOKUP($B431,Derived_Variables!$A:$A,Derived_Variables!$N:$N,0),
reAR,XLOOKUP($B431,AR_Input!$A:$A,AR_Input!$B:$B,reStart),
leAR,XLOOKUP($B431,AR_Input!$A:$A,AR_Input!$E:$E,leStart),
reEsc,AND(anom,OR(ABS((S431+AM431)-reStart)&gt;maxStart,ABS((S431+AM431)-reAR)&gt;maxAR)),
leEsc,AND(anom,OR(ABS((V431+AP431)-leStart)&gt;maxStart,ABS((V431+AP431)-leAR)&gt;maxAR)),
phaseMax,IFS(
 AK431="Fast",
   IFS(
     OR(C431="B",C431="D"),XLOOKUP("timeout_coarse_fast",Calibration!$B:$B,Calibration!$C:$C,24),
     OR(C431="E",C431="F",C431="H",C431="I"),XLOOKUP("timeout_jcc_fast",Calibration!$B:$B,Calibration!$C:$C,10),
     OR(C431="G",C431="J"),XLOOKUP("timeout_duochrome_fast",Calibration!$B:$B,Calibration!$C:$C,8),
     C431="K",XLOOKUP("timeout_bino_fast",Calibration!$B:$B,Calibration!$C:$C,10),
     OR(C431="P",C431="Q",C431="R"),XLOOKUP("timeout_near_fast",Calibration!$B:$B,Calibration!$C:$C,16),
     TRUE,XLOOKUP("timeout_coarse_fast",Calibration!$B:$B,Calibration!$C:$C,24)
   ),
 AK431="Normal",
   IFS(
     OR(C431="B",C431="D"),XLOOKUP("timeout_coarse_normal",Calibration!$B:$B,Calibration!$C:$C,36),
     OR(C431="E",C431="F",C431="H",C431="I"),XLOOKUP("timeout_jcc_normal",Calibration!$B:$B,Calibration!$C:$C,14),
     OR(C431="G",C431="J"),XLOOKUP("timeout_duochrome_normal",Calibration!$B:$B,Calibration!$C:$C,10),
     C431="K",XLOOKUP("timeout_bino_normal",Calibration!$B:$B,Calibration!$C:$C,14),
     OR(C431="P",C431="Q",C431="R"),XLOOKUP("timeout_near_normal",Calibration!$B:$B,Calibration!$C:$C,22),
     TRUE,XLOOKUP("timeout_coarse_normal",Calibration!$B:$B,Calibration!$C:$C,36)
   ),
 TRUE,
   IFS(
     OR(C431="B",C431="D"),XLOOKUP("timeout_coarse_slow",Calibration!$B:$B,Calibration!$C:$C,48),
     OR(C431="E",C431="F",C431="H",C431="I"),XLOOKUP("timeout_jcc_slow",Calibration!$B:$B,Calibration!$C:$C,18),
     OR(C431="G",C431="J"),XLOOKUP("timeout_duochrome_slow",Calibration!$B:$B,Calibration!$C:$C,12),
     C431="K",XLOOKUP("timeout_bino_slow",Calibration!$B:$B,Calibration!$C:$C,18),
     OR(C431="P",C431="Q",C431="R"),XLOOKUP("timeout_near_slow",Calibration!$B:$B,Calibration!$C:$C,28),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AJ431=TRUE,"ESCALATE",
C431="A",
IF(OR(I431="NOT_READABLE",I431="BLURRY",AND(R431="20_20_20",I431="READABLE")),"B","A"),
C431="B",
IF(reEsc,"ESCALATE",IF(AY431&gt;=phaseMax,"ESCALATE",IF(AND(AV431&gt;=AW431,I431="READABLE"),"E","B"))),
C431="E",
IF(AY431&gt;=phaseMax,"ESCALATE",IF(OR(I431="SAME",I431="CANT_TELL",AD431&lt;axisTol),"F","E")),
C431="F",
IF(AY431&gt;=phaseMax,"ESCALATE",IF(AX431&gt;=powerSameN,"G","F")),
C431="G",
IF(AY431&gt;=phaseMax,"ESCALATE",IF(OR(AX431&gt;=duoEqualN,BB431&gt;=duoMax),"D","G")),
C431="D",
IF(leEsc,"ESCALATE",IF(AY431&gt;=phaseMax,"ESCALATE",IF(AND(AV431&gt;=AW431,I431="READABLE"),"H","D"))),
C431="H",
IF(AY431&gt;=phaseMax,"ESCALATE",IF(OR(I431="SAME",I431="CANT_TELL",AD431&lt;axisTol),"I","H")),
C431="I",
IF(AY431&gt;=phaseMax,"ESCALATE",IF(AX431&gt;=powerSameN,"J","I")),
C431="J",
IF(AY431&gt;=phaseMax,"ESCALATE",IF(OR(AX431&gt;=duoEqualN,BB431&gt;=duoMax),"K","J")),
C431="K",
IF(AY431&gt;=phaseMax,"ESCALATE",IF(AX431&gt;=binoSameN,IF(XLOOKUP($B431,Derived_Variables!$A:$A,Derived_Variables!$AJ:$AJ,FALSE)=TRUE,"P","END"),"K")),
C431="P",
IF(AY431&gt;=phaseMax,"ESCALATE",IF(OR(I431="READABLE",I431="SAME"),"Q","P")),
C431="Q",
IF(AY431&gt;=phaseMax,"ESCALATE",IF(OR(I431="READABLE",I431="SAME"),"R","Q")),
C431="R",
IF(AY431&gt;=phaseMax,"ESCALATE",IF(OR(I431=nearTarget,I431="SAME"),"END","R")),
TRUE,"END"
)))</f>
        <v/>
      </c>
      <c r="BD431" s="28" t="b">
        <f t="shared" si="19"/>
        <v>0</v>
      </c>
    </row>
    <row r="432" ht="15.75" customHeight="1">
      <c r="A432" s="28">
        <f t="shared" si="3"/>
        <v>431</v>
      </c>
      <c r="B432" s="28">
        <f t="shared" si="4"/>
        <v>6</v>
      </c>
      <c r="C432" s="28" t="str">
        <f t="shared" si="5"/>
        <v/>
      </c>
      <c r="D432" s="28" t="str">
        <f t="array" ref="D432">IF($I431="","",XLOOKUP(C432,FSM_State_Map!A:A,FSM_State_Map!B:B,""))</f>
        <v/>
      </c>
      <c r="E432" s="28" t="str">
        <f t="array" ref="E432">IF($I431="","",XLOOKUP(C432,FSM_State_Map!A:A,FSM_State_Map!C:C,""))</f>
        <v/>
      </c>
      <c r="F432" s="28" t="str">
        <f t="array" ref="F432">IF($I431="","",XLOOKUP(E432,Phase_UI_Map!A:A,Phase_UI_Map!B:B,""))</f>
        <v/>
      </c>
      <c r="G432" s="28" t="str">
        <f t="array" ref="G432">IF($I431="","",XLOOKUP(E432,Phase_UI_Map!A:A,Phase_UI_Map!C:C,""))</f>
        <v/>
      </c>
      <c r="H432" s="28" t="str">
        <f t="array" ref="H432">IF($I431="","",XLOOKUP(E432,Phase_UI_Map!A:A,Phase_UI_Map!D:D,""))</f>
        <v/>
      </c>
      <c r="I432" s="29"/>
      <c r="J432" s="28" t="str">
        <f>IFERROR(__xludf.DUMMYFUNCTION("IF($I431="""","""",IFERROR(INDEX(FILTER(Response_Lists!$B:$B,Response_Lists!$A:$A=$H432),1),""""))"),"")</f>
        <v/>
      </c>
      <c r="K432" s="28" t="str">
        <f>IFERROR(__xludf.DUMMYFUNCTION("IF($I431="""","""",IFERROR(INDEX(FILTER(Response_Lists!$B:$B,Response_Lists!$A:$A=$H432),2),""""))"),"")</f>
        <v/>
      </c>
      <c r="L432" s="28" t="str">
        <f>IFERROR(__xludf.DUMMYFUNCTION("IF($I431="""","""",IFERROR(INDEX(FILTER(Response_Lists!$B:$B,Response_Lists!$A:$A=$H432),3),""""))"),"")</f>
        <v/>
      </c>
      <c r="M432" s="28" t="str">
        <f>IFERROR(__xludf.DUMMYFUNCTION("IF($I431="""","""",IFERROR(INDEX(FILTER(Response_Lists!$B:$B,Response_Lists!$A:$A=$H432),4),""""))"),"")</f>
        <v/>
      </c>
      <c r="N432" s="28" t="str">
        <f>IFERROR(__xludf.DUMMYFUNCTION("IF($I431="""","""",IFERROR(INDEX(FILTER(Response_Lists!$B:$B,Response_Lists!$A:$A=$H432),5),""""))"),"")</f>
        <v/>
      </c>
      <c r="O432" s="28" t="str">
        <f>IFERROR(__xludf.DUMMYFUNCTION("IF($I431="""","""",IFERROR(INDEX(FILTER(Response_Lists!$B:$B,Response_Lists!$A:$A=$H432),6),""""))"),"")</f>
        <v/>
      </c>
      <c r="P432" s="28" t="str">
        <f t="shared" si="6"/>
        <v/>
      </c>
      <c r="Q432" s="28" t="str">
        <f t="array" ref="Q432">IF($I431="","",XLOOKUP(C432,FSM_State_Map!A:A,FSM_State_Map!D:D,""))</f>
        <v/>
      </c>
      <c r="R432" s="28" t="str">
        <f t="shared" si="7"/>
        <v/>
      </c>
      <c r="S432" s="28" t="str">
        <f t="array" ref="S432">IF($I431="","",
IF(
  AND(C432="B",C431&lt;&gt;"B"),
  XLOOKUP($B432,Derived_Variables!$A:$A,Derived_Variables!$K:$K,0)
  + XLOOKUP($B432,Derived_Variables!$A:$A,Derived_Variables!$AE:$AE,0),
  S431+AM431
))</f>
        <v/>
      </c>
      <c r="T432" s="28" t="str">
        <f t="shared" ref="T432:U432" si="874">IF($I431="","",T431+AN431)</f>
        <v/>
      </c>
      <c r="U432" s="28" t="str">
        <f t="shared" si="874"/>
        <v/>
      </c>
      <c r="V432" s="28" t="str">
        <f t="array" ref="V432">IF($I431="","",
IF(
  AND(C432="D",C431&lt;&gt;"D"),
  XLOOKUP($B432,Derived_Variables!$A:$A,Derived_Variables!$N:$N,0)
  + XLOOKUP($B432,Derived_Variables!$A:$A,Derived_Variables!$AE:$AE,0),
  V431+AP431
))</f>
        <v/>
      </c>
      <c r="W432" s="28" t="str">
        <f t="shared" ref="W432:X432" si="875">IF($I431="","",W431+AQ431)</f>
        <v/>
      </c>
      <c r="X432" s="28" t="str">
        <f t="shared" si="875"/>
        <v/>
      </c>
      <c r="Y432" s="28" t="str">
        <f t="array" ref="Y432">IF($I431="","",IF(AND(C432="P",C431&lt;&gt;"P"),IFERROR(XLOOKUP($B432,Lenso_Input!$A:$A,Lenso_Input!$E:$E,0),0),Y431+AS431))</f>
        <v/>
      </c>
      <c r="Z432" s="28" t="str">
        <f t="array" ref="Z432">IF($I431="","",IF(AND(C432="Q",C431&lt;&gt;"Q"),IFERROR(XLOOKUP($B432,Lenso_Input!$A:$A,Lenso_Input!$I:$I,0),0),Z431+AT431))</f>
        <v/>
      </c>
      <c r="AA432" s="28" t="str">
        <f t="array" ref="AA432">IF($I431="","",IF(XLOOKUP($B432,Derived_Variables!$A:$A,Derived_Variables!$R:$R,"6/6_target")="6/6_target","20_20_20","40_30_25"))</f>
        <v/>
      </c>
      <c r="AB432" s="28" t="str">
        <f t="array" ref="AB432">IF($I431="","",XLOOKUP(LOWER(XLOOKUP($B432,Derived_Variables!$A:$A,Derived_Variables!$T:$T,"Standard"))&amp;"_sph_step",Calibration!$B:$B,Calibration!$C:$C,0.25))</f>
        <v/>
      </c>
      <c r="AC432" s="28" t="str">
        <f t="array" ref="AC432">IF($I431="","",XLOOKUP(LOWER(XLOOKUP($B432,Derived_Variables!$A:$A,Derived_Variables!$T:$T,"Standard"))&amp;"_cyl_step",Calibration!$B:$B,Calibration!$C:$C,0.25))</f>
        <v/>
      </c>
      <c r="AD432" s="28" t="str">
        <f t="array" ref="AD432">IF($I431="","",IF(OR(C432="E",C432="H"),LET(startStep,XLOOKUP("axis_start_step",Calibration!$B:$B,Calibration!$C:$C,5),step1,XLOOKUP("axis_reversal_step_1",Calibration!$B:$B,Calibration!$C:$C,3),step2,XLOOKUP("axis_reversal_step_2",Calibration!$B:$B,Calibration!$C:$C,1),IF(OR(C431&lt;&gt;C432,AZ432="",AZ432="SAME",AZ432="CANT_TELL",I432="",I432="SAME",I432="CANT_TELL"),startStep,IF(OR(AND(AZ432="BETTER_1",I432="BETTER_2"),AND(AZ432="BETTER_2",I432="BETTER_1")),IF(AD431&gt;step1,step1,step2),AD431))),0))</f>
        <v/>
      </c>
      <c r="AE432" s="28" t="str">
        <f t="array" ref="AE432">IF($I431="","",XLOOKUP($B432,Derived_Variables!$A:$A,Derived_Variables!$AD:$AD,"No_Fog"))</f>
        <v/>
      </c>
      <c r="AF432" s="28" t="str">
        <f t="array" ref="AF432">IF($I431="","",XLOOKUP($B432,Derived_Variables!$A:$A,Derived_Variables!$AE:$AE,0))</f>
        <v/>
      </c>
      <c r="AG432" s="28" t="str">
        <f t="array" ref="AG432">IF($I431="","",XLOOKUP($B432,Derived_Variables!$A:$A,Derived_Variables!$AF:$AF,""))</f>
        <v/>
      </c>
      <c r="AH432" s="28" t="str">
        <f t="array" ref="AH432">IF($I431="","",XLOOKUP($B432,Derived_Variables!$A:$A,Derived_Variables!$AG:$AG,""))</f>
        <v/>
      </c>
      <c r="AI432" s="28" t="str">
        <f t="array" ref="AI432">IF($I431="","",XLOOKUP($B432,Derived_Variables!$A:$A,Derived_Variables!$AC:$AC,"Medium"))</f>
        <v/>
      </c>
      <c r="AJ432" s="28" t="str">
        <f t="array" ref="AJ432">IF($I431="","",XLOOKUP($B432,Derived_Variables!$A:$A,Derived_Variables!$Y:$Y,FALSE))</f>
        <v/>
      </c>
      <c r="AK432" s="28" t="str">
        <f t="array" ref="AK432">IF($I431="","",XLOOKUP($B432,Derived_Variables!$A:$A,Derived_Variables!$AA:$AA,"Normal"))</f>
        <v/>
      </c>
      <c r="AL432" s="28" t="str">
        <f t="array" ref="AL432">IF($I431="","",XLOOKUP($B432,Derived_Variables!$A:$A,Derived_Variables!$AB:$AB,"Normal"))</f>
        <v/>
      </c>
      <c r="AM432" s="28" t="str">
        <f t="array" ref="AM432">IF($I432="","",IFS(C432="B",IF(OR(I432="NOT_READABLE",I432="BLURRY"),-AB432,0),C432="G",IFS(I432="RED_CLEARER",XLOOKUP("duochrome_red_step",Calibration!$B:$B,Calibration!$C:$C,-0.25),I432="GREEN_CLEARER",XLOOKUP("duochrome_green_step",Calibration!$B:$B,Calibration!$C:$C,0.25),I432="EQUAL",IF(XLOOKUP($B432,Derived_Variables!$A:$A,Derived_Variables!$S:$S,"Neutral")="Undercorrect",XLOOKUP("undercorrect_step",Calibration!$B:$B,Calibration!$C:$C,0.25),IF(XLOOKUP($B432,Derived_Variables!$A:$A,Derived_Variables!$S:$S,"Neutral")="Overcorrect",-XLOOKUP("overcorrect_step",Calibration!$B:$B,Calibration!$C:$C,0.25),0)),TRUE,0),C432="K",IF(I432="TOP_CLEARER",XLOOKUP("bino_balance_step",Calibration!$B:$B,Calibration!$C:$C,0.25),0),TRUE,0))</f>
        <v/>
      </c>
      <c r="AN432" s="28" t="str">
        <f t="shared" si="10"/>
        <v/>
      </c>
      <c r="AO432" s="28" t="str">
        <f t="shared" si="11"/>
        <v/>
      </c>
      <c r="AP432" s="28" t="str">
        <f t="array" ref="AP432">IF($I432="","",IFS(C432="D",IF(OR(I432="NOT_READABLE",I432="BLURRY"),-AB432,0),C432="J",IFS(I432="RED_CLEARER",XLOOKUP("duochrome_red_step",Calibration!$B:$B,Calibration!$C:$C,-0.25),I432="GREEN_CLEARER",XLOOKUP("duochrome_green_step",Calibration!$B:$B,Calibration!$C:$C,0.25),I432="EQUAL",IF(XLOOKUP($B432,Derived_Variables!$A:$A,Derived_Variables!$S:$S,"Neutral")="Undercorrect",XLOOKUP("undercorrect_step",Calibration!$B:$B,Calibration!$C:$C,0.25),IF(XLOOKUP($B432,Derived_Variables!$A:$A,Derived_Variables!$S:$S,"Neutral")="Overcorrect",-XLOOKUP("overcorrect_step",Calibration!$B:$B,Calibration!$C:$C,0.25),0)),TRUE,0),C432="K",IF(I432="BOTTOM_CLEARER",XLOOKUP("bino_balance_step",Calibration!$B:$B,Calibration!$C:$C,0.25),0),TRUE,0))</f>
        <v/>
      </c>
      <c r="AQ432" s="28" t="str">
        <f t="shared" si="12"/>
        <v/>
      </c>
      <c r="AR432" s="28" t="str">
        <f t="shared" si="13"/>
        <v/>
      </c>
      <c r="AS432" s="28" t="str">
        <f t="array" ref="AS432">IF($I432="","",IF(C432="P",IF(OR(I432="NOT_READABLE",I432="BLURRY"),XLOOKUP("near_add_step",Calibration!$B:$B,Calibration!$C:$C,0.25),0),IF(C432="R",IF(I432="NOT_CLEAR",XLOOKUP("near_add_step",Calibration!$B:$B,Calibration!$C:$C,0.25),0),0)))</f>
        <v/>
      </c>
      <c r="AT432" s="28" t="str">
        <f t="array" ref="AT432">IF($I432="","",IF(C432="Q",IF(OR(I432="NOT_READABLE",I432="BLURRY"),XLOOKUP("near_add_step",Calibration!$B:$B,Calibration!$C:$C,0.25),0),IF(C432="R",IF(I432="NOT_CLEAR",XLOOKUP("near_add_step",Calibration!$B:$B,Calibration!$C:$C,0.25),0),0)))</f>
        <v/>
      </c>
      <c r="AU432" s="28" t="str">
        <f t="array" ref="AU432">IF($I432="","",IF(G432="SNELLEN_FEET",IF(I432="READABLE",IFERROR(XLOOKUP(XLOOKUP(R432,Chart_Scale_Distance!B:B,Chart_Scale_Distance!A:A)+1,Chart_Scale_Distance!A:A,Chart_Scale_Distance!B:B),R432),R432),R432))</f>
        <v/>
      </c>
      <c r="AV432" s="28" t="str">
        <f t="array" ref="AV432">IF($I431="","",IFERROR(XLOOKUP(R432,Chart_Scale_Distance!$B:$B,Chart_Scale_Distance!$A:$A,""),""))</f>
        <v/>
      </c>
      <c r="AW432" s="28" t="str">
        <f t="array" ref="AW432">IF($I431="","",IFERROR(XLOOKUP(AA432,Chart_Scale_Distance!$B:$B,Chart_Scale_Distance!$A:$A,""),""))</f>
        <v/>
      </c>
      <c r="AX432" s="28" t="str">
        <f t="shared" si="14"/>
        <v/>
      </c>
      <c r="AY432" s="28" t="str">
        <f t="shared" si="15"/>
        <v/>
      </c>
      <c r="AZ432" s="28" t="str">
        <f t="shared" si="16"/>
        <v/>
      </c>
      <c r="BA432" s="28" t="str">
        <f t="shared" si="17"/>
        <v/>
      </c>
      <c r="BB432" s="28" t="str">
        <f t="shared" si="18"/>
        <v/>
      </c>
      <c r="BC432" s="28" t="str">
        <f t="array" ref="BC432">IF($I432="","",LET(
conf,AI432,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duoMax,XLOOKUP($B432,Derived_Variables!$A:$A,Derived_Variables!$AI:$AI,4),
axisTol,XLOOKUP($B432,Derived_Variables!$A:$A,Derived_Variables!$W:$W,1),
maxStart,XLOOKUP($B432,Derived_Variables!$A:$A,Derived_Variables!$U:$U,1.25),
maxAR,XLOOKUP($B432,Derived_Variables!$A:$A,Derived_Variables!$V:$V,3),
anom,XLOOKUP($B432,Derived_Variables!$A:$A,Derived_Variables!$Z:$Z,FALSE),
reStart,XLOOKUP($B432,Derived_Variables!$A:$A,Derived_Variables!$K:$K,0),
leStart,XLOOKUP($B432,Derived_Variables!$A:$A,Derived_Variables!$N:$N,0),
reAR,XLOOKUP($B432,AR_Input!$A:$A,AR_Input!$B:$B,reStart),
leAR,XLOOKUP($B432,AR_Input!$A:$A,AR_Input!$E:$E,leStart),
reEsc,AND(anom,OR(ABS((S432+AM432)-reStart)&gt;maxStart,ABS((S432+AM432)-reAR)&gt;maxAR)),
leEsc,AND(anom,OR(ABS((V432+AP432)-leStart)&gt;maxStart,ABS((V432+AP432)-leAR)&gt;maxAR)),
phaseMax,IFS(
 AK432="Fast",
   IFS(
     OR(C432="B",C432="D"),XLOOKUP("timeout_coarse_fast",Calibration!$B:$B,Calibration!$C:$C,24),
     OR(C432="E",C432="F",C432="H",C432="I"),XLOOKUP("timeout_jcc_fast",Calibration!$B:$B,Calibration!$C:$C,10),
     OR(C432="G",C432="J"),XLOOKUP("timeout_duochrome_fast",Calibration!$B:$B,Calibration!$C:$C,8),
     C432="K",XLOOKUP("timeout_bino_fast",Calibration!$B:$B,Calibration!$C:$C,10),
     OR(C432="P",C432="Q",C432="R"),XLOOKUP("timeout_near_fast",Calibration!$B:$B,Calibration!$C:$C,16),
     TRUE,XLOOKUP("timeout_coarse_fast",Calibration!$B:$B,Calibration!$C:$C,24)
   ),
 AK432="Normal",
   IFS(
     OR(C432="B",C432="D"),XLOOKUP("timeout_coarse_normal",Calibration!$B:$B,Calibration!$C:$C,36),
     OR(C432="E",C432="F",C432="H",C432="I"),XLOOKUP("timeout_jcc_normal",Calibration!$B:$B,Calibration!$C:$C,14),
     OR(C432="G",C432="J"),XLOOKUP("timeout_duochrome_normal",Calibration!$B:$B,Calibration!$C:$C,10),
     C432="K",XLOOKUP("timeout_bino_normal",Calibration!$B:$B,Calibration!$C:$C,14),
     OR(C432="P",C432="Q",C432="R"),XLOOKUP("timeout_near_normal",Calibration!$B:$B,Calibration!$C:$C,22),
     TRUE,XLOOKUP("timeout_coarse_normal",Calibration!$B:$B,Calibration!$C:$C,36)
   ),
 TRUE,
   IFS(
     OR(C432="B",C432="D"),XLOOKUP("timeout_coarse_slow",Calibration!$B:$B,Calibration!$C:$C,48),
     OR(C432="E",C432="F",C432="H",C432="I"),XLOOKUP("timeout_jcc_slow",Calibration!$B:$B,Calibration!$C:$C,18),
     OR(C432="G",C432="J"),XLOOKUP("timeout_duochrome_slow",Calibration!$B:$B,Calibration!$C:$C,12),
     C432="K",XLOOKUP("timeout_bino_slow",Calibration!$B:$B,Calibration!$C:$C,18),
     OR(C432="P",C432="Q",C432="R"),XLOOKUP("timeout_near_slow",Calibration!$B:$B,Calibration!$C:$C,28),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AJ432=TRUE,"ESCALATE",
C432="A",
IF(OR(I432="NOT_READABLE",I432="BLURRY",AND(R432="20_20_20",I432="READABLE")),"B","A"),
C432="B",
IF(reEsc,"ESCALATE",IF(AY432&gt;=phaseMax,"ESCALATE",IF(AND(AV432&gt;=AW432,I432="READABLE"),"E","B"))),
C432="E",
IF(AY432&gt;=phaseMax,"ESCALATE",IF(OR(I432="SAME",I432="CANT_TELL",AD432&lt;axisTol),"F","E")),
C432="F",
IF(AY432&gt;=phaseMax,"ESCALATE",IF(AX432&gt;=powerSameN,"G","F")),
C432="G",
IF(AY432&gt;=phaseMax,"ESCALATE",IF(OR(AX432&gt;=duoEqualN,BB432&gt;=duoMax),"D","G")),
C432="D",
IF(leEsc,"ESCALATE",IF(AY432&gt;=phaseMax,"ESCALATE",IF(AND(AV432&gt;=AW432,I432="READABLE"),"H","D"))),
C432="H",
IF(AY432&gt;=phaseMax,"ESCALATE",IF(OR(I432="SAME",I432="CANT_TELL",AD432&lt;axisTol),"I","H")),
C432="I",
IF(AY432&gt;=phaseMax,"ESCALATE",IF(AX432&gt;=powerSameN,"J","I")),
C432="J",
IF(AY432&gt;=phaseMax,"ESCALATE",IF(OR(AX432&gt;=duoEqualN,BB432&gt;=duoMax),"K","J")),
C432="K",
IF(AY432&gt;=phaseMax,"ESCALATE",IF(AX432&gt;=binoSameN,IF(XLOOKUP($B432,Derived_Variables!$A:$A,Derived_Variables!$AJ:$AJ,FALSE)=TRUE,"P","END"),"K")),
C432="P",
IF(AY432&gt;=phaseMax,"ESCALATE",IF(OR(I432="READABLE",I432="SAME"),"Q","P")),
C432="Q",
IF(AY432&gt;=phaseMax,"ESCALATE",IF(OR(I432="READABLE",I432="SAME"),"R","Q")),
C432="R",
IF(AY432&gt;=phaseMax,"ESCALATE",IF(OR(I432=nearTarget,I432="SAME"),"END","R")),
TRUE,"END"
)))</f>
        <v/>
      </c>
      <c r="BD432" s="28" t="b">
        <f t="shared" si="19"/>
        <v>0</v>
      </c>
    </row>
    <row r="433" ht="15.75" customHeight="1">
      <c r="A433" s="28">
        <f t="shared" si="3"/>
        <v>432</v>
      </c>
      <c r="B433" s="28">
        <f t="shared" si="4"/>
        <v>6</v>
      </c>
      <c r="C433" s="28" t="str">
        <f t="shared" si="5"/>
        <v/>
      </c>
      <c r="D433" s="28" t="str">
        <f t="array" ref="D433">IF($I432="","",XLOOKUP(C433,FSM_State_Map!A:A,FSM_State_Map!B:B,""))</f>
        <v/>
      </c>
      <c r="E433" s="28" t="str">
        <f t="array" ref="E433">IF($I432="","",XLOOKUP(C433,FSM_State_Map!A:A,FSM_State_Map!C:C,""))</f>
        <v/>
      </c>
      <c r="F433" s="28" t="str">
        <f t="array" ref="F433">IF($I432="","",XLOOKUP(E433,Phase_UI_Map!A:A,Phase_UI_Map!B:B,""))</f>
        <v/>
      </c>
      <c r="G433" s="28" t="str">
        <f t="array" ref="G433">IF($I432="","",XLOOKUP(E433,Phase_UI_Map!A:A,Phase_UI_Map!C:C,""))</f>
        <v/>
      </c>
      <c r="H433" s="28" t="str">
        <f t="array" ref="H433">IF($I432="","",XLOOKUP(E433,Phase_UI_Map!A:A,Phase_UI_Map!D:D,""))</f>
        <v/>
      </c>
      <c r="I433" s="29"/>
      <c r="J433" s="28" t="str">
        <f>IFERROR(__xludf.DUMMYFUNCTION("IF($I432="""","""",IFERROR(INDEX(FILTER(Response_Lists!$B:$B,Response_Lists!$A:$A=$H433),1),""""))"),"")</f>
        <v/>
      </c>
      <c r="K433" s="28" t="str">
        <f>IFERROR(__xludf.DUMMYFUNCTION("IF($I432="""","""",IFERROR(INDEX(FILTER(Response_Lists!$B:$B,Response_Lists!$A:$A=$H433),2),""""))"),"")</f>
        <v/>
      </c>
      <c r="L433" s="28" t="str">
        <f>IFERROR(__xludf.DUMMYFUNCTION("IF($I432="""","""",IFERROR(INDEX(FILTER(Response_Lists!$B:$B,Response_Lists!$A:$A=$H433),3),""""))"),"")</f>
        <v/>
      </c>
      <c r="M433" s="28" t="str">
        <f>IFERROR(__xludf.DUMMYFUNCTION("IF($I432="""","""",IFERROR(INDEX(FILTER(Response_Lists!$B:$B,Response_Lists!$A:$A=$H433),4),""""))"),"")</f>
        <v/>
      </c>
      <c r="N433" s="28" t="str">
        <f>IFERROR(__xludf.DUMMYFUNCTION("IF($I432="""","""",IFERROR(INDEX(FILTER(Response_Lists!$B:$B,Response_Lists!$A:$A=$H433),5),""""))"),"")</f>
        <v/>
      </c>
      <c r="O433" s="28" t="str">
        <f>IFERROR(__xludf.DUMMYFUNCTION("IF($I432="""","""",IFERROR(INDEX(FILTER(Response_Lists!$B:$B,Response_Lists!$A:$A=$H433),6),""""))"),"")</f>
        <v/>
      </c>
      <c r="P433" s="28" t="str">
        <f t="shared" si="6"/>
        <v/>
      </c>
      <c r="Q433" s="28" t="str">
        <f t="array" ref="Q433">IF($I432="","",XLOOKUP(C433,FSM_State_Map!A:A,FSM_State_Map!D:D,""))</f>
        <v/>
      </c>
      <c r="R433" s="28" t="str">
        <f t="shared" si="7"/>
        <v/>
      </c>
      <c r="S433" s="28" t="str">
        <f t="array" ref="S433">IF($I432="","",
IF(
  AND(C433="B",C432&lt;&gt;"B"),
  XLOOKUP($B433,Derived_Variables!$A:$A,Derived_Variables!$K:$K,0)
  + XLOOKUP($B433,Derived_Variables!$A:$A,Derived_Variables!$AE:$AE,0),
  S432+AM432
))</f>
        <v/>
      </c>
      <c r="T433" s="28" t="str">
        <f t="shared" ref="T433:U433" si="876">IF($I432="","",T432+AN432)</f>
        <v/>
      </c>
      <c r="U433" s="28" t="str">
        <f t="shared" si="876"/>
        <v/>
      </c>
      <c r="V433" s="28" t="str">
        <f t="array" ref="V433">IF($I432="","",
IF(
  AND(C433="D",C432&lt;&gt;"D"),
  XLOOKUP($B433,Derived_Variables!$A:$A,Derived_Variables!$N:$N,0)
  + XLOOKUP($B433,Derived_Variables!$A:$A,Derived_Variables!$AE:$AE,0),
  V432+AP432
))</f>
        <v/>
      </c>
      <c r="W433" s="28" t="str">
        <f t="shared" ref="W433:X433" si="877">IF($I432="","",W432+AQ432)</f>
        <v/>
      </c>
      <c r="X433" s="28" t="str">
        <f t="shared" si="877"/>
        <v/>
      </c>
      <c r="Y433" s="28" t="str">
        <f t="array" ref="Y433">IF($I432="","",IF(AND(C433="P",C432&lt;&gt;"P"),IFERROR(XLOOKUP($B433,Lenso_Input!$A:$A,Lenso_Input!$E:$E,0),0),Y432+AS432))</f>
        <v/>
      </c>
      <c r="Z433" s="28" t="str">
        <f t="array" ref="Z433">IF($I432="","",IF(AND(C433="Q",C432&lt;&gt;"Q"),IFERROR(XLOOKUP($B433,Lenso_Input!$A:$A,Lenso_Input!$I:$I,0),0),Z432+AT432))</f>
        <v/>
      </c>
      <c r="AA433" s="28" t="str">
        <f t="array" ref="AA433">IF($I432="","",IF(XLOOKUP($B433,Derived_Variables!$A:$A,Derived_Variables!$R:$R,"6/6_target")="6/6_target","20_20_20","40_30_25"))</f>
        <v/>
      </c>
      <c r="AB433" s="28" t="str">
        <f t="array" ref="AB433">IF($I432="","",XLOOKUP(LOWER(XLOOKUP($B433,Derived_Variables!$A:$A,Derived_Variables!$T:$T,"Standard"))&amp;"_sph_step",Calibration!$B:$B,Calibration!$C:$C,0.25))</f>
        <v/>
      </c>
      <c r="AC433" s="28" t="str">
        <f t="array" ref="AC433">IF($I432="","",XLOOKUP(LOWER(XLOOKUP($B433,Derived_Variables!$A:$A,Derived_Variables!$T:$T,"Standard"))&amp;"_cyl_step",Calibration!$B:$B,Calibration!$C:$C,0.25))</f>
        <v/>
      </c>
      <c r="AD433" s="28" t="str">
        <f t="array" ref="AD433">IF($I432="","",IF(OR(C433="E",C433="H"),LET(startStep,XLOOKUP("axis_start_step",Calibration!$B:$B,Calibration!$C:$C,5),step1,XLOOKUP("axis_reversal_step_1",Calibration!$B:$B,Calibration!$C:$C,3),step2,XLOOKUP("axis_reversal_step_2",Calibration!$B:$B,Calibration!$C:$C,1),IF(OR(C432&lt;&gt;C433,AZ433="",AZ433="SAME",AZ433="CANT_TELL",I433="",I433="SAME",I433="CANT_TELL"),startStep,IF(OR(AND(AZ433="BETTER_1",I433="BETTER_2"),AND(AZ433="BETTER_2",I433="BETTER_1")),IF(AD432&gt;step1,step1,step2),AD432))),0))</f>
        <v/>
      </c>
      <c r="AE433" s="28" t="str">
        <f t="array" ref="AE433">IF($I432="","",XLOOKUP($B433,Derived_Variables!$A:$A,Derived_Variables!$AD:$AD,"No_Fog"))</f>
        <v/>
      </c>
      <c r="AF433" s="28" t="str">
        <f t="array" ref="AF433">IF($I432="","",XLOOKUP($B433,Derived_Variables!$A:$A,Derived_Variables!$AE:$AE,0))</f>
        <v/>
      </c>
      <c r="AG433" s="28" t="str">
        <f t="array" ref="AG433">IF($I432="","",XLOOKUP($B433,Derived_Variables!$A:$A,Derived_Variables!$AF:$AF,""))</f>
        <v/>
      </c>
      <c r="AH433" s="28" t="str">
        <f t="array" ref="AH433">IF($I432="","",XLOOKUP($B433,Derived_Variables!$A:$A,Derived_Variables!$AG:$AG,""))</f>
        <v/>
      </c>
      <c r="AI433" s="28" t="str">
        <f t="array" ref="AI433">IF($I432="","",XLOOKUP($B433,Derived_Variables!$A:$A,Derived_Variables!$AC:$AC,"Medium"))</f>
        <v/>
      </c>
      <c r="AJ433" s="28" t="str">
        <f t="array" ref="AJ433">IF($I432="","",XLOOKUP($B433,Derived_Variables!$A:$A,Derived_Variables!$Y:$Y,FALSE))</f>
        <v/>
      </c>
      <c r="AK433" s="28" t="str">
        <f t="array" ref="AK433">IF($I432="","",XLOOKUP($B433,Derived_Variables!$A:$A,Derived_Variables!$AA:$AA,"Normal"))</f>
        <v/>
      </c>
      <c r="AL433" s="28" t="str">
        <f t="array" ref="AL433">IF($I432="","",XLOOKUP($B433,Derived_Variables!$A:$A,Derived_Variables!$AB:$AB,"Normal"))</f>
        <v/>
      </c>
      <c r="AM433" s="28" t="str">
        <f t="array" ref="AM433">IF($I433="","",IFS(C433="B",IF(OR(I433="NOT_READABLE",I433="BLURRY"),-AB433,0),C433="G",IFS(I433="RED_CLEARER",XLOOKUP("duochrome_red_step",Calibration!$B:$B,Calibration!$C:$C,-0.25),I433="GREEN_CLEARER",XLOOKUP("duochrome_green_step",Calibration!$B:$B,Calibration!$C:$C,0.25),I433="EQUAL",IF(XLOOKUP($B433,Derived_Variables!$A:$A,Derived_Variables!$S:$S,"Neutral")="Undercorrect",XLOOKUP("undercorrect_step",Calibration!$B:$B,Calibration!$C:$C,0.25),IF(XLOOKUP($B433,Derived_Variables!$A:$A,Derived_Variables!$S:$S,"Neutral")="Overcorrect",-XLOOKUP("overcorrect_step",Calibration!$B:$B,Calibration!$C:$C,0.25),0)),TRUE,0),C433="K",IF(I433="TOP_CLEARER",XLOOKUP("bino_balance_step",Calibration!$B:$B,Calibration!$C:$C,0.25),0),TRUE,0))</f>
        <v/>
      </c>
      <c r="AN433" s="28" t="str">
        <f t="shared" si="10"/>
        <v/>
      </c>
      <c r="AO433" s="28" t="str">
        <f t="shared" si="11"/>
        <v/>
      </c>
      <c r="AP433" s="28" t="str">
        <f t="array" ref="AP433">IF($I433="","",IFS(C433="D",IF(OR(I433="NOT_READABLE",I433="BLURRY"),-AB433,0),C433="J",IFS(I433="RED_CLEARER",XLOOKUP("duochrome_red_step",Calibration!$B:$B,Calibration!$C:$C,-0.25),I433="GREEN_CLEARER",XLOOKUP("duochrome_green_step",Calibration!$B:$B,Calibration!$C:$C,0.25),I433="EQUAL",IF(XLOOKUP($B433,Derived_Variables!$A:$A,Derived_Variables!$S:$S,"Neutral")="Undercorrect",XLOOKUP("undercorrect_step",Calibration!$B:$B,Calibration!$C:$C,0.25),IF(XLOOKUP($B433,Derived_Variables!$A:$A,Derived_Variables!$S:$S,"Neutral")="Overcorrect",-XLOOKUP("overcorrect_step",Calibration!$B:$B,Calibration!$C:$C,0.25),0)),TRUE,0),C433="K",IF(I433="BOTTOM_CLEARER",XLOOKUP("bino_balance_step",Calibration!$B:$B,Calibration!$C:$C,0.25),0),TRUE,0))</f>
        <v/>
      </c>
      <c r="AQ433" s="28" t="str">
        <f t="shared" si="12"/>
        <v/>
      </c>
      <c r="AR433" s="28" t="str">
        <f t="shared" si="13"/>
        <v/>
      </c>
      <c r="AS433" s="28" t="str">
        <f t="array" ref="AS433">IF($I433="","",IF(C433="P",IF(OR(I433="NOT_READABLE",I433="BLURRY"),XLOOKUP("near_add_step",Calibration!$B:$B,Calibration!$C:$C,0.25),0),IF(C433="R",IF(I433="NOT_CLEAR",XLOOKUP("near_add_step",Calibration!$B:$B,Calibration!$C:$C,0.25),0),0)))</f>
        <v/>
      </c>
      <c r="AT433" s="28" t="str">
        <f t="array" ref="AT433">IF($I433="","",IF(C433="Q",IF(OR(I433="NOT_READABLE",I433="BLURRY"),XLOOKUP("near_add_step",Calibration!$B:$B,Calibration!$C:$C,0.25),0),IF(C433="R",IF(I433="NOT_CLEAR",XLOOKUP("near_add_step",Calibration!$B:$B,Calibration!$C:$C,0.25),0),0)))</f>
        <v/>
      </c>
      <c r="AU433" s="28" t="str">
        <f t="array" ref="AU433">IF($I433="","",IF(G433="SNELLEN_FEET",IF(I433="READABLE",IFERROR(XLOOKUP(XLOOKUP(R433,Chart_Scale_Distance!B:B,Chart_Scale_Distance!A:A)+1,Chart_Scale_Distance!A:A,Chart_Scale_Distance!B:B),R433),R433),R433))</f>
        <v/>
      </c>
      <c r="AV433" s="28" t="str">
        <f t="array" ref="AV433">IF($I432="","",IFERROR(XLOOKUP(R433,Chart_Scale_Distance!$B:$B,Chart_Scale_Distance!$A:$A,""),""))</f>
        <v/>
      </c>
      <c r="AW433" s="28" t="str">
        <f t="array" ref="AW433">IF($I432="","",IFERROR(XLOOKUP(AA433,Chart_Scale_Distance!$B:$B,Chart_Scale_Distance!$A:$A,""),""))</f>
        <v/>
      </c>
      <c r="AX433" s="28" t="str">
        <f t="shared" si="14"/>
        <v/>
      </c>
      <c r="AY433" s="28" t="str">
        <f t="shared" si="15"/>
        <v/>
      </c>
      <c r="AZ433" s="28" t="str">
        <f t="shared" si="16"/>
        <v/>
      </c>
      <c r="BA433" s="28" t="str">
        <f t="shared" si="17"/>
        <v/>
      </c>
      <c r="BB433" s="28" t="str">
        <f t="shared" si="18"/>
        <v/>
      </c>
      <c r="BC433" s="28" t="str">
        <f t="array" ref="BC433">IF($I433="","",LET(
conf,AI433,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duoMax,XLOOKUP($B433,Derived_Variables!$A:$A,Derived_Variables!$AI:$AI,4),
axisTol,XLOOKUP($B433,Derived_Variables!$A:$A,Derived_Variables!$W:$W,1),
maxStart,XLOOKUP($B433,Derived_Variables!$A:$A,Derived_Variables!$U:$U,1.25),
maxAR,XLOOKUP($B433,Derived_Variables!$A:$A,Derived_Variables!$V:$V,3),
anom,XLOOKUP($B433,Derived_Variables!$A:$A,Derived_Variables!$Z:$Z,FALSE),
reStart,XLOOKUP($B433,Derived_Variables!$A:$A,Derived_Variables!$K:$K,0),
leStart,XLOOKUP($B433,Derived_Variables!$A:$A,Derived_Variables!$N:$N,0),
reAR,XLOOKUP($B433,AR_Input!$A:$A,AR_Input!$B:$B,reStart),
leAR,XLOOKUP($B433,AR_Input!$A:$A,AR_Input!$E:$E,leStart),
reEsc,AND(anom,OR(ABS((S433+AM433)-reStart)&gt;maxStart,ABS((S433+AM433)-reAR)&gt;maxAR)),
leEsc,AND(anom,OR(ABS((V433+AP433)-leStart)&gt;maxStart,ABS((V433+AP433)-leAR)&gt;maxAR)),
phaseMax,IFS(
 AK433="Fast",
   IFS(
     OR(C433="B",C433="D"),XLOOKUP("timeout_coarse_fast",Calibration!$B:$B,Calibration!$C:$C,24),
     OR(C433="E",C433="F",C433="H",C433="I"),XLOOKUP("timeout_jcc_fast",Calibration!$B:$B,Calibration!$C:$C,10),
     OR(C433="G",C433="J"),XLOOKUP("timeout_duochrome_fast",Calibration!$B:$B,Calibration!$C:$C,8),
     C433="K",XLOOKUP("timeout_bino_fast",Calibration!$B:$B,Calibration!$C:$C,10),
     OR(C433="P",C433="Q",C433="R"),XLOOKUP("timeout_near_fast",Calibration!$B:$B,Calibration!$C:$C,16),
     TRUE,XLOOKUP("timeout_coarse_fast",Calibration!$B:$B,Calibration!$C:$C,24)
   ),
 AK433="Normal",
   IFS(
     OR(C433="B",C433="D"),XLOOKUP("timeout_coarse_normal",Calibration!$B:$B,Calibration!$C:$C,36),
     OR(C433="E",C433="F",C433="H",C433="I"),XLOOKUP("timeout_jcc_normal",Calibration!$B:$B,Calibration!$C:$C,14),
     OR(C433="G",C433="J"),XLOOKUP("timeout_duochrome_normal",Calibration!$B:$B,Calibration!$C:$C,10),
     C433="K",XLOOKUP("timeout_bino_normal",Calibration!$B:$B,Calibration!$C:$C,14),
     OR(C433="P",C433="Q",C433="R"),XLOOKUP("timeout_near_normal",Calibration!$B:$B,Calibration!$C:$C,22),
     TRUE,XLOOKUP("timeout_coarse_normal",Calibration!$B:$B,Calibration!$C:$C,36)
   ),
 TRUE,
   IFS(
     OR(C433="B",C433="D"),XLOOKUP("timeout_coarse_slow",Calibration!$B:$B,Calibration!$C:$C,48),
     OR(C433="E",C433="F",C433="H",C433="I"),XLOOKUP("timeout_jcc_slow",Calibration!$B:$B,Calibration!$C:$C,18),
     OR(C433="G",C433="J"),XLOOKUP("timeout_duochrome_slow",Calibration!$B:$B,Calibration!$C:$C,12),
     C433="K",XLOOKUP("timeout_bino_slow",Calibration!$B:$B,Calibration!$C:$C,18),
     OR(C433="P",C433="Q",C433="R"),XLOOKUP("timeout_near_slow",Calibration!$B:$B,Calibration!$C:$C,28),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AJ433=TRUE,"ESCALATE",
C433="A",
IF(OR(I433="NOT_READABLE",I433="BLURRY",AND(R433="20_20_20",I433="READABLE")),"B","A"),
C433="B",
IF(reEsc,"ESCALATE",IF(AY433&gt;=phaseMax,"ESCALATE",IF(AND(AV433&gt;=AW433,I433="READABLE"),"E","B"))),
C433="E",
IF(AY433&gt;=phaseMax,"ESCALATE",IF(OR(I433="SAME",I433="CANT_TELL",AD433&lt;axisTol),"F","E")),
C433="F",
IF(AY433&gt;=phaseMax,"ESCALATE",IF(AX433&gt;=powerSameN,"G","F")),
C433="G",
IF(AY433&gt;=phaseMax,"ESCALATE",IF(OR(AX433&gt;=duoEqualN,BB433&gt;=duoMax),"D","G")),
C433="D",
IF(leEsc,"ESCALATE",IF(AY433&gt;=phaseMax,"ESCALATE",IF(AND(AV433&gt;=AW433,I433="READABLE"),"H","D"))),
C433="H",
IF(AY433&gt;=phaseMax,"ESCALATE",IF(OR(I433="SAME",I433="CANT_TELL",AD433&lt;axisTol),"I","H")),
C433="I",
IF(AY433&gt;=phaseMax,"ESCALATE",IF(AX433&gt;=powerSameN,"J","I")),
C433="J",
IF(AY433&gt;=phaseMax,"ESCALATE",IF(OR(AX433&gt;=duoEqualN,BB433&gt;=duoMax),"K","J")),
C433="K",
IF(AY433&gt;=phaseMax,"ESCALATE",IF(AX433&gt;=binoSameN,IF(XLOOKUP($B433,Derived_Variables!$A:$A,Derived_Variables!$AJ:$AJ,FALSE)=TRUE,"P","END"),"K")),
C433="P",
IF(AY433&gt;=phaseMax,"ESCALATE",IF(OR(I433="READABLE",I433="SAME"),"Q","P")),
C433="Q",
IF(AY433&gt;=phaseMax,"ESCALATE",IF(OR(I433="READABLE",I433="SAME"),"R","Q")),
C433="R",
IF(AY433&gt;=phaseMax,"ESCALATE",IF(OR(I433=nearTarget,I433="SAME"),"END","R")),
TRUE,"END"
)))</f>
        <v/>
      </c>
      <c r="BD433" s="28" t="b">
        <f t="shared" si="19"/>
        <v>0</v>
      </c>
    </row>
    <row r="434" ht="15.75" customHeight="1">
      <c r="A434" s="28">
        <f t="shared" si="3"/>
        <v>433</v>
      </c>
      <c r="B434" s="28">
        <f t="shared" si="4"/>
        <v>6</v>
      </c>
      <c r="C434" s="28" t="str">
        <f t="shared" si="5"/>
        <v/>
      </c>
      <c r="D434" s="28" t="str">
        <f t="array" ref="D434">IF($I433="","",XLOOKUP(C434,FSM_State_Map!A:A,FSM_State_Map!B:B,""))</f>
        <v/>
      </c>
      <c r="E434" s="28" t="str">
        <f t="array" ref="E434">IF($I433="","",XLOOKUP(C434,FSM_State_Map!A:A,FSM_State_Map!C:C,""))</f>
        <v/>
      </c>
      <c r="F434" s="28" t="str">
        <f t="array" ref="F434">IF($I433="","",XLOOKUP(E434,Phase_UI_Map!A:A,Phase_UI_Map!B:B,""))</f>
        <v/>
      </c>
      <c r="G434" s="28" t="str">
        <f t="array" ref="G434">IF($I433="","",XLOOKUP(E434,Phase_UI_Map!A:A,Phase_UI_Map!C:C,""))</f>
        <v/>
      </c>
      <c r="H434" s="28" t="str">
        <f t="array" ref="H434">IF($I433="","",XLOOKUP(E434,Phase_UI_Map!A:A,Phase_UI_Map!D:D,""))</f>
        <v/>
      </c>
      <c r="I434" s="29"/>
      <c r="J434" s="28" t="str">
        <f>IFERROR(__xludf.DUMMYFUNCTION("IF($I433="""","""",IFERROR(INDEX(FILTER(Response_Lists!$B:$B,Response_Lists!$A:$A=$H434),1),""""))"),"")</f>
        <v/>
      </c>
      <c r="K434" s="28" t="str">
        <f>IFERROR(__xludf.DUMMYFUNCTION("IF($I433="""","""",IFERROR(INDEX(FILTER(Response_Lists!$B:$B,Response_Lists!$A:$A=$H434),2),""""))"),"")</f>
        <v/>
      </c>
      <c r="L434" s="28" t="str">
        <f>IFERROR(__xludf.DUMMYFUNCTION("IF($I433="""","""",IFERROR(INDEX(FILTER(Response_Lists!$B:$B,Response_Lists!$A:$A=$H434),3),""""))"),"")</f>
        <v/>
      </c>
      <c r="M434" s="28" t="str">
        <f>IFERROR(__xludf.DUMMYFUNCTION("IF($I433="""","""",IFERROR(INDEX(FILTER(Response_Lists!$B:$B,Response_Lists!$A:$A=$H434),4),""""))"),"")</f>
        <v/>
      </c>
      <c r="N434" s="28" t="str">
        <f>IFERROR(__xludf.DUMMYFUNCTION("IF($I433="""","""",IFERROR(INDEX(FILTER(Response_Lists!$B:$B,Response_Lists!$A:$A=$H434),5),""""))"),"")</f>
        <v/>
      </c>
      <c r="O434" s="28" t="str">
        <f>IFERROR(__xludf.DUMMYFUNCTION("IF($I433="""","""",IFERROR(INDEX(FILTER(Response_Lists!$B:$B,Response_Lists!$A:$A=$H434),6),""""))"),"")</f>
        <v/>
      </c>
      <c r="P434" s="28" t="str">
        <f t="shared" si="6"/>
        <v/>
      </c>
      <c r="Q434" s="28" t="str">
        <f t="array" ref="Q434">IF($I433="","",XLOOKUP(C434,FSM_State_Map!A:A,FSM_State_Map!D:D,""))</f>
        <v/>
      </c>
      <c r="R434" s="28" t="str">
        <f t="shared" si="7"/>
        <v/>
      </c>
      <c r="S434" s="28" t="str">
        <f t="array" ref="S434">IF($I433="","",
IF(
  AND(C434="B",C433&lt;&gt;"B"),
  XLOOKUP($B434,Derived_Variables!$A:$A,Derived_Variables!$K:$K,0)
  + XLOOKUP($B434,Derived_Variables!$A:$A,Derived_Variables!$AE:$AE,0),
  S433+AM433
))</f>
        <v/>
      </c>
      <c r="T434" s="28" t="str">
        <f t="shared" ref="T434:U434" si="878">IF($I433="","",T433+AN433)</f>
        <v/>
      </c>
      <c r="U434" s="28" t="str">
        <f t="shared" si="878"/>
        <v/>
      </c>
      <c r="V434" s="28" t="str">
        <f t="array" ref="V434">IF($I433="","",
IF(
  AND(C434="D",C433&lt;&gt;"D"),
  XLOOKUP($B434,Derived_Variables!$A:$A,Derived_Variables!$N:$N,0)
  + XLOOKUP($B434,Derived_Variables!$A:$A,Derived_Variables!$AE:$AE,0),
  V433+AP433
))</f>
        <v/>
      </c>
      <c r="W434" s="28" t="str">
        <f t="shared" ref="W434:X434" si="879">IF($I433="","",W433+AQ433)</f>
        <v/>
      </c>
      <c r="X434" s="28" t="str">
        <f t="shared" si="879"/>
        <v/>
      </c>
      <c r="Y434" s="28" t="str">
        <f t="array" ref="Y434">IF($I433="","",IF(AND(C434="P",C433&lt;&gt;"P"),IFERROR(XLOOKUP($B434,Lenso_Input!$A:$A,Lenso_Input!$E:$E,0),0),Y433+AS433))</f>
        <v/>
      </c>
      <c r="Z434" s="28" t="str">
        <f t="array" ref="Z434">IF($I433="","",IF(AND(C434="Q",C433&lt;&gt;"Q"),IFERROR(XLOOKUP($B434,Lenso_Input!$A:$A,Lenso_Input!$I:$I,0),0),Z433+AT433))</f>
        <v/>
      </c>
      <c r="AA434" s="28" t="str">
        <f t="array" ref="AA434">IF($I433="","",IF(XLOOKUP($B434,Derived_Variables!$A:$A,Derived_Variables!$R:$R,"6/6_target")="6/6_target","20_20_20","40_30_25"))</f>
        <v/>
      </c>
      <c r="AB434" s="28" t="str">
        <f t="array" ref="AB434">IF($I433="","",XLOOKUP(LOWER(XLOOKUP($B434,Derived_Variables!$A:$A,Derived_Variables!$T:$T,"Standard"))&amp;"_sph_step",Calibration!$B:$B,Calibration!$C:$C,0.25))</f>
        <v/>
      </c>
      <c r="AC434" s="28" t="str">
        <f t="array" ref="AC434">IF($I433="","",XLOOKUP(LOWER(XLOOKUP($B434,Derived_Variables!$A:$A,Derived_Variables!$T:$T,"Standard"))&amp;"_cyl_step",Calibration!$B:$B,Calibration!$C:$C,0.25))</f>
        <v/>
      </c>
      <c r="AD434" s="28" t="str">
        <f t="array" ref="AD434">IF($I433="","",IF(OR(C434="E",C434="H"),LET(startStep,XLOOKUP("axis_start_step",Calibration!$B:$B,Calibration!$C:$C,5),step1,XLOOKUP("axis_reversal_step_1",Calibration!$B:$B,Calibration!$C:$C,3),step2,XLOOKUP("axis_reversal_step_2",Calibration!$B:$B,Calibration!$C:$C,1),IF(OR(C433&lt;&gt;C434,AZ434="",AZ434="SAME",AZ434="CANT_TELL",I434="",I434="SAME",I434="CANT_TELL"),startStep,IF(OR(AND(AZ434="BETTER_1",I434="BETTER_2"),AND(AZ434="BETTER_2",I434="BETTER_1")),IF(AD433&gt;step1,step1,step2),AD433))),0))</f>
        <v/>
      </c>
      <c r="AE434" s="28" t="str">
        <f t="array" ref="AE434">IF($I433="","",XLOOKUP($B434,Derived_Variables!$A:$A,Derived_Variables!$AD:$AD,"No_Fog"))</f>
        <v/>
      </c>
      <c r="AF434" s="28" t="str">
        <f t="array" ref="AF434">IF($I433="","",XLOOKUP($B434,Derived_Variables!$A:$A,Derived_Variables!$AE:$AE,0))</f>
        <v/>
      </c>
      <c r="AG434" s="28" t="str">
        <f t="array" ref="AG434">IF($I433="","",XLOOKUP($B434,Derived_Variables!$A:$A,Derived_Variables!$AF:$AF,""))</f>
        <v/>
      </c>
      <c r="AH434" s="28" t="str">
        <f t="array" ref="AH434">IF($I433="","",XLOOKUP($B434,Derived_Variables!$A:$A,Derived_Variables!$AG:$AG,""))</f>
        <v/>
      </c>
      <c r="AI434" s="28" t="str">
        <f t="array" ref="AI434">IF($I433="","",XLOOKUP($B434,Derived_Variables!$A:$A,Derived_Variables!$AC:$AC,"Medium"))</f>
        <v/>
      </c>
      <c r="AJ434" s="28" t="str">
        <f t="array" ref="AJ434">IF($I433="","",XLOOKUP($B434,Derived_Variables!$A:$A,Derived_Variables!$Y:$Y,FALSE))</f>
        <v/>
      </c>
      <c r="AK434" s="28" t="str">
        <f t="array" ref="AK434">IF($I433="","",XLOOKUP($B434,Derived_Variables!$A:$A,Derived_Variables!$AA:$AA,"Normal"))</f>
        <v/>
      </c>
      <c r="AL434" s="28" t="str">
        <f t="array" ref="AL434">IF($I433="","",XLOOKUP($B434,Derived_Variables!$A:$A,Derived_Variables!$AB:$AB,"Normal"))</f>
        <v/>
      </c>
      <c r="AM434" s="28" t="str">
        <f t="array" ref="AM434">IF($I434="","",IFS(C434="B",IF(OR(I434="NOT_READABLE",I434="BLURRY"),-AB434,0),C434="G",IFS(I434="RED_CLEARER",XLOOKUP("duochrome_red_step",Calibration!$B:$B,Calibration!$C:$C,-0.25),I434="GREEN_CLEARER",XLOOKUP("duochrome_green_step",Calibration!$B:$B,Calibration!$C:$C,0.25),I434="EQUAL",IF(XLOOKUP($B434,Derived_Variables!$A:$A,Derived_Variables!$S:$S,"Neutral")="Undercorrect",XLOOKUP("undercorrect_step",Calibration!$B:$B,Calibration!$C:$C,0.25),IF(XLOOKUP($B434,Derived_Variables!$A:$A,Derived_Variables!$S:$S,"Neutral")="Overcorrect",-XLOOKUP("overcorrect_step",Calibration!$B:$B,Calibration!$C:$C,0.25),0)),TRUE,0),C434="K",IF(I434="TOP_CLEARER",XLOOKUP("bino_balance_step",Calibration!$B:$B,Calibration!$C:$C,0.25),0),TRUE,0))</f>
        <v/>
      </c>
      <c r="AN434" s="28" t="str">
        <f t="shared" si="10"/>
        <v/>
      </c>
      <c r="AO434" s="28" t="str">
        <f t="shared" si="11"/>
        <v/>
      </c>
      <c r="AP434" s="28" t="str">
        <f t="array" ref="AP434">IF($I434="","",IFS(C434="D",IF(OR(I434="NOT_READABLE",I434="BLURRY"),-AB434,0),C434="J",IFS(I434="RED_CLEARER",XLOOKUP("duochrome_red_step",Calibration!$B:$B,Calibration!$C:$C,-0.25),I434="GREEN_CLEARER",XLOOKUP("duochrome_green_step",Calibration!$B:$B,Calibration!$C:$C,0.25),I434="EQUAL",IF(XLOOKUP($B434,Derived_Variables!$A:$A,Derived_Variables!$S:$S,"Neutral")="Undercorrect",XLOOKUP("undercorrect_step",Calibration!$B:$B,Calibration!$C:$C,0.25),IF(XLOOKUP($B434,Derived_Variables!$A:$A,Derived_Variables!$S:$S,"Neutral")="Overcorrect",-XLOOKUP("overcorrect_step",Calibration!$B:$B,Calibration!$C:$C,0.25),0)),TRUE,0),C434="K",IF(I434="BOTTOM_CLEARER",XLOOKUP("bino_balance_step",Calibration!$B:$B,Calibration!$C:$C,0.25),0),TRUE,0))</f>
        <v/>
      </c>
      <c r="AQ434" s="28" t="str">
        <f t="shared" si="12"/>
        <v/>
      </c>
      <c r="AR434" s="28" t="str">
        <f t="shared" si="13"/>
        <v/>
      </c>
      <c r="AS434" s="28" t="str">
        <f t="array" ref="AS434">IF($I434="","",IF(C434="P",IF(OR(I434="NOT_READABLE",I434="BLURRY"),XLOOKUP("near_add_step",Calibration!$B:$B,Calibration!$C:$C,0.25),0),IF(C434="R",IF(I434="NOT_CLEAR",XLOOKUP("near_add_step",Calibration!$B:$B,Calibration!$C:$C,0.25),0),0)))</f>
        <v/>
      </c>
      <c r="AT434" s="28" t="str">
        <f t="array" ref="AT434">IF($I434="","",IF(C434="Q",IF(OR(I434="NOT_READABLE",I434="BLURRY"),XLOOKUP("near_add_step",Calibration!$B:$B,Calibration!$C:$C,0.25),0),IF(C434="R",IF(I434="NOT_CLEAR",XLOOKUP("near_add_step",Calibration!$B:$B,Calibration!$C:$C,0.25),0),0)))</f>
        <v/>
      </c>
      <c r="AU434" s="28" t="str">
        <f t="array" ref="AU434">IF($I434="","",IF(G434="SNELLEN_FEET",IF(I434="READABLE",IFERROR(XLOOKUP(XLOOKUP(R434,Chart_Scale_Distance!B:B,Chart_Scale_Distance!A:A)+1,Chart_Scale_Distance!A:A,Chart_Scale_Distance!B:B),R434),R434),R434))</f>
        <v/>
      </c>
      <c r="AV434" s="28" t="str">
        <f t="array" ref="AV434">IF($I433="","",IFERROR(XLOOKUP(R434,Chart_Scale_Distance!$B:$B,Chart_Scale_Distance!$A:$A,""),""))</f>
        <v/>
      </c>
      <c r="AW434" s="28" t="str">
        <f t="array" ref="AW434">IF($I433="","",IFERROR(XLOOKUP(AA434,Chart_Scale_Distance!$B:$B,Chart_Scale_Distance!$A:$A,""),""))</f>
        <v/>
      </c>
      <c r="AX434" s="28" t="str">
        <f t="shared" si="14"/>
        <v/>
      </c>
      <c r="AY434" s="28" t="str">
        <f t="shared" si="15"/>
        <v/>
      </c>
      <c r="AZ434" s="28" t="str">
        <f t="shared" si="16"/>
        <v/>
      </c>
      <c r="BA434" s="28" t="str">
        <f t="shared" si="17"/>
        <v/>
      </c>
      <c r="BB434" s="28" t="str">
        <f t="shared" si="18"/>
        <v/>
      </c>
      <c r="BC434" s="28" t="str">
        <f t="array" ref="BC434">IF($I434="","",LET(
conf,AI434,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duoMax,XLOOKUP($B434,Derived_Variables!$A:$A,Derived_Variables!$AI:$AI,4),
axisTol,XLOOKUP($B434,Derived_Variables!$A:$A,Derived_Variables!$W:$W,1),
maxStart,XLOOKUP($B434,Derived_Variables!$A:$A,Derived_Variables!$U:$U,1.25),
maxAR,XLOOKUP($B434,Derived_Variables!$A:$A,Derived_Variables!$V:$V,3),
anom,XLOOKUP($B434,Derived_Variables!$A:$A,Derived_Variables!$Z:$Z,FALSE),
reStart,XLOOKUP($B434,Derived_Variables!$A:$A,Derived_Variables!$K:$K,0),
leStart,XLOOKUP($B434,Derived_Variables!$A:$A,Derived_Variables!$N:$N,0),
reAR,XLOOKUP($B434,AR_Input!$A:$A,AR_Input!$B:$B,reStart),
leAR,XLOOKUP($B434,AR_Input!$A:$A,AR_Input!$E:$E,leStart),
reEsc,AND(anom,OR(ABS((S434+AM434)-reStart)&gt;maxStart,ABS((S434+AM434)-reAR)&gt;maxAR)),
leEsc,AND(anom,OR(ABS((V434+AP434)-leStart)&gt;maxStart,ABS((V434+AP434)-leAR)&gt;maxAR)),
phaseMax,IFS(
 AK434="Fast",
   IFS(
     OR(C434="B",C434="D"),XLOOKUP("timeout_coarse_fast",Calibration!$B:$B,Calibration!$C:$C,24),
     OR(C434="E",C434="F",C434="H",C434="I"),XLOOKUP("timeout_jcc_fast",Calibration!$B:$B,Calibration!$C:$C,10),
     OR(C434="G",C434="J"),XLOOKUP("timeout_duochrome_fast",Calibration!$B:$B,Calibration!$C:$C,8),
     C434="K",XLOOKUP("timeout_bino_fast",Calibration!$B:$B,Calibration!$C:$C,10),
     OR(C434="P",C434="Q",C434="R"),XLOOKUP("timeout_near_fast",Calibration!$B:$B,Calibration!$C:$C,16),
     TRUE,XLOOKUP("timeout_coarse_fast",Calibration!$B:$B,Calibration!$C:$C,24)
   ),
 AK434="Normal",
   IFS(
     OR(C434="B",C434="D"),XLOOKUP("timeout_coarse_normal",Calibration!$B:$B,Calibration!$C:$C,36),
     OR(C434="E",C434="F",C434="H",C434="I"),XLOOKUP("timeout_jcc_normal",Calibration!$B:$B,Calibration!$C:$C,14),
     OR(C434="G",C434="J"),XLOOKUP("timeout_duochrome_normal",Calibration!$B:$B,Calibration!$C:$C,10),
     C434="K",XLOOKUP("timeout_bino_normal",Calibration!$B:$B,Calibration!$C:$C,14),
     OR(C434="P",C434="Q",C434="R"),XLOOKUP("timeout_near_normal",Calibration!$B:$B,Calibration!$C:$C,22),
     TRUE,XLOOKUP("timeout_coarse_normal",Calibration!$B:$B,Calibration!$C:$C,36)
   ),
 TRUE,
   IFS(
     OR(C434="B",C434="D"),XLOOKUP("timeout_coarse_slow",Calibration!$B:$B,Calibration!$C:$C,48),
     OR(C434="E",C434="F",C434="H",C434="I"),XLOOKUP("timeout_jcc_slow",Calibration!$B:$B,Calibration!$C:$C,18),
     OR(C434="G",C434="J"),XLOOKUP("timeout_duochrome_slow",Calibration!$B:$B,Calibration!$C:$C,12),
     C434="K",XLOOKUP("timeout_bino_slow",Calibration!$B:$B,Calibration!$C:$C,18),
     OR(C434="P",C434="Q",C434="R"),XLOOKUP("timeout_near_slow",Calibration!$B:$B,Calibration!$C:$C,28),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AJ434=TRUE,"ESCALATE",
C434="A",
IF(OR(I434="NOT_READABLE",I434="BLURRY",AND(R434="20_20_20",I434="READABLE")),"B","A"),
C434="B",
IF(reEsc,"ESCALATE",IF(AY434&gt;=phaseMax,"ESCALATE",IF(AND(AV434&gt;=AW434,I434="READABLE"),"E","B"))),
C434="E",
IF(AY434&gt;=phaseMax,"ESCALATE",IF(OR(I434="SAME",I434="CANT_TELL",AD434&lt;axisTol),"F","E")),
C434="F",
IF(AY434&gt;=phaseMax,"ESCALATE",IF(AX434&gt;=powerSameN,"G","F")),
C434="G",
IF(AY434&gt;=phaseMax,"ESCALATE",IF(OR(AX434&gt;=duoEqualN,BB434&gt;=duoMax),"D","G")),
C434="D",
IF(leEsc,"ESCALATE",IF(AY434&gt;=phaseMax,"ESCALATE",IF(AND(AV434&gt;=AW434,I434="READABLE"),"H","D"))),
C434="H",
IF(AY434&gt;=phaseMax,"ESCALATE",IF(OR(I434="SAME",I434="CANT_TELL",AD434&lt;axisTol),"I","H")),
C434="I",
IF(AY434&gt;=phaseMax,"ESCALATE",IF(AX434&gt;=powerSameN,"J","I")),
C434="J",
IF(AY434&gt;=phaseMax,"ESCALATE",IF(OR(AX434&gt;=duoEqualN,BB434&gt;=duoMax),"K","J")),
C434="K",
IF(AY434&gt;=phaseMax,"ESCALATE",IF(AX434&gt;=binoSameN,IF(XLOOKUP($B434,Derived_Variables!$A:$A,Derived_Variables!$AJ:$AJ,FALSE)=TRUE,"P","END"),"K")),
C434="P",
IF(AY434&gt;=phaseMax,"ESCALATE",IF(OR(I434="READABLE",I434="SAME"),"Q","P")),
C434="Q",
IF(AY434&gt;=phaseMax,"ESCALATE",IF(OR(I434="READABLE",I434="SAME"),"R","Q")),
C434="R",
IF(AY434&gt;=phaseMax,"ESCALATE",IF(OR(I434=nearTarget,I434="SAME"),"END","R")),
TRUE,"END"
)))</f>
        <v/>
      </c>
      <c r="BD434" s="28" t="b">
        <f t="shared" si="19"/>
        <v>0</v>
      </c>
    </row>
    <row r="435" ht="15.75" customHeight="1">
      <c r="A435" s="28">
        <f t="shared" si="3"/>
        <v>434</v>
      </c>
      <c r="B435" s="28">
        <f t="shared" si="4"/>
        <v>6</v>
      </c>
      <c r="C435" s="28" t="str">
        <f t="shared" si="5"/>
        <v/>
      </c>
      <c r="D435" s="28" t="str">
        <f t="array" ref="D435">IF($I434="","",XLOOKUP(C435,FSM_State_Map!A:A,FSM_State_Map!B:B,""))</f>
        <v/>
      </c>
      <c r="E435" s="28" t="str">
        <f t="array" ref="E435">IF($I434="","",XLOOKUP(C435,FSM_State_Map!A:A,FSM_State_Map!C:C,""))</f>
        <v/>
      </c>
      <c r="F435" s="28" t="str">
        <f t="array" ref="F435">IF($I434="","",XLOOKUP(E435,Phase_UI_Map!A:A,Phase_UI_Map!B:B,""))</f>
        <v/>
      </c>
      <c r="G435" s="28" t="str">
        <f t="array" ref="G435">IF($I434="","",XLOOKUP(E435,Phase_UI_Map!A:A,Phase_UI_Map!C:C,""))</f>
        <v/>
      </c>
      <c r="H435" s="28" t="str">
        <f t="array" ref="H435">IF($I434="","",XLOOKUP(E435,Phase_UI_Map!A:A,Phase_UI_Map!D:D,""))</f>
        <v/>
      </c>
      <c r="I435" s="29"/>
      <c r="J435" s="28" t="str">
        <f>IFERROR(__xludf.DUMMYFUNCTION("IF($I434="""","""",IFERROR(INDEX(FILTER(Response_Lists!$B:$B,Response_Lists!$A:$A=$H435),1),""""))"),"")</f>
        <v/>
      </c>
      <c r="K435" s="28" t="str">
        <f>IFERROR(__xludf.DUMMYFUNCTION("IF($I434="""","""",IFERROR(INDEX(FILTER(Response_Lists!$B:$B,Response_Lists!$A:$A=$H435),2),""""))"),"")</f>
        <v/>
      </c>
      <c r="L435" s="28" t="str">
        <f>IFERROR(__xludf.DUMMYFUNCTION("IF($I434="""","""",IFERROR(INDEX(FILTER(Response_Lists!$B:$B,Response_Lists!$A:$A=$H435),3),""""))"),"")</f>
        <v/>
      </c>
      <c r="M435" s="28" t="str">
        <f>IFERROR(__xludf.DUMMYFUNCTION("IF($I434="""","""",IFERROR(INDEX(FILTER(Response_Lists!$B:$B,Response_Lists!$A:$A=$H435),4),""""))"),"")</f>
        <v/>
      </c>
      <c r="N435" s="28" t="str">
        <f>IFERROR(__xludf.DUMMYFUNCTION("IF($I434="""","""",IFERROR(INDEX(FILTER(Response_Lists!$B:$B,Response_Lists!$A:$A=$H435),5),""""))"),"")</f>
        <v/>
      </c>
      <c r="O435" s="28" t="str">
        <f>IFERROR(__xludf.DUMMYFUNCTION("IF($I434="""","""",IFERROR(INDEX(FILTER(Response_Lists!$B:$B,Response_Lists!$A:$A=$H435),6),""""))"),"")</f>
        <v/>
      </c>
      <c r="P435" s="28" t="str">
        <f t="shared" si="6"/>
        <v/>
      </c>
      <c r="Q435" s="28" t="str">
        <f t="array" ref="Q435">IF($I434="","",XLOOKUP(C435,FSM_State_Map!A:A,FSM_State_Map!D:D,""))</f>
        <v/>
      </c>
      <c r="R435" s="28" t="str">
        <f t="shared" si="7"/>
        <v/>
      </c>
      <c r="S435" s="28" t="str">
        <f t="array" ref="S435">IF($I434="","",
IF(
  AND(C435="B",C434&lt;&gt;"B"),
  XLOOKUP($B435,Derived_Variables!$A:$A,Derived_Variables!$K:$K,0)
  + XLOOKUP($B435,Derived_Variables!$A:$A,Derived_Variables!$AE:$AE,0),
  S434+AM434
))</f>
        <v/>
      </c>
      <c r="T435" s="28" t="str">
        <f t="shared" ref="T435:U435" si="880">IF($I434="","",T434+AN434)</f>
        <v/>
      </c>
      <c r="U435" s="28" t="str">
        <f t="shared" si="880"/>
        <v/>
      </c>
      <c r="V435" s="28" t="str">
        <f t="array" ref="V435">IF($I434="","",
IF(
  AND(C435="D",C434&lt;&gt;"D"),
  XLOOKUP($B435,Derived_Variables!$A:$A,Derived_Variables!$N:$N,0)
  + XLOOKUP($B435,Derived_Variables!$A:$A,Derived_Variables!$AE:$AE,0),
  V434+AP434
))</f>
        <v/>
      </c>
      <c r="W435" s="28" t="str">
        <f t="shared" ref="W435:X435" si="881">IF($I434="","",W434+AQ434)</f>
        <v/>
      </c>
      <c r="X435" s="28" t="str">
        <f t="shared" si="881"/>
        <v/>
      </c>
      <c r="Y435" s="28" t="str">
        <f t="array" ref="Y435">IF($I434="","",IF(AND(C435="P",C434&lt;&gt;"P"),IFERROR(XLOOKUP($B435,Lenso_Input!$A:$A,Lenso_Input!$E:$E,0),0),Y434+AS434))</f>
        <v/>
      </c>
      <c r="Z435" s="28" t="str">
        <f t="array" ref="Z435">IF($I434="","",IF(AND(C435="Q",C434&lt;&gt;"Q"),IFERROR(XLOOKUP($B435,Lenso_Input!$A:$A,Lenso_Input!$I:$I,0),0),Z434+AT434))</f>
        <v/>
      </c>
      <c r="AA435" s="28" t="str">
        <f t="array" ref="AA435">IF($I434="","",IF(XLOOKUP($B435,Derived_Variables!$A:$A,Derived_Variables!$R:$R,"6/6_target")="6/6_target","20_20_20","40_30_25"))</f>
        <v/>
      </c>
      <c r="AB435" s="28" t="str">
        <f t="array" ref="AB435">IF($I434="","",XLOOKUP(LOWER(XLOOKUP($B435,Derived_Variables!$A:$A,Derived_Variables!$T:$T,"Standard"))&amp;"_sph_step",Calibration!$B:$B,Calibration!$C:$C,0.25))</f>
        <v/>
      </c>
      <c r="AC435" s="28" t="str">
        <f t="array" ref="AC435">IF($I434="","",XLOOKUP(LOWER(XLOOKUP($B435,Derived_Variables!$A:$A,Derived_Variables!$T:$T,"Standard"))&amp;"_cyl_step",Calibration!$B:$B,Calibration!$C:$C,0.25))</f>
        <v/>
      </c>
      <c r="AD435" s="28" t="str">
        <f t="array" ref="AD435">IF($I434="","",IF(OR(C435="E",C435="H"),LET(startStep,XLOOKUP("axis_start_step",Calibration!$B:$B,Calibration!$C:$C,5),step1,XLOOKUP("axis_reversal_step_1",Calibration!$B:$B,Calibration!$C:$C,3),step2,XLOOKUP("axis_reversal_step_2",Calibration!$B:$B,Calibration!$C:$C,1),IF(OR(C434&lt;&gt;C435,AZ435="",AZ435="SAME",AZ435="CANT_TELL",I435="",I435="SAME",I435="CANT_TELL"),startStep,IF(OR(AND(AZ435="BETTER_1",I435="BETTER_2"),AND(AZ435="BETTER_2",I435="BETTER_1")),IF(AD434&gt;step1,step1,step2),AD434))),0))</f>
        <v/>
      </c>
      <c r="AE435" s="28" t="str">
        <f t="array" ref="AE435">IF($I434="","",XLOOKUP($B435,Derived_Variables!$A:$A,Derived_Variables!$AD:$AD,"No_Fog"))</f>
        <v/>
      </c>
      <c r="AF435" s="28" t="str">
        <f t="array" ref="AF435">IF($I434="","",XLOOKUP($B435,Derived_Variables!$A:$A,Derived_Variables!$AE:$AE,0))</f>
        <v/>
      </c>
      <c r="AG435" s="28" t="str">
        <f t="array" ref="AG435">IF($I434="","",XLOOKUP($B435,Derived_Variables!$A:$A,Derived_Variables!$AF:$AF,""))</f>
        <v/>
      </c>
      <c r="AH435" s="28" t="str">
        <f t="array" ref="AH435">IF($I434="","",XLOOKUP($B435,Derived_Variables!$A:$A,Derived_Variables!$AG:$AG,""))</f>
        <v/>
      </c>
      <c r="AI435" s="28" t="str">
        <f t="array" ref="AI435">IF($I434="","",XLOOKUP($B435,Derived_Variables!$A:$A,Derived_Variables!$AC:$AC,"Medium"))</f>
        <v/>
      </c>
      <c r="AJ435" s="28" t="str">
        <f t="array" ref="AJ435">IF($I434="","",XLOOKUP($B435,Derived_Variables!$A:$A,Derived_Variables!$Y:$Y,FALSE))</f>
        <v/>
      </c>
      <c r="AK435" s="28" t="str">
        <f t="array" ref="AK435">IF($I434="","",XLOOKUP($B435,Derived_Variables!$A:$A,Derived_Variables!$AA:$AA,"Normal"))</f>
        <v/>
      </c>
      <c r="AL435" s="28" t="str">
        <f t="array" ref="AL435">IF($I434="","",XLOOKUP($B435,Derived_Variables!$A:$A,Derived_Variables!$AB:$AB,"Normal"))</f>
        <v/>
      </c>
      <c r="AM435" s="28" t="str">
        <f t="array" ref="AM435">IF($I435="","",IFS(C435="B",IF(OR(I435="NOT_READABLE",I435="BLURRY"),-AB435,0),C435="G",IFS(I435="RED_CLEARER",XLOOKUP("duochrome_red_step",Calibration!$B:$B,Calibration!$C:$C,-0.25),I435="GREEN_CLEARER",XLOOKUP("duochrome_green_step",Calibration!$B:$B,Calibration!$C:$C,0.25),I435="EQUAL",IF(XLOOKUP($B435,Derived_Variables!$A:$A,Derived_Variables!$S:$S,"Neutral")="Undercorrect",XLOOKUP("undercorrect_step",Calibration!$B:$B,Calibration!$C:$C,0.25),IF(XLOOKUP($B435,Derived_Variables!$A:$A,Derived_Variables!$S:$S,"Neutral")="Overcorrect",-XLOOKUP("overcorrect_step",Calibration!$B:$B,Calibration!$C:$C,0.25),0)),TRUE,0),C435="K",IF(I435="TOP_CLEARER",XLOOKUP("bino_balance_step",Calibration!$B:$B,Calibration!$C:$C,0.25),0),TRUE,0))</f>
        <v/>
      </c>
      <c r="AN435" s="28" t="str">
        <f t="shared" si="10"/>
        <v/>
      </c>
      <c r="AO435" s="28" t="str">
        <f t="shared" si="11"/>
        <v/>
      </c>
      <c r="AP435" s="28" t="str">
        <f t="array" ref="AP435">IF($I435="","",IFS(C435="D",IF(OR(I435="NOT_READABLE",I435="BLURRY"),-AB435,0),C435="J",IFS(I435="RED_CLEARER",XLOOKUP("duochrome_red_step",Calibration!$B:$B,Calibration!$C:$C,-0.25),I435="GREEN_CLEARER",XLOOKUP("duochrome_green_step",Calibration!$B:$B,Calibration!$C:$C,0.25),I435="EQUAL",IF(XLOOKUP($B435,Derived_Variables!$A:$A,Derived_Variables!$S:$S,"Neutral")="Undercorrect",XLOOKUP("undercorrect_step",Calibration!$B:$B,Calibration!$C:$C,0.25),IF(XLOOKUP($B435,Derived_Variables!$A:$A,Derived_Variables!$S:$S,"Neutral")="Overcorrect",-XLOOKUP("overcorrect_step",Calibration!$B:$B,Calibration!$C:$C,0.25),0)),TRUE,0),C435="K",IF(I435="BOTTOM_CLEARER",XLOOKUP("bino_balance_step",Calibration!$B:$B,Calibration!$C:$C,0.25),0),TRUE,0))</f>
        <v/>
      </c>
      <c r="AQ435" s="28" t="str">
        <f t="shared" si="12"/>
        <v/>
      </c>
      <c r="AR435" s="28" t="str">
        <f t="shared" si="13"/>
        <v/>
      </c>
      <c r="AS435" s="28" t="str">
        <f t="array" ref="AS435">IF($I435="","",IF(C435="P",IF(OR(I435="NOT_READABLE",I435="BLURRY"),XLOOKUP("near_add_step",Calibration!$B:$B,Calibration!$C:$C,0.25),0),IF(C435="R",IF(I435="NOT_CLEAR",XLOOKUP("near_add_step",Calibration!$B:$B,Calibration!$C:$C,0.25),0),0)))</f>
        <v/>
      </c>
      <c r="AT435" s="28" t="str">
        <f t="array" ref="AT435">IF($I435="","",IF(C435="Q",IF(OR(I435="NOT_READABLE",I435="BLURRY"),XLOOKUP("near_add_step",Calibration!$B:$B,Calibration!$C:$C,0.25),0),IF(C435="R",IF(I435="NOT_CLEAR",XLOOKUP("near_add_step",Calibration!$B:$B,Calibration!$C:$C,0.25),0),0)))</f>
        <v/>
      </c>
      <c r="AU435" s="28" t="str">
        <f t="array" ref="AU435">IF($I435="","",IF(G435="SNELLEN_FEET",IF(I435="READABLE",IFERROR(XLOOKUP(XLOOKUP(R435,Chart_Scale_Distance!B:B,Chart_Scale_Distance!A:A)+1,Chart_Scale_Distance!A:A,Chart_Scale_Distance!B:B),R435),R435),R435))</f>
        <v/>
      </c>
      <c r="AV435" s="28" t="str">
        <f t="array" ref="AV435">IF($I434="","",IFERROR(XLOOKUP(R435,Chart_Scale_Distance!$B:$B,Chart_Scale_Distance!$A:$A,""),""))</f>
        <v/>
      </c>
      <c r="AW435" s="28" t="str">
        <f t="array" ref="AW435">IF($I434="","",IFERROR(XLOOKUP(AA435,Chart_Scale_Distance!$B:$B,Chart_Scale_Distance!$A:$A,""),""))</f>
        <v/>
      </c>
      <c r="AX435" s="28" t="str">
        <f t="shared" si="14"/>
        <v/>
      </c>
      <c r="AY435" s="28" t="str">
        <f t="shared" si="15"/>
        <v/>
      </c>
      <c r="AZ435" s="28" t="str">
        <f t="shared" si="16"/>
        <v/>
      </c>
      <c r="BA435" s="28" t="str">
        <f t="shared" si="17"/>
        <v/>
      </c>
      <c r="BB435" s="28" t="str">
        <f t="shared" si="18"/>
        <v/>
      </c>
      <c r="BC435" s="28" t="str">
        <f t="array" ref="BC435">IF($I435="","",LET(
conf,AI435,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duoMax,XLOOKUP($B435,Derived_Variables!$A:$A,Derived_Variables!$AI:$AI,4),
axisTol,XLOOKUP($B435,Derived_Variables!$A:$A,Derived_Variables!$W:$W,1),
maxStart,XLOOKUP($B435,Derived_Variables!$A:$A,Derived_Variables!$U:$U,1.25),
maxAR,XLOOKUP($B435,Derived_Variables!$A:$A,Derived_Variables!$V:$V,3),
anom,XLOOKUP($B435,Derived_Variables!$A:$A,Derived_Variables!$Z:$Z,FALSE),
reStart,XLOOKUP($B435,Derived_Variables!$A:$A,Derived_Variables!$K:$K,0),
leStart,XLOOKUP($B435,Derived_Variables!$A:$A,Derived_Variables!$N:$N,0),
reAR,XLOOKUP($B435,AR_Input!$A:$A,AR_Input!$B:$B,reStart),
leAR,XLOOKUP($B435,AR_Input!$A:$A,AR_Input!$E:$E,leStart),
reEsc,AND(anom,OR(ABS((S435+AM435)-reStart)&gt;maxStart,ABS((S435+AM435)-reAR)&gt;maxAR)),
leEsc,AND(anom,OR(ABS((V435+AP435)-leStart)&gt;maxStart,ABS((V435+AP435)-leAR)&gt;maxAR)),
phaseMax,IFS(
 AK435="Fast",
   IFS(
     OR(C435="B",C435="D"),XLOOKUP("timeout_coarse_fast",Calibration!$B:$B,Calibration!$C:$C,24),
     OR(C435="E",C435="F",C435="H",C435="I"),XLOOKUP("timeout_jcc_fast",Calibration!$B:$B,Calibration!$C:$C,10),
     OR(C435="G",C435="J"),XLOOKUP("timeout_duochrome_fast",Calibration!$B:$B,Calibration!$C:$C,8),
     C435="K",XLOOKUP("timeout_bino_fast",Calibration!$B:$B,Calibration!$C:$C,10),
     OR(C435="P",C435="Q",C435="R"),XLOOKUP("timeout_near_fast",Calibration!$B:$B,Calibration!$C:$C,16),
     TRUE,XLOOKUP("timeout_coarse_fast",Calibration!$B:$B,Calibration!$C:$C,24)
   ),
 AK435="Normal",
   IFS(
     OR(C435="B",C435="D"),XLOOKUP("timeout_coarse_normal",Calibration!$B:$B,Calibration!$C:$C,36),
     OR(C435="E",C435="F",C435="H",C435="I"),XLOOKUP("timeout_jcc_normal",Calibration!$B:$B,Calibration!$C:$C,14),
     OR(C435="G",C435="J"),XLOOKUP("timeout_duochrome_normal",Calibration!$B:$B,Calibration!$C:$C,10),
     C435="K",XLOOKUP("timeout_bino_normal",Calibration!$B:$B,Calibration!$C:$C,14),
     OR(C435="P",C435="Q",C435="R"),XLOOKUP("timeout_near_normal",Calibration!$B:$B,Calibration!$C:$C,22),
     TRUE,XLOOKUP("timeout_coarse_normal",Calibration!$B:$B,Calibration!$C:$C,36)
   ),
 TRUE,
   IFS(
     OR(C435="B",C435="D"),XLOOKUP("timeout_coarse_slow",Calibration!$B:$B,Calibration!$C:$C,48),
     OR(C435="E",C435="F",C435="H",C435="I"),XLOOKUP("timeout_jcc_slow",Calibration!$B:$B,Calibration!$C:$C,18),
     OR(C435="G",C435="J"),XLOOKUP("timeout_duochrome_slow",Calibration!$B:$B,Calibration!$C:$C,12),
     C435="K",XLOOKUP("timeout_bino_slow",Calibration!$B:$B,Calibration!$C:$C,18),
     OR(C435="P",C435="Q",C435="R"),XLOOKUP("timeout_near_slow",Calibration!$B:$B,Calibration!$C:$C,28),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AJ435=TRUE,"ESCALATE",
C435="A",
IF(OR(I435="NOT_READABLE",I435="BLURRY",AND(R435="20_20_20",I435="READABLE")),"B","A"),
C435="B",
IF(reEsc,"ESCALATE",IF(AY435&gt;=phaseMax,"ESCALATE",IF(AND(AV435&gt;=AW435,I435="READABLE"),"E","B"))),
C435="E",
IF(AY435&gt;=phaseMax,"ESCALATE",IF(OR(I435="SAME",I435="CANT_TELL",AD435&lt;axisTol),"F","E")),
C435="F",
IF(AY435&gt;=phaseMax,"ESCALATE",IF(AX435&gt;=powerSameN,"G","F")),
C435="G",
IF(AY435&gt;=phaseMax,"ESCALATE",IF(OR(AX435&gt;=duoEqualN,BB435&gt;=duoMax),"D","G")),
C435="D",
IF(leEsc,"ESCALATE",IF(AY435&gt;=phaseMax,"ESCALATE",IF(AND(AV435&gt;=AW435,I435="READABLE"),"H","D"))),
C435="H",
IF(AY435&gt;=phaseMax,"ESCALATE",IF(OR(I435="SAME",I435="CANT_TELL",AD435&lt;axisTol),"I","H")),
C435="I",
IF(AY435&gt;=phaseMax,"ESCALATE",IF(AX435&gt;=powerSameN,"J","I")),
C435="J",
IF(AY435&gt;=phaseMax,"ESCALATE",IF(OR(AX435&gt;=duoEqualN,BB435&gt;=duoMax),"K","J")),
C435="K",
IF(AY435&gt;=phaseMax,"ESCALATE",IF(AX435&gt;=binoSameN,IF(XLOOKUP($B435,Derived_Variables!$A:$A,Derived_Variables!$AJ:$AJ,FALSE)=TRUE,"P","END"),"K")),
C435="P",
IF(AY435&gt;=phaseMax,"ESCALATE",IF(OR(I435="READABLE",I435="SAME"),"Q","P")),
C435="Q",
IF(AY435&gt;=phaseMax,"ESCALATE",IF(OR(I435="READABLE",I435="SAME"),"R","Q")),
C435="R",
IF(AY435&gt;=phaseMax,"ESCALATE",IF(OR(I435=nearTarget,I435="SAME"),"END","R")),
TRUE,"END"
)))</f>
        <v/>
      </c>
      <c r="BD435" s="28" t="b">
        <f t="shared" si="19"/>
        <v>0</v>
      </c>
    </row>
    <row r="436" ht="15.75" customHeight="1">
      <c r="A436" s="28">
        <f t="shared" si="3"/>
        <v>435</v>
      </c>
      <c r="B436" s="28">
        <f t="shared" si="4"/>
        <v>6</v>
      </c>
      <c r="C436" s="28" t="str">
        <f t="shared" si="5"/>
        <v/>
      </c>
      <c r="D436" s="28" t="str">
        <f t="array" ref="D436">IF($I435="","",XLOOKUP(C436,FSM_State_Map!A:A,FSM_State_Map!B:B,""))</f>
        <v/>
      </c>
      <c r="E436" s="28" t="str">
        <f t="array" ref="E436">IF($I435="","",XLOOKUP(C436,FSM_State_Map!A:A,FSM_State_Map!C:C,""))</f>
        <v/>
      </c>
      <c r="F436" s="28" t="str">
        <f t="array" ref="F436">IF($I435="","",XLOOKUP(E436,Phase_UI_Map!A:A,Phase_UI_Map!B:B,""))</f>
        <v/>
      </c>
      <c r="G436" s="28" t="str">
        <f t="array" ref="G436">IF($I435="","",XLOOKUP(E436,Phase_UI_Map!A:A,Phase_UI_Map!C:C,""))</f>
        <v/>
      </c>
      <c r="H436" s="28" t="str">
        <f t="array" ref="H436">IF($I435="","",XLOOKUP(E436,Phase_UI_Map!A:A,Phase_UI_Map!D:D,""))</f>
        <v/>
      </c>
      <c r="I436" s="29"/>
      <c r="J436" s="28" t="str">
        <f>IFERROR(__xludf.DUMMYFUNCTION("IF($I435="""","""",IFERROR(INDEX(FILTER(Response_Lists!$B:$B,Response_Lists!$A:$A=$H436),1),""""))"),"")</f>
        <v/>
      </c>
      <c r="K436" s="28" t="str">
        <f>IFERROR(__xludf.DUMMYFUNCTION("IF($I435="""","""",IFERROR(INDEX(FILTER(Response_Lists!$B:$B,Response_Lists!$A:$A=$H436),2),""""))"),"")</f>
        <v/>
      </c>
      <c r="L436" s="28" t="str">
        <f>IFERROR(__xludf.DUMMYFUNCTION("IF($I435="""","""",IFERROR(INDEX(FILTER(Response_Lists!$B:$B,Response_Lists!$A:$A=$H436),3),""""))"),"")</f>
        <v/>
      </c>
      <c r="M436" s="28" t="str">
        <f>IFERROR(__xludf.DUMMYFUNCTION("IF($I435="""","""",IFERROR(INDEX(FILTER(Response_Lists!$B:$B,Response_Lists!$A:$A=$H436),4),""""))"),"")</f>
        <v/>
      </c>
      <c r="N436" s="28" t="str">
        <f>IFERROR(__xludf.DUMMYFUNCTION("IF($I435="""","""",IFERROR(INDEX(FILTER(Response_Lists!$B:$B,Response_Lists!$A:$A=$H436),5),""""))"),"")</f>
        <v/>
      </c>
      <c r="O436" s="28" t="str">
        <f>IFERROR(__xludf.DUMMYFUNCTION("IF($I435="""","""",IFERROR(INDEX(FILTER(Response_Lists!$B:$B,Response_Lists!$A:$A=$H436),6),""""))"),"")</f>
        <v/>
      </c>
      <c r="P436" s="28" t="str">
        <f t="shared" si="6"/>
        <v/>
      </c>
      <c r="Q436" s="28" t="str">
        <f t="array" ref="Q436">IF($I435="","",XLOOKUP(C436,FSM_State_Map!A:A,FSM_State_Map!D:D,""))</f>
        <v/>
      </c>
      <c r="R436" s="28" t="str">
        <f t="shared" si="7"/>
        <v/>
      </c>
      <c r="S436" s="28" t="str">
        <f t="array" ref="S436">IF($I435="","",
IF(
  AND(C436="B",C435&lt;&gt;"B"),
  XLOOKUP($B436,Derived_Variables!$A:$A,Derived_Variables!$K:$K,0)
  + XLOOKUP($B436,Derived_Variables!$A:$A,Derived_Variables!$AE:$AE,0),
  S435+AM435
))</f>
        <v/>
      </c>
      <c r="T436" s="28" t="str">
        <f t="shared" ref="T436:U436" si="882">IF($I435="","",T435+AN435)</f>
        <v/>
      </c>
      <c r="U436" s="28" t="str">
        <f t="shared" si="882"/>
        <v/>
      </c>
      <c r="V436" s="28" t="str">
        <f t="array" ref="V436">IF($I435="","",
IF(
  AND(C436="D",C435&lt;&gt;"D"),
  XLOOKUP($B436,Derived_Variables!$A:$A,Derived_Variables!$N:$N,0)
  + XLOOKUP($B436,Derived_Variables!$A:$A,Derived_Variables!$AE:$AE,0),
  V435+AP435
))</f>
        <v/>
      </c>
      <c r="W436" s="28" t="str">
        <f t="shared" ref="W436:X436" si="883">IF($I435="","",W435+AQ435)</f>
        <v/>
      </c>
      <c r="X436" s="28" t="str">
        <f t="shared" si="883"/>
        <v/>
      </c>
      <c r="Y436" s="28" t="str">
        <f t="array" ref="Y436">IF($I435="","",IF(AND(C436="P",C435&lt;&gt;"P"),IFERROR(XLOOKUP($B436,Lenso_Input!$A:$A,Lenso_Input!$E:$E,0),0),Y435+AS435))</f>
        <v/>
      </c>
      <c r="Z436" s="28" t="str">
        <f t="array" ref="Z436">IF($I435="","",IF(AND(C436="Q",C435&lt;&gt;"Q"),IFERROR(XLOOKUP($B436,Lenso_Input!$A:$A,Lenso_Input!$I:$I,0),0),Z435+AT435))</f>
        <v/>
      </c>
      <c r="AA436" s="28" t="str">
        <f t="array" ref="AA436">IF($I435="","",IF(XLOOKUP($B436,Derived_Variables!$A:$A,Derived_Variables!$R:$R,"6/6_target")="6/6_target","20_20_20","40_30_25"))</f>
        <v/>
      </c>
      <c r="AB436" s="28" t="str">
        <f t="array" ref="AB436">IF($I435="","",XLOOKUP(LOWER(XLOOKUP($B436,Derived_Variables!$A:$A,Derived_Variables!$T:$T,"Standard"))&amp;"_sph_step",Calibration!$B:$B,Calibration!$C:$C,0.25))</f>
        <v/>
      </c>
      <c r="AC436" s="28" t="str">
        <f t="array" ref="AC436">IF($I435="","",XLOOKUP(LOWER(XLOOKUP($B436,Derived_Variables!$A:$A,Derived_Variables!$T:$T,"Standard"))&amp;"_cyl_step",Calibration!$B:$B,Calibration!$C:$C,0.25))</f>
        <v/>
      </c>
      <c r="AD436" s="28" t="str">
        <f t="array" ref="AD436">IF($I435="","",IF(OR(C436="E",C436="H"),LET(startStep,XLOOKUP("axis_start_step",Calibration!$B:$B,Calibration!$C:$C,5),step1,XLOOKUP("axis_reversal_step_1",Calibration!$B:$B,Calibration!$C:$C,3),step2,XLOOKUP("axis_reversal_step_2",Calibration!$B:$B,Calibration!$C:$C,1),IF(OR(C435&lt;&gt;C436,AZ436="",AZ436="SAME",AZ436="CANT_TELL",I436="",I436="SAME",I436="CANT_TELL"),startStep,IF(OR(AND(AZ436="BETTER_1",I436="BETTER_2"),AND(AZ436="BETTER_2",I436="BETTER_1")),IF(AD435&gt;step1,step1,step2),AD435))),0))</f>
        <v/>
      </c>
      <c r="AE436" s="28" t="str">
        <f t="array" ref="AE436">IF($I435="","",XLOOKUP($B436,Derived_Variables!$A:$A,Derived_Variables!$AD:$AD,"No_Fog"))</f>
        <v/>
      </c>
      <c r="AF436" s="28" t="str">
        <f t="array" ref="AF436">IF($I435="","",XLOOKUP($B436,Derived_Variables!$A:$A,Derived_Variables!$AE:$AE,0))</f>
        <v/>
      </c>
      <c r="AG436" s="28" t="str">
        <f t="array" ref="AG436">IF($I435="","",XLOOKUP($B436,Derived_Variables!$A:$A,Derived_Variables!$AF:$AF,""))</f>
        <v/>
      </c>
      <c r="AH436" s="28" t="str">
        <f t="array" ref="AH436">IF($I435="","",XLOOKUP($B436,Derived_Variables!$A:$A,Derived_Variables!$AG:$AG,""))</f>
        <v/>
      </c>
      <c r="AI436" s="28" t="str">
        <f t="array" ref="AI436">IF($I435="","",XLOOKUP($B436,Derived_Variables!$A:$A,Derived_Variables!$AC:$AC,"Medium"))</f>
        <v/>
      </c>
      <c r="AJ436" s="28" t="str">
        <f t="array" ref="AJ436">IF($I435="","",XLOOKUP($B436,Derived_Variables!$A:$A,Derived_Variables!$Y:$Y,FALSE))</f>
        <v/>
      </c>
      <c r="AK436" s="28" t="str">
        <f t="array" ref="AK436">IF($I435="","",XLOOKUP($B436,Derived_Variables!$A:$A,Derived_Variables!$AA:$AA,"Normal"))</f>
        <v/>
      </c>
      <c r="AL436" s="28" t="str">
        <f t="array" ref="AL436">IF($I435="","",XLOOKUP($B436,Derived_Variables!$A:$A,Derived_Variables!$AB:$AB,"Normal"))</f>
        <v/>
      </c>
      <c r="AM436" s="28" t="str">
        <f t="array" ref="AM436">IF($I436="","",IFS(C436="B",IF(OR(I436="NOT_READABLE",I436="BLURRY"),-AB436,0),C436="G",IFS(I436="RED_CLEARER",XLOOKUP("duochrome_red_step",Calibration!$B:$B,Calibration!$C:$C,-0.25),I436="GREEN_CLEARER",XLOOKUP("duochrome_green_step",Calibration!$B:$B,Calibration!$C:$C,0.25),I436="EQUAL",IF(XLOOKUP($B436,Derived_Variables!$A:$A,Derived_Variables!$S:$S,"Neutral")="Undercorrect",XLOOKUP("undercorrect_step",Calibration!$B:$B,Calibration!$C:$C,0.25),IF(XLOOKUP($B436,Derived_Variables!$A:$A,Derived_Variables!$S:$S,"Neutral")="Overcorrect",-XLOOKUP("overcorrect_step",Calibration!$B:$B,Calibration!$C:$C,0.25),0)),TRUE,0),C436="K",IF(I436="TOP_CLEARER",XLOOKUP("bino_balance_step",Calibration!$B:$B,Calibration!$C:$C,0.25),0),TRUE,0))</f>
        <v/>
      </c>
      <c r="AN436" s="28" t="str">
        <f t="shared" si="10"/>
        <v/>
      </c>
      <c r="AO436" s="28" t="str">
        <f t="shared" si="11"/>
        <v/>
      </c>
      <c r="AP436" s="28" t="str">
        <f t="array" ref="AP436">IF($I436="","",IFS(C436="D",IF(OR(I436="NOT_READABLE",I436="BLURRY"),-AB436,0),C436="J",IFS(I436="RED_CLEARER",XLOOKUP("duochrome_red_step",Calibration!$B:$B,Calibration!$C:$C,-0.25),I436="GREEN_CLEARER",XLOOKUP("duochrome_green_step",Calibration!$B:$B,Calibration!$C:$C,0.25),I436="EQUAL",IF(XLOOKUP($B436,Derived_Variables!$A:$A,Derived_Variables!$S:$S,"Neutral")="Undercorrect",XLOOKUP("undercorrect_step",Calibration!$B:$B,Calibration!$C:$C,0.25),IF(XLOOKUP($B436,Derived_Variables!$A:$A,Derived_Variables!$S:$S,"Neutral")="Overcorrect",-XLOOKUP("overcorrect_step",Calibration!$B:$B,Calibration!$C:$C,0.25),0)),TRUE,0),C436="K",IF(I436="BOTTOM_CLEARER",XLOOKUP("bino_balance_step",Calibration!$B:$B,Calibration!$C:$C,0.25),0),TRUE,0))</f>
        <v/>
      </c>
      <c r="AQ436" s="28" t="str">
        <f t="shared" si="12"/>
        <v/>
      </c>
      <c r="AR436" s="28" t="str">
        <f t="shared" si="13"/>
        <v/>
      </c>
      <c r="AS436" s="28" t="str">
        <f t="array" ref="AS436">IF($I436="","",IF(C436="P",IF(OR(I436="NOT_READABLE",I436="BLURRY"),XLOOKUP("near_add_step",Calibration!$B:$B,Calibration!$C:$C,0.25),0),IF(C436="R",IF(I436="NOT_CLEAR",XLOOKUP("near_add_step",Calibration!$B:$B,Calibration!$C:$C,0.25),0),0)))</f>
        <v/>
      </c>
      <c r="AT436" s="28" t="str">
        <f t="array" ref="AT436">IF($I436="","",IF(C436="Q",IF(OR(I436="NOT_READABLE",I436="BLURRY"),XLOOKUP("near_add_step",Calibration!$B:$B,Calibration!$C:$C,0.25),0),IF(C436="R",IF(I436="NOT_CLEAR",XLOOKUP("near_add_step",Calibration!$B:$B,Calibration!$C:$C,0.25),0),0)))</f>
        <v/>
      </c>
      <c r="AU436" s="28" t="str">
        <f t="array" ref="AU436">IF($I436="","",IF(G436="SNELLEN_FEET",IF(I436="READABLE",IFERROR(XLOOKUP(XLOOKUP(R436,Chart_Scale_Distance!B:B,Chart_Scale_Distance!A:A)+1,Chart_Scale_Distance!A:A,Chart_Scale_Distance!B:B),R436),R436),R436))</f>
        <v/>
      </c>
      <c r="AV436" s="28" t="str">
        <f t="array" ref="AV436">IF($I435="","",IFERROR(XLOOKUP(R436,Chart_Scale_Distance!$B:$B,Chart_Scale_Distance!$A:$A,""),""))</f>
        <v/>
      </c>
      <c r="AW436" s="28" t="str">
        <f t="array" ref="AW436">IF($I435="","",IFERROR(XLOOKUP(AA436,Chart_Scale_Distance!$B:$B,Chart_Scale_Distance!$A:$A,""),""))</f>
        <v/>
      </c>
      <c r="AX436" s="28" t="str">
        <f t="shared" si="14"/>
        <v/>
      </c>
      <c r="AY436" s="28" t="str">
        <f t="shared" si="15"/>
        <v/>
      </c>
      <c r="AZ436" s="28" t="str">
        <f t="shared" si="16"/>
        <v/>
      </c>
      <c r="BA436" s="28" t="str">
        <f t="shared" si="17"/>
        <v/>
      </c>
      <c r="BB436" s="28" t="str">
        <f t="shared" si="18"/>
        <v/>
      </c>
      <c r="BC436" s="28" t="str">
        <f t="array" ref="BC436">IF($I436="","",LET(
conf,AI436,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duoMax,XLOOKUP($B436,Derived_Variables!$A:$A,Derived_Variables!$AI:$AI,4),
axisTol,XLOOKUP($B436,Derived_Variables!$A:$A,Derived_Variables!$W:$W,1),
maxStart,XLOOKUP($B436,Derived_Variables!$A:$A,Derived_Variables!$U:$U,1.25),
maxAR,XLOOKUP($B436,Derived_Variables!$A:$A,Derived_Variables!$V:$V,3),
anom,XLOOKUP($B436,Derived_Variables!$A:$A,Derived_Variables!$Z:$Z,FALSE),
reStart,XLOOKUP($B436,Derived_Variables!$A:$A,Derived_Variables!$K:$K,0),
leStart,XLOOKUP($B436,Derived_Variables!$A:$A,Derived_Variables!$N:$N,0),
reAR,XLOOKUP($B436,AR_Input!$A:$A,AR_Input!$B:$B,reStart),
leAR,XLOOKUP($B436,AR_Input!$A:$A,AR_Input!$E:$E,leStart),
reEsc,AND(anom,OR(ABS((S436+AM436)-reStart)&gt;maxStart,ABS((S436+AM436)-reAR)&gt;maxAR)),
leEsc,AND(anom,OR(ABS((V436+AP436)-leStart)&gt;maxStart,ABS((V436+AP436)-leAR)&gt;maxAR)),
phaseMax,IFS(
 AK436="Fast",
   IFS(
     OR(C436="B",C436="D"),XLOOKUP("timeout_coarse_fast",Calibration!$B:$B,Calibration!$C:$C,24),
     OR(C436="E",C436="F",C436="H",C436="I"),XLOOKUP("timeout_jcc_fast",Calibration!$B:$B,Calibration!$C:$C,10),
     OR(C436="G",C436="J"),XLOOKUP("timeout_duochrome_fast",Calibration!$B:$B,Calibration!$C:$C,8),
     C436="K",XLOOKUP("timeout_bino_fast",Calibration!$B:$B,Calibration!$C:$C,10),
     OR(C436="P",C436="Q",C436="R"),XLOOKUP("timeout_near_fast",Calibration!$B:$B,Calibration!$C:$C,16),
     TRUE,XLOOKUP("timeout_coarse_fast",Calibration!$B:$B,Calibration!$C:$C,24)
   ),
 AK436="Normal",
   IFS(
     OR(C436="B",C436="D"),XLOOKUP("timeout_coarse_normal",Calibration!$B:$B,Calibration!$C:$C,36),
     OR(C436="E",C436="F",C436="H",C436="I"),XLOOKUP("timeout_jcc_normal",Calibration!$B:$B,Calibration!$C:$C,14),
     OR(C436="G",C436="J"),XLOOKUP("timeout_duochrome_normal",Calibration!$B:$B,Calibration!$C:$C,10),
     C436="K",XLOOKUP("timeout_bino_normal",Calibration!$B:$B,Calibration!$C:$C,14),
     OR(C436="P",C436="Q",C436="R"),XLOOKUP("timeout_near_normal",Calibration!$B:$B,Calibration!$C:$C,22),
     TRUE,XLOOKUP("timeout_coarse_normal",Calibration!$B:$B,Calibration!$C:$C,36)
   ),
 TRUE,
   IFS(
     OR(C436="B",C436="D"),XLOOKUP("timeout_coarse_slow",Calibration!$B:$B,Calibration!$C:$C,48),
     OR(C436="E",C436="F",C436="H",C436="I"),XLOOKUP("timeout_jcc_slow",Calibration!$B:$B,Calibration!$C:$C,18),
     OR(C436="G",C436="J"),XLOOKUP("timeout_duochrome_slow",Calibration!$B:$B,Calibration!$C:$C,12),
     C436="K",XLOOKUP("timeout_bino_slow",Calibration!$B:$B,Calibration!$C:$C,18),
     OR(C436="P",C436="Q",C436="R"),XLOOKUP("timeout_near_slow",Calibration!$B:$B,Calibration!$C:$C,28),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AJ436=TRUE,"ESCALATE",
C436="A",
IF(OR(I436="NOT_READABLE",I436="BLURRY",AND(R436="20_20_20",I436="READABLE")),"B","A"),
C436="B",
IF(reEsc,"ESCALATE",IF(AY436&gt;=phaseMax,"ESCALATE",IF(AND(AV436&gt;=AW436,I436="READABLE"),"E","B"))),
C436="E",
IF(AY436&gt;=phaseMax,"ESCALATE",IF(OR(I436="SAME",I436="CANT_TELL",AD436&lt;axisTol),"F","E")),
C436="F",
IF(AY436&gt;=phaseMax,"ESCALATE",IF(AX436&gt;=powerSameN,"G","F")),
C436="G",
IF(AY436&gt;=phaseMax,"ESCALATE",IF(OR(AX436&gt;=duoEqualN,BB436&gt;=duoMax),"D","G")),
C436="D",
IF(leEsc,"ESCALATE",IF(AY436&gt;=phaseMax,"ESCALATE",IF(AND(AV436&gt;=AW436,I436="READABLE"),"H","D"))),
C436="H",
IF(AY436&gt;=phaseMax,"ESCALATE",IF(OR(I436="SAME",I436="CANT_TELL",AD436&lt;axisTol),"I","H")),
C436="I",
IF(AY436&gt;=phaseMax,"ESCALATE",IF(AX436&gt;=powerSameN,"J","I")),
C436="J",
IF(AY436&gt;=phaseMax,"ESCALATE",IF(OR(AX436&gt;=duoEqualN,BB436&gt;=duoMax),"K","J")),
C436="K",
IF(AY436&gt;=phaseMax,"ESCALATE",IF(AX436&gt;=binoSameN,IF(XLOOKUP($B436,Derived_Variables!$A:$A,Derived_Variables!$AJ:$AJ,FALSE)=TRUE,"P","END"),"K")),
C436="P",
IF(AY436&gt;=phaseMax,"ESCALATE",IF(OR(I436="READABLE",I436="SAME"),"Q","P")),
C436="Q",
IF(AY436&gt;=phaseMax,"ESCALATE",IF(OR(I436="READABLE",I436="SAME"),"R","Q")),
C436="R",
IF(AY436&gt;=phaseMax,"ESCALATE",IF(OR(I436=nearTarget,I436="SAME"),"END","R")),
TRUE,"END"
)))</f>
        <v/>
      </c>
      <c r="BD436" s="28" t="b">
        <f t="shared" si="19"/>
        <v>0</v>
      </c>
    </row>
    <row r="437" ht="15.75" customHeight="1">
      <c r="A437" s="28">
        <f t="shared" si="3"/>
        <v>436</v>
      </c>
      <c r="B437" s="28">
        <f t="shared" si="4"/>
        <v>6</v>
      </c>
      <c r="C437" s="28" t="str">
        <f t="shared" si="5"/>
        <v/>
      </c>
      <c r="D437" s="28" t="str">
        <f t="array" ref="D437">IF($I436="","",XLOOKUP(C437,FSM_State_Map!A:A,FSM_State_Map!B:B,""))</f>
        <v/>
      </c>
      <c r="E437" s="28" t="str">
        <f t="array" ref="E437">IF($I436="","",XLOOKUP(C437,FSM_State_Map!A:A,FSM_State_Map!C:C,""))</f>
        <v/>
      </c>
      <c r="F437" s="28" t="str">
        <f t="array" ref="F437">IF($I436="","",XLOOKUP(E437,Phase_UI_Map!A:A,Phase_UI_Map!B:B,""))</f>
        <v/>
      </c>
      <c r="G437" s="28" t="str">
        <f t="array" ref="G437">IF($I436="","",XLOOKUP(E437,Phase_UI_Map!A:A,Phase_UI_Map!C:C,""))</f>
        <v/>
      </c>
      <c r="H437" s="28" t="str">
        <f t="array" ref="H437">IF($I436="","",XLOOKUP(E437,Phase_UI_Map!A:A,Phase_UI_Map!D:D,""))</f>
        <v/>
      </c>
      <c r="I437" s="29"/>
      <c r="J437" s="28" t="str">
        <f>IFERROR(__xludf.DUMMYFUNCTION("IF($I436="""","""",IFERROR(INDEX(FILTER(Response_Lists!$B:$B,Response_Lists!$A:$A=$H437),1),""""))"),"")</f>
        <v/>
      </c>
      <c r="K437" s="28" t="str">
        <f>IFERROR(__xludf.DUMMYFUNCTION("IF($I436="""","""",IFERROR(INDEX(FILTER(Response_Lists!$B:$B,Response_Lists!$A:$A=$H437),2),""""))"),"")</f>
        <v/>
      </c>
      <c r="L437" s="28" t="str">
        <f>IFERROR(__xludf.DUMMYFUNCTION("IF($I436="""","""",IFERROR(INDEX(FILTER(Response_Lists!$B:$B,Response_Lists!$A:$A=$H437),3),""""))"),"")</f>
        <v/>
      </c>
      <c r="M437" s="28" t="str">
        <f>IFERROR(__xludf.DUMMYFUNCTION("IF($I436="""","""",IFERROR(INDEX(FILTER(Response_Lists!$B:$B,Response_Lists!$A:$A=$H437),4),""""))"),"")</f>
        <v/>
      </c>
      <c r="N437" s="28" t="str">
        <f>IFERROR(__xludf.DUMMYFUNCTION("IF($I436="""","""",IFERROR(INDEX(FILTER(Response_Lists!$B:$B,Response_Lists!$A:$A=$H437),5),""""))"),"")</f>
        <v/>
      </c>
      <c r="O437" s="28" t="str">
        <f>IFERROR(__xludf.DUMMYFUNCTION("IF($I436="""","""",IFERROR(INDEX(FILTER(Response_Lists!$B:$B,Response_Lists!$A:$A=$H437),6),""""))"),"")</f>
        <v/>
      </c>
      <c r="P437" s="28" t="str">
        <f t="shared" si="6"/>
        <v/>
      </c>
      <c r="Q437" s="28" t="str">
        <f t="array" ref="Q437">IF($I436="","",XLOOKUP(C437,FSM_State_Map!A:A,FSM_State_Map!D:D,""))</f>
        <v/>
      </c>
      <c r="R437" s="28" t="str">
        <f t="shared" si="7"/>
        <v/>
      </c>
      <c r="S437" s="28" t="str">
        <f t="array" ref="S437">IF($I436="","",
IF(
  AND(C437="B",C436&lt;&gt;"B"),
  XLOOKUP($B437,Derived_Variables!$A:$A,Derived_Variables!$K:$K,0)
  + XLOOKUP($B437,Derived_Variables!$A:$A,Derived_Variables!$AE:$AE,0),
  S436+AM436
))</f>
        <v/>
      </c>
      <c r="T437" s="28" t="str">
        <f t="shared" ref="T437:U437" si="884">IF($I436="","",T436+AN436)</f>
        <v/>
      </c>
      <c r="U437" s="28" t="str">
        <f t="shared" si="884"/>
        <v/>
      </c>
      <c r="V437" s="28" t="str">
        <f t="array" ref="V437">IF($I436="","",
IF(
  AND(C437="D",C436&lt;&gt;"D"),
  XLOOKUP($B437,Derived_Variables!$A:$A,Derived_Variables!$N:$N,0)
  + XLOOKUP($B437,Derived_Variables!$A:$A,Derived_Variables!$AE:$AE,0),
  V436+AP436
))</f>
        <v/>
      </c>
      <c r="W437" s="28" t="str">
        <f t="shared" ref="W437:X437" si="885">IF($I436="","",W436+AQ436)</f>
        <v/>
      </c>
      <c r="X437" s="28" t="str">
        <f t="shared" si="885"/>
        <v/>
      </c>
      <c r="Y437" s="28" t="str">
        <f t="array" ref="Y437">IF($I436="","",IF(AND(C437="P",C436&lt;&gt;"P"),IFERROR(XLOOKUP($B437,Lenso_Input!$A:$A,Lenso_Input!$E:$E,0),0),Y436+AS436))</f>
        <v/>
      </c>
      <c r="Z437" s="28" t="str">
        <f t="array" ref="Z437">IF($I436="","",IF(AND(C437="Q",C436&lt;&gt;"Q"),IFERROR(XLOOKUP($B437,Lenso_Input!$A:$A,Lenso_Input!$I:$I,0),0),Z436+AT436))</f>
        <v/>
      </c>
      <c r="AA437" s="28" t="str">
        <f t="array" ref="AA437">IF($I436="","",IF(XLOOKUP($B437,Derived_Variables!$A:$A,Derived_Variables!$R:$R,"6/6_target")="6/6_target","20_20_20","40_30_25"))</f>
        <v/>
      </c>
      <c r="AB437" s="28" t="str">
        <f t="array" ref="AB437">IF($I436="","",XLOOKUP(LOWER(XLOOKUP($B437,Derived_Variables!$A:$A,Derived_Variables!$T:$T,"Standard"))&amp;"_sph_step",Calibration!$B:$B,Calibration!$C:$C,0.25))</f>
        <v/>
      </c>
      <c r="AC437" s="28" t="str">
        <f t="array" ref="AC437">IF($I436="","",XLOOKUP(LOWER(XLOOKUP($B437,Derived_Variables!$A:$A,Derived_Variables!$T:$T,"Standard"))&amp;"_cyl_step",Calibration!$B:$B,Calibration!$C:$C,0.25))</f>
        <v/>
      </c>
      <c r="AD437" s="28" t="str">
        <f t="array" ref="AD437">IF($I436="","",IF(OR(C437="E",C437="H"),LET(startStep,XLOOKUP("axis_start_step",Calibration!$B:$B,Calibration!$C:$C,5),step1,XLOOKUP("axis_reversal_step_1",Calibration!$B:$B,Calibration!$C:$C,3),step2,XLOOKUP("axis_reversal_step_2",Calibration!$B:$B,Calibration!$C:$C,1),IF(OR(C436&lt;&gt;C437,AZ437="",AZ437="SAME",AZ437="CANT_TELL",I437="",I437="SAME",I437="CANT_TELL"),startStep,IF(OR(AND(AZ437="BETTER_1",I437="BETTER_2"),AND(AZ437="BETTER_2",I437="BETTER_1")),IF(AD436&gt;step1,step1,step2),AD436))),0))</f>
        <v/>
      </c>
      <c r="AE437" s="28" t="str">
        <f t="array" ref="AE437">IF($I436="","",XLOOKUP($B437,Derived_Variables!$A:$A,Derived_Variables!$AD:$AD,"No_Fog"))</f>
        <v/>
      </c>
      <c r="AF437" s="28" t="str">
        <f t="array" ref="AF437">IF($I436="","",XLOOKUP($B437,Derived_Variables!$A:$A,Derived_Variables!$AE:$AE,0))</f>
        <v/>
      </c>
      <c r="AG437" s="28" t="str">
        <f t="array" ref="AG437">IF($I436="","",XLOOKUP($B437,Derived_Variables!$A:$A,Derived_Variables!$AF:$AF,""))</f>
        <v/>
      </c>
      <c r="AH437" s="28" t="str">
        <f t="array" ref="AH437">IF($I436="","",XLOOKUP($B437,Derived_Variables!$A:$A,Derived_Variables!$AG:$AG,""))</f>
        <v/>
      </c>
      <c r="AI437" s="28" t="str">
        <f t="array" ref="AI437">IF($I436="","",XLOOKUP($B437,Derived_Variables!$A:$A,Derived_Variables!$AC:$AC,"Medium"))</f>
        <v/>
      </c>
      <c r="AJ437" s="28" t="str">
        <f t="array" ref="AJ437">IF($I436="","",XLOOKUP($B437,Derived_Variables!$A:$A,Derived_Variables!$Y:$Y,FALSE))</f>
        <v/>
      </c>
      <c r="AK437" s="28" t="str">
        <f t="array" ref="AK437">IF($I436="","",XLOOKUP($B437,Derived_Variables!$A:$A,Derived_Variables!$AA:$AA,"Normal"))</f>
        <v/>
      </c>
      <c r="AL437" s="28" t="str">
        <f t="array" ref="AL437">IF($I436="","",XLOOKUP($B437,Derived_Variables!$A:$A,Derived_Variables!$AB:$AB,"Normal"))</f>
        <v/>
      </c>
      <c r="AM437" s="28" t="str">
        <f t="array" ref="AM437">IF($I437="","",IFS(C437="B",IF(OR(I437="NOT_READABLE",I437="BLURRY"),-AB437,0),C437="G",IFS(I437="RED_CLEARER",XLOOKUP("duochrome_red_step",Calibration!$B:$B,Calibration!$C:$C,-0.25),I437="GREEN_CLEARER",XLOOKUP("duochrome_green_step",Calibration!$B:$B,Calibration!$C:$C,0.25),I437="EQUAL",IF(XLOOKUP($B437,Derived_Variables!$A:$A,Derived_Variables!$S:$S,"Neutral")="Undercorrect",XLOOKUP("undercorrect_step",Calibration!$B:$B,Calibration!$C:$C,0.25),IF(XLOOKUP($B437,Derived_Variables!$A:$A,Derived_Variables!$S:$S,"Neutral")="Overcorrect",-XLOOKUP("overcorrect_step",Calibration!$B:$B,Calibration!$C:$C,0.25),0)),TRUE,0),C437="K",IF(I437="TOP_CLEARER",XLOOKUP("bino_balance_step",Calibration!$B:$B,Calibration!$C:$C,0.25),0),TRUE,0))</f>
        <v/>
      </c>
      <c r="AN437" s="28" t="str">
        <f t="shared" si="10"/>
        <v/>
      </c>
      <c r="AO437" s="28" t="str">
        <f t="shared" si="11"/>
        <v/>
      </c>
      <c r="AP437" s="28" t="str">
        <f t="array" ref="AP437">IF($I437="","",IFS(C437="D",IF(OR(I437="NOT_READABLE",I437="BLURRY"),-AB437,0),C437="J",IFS(I437="RED_CLEARER",XLOOKUP("duochrome_red_step",Calibration!$B:$B,Calibration!$C:$C,-0.25),I437="GREEN_CLEARER",XLOOKUP("duochrome_green_step",Calibration!$B:$B,Calibration!$C:$C,0.25),I437="EQUAL",IF(XLOOKUP($B437,Derived_Variables!$A:$A,Derived_Variables!$S:$S,"Neutral")="Undercorrect",XLOOKUP("undercorrect_step",Calibration!$B:$B,Calibration!$C:$C,0.25),IF(XLOOKUP($B437,Derived_Variables!$A:$A,Derived_Variables!$S:$S,"Neutral")="Overcorrect",-XLOOKUP("overcorrect_step",Calibration!$B:$B,Calibration!$C:$C,0.25),0)),TRUE,0),C437="K",IF(I437="BOTTOM_CLEARER",XLOOKUP("bino_balance_step",Calibration!$B:$B,Calibration!$C:$C,0.25),0),TRUE,0))</f>
        <v/>
      </c>
      <c r="AQ437" s="28" t="str">
        <f t="shared" si="12"/>
        <v/>
      </c>
      <c r="AR437" s="28" t="str">
        <f t="shared" si="13"/>
        <v/>
      </c>
      <c r="AS437" s="28" t="str">
        <f t="array" ref="AS437">IF($I437="","",IF(C437="P",IF(OR(I437="NOT_READABLE",I437="BLURRY"),XLOOKUP("near_add_step",Calibration!$B:$B,Calibration!$C:$C,0.25),0),IF(C437="R",IF(I437="NOT_CLEAR",XLOOKUP("near_add_step",Calibration!$B:$B,Calibration!$C:$C,0.25),0),0)))</f>
        <v/>
      </c>
      <c r="AT437" s="28" t="str">
        <f t="array" ref="AT437">IF($I437="","",IF(C437="Q",IF(OR(I437="NOT_READABLE",I437="BLURRY"),XLOOKUP("near_add_step",Calibration!$B:$B,Calibration!$C:$C,0.25),0),IF(C437="R",IF(I437="NOT_CLEAR",XLOOKUP("near_add_step",Calibration!$B:$B,Calibration!$C:$C,0.25),0),0)))</f>
        <v/>
      </c>
      <c r="AU437" s="28" t="str">
        <f t="array" ref="AU437">IF($I437="","",IF(G437="SNELLEN_FEET",IF(I437="READABLE",IFERROR(XLOOKUP(XLOOKUP(R437,Chart_Scale_Distance!B:B,Chart_Scale_Distance!A:A)+1,Chart_Scale_Distance!A:A,Chart_Scale_Distance!B:B),R437),R437),R437))</f>
        <v/>
      </c>
      <c r="AV437" s="28" t="str">
        <f t="array" ref="AV437">IF($I436="","",IFERROR(XLOOKUP(R437,Chart_Scale_Distance!$B:$B,Chart_Scale_Distance!$A:$A,""),""))</f>
        <v/>
      </c>
      <c r="AW437" s="28" t="str">
        <f t="array" ref="AW437">IF($I436="","",IFERROR(XLOOKUP(AA437,Chart_Scale_Distance!$B:$B,Chart_Scale_Distance!$A:$A,""),""))</f>
        <v/>
      </c>
      <c r="AX437" s="28" t="str">
        <f t="shared" si="14"/>
        <v/>
      </c>
      <c r="AY437" s="28" t="str">
        <f t="shared" si="15"/>
        <v/>
      </c>
      <c r="AZ437" s="28" t="str">
        <f t="shared" si="16"/>
        <v/>
      </c>
      <c r="BA437" s="28" t="str">
        <f t="shared" si="17"/>
        <v/>
      </c>
      <c r="BB437" s="28" t="str">
        <f t="shared" si="18"/>
        <v/>
      </c>
      <c r="BC437" s="28" t="str">
        <f t="array" ref="BC437">IF($I437="","",LET(
conf,AI437,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duoMax,XLOOKUP($B437,Derived_Variables!$A:$A,Derived_Variables!$AI:$AI,4),
axisTol,XLOOKUP($B437,Derived_Variables!$A:$A,Derived_Variables!$W:$W,1),
maxStart,XLOOKUP($B437,Derived_Variables!$A:$A,Derived_Variables!$U:$U,1.25),
maxAR,XLOOKUP($B437,Derived_Variables!$A:$A,Derived_Variables!$V:$V,3),
anom,XLOOKUP($B437,Derived_Variables!$A:$A,Derived_Variables!$Z:$Z,FALSE),
reStart,XLOOKUP($B437,Derived_Variables!$A:$A,Derived_Variables!$K:$K,0),
leStart,XLOOKUP($B437,Derived_Variables!$A:$A,Derived_Variables!$N:$N,0),
reAR,XLOOKUP($B437,AR_Input!$A:$A,AR_Input!$B:$B,reStart),
leAR,XLOOKUP($B437,AR_Input!$A:$A,AR_Input!$E:$E,leStart),
reEsc,AND(anom,OR(ABS((S437+AM437)-reStart)&gt;maxStart,ABS((S437+AM437)-reAR)&gt;maxAR)),
leEsc,AND(anom,OR(ABS((V437+AP437)-leStart)&gt;maxStart,ABS((V437+AP437)-leAR)&gt;maxAR)),
phaseMax,IFS(
 AK437="Fast",
   IFS(
     OR(C437="B",C437="D"),XLOOKUP("timeout_coarse_fast",Calibration!$B:$B,Calibration!$C:$C,24),
     OR(C437="E",C437="F",C437="H",C437="I"),XLOOKUP("timeout_jcc_fast",Calibration!$B:$B,Calibration!$C:$C,10),
     OR(C437="G",C437="J"),XLOOKUP("timeout_duochrome_fast",Calibration!$B:$B,Calibration!$C:$C,8),
     C437="K",XLOOKUP("timeout_bino_fast",Calibration!$B:$B,Calibration!$C:$C,10),
     OR(C437="P",C437="Q",C437="R"),XLOOKUP("timeout_near_fast",Calibration!$B:$B,Calibration!$C:$C,16),
     TRUE,XLOOKUP("timeout_coarse_fast",Calibration!$B:$B,Calibration!$C:$C,24)
   ),
 AK437="Normal",
   IFS(
     OR(C437="B",C437="D"),XLOOKUP("timeout_coarse_normal",Calibration!$B:$B,Calibration!$C:$C,36),
     OR(C437="E",C437="F",C437="H",C437="I"),XLOOKUP("timeout_jcc_normal",Calibration!$B:$B,Calibration!$C:$C,14),
     OR(C437="G",C437="J"),XLOOKUP("timeout_duochrome_normal",Calibration!$B:$B,Calibration!$C:$C,10),
     C437="K",XLOOKUP("timeout_bino_normal",Calibration!$B:$B,Calibration!$C:$C,14),
     OR(C437="P",C437="Q",C437="R"),XLOOKUP("timeout_near_normal",Calibration!$B:$B,Calibration!$C:$C,22),
     TRUE,XLOOKUP("timeout_coarse_normal",Calibration!$B:$B,Calibration!$C:$C,36)
   ),
 TRUE,
   IFS(
     OR(C437="B",C437="D"),XLOOKUP("timeout_coarse_slow",Calibration!$B:$B,Calibration!$C:$C,48),
     OR(C437="E",C437="F",C437="H",C437="I"),XLOOKUP("timeout_jcc_slow",Calibration!$B:$B,Calibration!$C:$C,18),
     OR(C437="G",C437="J"),XLOOKUP("timeout_duochrome_slow",Calibration!$B:$B,Calibration!$C:$C,12),
     C437="K",XLOOKUP("timeout_bino_slow",Calibration!$B:$B,Calibration!$C:$C,18),
     OR(C437="P",C437="Q",C437="R"),XLOOKUP("timeout_near_slow",Calibration!$B:$B,Calibration!$C:$C,28),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AJ437=TRUE,"ESCALATE",
C437="A",
IF(OR(I437="NOT_READABLE",I437="BLURRY",AND(R437="20_20_20",I437="READABLE")),"B","A"),
C437="B",
IF(reEsc,"ESCALATE",IF(AY437&gt;=phaseMax,"ESCALATE",IF(AND(AV437&gt;=AW437,I437="READABLE"),"E","B"))),
C437="E",
IF(AY437&gt;=phaseMax,"ESCALATE",IF(OR(I437="SAME",I437="CANT_TELL",AD437&lt;axisTol),"F","E")),
C437="F",
IF(AY437&gt;=phaseMax,"ESCALATE",IF(AX437&gt;=powerSameN,"G","F")),
C437="G",
IF(AY437&gt;=phaseMax,"ESCALATE",IF(OR(AX437&gt;=duoEqualN,BB437&gt;=duoMax),"D","G")),
C437="D",
IF(leEsc,"ESCALATE",IF(AY437&gt;=phaseMax,"ESCALATE",IF(AND(AV437&gt;=AW437,I437="READABLE"),"H","D"))),
C437="H",
IF(AY437&gt;=phaseMax,"ESCALATE",IF(OR(I437="SAME",I437="CANT_TELL",AD437&lt;axisTol),"I","H")),
C437="I",
IF(AY437&gt;=phaseMax,"ESCALATE",IF(AX437&gt;=powerSameN,"J","I")),
C437="J",
IF(AY437&gt;=phaseMax,"ESCALATE",IF(OR(AX437&gt;=duoEqualN,BB437&gt;=duoMax),"K","J")),
C437="K",
IF(AY437&gt;=phaseMax,"ESCALATE",IF(AX437&gt;=binoSameN,IF(XLOOKUP($B437,Derived_Variables!$A:$A,Derived_Variables!$AJ:$AJ,FALSE)=TRUE,"P","END"),"K")),
C437="P",
IF(AY437&gt;=phaseMax,"ESCALATE",IF(OR(I437="READABLE",I437="SAME"),"Q","P")),
C437="Q",
IF(AY437&gt;=phaseMax,"ESCALATE",IF(OR(I437="READABLE",I437="SAME"),"R","Q")),
C437="R",
IF(AY437&gt;=phaseMax,"ESCALATE",IF(OR(I437=nearTarget,I437="SAME"),"END","R")),
TRUE,"END"
)))</f>
        <v/>
      </c>
      <c r="BD437" s="28" t="b">
        <f t="shared" si="19"/>
        <v>0</v>
      </c>
    </row>
    <row r="438" ht="15.75" customHeight="1">
      <c r="A438" s="28">
        <f t="shared" si="3"/>
        <v>437</v>
      </c>
      <c r="B438" s="28">
        <f t="shared" si="4"/>
        <v>6</v>
      </c>
      <c r="C438" s="28" t="str">
        <f t="shared" si="5"/>
        <v/>
      </c>
      <c r="D438" s="28" t="str">
        <f t="array" ref="D438">IF($I437="","",XLOOKUP(C438,FSM_State_Map!A:A,FSM_State_Map!B:B,""))</f>
        <v/>
      </c>
      <c r="E438" s="28" t="str">
        <f t="array" ref="E438">IF($I437="","",XLOOKUP(C438,FSM_State_Map!A:A,FSM_State_Map!C:C,""))</f>
        <v/>
      </c>
      <c r="F438" s="28" t="str">
        <f t="array" ref="F438">IF($I437="","",XLOOKUP(E438,Phase_UI_Map!A:A,Phase_UI_Map!B:B,""))</f>
        <v/>
      </c>
      <c r="G438" s="28" t="str">
        <f t="array" ref="G438">IF($I437="","",XLOOKUP(E438,Phase_UI_Map!A:A,Phase_UI_Map!C:C,""))</f>
        <v/>
      </c>
      <c r="H438" s="28" t="str">
        <f t="array" ref="H438">IF($I437="","",XLOOKUP(E438,Phase_UI_Map!A:A,Phase_UI_Map!D:D,""))</f>
        <v/>
      </c>
      <c r="I438" s="29"/>
      <c r="J438" s="28" t="str">
        <f>IFERROR(__xludf.DUMMYFUNCTION("IF($I437="""","""",IFERROR(INDEX(FILTER(Response_Lists!$B:$B,Response_Lists!$A:$A=$H438),1),""""))"),"")</f>
        <v/>
      </c>
      <c r="K438" s="28" t="str">
        <f>IFERROR(__xludf.DUMMYFUNCTION("IF($I437="""","""",IFERROR(INDEX(FILTER(Response_Lists!$B:$B,Response_Lists!$A:$A=$H438),2),""""))"),"")</f>
        <v/>
      </c>
      <c r="L438" s="28" t="str">
        <f>IFERROR(__xludf.DUMMYFUNCTION("IF($I437="""","""",IFERROR(INDEX(FILTER(Response_Lists!$B:$B,Response_Lists!$A:$A=$H438),3),""""))"),"")</f>
        <v/>
      </c>
      <c r="M438" s="28" t="str">
        <f>IFERROR(__xludf.DUMMYFUNCTION("IF($I437="""","""",IFERROR(INDEX(FILTER(Response_Lists!$B:$B,Response_Lists!$A:$A=$H438),4),""""))"),"")</f>
        <v/>
      </c>
      <c r="N438" s="28" t="str">
        <f>IFERROR(__xludf.DUMMYFUNCTION("IF($I437="""","""",IFERROR(INDEX(FILTER(Response_Lists!$B:$B,Response_Lists!$A:$A=$H438),5),""""))"),"")</f>
        <v/>
      </c>
      <c r="O438" s="28" t="str">
        <f>IFERROR(__xludf.DUMMYFUNCTION("IF($I437="""","""",IFERROR(INDEX(FILTER(Response_Lists!$B:$B,Response_Lists!$A:$A=$H438),6),""""))"),"")</f>
        <v/>
      </c>
      <c r="P438" s="28" t="str">
        <f t="shared" si="6"/>
        <v/>
      </c>
      <c r="Q438" s="28" t="str">
        <f t="array" ref="Q438">IF($I437="","",XLOOKUP(C438,FSM_State_Map!A:A,FSM_State_Map!D:D,""))</f>
        <v/>
      </c>
      <c r="R438" s="28" t="str">
        <f t="shared" si="7"/>
        <v/>
      </c>
      <c r="S438" s="28" t="str">
        <f t="array" ref="S438">IF($I437="","",
IF(
  AND(C438="B",C437&lt;&gt;"B"),
  XLOOKUP($B438,Derived_Variables!$A:$A,Derived_Variables!$K:$K,0)
  + XLOOKUP($B438,Derived_Variables!$A:$A,Derived_Variables!$AE:$AE,0),
  S437+AM437
))</f>
        <v/>
      </c>
      <c r="T438" s="28" t="str">
        <f t="shared" ref="T438:U438" si="886">IF($I437="","",T437+AN437)</f>
        <v/>
      </c>
      <c r="U438" s="28" t="str">
        <f t="shared" si="886"/>
        <v/>
      </c>
      <c r="V438" s="28" t="str">
        <f t="array" ref="V438">IF($I437="","",
IF(
  AND(C438="D",C437&lt;&gt;"D"),
  XLOOKUP($B438,Derived_Variables!$A:$A,Derived_Variables!$N:$N,0)
  + XLOOKUP($B438,Derived_Variables!$A:$A,Derived_Variables!$AE:$AE,0),
  V437+AP437
))</f>
        <v/>
      </c>
      <c r="W438" s="28" t="str">
        <f t="shared" ref="W438:X438" si="887">IF($I437="","",W437+AQ437)</f>
        <v/>
      </c>
      <c r="X438" s="28" t="str">
        <f t="shared" si="887"/>
        <v/>
      </c>
      <c r="Y438" s="28" t="str">
        <f t="array" ref="Y438">IF($I437="","",IF(AND(C438="P",C437&lt;&gt;"P"),IFERROR(XLOOKUP($B438,Lenso_Input!$A:$A,Lenso_Input!$E:$E,0),0),Y437+AS437))</f>
        <v/>
      </c>
      <c r="Z438" s="28" t="str">
        <f t="array" ref="Z438">IF($I437="","",IF(AND(C438="Q",C437&lt;&gt;"Q"),IFERROR(XLOOKUP($B438,Lenso_Input!$A:$A,Lenso_Input!$I:$I,0),0),Z437+AT437))</f>
        <v/>
      </c>
      <c r="AA438" s="28" t="str">
        <f t="array" ref="AA438">IF($I437="","",IF(XLOOKUP($B438,Derived_Variables!$A:$A,Derived_Variables!$R:$R,"6/6_target")="6/6_target","20_20_20","40_30_25"))</f>
        <v/>
      </c>
      <c r="AB438" s="28" t="str">
        <f t="array" ref="AB438">IF($I437="","",XLOOKUP(LOWER(XLOOKUP($B438,Derived_Variables!$A:$A,Derived_Variables!$T:$T,"Standard"))&amp;"_sph_step",Calibration!$B:$B,Calibration!$C:$C,0.25))</f>
        <v/>
      </c>
      <c r="AC438" s="28" t="str">
        <f t="array" ref="AC438">IF($I437="","",XLOOKUP(LOWER(XLOOKUP($B438,Derived_Variables!$A:$A,Derived_Variables!$T:$T,"Standard"))&amp;"_cyl_step",Calibration!$B:$B,Calibration!$C:$C,0.25))</f>
        <v/>
      </c>
      <c r="AD438" s="28" t="str">
        <f t="array" ref="AD438">IF($I437="","",IF(OR(C438="E",C438="H"),LET(startStep,XLOOKUP("axis_start_step",Calibration!$B:$B,Calibration!$C:$C,5),step1,XLOOKUP("axis_reversal_step_1",Calibration!$B:$B,Calibration!$C:$C,3),step2,XLOOKUP("axis_reversal_step_2",Calibration!$B:$B,Calibration!$C:$C,1),IF(OR(C437&lt;&gt;C438,AZ438="",AZ438="SAME",AZ438="CANT_TELL",I438="",I438="SAME",I438="CANT_TELL"),startStep,IF(OR(AND(AZ438="BETTER_1",I438="BETTER_2"),AND(AZ438="BETTER_2",I438="BETTER_1")),IF(AD437&gt;step1,step1,step2),AD437))),0))</f>
        <v/>
      </c>
      <c r="AE438" s="28" t="str">
        <f t="array" ref="AE438">IF($I437="","",XLOOKUP($B438,Derived_Variables!$A:$A,Derived_Variables!$AD:$AD,"No_Fog"))</f>
        <v/>
      </c>
      <c r="AF438" s="28" t="str">
        <f t="array" ref="AF438">IF($I437="","",XLOOKUP($B438,Derived_Variables!$A:$A,Derived_Variables!$AE:$AE,0))</f>
        <v/>
      </c>
      <c r="AG438" s="28" t="str">
        <f t="array" ref="AG438">IF($I437="","",XLOOKUP($B438,Derived_Variables!$A:$A,Derived_Variables!$AF:$AF,""))</f>
        <v/>
      </c>
      <c r="AH438" s="28" t="str">
        <f t="array" ref="AH438">IF($I437="","",XLOOKUP($B438,Derived_Variables!$A:$A,Derived_Variables!$AG:$AG,""))</f>
        <v/>
      </c>
      <c r="AI438" s="28" t="str">
        <f t="array" ref="AI438">IF($I437="","",XLOOKUP($B438,Derived_Variables!$A:$A,Derived_Variables!$AC:$AC,"Medium"))</f>
        <v/>
      </c>
      <c r="AJ438" s="28" t="str">
        <f t="array" ref="AJ438">IF($I437="","",XLOOKUP($B438,Derived_Variables!$A:$A,Derived_Variables!$Y:$Y,FALSE))</f>
        <v/>
      </c>
      <c r="AK438" s="28" t="str">
        <f t="array" ref="AK438">IF($I437="","",XLOOKUP($B438,Derived_Variables!$A:$A,Derived_Variables!$AA:$AA,"Normal"))</f>
        <v/>
      </c>
      <c r="AL438" s="28" t="str">
        <f t="array" ref="AL438">IF($I437="","",XLOOKUP($B438,Derived_Variables!$A:$A,Derived_Variables!$AB:$AB,"Normal"))</f>
        <v/>
      </c>
      <c r="AM438" s="28" t="str">
        <f t="array" ref="AM438">IF($I438="","",IFS(C438="B",IF(OR(I438="NOT_READABLE",I438="BLURRY"),-AB438,0),C438="G",IFS(I438="RED_CLEARER",XLOOKUP("duochrome_red_step",Calibration!$B:$B,Calibration!$C:$C,-0.25),I438="GREEN_CLEARER",XLOOKUP("duochrome_green_step",Calibration!$B:$B,Calibration!$C:$C,0.25),I438="EQUAL",IF(XLOOKUP($B438,Derived_Variables!$A:$A,Derived_Variables!$S:$S,"Neutral")="Undercorrect",XLOOKUP("undercorrect_step",Calibration!$B:$B,Calibration!$C:$C,0.25),IF(XLOOKUP($B438,Derived_Variables!$A:$A,Derived_Variables!$S:$S,"Neutral")="Overcorrect",-XLOOKUP("overcorrect_step",Calibration!$B:$B,Calibration!$C:$C,0.25),0)),TRUE,0),C438="K",IF(I438="TOP_CLEARER",XLOOKUP("bino_balance_step",Calibration!$B:$B,Calibration!$C:$C,0.25),0),TRUE,0))</f>
        <v/>
      </c>
      <c r="AN438" s="28" t="str">
        <f t="shared" si="10"/>
        <v/>
      </c>
      <c r="AO438" s="28" t="str">
        <f t="shared" si="11"/>
        <v/>
      </c>
      <c r="AP438" s="28" t="str">
        <f t="array" ref="AP438">IF($I438="","",IFS(C438="D",IF(OR(I438="NOT_READABLE",I438="BLURRY"),-AB438,0),C438="J",IFS(I438="RED_CLEARER",XLOOKUP("duochrome_red_step",Calibration!$B:$B,Calibration!$C:$C,-0.25),I438="GREEN_CLEARER",XLOOKUP("duochrome_green_step",Calibration!$B:$B,Calibration!$C:$C,0.25),I438="EQUAL",IF(XLOOKUP($B438,Derived_Variables!$A:$A,Derived_Variables!$S:$S,"Neutral")="Undercorrect",XLOOKUP("undercorrect_step",Calibration!$B:$B,Calibration!$C:$C,0.25),IF(XLOOKUP($B438,Derived_Variables!$A:$A,Derived_Variables!$S:$S,"Neutral")="Overcorrect",-XLOOKUP("overcorrect_step",Calibration!$B:$B,Calibration!$C:$C,0.25),0)),TRUE,0),C438="K",IF(I438="BOTTOM_CLEARER",XLOOKUP("bino_balance_step",Calibration!$B:$B,Calibration!$C:$C,0.25),0),TRUE,0))</f>
        <v/>
      </c>
      <c r="AQ438" s="28" t="str">
        <f t="shared" si="12"/>
        <v/>
      </c>
      <c r="AR438" s="28" t="str">
        <f t="shared" si="13"/>
        <v/>
      </c>
      <c r="AS438" s="28" t="str">
        <f t="array" ref="AS438">IF($I438="","",IF(C438="P",IF(OR(I438="NOT_READABLE",I438="BLURRY"),XLOOKUP("near_add_step",Calibration!$B:$B,Calibration!$C:$C,0.25),0),IF(C438="R",IF(I438="NOT_CLEAR",XLOOKUP("near_add_step",Calibration!$B:$B,Calibration!$C:$C,0.25),0),0)))</f>
        <v/>
      </c>
      <c r="AT438" s="28" t="str">
        <f t="array" ref="AT438">IF($I438="","",IF(C438="Q",IF(OR(I438="NOT_READABLE",I438="BLURRY"),XLOOKUP("near_add_step",Calibration!$B:$B,Calibration!$C:$C,0.25),0),IF(C438="R",IF(I438="NOT_CLEAR",XLOOKUP("near_add_step",Calibration!$B:$B,Calibration!$C:$C,0.25),0),0)))</f>
        <v/>
      </c>
      <c r="AU438" s="28" t="str">
        <f t="array" ref="AU438">IF($I438="","",IF(G438="SNELLEN_FEET",IF(I438="READABLE",IFERROR(XLOOKUP(XLOOKUP(R438,Chart_Scale_Distance!B:B,Chart_Scale_Distance!A:A)+1,Chart_Scale_Distance!A:A,Chart_Scale_Distance!B:B),R438),R438),R438))</f>
        <v/>
      </c>
      <c r="AV438" s="28" t="str">
        <f t="array" ref="AV438">IF($I437="","",IFERROR(XLOOKUP(R438,Chart_Scale_Distance!$B:$B,Chart_Scale_Distance!$A:$A,""),""))</f>
        <v/>
      </c>
      <c r="AW438" s="28" t="str">
        <f t="array" ref="AW438">IF($I437="","",IFERROR(XLOOKUP(AA438,Chart_Scale_Distance!$B:$B,Chart_Scale_Distance!$A:$A,""),""))</f>
        <v/>
      </c>
      <c r="AX438" s="28" t="str">
        <f t="shared" si="14"/>
        <v/>
      </c>
      <c r="AY438" s="28" t="str">
        <f t="shared" si="15"/>
        <v/>
      </c>
      <c r="AZ438" s="28" t="str">
        <f t="shared" si="16"/>
        <v/>
      </c>
      <c r="BA438" s="28" t="str">
        <f t="shared" si="17"/>
        <v/>
      </c>
      <c r="BB438" s="28" t="str">
        <f t="shared" si="18"/>
        <v/>
      </c>
      <c r="BC438" s="28" t="str">
        <f t="array" ref="BC438">IF($I438="","",LET(
conf,AI438,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duoMax,XLOOKUP($B438,Derived_Variables!$A:$A,Derived_Variables!$AI:$AI,4),
axisTol,XLOOKUP($B438,Derived_Variables!$A:$A,Derived_Variables!$W:$W,1),
maxStart,XLOOKUP($B438,Derived_Variables!$A:$A,Derived_Variables!$U:$U,1.25),
maxAR,XLOOKUP($B438,Derived_Variables!$A:$A,Derived_Variables!$V:$V,3),
anom,XLOOKUP($B438,Derived_Variables!$A:$A,Derived_Variables!$Z:$Z,FALSE),
reStart,XLOOKUP($B438,Derived_Variables!$A:$A,Derived_Variables!$K:$K,0),
leStart,XLOOKUP($B438,Derived_Variables!$A:$A,Derived_Variables!$N:$N,0),
reAR,XLOOKUP($B438,AR_Input!$A:$A,AR_Input!$B:$B,reStart),
leAR,XLOOKUP($B438,AR_Input!$A:$A,AR_Input!$E:$E,leStart),
reEsc,AND(anom,OR(ABS((S438+AM438)-reStart)&gt;maxStart,ABS((S438+AM438)-reAR)&gt;maxAR)),
leEsc,AND(anom,OR(ABS((V438+AP438)-leStart)&gt;maxStart,ABS((V438+AP438)-leAR)&gt;maxAR)),
phaseMax,IFS(
 AK438="Fast",
   IFS(
     OR(C438="B",C438="D"),XLOOKUP("timeout_coarse_fast",Calibration!$B:$B,Calibration!$C:$C,24),
     OR(C438="E",C438="F",C438="H",C438="I"),XLOOKUP("timeout_jcc_fast",Calibration!$B:$B,Calibration!$C:$C,10),
     OR(C438="G",C438="J"),XLOOKUP("timeout_duochrome_fast",Calibration!$B:$B,Calibration!$C:$C,8),
     C438="K",XLOOKUP("timeout_bino_fast",Calibration!$B:$B,Calibration!$C:$C,10),
     OR(C438="P",C438="Q",C438="R"),XLOOKUP("timeout_near_fast",Calibration!$B:$B,Calibration!$C:$C,16),
     TRUE,XLOOKUP("timeout_coarse_fast",Calibration!$B:$B,Calibration!$C:$C,24)
   ),
 AK438="Normal",
   IFS(
     OR(C438="B",C438="D"),XLOOKUP("timeout_coarse_normal",Calibration!$B:$B,Calibration!$C:$C,36),
     OR(C438="E",C438="F",C438="H",C438="I"),XLOOKUP("timeout_jcc_normal",Calibration!$B:$B,Calibration!$C:$C,14),
     OR(C438="G",C438="J"),XLOOKUP("timeout_duochrome_normal",Calibration!$B:$B,Calibration!$C:$C,10),
     C438="K",XLOOKUP("timeout_bino_normal",Calibration!$B:$B,Calibration!$C:$C,14),
     OR(C438="P",C438="Q",C438="R"),XLOOKUP("timeout_near_normal",Calibration!$B:$B,Calibration!$C:$C,22),
     TRUE,XLOOKUP("timeout_coarse_normal",Calibration!$B:$B,Calibration!$C:$C,36)
   ),
 TRUE,
   IFS(
     OR(C438="B",C438="D"),XLOOKUP("timeout_coarse_slow",Calibration!$B:$B,Calibration!$C:$C,48),
     OR(C438="E",C438="F",C438="H",C438="I"),XLOOKUP("timeout_jcc_slow",Calibration!$B:$B,Calibration!$C:$C,18),
     OR(C438="G",C438="J"),XLOOKUP("timeout_duochrome_slow",Calibration!$B:$B,Calibration!$C:$C,12),
     C438="K",XLOOKUP("timeout_bino_slow",Calibration!$B:$B,Calibration!$C:$C,18),
     OR(C438="P",C438="Q",C438="R"),XLOOKUP("timeout_near_slow",Calibration!$B:$B,Calibration!$C:$C,28),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AJ438=TRUE,"ESCALATE",
C438="A",
IF(OR(I438="NOT_READABLE",I438="BLURRY",AND(R438="20_20_20",I438="READABLE")),"B","A"),
C438="B",
IF(reEsc,"ESCALATE",IF(AY438&gt;=phaseMax,"ESCALATE",IF(AND(AV438&gt;=AW438,I438="READABLE"),"E","B"))),
C438="E",
IF(AY438&gt;=phaseMax,"ESCALATE",IF(OR(I438="SAME",I438="CANT_TELL",AD438&lt;axisTol),"F","E")),
C438="F",
IF(AY438&gt;=phaseMax,"ESCALATE",IF(AX438&gt;=powerSameN,"G","F")),
C438="G",
IF(AY438&gt;=phaseMax,"ESCALATE",IF(OR(AX438&gt;=duoEqualN,BB438&gt;=duoMax),"D","G")),
C438="D",
IF(leEsc,"ESCALATE",IF(AY438&gt;=phaseMax,"ESCALATE",IF(AND(AV438&gt;=AW438,I438="READABLE"),"H","D"))),
C438="H",
IF(AY438&gt;=phaseMax,"ESCALATE",IF(OR(I438="SAME",I438="CANT_TELL",AD438&lt;axisTol),"I","H")),
C438="I",
IF(AY438&gt;=phaseMax,"ESCALATE",IF(AX438&gt;=powerSameN,"J","I")),
C438="J",
IF(AY438&gt;=phaseMax,"ESCALATE",IF(OR(AX438&gt;=duoEqualN,BB438&gt;=duoMax),"K","J")),
C438="K",
IF(AY438&gt;=phaseMax,"ESCALATE",IF(AX438&gt;=binoSameN,IF(XLOOKUP($B438,Derived_Variables!$A:$A,Derived_Variables!$AJ:$AJ,FALSE)=TRUE,"P","END"),"K")),
C438="P",
IF(AY438&gt;=phaseMax,"ESCALATE",IF(OR(I438="READABLE",I438="SAME"),"Q","P")),
C438="Q",
IF(AY438&gt;=phaseMax,"ESCALATE",IF(OR(I438="READABLE",I438="SAME"),"R","Q")),
C438="R",
IF(AY438&gt;=phaseMax,"ESCALATE",IF(OR(I438=nearTarget,I438="SAME"),"END","R")),
TRUE,"END"
)))</f>
        <v/>
      </c>
      <c r="BD438" s="28" t="b">
        <f t="shared" si="19"/>
        <v>0</v>
      </c>
    </row>
    <row r="439" ht="15.75" customHeight="1">
      <c r="A439" s="28">
        <f t="shared" si="3"/>
        <v>438</v>
      </c>
      <c r="B439" s="28">
        <f t="shared" si="4"/>
        <v>6</v>
      </c>
      <c r="C439" s="28" t="str">
        <f t="shared" si="5"/>
        <v/>
      </c>
      <c r="D439" s="28" t="str">
        <f t="array" ref="D439">IF($I438="","",XLOOKUP(C439,FSM_State_Map!A:A,FSM_State_Map!B:B,""))</f>
        <v/>
      </c>
      <c r="E439" s="28" t="str">
        <f t="array" ref="E439">IF($I438="","",XLOOKUP(C439,FSM_State_Map!A:A,FSM_State_Map!C:C,""))</f>
        <v/>
      </c>
      <c r="F439" s="28" t="str">
        <f t="array" ref="F439">IF($I438="","",XLOOKUP(E439,Phase_UI_Map!A:A,Phase_UI_Map!B:B,""))</f>
        <v/>
      </c>
      <c r="G439" s="28" t="str">
        <f t="array" ref="G439">IF($I438="","",XLOOKUP(E439,Phase_UI_Map!A:A,Phase_UI_Map!C:C,""))</f>
        <v/>
      </c>
      <c r="H439" s="28" t="str">
        <f t="array" ref="H439">IF($I438="","",XLOOKUP(E439,Phase_UI_Map!A:A,Phase_UI_Map!D:D,""))</f>
        <v/>
      </c>
      <c r="I439" s="29"/>
      <c r="J439" s="28" t="str">
        <f>IFERROR(__xludf.DUMMYFUNCTION("IF($I438="""","""",IFERROR(INDEX(FILTER(Response_Lists!$B:$B,Response_Lists!$A:$A=$H439),1),""""))"),"")</f>
        <v/>
      </c>
      <c r="K439" s="28" t="str">
        <f>IFERROR(__xludf.DUMMYFUNCTION("IF($I438="""","""",IFERROR(INDEX(FILTER(Response_Lists!$B:$B,Response_Lists!$A:$A=$H439),2),""""))"),"")</f>
        <v/>
      </c>
      <c r="L439" s="28" t="str">
        <f>IFERROR(__xludf.DUMMYFUNCTION("IF($I438="""","""",IFERROR(INDEX(FILTER(Response_Lists!$B:$B,Response_Lists!$A:$A=$H439),3),""""))"),"")</f>
        <v/>
      </c>
      <c r="M439" s="28" t="str">
        <f>IFERROR(__xludf.DUMMYFUNCTION("IF($I438="""","""",IFERROR(INDEX(FILTER(Response_Lists!$B:$B,Response_Lists!$A:$A=$H439),4),""""))"),"")</f>
        <v/>
      </c>
      <c r="N439" s="28" t="str">
        <f>IFERROR(__xludf.DUMMYFUNCTION("IF($I438="""","""",IFERROR(INDEX(FILTER(Response_Lists!$B:$B,Response_Lists!$A:$A=$H439),5),""""))"),"")</f>
        <v/>
      </c>
      <c r="O439" s="28" t="str">
        <f>IFERROR(__xludf.DUMMYFUNCTION("IF($I438="""","""",IFERROR(INDEX(FILTER(Response_Lists!$B:$B,Response_Lists!$A:$A=$H439),6),""""))"),"")</f>
        <v/>
      </c>
      <c r="P439" s="28" t="str">
        <f t="shared" si="6"/>
        <v/>
      </c>
      <c r="Q439" s="28" t="str">
        <f t="array" ref="Q439">IF($I438="","",XLOOKUP(C439,FSM_State_Map!A:A,FSM_State_Map!D:D,""))</f>
        <v/>
      </c>
      <c r="R439" s="28" t="str">
        <f t="shared" si="7"/>
        <v/>
      </c>
      <c r="S439" s="28" t="str">
        <f t="array" ref="S439">IF($I438="","",
IF(
  AND(C439="B",C438&lt;&gt;"B"),
  XLOOKUP($B439,Derived_Variables!$A:$A,Derived_Variables!$K:$K,0)
  + XLOOKUP($B439,Derived_Variables!$A:$A,Derived_Variables!$AE:$AE,0),
  S438+AM438
))</f>
        <v/>
      </c>
      <c r="T439" s="28" t="str">
        <f t="shared" ref="T439:U439" si="888">IF($I438="","",T438+AN438)</f>
        <v/>
      </c>
      <c r="U439" s="28" t="str">
        <f t="shared" si="888"/>
        <v/>
      </c>
      <c r="V439" s="28" t="str">
        <f t="array" ref="V439">IF($I438="","",
IF(
  AND(C439="D",C438&lt;&gt;"D"),
  XLOOKUP($B439,Derived_Variables!$A:$A,Derived_Variables!$N:$N,0)
  + XLOOKUP($B439,Derived_Variables!$A:$A,Derived_Variables!$AE:$AE,0),
  V438+AP438
))</f>
        <v/>
      </c>
      <c r="W439" s="28" t="str">
        <f t="shared" ref="W439:X439" si="889">IF($I438="","",W438+AQ438)</f>
        <v/>
      </c>
      <c r="X439" s="28" t="str">
        <f t="shared" si="889"/>
        <v/>
      </c>
      <c r="Y439" s="28" t="str">
        <f t="array" ref="Y439">IF($I438="","",IF(AND(C439="P",C438&lt;&gt;"P"),IFERROR(XLOOKUP($B439,Lenso_Input!$A:$A,Lenso_Input!$E:$E,0),0),Y438+AS438))</f>
        <v/>
      </c>
      <c r="Z439" s="28" t="str">
        <f t="array" ref="Z439">IF($I438="","",IF(AND(C439="Q",C438&lt;&gt;"Q"),IFERROR(XLOOKUP($B439,Lenso_Input!$A:$A,Lenso_Input!$I:$I,0),0),Z438+AT438))</f>
        <v/>
      </c>
      <c r="AA439" s="28" t="str">
        <f t="array" ref="AA439">IF($I438="","",IF(XLOOKUP($B439,Derived_Variables!$A:$A,Derived_Variables!$R:$R,"6/6_target")="6/6_target","20_20_20","40_30_25"))</f>
        <v/>
      </c>
      <c r="AB439" s="28" t="str">
        <f t="array" ref="AB439">IF($I438="","",XLOOKUP(LOWER(XLOOKUP($B439,Derived_Variables!$A:$A,Derived_Variables!$T:$T,"Standard"))&amp;"_sph_step",Calibration!$B:$B,Calibration!$C:$C,0.25))</f>
        <v/>
      </c>
      <c r="AC439" s="28" t="str">
        <f t="array" ref="AC439">IF($I438="","",XLOOKUP(LOWER(XLOOKUP($B439,Derived_Variables!$A:$A,Derived_Variables!$T:$T,"Standard"))&amp;"_cyl_step",Calibration!$B:$B,Calibration!$C:$C,0.25))</f>
        <v/>
      </c>
      <c r="AD439" s="28" t="str">
        <f t="array" ref="AD439">IF($I438="","",IF(OR(C439="E",C439="H"),LET(startStep,XLOOKUP("axis_start_step",Calibration!$B:$B,Calibration!$C:$C,5),step1,XLOOKUP("axis_reversal_step_1",Calibration!$B:$B,Calibration!$C:$C,3),step2,XLOOKUP("axis_reversal_step_2",Calibration!$B:$B,Calibration!$C:$C,1),IF(OR(C438&lt;&gt;C439,AZ439="",AZ439="SAME",AZ439="CANT_TELL",I439="",I439="SAME",I439="CANT_TELL"),startStep,IF(OR(AND(AZ439="BETTER_1",I439="BETTER_2"),AND(AZ439="BETTER_2",I439="BETTER_1")),IF(AD438&gt;step1,step1,step2),AD438))),0))</f>
        <v/>
      </c>
      <c r="AE439" s="28" t="str">
        <f t="array" ref="AE439">IF($I438="","",XLOOKUP($B439,Derived_Variables!$A:$A,Derived_Variables!$AD:$AD,"No_Fog"))</f>
        <v/>
      </c>
      <c r="AF439" s="28" t="str">
        <f t="array" ref="AF439">IF($I438="","",XLOOKUP($B439,Derived_Variables!$A:$A,Derived_Variables!$AE:$AE,0))</f>
        <v/>
      </c>
      <c r="AG439" s="28" t="str">
        <f t="array" ref="AG439">IF($I438="","",XLOOKUP($B439,Derived_Variables!$A:$A,Derived_Variables!$AF:$AF,""))</f>
        <v/>
      </c>
      <c r="AH439" s="28" t="str">
        <f t="array" ref="AH439">IF($I438="","",XLOOKUP($B439,Derived_Variables!$A:$A,Derived_Variables!$AG:$AG,""))</f>
        <v/>
      </c>
      <c r="AI439" s="28" t="str">
        <f t="array" ref="AI439">IF($I438="","",XLOOKUP($B439,Derived_Variables!$A:$A,Derived_Variables!$AC:$AC,"Medium"))</f>
        <v/>
      </c>
      <c r="AJ439" s="28" t="str">
        <f t="array" ref="AJ439">IF($I438="","",XLOOKUP($B439,Derived_Variables!$A:$A,Derived_Variables!$Y:$Y,FALSE))</f>
        <v/>
      </c>
      <c r="AK439" s="28" t="str">
        <f t="array" ref="AK439">IF($I438="","",XLOOKUP($B439,Derived_Variables!$A:$A,Derived_Variables!$AA:$AA,"Normal"))</f>
        <v/>
      </c>
      <c r="AL439" s="28" t="str">
        <f t="array" ref="AL439">IF($I438="","",XLOOKUP($B439,Derived_Variables!$A:$A,Derived_Variables!$AB:$AB,"Normal"))</f>
        <v/>
      </c>
      <c r="AM439" s="28" t="str">
        <f t="array" ref="AM439">IF($I439="","",IFS(C439="B",IF(OR(I439="NOT_READABLE",I439="BLURRY"),-AB439,0),C439="G",IFS(I439="RED_CLEARER",XLOOKUP("duochrome_red_step",Calibration!$B:$B,Calibration!$C:$C,-0.25),I439="GREEN_CLEARER",XLOOKUP("duochrome_green_step",Calibration!$B:$B,Calibration!$C:$C,0.25),I439="EQUAL",IF(XLOOKUP($B439,Derived_Variables!$A:$A,Derived_Variables!$S:$S,"Neutral")="Undercorrect",XLOOKUP("undercorrect_step",Calibration!$B:$B,Calibration!$C:$C,0.25),IF(XLOOKUP($B439,Derived_Variables!$A:$A,Derived_Variables!$S:$S,"Neutral")="Overcorrect",-XLOOKUP("overcorrect_step",Calibration!$B:$B,Calibration!$C:$C,0.25),0)),TRUE,0),C439="K",IF(I439="TOP_CLEARER",XLOOKUP("bino_balance_step",Calibration!$B:$B,Calibration!$C:$C,0.25),0),TRUE,0))</f>
        <v/>
      </c>
      <c r="AN439" s="28" t="str">
        <f t="shared" si="10"/>
        <v/>
      </c>
      <c r="AO439" s="28" t="str">
        <f t="shared" si="11"/>
        <v/>
      </c>
      <c r="AP439" s="28" t="str">
        <f t="array" ref="AP439">IF($I439="","",IFS(C439="D",IF(OR(I439="NOT_READABLE",I439="BLURRY"),-AB439,0),C439="J",IFS(I439="RED_CLEARER",XLOOKUP("duochrome_red_step",Calibration!$B:$B,Calibration!$C:$C,-0.25),I439="GREEN_CLEARER",XLOOKUP("duochrome_green_step",Calibration!$B:$B,Calibration!$C:$C,0.25),I439="EQUAL",IF(XLOOKUP($B439,Derived_Variables!$A:$A,Derived_Variables!$S:$S,"Neutral")="Undercorrect",XLOOKUP("undercorrect_step",Calibration!$B:$B,Calibration!$C:$C,0.25),IF(XLOOKUP($B439,Derived_Variables!$A:$A,Derived_Variables!$S:$S,"Neutral")="Overcorrect",-XLOOKUP("overcorrect_step",Calibration!$B:$B,Calibration!$C:$C,0.25),0)),TRUE,0),C439="K",IF(I439="BOTTOM_CLEARER",XLOOKUP("bino_balance_step",Calibration!$B:$B,Calibration!$C:$C,0.25),0),TRUE,0))</f>
        <v/>
      </c>
      <c r="AQ439" s="28" t="str">
        <f t="shared" si="12"/>
        <v/>
      </c>
      <c r="AR439" s="28" t="str">
        <f t="shared" si="13"/>
        <v/>
      </c>
      <c r="AS439" s="28" t="str">
        <f t="array" ref="AS439">IF($I439="","",IF(C439="P",IF(OR(I439="NOT_READABLE",I439="BLURRY"),XLOOKUP("near_add_step",Calibration!$B:$B,Calibration!$C:$C,0.25),0),IF(C439="R",IF(I439="NOT_CLEAR",XLOOKUP("near_add_step",Calibration!$B:$B,Calibration!$C:$C,0.25),0),0)))</f>
        <v/>
      </c>
      <c r="AT439" s="28" t="str">
        <f t="array" ref="AT439">IF($I439="","",IF(C439="Q",IF(OR(I439="NOT_READABLE",I439="BLURRY"),XLOOKUP("near_add_step",Calibration!$B:$B,Calibration!$C:$C,0.25),0),IF(C439="R",IF(I439="NOT_CLEAR",XLOOKUP("near_add_step",Calibration!$B:$B,Calibration!$C:$C,0.25),0),0)))</f>
        <v/>
      </c>
      <c r="AU439" s="28" t="str">
        <f t="array" ref="AU439">IF($I439="","",IF(G439="SNELLEN_FEET",IF(I439="READABLE",IFERROR(XLOOKUP(XLOOKUP(R439,Chart_Scale_Distance!B:B,Chart_Scale_Distance!A:A)+1,Chart_Scale_Distance!A:A,Chart_Scale_Distance!B:B),R439),R439),R439))</f>
        <v/>
      </c>
      <c r="AV439" s="28" t="str">
        <f t="array" ref="AV439">IF($I438="","",IFERROR(XLOOKUP(R439,Chart_Scale_Distance!$B:$B,Chart_Scale_Distance!$A:$A,""),""))</f>
        <v/>
      </c>
      <c r="AW439" s="28" t="str">
        <f t="array" ref="AW439">IF($I438="","",IFERROR(XLOOKUP(AA439,Chart_Scale_Distance!$B:$B,Chart_Scale_Distance!$A:$A,""),""))</f>
        <v/>
      </c>
      <c r="AX439" s="28" t="str">
        <f t="shared" si="14"/>
        <v/>
      </c>
      <c r="AY439" s="28" t="str">
        <f t="shared" si="15"/>
        <v/>
      </c>
      <c r="AZ439" s="28" t="str">
        <f t="shared" si="16"/>
        <v/>
      </c>
      <c r="BA439" s="28" t="str">
        <f t="shared" si="17"/>
        <v/>
      </c>
      <c r="BB439" s="28" t="str">
        <f t="shared" si="18"/>
        <v/>
      </c>
      <c r="BC439" s="28" t="str">
        <f t="array" ref="BC439">IF($I439="","",LET(
conf,AI439,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duoMax,XLOOKUP($B439,Derived_Variables!$A:$A,Derived_Variables!$AI:$AI,4),
axisTol,XLOOKUP($B439,Derived_Variables!$A:$A,Derived_Variables!$W:$W,1),
maxStart,XLOOKUP($B439,Derived_Variables!$A:$A,Derived_Variables!$U:$U,1.25),
maxAR,XLOOKUP($B439,Derived_Variables!$A:$A,Derived_Variables!$V:$V,3),
anom,XLOOKUP($B439,Derived_Variables!$A:$A,Derived_Variables!$Z:$Z,FALSE),
reStart,XLOOKUP($B439,Derived_Variables!$A:$A,Derived_Variables!$K:$K,0),
leStart,XLOOKUP($B439,Derived_Variables!$A:$A,Derived_Variables!$N:$N,0),
reAR,XLOOKUP($B439,AR_Input!$A:$A,AR_Input!$B:$B,reStart),
leAR,XLOOKUP($B439,AR_Input!$A:$A,AR_Input!$E:$E,leStart),
reEsc,AND(anom,OR(ABS((S439+AM439)-reStart)&gt;maxStart,ABS((S439+AM439)-reAR)&gt;maxAR)),
leEsc,AND(anom,OR(ABS((V439+AP439)-leStart)&gt;maxStart,ABS((V439+AP439)-leAR)&gt;maxAR)),
phaseMax,IFS(
 AK439="Fast",
   IFS(
     OR(C439="B",C439="D"),XLOOKUP("timeout_coarse_fast",Calibration!$B:$B,Calibration!$C:$C,24),
     OR(C439="E",C439="F",C439="H",C439="I"),XLOOKUP("timeout_jcc_fast",Calibration!$B:$B,Calibration!$C:$C,10),
     OR(C439="G",C439="J"),XLOOKUP("timeout_duochrome_fast",Calibration!$B:$B,Calibration!$C:$C,8),
     C439="K",XLOOKUP("timeout_bino_fast",Calibration!$B:$B,Calibration!$C:$C,10),
     OR(C439="P",C439="Q",C439="R"),XLOOKUP("timeout_near_fast",Calibration!$B:$B,Calibration!$C:$C,16),
     TRUE,XLOOKUP("timeout_coarse_fast",Calibration!$B:$B,Calibration!$C:$C,24)
   ),
 AK439="Normal",
   IFS(
     OR(C439="B",C439="D"),XLOOKUP("timeout_coarse_normal",Calibration!$B:$B,Calibration!$C:$C,36),
     OR(C439="E",C439="F",C439="H",C439="I"),XLOOKUP("timeout_jcc_normal",Calibration!$B:$B,Calibration!$C:$C,14),
     OR(C439="G",C439="J"),XLOOKUP("timeout_duochrome_normal",Calibration!$B:$B,Calibration!$C:$C,10),
     C439="K",XLOOKUP("timeout_bino_normal",Calibration!$B:$B,Calibration!$C:$C,14),
     OR(C439="P",C439="Q",C439="R"),XLOOKUP("timeout_near_normal",Calibration!$B:$B,Calibration!$C:$C,22),
     TRUE,XLOOKUP("timeout_coarse_normal",Calibration!$B:$B,Calibration!$C:$C,36)
   ),
 TRUE,
   IFS(
     OR(C439="B",C439="D"),XLOOKUP("timeout_coarse_slow",Calibration!$B:$B,Calibration!$C:$C,48),
     OR(C439="E",C439="F",C439="H",C439="I"),XLOOKUP("timeout_jcc_slow",Calibration!$B:$B,Calibration!$C:$C,18),
     OR(C439="G",C439="J"),XLOOKUP("timeout_duochrome_slow",Calibration!$B:$B,Calibration!$C:$C,12),
     C439="K",XLOOKUP("timeout_bino_slow",Calibration!$B:$B,Calibration!$C:$C,18),
     OR(C439="P",C439="Q",C439="R"),XLOOKUP("timeout_near_slow",Calibration!$B:$B,Calibration!$C:$C,28),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AJ439=TRUE,"ESCALATE",
C439="A",
IF(OR(I439="NOT_READABLE",I439="BLURRY",AND(R439="20_20_20",I439="READABLE")),"B","A"),
C439="B",
IF(reEsc,"ESCALATE",IF(AY439&gt;=phaseMax,"ESCALATE",IF(AND(AV439&gt;=AW439,I439="READABLE"),"E","B"))),
C439="E",
IF(AY439&gt;=phaseMax,"ESCALATE",IF(OR(I439="SAME",I439="CANT_TELL",AD439&lt;axisTol),"F","E")),
C439="F",
IF(AY439&gt;=phaseMax,"ESCALATE",IF(AX439&gt;=powerSameN,"G","F")),
C439="G",
IF(AY439&gt;=phaseMax,"ESCALATE",IF(OR(AX439&gt;=duoEqualN,BB439&gt;=duoMax),"D","G")),
C439="D",
IF(leEsc,"ESCALATE",IF(AY439&gt;=phaseMax,"ESCALATE",IF(AND(AV439&gt;=AW439,I439="READABLE"),"H","D"))),
C439="H",
IF(AY439&gt;=phaseMax,"ESCALATE",IF(OR(I439="SAME",I439="CANT_TELL",AD439&lt;axisTol),"I","H")),
C439="I",
IF(AY439&gt;=phaseMax,"ESCALATE",IF(AX439&gt;=powerSameN,"J","I")),
C439="J",
IF(AY439&gt;=phaseMax,"ESCALATE",IF(OR(AX439&gt;=duoEqualN,BB439&gt;=duoMax),"K","J")),
C439="K",
IF(AY439&gt;=phaseMax,"ESCALATE",IF(AX439&gt;=binoSameN,IF(XLOOKUP($B439,Derived_Variables!$A:$A,Derived_Variables!$AJ:$AJ,FALSE)=TRUE,"P","END"),"K")),
C439="P",
IF(AY439&gt;=phaseMax,"ESCALATE",IF(OR(I439="READABLE",I439="SAME"),"Q","P")),
C439="Q",
IF(AY439&gt;=phaseMax,"ESCALATE",IF(OR(I439="READABLE",I439="SAME"),"R","Q")),
C439="R",
IF(AY439&gt;=phaseMax,"ESCALATE",IF(OR(I439=nearTarget,I439="SAME"),"END","R")),
TRUE,"END"
)))</f>
        <v/>
      </c>
      <c r="BD439" s="28" t="b">
        <f t="shared" si="19"/>
        <v>0</v>
      </c>
    </row>
    <row r="440" ht="15.75" customHeight="1">
      <c r="A440" s="28">
        <f t="shared" si="3"/>
        <v>439</v>
      </c>
      <c r="B440" s="28">
        <f t="shared" si="4"/>
        <v>6</v>
      </c>
      <c r="C440" s="28" t="str">
        <f t="shared" si="5"/>
        <v/>
      </c>
      <c r="D440" s="28" t="str">
        <f t="array" ref="D440">IF($I439="","",XLOOKUP(C440,FSM_State_Map!A:A,FSM_State_Map!B:B,""))</f>
        <v/>
      </c>
      <c r="E440" s="28" t="str">
        <f t="array" ref="E440">IF($I439="","",XLOOKUP(C440,FSM_State_Map!A:A,FSM_State_Map!C:C,""))</f>
        <v/>
      </c>
      <c r="F440" s="28" t="str">
        <f t="array" ref="F440">IF($I439="","",XLOOKUP(E440,Phase_UI_Map!A:A,Phase_UI_Map!B:B,""))</f>
        <v/>
      </c>
      <c r="G440" s="28" t="str">
        <f t="array" ref="G440">IF($I439="","",XLOOKUP(E440,Phase_UI_Map!A:A,Phase_UI_Map!C:C,""))</f>
        <v/>
      </c>
      <c r="H440" s="28" t="str">
        <f t="array" ref="H440">IF($I439="","",XLOOKUP(E440,Phase_UI_Map!A:A,Phase_UI_Map!D:D,""))</f>
        <v/>
      </c>
      <c r="I440" s="29"/>
      <c r="J440" s="28" t="str">
        <f>IFERROR(__xludf.DUMMYFUNCTION("IF($I439="""","""",IFERROR(INDEX(FILTER(Response_Lists!$B:$B,Response_Lists!$A:$A=$H440),1),""""))"),"")</f>
        <v/>
      </c>
      <c r="K440" s="28" t="str">
        <f>IFERROR(__xludf.DUMMYFUNCTION("IF($I439="""","""",IFERROR(INDEX(FILTER(Response_Lists!$B:$B,Response_Lists!$A:$A=$H440),2),""""))"),"")</f>
        <v/>
      </c>
      <c r="L440" s="28" t="str">
        <f>IFERROR(__xludf.DUMMYFUNCTION("IF($I439="""","""",IFERROR(INDEX(FILTER(Response_Lists!$B:$B,Response_Lists!$A:$A=$H440),3),""""))"),"")</f>
        <v/>
      </c>
      <c r="M440" s="28" t="str">
        <f>IFERROR(__xludf.DUMMYFUNCTION("IF($I439="""","""",IFERROR(INDEX(FILTER(Response_Lists!$B:$B,Response_Lists!$A:$A=$H440),4),""""))"),"")</f>
        <v/>
      </c>
      <c r="N440" s="28" t="str">
        <f>IFERROR(__xludf.DUMMYFUNCTION("IF($I439="""","""",IFERROR(INDEX(FILTER(Response_Lists!$B:$B,Response_Lists!$A:$A=$H440),5),""""))"),"")</f>
        <v/>
      </c>
      <c r="O440" s="28" t="str">
        <f>IFERROR(__xludf.DUMMYFUNCTION("IF($I439="""","""",IFERROR(INDEX(FILTER(Response_Lists!$B:$B,Response_Lists!$A:$A=$H440),6),""""))"),"")</f>
        <v/>
      </c>
      <c r="P440" s="28" t="str">
        <f t="shared" si="6"/>
        <v/>
      </c>
      <c r="Q440" s="28" t="str">
        <f t="array" ref="Q440">IF($I439="","",XLOOKUP(C440,FSM_State_Map!A:A,FSM_State_Map!D:D,""))</f>
        <v/>
      </c>
      <c r="R440" s="28" t="str">
        <f t="shared" si="7"/>
        <v/>
      </c>
      <c r="S440" s="28" t="str">
        <f t="array" ref="S440">IF($I439="","",
IF(
  AND(C440="B",C439&lt;&gt;"B"),
  XLOOKUP($B440,Derived_Variables!$A:$A,Derived_Variables!$K:$K,0)
  + XLOOKUP($B440,Derived_Variables!$A:$A,Derived_Variables!$AE:$AE,0),
  S439+AM439
))</f>
        <v/>
      </c>
      <c r="T440" s="28" t="str">
        <f t="shared" ref="T440:U440" si="890">IF($I439="","",T439+AN439)</f>
        <v/>
      </c>
      <c r="U440" s="28" t="str">
        <f t="shared" si="890"/>
        <v/>
      </c>
      <c r="V440" s="28" t="str">
        <f t="array" ref="V440">IF($I439="","",
IF(
  AND(C440="D",C439&lt;&gt;"D"),
  XLOOKUP($B440,Derived_Variables!$A:$A,Derived_Variables!$N:$N,0)
  + XLOOKUP($B440,Derived_Variables!$A:$A,Derived_Variables!$AE:$AE,0),
  V439+AP439
))</f>
        <v/>
      </c>
      <c r="W440" s="28" t="str">
        <f t="shared" ref="W440:X440" si="891">IF($I439="","",W439+AQ439)</f>
        <v/>
      </c>
      <c r="X440" s="28" t="str">
        <f t="shared" si="891"/>
        <v/>
      </c>
      <c r="Y440" s="28" t="str">
        <f t="array" ref="Y440">IF($I439="","",IF(AND(C440="P",C439&lt;&gt;"P"),IFERROR(XLOOKUP($B440,Lenso_Input!$A:$A,Lenso_Input!$E:$E,0),0),Y439+AS439))</f>
        <v/>
      </c>
      <c r="Z440" s="28" t="str">
        <f t="array" ref="Z440">IF($I439="","",IF(AND(C440="Q",C439&lt;&gt;"Q"),IFERROR(XLOOKUP($B440,Lenso_Input!$A:$A,Lenso_Input!$I:$I,0),0),Z439+AT439))</f>
        <v/>
      </c>
      <c r="AA440" s="28" t="str">
        <f t="array" ref="AA440">IF($I439="","",IF(XLOOKUP($B440,Derived_Variables!$A:$A,Derived_Variables!$R:$R,"6/6_target")="6/6_target","20_20_20","40_30_25"))</f>
        <v/>
      </c>
      <c r="AB440" s="28" t="str">
        <f t="array" ref="AB440">IF($I439="","",XLOOKUP(LOWER(XLOOKUP($B440,Derived_Variables!$A:$A,Derived_Variables!$T:$T,"Standard"))&amp;"_sph_step",Calibration!$B:$B,Calibration!$C:$C,0.25))</f>
        <v/>
      </c>
      <c r="AC440" s="28" t="str">
        <f t="array" ref="AC440">IF($I439="","",XLOOKUP(LOWER(XLOOKUP($B440,Derived_Variables!$A:$A,Derived_Variables!$T:$T,"Standard"))&amp;"_cyl_step",Calibration!$B:$B,Calibration!$C:$C,0.25))</f>
        <v/>
      </c>
      <c r="AD440" s="28" t="str">
        <f t="array" ref="AD440">IF($I439="","",IF(OR(C440="E",C440="H"),LET(startStep,XLOOKUP("axis_start_step",Calibration!$B:$B,Calibration!$C:$C,5),step1,XLOOKUP("axis_reversal_step_1",Calibration!$B:$B,Calibration!$C:$C,3),step2,XLOOKUP("axis_reversal_step_2",Calibration!$B:$B,Calibration!$C:$C,1),IF(OR(C439&lt;&gt;C440,AZ440="",AZ440="SAME",AZ440="CANT_TELL",I440="",I440="SAME",I440="CANT_TELL"),startStep,IF(OR(AND(AZ440="BETTER_1",I440="BETTER_2"),AND(AZ440="BETTER_2",I440="BETTER_1")),IF(AD439&gt;step1,step1,step2),AD439))),0))</f>
        <v/>
      </c>
      <c r="AE440" s="28" t="str">
        <f t="array" ref="AE440">IF($I439="","",XLOOKUP($B440,Derived_Variables!$A:$A,Derived_Variables!$AD:$AD,"No_Fog"))</f>
        <v/>
      </c>
      <c r="AF440" s="28" t="str">
        <f t="array" ref="AF440">IF($I439="","",XLOOKUP($B440,Derived_Variables!$A:$A,Derived_Variables!$AE:$AE,0))</f>
        <v/>
      </c>
      <c r="AG440" s="28" t="str">
        <f t="array" ref="AG440">IF($I439="","",XLOOKUP($B440,Derived_Variables!$A:$A,Derived_Variables!$AF:$AF,""))</f>
        <v/>
      </c>
      <c r="AH440" s="28" t="str">
        <f t="array" ref="AH440">IF($I439="","",XLOOKUP($B440,Derived_Variables!$A:$A,Derived_Variables!$AG:$AG,""))</f>
        <v/>
      </c>
      <c r="AI440" s="28" t="str">
        <f t="array" ref="AI440">IF($I439="","",XLOOKUP($B440,Derived_Variables!$A:$A,Derived_Variables!$AC:$AC,"Medium"))</f>
        <v/>
      </c>
      <c r="AJ440" s="28" t="str">
        <f t="array" ref="AJ440">IF($I439="","",XLOOKUP($B440,Derived_Variables!$A:$A,Derived_Variables!$Y:$Y,FALSE))</f>
        <v/>
      </c>
      <c r="AK440" s="28" t="str">
        <f t="array" ref="AK440">IF($I439="","",XLOOKUP($B440,Derived_Variables!$A:$A,Derived_Variables!$AA:$AA,"Normal"))</f>
        <v/>
      </c>
      <c r="AL440" s="28" t="str">
        <f t="array" ref="AL440">IF($I439="","",XLOOKUP($B440,Derived_Variables!$A:$A,Derived_Variables!$AB:$AB,"Normal"))</f>
        <v/>
      </c>
      <c r="AM440" s="28" t="str">
        <f t="array" ref="AM440">IF($I440="","",IFS(C440="B",IF(OR(I440="NOT_READABLE",I440="BLURRY"),-AB440,0),C440="G",IFS(I440="RED_CLEARER",XLOOKUP("duochrome_red_step",Calibration!$B:$B,Calibration!$C:$C,-0.25),I440="GREEN_CLEARER",XLOOKUP("duochrome_green_step",Calibration!$B:$B,Calibration!$C:$C,0.25),I440="EQUAL",IF(XLOOKUP($B440,Derived_Variables!$A:$A,Derived_Variables!$S:$S,"Neutral")="Undercorrect",XLOOKUP("undercorrect_step",Calibration!$B:$B,Calibration!$C:$C,0.25),IF(XLOOKUP($B440,Derived_Variables!$A:$A,Derived_Variables!$S:$S,"Neutral")="Overcorrect",-XLOOKUP("overcorrect_step",Calibration!$B:$B,Calibration!$C:$C,0.25),0)),TRUE,0),C440="K",IF(I440="TOP_CLEARER",XLOOKUP("bino_balance_step",Calibration!$B:$B,Calibration!$C:$C,0.25),0),TRUE,0))</f>
        <v/>
      </c>
      <c r="AN440" s="28" t="str">
        <f t="shared" si="10"/>
        <v/>
      </c>
      <c r="AO440" s="28" t="str">
        <f t="shared" si="11"/>
        <v/>
      </c>
      <c r="AP440" s="28" t="str">
        <f t="array" ref="AP440">IF($I440="","",IFS(C440="D",IF(OR(I440="NOT_READABLE",I440="BLURRY"),-AB440,0),C440="J",IFS(I440="RED_CLEARER",XLOOKUP("duochrome_red_step",Calibration!$B:$B,Calibration!$C:$C,-0.25),I440="GREEN_CLEARER",XLOOKUP("duochrome_green_step",Calibration!$B:$B,Calibration!$C:$C,0.25),I440="EQUAL",IF(XLOOKUP($B440,Derived_Variables!$A:$A,Derived_Variables!$S:$S,"Neutral")="Undercorrect",XLOOKUP("undercorrect_step",Calibration!$B:$B,Calibration!$C:$C,0.25),IF(XLOOKUP($B440,Derived_Variables!$A:$A,Derived_Variables!$S:$S,"Neutral")="Overcorrect",-XLOOKUP("overcorrect_step",Calibration!$B:$B,Calibration!$C:$C,0.25),0)),TRUE,0),C440="K",IF(I440="BOTTOM_CLEARER",XLOOKUP("bino_balance_step",Calibration!$B:$B,Calibration!$C:$C,0.25),0),TRUE,0))</f>
        <v/>
      </c>
      <c r="AQ440" s="28" t="str">
        <f t="shared" si="12"/>
        <v/>
      </c>
      <c r="AR440" s="28" t="str">
        <f t="shared" si="13"/>
        <v/>
      </c>
      <c r="AS440" s="28" t="str">
        <f t="array" ref="AS440">IF($I440="","",IF(C440="P",IF(OR(I440="NOT_READABLE",I440="BLURRY"),XLOOKUP("near_add_step",Calibration!$B:$B,Calibration!$C:$C,0.25),0),IF(C440="R",IF(I440="NOT_CLEAR",XLOOKUP("near_add_step",Calibration!$B:$B,Calibration!$C:$C,0.25),0),0)))</f>
        <v/>
      </c>
      <c r="AT440" s="28" t="str">
        <f t="array" ref="AT440">IF($I440="","",IF(C440="Q",IF(OR(I440="NOT_READABLE",I440="BLURRY"),XLOOKUP("near_add_step",Calibration!$B:$B,Calibration!$C:$C,0.25),0),IF(C440="R",IF(I440="NOT_CLEAR",XLOOKUP("near_add_step",Calibration!$B:$B,Calibration!$C:$C,0.25),0),0)))</f>
        <v/>
      </c>
      <c r="AU440" s="28" t="str">
        <f t="array" ref="AU440">IF($I440="","",IF(G440="SNELLEN_FEET",IF(I440="READABLE",IFERROR(XLOOKUP(XLOOKUP(R440,Chart_Scale_Distance!B:B,Chart_Scale_Distance!A:A)+1,Chart_Scale_Distance!A:A,Chart_Scale_Distance!B:B),R440),R440),R440))</f>
        <v/>
      </c>
      <c r="AV440" s="28" t="str">
        <f t="array" ref="AV440">IF($I439="","",IFERROR(XLOOKUP(R440,Chart_Scale_Distance!$B:$B,Chart_Scale_Distance!$A:$A,""),""))</f>
        <v/>
      </c>
      <c r="AW440" s="28" t="str">
        <f t="array" ref="AW440">IF($I439="","",IFERROR(XLOOKUP(AA440,Chart_Scale_Distance!$B:$B,Chart_Scale_Distance!$A:$A,""),""))</f>
        <v/>
      </c>
      <c r="AX440" s="28" t="str">
        <f t="shared" si="14"/>
        <v/>
      </c>
      <c r="AY440" s="28" t="str">
        <f t="shared" si="15"/>
        <v/>
      </c>
      <c r="AZ440" s="28" t="str">
        <f t="shared" si="16"/>
        <v/>
      </c>
      <c r="BA440" s="28" t="str">
        <f t="shared" si="17"/>
        <v/>
      </c>
      <c r="BB440" s="28" t="str">
        <f t="shared" si="18"/>
        <v/>
      </c>
      <c r="BC440" s="28" t="str">
        <f t="array" ref="BC440">IF($I440="","",LET(
conf,AI440,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duoMax,XLOOKUP($B440,Derived_Variables!$A:$A,Derived_Variables!$AI:$AI,4),
axisTol,XLOOKUP($B440,Derived_Variables!$A:$A,Derived_Variables!$W:$W,1),
maxStart,XLOOKUP($B440,Derived_Variables!$A:$A,Derived_Variables!$U:$U,1.25),
maxAR,XLOOKUP($B440,Derived_Variables!$A:$A,Derived_Variables!$V:$V,3),
anom,XLOOKUP($B440,Derived_Variables!$A:$A,Derived_Variables!$Z:$Z,FALSE),
reStart,XLOOKUP($B440,Derived_Variables!$A:$A,Derived_Variables!$K:$K,0),
leStart,XLOOKUP($B440,Derived_Variables!$A:$A,Derived_Variables!$N:$N,0),
reAR,XLOOKUP($B440,AR_Input!$A:$A,AR_Input!$B:$B,reStart),
leAR,XLOOKUP($B440,AR_Input!$A:$A,AR_Input!$E:$E,leStart),
reEsc,AND(anom,OR(ABS((S440+AM440)-reStart)&gt;maxStart,ABS((S440+AM440)-reAR)&gt;maxAR)),
leEsc,AND(anom,OR(ABS((V440+AP440)-leStart)&gt;maxStart,ABS((V440+AP440)-leAR)&gt;maxAR)),
phaseMax,IFS(
 AK440="Fast",
   IFS(
     OR(C440="B",C440="D"),XLOOKUP("timeout_coarse_fast",Calibration!$B:$B,Calibration!$C:$C,24),
     OR(C440="E",C440="F",C440="H",C440="I"),XLOOKUP("timeout_jcc_fast",Calibration!$B:$B,Calibration!$C:$C,10),
     OR(C440="G",C440="J"),XLOOKUP("timeout_duochrome_fast",Calibration!$B:$B,Calibration!$C:$C,8),
     C440="K",XLOOKUP("timeout_bino_fast",Calibration!$B:$B,Calibration!$C:$C,10),
     OR(C440="P",C440="Q",C440="R"),XLOOKUP("timeout_near_fast",Calibration!$B:$B,Calibration!$C:$C,16),
     TRUE,XLOOKUP("timeout_coarse_fast",Calibration!$B:$B,Calibration!$C:$C,24)
   ),
 AK440="Normal",
   IFS(
     OR(C440="B",C440="D"),XLOOKUP("timeout_coarse_normal",Calibration!$B:$B,Calibration!$C:$C,36),
     OR(C440="E",C440="F",C440="H",C440="I"),XLOOKUP("timeout_jcc_normal",Calibration!$B:$B,Calibration!$C:$C,14),
     OR(C440="G",C440="J"),XLOOKUP("timeout_duochrome_normal",Calibration!$B:$B,Calibration!$C:$C,10),
     C440="K",XLOOKUP("timeout_bino_normal",Calibration!$B:$B,Calibration!$C:$C,14),
     OR(C440="P",C440="Q",C440="R"),XLOOKUP("timeout_near_normal",Calibration!$B:$B,Calibration!$C:$C,22),
     TRUE,XLOOKUP("timeout_coarse_normal",Calibration!$B:$B,Calibration!$C:$C,36)
   ),
 TRUE,
   IFS(
     OR(C440="B",C440="D"),XLOOKUP("timeout_coarse_slow",Calibration!$B:$B,Calibration!$C:$C,48),
     OR(C440="E",C440="F",C440="H",C440="I"),XLOOKUP("timeout_jcc_slow",Calibration!$B:$B,Calibration!$C:$C,18),
     OR(C440="G",C440="J"),XLOOKUP("timeout_duochrome_slow",Calibration!$B:$B,Calibration!$C:$C,12),
     C440="K",XLOOKUP("timeout_bino_slow",Calibration!$B:$B,Calibration!$C:$C,18),
     OR(C440="P",C440="Q",C440="R"),XLOOKUP("timeout_near_slow",Calibration!$B:$B,Calibration!$C:$C,28),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AJ440=TRUE,"ESCALATE",
C440="A",
IF(OR(I440="NOT_READABLE",I440="BLURRY",AND(R440="20_20_20",I440="READABLE")),"B","A"),
C440="B",
IF(reEsc,"ESCALATE",IF(AY440&gt;=phaseMax,"ESCALATE",IF(AND(AV440&gt;=AW440,I440="READABLE"),"E","B"))),
C440="E",
IF(AY440&gt;=phaseMax,"ESCALATE",IF(OR(I440="SAME",I440="CANT_TELL",AD440&lt;axisTol),"F","E")),
C440="F",
IF(AY440&gt;=phaseMax,"ESCALATE",IF(AX440&gt;=powerSameN,"G","F")),
C440="G",
IF(AY440&gt;=phaseMax,"ESCALATE",IF(OR(AX440&gt;=duoEqualN,BB440&gt;=duoMax),"D","G")),
C440="D",
IF(leEsc,"ESCALATE",IF(AY440&gt;=phaseMax,"ESCALATE",IF(AND(AV440&gt;=AW440,I440="READABLE"),"H","D"))),
C440="H",
IF(AY440&gt;=phaseMax,"ESCALATE",IF(OR(I440="SAME",I440="CANT_TELL",AD440&lt;axisTol),"I","H")),
C440="I",
IF(AY440&gt;=phaseMax,"ESCALATE",IF(AX440&gt;=powerSameN,"J","I")),
C440="J",
IF(AY440&gt;=phaseMax,"ESCALATE",IF(OR(AX440&gt;=duoEqualN,BB440&gt;=duoMax),"K","J")),
C440="K",
IF(AY440&gt;=phaseMax,"ESCALATE",IF(AX440&gt;=binoSameN,IF(XLOOKUP($B440,Derived_Variables!$A:$A,Derived_Variables!$AJ:$AJ,FALSE)=TRUE,"P","END"),"K")),
C440="P",
IF(AY440&gt;=phaseMax,"ESCALATE",IF(OR(I440="READABLE",I440="SAME"),"Q","P")),
C440="Q",
IF(AY440&gt;=phaseMax,"ESCALATE",IF(OR(I440="READABLE",I440="SAME"),"R","Q")),
C440="R",
IF(AY440&gt;=phaseMax,"ESCALATE",IF(OR(I440=nearTarget,I440="SAME"),"END","R")),
TRUE,"END"
)))</f>
        <v/>
      </c>
      <c r="BD440" s="28" t="b">
        <f t="shared" si="19"/>
        <v>0</v>
      </c>
    </row>
    <row r="441" ht="15.75" customHeight="1">
      <c r="A441" s="28">
        <f t="shared" si="3"/>
        <v>440</v>
      </c>
      <c r="B441" s="28">
        <f t="shared" si="4"/>
        <v>6</v>
      </c>
      <c r="C441" s="28" t="str">
        <f t="shared" si="5"/>
        <v/>
      </c>
      <c r="D441" s="28" t="str">
        <f t="array" ref="D441">IF($I440="","",XLOOKUP(C441,FSM_State_Map!A:A,FSM_State_Map!B:B,""))</f>
        <v/>
      </c>
      <c r="E441" s="28" t="str">
        <f t="array" ref="E441">IF($I440="","",XLOOKUP(C441,FSM_State_Map!A:A,FSM_State_Map!C:C,""))</f>
        <v/>
      </c>
      <c r="F441" s="28" t="str">
        <f t="array" ref="F441">IF($I440="","",XLOOKUP(E441,Phase_UI_Map!A:A,Phase_UI_Map!B:B,""))</f>
        <v/>
      </c>
      <c r="G441" s="28" t="str">
        <f t="array" ref="G441">IF($I440="","",XLOOKUP(E441,Phase_UI_Map!A:A,Phase_UI_Map!C:C,""))</f>
        <v/>
      </c>
      <c r="H441" s="28" t="str">
        <f t="array" ref="H441">IF($I440="","",XLOOKUP(E441,Phase_UI_Map!A:A,Phase_UI_Map!D:D,""))</f>
        <v/>
      </c>
      <c r="I441" s="29"/>
      <c r="J441" s="28" t="str">
        <f>IFERROR(__xludf.DUMMYFUNCTION("IF($I440="""","""",IFERROR(INDEX(FILTER(Response_Lists!$B:$B,Response_Lists!$A:$A=$H441),1),""""))"),"")</f>
        <v/>
      </c>
      <c r="K441" s="28" t="str">
        <f>IFERROR(__xludf.DUMMYFUNCTION("IF($I440="""","""",IFERROR(INDEX(FILTER(Response_Lists!$B:$B,Response_Lists!$A:$A=$H441),2),""""))"),"")</f>
        <v/>
      </c>
      <c r="L441" s="28" t="str">
        <f>IFERROR(__xludf.DUMMYFUNCTION("IF($I440="""","""",IFERROR(INDEX(FILTER(Response_Lists!$B:$B,Response_Lists!$A:$A=$H441),3),""""))"),"")</f>
        <v/>
      </c>
      <c r="M441" s="28" t="str">
        <f>IFERROR(__xludf.DUMMYFUNCTION("IF($I440="""","""",IFERROR(INDEX(FILTER(Response_Lists!$B:$B,Response_Lists!$A:$A=$H441),4),""""))"),"")</f>
        <v/>
      </c>
      <c r="N441" s="28" t="str">
        <f>IFERROR(__xludf.DUMMYFUNCTION("IF($I440="""","""",IFERROR(INDEX(FILTER(Response_Lists!$B:$B,Response_Lists!$A:$A=$H441),5),""""))"),"")</f>
        <v/>
      </c>
      <c r="O441" s="28" t="str">
        <f>IFERROR(__xludf.DUMMYFUNCTION("IF($I440="""","""",IFERROR(INDEX(FILTER(Response_Lists!$B:$B,Response_Lists!$A:$A=$H441),6),""""))"),"")</f>
        <v/>
      </c>
      <c r="P441" s="28" t="str">
        <f t="shared" si="6"/>
        <v/>
      </c>
      <c r="Q441" s="28" t="str">
        <f t="array" ref="Q441">IF($I440="","",XLOOKUP(C441,FSM_State_Map!A:A,FSM_State_Map!D:D,""))</f>
        <v/>
      </c>
      <c r="R441" s="28" t="str">
        <f t="shared" si="7"/>
        <v/>
      </c>
      <c r="S441" s="28" t="str">
        <f t="array" ref="S441">IF($I440="","",
IF(
  AND(C441="B",C440&lt;&gt;"B"),
  XLOOKUP($B441,Derived_Variables!$A:$A,Derived_Variables!$K:$K,0)
  + XLOOKUP($B441,Derived_Variables!$A:$A,Derived_Variables!$AE:$AE,0),
  S440+AM440
))</f>
        <v/>
      </c>
      <c r="T441" s="28" t="str">
        <f t="shared" ref="T441:U441" si="892">IF($I440="","",T440+AN440)</f>
        <v/>
      </c>
      <c r="U441" s="28" t="str">
        <f t="shared" si="892"/>
        <v/>
      </c>
      <c r="V441" s="28" t="str">
        <f t="array" ref="V441">IF($I440="","",
IF(
  AND(C441="D",C440&lt;&gt;"D"),
  XLOOKUP($B441,Derived_Variables!$A:$A,Derived_Variables!$N:$N,0)
  + XLOOKUP($B441,Derived_Variables!$A:$A,Derived_Variables!$AE:$AE,0),
  V440+AP440
))</f>
        <v/>
      </c>
      <c r="W441" s="28" t="str">
        <f t="shared" ref="W441:X441" si="893">IF($I440="","",W440+AQ440)</f>
        <v/>
      </c>
      <c r="X441" s="28" t="str">
        <f t="shared" si="893"/>
        <v/>
      </c>
      <c r="Y441" s="28" t="str">
        <f t="array" ref="Y441">IF($I440="","",IF(AND(C441="P",C440&lt;&gt;"P"),IFERROR(XLOOKUP($B441,Lenso_Input!$A:$A,Lenso_Input!$E:$E,0),0),Y440+AS440))</f>
        <v/>
      </c>
      <c r="Z441" s="28" t="str">
        <f t="array" ref="Z441">IF($I440="","",IF(AND(C441="Q",C440&lt;&gt;"Q"),IFERROR(XLOOKUP($B441,Lenso_Input!$A:$A,Lenso_Input!$I:$I,0),0),Z440+AT440))</f>
        <v/>
      </c>
      <c r="AA441" s="28" t="str">
        <f t="array" ref="AA441">IF($I440="","",IF(XLOOKUP($B441,Derived_Variables!$A:$A,Derived_Variables!$R:$R,"6/6_target")="6/6_target","20_20_20","40_30_25"))</f>
        <v/>
      </c>
      <c r="AB441" s="28" t="str">
        <f t="array" ref="AB441">IF($I440="","",XLOOKUP(LOWER(XLOOKUP($B441,Derived_Variables!$A:$A,Derived_Variables!$T:$T,"Standard"))&amp;"_sph_step",Calibration!$B:$B,Calibration!$C:$C,0.25))</f>
        <v/>
      </c>
      <c r="AC441" s="28" t="str">
        <f t="array" ref="AC441">IF($I440="","",XLOOKUP(LOWER(XLOOKUP($B441,Derived_Variables!$A:$A,Derived_Variables!$T:$T,"Standard"))&amp;"_cyl_step",Calibration!$B:$B,Calibration!$C:$C,0.25))</f>
        <v/>
      </c>
      <c r="AD441" s="28" t="str">
        <f t="array" ref="AD441">IF($I440="","",IF(OR(C441="E",C441="H"),LET(startStep,XLOOKUP("axis_start_step",Calibration!$B:$B,Calibration!$C:$C,5),step1,XLOOKUP("axis_reversal_step_1",Calibration!$B:$B,Calibration!$C:$C,3),step2,XLOOKUP("axis_reversal_step_2",Calibration!$B:$B,Calibration!$C:$C,1),IF(OR(C440&lt;&gt;C441,AZ441="",AZ441="SAME",AZ441="CANT_TELL",I441="",I441="SAME",I441="CANT_TELL"),startStep,IF(OR(AND(AZ441="BETTER_1",I441="BETTER_2"),AND(AZ441="BETTER_2",I441="BETTER_1")),IF(AD440&gt;step1,step1,step2),AD440))),0))</f>
        <v/>
      </c>
      <c r="AE441" s="28" t="str">
        <f t="array" ref="AE441">IF($I440="","",XLOOKUP($B441,Derived_Variables!$A:$A,Derived_Variables!$AD:$AD,"No_Fog"))</f>
        <v/>
      </c>
      <c r="AF441" s="28" t="str">
        <f t="array" ref="AF441">IF($I440="","",XLOOKUP($B441,Derived_Variables!$A:$A,Derived_Variables!$AE:$AE,0))</f>
        <v/>
      </c>
      <c r="AG441" s="28" t="str">
        <f t="array" ref="AG441">IF($I440="","",XLOOKUP($B441,Derived_Variables!$A:$A,Derived_Variables!$AF:$AF,""))</f>
        <v/>
      </c>
      <c r="AH441" s="28" t="str">
        <f t="array" ref="AH441">IF($I440="","",XLOOKUP($B441,Derived_Variables!$A:$A,Derived_Variables!$AG:$AG,""))</f>
        <v/>
      </c>
      <c r="AI441" s="28" t="str">
        <f t="array" ref="AI441">IF($I440="","",XLOOKUP($B441,Derived_Variables!$A:$A,Derived_Variables!$AC:$AC,"Medium"))</f>
        <v/>
      </c>
      <c r="AJ441" s="28" t="str">
        <f t="array" ref="AJ441">IF($I440="","",XLOOKUP($B441,Derived_Variables!$A:$A,Derived_Variables!$Y:$Y,FALSE))</f>
        <v/>
      </c>
      <c r="AK441" s="28" t="str">
        <f t="array" ref="AK441">IF($I440="","",XLOOKUP($B441,Derived_Variables!$A:$A,Derived_Variables!$AA:$AA,"Normal"))</f>
        <v/>
      </c>
      <c r="AL441" s="28" t="str">
        <f t="array" ref="AL441">IF($I440="","",XLOOKUP($B441,Derived_Variables!$A:$A,Derived_Variables!$AB:$AB,"Normal"))</f>
        <v/>
      </c>
      <c r="AM441" s="28" t="str">
        <f t="array" ref="AM441">IF($I441="","",IFS(C441="B",IF(OR(I441="NOT_READABLE",I441="BLURRY"),-AB441,0),C441="G",IFS(I441="RED_CLEARER",XLOOKUP("duochrome_red_step",Calibration!$B:$B,Calibration!$C:$C,-0.25),I441="GREEN_CLEARER",XLOOKUP("duochrome_green_step",Calibration!$B:$B,Calibration!$C:$C,0.25),I441="EQUAL",IF(XLOOKUP($B441,Derived_Variables!$A:$A,Derived_Variables!$S:$S,"Neutral")="Undercorrect",XLOOKUP("undercorrect_step",Calibration!$B:$B,Calibration!$C:$C,0.25),IF(XLOOKUP($B441,Derived_Variables!$A:$A,Derived_Variables!$S:$S,"Neutral")="Overcorrect",-XLOOKUP("overcorrect_step",Calibration!$B:$B,Calibration!$C:$C,0.25),0)),TRUE,0),C441="K",IF(I441="TOP_CLEARER",XLOOKUP("bino_balance_step",Calibration!$B:$B,Calibration!$C:$C,0.25),0),TRUE,0))</f>
        <v/>
      </c>
      <c r="AN441" s="28" t="str">
        <f t="shared" si="10"/>
        <v/>
      </c>
      <c r="AO441" s="28" t="str">
        <f t="shared" si="11"/>
        <v/>
      </c>
      <c r="AP441" s="28" t="str">
        <f t="array" ref="AP441">IF($I441="","",IFS(C441="D",IF(OR(I441="NOT_READABLE",I441="BLURRY"),-AB441,0),C441="J",IFS(I441="RED_CLEARER",XLOOKUP("duochrome_red_step",Calibration!$B:$B,Calibration!$C:$C,-0.25),I441="GREEN_CLEARER",XLOOKUP("duochrome_green_step",Calibration!$B:$B,Calibration!$C:$C,0.25),I441="EQUAL",IF(XLOOKUP($B441,Derived_Variables!$A:$A,Derived_Variables!$S:$S,"Neutral")="Undercorrect",XLOOKUP("undercorrect_step",Calibration!$B:$B,Calibration!$C:$C,0.25),IF(XLOOKUP($B441,Derived_Variables!$A:$A,Derived_Variables!$S:$S,"Neutral")="Overcorrect",-XLOOKUP("overcorrect_step",Calibration!$B:$B,Calibration!$C:$C,0.25),0)),TRUE,0),C441="K",IF(I441="BOTTOM_CLEARER",XLOOKUP("bino_balance_step",Calibration!$B:$B,Calibration!$C:$C,0.25),0),TRUE,0))</f>
        <v/>
      </c>
      <c r="AQ441" s="28" t="str">
        <f t="shared" si="12"/>
        <v/>
      </c>
      <c r="AR441" s="28" t="str">
        <f t="shared" si="13"/>
        <v/>
      </c>
      <c r="AS441" s="28" t="str">
        <f t="array" ref="AS441">IF($I441="","",IF(C441="P",IF(OR(I441="NOT_READABLE",I441="BLURRY"),XLOOKUP("near_add_step",Calibration!$B:$B,Calibration!$C:$C,0.25),0),IF(C441="R",IF(I441="NOT_CLEAR",XLOOKUP("near_add_step",Calibration!$B:$B,Calibration!$C:$C,0.25),0),0)))</f>
        <v/>
      </c>
      <c r="AT441" s="28" t="str">
        <f t="array" ref="AT441">IF($I441="","",IF(C441="Q",IF(OR(I441="NOT_READABLE",I441="BLURRY"),XLOOKUP("near_add_step",Calibration!$B:$B,Calibration!$C:$C,0.25),0),IF(C441="R",IF(I441="NOT_CLEAR",XLOOKUP("near_add_step",Calibration!$B:$B,Calibration!$C:$C,0.25),0),0)))</f>
        <v/>
      </c>
      <c r="AU441" s="28" t="str">
        <f t="array" ref="AU441">IF($I441="","",IF(G441="SNELLEN_FEET",IF(I441="READABLE",IFERROR(XLOOKUP(XLOOKUP(R441,Chart_Scale_Distance!B:B,Chart_Scale_Distance!A:A)+1,Chart_Scale_Distance!A:A,Chart_Scale_Distance!B:B),R441),R441),R441))</f>
        <v/>
      </c>
      <c r="AV441" s="28" t="str">
        <f t="array" ref="AV441">IF($I440="","",IFERROR(XLOOKUP(R441,Chart_Scale_Distance!$B:$B,Chart_Scale_Distance!$A:$A,""),""))</f>
        <v/>
      </c>
      <c r="AW441" s="28" t="str">
        <f t="array" ref="AW441">IF($I440="","",IFERROR(XLOOKUP(AA441,Chart_Scale_Distance!$B:$B,Chart_Scale_Distance!$A:$A,""),""))</f>
        <v/>
      </c>
      <c r="AX441" s="28" t="str">
        <f t="shared" si="14"/>
        <v/>
      </c>
      <c r="AY441" s="28" t="str">
        <f t="shared" si="15"/>
        <v/>
      </c>
      <c r="AZ441" s="28" t="str">
        <f t="shared" si="16"/>
        <v/>
      </c>
      <c r="BA441" s="28" t="str">
        <f t="shared" si="17"/>
        <v/>
      </c>
      <c r="BB441" s="28" t="str">
        <f t="shared" si="18"/>
        <v/>
      </c>
      <c r="BC441" s="28" t="str">
        <f t="array" ref="BC441">IF($I441="","",LET(
conf,AI441,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duoMax,XLOOKUP($B441,Derived_Variables!$A:$A,Derived_Variables!$AI:$AI,4),
axisTol,XLOOKUP($B441,Derived_Variables!$A:$A,Derived_Variables!$W:$W,1),
maxStart,XLOOKUP($B441,Derived_Variables!$A:$A,Derived_Variables!$U:$U,1.25),
maxAR,XLOOKUP($B441,Derived_Variables!$A:$A,Derived_Variables!$V:$V,3),
anom,XLOOKUP($B441,Derived_Variables!$A:$A,Derived_Variables!$Z:$Z,FALSE),
reStart,XLOOKUP($B441,Derived_Variables!$A:$A,Derived_Variables!$K:$K,0),
leStart,XLOOKUP($B441,Derived_Variables!$A:$A,Derived_Variables!$N:$N,0),
reAR,XLOOKUP($B441,AR_Input!$A:$A,AR_Input!$B:$B,reStart),
leAR,XLOOKUP($B441,AR_Input!$A:$A,AR_Input!$E:$E,leStart),
reEsc,AND(anom,OR(ABS((S441+AM441)-reStart)&gt;maxStart,ABS((S441+AM441)-reAR)&gt;maxAR)),
leEsc,AND(anom,OR(ABS((V441+AP441)-leStart)&gt;maxStart,ABS((V441+AP441)-leAR)&gt;maxAR)),
phaseMax,IFS(
 AK441="Fast",
   IFS(
     OR(C441="B",C441="D"),XLOOKUP("timeout_coarse_fast",Calibration!$B:$B,Calibration!$C:$C,24),
     OR(C441="E",C441="F",C441="H",C441="I"),XLOOKUP("timeout_jcc_fast",Calibration!$B:$B,Calibration!$C:$C,10),
     OR(C441="G",C441="J"),XLOOKUP("timeout_duochrome_fast",Calibration!$B:$B,Calibration!$C:$C,8),
     C441="K",XLOOKUP("timeout_bino_fast",Calibration!$B:$B,Calibration!$C:$C,10),
     OR(C441="P",C441="Q",C441="R"),XLOOKUP("timeout_near_fast",Calibration!$B:$B,Calibration!$C:$C,16),
     TRUE,XLOOKUP("timeout_coarse_fast",Calibration!$B:$B,Calibration!$C:$C,24)
   ),
 AK441="Normal",
   IFS(
     OR(C441="B",C441="D"),XLOOKUP("timeout_coarse_normal",Calibration!$B:$B,Calibration!$C:$C,36),
     OR(C441="E",C441="F",C441="H",C441="I"),XLOOKUP("timeout_jcc_normal",Calibration!$B:$B,Calibration!$C:$C,14),
     OR(C441="G",C441="J"),XLOOKUP("timeout_duochrome_normal",Calibration!$B:$B,Calibration!$C:$C,10),
     C441="K",XLOOKUP("timeout_bino_normal",Calibration!$B:$B,Calibration!$C:$C,14),
     OR(C441="P",C441="Q",C441="R"),XLOOKUP("timeout_near_normal",Calibration!$B:$B,Calibration!$C:$C,22),
     TRUE,XLOOKUP("timeout_coarse_normal",Calibration!$B:$B,Calibration!$C:$C,36)
   ),
 TRUE,
   IFS(
     OR(C441="B",C441="D"),XLOOKUP("timeout_coarse_slow",Calibration!$B:$B,Calibration!$C:$C,48),
     OR(C441="E",C441="F",C441="H",C441="I"),XLOOKUP("timeout_jcc_slow",Calibration!$B:$B,Calibration!$C:$C,18),
     OR(C441="G",C441="J"),XLOOKUP("timeout_duochrome_slow",Calibration!$B:$B,Calibration!$C:$C,12),
     C441="K",XLOOKUP("timeout_bino_slow",Calibration!$B:$B,Calibration!$C:$C,18),
     OR(C441="P",C441="Q",C441="R"),XLOOKUP("timeout_near_slow",Calibration!$B:$B,Calibration!$C:$C,28),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AJ441=TRUE,"ESCALATE",
C441="A",
IF(OR(I441="NOT_READABLE",I441="BLURRY",AND(R441="20_20_20",I441="READABLE")),"B","A"),
C441="B",
IF(reEsc,"ESCALATE",IF(AY441&gt;=phaseMax,"ESCALATE",IF(AND(AV441&gt;=AW441,I441="READABLE"),"E","B"))),
C441="E",
IF(AY441&gt;=phaseMax,"ESCALATE",IF(OR(I441="SAME",I441="CANT_TELL",AD441&lt;axisTol),"F","E")),
C441="F",
IF(AY441&gt;=phaseMax,"ESCALATE",IF(AX441&gt;=powerSameN,"G","F")),
C441="G",
IF(AY441&gt;=phaseMax,"ESCALATE",IF(OR(AX441&gt;=duoEqualN,BB441&gt;=duoMax),"D","G")),
C441="D",
IF(leEsc,"ESCALATE",IF(AY441&gt;=phaseMax,"ESCALATE",IF(AND(AV441&gt;=AW441,I441="READABLE"),"H","D"))),
C441="H",
IF(AY441&gt;=phaseMax,"ESCALATE",IF(OR(I441="SAME",I441="CANT_TELL",AD441&lt;axisTol),"I","H")),
C441="I",
IF(AY441&gt;=phaseMax,"ESCALATE",IF(AX441&gt;=powerSameN,"J","I")),
C441="J",
IF(AY441&gt;=phaseMax,"ESCALATE",IF(OR(AX441&gt;=duoEqualN,BB441&gt;=duoMax),"K","J")),
C441="K",
IF(AY441&gt;=phaseMax,"ESCALATE",IF(AX441&gt;=binoSameN,IF(XLOOKUP($B441,Derived_Variables!$A:$A,Derived_Variables!$AJ:$AJ,FALSE)=TRUE,"P","END"),"K")),
C441="P",
IF(AY441&gt;=phaseMax,"ESCALATE",IF(OR(I441="READABLE",I441="SAME"),"Q","P")),
C441="Q",
IF(AY441&gt;=phaseMax,"ESCALATE",IF(OR(I441="READABLE",I441="SAME"),"R","Q")),
C441="R",
IF(AY441&gt;=phaseMax,"ESCALATE",IF(OR(I441=nearTarget,I441="SAME"),"END","R")),
TRUE,"END"
)))</f>
        <v/>
      </c>
      <c r="BD441" s="28" t="b">
        <f t="shared" si="19"/>
        <v>0</v>
      </c>
    </row>
    <row r="442" ht="15.75" customHeight="1">
      <c r="A442" s="28">
        <f t="shared" si="3"/>
        <v>441</v>
      </c>
      <c r="B442" s="28">
        <f t="shared" si="4"/>
        <v>6</v>
      </c>
      <c r="C442" s="28" t="str">
        <f t="shared" si="5"/>
        <v/>
      </c>
      <c r="D442" s="28" t="str">
        <f t="array" ref="D442">IF($I441="","",XLOOKUP(C442,FSM_State_Map!A:A,FSM_State_Map!B:B,""))</f>
        <v/>
      </c>
      <c r="E442" s="28" t="str">
        <f t="array" ref="E442">IF($I441="","",XLOOKUP(C442,FSM_State_Map!A:A,FSM_State_Map!C:C,""))</f>
        <v/>
      </c>
      <c r="F442" s="28" t="str">
        <f t="array" ref="F442">IF($I441="","",XLOOKUP(E442,Phase_UI_Map!A:A,Phase_UI_Map!B:B,""))</f>
        <v/>
      </c>
      <c r="G442" s="28" t="str">
        <f t="array" ref="G442">IF($I441="","",XLOOKUP(E442,Phase_UI_Map!A:A,Phase_UI_Map!C:C,""))</f>
        <v/>
      </c>
      <c r="H442" s="28" t="str">
        <f t="array" ref="H442">IF($I441="","",XLOOKUP(E442,Phase_UI_Map!A:A,Phase_UI_Map!D:D,""))</f>
        <v/>
      </c>
      <c r="I442" s="29"/>
      <c r="J442" s="28" t="str">
        <f>IFERROR(__xludf.DUMMYFUNCTION("IF($I441="""","""",IFERROR(INDEX(FILTER(Response_Lists!$B:$B,Response_Lists!$A:$A=$H442),1),""""))"),"")</f>
        <v/>
      </c>
      <c r="K442" s="28" t="str">
        <f>IFERROR(__xludf.DUMMYFUNCTION("IF($I441="""","""",IFERROR(INDEX(FILTER(Response_Lists!$B:$B,Response_Lists!$A:$A=$H442),2),""""))"),"")</f>
        <v/>
      </c>
      <c r="L442" s="28" t="str">
        <f>IFERROR(__xludf.DUMMYFUNCTION("IF($I441="""","""",IFERROR(INDEX(FILTER(Response_Lists!$B:$B,Response_Lists!$A:$A=$H442),3),""""))"),"")</f>
        <v/>
      </c>
      <c r="M442" s="28" t="str">
        <f>IFERROR(__xludf.DUMMYFUNCTION("IF($I441="""","""",IFERROR(INDEX(FILTER(Response_Lists!$B:$B,Response_Lists!$A:$A=$H442),4),""""))"),"")</f>
        <v/>
      </c>
      <c r="N442" s="28" t="str">
        <f>IFERROR(__xludf.DUMMYFUNCTION("IF($I441="""","""",IFERROR(INDEX(FILTER(Response_Lists!$B:$B,Response_Lists!$A:$A=$H442),5),""""))"),"")</f>
        <v/>
      </c>
      <c r="O442" s="28" t="str">
        <f>IFERROR(__xludf.DUMMYFUNCTION("IF($I441="""","""",IFERROR(INDEX(FILTER(Response_Lists!$B:$B,Response_Lists!$A:$A=$H442),6),""""))"),"")</f>
        <v/>
      </c>
      <c r="P442" s="28" t="str">
        <f t="shared" si="6"/>
        <v/>
      </c>
      <c r="Q442" s="28" t="str">
        <f t="array" ref="Q442">IF($I441="","",XLOOKUP(C442,FSM_State_Map!A:A,FSM_State_Map!D:D,""))</f>
        <v/>
      </c>
      <c r="R442" s="28" t="str">
        <f t="shared" si="7"/>
        <v/>
      </c>
      <c r="S442" s="28" t="str">
        <f t="array" ref="S442">IF($I441="","",
IF(
  AND(C442="B",C441&lt;&gt;"B"),
  XLOOKUP($B442,Derived_Variables!$A:$A,Derived_Variables!$K:$K,0)
  + XLOOKUP($B442,Derived_Variables!$A:$A,Derived_Variables!$AE:$AE,0),
  S441+AM441
))</f>
        <v/>
      </c>
      <c r="T442" s="28" t="str">
        <f t="shared" ref="T442:U442" si="894">IF($I441="","",T441+AN441)</f>
        <v/>
      </c>
      <c r="U442" s="28" t="str">
        <f t="shared" si="894"/>
        <v/>
      </c>
      <c r="V442" s="28" t="str">
        <f t="array" ref="V442">IF($I441="","",
IF(
  AND(C442="D",C441&lt;&gt;"D"),
  XLOOKUP($B442,Derived_Variables!$A:$A,Derived_Variables!$N:$N,0)
  + XLOOKUP($B442,Derived_Variables!$A:$A,Derived_Variables!$AE:$AE,0),
  V441+AP441
))</f>
        <v/>
      </c>
      <c r="W442" s="28" t="str">
        <f t="shared" ref="W442:X442" si="895">IF($I441="","",W441+AQ441)</f>
        <v/>
      </c>
      <c r="X442" s="28" t="str">
        <f t="shared" si="895"/>
        <v/>
      </c>
      <c r="Y442" s="28" t="str">
        <f t="array" ref="Y442">IF($I441="","",IF(AND(C442="P",C441&lt;&gt;"P"),IFERROR(XLOOKUP($B442,Lenso_Input!$A:$A,Lenso_Input!$E:$E,0),0),Y441+AS441))</f>
        <v/>
      </c>
      <c r="Z442" s="28" t="str">
        <f t="array" ref="Z442">IF($I441="","",IF(AND(C442="Q",C441&lt;&gt;"Q"),IFERROR(XLOOKUP($B442,Lenso_Input!$A:$A,Lenso_Input!$I:$I,0),0),Z441+AT441))</f>
        <v/>
      </c>
      <c r="AA442" s="28" t="str">
        <f t="array" ref="AA442">IF($I441="","",IF(XLOOKUP($B442,Derived_Variables!$A:$A,Derived_Variables!$R:$R,"6/6_target")="6/6_target","20_20_20","40_30_25"))</f>
        <v/>
      </c>
      <c r="AB442" s="28" t="str">
        <f t="array" ref="AB442">IF($I441="","",XLOOKUP(LOWER(XLOOKUP($B442,Derived_Variables!$A:$A,Derived_Variables!$T:$T,"Standard"))&amp;"_sph_step",Calibration!$B:$B,Calibration!$C:$C,0.25))</f>
        <v/>
      </c>
      <c r="AC442" s="28" t="str">
        <f t="array" ref="AC442">IF($I441="","",XLOOKUP(LOWER(XLOOKUP($B442,Derived_Variables!$A:$A,Derived_Variables!$T:$T,"Standard"))&amp;"_cyl_step",Calibration!$B:$B,Calibration!$C:$C,0.25))</f>
        <v/>
      </c>
      <c r="AD442" s="28" t="str">
        <f t="array" ref="AD442">IF($I441="","",IF(OR(C442="E",C442="H"),LET(startStep,XLOOKUP("axis_start_step",Calibration!$B:$B,Calibration!$C:$C,5),step1,XLOOKUP("axis_reversal_step_1",Calibration!$B:$B,Calibration!$C:$C,3),step2,XLOOKUP("axis_reversal_step_2",Calibration!$B:$B,Calibration!$C:$C,1),IF(OR(C441&lt;&gt;C442,AZ442="",AZ442="SAME",AZ442="CANT_TELL",I442="",I442="SAME",I442="CANT_TELL"),startStep,IF(OR(AND(AZ442="BETTER_1",I442="BETTER_2"),AND(AZ442="BETTER_2",I442="BETTER_1")),IF(AD441&gt;step1,step1,step2),AD441))),0))</f>
        <v/>
      </c>
      <c r="AE442" s="28" t="str">
        <f t="array" ref="AE442">IF($I441="","",XLOOKUP($B442,Derived_Variables!$A:$A,Derived_Variables!$AD:$AD,"No_Fog"))</f>
        <v/>
      </c>
      <c r="AF442" s="28" t="str">
        <f t="array" ref="AF442">IF($I441="","",XLOOKUP($B442,Derived_Variables!$A:$A,Derived_Variables!$AE:$AE,0))</f>
        <v/>
      </c>
      <c r="AG442" s="28" t="str">
        <f t="array" ref="AG442">IF($I441="","",XLOOKUP($B442,Derived_Variables!$A:$A,Derived_Variables!$AF:$AF,""))</f>
        <v/>
      </c>
      <c r="AH442" s="28" t="str">
        <f t="array" ref="AH442">IF($I441="","",XLOOKUP($B442,Derived_Variables!$A:$A,Derived_Variables!$AG:$AG,""))</f>
        <v/>
      </c>
      <c r="AI442" s="28" t="str">
        <f t="array" ref="AI442">IF($I441="","",XLOOKUP($B442,Derived_Variables!$A:$A,Derived_Variables!$AC:$AC,"Medium"))</f>
        <v/>
      </c>
      <c r="AJ442" s="28" t="str">
        <f t="array" ref="AJ442">IF($I441="","",XLOOKUP($B442,Derived_Variables!$A:$A,Derived_Variables!$Y:$Y,FALSE))</f>
        <v/>
      </c>
      <c r="AK442" s="28" t="str">
        <f t="array" ref="AK442">IF($I441="","",XLOOKUP($B442,Derived_Variables!$A:$A,Derived_Variables!$AA:$AA,"Normal"))</f>
        <v/>
      </c>
      <c r="AL442" s="28" t="str">
        <f t="array" ref="AL442">IF($I441="","",XLOOKUP($B442,Derived_Variables!$A:$A,Derived_Variables!$AB:$AB,"Normal"))</f>
        <v/>
      </c>
      <c r="AM442" s="28" t="str">
        <f t="array" ref="AM442">IF($I442="","",IFS(C442="B",IF(OR(I442="NOT_READABLE",I442="BLURRY"),-AB442,0),C442="G",IFS(I442="RED_CLEARER",XLOOKUP("duochrome_red_step",Calibration!$B:$B,Calibration!$C:$C,-0.25),I442="GREEN_CLEARER",XLOOKUP("duochrome_green_step",Calibration!$B:$B,Calibration!$C:$C,0.25),I442="EQUAL",IF(XLOOKUP($B442,Derived_Variables!$A:$A,Derived_Variables!$S:$S,"Neutral")="Undercorrect",XLOOKUP("undercorrect_step",Calibration!$B:$B,Calibration!$C:$C,0.25),IF(XLOOKUP($B442,Derived_Variables!$A:$A,Derived_Variables!$S:$S,"Neutral")="Overcorrect",-XLOOKUP("overcorrect_step",Calibration!$B:$B,Calibration!$C:$C,0.25),0)),TRUE,0),C442="K",IF(I442="TOP_CLEARER",XLOOKUP("bino_balance_step",Calibration!$B:$B,Calibration!$C:$C,0.25),0),TRUE,0))</f>
        <v/>
      </c>
      <c r="AN442" s="28" t="str">
        <f t="shared" si="10"/>
        <v/>
      </c>
      <c r="AO442" s="28" t="str">
        <f t="shared" si="11"/>
        <v/>
      </c>
      <c r="AP442" s="28" t="str">
        <f t="array" ref="AP442">IF($I442="","",IFS(C442="D",IF(OR(I442="NOT_READABLE",I442="BLURRY"),-AB442,0),C442="J",IFS(I442="RED_CLEARER",XLOOKUP("duochrome_red_step",Calibration!$B:$B,Calibration!$C:$C,-0.25),I442="GREEN_CLEARER",XLOOKUP("duochrome_green_step",Calibration!$B:$B,Calibration!$C:$C,0.25),I442="EQUAL",IF(XLOOKUP($B442,Derived_Variables!$A:$A,Derived_Variables!$S:$S,"Neutral")="Undercorrect",XLOOKUP("undercorrect_step",Calibration!$B:$B,Calibration!$C:$C,0.25),IF(XLOOKUP($B442,Derived_Variables!$A:$A,Derived_Variables!$S:$S,"Neutral")="Overcorrect",-XLOOKUP("overcorrect_step",Calibration!$B:$B,Calibration!$C:$C,0.25),0)),TRUE,0),C442="K",IF(I442="BOTTOM_CLEARER",XLOOKUP("bino_balance_step",Calibration!$B:$B,Calibration!$C:$C,0.25),0),TRUE,0))</f>
        <v/>
      </c>
      <c r="AQ442" s="28" t="str">
        <f t="shared" si="12"/>
        <v/>
      </c>
      <c r="AR442" s="28" t="str">
        <f t="shared" si="13"/>
        <v/>
      </c>
      <c r="AS442" s="28" t="str">
        <f t="array" ref="AS442">IF($I442="","",IF(C442="P",IF(OR(I442="NOT_READABLE",I442="BLURRY"),XLOOKUP("near_add_step",Calibration!$B:$B,Calibration!$C:$C,0.25),0),IF(C442="R",IF(I442="NOT_CLEAR",XLOOKUP("near_add_step",Calibration!$B:$B,Calibration!$C:$C,0.25),0),0)))</f>
        <v/>
      </c>
      <c r="AT442" s="28" t="str">
        <f t="array" ref="AT442">IF($I442="","",IF(C442="Q",IF(OR(I442="NOT_READABLE",I442="BLURRY"),XLOOKUP("near_add_step",Calibration!$B:$B,Calibration!$C:$C,0.25),0),IF(C442="R",IF(I442="NOT_CLEAR",XLOOKUP("near_add_step",Calibration!$B:$B,Calibration!$C:$C,0.25),0),0)))</f>
        <v/>
      </c>
      <c r="AU442" s="28" t="str">
        <f t="array" ref="AU442">IF($I442="","",IF(G442="SNELLEN_FEET",IF(I442="READABLE",IFERROR(XLOOKUP(XLOOKUP(R442,Chart_Scale_Distance!B:B,Chart_Scale_Distance!A:A)+1,Chart_Scale_Distance!A:A,Chart_Scale_Distance!B:B),R442),R442),R442))</f>
        <v/>
      </c>
      <c r="AV442" s="28" t="str">
        <f t="array" ref="AV442">IF($I441="","",IFERROR(XLOOKUP(R442,Chart_Scale_Distance!$B:$B,Chart_Scale_Distance!$A:$A,""),""))</f>
        <v/>
      </c>
      <c r="AW442" s="28" t="str">
        <f t="array" ref="AW442">IF($I441="","",IFERROR(XLOOKUP(AA442,Chart_Scale_Distance!$B:$B,Chart_Scale_Distance!$A:$A,""),""))</f>
        <v/>
      </c>
      <c r="AX442" s="28" t="str">
        <f t="shared" si="14"/>
        <v/>
      </c>
      <c r="AY442" s="28" t="str">
        <f t="shared" si="15"/>
        <v/>
      </c>
      <c r="AZ442" s="28" t="str">
        <f t="shared" si="16"/>
        <v/>
      </c>
      <c r="BA442" s="28" t="str">
        <f t="shared" si="17"/>
        <v/>
      </c>
      <c r="BB442" s="28" t="str">
        <f t="shared" si="18"/>
        <v/>
      </c>
      <c r="BC442" s="28" t="str">
        <f t="array" ref="BC442">IF($I442="","",LET(
conf,AI442,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duoMax,XLOOKUP($B442,Derived_Variables!$A:$A,Derived_Variables!$AI:$AI,4),
axisTol,XLOOKUP($B442,Derived_Variables!$A:$A,Derived_Variables!$W:$W,1),
maxStart,XLOOKUP($B442,Derived_Variables!$A:$A,Derived_Variables!$U:$U,1.25),
maxAR,XLOOKUP($B442,Derived_Variables!$A:$A,Derived_Variables!$V:$V,3),
anom,XLOOKUP($B442,Derived_Variables!$A:$A,Derived_Variables!$Z:$Z,FALSE),
reStart,XLOOKUP($B442,Derived_Variables!$A:$A,Derived_Variables!$K:$K,0),
leStart,XLOOKUP($B442,Derived_Variables!$A:$A,Derived_Variables!$N:$N,0),
reAR,XLOOKUP($B442,AR_Input!$A:$A,AR_Input!$B:$B,reStart),
leAR,XLOOKUP($B442,AR_Input!$A:$A,AR_Input!$E:$E,leStart),
reEsc,AND(anom,OR(ABS((S442+AM442)-reStart)&gt;maxStart,ABS((S442+AM442)-reAR)&gt;maxAR)),
leEsc,AND(anom,OR(ABS((V442+AP442)-leStart)&gt;maxStart,ABS((V442+AP442)-leAR)&gt;maxAR)),
phaseMax,IFS(
 AK442="Fast",
   IFS(
     OR(C442="B",C442="D"),XLOOKUP("timeout_coarse_fast",Calibration!$B:$B,Calibration!$C:$C,24),
     OR(C442="E",C442="F",C442="H",C442="I"),XLOOKUP("timeout_jcc_fast",Calibration!$B:$B,Calibration!$C:$C,10),
     OR(C442="G",C442="J"),XLOOKUP("timeout_duochrome_fast",Calibration!$B:$B,Calibration!$C:$C,8),
     C442="K",XLOOKUP("timeout_bino_fast",Calibration!$B:$B,Calibration!$C:$C,10),
     OR(C442="P",C442="Q",C442="R"),XLOOKUP("timeout_near_fast",Calibration!$B:$B,Calibration!$C:$C,16),
     TRUE,XLOOKUP("timeout_coarse_fast",Calibration!$B:$B,Calibration!$C:$C,24)
   ),
 AK442="Normal",
   IFS(
     OR(C442="B",C442="D"),XLOOKUP("timeout_coarse_normal",Calibration!$B:$B,Calibration!$C:$C,36),
     OR(C442="E",C442="F",C442="H",C442="I"),XLOOKUP("timeout_jcc_normal",Calibration!$B:$B,Calibration!$C:$C,14),
     OR(C442="G",C442="J"),XLOOKUP("timeout_duochrome_normal",Calibration!$B:$B,Calibration!$C:$C,10),
     C442="K",XLOOKUP("timeout_bino_normal",Calibration!$B:$B,Calibration!$C:$C,14),
     OR(C442="P",C442="Q",C442="R"),XLOOKUP("timeout_near_normal",Calibration!$B:$B,Calibration!$C:$C,22),
     TRUE,XLOOKUP("timeout_coarse_normal",Calibration!$B:$B,Calibration!$C:$C,36)
   ),
 TRUE,
   IFS(
     OR(C442="B",C442="D"),XLOOKUP("timeout_coarse_slow",Calibration!$B:$B,Calibration!$C:$C,48),
     OR(C442="E",C442="F",C442="H",C442="I"),XLOOKUP("timeout_jcc_slow",Calibration!$B:$B,Calibration!$C:$C,18),
     OR(C442="G",C442="J"),XLOOKUP("timeout_duochrome_slow",Calibration!$B:$B,Calibration!$C:$C,12),
     C442="K",XLOOKUP("timeout_bino_slow",Calibration!$B:$B,Calibration!$C:$C,18),
     OR(C442="P",C442="Q",C442="R"),XLOOKUP("timeout_near_slow",Calibration!$B:$B,Calibration!$C:$C,28),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AJ442=TRUE,"ESCALATE",
C442="A",
IF(OR(I442="NOT_READABLE",I442="BLURRY",AND(R442="20_20_20",I442="READABLE")),"B","A"),
C442="B",
IF(reEsc,"ESCALATE",IF(AY442&gt;=phaseMax,"ESCALATE",IF(AND(AV442&gt;=AW442,I442="READABLE"),"E","B"))),
C442="E",
IF(AY442&gt;=phaseMax,"ESCALATE",IF(OR(I442="SAME",I442="CANT_TELL",AD442&lt;axisTol),"F","E")),
C442="F",
IF(AY442&gt;=phaseMax,"ESCALATE",IF(AX442&gt;=powerSameN,"G","F")),
C442="G",
IF(AY442&gt;=phaseMax,"ESCALATE",IF(OR(AX442&gt;=duoEqualN,BB442&gt;=duoMax),"D","G")),
C442="D",
IF(leEsc,"ESCALATE",IF(AY442&gt;=phaseMax,"ESCALATE",IF(AND(AV442&gt;=AW442,I442="READABLE"),"H","D"))),
C442="H",
IF(AY442&gt;=phaseMax,"ESCALATE",IF(OR(I442="SAME",I442="CANT_TELL",AD442&lt;axisTol),"I","H")),
C442="I",
IF(AY442&gt;=phaseMax,"ESCALATE",IF(AX442&gt;=powerSameN,"J","I")),
C442="J",
IF(AY442&gt;=phaseMax,"ESCALATE",IF(OR(AX442&gt;=duoEqualN,BB442&gt;=duoMax),"K","J")),
C442="K",
IF(AY442&gt;=phaseMax,"ESCALATE",IF(AX442&gt;=binoSameN,IF(XLOOKUP($B442,Derived_Variables!$A:$A,Derived_Variables!$AJ:$AJ,FALSE)=TRUE,"P","END"),"K")),
C442="P",
IF(AY442&gt;=phaseMax,"ESCALATE",IF(OR(I442="READABLE",I442="SAME"),"Q","P")),
C442="Q",
IF(AY442&gt;=phaseMax,"ESCALATE",IF(OR(I442="READABLE",I442="SAME"),"R","Q")),
C442="R",
IF(AY442&gt;=phaseMax,"ESCALATE",IF(OR(I442=nearTarget,I442="SAME"),"END","R")),
TRUE,"END"
)))</f>
        <v/>
      </c>
      <c r="BD442" s="28" t="b">
        <f t="shared" si="19"/>
        <v>0</v>
      </c>
    </row>
    <row r="443" ht="15.75" customHeight="1">
      <c r="A443" s="28">
        <f t="shared" si="3"/>
        <v>442</v>
      </c>
      <c r="B443" s="28">
        <f t="shared" si="4"/>
        <v>6</v>
      </c>
      <c r="C443" s="28" t="str">
        <f t="shared" si="5"/>
        <v/>
      </c>
      <c r="D443" s="28" t="str">
        <f t="array" ref="D443">IF($I442="","",XLOOKUP(C443,FSM_State_Map!A:A,FSM_State_Map!B:B,""))</f>
        <v/>
      </c>
      <c r="E443" s="28" t="str">
        <f t="array" ref="E443">IF($I442="","",XLOOKUP(C443,FSM_State_Map!A:A,FSM_State_Map!C:C,""))</f>
        <v/>
      </c>
      <c r="F443" s="28" t="str">
        <f t="array" ref="F443">IF($I442="","",XLOOKUP(E443,Phase_UI_Map!A:A,Phase_UI_Map!B:B,""))</f>
        <v/>
      </c>
      <c r="G443" s="28" t="str">
        <f t="array" ref="G443">IF($I442="","",XLOOKUP(E443,Phase_UI_Map!A:A,Phase_UI_Map!C:C,""))</f>
        <v/>
      </c>
      <c r="H443" s="28" t="str">
        <f t="array" ref="H443">IF($I442="","",XLOOKUP(E443,Phase_UI_Map!A:A,Phase_UI_Map!D:D,""))</f>
        <v/>
      </c>
      <c r="I443" s="29"/>
      <c r="J443" s="28" t="str">
        <f>IFERROR(__xludf.DUMMYFUNCTION("IF($I442="""","""",IFERROR(INDEX(FILTER(Response_Lists!$B:$B,Response_Lists!$A:$A=$H443),1),""""))"),"")</f>
        <v/>
      </c>
      <c r="K443" s="28" t="str">
        <f>IFERROR(__xludf.DUMMYFUNCTION("IF($I442="""","""",IFERROR(INDEX(FILTER(Response_Lists!$B:$B,Response_Lists!$A:$A=$H443),2),""""))"),"")</f>
        <v/>
      </c>
      <c r="L443" s="28" t="str">
        <f>IFERROR(__xludf.DUMMYFUNCTION("IF($I442="""","""",IFERROR(INDEX(FILTER(Response_Lists!$B:$B,Response_Lists!$A:$A=$H443),3),""""))"),"")</f>
        <v/>
      </c>
      <c r="M443" s="28" t="str">
        <f>IFERROR(__xludf.DUMMYFUNCTION("IF($I442="""","""",IFERROR(INDEX(FILTER(Response_Lists!$B:$B,Response_Lists!$A:$A=$H443),4),""""))"),"")</f>
        <v/>
      </c>
      <c r="N443" s="28" t="str">
        <f>IFERROR(__xludf.DUMMYFUNCTION("IF($I442="""","""",IFERROR(INDEX(FILTER(Response_Lists!$B:$B,Response_Lists!$A:$A=$H443),5),""""))"),"")</f>
        <v/>
      </c>
      <c r="O443" s="28" t="str">
        <f>IFERROR(__xludf.DUMMYFUNCTION("IF($I442="""","""",IFERROR(INDEX(FILTER(Response_Lists!$B:$B,Response_Lists!$A:$A=$H443),6),""""))"),"")</f>
        <v/>
      </c>
      <c r="P443" s="28" t="str">
        <f t="shared" si="6"/>
        <v/>
      </c>
      <c r="Q443" s="28" t="str">
        <f t="array" ref="Q443">IF($I442="","",XLOOKUP(C443,FSM_State_Map!A:A,FSM_State_Map!D:D,""))</f>
        <v/>
      </c>
      <c r="R443" s="28" t="str">
        <f t="shared" si="7"/>
        <v/>
      </c>
      <c r="S443" s="28" t="str">
        <f t="array" ref="S443">IF($I442="","",
IF(
  AND(C443="B",C442&lt;&gt;"B"),
  XLOOKUP($B443,Derived_Variables!$A:$A,Derived_Variables!$K:$K,0)
  + XLOOKUP($B443,Derived_Variables!$A:$A,Derived_Variables!$AE:$AE,0),
  S442+AM442
))</f>
        <v/>
      </c>
      <c r="T443" s="28" t="str">
        <f t="shared" ref="T443:U443" si="896">IF($I442="","",T442+AN442)</f>
        <v/>
      </c>
      <c r="U443" s="28" t="str">
        <f t="shared" si="896"/>
        <v/>
      </c>
      <c r="V443" s="28" t="str">
        <f t="array" ref="V443">IF($I442="","",
IF(
  AND(C443="D",C442&lt;&gt;"D"),
  XLOOKUP($B443,Derived_Variables!$A:$A,Derived_Variables!$N:$N,0)
  + XLOOKUP($B443,Derived_Variables!$A:$A,Derived_Variables!$AE:$AE,0),
  V442+AP442
))</f>
        <v/>
      </c>
      <c r="W443" s="28" t="str">
        <f t="shared" ref="W443:X443" si="897">IF($I442="","",W442+AQ442)</f>
        <v/>
      </c>
      <c r="X443" s="28" t="str">
        <f t="shared" si="897"/>
        <v/>
      </c>
      <c r="Y443" s="28" t="str">
        <f t="array" ref="Y443">IF($I442="","",IF(AND(C443="P",C442&lt;&gt;"P"),IFERROR(XLOOKUP($B443,Lenso_Input!$A:$A,Lenso_Input!$E:$E,0),0),Y442+AS442))</f>
        <v/>
      </c>
      <c r="Z443" s="28" t="str">
        <f t="array" ref="Z443">IF($I442="","",IF(AND(C443="Q",C442&lt;&gt;"Q"),IFERROR(XLOOKUP($B443,Lenso_Input!$A:$A,Lenso_Input!$I:$I,0),0),Z442+AT442))</f>
        <v/>
      </c>
      <c r="AA443" s="28" t="str">
        <f t="array" ref="AA443">IF($I442="","",IF(XLOOKUP($B443,Derived_Variables!$A:$A,Derived_Variables!$R:$R,"6/6_target")="6/6_target","20_20_20","40_30_25"))</f>
        <v/>
      </c>
      <c r="AB443" s="28" t="str">
        <f t="array" ref="AB443">IF($I442="","",XLOOKUP(LOWER(XLOOKUP($B443,Derived_Variables!$A:$A,Derived_Variables!$T:$T,"Standard"))&amp;"_sph_step",Calibration!$B:$B,Calibration!$C:$C,0.25))</f>
        <v/>
      </c>
      <c r="AC443" s="28" t="str">
        <f t="array" ref="AC443">IF($I442="","",XLOOKUP(LOWER(XLOOKUP($B443,Derived_Variables!$A:$A,Derived_Variables!$T:$T,"Standard"))&amp;"_cyl_step",Calibration!$B:$B,Calibration!$C:$C,0.25))</f>
        <v/>
      </c>
      <c r="AD443" s="28" t="str">
        <f t="array" ref="AD443">IF($I442="","",IF(OR(C443="E",C443="H"),LET(startStep,XLOOKUP("axis_start_step",Calibration!$B:$B,Calibration!$C:$C,5),step1,XLOOKUP("axis_reversal_step_1",Calibration!$B:$B,Calibration!$C:$C,3),step2,XLOOKUP("axis_reversal_step_2",Calibration!$B:$B,Calibration!$C:$C,1),IF(OR(C442&lt;&gt;C443,AZ443="",AZ443="SAME",AZ443="CANT_TELL",I443="",I443="SAME",I443="CANT_TELL"),startStep,IF(OR(AND(AZ443="BETTER_1",I443="BETTER_2"),AND(AZ443="BETTER_2",I443="BETTER_1")),IF(AD442&gt;step1,step1,step2),AD442))),0))</f>
        <v/>
      </c>
      <c r="AE443" s="28" t="str">
        <f t="array" ref="AE443">IF($I442="","",XLOOKUP($B443,Derived_Variables!$A:$A,Derived_Variables!$AD:$AD,"No_Fog"))</f>
        <v/>
      </c>
      <c r="AF443" s="28" t="str">
        <f t="array" ref="AF443">IF($I442="","",XLOOKUP($B443,Derived_Variables!$A:$A,Derived_Variables!$AE:$AE,0))</f>
        <v/>
      </c>
      <c r="AG443" s="28" t="str">
        <f t="array" ref="AG443">IF($I442="","",XLOOKUP($B443,Derived_Variables!$A:$A,Derived_Variables!$AF:$AF,""))</f>
        <v/>
      </c>
      <c r="AH443" s="28" t="str">
        <f t="array" ref="AH443">IF($I442="","",XLOOKUP($B443,Derived_Variables!$A:$A,Derived_Variables!$AG:$AG,""))</f>
        <v/>
      </c>
      <c r="AI443" s="28" t="str">
        <f t="array" ref="AI443">IF($I442="","",XLOOKUP($B443,Derived_Variables!$A:$A,Derived_Variables!$AC:$AC,"Medium"))</f>
        <v/>
      </c>
      <c r="AJ443" s="28" t="str">
        <f t="array" ref="AJ443">IF($I442="","",XLOOKUP($B443,Derived_Variables!$A:$A,Derived_Variables!$Y:$Y,FALSE))</f>
        <v/>
      </c>
      <c r="AK443" s="28" t="str">
        <f t="array" ref="AK443">IF($I442="","",XLOOKUP($B443,Derived_Variables!$A:$A,Derived_Variables!$AA:$AA,"Normal"))</f>
        <v/>
      </c>
      <c r="AL443" s="28" t="str">
        <f t="array" ref="AL443">IF($I442="","",XLOOKUP($B443,Derived_Variables!$A:$A,Derived_Variables!$AB:$AB,"Normal"))</f>
        <v/>
      </c>
      <c r="AM443" s="28" t="str">
        <f t="array" ref="AM443">IF($I443="","",IFS(C443="B",IF(OR(I443="NOT_READABLE",I443="BLURRY"),-AB443,0),C443="G",IFS(I443="RED_CLEARER",XLOOKUP("duochrome_red_step",Calibration!$B:$B,Calibration!$C:$C,-0.25),I443="GREEN_CLEARER",XLOOKUP("duochrome_green_step",Calibration!$B:$B,Calibration!$C:$C,0.25),I443="EQUAL",IF(XLOOKUP($B443,Derived_Variables!$A:$A,Derived_Variables!$S:$S,"Neutral")="Undercorrect",XLOOKUP("undercorrect_step",Calibration!$B:$B,Calibration!$C:$C,0.25),IF(XLOOKUP($B443,Derived_Variables!$A:$A,Derived_Variables!$S:$S,"Neutral")="Overcorrect",-XLOOKUP("overcorrect_step",Calibration!$B:$B,Calibration!$C:$C,0.25),0)),TRUE,0),C443="K",IF(I443="TOP_CLEARER",XLOOKUP("bino_balance_step",Calibration!$B:$B,Calibration!$C:$C,0.25),0),TRUE,0))</f>
        <v/>
      </c>
      <c r="AN443" s="28" t="str">
        <f t="shared" si="10"/>
        <v/>
      </c>
      <c r="AO443" s="28" t="str">
        <f t="shared" si="11"/>
        <v/>
      </c>
      <c r="AP443" s="28" t="str">
        <f t="array" ref="AP443">IF($I443="","",IFS(C443="D",IF(OR(I443="NOT_READABLE",I443="BLURRY"),-AB443,0),C443="J",IFS(I443="RED_CLEARER",XLOOKUP("duochrome_red_step",Calibration!$B:$B,Calibration!$C:$C,-0.25),I443="GREEN_CLEARER",XLOOKUP("duochrome_green_step",Calibration!$B:$B,Calibration!$C:$C,0.25),I443="EQUAL",IF(XLOOKUP($B443,Derived_Variables!$A:$A,Derived_Variables!$S:$S,"Neutral")="Undercorrect",XLOOKUP("undercorrect_step",Calibration!$B:$B,Calibration!$C:$C,0.25),IF(XLOOKUP($B443,Derived_Variables!$A:$A,Derived_Variables!$S:$S,"Neutral")="Overcorrect",-XLOOKUP("overcorrect_step",Calibration!$B:$B,Calibration!$C:$C,0.25),0)),TRUE,0),C443="K",IF(I443="BOTTOM_CLEARER",XLOOKUP("bino_balance_step",Calibration!$B:$B,Calibration!$C:$C,0.25),0),TRUE,0))</f>
        <v/>
      </c>
      <c r="AQ443" s="28" t="str">
        <f t="shared" si="12"/>
        <v/>
      </c>
      <c r="AR443" s="28" t="str">
        <f t="shared" si="13"/>
        <v/>
      </c>
      <c r="AS443" s="28" t="str">
        <f t="array" ref="AS443">IF($I443="","",IF(C443="P",IF(OR(I443="NOT_READABLE",I443="BLURRY"),XLOOKUP("near_add_step",Calibration!$B:$B,Calibration!$C:$C,0.25),0),IF(C443="R",IF(I443="NOT_CLEAR",XLOOKUP("near_add_step",Calibration!$B:$B,Calibration!$C:$C,0.25),0),0)))</f>
        <v/>
      </c>
      <c r="AT443" s="28" t="str">
        <f t="array" ref="AT443">IF($I443="","",IF(C443="Q",IF(OR(I443="NOT_READABLE",I443="BLURRY"),XLOOKUP("near_add_step",Calibration!$B:$B,Calibration!$C:$C,0.25),0),IF(C443="R",IF(I443="NOT_CLEAR",XLOOKUP("near_add_step",Calibration!$B:$B,Calibration!$C:$C,0.25),0),0)))</f>
        <v/>
      </c>
      <c r="AU443" s="28" t="str">
        <f t="array" ref="AU443">IF($I443="","",IF(G443="SNELLEN_FEET",IF(I443="READABLE",IFERROR(XLOOKUP(XLOOKUP(R443,Chart_Scale_Distance!B:B,Chart_Scale_Distance!A:A)+1,Chart_Scale_Distance!A:A,Chart_Scale_Distance!B:B),R443),R443),R443))</f>
        <v/>
      </c>
      <c r="AV443" s="28" t="str">
        <f t="array" ref="AV443">IF($I442="","",IFERROR(XLOOKUP(R443,Chart_Scale_Distance!$B:$B,Chart_Scale_Distance!$A:$A,""),""))</f>
        <v/>
      </c>
      <c r="AW443" s="28" t="str">
        <f t="array" ref="AW443">IF($I442="","",IFERROR(XLOOKUP(AA443,Chart_Scale_Distance!$B:$B,Chart_Scale_Distance!$A:$A,""),""))</f>
        <v/>
      </c>
      <c r="AX443" s="28" t="str">
        <f t="shared" si="14"/>
        <v/>
      </c>
      <c r="AY443" s="28" t="str">
        <f t="shared" si="15"/>
        <v/>
      </c>
      <c r="AZ443" s="28" t="str">
        <f t="shared" si="16"/>
        <v/>
      </c>
      <c r="BA443" s="28" t="str">
        <f t="shared" si="17"/>
        <v/>
      </c>
      <c r="BB443" s="28" t="str">
        <f t="shared" si="18"/>
        <v/>
      </c>
      <c r="BC443" s="28" t="str">
        <f t="array" ref="BC443">IF($I443="","",LET(
conf,AI443,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duoMax,XLOOKUP($B443,Derived_Variables!$A:$A,Derived_Variables!$AI:$AI,4),
axisTol,XLOOKUP($B443,Derived_Variables!$A:$A,Derived_Variables!$W:$W,1),
maxStart,XLOOKUP($B443,Derived_Variables!$A:$A,Derived_Variables!$U:$U,1.25),
maxAR,XLOOKUP($B443,Derived_Variables!$A:$A,Derived_Variables!$V:$V,3),
anom,XLOOKUP($B443,Derived_Variables!$A:$A,Derived_Variables!$Z:$Z,FALSE),
reStart,XLOOKUP($B443,Derived_Variables!$A:$A,Derived_Variables!$K:$K,0),
leStart,XLOOKUP($B443,Derived_Variables!$A:$A,Derived_Variables!$N:$N,0),
reAR,XLOOKUP($B443,AR_Input!$A:$A,AR_Input!$B:$B,reStart),
leAR,XLOOKUP($B443,AR_Input!$A:$A,AR_Input!$E:$E,leStart),
reEsc,AND(anom,OR(ABS((S443+AM443)-reStart)&gt;maxStart,ABS((S443+AM443)-reAR)&gt;maxAR)),
leEsc,AND(anom,OR(ABS((V443+AP443)-leStart)&gt;maxStart,ABS((V443+AP443)-leAR)&gt;maxAR)),
phaseMax,IFS(
 AK443="Fast",
   IFS(
     OR(C443="B",C443="D"),XLOOKUP("timeout_coarse_fast",Calibration!$B:$B,Calibration!$C:$C,24),
     OR(C443="E",C443="F",C443="H",C443="I"),XLOOKUP("timeout_jcc_fast",Calibration!$B:$B,Calibration!$C:$C,10),
     OR(C443="G",C443="J"),XLOOKUP("timeout_duochrome_fast",Calibration!$B:$B,Calibration!$C:$C,8),
     C443="K",XLOOKUP("timeout_bino_fast",Calibration!$B:$B,Calibration!$C:$C,10),
     OR(C443="P",C443="Q",C443="R"),XLOOKUP("timeout_near_fast",Calibration!$B:$B,Calibration!$C:$C,16),
     TRUE,XLOOKUP("timeout_coarse_fast",Calibration!$B:$B,Calibration!$C:$C,24)
   ),
 AK443="Normal",
   IFS(
     OR(C443="B",C443="D"),XLOOKUP("timeout_coarse_normal",Calibration!$B:$B,Calibration!$C:$C,36),
     OR(C443="E",C443="F",C443="H",C443="I"),XLOOKUP("timeout_jcc_normal",Calibration!$B:$B,Calibration!$C:$C,14),
     OR(C443="G",C443="J"),XLOOKUP("timeout_duochrome_normal",Calibration!$B:$B,Calibration!$C:$C,10),
     C443="K",XLOOKUP("timeout_bino_normal",Calibration!$B:$B,Calibration!$C:$C,14),
     OR(C443="P",C443="Q",C443="R"),XLOOKUP("timeout_near_normal",Calibration!$B:$B,Calibration!$C:$C,22),
     TRUE,XLOOKUP("timeout_coarse_normal",Calibration!$B:$B,Calibration!$C:$C,36)
   ),
 TRUE,
   IFS(
     OR(C443="B",C443="D"),XLOOKUP("timeout_coarse_slow",Calibration!$B:$B,Calibration!$C:$C,48),
     OR(C443="E",C443="F",C443="H",C443="I"),XLOOKUP("timeout_jcc_slow",Calibration!$B:$B,Calibration!$C:$C,18),
     OR(C443="G",C443="J"),XLOOKUP("timeout_duochrome_slow",Calibration!$B:$B,Calibration!$C:$C,12),
     C443="K",XLOOKUP("timeout_bino_slow",Calibration!$B:$B,Calibration!$C:$C,18),
     OR(C443="P",C443="Q",C443="R"),XLOOKUP("timeout_near_slow",Calibration!$B:$B,Calibration!$C:$C,28),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AJ443=TRUE,"ESCALATE",
C443="A",
IF(OR(I443="NOT_READABLE",I443="BLURRY",AND(R443="20_20_20",I443="READABLE")),"B","A"),
C443="B",
IF(reEsc,"ESCALATE",IF(AY443&gt;=phaseMax,"ESCALATE",IF(AND(AV443&gt;=AW443,I443="READABLE"),"E","B"))),
C443="E",
IF(AY443&gt;=phaseMax,"ESCALATE",IF(OR(I443="SAME",I443="CANT_TELL",AD443&lt;axisTol),"F","E")),
C443="F",
IF(AY443&gt;=phaseMax,"ESCALATE",IF(AX443&gt;=powerSameN,"G","F")),
C443="G",
IF(AY443&gt;=phaseMax,"ESCALATE",IF(OR(AX443&gt;=duoEqualN,BB443&gt;=duoMax),"D","G")),
C443="D",
IF(leEsc,"ESCALATE",IF(AY443&gt;=phaseMax,"ESCALATE",IF(AND(AV443&gt;=AW443,I443="READABLE"),"H","D"))),
C443="H",
IF(AY443&gt;=phaseMax,"ESCALATE",IF(OR(I443="SAME",I443="CANT_TELL",AD443&lt;axisTol),"I","H")),
C443="I",
IF(AY443&gt;=phaseMax,"ESCALATE",IF(AX443&gt;=powerSameN,"J","I")),
C443="J",
IF(AY443&gt;=phaseMax,"ESCALATE",IF(OR(AX443&gt;=duoEqualN,BB443&gt;=duoMax),"K","J")),
C443="K",
IF(AY443&gt;=phaseMax,"ESCALATE",IF(AX443&gt;=binoSameN,IF(XLOOKUP($B443,Derived_Variables!$A:$A,Derived_Variables!$AJ:$AJ,FALSE)=TRUE,"P","END"),"K")),
C443="P",
IF(AY443&gt;=phaseMax,"ESCALATE",IF(OR(I443="READABLE",I443="SAME"),"Q","P")),
C443="Q",
IF(AY443&gt;=phaseMax,"ESCALATE",IF(OR(I443="READABLE",I443="SAME"),"R","Q")),
C443="R",
IF(AY443&gt;=phaseMax,"ESCALATE",IF(OR(I443=nearTarget,I443="SAME"),"END","R")),
TRUE,"END"
)))</f>
        <v/>
      </c>
      <c r="BD443" s="28" t="b">
        <f t="shared" si="19"/>
        <v>0</v>
      </c>
    </row>
    <row r="444" ht="15.75" customHeight="1">
      <c r="A444" s="28">
        <f t="shared" si="3"/>
        <v>443</v>
      </c>
      <c r="B444" s="28">
        <f t="shared" si="4"/>
        <v>6</v>
      </c>
      <c r="C444" s="28" t="str">
        <f t="shared" si="5"/>
        <v/>
      </c>
      <c r="D444" s="28" t="str">
        <f t="array" ref="D444">IF($I443="","",XLOOKUP(C444,FSM_State_Map!A:A,FSM_State_Map!B:B,""))</f>
        <v/>
      </c>
      <c r="E444" s="28" t="str">
        <f t="array" ref="E444">IF($I443="","",XLOOKUP(C444,FSM_State_Map!A:A,FSM_State_Map!C:C,""))</f>
        <v/>
      </c>
      <c r="F444" s="28" t="str">
        <f t="array" ref="F444">IF($I443="","",XLOOKUP(E444,Phase_UI_Map!A:A,Phase_UI_Map!B:B,""))</f>
        <v/>
      </c>
      <c r="G444" s="28" t="str">
        <f t="array" ref="G444">IF($I443="","",XLOOKUP(E444,Phase_UI_Map!A:A,Phase_UI_Map!C:C,""))</f>
        <v/>
      </c>
      <c r="H444" s="28" t="str">
        <f t="array" ref="H444">IF($I443="","",XLOOKUP(E444,Phase_UI_Map!A:A,Phase_UI_Map!D:D,""))</f>
        <v/>
      </c>
      <c r="I444" s="29"/>
      <c r="J444" s="28" t="str">
        <f>IFERROR(__xludf.DUMMYFUNCTION("IF($I443="""","""",IFERROR(INDEX(FILTER(Response_Lists!$B:$B,Response_Lists!$A:$A=$H444),1),""""))"),"")</f>
        <v/>
      </c>
      <c r="K444" s="28" t="str">
        <f>IFERROR(__xludf.DUMMYFUNCTION("IF($I443="""","""",IFERROR(INDEX(FILTER(Response_Lists!$B:$B,Response_Lists!$A:$A=$H444),2),""""))"),"")</f>
        <v/>
      </c>
      <c r="L444" s="28" t="str">
        <f>IFERROR(__xludf.DUMMYFUNCTION("IF($I443="""","""",IFERROR(INDEX(FILTER(Response_Lists!$B:$B,Response_Lists!$A:$A=$H444),3),""""))"),"")</f>
        <v/>
      </c>
      <c r="M444" s="28" t="str">
        <f>IFERROR(__xludf.DUMMYFUNCTION("IF($I443="""","""",IFERROR(INDEX(FILTER(Response_Lists!$B:$B,Response_Lists!$A:$A=$H444),4),""""))"),"")</f>
        <v/>
      </c>
      <c r="N444" s="28" t="str">
        <f>IFERROR(__xludf.DUMMYFUNCTION("IF($I443="""","""",IFERROR(INDEX(FILTER(Response_Lists!$B:$B,Response_Lists!$A:$A=$H444),5),""""))"),"")</f>
        <v/>
      </c>
      <c r="O444" s="28" t="str">
        <f>IFERROR(__xludf.DUMMYFUNCTION("IF($I443="""","""",IFERROR(INDEX(FILTER(Response_Lists!$B:$B,Response_Lists!$A:$A=$H444),6),""""))"),"")</f>
        <v/>
      </c>
      <c r="P444" s="28" t="str">
        <f t="shared" si="6"/>
        <v/>
      </c>
      <c r="Q444" s="28" t="str">
        <f t="array" ref="Q444">IF($I443="","",XLOOKUP(C444,FSM_State_Map!A:A,FSM_State_Map!D:D,""))</f>
        <v/>
      </c>
      <c r="R444" s="28" t="str">
        <f t="shared" si="7"/>
        <v/>
      </c>
      <c r="S444" s="28" t="str">
        <f t="array" ref="S444">IF($I443="","",
IF(
  AND(C444="B",C443&lt;&gt;"B"),
  XLOOKUP($B444,Derived_Variables!$A:$A,Derived_Variables!$K:$K,0)
  + XLOOKUP($B444,Derived_Variables!$A:$A,Derived_Variables!$AE:$AE,0),
  S443+AM443
))</f>
        <v/>
      </c>
      <c r="T444" s="28" t="str">
        <f t="shared" ref="T444:U444" si="898">IF($I443="","",T443+AN443)</f>
        <v/>
      </c>
      <c r="U444" s="28" t="str">
        <f t="shared" si="898"/>
        <v/>
      </c>
      <c r="V444" s="28" t="str">
        <f t="array" ref="V444">IF($I443="","",
IF(
  AND(C444="D",C443&lt;&gt;"D"),
  XLOOKUP($B444,Derived_Variables!$A:$A,Derived_Variables!$N:$N,0)
  + XLOOKUP($B444,Derived_Variables!$A:$A,Derived_Variables!$AE:$AE,0),
  V443+AP443
))</f>
        <v/>
      </c>
      <c r="W444" s="28" t="str">
        <f t="shared" ref="W444:X444" si="899">IF($I443="","",W443+AQ443)</f>
        <v/>
      </c>
      <c r="X444" s="28" t="str">
        <f t="shared" si="899"/>
        <v/>
      </c>
      <c r="Y444" s="28" t="str">
        <f t="array" ref="Y444">IF($I443="","",IF(AND(C444="P",C443&lt;&gt;"P"),IFERROR(XLOOKUP($B444,Lenso_Input!$A:$A,Lenso_Input!$E:$E,0),0),Y443+AS443))</f>
        <v/>
      </c>
      <c r="Z444" s="28" t="str">
        <f t="array" ref="Z444">IF($I443="","",IF(AND(C444="Q",C443&lt;&gt;"Q"),IFERROR(XLOOKUP($B444,Lenso_Input!$A:$A,Lenso_Input!$I:$I,0),0),Z443+AT443))</f>
        <v/>
      </c>
      <c r="AA444" s="28" t="str">
        <f t="array" ref="AA444">IF($I443="","",IF(XLOOKUP($B444,Derived_Variables!$A:$A,Derived_Variables!$R:$R,"6/6_target")="6/6_target","20_20_20","40_30_25"))</f>
        <v/>
      </c>
      <c r="AB444" s="28" t="str">
        <f t="array" ref="AB444">IF($I443="","",XLOOKUP(LOWER(XLOOKUP($B444,Derived_Variables!$A:$A,Derived_Variables!$T:$T,"Standard"))&amp;"_sph_step",Calibration!$B:$B,Calibration!$C:$C,0.25))</f>
        <v/>
      </c>
      <c r="AC444" s="28" t="str">
        <f t="array" ref="AC444">IF($I443="","",XLOOKUP(LOWER(XLOOKUP($B444,Derived_Variables!$A:$A,Derived_Variables!$T:$T,"Standard"))&amp;"_cyl_step",Calibration!$B:$B,Calibration!$C:$C,0.25))</f>
        <v/>
      </c>
      <c r="AD444" s="28" t="str">
        <f t="array" ref="AD444">IF($I443="","",IF(OR(C444="E",C444="H"),LET(startStep,XLOOKUP("axis_start_step",Calibration!$B:$B,Calibration!$C:$C,5),step1,XLOOKUP("axis_reversal_step_1",Calibration!$B:$B,Calibration!$C:$C,3),step2,XLOOKUP("axis_reversal_step_2",Calibration!$B:$B,Calibration!$C:$C,1),IF(OR(C443&lt;&gt;C444,AZ444="",AZ444="SAME",AZ444="CANT_TELL",I444="",I444="SAME",I444="CANT_TELL"),startStep,IF(OR(AND(AZ444="BETTER_1",I444="BETTER_2"),AND(AZ444="BETTER_2",I444="BETTER_1")),IF(AD443&gt;step1,step1,step2),AD443))),0))</f>
        <v/>
      </c>
      <c r="AE444" s="28" t="str">
        <f t="array" ref="AE444">IF($I443="","",XLOOKUP($B444,Derived_Variables!$A:$A,Derived_Variables!$AD:$AD,"No_Fog"))</f>
        <v/>
      </c>
      <c r="AF444" s="28" t="str">
        <f t="array" ref="AF444">IF($I443="","",XLOOKUP($B444,Derived_Variables!$A:$A,Derived_Variables!$AE:$AE,0))</f>
        <v/>
      </c>
      <c r="AG444" s="28" t="str">
        <f t="array" ref="AG444">IF($I443="","",XLOOKUP($B444,Derived_Variables!$A:$A,Derived_Variables!$AF:$AF,""))</f>
        <v/>
      </c>
      <c r="AH444" s="28" t="str">
        <f t="array" ref="AH444">IF($I443="","",XLOOKUP($B444,Derived_Variables!$A:$A,Derived_Variables!$AG:$AG,""))</f>
        <v/>
      </c>
      <c r="AI444" s="28" t="str">
        <f t="array" ref="AI444">IF($I443="","",XLOOKUP($B444,Derived_Variables!$A:$A,Derived_Variables!$AC:$AC,"Medium"))</f>
        <v/>
      </c>
      <c r="AJ444" s="28" t="str">
        <f t="array" ref="AJ444">IF($I443="","",XLOOKUP($B444,Derived_Variables!$A:$A,Derived_Variables!$Y:$Y,FALSE))</f>
        <v/>
      </c>
      <c r="AK444" s="28" t="str">
        <f t="array" ref="AK444">IF($I443="","",XLOOKUP($B444,Derived_Variables!$A:$A,Derived_Variables!$AA:$AA,"Normal"))</f>
        <v/>
      </c>
      <c r="AL444" s="28" t="str">
        <f t="array" ref="AL444">IF($I443="","",XLOOKUP($B444,Derived_Variables!$A:$A,Derived_Variables!$AB:$AB,"Normal"))</f>
        <v/>
      </c>
      <c r="AM444" s="28" t="str">
        <f t="array" ref="AM444">IF($I444="","",IFS(C444="B",IF(OR(I444="NOT_READABLE",I444="BLURRY"),-AB444,0),C444="G",IFS(I444="RED_CLEARER",XLOOKUP("duochrome_red_step",Calibration!$B:$B,Calibration!$C:$C,-0.25),I444="GREEN_CLEARER",XLOOKUP("duochrome_green_step",Calibration!$B:$B,Calibration!$C:$C,0.25),I444="EQUAL",IF(XLOOKUP($B444,Derived_Variables!$A:$A,Derived_Variables!$S:$S,"Neutral")="Undercorrect",XLOOKUP("undercorrect_step",Calibration!$B:$B,Calibration!$C:$C,0.25),IF(XLOOKUP($B444,Derived_Variables!$A:$A,Derived_Variables!$S:$S,"Neutral")="Overcorrect",-XLOOKUP("overcorrect_step",Calibration!$B:$B,Calibration!$C:$C,0.25),0)),TRUE,0),C444="K",IF(I444="TOP_CLEARER",XLOOKUP("bino_balance_step",Calibration!$B:$B,Calibration!$C:$C,0.25),0),TRUE,0))</f>
        <v/>
      </c>
      <c r="AN444" s="28" t="str">
        <f t="shared" si="10"/>
        <v/>
      </c>
      <c r="AO444" s="28" t="str">
        <f t="shared" si="11"/>
        <v/>
      </c>
      <c r="AP444" s="28" t="str">
        <f t="array" ref="AP444">IF($I444="","",IFS(C444="D",IF(OR(I444="NOT_READABLE",I444="BLURRY"),-AB444,0),C444="J",IFS(I444="RED_CLEARER",XLOOKUP("duochrome_red_step",Calibration!$B:$B,Calibration!$C:$C,-0.25),I444="GREEN_CLEARER",XLOOKUP("duochrome_green_step",Calibration!$B:$B,Calibration!$C:$C,0.25),I444="EQUAL",IF(XLOOKUP($B444,Derived_Variables!$A:$A,Derived_Variables!$S:$S,"Neutral")="Undercorrect",XLOOKUP("undercorrect_step",Calibration!$B:$B,Calibration!$C:$C,0.25),IF(XLOOKUP($B444,Derived_Variables!$A:$A,Derived_Variables!$S:$S,"Neutral")="Overcorrect",-XLOOKUP("overcorrect_step",Calibration!$B:$B,Calibration!$C:$C,0.25),0)),TRUE,0),C444="K",IF(I444="BOTTOM_CLEARER",XLOOKUP("bino_balance_step",Calibration!$B:$B,Calibration!$C:$C,0.25),0),TRUE,0))</f>
        <v/>
      </c>
      <c r="AQ444" s="28" t="str">
        <f t="shared" si="12"/>
        <v/>
      </c>
      <c r="AR444" s="28" t="str">
        <f t="shared" si="13"/>
        <v/>
      </c>
      <c r="AS444" s="28" t="str">
        <f t="array" ref="AS444">IF($I444="","",IF(C444="P",IF(OR(I444="NOT_READABLE",I444="BLURRY"),XLOOKUP("near_add_step",Calibration!$B:$B,Calibration!$C:$C,0.25),0),IF(C444="R",IF(I444="NOT_CLEAR",XLOOKUP("near_add_step",Calibration!$B:$B,Calibration!$C:$C,0.25),0),0)))</f>
        <v/>
      </c>
      <c r="AT444" s="28" t="str">
        <f t="array" ref="AT444">IF($I444="","",IF(C444="Q",IF(OR(I444="NOT_READABLE",I444="BLURRY"),XLOOKUP("near_add_step",Calibration!$B:$B,Calibration!$C:$C,0.25),0),IF(C444="R",IF(I444="NOT_CLEAR",XLOOKUP("near_add_step",Calibration!$B:$B,Calibration!$C:$C,0.25),0),0)))</f>
        <v/>
      </c>
      <c r="AU444" s="28" t="str">
        <f t="array" ref="AU444">IF($I444="","",IF(G444="SNELLEN_FEET",IF(I444="READABLE",IFERROR(XLOOKUP(XLOOKUP(R444,Chart_Scale_Distance!B:B,Chart_Scale_Distance!A:A)+1,Chart_Scale_Distance!A:A,Chart_Scale_Distance!B:B),R444),R444),R444))</f>
        <v/>
      </c>
      <c r="AV444" s="28" t="str">
        <f t="array" ref="AV444">IF($I443="","",IFERROR(XLOOKUP(R444,Chart_Scale_Distance!$B:$B,Chart_Scale_Distance!$A:$A,""),""))</f>
        <v/>
      </c>
      <c r="AW444" s="28" t="str">
        <f t="array" ref="AW444">IF($I443="","",IFERROR(XLOOKUP(AA444,Chart_Scale_Distance!$B:$B,Chart_Scale_Distance!$A:$A,""),""))</f>
        <v/>
      </c>
      <c r="AX444" s="28" t="str">
        <f t="shared" si="14"/>
        <v/>
      </c>
      <c r="AY444" s="28" t="str">
        <f t="shared" si="15"/>
        <v/>
      </c>
      <c r="AZ444" s="28" t="str">
        <f t="shared" si="16"/>
        <v/>
      </c>
      <c r="BA444" s="28" t="str">
        <f t="shared" si="17"/>
        <v/>
      </c>
      <c r="BB444" s="28" t="str">
        <f t="shared" si="18"/>
        <v/>
      </c>
      <c r="BC444" s="28" t="str">
        <f t="array" ref="BC444">IF($I444="","",LET(
conf,AI444,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duoMax,XLOOKUP($B444,Derived_Variables!$A:$A,Derived_Variables!$AI:$AI,4),
axisTol,XLOOKUP($B444,Derived_Variables!$A:$A,Derived_Variables!$W:$W,1),
maxStart,XLOOKUP($B444,Derived_Variables!$A:$A,Derived_Variables!$U:$U,1.25),
maxAR,XLOOKUP($B444,Derived_Variables!$A:$A,Derived_Variables!$V:$V,3),
anom,XLOOKUP($B444,Derived_Variables!$A:$A,Derived_Variables!$Z:$Z,FALSE),
reStart,XLOOKUP($B444,Derived_Variables!$A:$A,Derived_Variables!$K:$K,0),
leStart,XLOOKUP($B444,Derived_Variables!$A:$A,Derived_Variables!$N:$N,0),
reAR,XLOOKUP($B444,AR_Input!$A:$A,AR_Input!$B:$B,reStart),
leAR,XLOOKUP($B444,AR_Input!$A:$A,AR_Input!$E:$E,leStart),
reEsc,AND(anom,OR(ABS((S444+AM444)-reStart)&gt;maxStart,ABS((S444+AM444)-reAR)&gt;maxAR)),
leEsc,AND(anom,OR(ABS((V444+AP444)-leStart)&gt;maxStart,ABS((V444+AP444)-leAR)&gt;maxAR)),
phaseMax,IFS(
 AK444="Fast",
   IFS(
     OR(C444="B",C444="D"),XLOOKUP("timeout_coarse_fast",Calibration!$B:$B,Calibration!$C:$C,24),
     OR(C444="E",C444="F",C444="H",C444="I"),XLOOKUP("timeout_jcc_fast",Calibration!$B:$B,Calibration!$C:$C,10),
     OR(C444="G",C444="J"),XLOOKUP("timeout_duochrome_fast",Calibration!$B:$B,Calibration!$C:$C,8),
     C444="K",XLOOKUP("timeout_bino_fast",Calibration!$B:$B,Calibration!$C:$C,10),
     OR(C444="P",C444="Q",C444="R"),XLOOKUP("timeout_near_fast",Calibration!$B:$B,Calibration!$C:$C,16),
     TRUE,XLOOKUP("timeout_coarse_fast",Calibration!$B:$B,Calibration!$C:$C,24)
   ),
 AK444="Normal",
   IFS(
     OR(C444="B",C444="D"),XLOOKUP("timeout_coarse_normal",Calibration!$B:$B,Calibration!$C:$C,36),
     OR(C444="E",C444="F",C444="H",C444="I"),XLOOKUP("timeout_jcc_normal",Calibration!$B:$B,Calibration!$C:$C,14),
     OR(C444="G",C444="J"),XLOOKUP("timeout_duochrome_normal",Calibration!$B:$B,Calibration!$C:$C,10),
     C444="K",XLOOKUP("timeout_bino_normal",Calibration!$B:$B,Calibration!$C:$C,14),
     OR(C444="P",C444="Q",C444="R"),XLOOKUP("timeout_near_normal",Calibration!$B:$B,Calibration!$C:$C,22),
     TRUE,XLOOKUP("timeout_coarse_normal",Calibration!$B:$B,Calibration!$C:$C,36)
   ),
 TRUE,
   IFS(
     OR(C444="B",C444="D"),XLOOKUP("timeout_coarse_slow",Calibration!$B:$B,Calibration!$C:$C,48),
     OR(C444="E",C444="F",C444="H",C444="I"),XLOOKUP("timeout_jcc_slow",Calibration!$B:$B,Calibration!$C:$C,18),
     OR(C444="G",C444="J"),XLOOKUP("timeout_duochrome_slow",Calibration!$B:$B,Calibration!$C:$C,12),
     C444="K",XLOOKUP("timeout_bino_slow",Calibration!$B:$B,Calibration!$C:$C,18),
     OR(C444="P",C444="Q",C444="R"),XLOOKUP("timeout_near_slow",Calibration!$B:$B,Calibration!$C:$C,28),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AJ444=TRUE,"ESCALATE",
C444="A",
IF(OR(I444="NOT_READABLE",I444="BLURRY",AND(R444="20_20_20",I444="READABLE")),"B","A"),
C444="B",
IF(reEsc,"ESCALATE",IF(AY444&gt;=phaseMax,"ESCALATE",IF(AND(AV444&gt;=AW444,I444="READABLE"),"E","B"))),
C444="E",
IF(AY444&gt;=phaseMax,"ESCALATE",IF(OR(I444="SAME",I444="CANT_TELL",AD444&lt;axisTol),"F","E")),
C444="F",
IF(AY444&gt;=phaseMax,"ESCALATE",IF(AX444&gt;=powerSameN,"G","F")),
C444="G",
IF(AY444&gt;=phaseMax,"ESCALATE",IF(OR(AX444&gt;=duoEqualN,BB444&gt;=duoMax),"D","G")),
C444="D",
IF(leEsc,"ESCALATE",IF(AY444&gt;=phaseMax,"ESCALATE",IF(AND(AV444&gt;=AW444,I444="READABLE"),"H","D"))),
C444="H",
IF(AY444&gt;=phaseMax,"ESCALATE",IF(OR(I444="SAME",I444="CANT_TELL",AD444&lt;axisTol),"I","H")),
C444="I",
IF(AY444&gt;=phaseMax,"ESCALATE",IF(AX444&gt;=powerSameN,"J","I")),
C444="J",
IF(AY444&gt;=phaseMax,"ESCALATE",IF(OR(AX444&gt;=duoEqualN,BB444&gt;=duoMax),"K","J")),
C444="K",
IF(AY444&gt;=phaseMax,"ESCALATE",IF(AX444&gt;=binoSameN,IF(XLOOKUP($B444,Derived_Variables!$A:$A,Derived_Variables!$AJ:$AJ,FALSE)=TRUE,"P","END"),"K")),
C444="P",
IF(AY444&gt;=phaseMax,"ESCALATE",IF(OR(I444="READABLE",I444="SAME"),"Q","P")),
C444="Q",
IF(AY444&gt;=phaseMax,"ESCALATE",IF(OR(I444="READABLE",I444="SAME"),"R","Q")),
C444="R",
IF(AY444&gt;=phaseMax,"ESCALATE",IF(OR(I444=nearTarget,I444="SAME"),"END","R")),
TRUE,"END"
)))</f>
        <v/>
      </c>
      <c r="BD444" s="28" t="b">
        <f t="shared" si="19"/>
        <v>0</v>
      </c>
    </row>
    <row r="445" ht="15.75" customHeight="1">
      <c r="A445" s="28">
        <f t="shared" si="3"/>
        <v>444</v>
      </c>
      <c r="B445" s="28">
        <f t="shared" si="4"/>
        <v>6</v>
      </c>
      <c r="C445" s="28" t="str">
        <f t="shared" si="5"/>
        <v/>
      </c>
      <c r="D445" s="28" t="str">
        <f t="array" ref="D445">IF($I444="","",XLOOKUP(C445,FSM_State_Map!A:A,FSM_State_Map!B:B,""))</f>
        <v/>
      </c>
      <c r="E445" s="28" t="str">
        <f t="array" ref="E445">IF($I444="","",XLOOKUP(C445,FSM_State_Map!A:A,FSM_State_Map!C:C,""))</f>
        <v/>
      </c>
      <c r="F445" s="28" t="str">
        <f t="array" ref="F445">IF($I444="","",XLOOKUP(E445,Phase_UI_Map!A:A,Phase_UI_Map!B:B,""))</f>
        <v/>
      </c>
      <c r="G445" s="28" t="str">
        <f t="array" ref="G445">IF($I444="","",XLOOKUP(E445,Phase_UI_Map!A:A,Phase_UI_Map!C:C,""))</f>
        <v/>
      </c>
      <c r="H445" s="28" t="str">
        <f t="array" ref="H445">IF($I444="","",XLOOKUP(E445,Phase_UI_Map!A:A,Phase_UI_Map!D:D,""))</f>
        <v/>
      </c>
      <c r="I445" s="29"/>
      <c r="J445" s="28" t="str">
        <f>IFERROR(__xludf.DUMMYFUNCTION("IF($I444="""","""",IFERROR(INDEX(FILTER(Response_Lists!$B:$B,Response_Lists!$A:$A=$H445),1),""""))"),"")</f>
        <v/>
      </c>
      <c r="K445" s="28" t="str">
        <f>IFERROR(__xludf.DUMMYFUNCTION("IF($I444="""","""",IFERROR(INDEX(FILTER(Response_Lists!$B:$B,Response_Lists!$A:$A=$H445),2),""""))"),"")</f>
        <v/>
      </c>
      <c r="L445" s="28" t="str">
        <f>IFERROR(__xludf.DUMMYFUNCTION("IF($I444="""","""",IFERROR(INDEX(FILTER(Response_Lists!$B:$B,Response_Lists!$A:$A=$H445),3),""""))"),"")</f>
        <v/>
      </c>
      <c r="M445" s="28" t="str">
        <f>IFERROR(__xludf.DUMMYFUNCTION("IF($I444="""","""",IFERROR(INDEX(FILTER(Response_Lists!$B:$B,Response_Lists!$A:$A=$H445),4),""""))"),"")</f>
        <v/>
      </c>
      <c r="N445" s="28" t="str">
        <f>IFERROR(__xludf.DUMMYFUNCTION("IF($I444="""","""",IFERROR(INDEX(FILTER(Response_Lists!$B:$B,Response_Lists!$A:$A=$H445),5),""""))"),"")</f>
        <v/>
      </c>
      <c r="O445" s="28" t="str">
        <f>IFERROR(__xludf.DUMMYFUNCTION("IF($I444="""","""",IFERROR(INDEX(FILTER(Response_Lists!$B:$B,Response_Lists!$A:$A=$H445),6),""""))"),"")</f>
        <v/>
      </c>
      <c r="P445" s="28" t="str">
        <f t="shared" si="6"/>
        <v/>
      </c>
      <c r="Q445" s="28" t="str">
        <f t="array" ref="Q445">IF($I444="","",XLOOKUP(C445,FSM_State_Map!A:A,FSM_State_Map!D:D,""))</f>
        <v/>
      </c>
      <c r="R445" s="28" t="str">
        <f t="shared" si="7"/>
        <v/>
      </c>
      <c r="S445" s="28" t="str">
        <f t="array" ref="S445">IF($I444="","",
IF(
  AND(C445="B",C444&lt;&gt;"B"),
  XLOOKUP($B445,Derived_Variables!$A:$A,Derived_Variables!$K:$K,0)
  + XLOOKUP($B445,Derived_Variables!$A:$A,Derived_Variables!$AE:$AE,0),
  S444+AM444
))</f>
        <v/>
      </c>
      <c r="T445" s="28" t="str">
        <f t="shared" ref="T445:U445" si="900">IF($I444="","",T444+AN444)</f>
        <v/>
      </c>
      <c r="U445" s="28" t="str">
        <f t="shared" si="900"/>
        <v/>
      </c>
      <c r="V445" s="28" t="str">
        <f t="array" ref="V445">IF($I444="","",
IF(
  AND(C445="D",C444&lt;&gt;"D"),
  XLOOKUP($B445,Derived_Variables!$A:$A,Derived_Variables!$N:$N,0)
  + XLOOKUP($B445,Derived_Variables!$A:$A,Derived_Variables!$AE:$AE,0),
  V444+AP444
))</f>
        <v/>
      </c>
      <c r="W445" s="28" t="str">
        <f t="shared" ref="W445:X445" si="901">IF($I444="","",W444+AQ444)</f>
        <v/>
      </c>
      <c r="X445" s="28" t="str">
        <f t="shared" si="901"/>
        <v/>
      </c>
      <c r="Y445" s="28" t="str">
        <f t="array" ref="Y445">IF($I444="","",IF(AND(C445="P",C444&lt;&gt;"P"),IFERROR(XLOOKUP($B445,Lenso_Input!$A:$A,Lenso_Input!$E:$E,0),0),Y444+AS444))</f>
        <v/>
      </c>
      <c r="Z445" s="28" t="str">
        <f t="array" ref="Z445">IF($I444="","",IF(AND(C445="Q",C444&lt;&gt;"Q"),IFERROR(XLOOKUP($B445,Lenso_Input!$A:$A,Lenso_Input!$I:$I,0),0),Z444+AT444))</f>
        <v/>
      </c>
      <c r="AA445" s="28" t="str">
        <f t="array" ref="AA445">IF($I444="","",IF(XLOOKUP($B445,Derived_Variables!$A:$A,Derived_Variables!$R:$R,"6/6_target")="6/6_target","20_20_20","40_30_25"))</f>
        <v/>
      </c>
      <c r="AB445" s="28" t="str">
        <f t="array" ref="AB445">IF($I444="","",XLOOKUP(LOWER(XLOOKUP($B445,Derived_Variables!$A:$A,Derived_Variables!$T:$T,"Standard"))&amp;"_sph_step",Calibration!$B:$B,Calibration!$C:$C,0.25))</f>
        <v/>
      </c>
      <c r="AC445" s="28" t="str">
        <f t="array" ref="AC445">IF($I444="","",XLOOKUP(LOWER(XLOOKUP($B445,Derived_Variables!$A:$A,Derived_Variables!$T:$T,"Standard"))&amp;"_cyl_step",Calibration!$B:$B,Calibration!$C:$C,0.25))</f>
        <v/>
      </c>
      <c r="AD445" s="28" t="str">
        <f t="array" ref="AD445">IF($I444="","",IF(OR(C445="E",C445="H"),LET(startStep,XLOOKUP("axis_start_step",Calibration!$B:$B,Calibration!$C:$C,5),step1,XLOOKUP("axis_reversal_step_1",Calibration!$B:$B,Calibration!$C:$C,3),step2,XLOOKUP("axis_reversal_step_2",Calibration!$B:$B,Calibration!$C:$C,1),IF(OR(C444&lt;&gt;C445,AZ445="",AZ445="SAME",AZ445="CANT_TELL",I445="",I445="SAME",I445="CANT_TELL"),startStep,IF(OR(AND(AZ445="BETTER_1",I445="BETTER_2"),AND(AZ445="BETTER_2",I445="BETTER_1")),IF(AD444&gt;step1,step1,step2),AD444))),0))</f>
        <v/>
      </c>
      <c r="AE445" s="28" t="str">
        <f t="array" ref="AE445">IF($I444="","",XLOOKUP($B445,Derived_Variables!$A:$A,Derived_Variables!$AD:$AD,"No_Fog"))</f>
        <v/>
      </c>
      <c r="AF445" s="28" t="str">
        <f t="array" ref="AF445">IF($I444="","",XLOOKUP($B445,Derived_Variables!$A:$A,Derived_Variables!$AE:$AE,0))</f>
        <v/>
      </c>
      <c r="AG445" s="28" t="str">
        <f t="array" ref="AG445">IF($I444="","",XLOOKUP($B445,Derived_Variables!$A:$A,Derived_Variables!$AF:$AF,""))</f>
        <v/>
      </c>
      <c r="AH445" s="28" t="str">
        <f t="array" ref="AH445">IF($I444="","",XLOOKUP($B445,Derived_Variables!$A:$A,Derived_Variables!$AG:$AG,""))</f>
        <v/>
      </c>
      <c r="AI445" s="28" t="str">
        <f t="array" ref="AI445">IF($I444="","",XLOOKUP($B445,Derived_Variables!$A:$A,Derived_Variables!$AC:$AC,"Medium"))</f>
        <v/>
      </c>
      <c r="AJ445" s="28" t="str">
        <f t="array" ref="AJ445">IF($I444="","",XLOOKUP($B445,Derived_Variables!$A:$A,Derived_Variables!$Y:$Y,FALSE))</f>
        <v/>
      </c>
      <c r="AK445" s="28" t="str">
        <f t="array" ref="AK445">IF($I444="","",XLOOKUP($B445,Derived_Variables!$A:$A,Derived_Variables!$AA:$AA,"Normal"))</f>
        <v/>
      </c>
      <c r="AL445" s="28" t="str">
        <f t="array" ref="AL445">IF($I444="","",XLOOKUP($B445,Derived_Variables!$A:$A,Derived_Variables!$AB:$AB,"Normal"))</f>
        <v/>
      </c>
      <c r="AM445" s="28" t="str">
        <f t="array" ref="AM445">IF($I445="","",IFS(C445="B",IF(OR(I445="NOT_READABLE",I445="BLURRY"),-AB445,0),C445="G",IFS(I445="RED_CLEARER",XLOOKUP("duochrome_red_step",Calibration!$B:$B,Calibration!$C:$C,-0.25),I445="GREEN_CLEARER",XLOOKUP("duochrome_green_step",Calibration!$B:$B,Calibration!$C:$C,0.25),I445="EQUAL",IF(XLOOKUP($B445,Derived_Variables!$A:$A,Derived_Variables!$S:$S,"Neutral")="Undercorrect",XLOOKUP("undercorrect_step",Calibration!$B:$B,Calibration!$C:$C,0.25),IF(XLOOKUP($B445,Derived_Variables!$A:$A,Derived_Variables!$S:$S,"Neutral")="Overcorrect",-XLOOKUP("overcorrect_step",Calibration!$B:$B,Calibration!$C:$C,0.25),0)),TRUE,0),C445="K",IF(I445="TOP_CLEARER",XLOOKUP("bino_balance_step",Calibration!$B:$B,Calibration!$C:$C,0.25),0),TRUE,0))</f>
        <v/>
      </c>
      <c r="AN445" s="28" t="str">
        <f t="shared" si="10"/>
        <v/>
      </c>
      <c r="AO445" s="28" t="str">
        <f t="shared" si="11"/>
        <v/>
      </c>
      <c r="AP445" s="28" t="str">
        <f t="array" ref="AP445">IF($I445="","",IFS(C445="D",IF(OR(I445="NOT_READABLE",I445="BLURRY"),-AB445,0),C445="J",IFS(I445="RED_CLEARER",XLOOKUP("duochrome_red_step",Calibration!$B:$B,Calibration!$C:$C,-0.25),I445="GREEN_CLEARER",XLOOKUP("duochrome_green_step",Calibration!$B:$B,Calibration!$C:$C,0.25),I445="EQUAL",IF(XLOOKUP($B445,Derived_Variables!$A:$A,Derived_Variables!$S:$S,"Neutral")="Undercorrect",XLOOKUP("undercorrect_step",Calibration!$B:$B,Calibration!$C:$C,0.25),IF(XLOOKUP($B445,Derived_Variables!$A:$A,Derived_Variables!$S:$S,"Neutral")="Overcorrect",-XLOOKUP("overcorrect_step",Calibration!$B:$B,Calibration!$C:$C,0.25),0)),TRUE,0),C445="K",IF(I445="BOTTOM_CLEARER",XLOOKUP("bino_balance_step",Calibration!$B:$B,Calibration!$C:$C,0.25),0),TRUE,0))</f>
        <v/>
      </c>
      <c r="AQ445" s="28" t="str">
        <f t="shared" si="12"/>
        <v/>
      </c>
      <c r="AR445" s="28" t="str">
        <f t="shared" si="13"/>
        <v/>
      </c>
      <c r="AS445" s="28" t="str">
        <f t="array" ref="AS445">IF($I445="","",IF(C445="P",IF(OR(I445="NOT_READABLE",I445="BLURRY"),XLOOKUP("near_add_step",Calibration!$B:$B,Calibration!$C:$C,0.25),0),IF(C445="R",IF(I445="NOT_CLEAR",XLOOKUP("near_add_step",Calibration!$B:$B,Calibration!$C:$C,0.25),0),0)))</f>
        <v/>
      </c>
      <c r="AT445" s="28" t="str">
        <f t="array" ref="AT445">IF($I445="","",IF(C445="Q",IF(OR(I445="NOT_READABLE",I445="BLURRY"),XLOOKUP("near_add_step",Calibration!$B:$B,Calibration!$C:$C,0.25),0),IF(C445="R",IF(I445="NOT_CLEAR",XLOOKUP("near_add_step",Calibration!$B:$B,Calibration!$C:$C,0.25),0),0)))</f>
        <v/>
      </c>
      <c r="AU445" s="28" t="str">
        <f t="array" ref="AU445">IF($I445="","",IF(G445="SNELLEN_FEET",IF(I445="READABLE",IFERROR(XLOOKUP(XLOOKUP(R445,Chart_Scale_Distance!B:B,Chart_Scale_Distance!A:A)+1,Chart_Scale_Distance!A:A,Chart_Scale_Distance!B:B),R445),R445),R445))</f>
        <v/>
      </c>
      <c r="AV445" s="28" t="str">
        <f t="array" ref="AV445">IF($I444="","",IFERROR(XLOOKUP(R445,Chart_Scale_Distance!$B:$B,Chart_Scale_Distance!$A:$A,""),""))</f>
        <v/>
      </c>
      <c r="AW445" s="28" t="str">
        <f t="array" ref="AW445">IF($I444="","",IFERROR(XLOOKUP(AA445,Chart_Scale_Distance!$B:$B,Chart_Scale_Distance!$A:$A,""),""))</f>
        <v/>
      </c>
      <c r="AX445" s="28" t="str">
        <f t="shared" si="14"/>
        <v/>
      </c>
      <c r="AY445" s="28" t="str">
        <f t="shared" si="15"/>
        <v/>
      </c>
      <c r="AZ445" s="28" t="str">
        <f t="shared" si="16"/>
        <v/>
      </c>
      <c r="BA445" s="28" t="str">
        <f t="shared" si="17"/>
        <v/>
      </c>
      <c r="BB445" s="28" t="str">
        <f t="shared" si="18"/>
        <v/>
      </c>
      <c r="BC445" s="28" t="str">
        <f t="array" ref="BC445">IF($I445="","",LET(
conf,AI445,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duoMax,XLOOKUP($B445,Derived_Variables!$A:$A,Derived_Variables!$AI:$AI,4),
axisTol,XLOOKUP($B445,Derived_Variables!$A:$A,Derived_Variables!$W:$W,1),
maxStart,XLOOKUP($B445,Derived_Variables!$A:$A,Derived_Variables!$U:$U,1.25),
maxAR,XLOOKUP($B445,Derived_Variables!$A:$A,Derived_Variables!$V:$V,3),
anom,XLOOKUP($B445,Derived_Variables!$A:$A,Derived_Variables!$Z:$Z,FALSE),
reStart,XLOOKUP($B445,Derived_Variables!$A:$A,Derived_Variables!$K:$K,0),
leStart,XLOOKUP($B445,Derived_Variables!$A:$A,Derived_Variables!$N:$N,0),
reAR,XLOOKUP($B445,AR_Input!$A:$A,AR_Input!$B:$B,reStart),
leAR,XLOOKUP($B445,AR_Input!$A:$A,AR_Input!$E:$E,leStart),
reEsc,AND(anom,OR(ABS((S445+AM445)-reStart)&gt;maxStart,ABS((S445+AM445)-reAR)&gt;maxAR)),
leEsc,AND(anom,OR(ABS((V445+AP445)-leStart)&gt;maxStart,ABS((V445+AP445)-leAR)&gt;maxAR)),
phaseMax,IFS(
 AK445="Fast",
   IFS(
     OR(C445="B",C445="D"),XLOOKUP("timeout_coarse_fast",Calibration!$B:$B,Calibration!$C:$C,24),
     OR(C445="E",C445="F",C445="H",C445="I"),XLOOKUP("timeout_jcc_fast",Calibration!$B:$B,Calibration!$C:$C,10),
     OR(C445="G",C445="J"),XLOOKUP("timeout_duochrome_fast",Calibration!$B:$B,Calibration!$C:$C,8),
     C445="K",XLOOKUP("timeout_bino_fast",Calibration!$B:$B,Calibration!$C:$C,10),
     OR(C445="P",C445="Q",C445="R"),XLOOKUP("timeout_near_fast",Calibration!$B:$B,Calibration!$C:$C,16),
     TRUE,XLOOKUP("timeout_coarse_fast",Calibration!$B:$B,Calibration!$C:$C,24)
   ),
 AK445="Normal",
   IFS(
     OR(C445="B",C445="D"),XLOOKUP("timeout_coarse_normal",Calibration!$B:$B,Calibration!$C:$C,36),
     OR(C445="E",C445="F",C445="H",C445="I"),XLOOKUP("timeout_jcc_normal",Calibration!$B:$B,Calibration!$C:$C,14),
     OR(C445="G",C445="J"),XLOOKUP("timeout_duochrome_normal",Calibration!$B:$B,Calibration!$C:$C,10),
     C445="K",XLOOKUP("timeout_bino_normal",Calibration!$B:$B,Calibration!$C:$C,14),
     OR(C445="P",C445="Q",C445="R"),XLOOKUP("timeout_near_normal",Calibration!$B:$B,Calibration!$C:$C,22),
     TRUE,XLOOKUP("timeout_coarse_normal",Calibration!$B:$B,Calibration!$C:$C,36)
   ),
 TRUE,
   IFS(
     OR(C445="B",C445="D"),XLOOKUP("timeout_coarse_slow",Calibration!$B:$B,Calibration!$C:$C,48),
     OR(C445="E",C445="F",C445="H",C445="I"),XLOOKUP("timeout_jcc_slow",Calibration!$B:$B,Calibration!$C:$C,18),
     OR(C445="G",C445="J"),XLOOKUP("timeout_duochrome_slow",Calibration!$B:$B,Calibration!$C:$C,12),
     C445="K",XLOOKUP("timeout_bino_slow",Calibration!$B:$B,Calibration!$C:$C,18),
     OR(C445="P",C445="Q",C445="R"),XLOOKUP("timeout_near_slow",Calibration!$B:$B,Calibration!$C:$C,28),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AJ445=TRUE,"ESCALATE",
C445="A",
IF(OR(I445="NOT_READABLE",I445="BLURRY",AND(R445="20_20_20",I445="READABLE")),"B","A"),
C445="B",
IF(reEsc,"ESCALATE",IF(AY445&gt;=phaseMax,"ESCALATE",IF(AND(AV445&gt;=AW445,I445="READABLE"),"E","B"))),
C445="E",
IF(AY445&gt;=phaseMax,"ESCALATE",IF(OR(I445="SAME",I445="CANT_TELL",AD445&lt;axisTol),"F","E")),
C445="F",
IF(AY445&gt;=phaseMax,"ESCALATE",IF(AX445&gt;=powerSameN,"G","F")),
C445="G",
IF(AY445&gt;=phaseMax,"ESCALATE",IF(OR(AX445&gt;=duoEqualN,BB445&gt;=duoMax),"D","G")),
C445="D",
IF(leEsc,"ESCALATE",IF(AY445&gt;=phaseMax,"ESCALATE",IF(AND(AV445&gt;=AW445,I445="READABLE"),"H","D"))),
C445="H",
IF(AY445&gt;=phaseMax,"ESCALATE",IF(OR(I445="SAME",I445="CANT_TELL",AD445&lt;axisTol),"I","H")),
C445="I",
IF(AY445&gt;=phaseMax,"ESCALATE",IF(AX445&gt;=powerSameN,"J","I")),
C445="J",
IF(AY445&gt;=phaseMax,"ESCALATE",IF(OR(AX445&gt;=duoEqualN,BB445&gt;=duoMax),"K","J")),
C445="K",
IF(AY445&gt;=phaseMax,"ESCALATE",IF(AX445&gt;=binoSameN,IF(XLOOKUP($B445,Derived_Variables!$A:$A,Derived_Variables!$AJ:$AJ,FALSE)=TRUE,"P","END"),"K")),
C445="P",
IF(AY445&gt;=phaseMax,"ESCALATE",IF(OR(I445="READABLE",I445="SAME"),"Q","P")),
C445="Q",
IF(AY445&gt;=phaseMax,"ESCALATE",IF(OR(I445="READABLE",I445="SAME"),"R","Q")),
C445="R",
IF(AY445&gt;=phaseMax,"ESCALATE",IF(OR(I445=nearTarget,I445="SAME"),"END","R")),
TRUE,"END"
)))</f>
        <v/>
      </c>
      <c r="BD445" s="28" t="b">
        <f t="shared" si="19"/>
        <v>0</v>
      </c>
    </row>
    <row r="446" ht="15.75" customHeight="1">
      <c r="A446" s="28">
        <f t="shared" si="3"/>
        <v>445</v>
      </c>
      <c r="B446" s="28">
        <f t="shared" si="4"/>
        <v>6</v>
      </c>
      <c r="C446" s="28" t="str">
        <f t="shared" si="5"/>
        <v/>
      </c>
      <c r="D446" s="28" t="str">
        <f t="array" ref="D446">IF($I445="","",XLOOKUP(C446,FSM_State_Map!A:A,FSM_State_Map!B:B,""))</f>
        <v/>
      </c>
      <c r="E446" s="28" t="str">
        <f t="array" ref="E446">IF($I445="","",XLOOKUP(C446,FSM_State_Map!A:A,FSM_State_Map!C:C,""))</f>
        <v/>
      </c>
      <c r="F446" s="28" t="str">
        <f t="array" ref="F446">IF($I445="","",XLOOKUP(E446,Phase_UI_Map!A:A,Phase_UI_Map!B:B,""))</f>
        <v/>
      </c>
      <c r="G446" s="28" t="str">
        <f t="array" ref="G446">IF($I445="","",XLOOKUP(E446,Phase_UI_Map!A:A,Phase_UI_Map!C:C,""))</f>
        <v/>
      </c>
      <c r="H446" s="28" t="str">
        <f t="array" ref="H446">IF($I445="","",XLOOKUP(E446,Phase_UI_Map!A:A,Phase_UI_Map!D:D,""))</f>
        <v/>
      </c>
      <c r="I446" s="29"/>
      <c r="J446" s="28" t="str">
        <f>IFERROR(__xludf.DUMMYFUNCTION("IF($I445="""","""",IFERROR(INDEX(FILTER(Response_Lists!$B:$B,Response_Lists!$A:$A=$H446),1),""""))"),"")</f>
        <v/>
      </c>
      <c r="K446" s="28" t="str">
        <f>IFERROR(__xludf.DUMMYFUNCTION("IF($I445="""","""",IFERROR(INDEX(FILTER(Response_Lists!$B:$B,Response_Lists!$A:$A=$H446),2),""""))"),"")</f>
        <v/>
      </c>
      <c r="L446" s="28" t="str">
        <f>IFERROR(__xludf.DUMMYFUNCTION("IF($I445="""","""",IFERROR(INDEX(FILTER(Response_Lists!$B:$B,Response_Lists!$A:$A=$H446),3),""""))"),"")</f>
        <v/>
      </c>
      <c r="M446" s="28" t="str">
        <f>IFERROR(__xludf.DUMMYFUNCTION("IF($I445="""","""",IFERROR(INDEX(FILTER(Response_Lists!$B:$B,Response_Lists!$A:$A=$H446),4),""""))"),"")</f>
        <v/>
      </c>
      <c r="N446" s="28" t="str">
        <f>IFERROR(__xludf.DUMMYFUNCTION("IF($I445="""","""",IFERROR(INDEX(FILTER(Response_Lists!$B:$B,Response_Lists!$A:$A=$H446),5),""""))"),"")</f>
        <v/>
      </c>
      <c r="O446" s="28" t="str">
        <f>IFERROR(__xludf.DUMMYFUNCTION("IF($I445="""","""",IFERROR(INDEX(FILTER(Response_Lists!$B:$B,Response_Lists!$A:$A=$H446),6),""""))"),"")</f>
        <v/>
      </c>
      <c r="P446" s="28" t="str">
        <f t="shared" si="6"/>
        <v/>
      </c>
      <c r="Q446" s="28" t="str">
        <f t="array" ref="Q446">IF($I445="","",XLOOKUP(C446,FSM_State_Map!A:A,FSM_State_Map!D:D,""))</f>
        <v/>
      </c>
      <c r="R446" s="28" t="str">
        <f t="shared" si="7"/>
        <v/>
      </c>
      <c r="S446" s="28" t="str">
        <f t="array" ref="S446">IF($I445="","",
IF(
  AND(C446="B",C445&lt;&gt;"B"),
  XLOOKUP($B446,Derived_Variables!$A:$A,Derived_Variables!$K:$K,0)
  + XLOOKUP($B446,Derived_Variables!$A:$A,Derived_Variables!$AE:$AE,0),
  S445+AM445
))</f>
        <v/>
      </c>
      <c r="T446" s="28" t="str">
        <f t="shared" ref="T446:U446" si="902">IF($I445="","",T445+AN445)</f>
        <v/>
      </c>
      <c r="U446" s="28" t="str">
        <f t="shared" si="902"/>
        <v/>
      </c>
      <c r="V446" s="28" t="str">
        <f t="array" ref="V446">IF($I445="","",
IF(
  AND(C446="D",C445&lt;&gt;"D"),
  XLOOKUP($B446,Derived_Variables!$A:$A,Derived_Variables!$N:$N,0)
  + XLOOKUP($B446,Derived_Variables!$A:$A,Derived_Variables!$AE:$AE,0),
  V445+AP445
))</f>
        <v/>
      </c>
      <c r="W446" s="28" t="str">
        <f t="shared" ref="W446:X446" si="903">IF($I445="","",W445+AQ445)</f>
        <v/>
      </c>
      <c r="X446" s="28" t="str">
        <f t="shared" si="903"/>
        <v/>
      </c>
      <c r="Y446" s="28" t="str">
        <f t="array" ref="Y446">IF($I445="","",IF(AND(C446="P",C445&lt;&gt;"P"),IFERROR(XLOOKUP($B446,Lenso_Input!$A:$A,Lenso_Input!$E:$E,0),0),Y445+AS445))</f>
        <v/>
      </c>
      <c r="Z446" s="28" t="str">
        <f t="array" ref="Z446">IF($I445="","",IF(AND(C446="Q",C445&lt;&gt;"Q"),IFERROR(XLOOKUP($B446,Lenso_Input!$A:$A,Lenso_Input!$I:$I,0),0),Z445+AT445))</f>
        <v/>
      </c>
      <c r="AA446" s="28" t="str">
        <f t="array" ref="AA446">IF($I445="","",IF(XLOOKUP($B446,Derived_Variables!$A:$A,Derived_Variables!$R:$R,"6/6_target")="6/6_target","20_20_20","40_30_25"))</f>
        <v/>
      </c>
      <c r="AB446" s="28" t="str">
        <f t="array" ref="AB446">IF($I445="","",XLOOKUP(LOWER(XLOOKUP($B446,Derived_Variables!$A:$A,Derived_Variables!$T:$T,"Standard"))&amp;"_sph_step",Calibration!$B:$B,Calibration!$C:$C,0.25))</f>
        <v/>
      </c>
      <c r="AC446" s="28" t="str">
        <f t="array" ref="AC446">IF($I445="","",XLOOKUP(LOWER(XLOOKUP($B446,Derived_Variables!$A:$A,Derived_Variables!$T:$T,"Standard"))&amp;"_cyl_step",Calibration!$B:$B,Calibration!$C:$C,0.25))</f>
        <v/>
      </c>
      <c r="AD446" s="28" t="str">
        <f t="array" ref="AD446">IF($I445="","",IF(OR(C446="E",C446="H"),LET(startStep,XLOOKUP("axis_start_step",Calibration!$B:$B,Calibration!$C:$C,5),step1,XLOOKUP("axis_reversal_step_1",Calibration!$B:$B,Calibration!$C:$C,3),step2,XLOOKUP("axis_reversal_step_2",Calibration!$B:$B,Calibration!$C:$C,1),IF(OR(C445&lt;&gt;C446,AZ446="",AZ446="SAME",AZ446="CANT_TELL",I446="",I446="SAME",I446="CANT_TELL"),startStep,IF(OR(AND(AZ446="BETTER_1",I446="BETTER_2"),AND(AZ446="BETTER_2",I446="BETTER_1")),IF(AD445&gt;step1,step1,step2),AD445))),0))</f>
        <v/>
      </c>
      <c r="AE446" s="28" t="str">
        <f t="array" ref="AE446">IF($I445="","",XLOOKUP($B446,Derived_Variables!$A:$A,Derived_Variables!$AD:$AD,"No_Fog"))</f>
        <v/>
      </c>
      <c r="AF446" s="28" t="str">
        <f t="array" ref="AF446">IF($I445="","",XLOOKUP($B446,Derived_Variables!$A:$A,Derived_Variables!$AE:$AE,0))</f>
        <v/>
      </c>
      <c r="AG446" s="28" t="str">
        <f t="array" ref="AG446">IF($I445="","",XLOOKUP($B446,Derived_Variables!$A:$A,Derived_Variables!$AF:$AF,""))</f>
        <v/>
      </c>
      <c r="AH446" s="28" t="str">
        <f t="array" ref="AH446">IF($I445="","",XLOOKUP($B446,Derived_Variables!$A:$A,Derived_Variables!$AG:$AG,""))</f>
        <v/>
      </c>
      <c r="AI446" s="28" t="str">
        <f t="array" ref="AI446">IF($I445="","",XLOOKUP($B446,Derived_Variables!$A:$A,Derived_Variables!$AC:$AC,"Medium"))</f>
        <v/>
      </c>
      <c r="AJ446" s="28" t="str">
        <f t="array" ref="AJ446">IF($I445="","",XLOOKUP($B446,Derived_Variables!$A:$A,Derived_Variables!$Y:$Y,FALSE))</f>
        <v/>
      </c>
      <c r="AK446" s="28" t="str">
        <f t="array" ref="AK446">IF($I445="","",XLOOKUP($B446,Derived_Variables!$A:$A,Derived_Variables!$AA:$AA,"Normal"))</f>
        <v/>
      </c>
      <c r="AL446" s="28" t="str">
        <f t="array" ref="AL446">IF($I445="","",XLOOKUP($B446,Derived_Variables!$A:$A,Derived_Variables!$AB:$AB,"Normal"))</f>
        <v/>
      </c>
      <c r="AM446" s="28" t="str">
        <f t="array" ref="AM446">IF($I446="","",IFS(C446="B",IF(OR(I446="NOT_READABLE",I446="BLURRY"),-AB446,0),C446="G",IFS(I446="RED_CLEARER",XLOOKUP("duochrome_red_step",Calibration!$B:$B,Calibration!$C:$C,-0.25),I446="GREEN_CLEARER",XLOOKUP("duochrome_green_step",Calibration!$B:$B,Calibration!$C:$C,0.25),I446="EQUAL",IF(XLOOKUP($B446,Derived_Variables!$A:$A,Derived_Variables!$S:$S,"Neutral")="Undercorrect",XLOOKUP("undercorrect_step",Calibration!$B:$B,Calibration!$C:$C,0.25),IF(XLOOKUP($B446,Derived_Variables!$A:$A,Derived_Variables!$S:$S,"Neutral")="Overcorrect",-XLOOKUP("overcorrect_step",Calibration!$B:$B,Calibration!$C:$C,0.25),0)),TRUE,0),C446="K",IF(I446="TOP_CLEARER",XLOOKUP("bino_balance_step",Calibration!$B:$B,Calibration!$C:$C,0.25),0),TRUE,0))</f>
        <v/>
      </c>
      <c r="AN446" s="28" t="str">
        <f t="shared" si="10"/>
        <v/>
      </c>
      <c r="AO446" s="28" t="str">
        <f t="shared" si="11"/>
        <v/>
      </c>
      <c r="AP446" s="28" t="str">
        <f t="array" ref="AP446">IF($I446="","",IFS(C446="D",IF(OR(I446="NOT_READABLE",I446="BLURRY"),-AB446,0),C446="J",IFS(I446="RED_CLEARER",XLOOKUP("duochrome_red_step",Calibration!$B:$B,Calibration!$C:$C,-0.25),I446="GREEN_CLEARER",XLOOKUP("duochrome_green_step",Calibration!$B:$B,Calibration!$C:$C,0.25),I446="EQUAL",IF(XLOOKUP($B446,Derived_Variables!$A:$A,Derived_Variables!$S:$S,"Neutral")="Undercorrect",XLOOKUP("undercorrect_step",Calibration!$B:$B,Calibration!$C:$C,0.25),IF(XLOOKUP($B446,Derived_Variables!$A:$A,Derived_Variables!$S:$S,"Neutral")="Overcorrect",-XLOOKUP("overcorrect_step",Calibration!$B:$B,Calibration!$C:$C,0.25),0)),TRUE,0),C446="K",IF(I446="BOTTOM_CLEARER",XLOOKUP("bino_balance_step",Calibration!$B:$B,Calibration!$C:$C,0.25),0),TRUE,0))</f>
        <v/>
      </c>
      <c r="AQ446" s="28" t="str">
        <f t="shared" si="12"/>
        <v/>
      </c>
      <c r="AR446" s="28" t="str">
        <f t="shared" si="13"/>
        <v/>
      </c>
      <c r="AS446" s="28" t="str">
        <f t="array" ref="AS446">IF($I446="","",IF(C446="P",IF(OR(I446="NOT_READABLE",I446="BLURRY"),XLOOKUP("near_add_step",Calibration!$B:$B,Calibration!$C:$C,0.25),0),IF(C446="R",IF(I446="NOT_CLEAR",XLOOKUP("near_add_step",Calibration!$B:$B,Calibration!$C:$C,0.25),0),0)))</f>
        <v/>
      </c>
      <c r="AT446" s="28" t="str">
        <f t="array" ref="AT446">IF($I446="","",IF(C446="Q",IF(OR(I446="NOT_READABLE",I446="BLURRY"),XLOOKUP("near_add_step",Calibration!$B:$B,Calibration!$C:$C,0.25),0),IF(C446="R",IF(I446="NOT_CLEAR",XLOOKUP("near_add_step",Calibration!$B:$B,Calibration!$C:$C,0.25),0),0)))</f>
        <v/>
      </c>
      <c r="AU446" s="28" t="str">
        <f t="array" ref="AU446">IF($I446="","",IF(G446="SNELLEN_FEET",IF(I446="READABLE",IFERROR(XLOOKUP(XLOOKUP(R446,Chart_Scale_Distance!B:B,Chart_Scale_Distance!A:A)+1,Chart_Scale_Distance!A:A,Chart_Scale_Distance!B:B),R446),R446),R446))</f>
        <v/>
      </c>
      <c r="AV446" s="28" t="str">
        <f t="array" ref="AV446">IF($I445="","",IFERROR(XLOOKUP(R446,Chart_Scale_Distance!$B:$B,Chart_Scale_Distance!$A:$A,""),""))</f>
        <v/>
      </c>
      <c r="AW446" s="28" t="str">
        <f t="array" ref="AW446">IF($I445="","",IFERROR(XLOOKUP(AA446,Chart_Scale_Distance!$B:$B,Chart_Scale_Distance!$A:$A,""),""))</f>
        <v/>
      </c>
      <c r="AX446" s="28" t="str">
        <f t="shared" si="14"/>
        <v/>
      </c>
      <c r="AY446" s="28" t="str">
        <f t="shared" si="15"/>
        <v/>
      </c>
      <c r="AZ446" s="28" t="str">
        <f t="shared" si="16"/>
        <v/>
      </c>
      <c r="BA446" s="28" t="str">
        <f t="shared" si="17"/>
        <v/>
      </c>
      <c r="BB446" s="28" t="str">
        <f t="shared" si="18"/>
        <v/>
      </c>
      <c r="BC446" s="28" t="str">
        <f t="array" ref="BC446">IF($I446="","",LET(
conf,AI446,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duoMax,XLOOKUP($B446,Derived_Variables!$A:$A,Derived_Variables!$AI:$AI,4),
axisTol,XLOOKUP($B446,Derived_Variables!$A:$A,Derived_Variables!$W:$W,1),
maxStart,XLOOKUP($B446,Derived_Variables!$A:$A,Derived_Variables!$U:$U,1.25),
maxAR,XLOOKUP($B446,Derived_Variables!$A:$A,Derived_Variables!$V:$V,3),
anom,XLOOKUP($B446,Derived_Variables!$A:$A,Derived_Variables!$Z:$Z,FALSE),
reStart,XLOOKUP($B446,Derived_Variables!$A:$A,Derived_Variables!$K:$K,0),
leStart,XLOOKUP($B446,Derived_Variables!$A:$A,Derived_Variables!$N:$N,0),
reAR,XLOOKUP($B446,AR_Input!$A:$A,AR_Input!$B:$B,reStart),
leAR,XLOOKUP($B446,AR_Input!$A:$A,AR_Input!$E:$E,leStart),
reEsc,AND(anom,OR(ABS((S446+AM446)-reStart)&gt;maxStart,ABS((S446+AM446)-reAR)&gt;maxAR)),
leEsc,AND(anom,OR(ABS((V446+AP446)-leStart)&gt;maxStart,ABS((V446+AP446)-leAR)&gt;maxAR)),
phaseMax,IFS(
 AK446="Fast",
   IFS(
     OR(C446="B",C446="D"),XLOOKUP("timeout_coarse_fast",Calibration!$B:$B,Calibration!$C:$C,24),
     OR(C446="E",C446="F",C446="H",C446="I"),XLOOKUP("timeout_jcc_fast",Calibration!$B:$B,Calibration!$C:$C,10),
     OR(C446="G",C446="J"),XLOOKUP("timeout_duochrome_fast",Calibration!$B:$B,Calibration!$C:$C,8),
     C446="K",XLOOKUP("timeout_bino_fast",Calibration!$B:$B,Calibration!$C:$C,10),
     OR(C446="P",C446="Q",C446="R"),XLOOKUP("timeout_near_fast",Calibration!$B:$B,Calibration!$C:$C,16),
     TRUE,XLOOKUP("timeout_coarse_fast",Calibration!$B:$B,Calibration!$C:$C,24)
   ),
 AK446="Normal",
   IFS(
     OR(C446="B",C446="D"),XLOOKUP("timeout_coarse_normal",Calibration!$B:$B,Calibration!$C:$C,36),
     OR(C446="E",C446="F",C446="H",C446="I"),XLOOKUP("timeout_jcc_normal",Calibration!$B:$B,Calibration!$C:$C,14),
     OR(C446="G",C446="J"),XLOOKUP("timeout_duochrome_normal",Calibration!$B:$B,Calibration!$C:$C,10),
     C446="K",XLOOKUP("timeout_bino_normal",Calibration!$B:$B,Calibration!$C:$C,14),
     OR(C446="P",C446="Q",C446="R"),XLOOKUP("timeout_near_normal",Calibration!$B:$B,Calibration!$C:$C,22),
     TRUE,XLOOKUP("timeout_coarse_normal",Calibration!$B:$B,Calibration!$C:$C,36)
   ),
 TRUE,
   IFS(
     OR(C446="B",C446="D"),XLOOKUP("timeout_coarse_slow",Calibration!$B:$B,Calibration!$C:$C,48),
     OR(C446="E",C446="F",C446="H",C446="I"),XLOOKUP("timeout_jcc_slow",Calibration!$B:$B,Calibration!$C:$C,18),
     OR(C446="G",C446="J"),XLOOKUP("timeout_duochrome_slow",Calibration!$B:$B,Calibration!$C:$C,12),
     C446="K",XLOOKUP("timeout_bino_slow",Calibration!$B:$B,Calibration!$C:$C,18),
     OR(C446="P",C446="Q",C446="R"),XLOOKUP("timeout_near_slow",Calibration!$B:$B,Calibration!$C:$C,28),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AJ446=TRUE,"ESCALATE",
C446="A",
IF(OR(I446="NOT_READABLE",I446="BLURRY",AND(R446="20_20_20",I446="READABLE")),"B","A"),
C446="B",
IF(reEsc,"ESCALATE",IF(AY446&gt;=phaseMax,"ESCALATE",IF(AND(AV446&gt;=AW446,I446="READABLE"),"E","B"))),
C446="E",
IF(AY446&gt;=phaseMax,"ESCALATE",IF(OR(I446="SAME",I446="CANT_TELL",AD446&lt;axisTol),"F","E")),
C446="F",
IF(AY446&gt;=phaseMax,"ESCALATE",IF(AX446&gt;=powerSameN,"G","F")),
C446="G",
IF(AY446&gt;=phaseMax,"ESCALATE",IF(OR(AX446&gt;=duoEqualN,BB446&gt;=duoMax),"D","G")),
C446="D",
IF(leEsc,"ESCALATE",IF(AY446&gt;=phaseMax,"ESCALATE",IF(AND(AV446&gt;=AW446,I446="READABLE"),"H","D"))),
C446="H",
IF(AY446&gt;=phaseMax,"ESCALATE",IF(OR(I446="SAME",I446="CANT_TELL",AD446&lt;axisTol),"I","H")),
C446="I",
IF(AY446&gt;=phaseMax,"ESCALATE",IF(AX446&gt;=powerSameN,"J","I")),
C446="J",
IF(AY446&gt;=phaseMax,"ESCALATE",IF(OR(AX446&gt;=duoEqualN,BB446&gt;=duoMax),"K","J")),
C446="K",
IF(AY446&gt;=phaseMax,"ESCALATE",IF(AX446&gt;=binoSameN,IF(XLOOKUP($B446,Derived_Variables!$A:$A,Derived_Variables!$AJ:$AJ,FALSE)=TRUE,"P","END"),"K")),
C446="P",
IF(AY446&gt;=phaseMax,"ESCALATE",IF(OR(I446="READABLE",I446="SAME"),"Q","P")),
C446="Q",
IF(AY446&gt;=phaseMax,"ESCALATE",IF(OR(I446="READABLE",I446="SAME"),"R","Q")),
C446="R",
IF(AY446&gt;=phaseMax,"ESCALATE",IF(OR(I446=nearTarget,I446="SAME"),"END","R")),
TRUE,"END"
)))</f>
        <v/>
      </c>
      <c r="BD446" s="28" t="b">
        <f t="shared" si="19"/>
        <v>0</v>
      </c>
    </row>
    <row r="447" ht="15.75" customHeight="1">
      <c r="A447" s="28">
        <f t="shared" si="3"/>
        <v>446</v>
      </c>
      <c r="B447" s="28">
        <f t="shared" si="4"/>
        <v>6</v>
      </c>
      <c r="C447" s="28" t="str">
        <f t="shared" si="5"/>
        <v/>
      </c>
      <c r="D447" s="28" t="str">
        <f t="array" ref="D447">IF($I446="","",XLOOKUP(C447,FSM_State_Map!A:A,FSM_State_Map!B:B,""))</f>
        <v/>
      </c>
      <c r="E447" s="28" t="str">
        <f t="array" ref="E447">IF($I446="","",XLOOKUP(C447,FSM_State_Map!A:A,FSM_State_Map!C:C,""))</f>
        <v/>
      </c>
      <c r="F447" s="28" t="str">
        <f t="array" ref="F447">IF($I446="","",XLOOKUP(E447,Phase_UI_Map!A:A,Phase_UI_Map!B:B,""))</f>
        <v/>
      </c>
      <c r="G447" s="28" t="str">
        <f t="array" ref="G447">IF($I446="","",XLOOKUP(E447,Phase_UI_Map!A:A,Phase_UI_Map!C:C,""))</f>
        <v/>
      </c>
      <c r="H447" s="28" t="str">
        <f t="array" ref="H447">IF($I446="","",XLOOKUP(E447,Phase_UI_Map!A:A,Phase_UI_Map!D:D,""))</f>
        <v/>
      </c>
      <c r="I447" s="29"/>
      <c r="J447" s="28" t="str">
        <f>IFERROR(__xludf.DUMMYFUNCTION("IF($I446="""","""",IFERROR(INDEX(FILTER(Response_Lists!$B:$B,Response_Lists!$A:$A=$H447),1),""""))"),"")</f>
        <v/>
      </c>
      <c r="K447" s="28" t="str">
        <f>IFERROR(__xludf.DUMMYFUNCTION("IF($I446="""","""",IFERROR(INDEX(FILTER(Response_Lists!$B:$B,Response_Lists!$A:$A=$H447),2),""""))"),"")</f>
        <v/>
      </c>
      <c r="L447" s="28" t="str">
        <f>IFERROR(__xludf.DUMMYFUNCTION("IF($I446="""","""",IFERROR(INDEX(FILTER(Response_Lists!$B:$B,Response_Lists!$A:$A=$H447),3),""""))"),"")</f>
        <v/>
      </c>
      <c r="M447" s="28" t="str">
        <f>IFERROR(__xludf.DUMMYFUNCTION("IF($I446="""","""",IFERROR(INDEX(FILTER(Response_Lists!$B:$B,Response_Lists!$A:$A=$H447),4),""""))"),"")</f>
        <v/>
      </c>
      <c r="N447" s="28" t="str">
        <f>IFERROR(__xludf.DUMMYFUNCTION("IF($I446="""","""",IFERROR(INDEX(FILTER(Response_Lists!$B:$B,Response_Lists!$A:$A=$H447),5),""""))"),"")</f>
        <v/>
      </c>
      <c r="O447" s="28" t="str">
        <f>IFERROR(__xludf.DUMMYFUNCTION("IF($I446="""","""",IFERROR(INDEX(FILTER(Response_Lists!$B:$B,Response_Lists!$A:$A=$H447),6),""""))"),"")</f>
        <v/>
      </c>
      <c r="P447" s="28" t="str">
        <f t="shared" si="6"/>
        <v/>
      </c>
      <c r="Q447" s="28" t="str">
        <f t="array" ref="Q447">IF($I446="","",XLOOKUP(C447,FSM_State_Map!A:A,FSM_State_Map!D:D,""))</f>
        <v/>
      </c>
      <c r="R447" s="28" t="str">
        <f t="shared" si="7"/>
        <v/>
      </c>
      <c r="S447" s="28" t="str">
        <f t="array" ref="S447">IF($I446="","",
IF(
  AND(C447="B",C446&lt;&gt;"B"),
  XLOOKUP($B447,Derived_Variables!$A:$A,Derived_Variables!$K:$K,0)
  + XLOOKUP($B447,Derived_Variables!$A:$A,Derived_Variables!$AE:$AE,0),
  S446+AM446
))</f>
        <v/>
      </c>
      <c r="T447" s="28" t="str">
        <f t="shared" ref="T447:U447" si="904">IF($I446="","",T446+AN446)</f>
        <v/>
      </c>
      <c r="U447" s="28" t="str">
        <f t="shared" si="904"/>
        <v/>
      </c>
      <c r="V447" s="28" t="str">
        <f t="array" ref="V447">IF($I446="","",
IF(
  AND(C447="D",C446&lt;&gt;"D"),
  XLOOKUP($B447,Derived_Variables!$A:$A,Derived_Variables!$N:$N,0)
  + XLOOKUP($B447,Derived_Variables!$A:$A,Derived_Variables!$AE:$AE,0),
  V446+AP446
))</f>
        <v/>
      </c>
      <c r="W447" s="28" t="str">
        <f t="shared" ref="W447:X447" si="905">IF($I446="","",W446+AQ446)</f>
        <v/>
      </c>
      <c r="X447" s="28" t="str">
        <f t="shared" si="905"/>
        <v/>
      </c>
      <c r="Y447" s="28" t="str">
        <f t="array" ref="Y447">IF($I446="","",IF(AND(C447="P",C446&lt;&gt;"P"),IFERROR(XLOOKUP($B447,Lenso_Input!$A:$A,Lenso_Input!$E:$E,0),0),Y446+AS446))</f>
        <v/>
      </c>
      <c r="Z447" s="28" t="str">
        <f t="array" ref="Z447">IF($I446="","",IF(AND(C447="Q",C446&lt;&gt;"Q"),IFERROR(XLOOKUP($B447,Lenso_Input!$A:$A,Lenso_Input!$I:$I,0),0),Z446+AT446))</f>
        <v/>
      </c>
      <c r="AA447" s="28" t="str">
        <f t="array" ref="AA447">IF($I446="","",IF(XLOOKUP($B447,Derived_Variables!$A:$A,Derived_Variables!$R:$R,"6/6_target")="6/6_target","20_20_20","40_30_25"))</f>
        <v/>
      </c>
      <c r="AB447" s="28" t="str">
        <f t="array" ref="AB447">IF($I446="","",XLOOKUP(LOWER(XLOOKUP($B447,Derived_Variables!$A:$A,Derived_Variables!$T:$T,"Standard"))&amp;"_sph_step",Calibration!$B:$B,Calibration!$C:$C,0.25))</f>
        <v/>
      </c>
      <c r="AC447" s="28" t="str">
        <f t="array" ref="AC447">IF($I446="","",XLOOKUP(LOWER(XLOOKUP($B447,Derived_Variables!$A:$A,Derived_Variables!$T:$T,"Standard"))&amp;"_cyl_step",Calibration!$B:$B,Calibration!$C:$C,0.25))</f>
        <v/>
      </c>
      <c r="AD447" s="28" t="str">
        <f t="array" ref="AD447">IF($I446="","",IF(OR(C447="E",C447="H"),LET(startStep,XLOOKUP("axis_start_step",Calibration!$B:$B,Calibration!$C:$C,5),step1,XLOOKUP("axis_reversal_step_1",Calibration!$B:$B,Calibration!$C:$C,3),step2,XLOOKUP("axis_reversal_step_2",Calibration!$B:$B,Calibration!$C:$C,1),IF(OR(C446&lt;&gt;C447,AZ447="",AZ447="SAME",AZ447="CANT_TELL",I447="",I447="SAME",I447="CANT_TELL"),startStep,IF(OR(AND(AZ447="BETTER_1",I447="BETTER_2"),AND(AZ447="BETTER_2",I447="BETTER_1")),IF(AD446&gt;step1,step1,step2),AD446))),0))</f>
        <v/>
      </c>
      <c r="AE447" s="28" t="str">
        <f t="array" ref="AE447">IF($I446="","",XLOOKUP($B447,Derived_Variables!$A:$A,Derived_Variables!$AD:$AD,"No_Fog"))</f>
        <v/>
      </c>
      <c r="AF447" s="28" t="str">
        <f t="array" ref="AF447">IF($I446="","",XLOOKUP($B447,Derived_Variables!$A:$A,Derived_Variables!$AE:$AE,0))</f>
        <v/>
      </c>
      <c r="AG447" s="28" t="str">
        <f t="array" ref="AG447">IF($I446="","",XLOOKUP($B447,Derived_Variables!$A:$A,Derived_Variables!$AF:$AF,""))</f>
        <v/>
      </c>
      <c r="AH447" s="28" t="str">
        <f t="array" ref="AH447">IF($I446="","",XLOOKUP($B447,Derived_Variables!$A:$A,Derived_Variables!$AG:$AG,""))</f>
        <v/>
      </c>
      <c r="AI447" s="28" t="str">
        <f t="array" ref="AI447">IF($I446="","",XLOOKUP($B447,Derived_Variables!$A:$A,Derived_Variables!$AC:$AC,"Medium"))</f>
        <v/>
      </c>
      <c r="AJ447" s="28" t="str">
        <f t="array" ref="AJ447">IF($I446="","",XLOOKUP($B447,Derived_Variables!$A:$A,Derived_Variables!$Y:$Y,FALSE))</f>
        <v/>
      </c>
      <c r="AK447" s="28" t="str">
        <f t="array" ref="AK447">IF($I446="","",XLOOKUP($B447,Derived_Variables!$A:$A,Derived_Variables!$AA:$AA,"Normal"))</f>
        <v/>
      </c>
      <c r="AL447" s="28" t="str">
        <f t="array" ref="AL447">IF($I446="","",XLOOKUP($B447,Derived_Variables!$A:$A,Derived_Variables!$AB:$AB,"Normal"))</f>
        <v/>
      </c>
      <c r="AM447" s="28" t="str">
        <f t="array" ref="AM447">IF($I447="","",IFS(C447="B",IF(OR(I447="NOT_READABLE",I447="BLURRY"),-AB447,0),C447="G",IFS(I447="RED_CLEARER",XLOOKUP("duochrome_red_step",Calibration!$B:$B,Calibration!$C:$C,-0.25),I447="GREEN_CLEARER",XLOOKUP("duochrome_green_step",Calibration!$B:$B,Calibration!$C:$C,0.25),I447="EQUAL",IF(XLOOKUP($B447,Derived_Variables!$A:$A,Derived_Variables!$S:$S,"Neutral")="Undercorrect",XLOOKUP("undercorrect_step",Calibration!$B:$B,Calibration!$C:$C,0.25),IF(XLOOKUP($B447,Derived_Variables!$A:$A,Derived_Variables!$S:$S,"Neutral")="Overcorrect",-XLOOKUP("overcorrect_step",Calibration!$B:$B,Calibration!$C:$C,0.25),0)),TRUE,0),C447="K",IF(I447="TOP_CLEARER",XLOOKUP("bino_balance_step",Calibration!$B:$B,Calibration!$C:$C,0.25),0),TRUE,0))</f>
        <v/>
      </c>
      <c r="AN447" s="28" t="str">
        <f t="shared" si="10"/>
        <v/>
      </c>
      <c r="AO447" s="28" t="str">
        <f t="shared" si="11"/>
        <v/>
      </c>
      <c r="AP447" s="28" t="str">
        <f t="array" ref="AP447">IF($I447="","",IFS(C447="D",IF(OR(I447="NOT_READABLE",I447="BLURRY"),-AB447,0),C447="J",IFS(I447="RED_CLEARER",XLOOKUP("duochrome_red_step",Calibration!$B:$B,Calibration!$C:$C,-0.25),I447="GREEN_CLEARER",XLOOKUP("duochrome_green_step",Calibration!$B:$B,Calibration!$C:$C,0.25),I447="EQUAL",IF(XLOOKUP($B447,Derived_Variables!$A:$A,Derived_Variables!$S:$S,"Neutral")="Undercorrect",XLOOKUP("undercorrect_step",Calibration!$B:$B,Calibration!$C:$C,0.25),IF(XLOOKUP($B447,Derived_Variables!$A:$A,Derived_Variables!$S:$S,"Neutral")="Overcorrect",-XLOOKUP("overcorrect_step",Calibration!$B:$B,Calibration!$C:$C,0.25),0)),TRUE,0),C447="K",IF(I447="BOTTOM_CLEARER",XLOOKUP("bino_balance_step",Calibration!$B:$B,Calibration!$C:$C,0.25),0),TRUE,0))</f>
        <v/>
      </c>
      <c r="AQ447" s="28" t="str">
        <f t="shared" si="12"/>
        <v/>
      </c>
      <c r="AR447" s="28" t="str">
        <f t="shared" si="13"/>
        <v/>
      </c>
      <c r="AS447" s="28" t="str">
        <f t="array" ref="AS447">IF($I447="","",IF(C447="P",IF(OR(I447="NOT_READABLE",I447="BLURRY"),XLOOKUP("near_add_step",Calibration!$B:$B,Calibration!$C:$C,0.25),0),IF(C447="R",IF(I447="NOT_CLEAR",XLOOKUP("near_add_step",Calibration!$B:$B,Calibration!$C:$C,0.25),0),0)))</f>
        <v/>
      </c>
      <c r="AT447" s="28" t="str">
        <f t="array" ref="AT447">IF($I447="","",IF(C447="Q",IF(OR(I447="NOT_READABLE",I447="BLURRY"),XLOOKUP("near_add_step",Calibration!$B:$B,Calibration!$C:$C,0.25),0),IF(C447="R",IF(I447="NOT_CLEAR",XLOOKUP("near_add_step",Calibration!$B:$B,Calibration!$C:$C,0.25),0),0)))</f>
        <v/>
      </c>
      <c r="AU447" s="28" t="str">
        <f t="array" ref="AU447">IF($I447="","",IF(G447="SNELLEN_FEET",IF(I447="READABLE",IFERROR(XLOOKUP(XLOOKUP(R447,Chart_Scale_Distance!B:B,Chart_Scale_Distance!A:A)+1,Chart_Scale_Distance!A:A,Chart_Scale_Distance!B:B),R447),R447),R447))</f>
        <v/>
      </c>
      <c r="AV447" s="28" t="str">
        <f t="array" ref="AV447">IF($I446="","",IFERROR(XLOOKUP(R447,Chart_Scale_Distance!$B:$B,Chart_Scale_Distance!$A:$A,""),""))</f>
        <v/>
      </c>
      <c r="AW447" s="28" t="str">
        <f t="array" ref="AW447">IF($I446="","",IFERROR(XLOOKUP(AA447,Chart_Scale_Distance!$B:$B,Chart_Scale_Distance!$A:$A,""),""))</f>
        <v/>
      </c>
      <c r="AX447" s="28" t="str">
        <f t="shared" si="14"/>
        <v/>
      </c>
      <c r="AY447" s="28" t="str">
        <f t="shared" si="15"/>
        <v/>
      </c>
      <c r="AZ447" s="28" t="str">
        <f t="shared" si="16"/>
        <v/>
      </c>
      <c r="BA447" s="28" t="str">
        <f t="shared" si="17"/>
        <v/>
      </c>
      <c r="BB447" s="28" t="str">
        <f t="shared" si="18"/>
        <v/>
      </c>
      <c r="BC447" s="28" t="str">
        <f t="array" ref="BC447">IF($I447="","",LET(
conf,AI447,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duoMax,XLOOKUP($B447,Derived_Variables!$A:$A,Derived_Variables!$AI:$AI,4),
axisTol,XLOOKUP($B447,Derived_Variables!$A:$A,Derived_Variables!$W:$W,1),
maxStart,XLOOKUP($B447,Derived_Variables!$A:$A,Derived_Variables!$U:$U,1.25),
maxAR,XLOOKUP($B447,Derived_Variables!$A:$A,Derived_Variables!$V:$V,3),
anom,XLOOKUP($B447,Derived_Variables!$A:$A,Derived_Variables!$Z:$Z,FALSE),
reStart,XLOOKUP($B447,Derived_Variables!$A:$A,Derived_Variables!$K:$K,0),
leStart,XLOOKUP($B447,Derived_Variables!$A:$A,Derived_Variables!$N:$N,0),
reAR,XLOOKUP($B447,AR_Input!$A:$A,AR_Input!$B:$B,reStart),
leAR,XLOOKUP($B447,AR_Input!$A:$A,AR_Input!$E:$E,leStart),
reEsc,AND(anom,OR(ABS((S447+AM447)-reStart)&gt;maxStart,ABS((S447+AM447)-reAR)&gt;maxAR)),
leEsc,AND(anom,OR(ABS((V447+AP447)-leStart)&gt;maxStart,ABS((V447+AP447)-leAR)&gt;maxAR)),
phaseMax,IFS(
 AK447="Fast",
   IFS(
     OR(C447="B",C447="D"),XLOOKUP("timeout_coarse_fast",Calibration!$B:$B,Calibration!$C:$C,24),
     OR(C447="E",C447="F",C447="H",C447="I"),XLOOKUP("timeout_jcc_fast",Calibration!$B:$B,Calibration!$C:$C,10),
     OR(C447="G",C447="J"),XLOOKUP("timeout_duochrome_fast",Calibration!$B:$B,Calibration!$C:$C,8),
     C447="K",XLOOKUP("timeout_bino_fast",Calibration!$B:$B,Calibration!$C:$C,10),
     OR(C447="P",C447="Q",C447="R"),XLOOKUP("timeout_near_fast",Calibration!$B:$B,Calibration!$C:$C,16),
     TRUE,XLOOKUP("timeout_coarse_fast",Calibration!$B:$B,Calibration!$C:$C,24)
   ),
 AK447="Normal",
   IFS(
     OR(C447="B",C447="D"),XLOOKUP("timeout_coarse_normal",Calibration!$B:$B,Calibration!$C:$C,36),
     OR(C447="E",C447="F",C447="H",C447="I"),XLOOKUP("timeout_jcc_normal",Calibration!$B:$B,Calibration!$C:$C,14),
     OR(C447="G",C447="J"),XLOOKUP("timeout_duochrome_normal",Calibration!$B:$B,Calibration!$C:$C,10),
     C447="K",XLOOKUP("timeout_bino_normal",Calibration!$B:$B,Calibration!$C:$C,14),
     OR(C447="P",C447="Q",C447="R"),XLOOKUP("timeout_near_normal",Calibration!$B:$B,Calibration!$C:$C,22),
     TRUE,XLOOKUP("timeout_coarse_normal",Calibration!$B:$B,Calibration!$C:$C,36)
   ),
 TRUE,
   IFS(
     OR(C447="B",C447="D"),XLOOKUP("timeout_coarse_slow",Calibration!$B:$B,Calibration!$C:$C,48),
     OR(C447="E",C447="F",C447="H",C447="I"),XLOOKUP("timeout_jcc_slow",Calibration!$B:$B,Calibration!$C:$C,18),
     OR(C447="G",C447="J"),XLOOKUP("timeout_duochrome_slow",Calibration!$B:$B,Calibration!$C:$C,12),
     C447="K",XLOOKUP("timeout_bino_slow",Calibration!$B:$B,Calibration!$C:$C,18),
     OR(C447="P",C447="Q",C447="R"),XLOOKUP("timeout_near_slow",Calibration!$B:$B,Calibration!$C:$C,28),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AJ447=TRUE,"ESCALATE",
C447="A",
IF(OR(I447="NOT_READABLE",I447="BLURRY",AND(R447="20_20_20",I447="READABLE")),"B","A"),
C447="B",
IF(reEsc,"ESCALATE",IF(AY447&gt;=phaseMax,"ESCALATE",IF(AND(AV447&gt;=AW447,I447="READABLE"),"E","B"))),
C447="E",
IF(AY447&gt;=phaseMax,"ESCALATE",IF(OR(I447="SAME",I447="CANT_TELL",AD447&lt;axisTol),"F","E")),
C447="F",
IF(AY447&gt;=phaseMax,"ESCALATE",IF(AX447&gt;=powerSameN,"G","F")),
C447="G",
IF(AY447&gt;=phaseMax,"ESCALATE",IF(OR(AX447&gt;=duoEqualN,BB447&gt;=duoMax),"D","G")),
C447="D",
IF(leEsc,"ESCALATE",IF(AY447&gt;=phaseMax,"ESCALATE",IF(AND(AV447&gt;=AW447,I447="READABLE"),"H","D"))),
C447="H",
IF(AY447&gt;=phaseMax,"ESCALATE",IF(OR(I447="SAME",I447="CANT_TELL",AD447&lt;axisTol),"I","H")),
C447="I",
IF(AY447&gt;=phaseMax,"ESCALATE",IF(AX447&gt;=powerSameN,"J","I")),
C447="J",
IF(AY447&gt;=phaseMax,"ESCALATE",IF(OR(AX447&gt;=duoEqualN,BB447&gt;=duoMax),"K","J")),
C447="K",
IF(AY447&gt;=phaseMax,"ESCALATE",IF(AX447&gt;=binoSameN,IF(XLOOKUP($B447,Derived_Variables!$A:$A,Derived_Variables!$AJ:$AJ,FALSE)=TRUE,"P","END"),"K")),
C447="P",
IF(AY447&gt;=phaseMax,"ESCALATE",IF(OR(I447="READABLE",I447="SAME"),"Q","P")),
C447="Q",
IF(AY447&gt;=phaseMax,"ESCALATE",IF(OR(I447="READABLE",I447="SAME"),"R","Q")),
C447="R",
IF(AY447&gt;=phaseMax,"ESCALATE",IF(OR(I447=nearTarget,I447="SAME"),"END","R")),
TRUE,"END"
)))</f>
        <v/>
      </c>
      <c r="BD447" s="28" t="b">
        <f t="shared" si="19"/>
        <v>0</v>
      </c>
    </row>
    <row r="448" ht="15.75" customHeight="1">
      <c r="A448" s="28">
        <f t="shared" si="3"/>
        <v>447</v>
      </c>
      <c r="B448" s="28">
        <f t="shared" si="4"/>
        <v>6</v>
      </c>
      <c r="C448" s="28" t="str">
        <f t="shared" si="5"/>
        <v/>
      </c>
      <c r="D448" s="28" t="str">
        <f t="array" ref="D448">IF($I447="","",XLOOKUP(C448,FSM_State_Map!A:A,FSM_State_Map!B:B,""))</f>
        <v/>
      </c>
      <c r="E448" s="28" t="str">
        <f t="array" ref="E448">IF($I447="","",XLOOKUP(C448,FSM_State_Map!A:A,FSM_State_Map!C:C,""))</f>
        <v/>
      </c>
      <c r="F448" s="28" t="str">
        <f t="array" ref="F448">IF($I447="","",XLOOKUP(E448,Phase_UI_Map!A:A,Phase_UI_Map!B:B,""))</f>
        <v/>
      </c>
      <c r="G448" s="28" t="str">
        <f t="array" ref="G448">IF($I447="","",XLOOKUP(E448,Phase_UI_Map!A:A,Phase_UI_Map!C:C,""))</f>
        <v/>
      </c>
      <c r="H448" s="28" t="str">
        <f t="array" ref="H448">IF($I447="","",XLOOKUP(E448,Phase_UI_Map!A:A,Phase_UI_Map!D:D,""))</f>
        <v/>
      </c>
      <c r="I448" s="29"/>
      <c r="J448" s="28" t="str">
        <f>IFERROR(__xludf.DUMMYFUNCTION("IF($I447="""","""",IFERROR(INDEX(FILTER(Response_Lists!$B:$B,Response_Lists!$A:$A=$H448),1),""""))"),"")</f>
        <v/>
      </c>
      <c r="K448" s="28" t="str">
        <f>IFERROR(__xludf.DUMMYFUNCTION("IF($I447="""","""",IFERROR(INDEX(FILTER(Response_Lists!$B:$B,Response_Lists!$A:$A=$H448),2),""""))"),"")</f>
        <v/>
      </c>
      <c r="L448" s="28" t="str">
        <f>IFERROR(__xludf.DUMMYFUNCTION("IF($I447="""","""",IFERROR(INDEX(FILTER(Response_Lists!$B:$B,Response_Lists!$A:$A=$H448),3),""""))"),"")</f>
        <v/>
      </c>
      <c r="M448" s="28" t="str">
        <f>IFERROR(__xludf.DUMMYFUNCTION("IF($I447="""","""",IFERROR(INDEX(FILTER(Response_Lists!$B:$B,Response_Lists!$A:$A=$H448),4),""""))"),"")</f>
        <v/>
      </c>
      <c r="N448" s="28" t="str">
        <f>IFERROR(__xludf.DUMMYFUNCTION("IF($I447="""","""",IFERROR(INDEX(FILTER(Response_Lists!$B:$B,Response_Lists!$A:$A=$H448),5),""""))"),"")</f>
        <v/>
      </c>
      <c r="O448" s="28" t="str">
        <f>IFERROR(__xludf.DUMMYFUNCTION("IF($I447="""","""",IFERROR(INDEX(FILTER(Response_Lists!$B:$B,Response_Lists!$A:$A=$H448),6),""""))"),"")</f>
        <v/>
      </c>
      <c r="P448" s="28" t="str">
        <f t="shared" si="6"/>
        <v/>
      </c>
      <c r="Q448" s="28" t="str">
        <f t="array" ref="Q448">IF($I447="","",XLOOKUP(C448,FSM_State_Map!A:A,FSM_State_Map!D:D,""))</f>
        <v/>
      </c>
      <c r="R448" s="28" t="str">
        <f t="shared" si="7"/>
        <v/>
      </c>
      <c r="S448" s="28" t="str">
        <f t="array" ref="S448">IF($I447="","",
IF(
  AND(C448="B",C447&lt;&gt;"B"),
  XLOOKUP($B448,Derived_Variables!$A:$A,Derived_Variables!$K:$K,0)
  + XLOOKUP($B448,Derived_Variables!$A:$A,Derived_Variables!$AE:$AE,0),
  S447+AM447
))</f>
        <v/>
      </c>
      <c r="T448" s="28" t="str">
        <f t="shared" ref="T448:U448" si="906">IF($I447="","",T447+AN447)</f>
        <v/>
      </c>
      <c r="U448" s="28" t="str">
        <f t="shared" si="906"/>
        <v/>
      </c>
      <c r="V448" s="28" t="str">
        <f t="array" ref="V448">IF($I447="","",
IF(
  AND(C448="D",C447&lt;&gt;"D"),
  XLOOKUP($B448,Derived_Variables!$A:$A,Derived_Variables!$N:$N,0)
  + XLOOKUP($B448,Derived_Variables!$A:$A,Derived_Variables!$AE:$AE,0),
  V447+AP447
))</f>
        <v/>
      </c>
      <c r="W448" s="28" t="str">
        <f t="shared" ref="W448:X448" si="907">IF($I447="","",W447+AQ447)</f>
        <v/>
      </c>
      <c r="X448" s="28" t="str">
        <f t="shared" si="907"/>
        <v/>
      </c>
      <c r="Y448" s="28" t="str">
        <f t="array" ref="Y448">IF($I447="","",IF(AND(C448="P",C447&lt;&gt;"P"),IFERROR(XLOOKUP($B448,Lenso_Input!$A:$A,Lenso_Input!$E:$E,0),0),Y447+AS447))</f>
        <v/>
      </c>
      <c r="Z448" s="28" t="str">
        <f t="array" ref="Z448">IF($I447="","",IF(AND(C448="Q",C447&lt;&gt;"Q"),IFERROR(XLOOKUP($B448,Lenso_Input!$A:$A,Lenso_Input!$I:$I,0),0),Z447+AT447))</f>
        <v/>
      </c>
      <c r="AA448" s="28" t="str">
        <f t="array" ref="AA448">IF($I447="","",IF(XLOOKUP($B448,Derived_Variables!$A:$A,Derived_Variables!$R:$R,"6/6_target")="6/6_target","20_20_20","40_30_25"))</f>
        <v/>
      </c>
      <c r="AB448" s="28" t="str">
        <f t="array" ref="AB448">IF($I447="","",XLOOKUP(LOWER(XLOOKUP($B448,Derived_Variables!$A:$A,Derived_Variables!$T:$T,"Standard"))&amp;"_sph_step",Calibration!$B:$B,Calibration!$C:$C,0.25))</f>
        <v/>
      </c>
      <c r="AC448" s="28" t="str">
        <f t="array" ref="AC448">IF($I447="","",XLOOKUP(LOWER(XLOOKUP($B448,Derived_Variables!$A:$A,Derived_Variables!$T:$T,"Standard"))&amp;"_cyl_step",Calibration!$B:$B,Calibration!$C:$C,0.25))</f>
        <v/>
      </c>
      <c r="AD448" s="28" t="str">
        <f t="array" ref="AD448">IF($I447="","",IF(OR(C448="E",C448="H"),LET(startStep,XLOOKUP("axis_start_step",Calibration!$B:$B,Calibration!$C:$C,5),step1,XLOOKUP("axis_reversal_step_1",Calibration!$B:$B,Calibration!$C:$C,3),step2,XLOOKUP("axis_reversal_step_2",Calibration!$B:$B,Calibration!$C:$C,1),IF(OR(C447&lt;&gt;C448,AZ448="",AZ448="SAME",AZ448="CANT_TELL",I448="",I448="SAME",I448="CANT_TELL"),startStep,IF(OR(AND(AZ448="BETTER_1",I448="BETTER_2"),AND(AZ448="BETTER_2",I448="BETTER_1")),IF(AD447&gt;step1,step1,step2),AD447))),0))</f>
        <v/>
      </c>
      <c r="AE448" s="28" t="str">
        <f t="array" ref="AE448">IF($I447="","",XLOOKUP($B448,Derived_Variables!$A:$A,Derived_Variables!$AD:$AD,"No_Fog"))</f>
        <v/>
      </c>
      <c r="AF448" s="28" t="str">
        <f t="array" ref="AF448">IF($I447="","",XLOOKUP($B448,Derived_Variables!$A:$A,Derived_Variables!$AE:$AE,0))</f>
        <v/>
      </c>
      <c r="AG448" s="28" t="str">
        <f t="array" ref="AG448">IF($I447="","",XLOOKUP($B448,Derived_Variables!$A:$A,Derived_Variables!$AF:$AF,""))</f>
        <v/>
      </c>
      <c r="AH448" s="28" t="str">
        <f t="array" ref="AH448">IF($I447="","",XLOOKUP($B448,Derived_Variables!$A:$A,Derived_Variables!$AG:$AG,""))</f>
        <v/>
      </c>
      <c r="AI448" s="28" t="str">
        <f t="array" ref="AI448">IF($I447="","",XLOOKUP($B448,Derived_Variables!$A:$A,Derived_Variables!$AC:$AC,"Medium"))</f>
        <v/>
      </c>
      <c r="AJ448" s="28" t="str">
        <f t="array" ref="AJ448">IF($I447="","",XLOOKUP($B448,Derived_Variables!$A:$A,Derived_Variables!$Y:$Y,FALSE))</f>
        <v/>
      </c>
      <c r="AK448" s="28" t="str">
        <f t="array" ref="AK448">IF($I447="","",XLOOKUP($B448,Derived_Variables!$A:$A,Derived_Variables!$AA:$AA,"Normal"))</f>
        <v/>
      </c>
      <c r="AL448" s="28" t="str">
        <f t="array" ref="AL448">IF($I447="","",XLOOKUP($B448,Derived_Variables!$A:$A,Derived_Variables!$AB:$AB,"Normal"))</f>
        <v/>
      </c>
      <c r="AM448" s="28" t="str">
        <f t="array" ref="AM448">IF($I448="","",IFS(C448="B",IF(OR(I448="NOT_READABLE",I448="BLURRY"),-AB448,0),C448="G",IFS(I448="RED_CLEARER",XLOOKUP("duochrome_red_step",Calibration!$B:$B,Calibration!$C:$C,-0.25),I448="GREEN_CLEARER",XLOOKUP("duochrome_green_step",Calibration!$B:$B,Calibration!$C:$C,0.25),I448="EQUAL",IF(XLOOKUP($B448,Derived_Variables!$A:$A,Derived_Variables!$S:$S,"Neutral")="Undercorrect",XLOOKUP("undercorrect_step",Calibration!$B:$B,Calibration!$C:$C,0.25),IF(XLOOKUP($B448,Derived_Variables!$A:$A,Derived_Variables!$S:$S,"Neutral")="Overcorrect",-XLOOKUP("overcorrect_step",Calibration!$B:$B,Calibration!$C:$C,0.25),0)),TRUE,0),C448="K",IF(I448="TOP_CLEARER",XLOOKUP("bino_balance_step",Calibration!$B:$B,Calibration!$C:$C,0.25),0),TRUE,0))</f>
        <v/>
      </c>
      <c r="AN448" s="28" t="str">
        <f t="shared" si="10"/>
        <v/>
      </c>
      <c r="AO448" s="28" t="str">
        <f t="shared" si="11"/>
        <v/>
      </c>
      <c r="AP448" s="28" t="str">
        <f t="array" ref="AP448">IF($I448="","",IFS(C448="D",IF(OR(I448="NOT_READABLE",I448="BLURRY"),-AB448,0),C448="J",IFS(I448="RED_CLEARER",XLOOKUP("duochrome_red_step",Calibration!$B:$B,Calibration!$C:$C,-0.25),I448="GREEN_CLEARER",XLOOKUP("duochrome_green_step",Calibration!$B:$B,Calibration!$C:$C,0.25),I448="EQUAL",IF(XLOOKUP($B448,Derived_Variables!$A:$A,Derived_Variables!$S:$S,"Neutral")="Undercorrect",XLOOKUP("undercorrect_step",Calibration!$B:$B,Calibration!$C:$C,0.25),IF(XLOOKUP($B448,Derived_Variables!$A:$A,Derived_Variables!$S:$S,"Neutral")="Overcorrect",-XLOOKUP("overcorrect_step",Calibration!$B:$B,Calibration!$C:$C,0.25),0)),TRUE,0),C448="K",IF(I448="BOTTOM_CLEARER",XLOOKUP("bino_balance_step",Calibration!$B:$B,Calibration!$C:$C,0.25),0),TRUE,0))</f>
        <v/>
      </c>
      <c r="AQ448" s="28" t="str">
        <f t="shared" si="12"/>
        <v/>
      </c>
      <c r="AR448" s="28" t="str">
        <f t="shared" si="13"/>
        <v/>
      </c>
      <c r="AS448" s="28" t="str">
        <f t="array" ref="AS448">IF($I448="","",IF(C448="P",IF(OR(I448="NOT_READABLE",I448="BLURRY"),XLOOKUP("near_add_step",Calibration!$B:$B,Calibration!$C:$C,0.25),0),IF(C448="R",IF(I448="NOT_CLEAR",XLOOKUP("near_add_step",Calibration!$B:$B,Calibration!$C:$C,0.25),0),0)))</f>
        <v/>
      </c>
      <c r="AT448" s="28" t="str">
        <f t="array" ref="AT448">IF($I448="","",IF(C448="Q",IF(OR(I448="NOT_READABLE",I448="BLURRY"),XLOOKUP("near_add_step",Calibration!$B:$B,Calibration!$C:$C,0.25),0),IF(C448="R",IF(I448="NOT_CLEAR",XLOOKUP("near_add_step",Calibration!$B:$B,Calibration!$C:$C,0.25),0),0)))</f>
        <v/>
      </c>
      <c r="AU448" s="28" t="str">
        <f t="array" ref="AU448">IF($I448="","",IF(G448="SNELLEN_FEET",IF(I448="READABLE",IFERROR(XLOOKUP(XLOOKUP(R448,Chart_Scale_Distance!B:B,Chart_Scale_Distance!A:A)+1,Chart_Scale_Distance!A:A,Chart_Scale_Distance!B:B),R448),R448),R448))</f>
        <v/>
      </c>
      <c r="AV448" s="28" t="str">
        <f t="array" ref="AV448">IF($I447="","",IFERROR(XLOOKUP(R448,Chart_Scale_Distance!$B:$B,Chart_Scale_Distance!$A:$A,""),""))</f>
        <v/>
      </c>
      <c r="AW448" s="28" t="str">
        <f t="array" ref="AW448">IF($I447="","",IFERROR(XLOOKUP(AA448,Chart_Scale_Distance!$B:$B,Chart_Scale_Distance!$A:$A,""),""))</f>
        <v/>
      </c>
      <c r="AX448" s="28" t="str">
        <f t="shared" si="14"/>
        <v/>
      </c>
      <c r="AY448" s="28" t="str">
        <f t="shared" si="15"/>
        <v/>
      </c>
      <c r="AZ448" s="28" t="str">
        <f t="shared" si="16"/>
        <v/>
      </c>
      <c r="BA448" s="28" t="str">
        <f t="shared" si="17"/>
        <v/>
      </c>
      <c r="BB448" s="28" t="str">
        <f t="shared" si="18"/>
        <v/>
      </c>
      <c r="BC448" s="28" t="str">
        <f t="array" ref="BC448">IF($I448="","",LET(
conf,AI448,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duoMax,XLOOKUP($B448,Derived_Variables!$A:$A,Derived_Variables!$AI:$AI,4),
axisTol,XLOOKUP($B448,Derived_Variables!$A:$A,Derived_Variables!$W:$W,1),
maxStart,XLOOKUP($B448,Derived_Variables!$A:$A,Derived_Variables!$U:$U,1.25),
maxAR,XLOOKUP($B448,Derived_Variables!$A:$A,Derived_Variables!$V:$V,3),
anom,XLOOKUP($B448,Derived_Variables!$A:$A,Derived_Variables!$Z:$Z,FALSE),
reStart,XLOOKUP($B448,Derived_Variables!$A:$A,Derived_Variables!$K:$K,0),
leStart,XLOOKUP($B448,Derived_Variables!$A:$A,Derived_Variables!$N:$N,0),
reAR,XLOOKUP($B448,AR_Input!$A:$A,AR_Input!$B:$B,reStart),
leAR,XLOOKUP($B448,AR_Input!$A:$A,AR_Input!$E:$E,leStart),
reEsc,AND(anom,OR(ABS((S448+AM448)-reStart)&gt;maxStart,ABS((S448+AM448)-reAR)&gt;maxAR)),
leEsc,AND(anom,OR(ABS((V448+AP448)-leStart)&gt;maxStart,ABS((V448+AP448)-leAR)&gt;maxAR)),
phaseMax,IFS(
 AK448="Fast",
   IFS(
     OR(C448="B",C448="D"),XLOOKUP("timeout_coarse_fast",Calibration!$B:$B,Calibration!$C:$C,24),
     OR(C448="E",C448="F",C448="H",C448="I"),XLOOKUP("timeout_jcc_fast",Calibration!$B:$B,Calibration!$C:$C,10),
     OR(C448="G",C448="J"),XLOOKUP("timeout_duochrome_fast",Calibration!$B:$B,Calibration!$C:$C,8),
     C448="K",XLOOKUP("timeout_bino_fast",Calibration!$B:$B,Calibration!$C:$C,10),
     OR(C448="P",C448="Q",C448="R"),XLOOKUP("timeout_near_fast",Calibration!$B:$B,Calibration!$C:$C,16),
     TRUE,XLOOKUP("timeout_coarse_fast",Calibration!$B:$B,Calibration!$C:$C,24)
   ),
 AK448="Normal",
   IFS(
     OR(C448="B",C448="D"),XLOOKUP("timeout_coarse_normal",Calibration!$B:$B,Calibration!$C:$C,36),
     OR(C448="E",C448="F",C448="H",C448="I"),XLOOKUP("timeout_jcc_normal",Calibration!$B:$B,Calibration!$C:$C,14),
     OR(C448="G",C448="J"),XLOOKUP("timeout_duochrome_normal",Calibration!$B:$B,Calibration!$C:$C,10),
     C448="K",XLOOKUP("timeout_bino_normal",Calibration!$B:$B,Calibration!$C:$C,14),
     OR(C448="P",C448="Q",C448="R"),XLOOKUP("timeout_near_normal",Calibration!$B:$B,Calibration!$C:$C,22),
     TRUE,XLOOKUP("timeout_coarse_normal",Calibration!$B:$B,Calibration!$C:$C,36)
   ),
 TRUE,
   IFS(
     OR(C448="B",C448="D"),XLOOKUP("timeout_coarse_slow",Calibration!$B:$B,Calibration!$C:$C,48),
     OR(C448="E",C448="F",C448="H",C448="I"),XLOOKUP("timeout_jcc_slow",Calibration!$B:$B,Calibration!$C:$C,18),
     OR(C448="G",C448="J"),XLOOKUP("timeout_duochrome_slow",Calibration!$B:$B,Calibration!$C:$C,12),
     C448="K",XLOOKUP("timeout_bino_slow",Calibration!$B:$B,Calibration!$C:$C,18),
     OR(C448="P",C448="Q",C448="R"),XLOOKUP("timeout_near_slow",Calibration!$B:$B,Calibration!$C:$C,28),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AJ448=TRUE,"ESCALATE",
C448="A",
IF(OR(I448="NOT_READABLE",I448="BLURRY",AND(R448="20_20_20",I448="READABLE")),"B","A"),
C448="B",
IF(reEsc,"ESCALATE",IF(AY448&gt;=phaseMax,"ESCALATE",IF(AND(AV448&gt;=AW448,I448="READABLE"),"E","B"))),
C448="E",
IF(AY448&gt;=phaseMax,"ESCALATE",IF(OR(I448="SAME",I448="CANT_TELL",AD448&lt;axisTol),"F","E")),
C448="F",
IF(AY448&gt;=phaseMax,"ESCALATE",IF(AX448&gt;=powerSameN,"G","F")),
C448="G",
IF(AY448&gt;=phaseMax,"ESCALATE",IF(OR(AX448&gt;=duoEqualN,BB448&gt;=duoMax),"D","G")),
C448="D",
IF(leEsc,"ESCALATE",IF(AY448&gt;=phaseMax,"ESCALATE",IF(AND(AV448&gt;=AW448,I448="READABLE"),"H","D"))),
C448="H",
IF(AY448&gt;=phaseMax,"ESCALATE",IF(OR(I448="SAME",I448="CANT_TELL",AD448&lt;axisTol),"I","H")),
C448="I",
IF(AY448&gt;=phaseMax,"ESCALATE",IF(AX448&gt;=powerSameN,"J","I")),
C448="J",
IF(AY448&gt;=phaseMax,"ESCALATE",IF(OR(AX448&gt;=duoEqualN,BB448&gt;=duoMax),"K","J")),
C448="K",
IF(AY448&gt;=phaseMax,"ESCALATE",IF(AX448&gt;=binoSameN,IF(XLOOKUP($B448,Derived_Variables!$A:$A,Derived_Variables!$AJ:$AJ,FALSE)=TRUE,"P","END"),"K")),
C448="P",
IF(AY448&gt;=phaseMax,"ESCALATE",IF(OR(I448="READABLE",I448="SAME"),"Q","P")),
C448="Q",
IF(AY448&gt;=phaseMax,"ESCALATE",IF(OR(I448="READABLE",I448="SAME"),"R","Q")),
C448="R",
IF(AY448&gt;=phaseMax,"ESCALATE",IF(OR(I448=nearTarget,I448="SAME"),"END","R")),
TRUE,"END"
)))</f>
        <v/>
      </c>
      <c r="BD448" s="28" t="b">
        <f t="shared" si="19"/>
        <v>0</v>
      </c>
    </row>
    <row r="449" ht="15.75" customHeight="1">
      <c r="A449" s="28">
        <f t="shared" si="3"/>
        <v>448</v>
      </c>
      <c r="B449" s="28">
        <f t="shared" si="4"/>
        <v>6</v>
      </c>
      <c r="C449" s="28" t="str">
        <f t="shared" si="5"/>
        <v/>
      </c>
      <c r="D449" s="28" t="str">
        <f t="array" ref="D449">IF($I448="","",XLOOKUP(C449,FSM_State_Map!A:A,FSM_State_Map!B:B,""))</f>
        <v/>
      </c>
      <c r="E449" s="28" t="str">
        <f t="array" ref="E449">IF($I448="","",XLOOKUP(C449,FSM_State_Map!A:A,FSM_State_Map!C:C,""))</f>
        <v/>
      </c>
      <c r="F449" s="28" t="str">
        <f t="array" ref="F449">IF($I448="","",XLOOKUP(E449,Phase_UI_Map!A:A,Phase_UI_Map!B:B,""))</f>
        <v/>
      </c>
      <c r="G449" s="28" t="str">
        <f t="array" ref="G449">IF($I448="","",XLOOKUP(E449,Phase_UI_Map!A:A,Phase_UI_Map!C:C,""))</f>
        <v/>
      </c>
      <c r="H449" s="28" t="str">
        <f t="array" ref="H449">IF($I448="","",XLOOKUP(E449,Phase_UI_Map!A:A,Phase_UI_Map!D:D,""))</f>
        <v/>
      </c>
      <c r="I449" s="29"/>
      <c r="J449" s="28" t="str">
        <f>IFERROR(__xludf.DUMMYFUNCTION("IF($I448="""","""",IFERROR(INDEX(FILTER(Response_Lists!$B:$B,Response_Lists!$A:$A=$H449),1),""""))"),"")</f>
        <v/>
      </c>
      <c r="K449" s="28" t="str">
        <f>IFERROR(__xludf.DUMMYFUNCTION("IF($I448="""","""",IFERROR(INDEX(FILTER(Response_Lists!$B:$B,Response_Lists!$A:$A=$H449),2),""""))"),"")</f>
        <v/>
      </c>
      <c r="L449" s="28" t="str">
        <f>IFERROR(__xludf.DUMMYFUNCTION("IF($I448="""","""",IFERROR(INDEX(FILTER(Response_Lists!$B:$B,Response_Lists!$A:$A=$H449),3),""""))"),"")</f>
        <v/>
      </c>
      <c r="M449" s="28" t="str">
        <f>IFERROR(__xludf.DUMMYFUNCTION("IF($I448="""","""",IFERROR(INDEX(FILTER(Response_Lists!$B:$B,Response_Lists!$A:$A=$H449),4),""""))"),"")</f>
        <v/>
      </c>
      <c r="N449" s="28" t="str">
        <f>IFERROR(__xludf.DUMMYFUNCTION("IF($I448="""","""",IFERROR(INDEX(FILTER(Response_Lists!$B:$B,Response_Lists!$A:$A=$H449),5),""""))"),"")</f>
        <v/>
      </c>
      <c r="O449" s="28" t="str">
        <f>IFERROR(__xludf.DUMMYFUNCTION("IF($I448="""","""",IFERROR(INDEX(FILTER(Response_Lists!$B:$B,Response_Lists!$A:$A=$H449),6),""""))"),"")</f>
        <v/>
      </c>
      <c r="P449" s="28" t="str">
        <f t="shared" si="6"/>
        <v/>
      </c>
      <c r="Q449" s="28" t="str">
        <f t="array" ref="Q449">IF($I448="","",XLOOKUP(C449,FSM_State_Map!A:A,FSM_State_Map!D:D,""))</f>
        <v/>
      </c>
      <c r="R449" s="28" t="str">
        <f t="shared" si="7"/>
        <v/>
      </c>
      <c r="S449" s="28" t="str">
        <f t="array" ref="S449">IF($I448="","",
IF(
  AND(C449="B",C448&lt;&gt;"B"),
  XLOOKUP($B449,Derived_Variables!$A:$A,Derived_Variables!$K:$K,0)
  + XLOOKUP($B449,Derived_Variables!$A:$A,Derived_Variables!$AE:$AE,0),
  S448+AM448
))</f>
        <v/>
      </c>
      <c r="T449" s="28" t="str">
        <f t="shared" ref="T449:U449" si="908">IF($I448="","",T448+AN448)</f>
        <v/>
      </c>
      <c r="U449" s="28" t="str">
        <f t="shared" si="908"/>
        <v/>
      </c>
      <c r="V449" s="28" t="str">
        <f t="array" ref="V449">IF($I448="","",
IF(
  AND(C449="D",C448&lt;&gt;"D"),
  XLOOKUP($B449,Derived_Variables!$A:$A,Derived_Variables!$N:$N,0)
  + XLOOKUP($B449,Derived_Variables!$A:$A,Derived_Variables!$AE:$AE,0),
  V448+AP448
))</f>
        <v/>
      </c>
      <c r="W449" s="28" t="str">
        <f t="shared" ref="W449:X449" si="909">IF($I448="","",W448+AQ448)</f>
        <v/>
      </c>
      <c r="X449" s="28" t="str">
        <f t="shared" si="909"/>
        <v/>
      </c>
      <c r="Y449" s="28" t="str">
        <f t="array" ref="Y449">IF($I448="","",IF(AND(C449="P",C448&lt;&gt;"P"),IFERROR(XLOOKUP($B449,Lenso_Input!$A:$A,Lenso_Input!$E:$E,0),0),Y448+AS448))</f>
        <v/>
      </c>
      <c r="Z449" s="28" t="str">
        <f t="array" ref="Z449">IF($I448="","",IF(AND(C449="Q",C448&lt;&gt;"Q"),IFERROR(XLOOKUP($B449,Lenso_Input!$A:$A,Lenso_Input!$I:$I,0),0),Z448+AT448))</f>
        <v/>
      </c>
      <c r="AA449" s="28" t="str">
        <f t="array" ref="AA449">IF($I448="","",IF(XLOOKUP($B449,Derived_Variables!$A:$A,Derived_Variables!$R:$R,"6/6_target")="6/6_target","20_20_20","40_30_25"))</f>
        <v/>
      </c>
      <c r="AB449" s="28" t="str">
        <f t="array" ref="AB449">IF($I448="","",XLOOKUP(LOWER(XLOOKUP($B449,Derived_Variables!$A:$A,Derived_Variables!$T:$T,"Standard"))&amp;"_sph_step",Calibration!$B:$B,Calibration!$C:$C,0.25))</f>
        <v/>
      </c>
      <c r="AC449" s="28" t="str">
        <f t="array" ref="AC449">IF($I448="","",XLOOKUP(LOWER(XLOOKUP($B449,Derived_Variables!$A:$A,Derived_Variables!$T:$T,"Standard"))&amp;"_cyl_step",Calibration!$B:$B,Calibration!$C:$C,0.25))</f>
        <v/>
      </c>
      <c r="AD449" s="28" t="str">
        <f t="array" ref="AD449">IF($I448="","",IF(OR(C449="E",C449="H"),LET(startStep,XLOOKUP("axis_start_step",Calibration!$B:$B,Calibration!$C:$C,5),step1,XLOOKUP("axis_reversal_step_1",Calibration!$B:$B,Calibration!$C:$C,3),step2,XLOOKUP("axis_reversal_step_2",Calibration!$B:$B,Calibration!$C:$C,1),IF(OR(C448&lt;&gt;C449,AZ449="",AZ449="SAME",AZ449="CANT_TELL",I449="",I449="SAME",I449="CANT_TELL"),startStep,IF(OR(AND(AZ449="BETTER_1",I449="BETTER_2"),AND(AZ449="BETTER_2",I449="BETTER_1")),IF(AD448&gt;step1,step1,step2),AD448))),0))</f>
        <v/>
      </c>
      <c r="AE449" s="28" t="str">
        <f t="array" ref="AE449">IF($I448="","",XLOOKUP($B449,Derived_Variables!$A:$A,Derived_Variables!$AD:$AD,"No_Fog"))</f>
        <v/>
      </c>
      <c r="AF449" s="28" t="str">
        <f t="array" ref="AF449">IF($I448="","",XLOOKUP($B449,Derived_Variables!$A:$A,Derived_Variables!$AE:$AE,0))</f>
        <v/>
      </c>
      <c r="AG449" s="28" t="str">
        <f t="array" ref="AG449">IF($I448="","",XLOOKUP($B449,Derived_Variables!$A:$A,Derived_Variables!$AF:$AF,""))</f>
        <v/>
      </c>
      <c r="AH449" s="28" t="str">
        <f t="array" ref="AH449">IF($I448="","",XLOOKUP($B449,Derived_Variables!$A:$A,Derived_Variables!$AG:$AG,""))</f>
        <v/>
      </c>
      <c r="AI449" s="28" t="str">
        <f t="array" ref="AI449">IF($I448="","",XLOOKUP($B449,Derived_Variables!$A:$A,Derived_Variables!$AC:$AC,"Medium"))</f>
        <v/>
      </c>
      <c r="AJ449" s="28" t="str">
        <f t="array" ref="AJ449">IF($I448="","",XLOOKUP($B449,Derived_Variables!$A:$A,Derived_Variables!$Y:$Y,FALSE))</f>
        <v/>
      </c>
      <c r="AK449" s="28" t="str">
        <f t="array" ref="AK449">IF($I448="","",XLOOKUP($B449,Derived_Variables!$A:$A,Derived_Variables!$AA:$AA,"Normal"))</f>
        <v/>
      </c>
      <c r="AL449" s="28" t="str">
        <f t="array" ref="AL449">IF($I448="","",XLOOKUP($B449,Derived_Variables!$A:$A,Derived_Variables!$AB:$AB,"Normal"))</f>
        <v/>
      </c>
      <c r="AM449" s="28" t="str">
        <f t="array" ref="AM449">IF($I449="","",IFS(C449="B",IF(OR(I449="NOT_READABLE",I449="BLURRY"),-AB449,0),C449="G",IFS(I449="RED_CLEARER",XLOOKUP("duochrome_red_step",Calibration!$B:$B,Calibration!$C:$C,-0.25),I449="GREEN_CLEARER",XLOOKUP("duochrome_green_step",Calibration!$B:$B,Calibration!$C:$C,0.25),I449="EQUAL",IF(XLOOKUP($B449,Derived_Variables!$A:$A,Derived_Variables!$S:$S,"Neutral")="Undercorrect",XLOOKUP("undercorrect_step",Calibration!$B:$B,Calibration!$C:$C,0.25),IF(XLOOKUP($B449,Derived_Variables!$A:$A,Derived_Variables!$S:$S,"Neutral")="Overcorrect",-XLOOKUP("overcorrect_step",Calibration!$B:$B,Calibration!$C:$C,0.25),0)),TRUE,0),C449="K",IF(I449="TOP_CLEARER",XLOOKUP("bino_balance_step",Calibration!$B:$B,Calibration!$C:$C,0.25),0),TRUE,0))</f>
        <v/>
      </c>
      <c r="AN449" s="28" t="str">
        <f t="shared" si="10"/>
        <v/>
      </c>
      <c r="AO449" s="28" t="str">
        <f t="shared" si="11"/>
        <v/>
      </c>
      <c r="AP449" s="28" t="str">
        <f t="array" ref="AP449">IF($I449="","",IFS(C449="D",IF(OR(I449="NOT_READABLE",I449="BLURRY"),-AB449,0),C449="J",IFS(I449="RED_CLEARER",XLOOKUP("duochrome_red_step",Calibration!$B:$B,Calibration!$C:$C,-0.25),I449="GREEN_CLEARER",XLOOKUP("duochrome_green_step",Calibration!$B:$B,Calibration!$C:$C,0.25),I449="EQUAL",IF(XLOOKUP($B449,Derived_Variables!$A:$A,Derived_Variables!$S:$S,"Neutral")="Undercorrect",XLOOKUP("undercorrect_step",Calibration!$B:$B,Calibration!$C:$C,0.25),IF(XLOOKUP($B449,Derived_Variables!$A:$A,Derived_Variables!$S:$S,"Neutral")="Overcorrect",-XLOOKUP("overcorrect_step",Calibration!$B:$B,Calibration!$C:$C,0.25),0)),TRUE,0),C449="K",IF(I449="BOTTOM_CLEARER",XLOOKUP("bino_balance_step",Calibration!$B:$B,Calibration!$C:$C,0.25),0),TRUE,0))</f>
        <v/>
      </c>
      <c r="AQ449" s="28" t="str">
        <f t="shared" si="12"/>
        <v/>
      </c>
      <c r="AR449" s="28" t="str">
        <f t="shared" si="13"/>
        <v/>
      </c>
      <c r="AS449" s="28" t="str">
        <f t="array" ref="AS449">IF($I449="","",IF(C449="P",IF(OR(I449="NOT_READABLE",I449="BLURRY"),XLOOKUP("near_add_step",Calibration!$B:$B,Calibration!$C:$C,0.25),0),IF(C449="R",IF(I449="NOT_CLEAR",XLOOKUP("near_add_step",Calibration!$B:$B,Calibration!$C:$C,0.25),0),0)))</f>
        <v/>
      </c>
      <c r="AT449" s="28" t="str">
        <f t="array" ref="AT449">IF($I449="","",IF(C449="Q",IF(OR(I449="NOT_READABLE",I449="BLURRY"),XLOOKUP("near_add_step",Calibration!$B:$B,Calibration!$C:$C,0.25),0),IF(C449="R",IF(I449="NOT_CLEAR",XLOOKUP("near_add_step",Calibration!$B:$B,Calibration!$C:$C,0.25),0),0)))</f>
        <v/>
      </c>
      <c r="AU449" s="28" t="str">
        <f t="array" ref="AU449">IF($I449="","",IF(G449="SNELLEN_FEET",IF(I449="READABLE",IFERROR(XLOOKUP(XLOOKUP(R449,Chart_Scale_Distance!B:B,Chart_Scale_Distance!A:A)+1,Chart_Scale_Distance!A:A,Chart_Scale_Distance!B:B),R449),R449),R449))</f>
        <v/>
      </c>
      <c r="AV449" s="28" t="str">
        <f t="array" ref="AV449">IF($I448="","",IFERROR(XLOOKUP(R449,Chart_Scale_Distance!$B:$B,Chart_Scale_Distance!$A:$A,""),""))</f>
        <v/>
      </c>
      <c r="AW449" s="28" t="str">
        <f t="array" ref="AW449">IF($I448="","",IFERROR(XLOOKUP(AA449,Chart_Scale_Distance!$B:$B,Chart_Scale_Distance!$A:$A,""),""))</f>
        <v/>
      </c>
      <c r="AX449" s="28" t="str">
        <f t="shared" si="14"/>
        <v/>
      </c>
      <c r="AY449" s="28" t="str">
        <f t="shared" si="15"/>
        <v/>
      </c>
      <c r="AZ449" s="28" t="str">
        <f t="shared" si="16"/>
        <v/>
      </c>
      <c r="BA449" s="28" t="str">
        <f t="shared" si="17"/>
        <v/>
      </c>
      <c r="BB449" s="28" t="str">
        <f t="shared" si="18"/>
        <v/>
      </c>
      <c r="BC449" s="28" t="str">
        <f t="array" ref="BC449">IF($I449="","",LET(
conf,AI449,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duoMax,XLOOKUP($B449,Derived_Variables!$A:$A,Derived_Variables!$AI:$AI,4),
axisTol,XLOOKUP($B449,Derived_Variables!$A:$A,Derived_Variables!$W:$W,1),
maxStart,XLOOKUP($B449,Derived_Variables!$A:$A,Derived_Variables!$U:$U,1.25),
maxAR,XLOOKUP($B449,Derived_Variables!$A:$A,Derived_Variables!$V:$V,3),
anom,XLOOKUP($B449,Derived_Variables!$A:$A,Derived_Variables!$Z:$Z,FALSE),
reStart,XLOOKUP($B449,Derived_Variables!$A:$A,Derived_Variables!$K:$K,0),
leStart,XLOOKUP($B449,Derived_Variables!$A:$A,Derived_Variables!$N:$N,0),
reAR,XLOOKUP($B449,AR_Input!$A:$A,AR_Input!$B:$B,reStart),
leAR,XLOOKUP($B449,AR_Input!$A:$A,AR_Input!$E:$E,leStart),
reEsc,AND(anom,OR(ABS((S449+AM449)-reStart)&gt;maxStart,ABS((S449+AM449)-reAR)&gt;maxAR)),
leEsc,AND(anom,OR(ABS((V449+AP449)-leStart)&gt;maxStart,ABS((V449+AP449)-leAR)&gt;maxAR)),
phaseMax,IFS(
 AK449="Fast",
   IFS(
     OR(C449="B",C449="D"),XLOOKUP("timeout_coarse_fast",Calibration!$B:$B,Calibration!$C:$C,24),
     OR(C449="E",C449="F",C449="H",C449="I"),XLOOKUP("timeout_jcc_fast",Calibration!$B:$B,Calibration!$C:$C,10),
     OR(C449="G",C449="J"),XLOOKUP("timeout_duochrome_fast",Calibration!$B:$B,Calibration!$C:$C,8),
     C449="K",XLOOKUP("timeout_bino_fast",Calibration!$B:$B,Calibration!$C:$C,10),
     OR(C449="P",C449="Q",C449="R"),XLOOKUP("timeout_near_fast",Calibration!$B:$B,Calibration!$C:$C,16),
     TRUE,XLOOKUP("timeout_coarse_fast",Calibration!$B:$B,Calibration!$C:$C,24)
   ),
 AK449="Normal",
   IFS(
     OR(C449="B",C449="D"),XLOOKUP("timeout_coarse_normal",Calibration!$B:$B,Calibration!$C:$C,36),
     OR(C449="E",C449="F",C449="H",C449="I"),XLOOKUP("timeout_jcc_normal",Calibration!$B:$B,Calibration!$C:$C,14),
     OR(C449="G",C449="J"),XLOOKUP("timeout_duochrome_normal",Calibration!$B:$B,Calibration!$C:$C,10),
     C449="K",XLOOKUP("timeout_bino_normal",Calibration!$B:$B,Calibration!$C:$C,14),
     OR(C449="P",C449="Q",C449="R"),XLOOKUP("timeout_near_normal",Calibration!$B:$B,Calibration!$C:$C,22),
     TRUE,XLOOKUP("timeout_coarse_normal",Calibration!$B:$B,Calibration!$C:$C,36)
   ),
 TRUE,
   IFS(
     OR(C449="B",C449="D"),XLOOKUP("timeout_coarse_slow",Calibration!$B:$B,Calibration!$C:$C,48),
     OR(C449="E",C449="F",C449="H",C449="I"),XLOOKUP("timeout_jcc_slow",Calibration!$B:$B,Calibration!$C:$C,18),
     OR(C449="G",C449="J"),XLOOKUP("timeout_duochrome_slow",Calibration!$B:$B,Calibration!$C:$C,12),
     C449="K",XLOOKUP("timeout_bino_slow",Calibration!$B:$B,Calibration!$C:$C,18),
     OR(C449="P",C449="Q",C449="R"),XLOOKUP("timeout_near_slow",Calibration!$B:$B,Calibration!$C:$C,28),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AJ449=TRUE,"ESCALATE",
C449="A",
IF(OR(I449="NOT_READABLE",I449="BLURRY",AND(R449="20_20_20",I449="READABLE")),"B","A"),
C449="B",
IF(reEsc,"ESCALATE",IF(AY449&gt;=phaseMax,"ESCALATE",IF(AND(AV449&gt;=AW449,I449="READABLE"),"E","B"))),
C449="E",
IF(AY449&gt;=phaseMax,"ESCALATE",IF(OR(I449="SAME",I449="CANT_TELL",AD449&lt;axisTol),"F","E")),
C449="F",
IF(AY449&gt;=phaseMax,"ESCALATE",IF(AX449&gt;=powerSameN,"G","F")),
C449="G",
IF(AY449&gt;=phaseMax,"ESCALATE",IF(OR(AX449&gt;=duoEqualN,BB449&gt;=duoMax),"D","G")),
C449="D",
IF(leEsc,"ESCALATE",IF(AY449&gt;=phaseMax,"ESCALATE",IF(AND(AV449&gt;=AW449,I449="READABLE"),"H","D"))),
C449="H",
IF(AY449&gt;=phaseMax,"ESCALATE",IF(OR(I449="SAME",I449="CANT_TELL",AD449&lt;axisTol),"I","H")),
C449="I",
IF(AY449&gt;=phaseMax,"ESCALATE",IF(AX449&gt;=powerSameN,"J","I")),
C449="J",
IF(AY449&gt;=phaseMax,"ESCALATE",IF(OR(AX449&gt;=duoEqualN,BB449&gt;=duoMax),"K","J")),
C449="K",
IF(AY449&gt;=phaseMax,"ESCALATE",IF(AX449&gt;=binoSameN,IF(XLOOKUP($B449,Derived_Variables!$A:$A,Derived_Variables!$AJ:$AJ,FALSE)=TRUE,"P","END"),"K")),
C449="P",
IF(AY449&gt;=phaseMax,"ESCALATE",IF(OR(I449="READABLE",I449="SAME"),"Q","P")),
C449="Q",
IF(AY449&gt;=phaseMax,"ESCALATE",IF(OR(I449="READABLE",I449="SAME"),"R","Q")),
C449="R",
IF(AY449&gt;=phaseMax,"ESCALATE",IF(OR(I449=nearTarget,I449="SAME"),"END","R")),
TRUE,"END"
)))</f>
        <v/>
      </c>
      <c r="BD449" s="28" t="b">
        <f t="shared" si="19"/>
        <v>0</v>
      </c>
    </row>
    <row r="450" ht="15.75" customHeight="1">
      <c r="A450" s="28">
        <f t="shared" si="3"/>
        <v>449</v>
      </c>
      <c r="B450" s="28">
        <f t="shared" si="4"/>
        <v>6</v>
      </c>
      <c r="C450" s="28" t="str">
        <f t="shared" si="5"/>
        <v/>
      </c>
      <c r="D450" s="28" t="str">
        <f t="array" ref="D450">IF($I449="","",XLOOKUP(C450,FSM_State_Map!A:A,FSM_State_Map!B:B,""))</f>
        <v/>
      </c>
      <c r="E450" s="28" t="str">
        <f t="array" ref="E450">IF($I449="","",XLOOKUP(C450,FSM_State_Map!A:A,FSM_State_Map!C:C,""))</f>
        <v/>
      </c>
      <c r="F450" s="28" t="str">
        <f t="array" ref="F450">IF($I449="","",XLOOKUP(E450,Phase_UI_Map!A:A,Phase_UI_Map!B:B,""))</f>
        <v/>
      </c>
      <c r="G450" s="28" t="str">
        <f t="array" ref="G450">IF($I449="","",XLOOKUP(E450,Phase_UI_Map!A:A,Phase_UI_Map!C:C,""))</f>
        <v/>
      </c>
      <c r="H450" s="28" t="str">
        <f t="array" ref="H450">IF($I449="","",XLOOKUP(E450,Phase_UI_Map!A:A,Phase_UI_Map!D:D,""))</f>
        <v/>
      </c>
      <c r="I450" s="29"/>
      <c r="J450" s="28" t="str">
        <f>IFERROR(__xludf.DUMMYFUNCTION("IF($I449="""","""",IFERROR(INDEX(FILTER(Response_Lists!$B:$B,Response_Lists!$A:$A=$H450),1),""""))"),"")</f>
        <v/>
      </c>
      <c r="K450" s="28" t="str">
        <f>IFERROR(__xludf.DUMMYFUNCTION("IF($I449="""","""",IFERROR(INDEX(FILTER(Response_Lists!$B:$B,Response_Lists!$A:$A=$H450),2),""""))"),"")</f>
        <v/>
      </c>
      <c r="L450" s="28" t="str">
        <f>IFERROR(__xludf.DUMMYFUNCTION("IF($I449="""","""",IFERROR(INDEX(FILTER(Response_Lists!$B:$B,Response_Lists!$A:$A=$H450),3),""""))"),"")</f>
        <v/>
      </c>
      <c r="M450" s="28" t="str">
        <f>IFERROR(__xludf.DUMMYFUNCTION("IF($I449="""","""",IFERROR(INDEX(FILTER(Response_Lists!$B:$B,Response_Lists!$A:$A=$H450),4),""""))"),"")</f>
        <v/>
      </c>
      <c r="N450" s="28" t="str">
        <f>IFERROR(__xludf.DUMMYFUNCTION("IF($I449="""","""",IFERROR(INDEX(FILTER(Response_Lists!$B:$B,Response_Lists!$A:$A=$H450),5),""""))"),"")</f>
        <v/>
      </c>
      <c r="O450" s="28" t="str">
        <f>IFERROR(__xludf.DUMMYFUNCTION("IF($I449="""","""",IFERROR(INDEX(FILTER(Response_Lists!$B:$B,Response_Lists!$A:$A=$H450),6),""""))"),"")</f>
        <v/>
      </c>
      <c r="P450" s="28" t="str">
        <f t="shared" si="6"/>
        <v/>
      </c>
      <c r="Q450" s="28" t="str">
        <f t="array" ref="Q450">IF($I449="","",XLOOKUP(C450,FSM_State_Map!A:A,FSM_State_Map!D:D,""))</f>
        <v/>
      </c>
      <c r="R450" s="28" t="str">
        <f t="shared" si="7"/>
        <v/>
      </c>
      <c r="S450" s="28" t="str">
        <f t="array" ref="S450">IF($I449="","",
IF(
  AND(C450="B",C449&lt;&gt;"B"),
  XLOOKUP($B450,Derived_Variables!$A:$A,Derived_Variables!$K:$K,0)
  + XLOOKUP($B450,Derived_Variables!$A:$A,Derived_Variables!$AE:$AE,0),
  S449+AM449
))</f>
        <v/>
      </c>
      <c r="T450" s="28" t="str">
        <f t="shared" ref="T450:U450" si="910">IF($I449="","",T449+AN449)</f>
        <v/>
      </c>
      <c r="U450" s="28" t="str">
        <f t="shared" si="910"/>
        <v/>
      </c>
      <c r="V450" s="28" t="str">
        <f t="array" ref="V450">IF($I449="","",
IF(
  AND(C450="D",C449&lt;&gt;"D"),
  XLOOKUP($B450,Derived_Variables!$A:$A,Derived_Variables!$N:$N,0)
  + XLOOKUP($B450,Derived_Variables!$A:$A,Derived_Variables!$AE:$AE,0),
  V449+AP449
))</f>
        <v/>
      </c>
      <c r="W450" s="28" t="str">
        <f t="shared" ref="W450:X450" si="911">IF($I449="","",W449+AQ449)</f>
        <v/>
      </c>
      <c r="X450" s="28" t="str">
        <f t="shared" si="911"/>
        <v/>
      </c>
      <c r="Y450" s="28" t="str">
        <f t="array" ref="Y450">IF($I449="","",IF(AND(C450="P",C449&lt;&gt;"P"),IFERROR(XLOOKUP($B450,Lenso_Input!$A:$A,Lenso_Input!$E:$E,0),0),Y449+AS449))</f>
        <v/>
      </c>
      <c r="Z450" s="28" t="str">
        <f t="array" ref="Z450">IF($I449="","",IF(AND(C450="Q",C449&lt;&gt;"Q"),IFERROR(XLOOKUP($B450,Lenso_Input!$A:$A,Lenso_Input!$I:$I,0),0),Z449+AT449))</f>
        <v/>
      </c>
      <c r="AA450" s="28" t="str">
        <f t="array" ref="AA450">IF($I449="","",IF(XLOOKUP($B450,Derived_Variables!$A:$A,Derived_Variables!$R:$R,"6/6_target")="6/6_target","20_20_20","40_30_25"))</f>
        <v/>
      </c>
      <c r="AB450" s="28" t="str">
        <f t="array" ref="AB450">IF($I449="","",XLOOKUP(LOWER(XLOOKUP($B450,Derived_Variables!$A:$A,Derived_Variables!$T:$T,"Standard"))&amp;"_sph_step",Calibration!$B:$B,Calibration!$C:$C,0.25))</f>
        <v/>
      </c>
      <c r="AC450" s="28" t="str">
        <f t="array" ref="AC450">IF($I449="","",XLOOKUP(LOWER(XLOOKUP($B450,Derived_Variables!$A:$A,Derived_Variables!$T:$T,"Standard"))&amp;"_cyl_step",Calibration!$B:$B,Calibration!$C:$C,0.25))</f>
        <v/>
      </c>
      <c r="AD450" s="28" t="str">
        <f t="array" ref="AD450">IF($I449="","",IF(OR(C450="E",C450="H"),LET(startStep,XLOOKUP("axis_start_step",Calibration!$B:$B,Calibration!$C:$C,5),step1,XLOOKUP("axis_reversal_step_1",Calibration!$B:$B,Calibration!$C:$C,3),step2,XLOOKUP("axis_reversal_step_2",Calibration!$B:$B,Calibration!$C:$C,1),IF(OR(C449&lt;&gt;C450,AZ450="",AZ450="SAME",AZ450="CANT_TELL",I450="",I450="SAME",I450="CANT_TELL"),startStep,IF(OR(AND(AZ450="BETTER_1",I450="BETTER_2"),AND(AZ450="BETTER_2",I450="BETTER_1")),IF(AD449&gt;step1,step1,step2),AD449))),0))</f>
        <v/>
      </c>
      <c r="AE450" s="28" t="str">
        <f t="array" ref="AE450">IF($I449="","",XLOOKUP($B450,Derived_Variables!$A:$A,Derived_Variables!$AD:$AD,"No_Fog"))</f>
        <v/>
      </c>
      <c r="AF450" s="28" t="str">
        <f t="array" ref="AF450">IF($I449="","",XLOOKUP($B450,Derived_Variables!$A:$A,Derived_Variables!$AE:$AE,0))</f>
        <v/>
      </c>
      <c r="AG450" s="28" t="str">
        <f t="array" ref="AG450">IF($I449="","",XLOOKUP($B450,Derived_Variables!$A:$A,Derived_Variables!$AF:$AF,""))</f>
        <v/>
      </c>
      <c r="AH450" s="28" t="str">
        <f t="array" ref="AH450">IF($I449="","",XLOOKUP($B450,Derived_Variables!$A:$A,Derived_Variables!$AG:$AG,""))</f>
        <v/>
      </c>
      <c r="AI450" s="28" t="str">
        <f t="array" ref="AI450">IF($I449="","",XLOOKUP($B450,Derived_Variables!$A:$A,Derived_Variables!$AC:$AC,"Medium"))</f>
        <v/>
      </c>
      <c r="AJ450" s="28" t="str">
        <f t="array" ref="AJ450">IF($I449="","",XLOOKUP($B450,Derived_Variables!$A:$A,Derived_Variables!$Y:$Y,FALSE))</f>
        <v/>
      </c>
      <c r="AK450" s="28" t="str">
        <f t="array" ref="AK450">IF($I449="","",XLOOKUP($B450,Derived_Variables!$A:$A,Derived_Variables!$AA:$AA,"Normal"))</f>
        <v/>
      </c>
      <c r="AL450" s="28" t="str">
        <f t="array" ref="AL450">IF($I449="","",XLOOKUP($B450,Derived_Variables!$A:$A,Derived_Variables!$AB:$AB,"Normal"))</f>
        <v/>
      </c>
      <c r="AM450" s="28" t="str">
        <f t="array" ref="AM450">IF($I450="","",IFS(C450="B",IF(OR(I450="NOT_READABLE",I450="BLURRY"),-AB450,0),C450="G",IFS(I450="RED_CLEARER",XLOOKUP("duochrome_red_step",Calibration!$B:$B,Calibration!$C:$C,-0.25),I450="GREEN_CLEARER",XLOOKUP("duochrome_green_step",Calibration!$B:$B,Calibration!$C:$C,0.25),I450="EQUAL",IF(XLOOKUP($B450,Derived_Variables!$A:$A,Derived_Variables!$S:$S,"Neutral")="Undercorrect",XLOOKUP("undercorrect_step",Calibration!$B:$B,Calibration!$C:$C,0.25),IF(XLOOKUP($B450,Derived_Variables!$A:$A,Derived_Variables!$S:$S,"Neutral")="Overcorrect",-XLOOKUP("overcorrect_step",Calibration!$B:$B,Calibration!$C:$C,0.25),0)),TRUE,0),C450="K",IF(I450="TOP_CLEARER",XLOOKUP("bino_balance_step",Calibration!$B:$B,Calibration!$C:$C,0.25),0),TRUE,0))</f>
        <v/>
      </c>
      <c r="AN450" s="28" t="str">
        <f t="shared" si="10"/>
        <v/>
      </c>
      <c r="AO450" s="28" t="str">
        <f t="shared" si="11"/>
        <v/>
      </c>
      <c r="AP450" s="28" t="str">
        <f t="array" ref="AP450">IF($I450="","",IFS(C450="D",IF(OR(I450="NOT_READABLE",I450="BLURRY"),-AB450,0),C450="J",IFS(I450="RED_CLEARER",XLOOKUP("duochrome_red_step",Calibration!$B:$B,Calibration!$C:$C,-0.25),I450="GREEN_CLEARER",XLOOKUP("duochrome_green_step",Calibration!$B:$B,Calibration!$C:$C,0.25),I450="EQUAL",IF(XLOOKUP($B450,Derived_Variables!$A:$A,Derived_Variables!$S:$S,"Neutral")="Undercorrect",XLOOKUP("undercorrect_step",Calibration!$B:$B,Calibration!$C:$C,0.25),IF(XLOOKUP($B450,Derived_Variables!$A:$A,Derived_Variables!$S:$S,"Neutral")="Overcorrect",-XLOOKUP("overcorrect_step",Calibration!$B:$B,Calibration!$C:$C,0.25),0)),TRUE,0),C450="K",IF(I450="BOTTOM_CLEARER",XLOOKUP("bino_balance_step",Calibration!$B:$B,Calibration!$C:$C,0.25),0),TRUE,0))</f>
        <v/>
      </c>
      <c r="AQ450" s="28" t="str">
        <f t="shared" si="12"/>
        <v/>
      </c>
      <c r="AR450" s="28" t="str">
        <f t="shared" si="13"/>
        <v/>
      </c>
      <c r="AS450" s="28" t="str">
        <f t="array" ref="AS450">IF($I450="","",IF(C450="P",IF(OR(I450="NOT_READABLE",I450="BLURRY"),XLOOKUP("near_add_step",Calibration!$B:$B,Calibration!$C:$C,0.25),0),IF(C450="R",IF(I450="NOT_CLEAR",XLOOKUP("near_add_step",Calibration!$B:$B,Calibration!$C:$C,0.25),0),0)))</f>
        <v/>
      </c>
      <c r="AT450" s="28" t="str">
        <f t="array" ref="AT450">IF($I450="","",IF(C450="Q",IF(OR(I450="NOT_READABLE",I450="BLURRY"),XLOOKUP("near_add_step",Calibration!$B:$B,Calibration!$C:$C,0.25),0),IF(C450="R",IF(I450="NOT_CLEAR",XLOOKUP("near_add_step",Calibration!$B:$B,Calibration!$C:$C,0.25),0),0)))</f>
        <v/>
      </c>
      <c r="AU450" s="28" t="str">
        <f t="array" ref="AU450">IF($I450="","",IF(G450="SNELLEN_FEET",IF(I450="READABLE",IFERROR(XLOOKUP(XLOOKUP(R450,Chart_Scale_Distance!B:B,Chart_Scale_Distance!A:A)+1,Chart_Scale_Distance!A:A,Chart_Scale_Distance!B:B),R450),R450),R450))</f>
        <v/>
      </c>
      <c r="AV450" s="28" t="str">
        <f t="array" ref="AV450">IF($I449="","",IFERROR(XLOOKUP(R450,Chart_Scale_Distance!$B:$B,Chart_Scale_Distance!$A:$A,""),""))</f>
        <v/>
      </c>
      <c r="AW450" s="28" t="str">
        <f t="array" ref="AW450">IF($I449="","",IFERROR(XLOOKUP(AA450,Chart_Scale_Distance!$B:$B,Chart_Scale_Distance!$A:$A,""),""))</f>
        <v/>
      </c>
      <c r="AX450" s="28" t="str">
        <f t="shared" si="14"/>
        <v/>
      </c>
      <c r="AY450" s="28" t="str">
        <f t="shared" si="15"/>
        <v/>
      </c>
      <c r="AZ450" s="28" t="str">
        <f t="shared" si="16"/>
        <v/>
      </c>
      <c r="BA450" s="28" t="str">
        <f t="shared" si="17"/>
        <v/>
      </c>
      <c r="BB450" s="28" t="str">
        <f t="shared" si="18"/>
        <v/>
      </c>
      <c r="BC450" s="28" t="str">
        <f t="array" ref="BC450">IF($I450="","",LET(
conf,AI450,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duoMax,XLOOKUP($B450,Derived_Variables!$A:$A,Derived_Variables!$AI:$AI,4),
axisTol,XLOOKUP($B450,Derived_Variables!$A:$A,Derived_Variables!$W:$W,1),
maxStart,XLOOKUP($B450,Derived_Variables!$A:$A,Derived_Variables!$U:$U,1.25),
maxAR,XLOOKUP($B450,Derived_Variables!$A:$A,Derived_Variables!$V:$V,3),
anom,XLOOKUP($B450,Derived_Variables!$A:$A,Derived_Variables!$Z:$Z,FALSE),
reStart,XLOOKUP($B450,Derived_Variables!$A:$A,Derived_Variables!$K:$K,0),
leStart,XLOOKUP($B450,Derived_Variables!$A:$A,Derived_Variables!$N:$N,0),
reAR,XLOOKUP($B450,AR_Input!$A:$A,AR_Input!$B:$B,reStart),
leAR,XLOOKUP($B450,AR_Input!$A:$A,AR_Input!$E:$E,leStart),
reEsc,AND(anom,OR(ABS((S450+AM450)-reStart)&gt;maxStart,ABS((S450+AM450)-reAR)&gt;maxAR)),
leEsc,AND(anom,OR(ABS((V450+AP450)-leStart)&gt;maxStart,ABS((V450+AP450)-leAR)&gt;maxAR)),
phaseMax,IFS(
 AK450="Fast",
   IFS(
     OR(C450="B",C450="D"),XLOOKUP("timeout_coarse_fast",Calibration!$B:$B,Calibration!$C:$C,24),
     OR(C450="E",C450="F",C450="H",C450="I"),XLOOKUP("timeout_jcc_fast",Calibration!$B:$B,Calibration!$C:$C,10),
     OR(C450="G",C450="J"),XLOOKUP("timeout_duochrome_fast",Calibration!$B:$B,Calibration!$C:$C,8),
     C450="K",XLOOKUP("timeout_bino_fast",Calibration!$B:$B,Calibration!$C:$C,10),
     OR(C450="P",C450="Q",C450="R"),XLOOKUP("timeout_near_fast",Calibration!$B:$B,Calibration!$C:$C,16),
     TRUE,XLOOKUP("timeout_coarse_fast",Calibration!$B:$B,Calibration!$C:$C,24)
   ),
 AK450="Normal",
   IFS(
     OR(C450="B",C450="D"),XLOOKUP("timeout_coarse_normal",Calibration!$B:$B,Calibration!$C:$C,36),
     OR(C450="E",C450="F",C450="H",C450="I"),XLOOKUP("timeout_jcc_normal",Calibration!$B:$B,Calibration!$C:$C,14),
     OR(C450="G",C450="J"),XLOOKUP("timeout_duochrome_normal",Calibration!$B:$B,Calibration!$C:$C,10),
     C450="K",XLOOKUP("timeout_bino_normal",Calibration!$B:$B,Calibration!$C:$C,14),
     OR(C450="P",C450="Q",C450="R"),XLOOKUP("timeout_near_normal",Calibration!$B:$B,Calibration!$C:$C,22),
     TRUE,XLOOKUP("timeout_coarse_normal",Calibration!$B:$B,Calibration!$C:$C,36)
   ),
 TRUE,
   IFS(
     OR(C450="B",C450="D"),XLOOKUP("timeout_coarse_slow",Calibration!$B:$B,Calibration!$C:$C,48),
     OR(C450="E",C450="F",C450="H",C450="I"),XLOOKUP("timeout_jcc_slow",Calibration!$B:$B,Calibration!$C:$C,18),
     OR(C450="G",C450="J"),XLOOKUP("timeout_duochrome_slow",Calibration!$B:$B,Calibration!$C:$C,12),
     C450="K",XLOOKUP("timeout_bino_slow",Calibration!$B:$B,Calibration!$C:$C,18),
     OR(C450="P",C450="Q",C450="R"),XLOOKUP("timeout_near_slow",Calibration!$B:$B,Calibration!$C:$C,28),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AJ450=TRUE,"ESCALATE",
C450="A",
IF(OR(I450="NOT_READABLE",I450="BLURRY",AND(R450="20_20_20",I450="READABLE")),"B","A"),
C450="B",
IF(reEsc,"ESCALATE",IF(AY450&gt;=phaseMax,"ESCALATE",IF(AND(AV450&gt;=AW450,I450="READABLE"),"E","B"))),
C450="E",
IF(AY450&gt;=phaseMax,"ESCALATE",IF(OR(I450="SAME",I450="CANT_TELL",AD450&lt;axisTol),"F","E")),
C450="F",
IF(AY450&gt;=phaseMax,"ESCALATE",IF(AX450&gt;=powerSameN,"G","F")),
C450="G",
IF(AY450&gt;=phaseMax,"ESCALATE",IF(OR(AX450&gt;=duoEqualN,BB450&gt;=duoMax),"D","G")),
C450="D",
IF(leEsc,"ESCALATE",IF(AY450&gt;=phaseMax,"ESCALATE",IF(AND(AV450&gt;=AW450,I450="READABLE"),"H","D"))),
C450="H",
IF(AY450&gt;=phaseMax,"ESCALATE",IF(OR(I450="SAME",I450="CANT_TELL",AD450&lt;axisTol),"I","H")),
C450="I",
IF(AY450&gt;=phaseMax,"ESCALATE",IF(AX450&gt;=powerSameN,"J","I")),
C450="J",
IF(AY450&gt;=phaseMax,"ESCALATE",IF(OR(AX450&gt;=duoEqualN,BB450&gt;=duoMax),"K","J")),
C450="K",
IF(AY450&gt;=phaseMax,"ESCALATE",IF(AX450&gt;=binoSameN,IF(XLOOKUP($B450,Derived_Variables!$A:$A,Derived_Variables!$AJ:$AJ,FALSE)=TRUE,"P","END"),"K")),
C450="P",
IF(AY450&gt;=phaseMax,"ESCALATE",IF(OR(I450="READABLE",I450="SAME"),"Q","P")),
C450="Q",
IF(AY450&gt;=phaseMax,"ESCALATE",IF(OR(I450="READABLE",I450="SAME"),"R","Q")),
C450="R",
IF(AY450&gt;=phaseMax,"ESCALATE",IF(OR(I450=nearTarget,I450="SAME"),"END","R")),
TRUE,"END"
)))</f>
        <v/>
      </c>
      <c r="BD450" s="28" t="b">
        <f t="shared" si="19"/>
        <v>0</v>
      </c>
    </row>
    <row r="451" ht="15.75" customHeight="1">
      <c r="A451" s="28">
        <f t="shared" si="3"/>
        <v>450</v>
      </c>
      <c r="B451" s="28">
        <f t="shared" si="4"/>
        <v>6</v>
      </c>
      <c r="C451" s="28" t="str">
        <f t="shared" si="5"/>
        <v/>
      </c>
      <c r="D451" s="28" t="str">
        <f t="array" ref="D451">IF($I450="","",XLOOKUP(C451,FSM_State_Map!A:A,FSM_State_Map!B:B,""))</f>
        <v/>
      </c>
      <c r="E451" s="28" t="str">
        <f t="array" ref="E451">IF($I450="","",XLOOKUP(C451,FSM_State_Map!A:A,FSM_State_Map!C:C,""))</f>
        <v/>
      </c>
      <c r="F451" s="28" t="str">
        <f t="array" ref="F451">IF($I450="","",XLOOKUP(E451,Phase_UI_Map!A:A,Phase_UI_Map!B:B,""))</f>
        <v/>
      </c>
      <c r="G451" s="28" t="str">
        <f t="array" ref="G451">IF($I450="","",XLOOKUP(E451,Phase_UI_Map!A:A,Phase_UI_Map!C:C,""))</f>
        <v/>
      </c>
      <c r="H451" s="28" t="str">
        <f t="array" ref="H451">IF($I450="","",XLOOKUP(E451,Phase_UI_Map!A:A,Phase_UI_Map!D:D,""))</f>
        <v/>
      </c>
      <c r="I451" s="29"/>
      <c r="J451" s="28" t="str">
        <f>IFERROR(__xludf.DUMMYFUNCTION("IF($I450="""","""",IFERROR(INDEX(FILTER(Response_Lists!$B:$B,Response_Lists!$A:$A=$H451),1),""""))"),"")</f>
        <v/>
      </c>
      <c r="K451" s="28" t="str">
        <f>IFERROR(__xludf.DUMMYFUNCTION("IF($I450="""","""",IFERROR(INDEX(FILTER(Response_Lists!$B:$B,Response_Lists!$A:$A=$H451),2),""""))"),"")</f>
        <v/>
      </c>
      <c r="L451" s="28" t="str">
        <f>IFERROR(__xludf.DUMMYFUNCTION("IF($I450="""","""",IFERROR(INDEX(FILTER(Response_Lists!$B:$B,Response_Lists!$A:$A=$H451),3),""""))"),"")</f>
        <v/>
      </c>
      <c r="M451" s="28" t="str">
        <f>IFERROR(__xludf.DUMMYFUNCTION("IF($I450="""","""",IFERROR(INDEX(FILTER(Response_Lists!$B:$B,Response_Lists!$A:$A=$H451),4),""""))"),"")</f>
        <v/>
      </c>
      <c r="N451" s="28" t="str">
        <f>IFERROR(__xludf.DUMMYFUNCTION("IF($I450="""","""",IFERROR(INDEX(FILTER(Response_Lists!$B:$B,Response_Lists!$A:$A=$H451),5),""""))"),"")</f>
        <v/>
      </c>
      <c r="O451" s="28" t="str">
        <f>IFERROR(__xludf.DUMMYFUNCTION("IF($I450="""","""",IFERROR(INDEX(FILTER(Response_Lists!$B:$B,Response_Lists!$A:$A=$H451),6),""""))"),"")</f>
        <v/>
      </c>
      <c r="P451" s="28" t="str">
        <f t="shared" si="6"/>
        <v/>
      </c>
      <c r="Q451" s="28" t="str">
        <f t="array" ref="Q451">IF($I450="","",XLOOKUP(C451,FSM_State_Map!A:A,FSM_State_Map!D:D,""))</f>
        <v/>
      </c>
      <c r="R451" s="28" t="str">
        <f t="shared" si="7"/>
        <v/>
      </c>
      <c r="S451" s="28" t="str">
        <f t="array" ref="S451">IF($I450="","",
IF(
  AND(C451="B",C450&lt;&gt;"B"),
  XLOOKUP($B451,Derived_Variables!$A:$A,Derived_Variables!$K:$K,0)
  + XLOOKUP($B451,Derived_Variables!$A:$A,Derived_Variables!$AE:$AE,0),
  S450+AM450
))</f>
        <v/>
      </c>
      <c r="T451" s="28" t="str">
        <f t="shared" ref="T451:U451" si="912">IF($I450="","",T450+AN450)</f>
        <v/>
      </c>
      <c r="U451" s="28" t="str">
        <f t="shared" si="912"/>
        <v/>
      </c>
      <c r="V451" s="28" t="str">
        <f t="array" ref="V451">IF($I450="","",
IF(
  AND(C451="D",C450&lt;&gt;"D"),
  XLOOKUP($B451,Derived_Variables!$A:$A,Derived_Variables!$N:$N,0)
  + XLOOKUP($B451,Derived_Variables!$A:$A,Derived_Variables!$AE:$AE,0),
  V450+AP450
))</f>
        <v/>
      </c>
      <c r="W451" s="28" t="str">
        <f t="shared" ref="W451:X451" si="913">IF($I450="","",W450+AQ450)</f>
        <v/>
      </c>
      <c r="X451" s="28" t="str">
        <f t="shared" si="913"/>
        <v/>
      </c>
      <c r="Y451" s="28" t="str">
        <f t="array" ref="Y451">IF($I450="","",IF(AND(C451="P",C450&lt;&gt;"P"),IFERROR(XLOOKUP($B451,Lenso_Input!$A:$A,Lenso_Input!$E:$E,0),0),Y450+AS450))</f>
        <v/>
      </c>
      <c r="Z451" s="28" t="str">
        <f t="array" ref="Z451">IF($I450="","",IF(AND(C451="Q",C450&lt;&gt;"Q"),IFERROR(XLOOKUP($B451,Lenso_Input!$A:$A,Lenso_Input!$I:$I,0),0),Z450+AT450))</f>
        <v/>
      </c>
      <c r="AA451" s="28" t="str">
        <f t="array" ref="AA451">IF($I450="","",IF(XLOOKUP($B451,Derived_Variables!$A:$A,Derived_Variables!$R:$R,"6/6_target")="6/6_target","20_20_20","40_30_25"))</f>
        <v/>
      </c>
      <c r="AB451" s="28" t="str">
        <f t="array" ref="AB451">IF($I450="","",XLOOKUP(LOWER(XLOOKUP($B451,Derived_Variables!$A:$A,Derived_Variables!$T:$T,"Standard"))&amp;"_sph_step",Calibration!$B:$B,Calibration!$C:$C,0.25))</f>
        <v/>
      </c>
      <c r="AC451" s="28" t="str">
        <f t="array" ref="AC451">IF($I450="","",XLOOKUP(LOWER(XLOOKUP($B451,Derived_Variables!$A:$A,Derived_Variables!$T:$T,"Standard"))&amp;"_cyl_step",Calibration!$B:$B,Calibration!$C:$C,0.25))</f>
        <v/>
      </c>
      <c r="AD451" s="28" t="str">
        <f t="array" ref="AD451">IF($I450="","",IF(OR(C451="E",C451="H"),LET(startStep,XLOOKUP("axis_start_step",Calibration!$B:$B,Calibration!$C:$C,5),step1,XLOOKUP("axis_reversal_step_1",Calibration!$B:$B,Calibration!$C:$C,3),step2,XLOOKUP("axis_reversal_step_2",Calibration!$B:$B,Calibration!$C:$C,1),IF(OR(C450&lt;&gt;C451,AZ451="",AZ451="SAME",AZ451="CANT_TELL",I451="",I451="SAME",I451="CANT_TELL"),startStep,IF(OR(AND(AZ451="BETTER_1",I451="BETTER_2"),AND(AZ451="BETTER_2",I451="BETTER_1")),IF(AD450&gt;step1,step1,step2),AD450))),0))</f>
        <v/>
      </c>
      <c r="AE451" s="28" t="str">
        <f t="array" ref="AE451">IF($I450="","",XLOOKUP($B451,Derived_Variables!$A:$A,Derived_Variables!$AD:$AD,"No_Fog"))</f>
        <v/>
      </c>
      <c r="AF451" s="28" t="str">
        <f t="array" ref="AF451">IF($I450="","",XLOOKUP($B451,Derived_Variables!$A:$A,Derived_Variables!$AE:$AE,0))</f>
        <v/>
      </c>
      <c r="AG451" s="28" t="str">
        <f t="array" ref="AG451">IF($I450="","",XLOOKUP($B451,Derived_Variables!$A:$A,Derived_Variables!$AF:$AF,""))</f>
        <v/>
      </c>
      <c r="AH451" s="28" t="str">
        <f t="array" ref="AH451">IF($I450="","",XLOOKUP($B451,Derived_Variables!$A:$A,Derived_Variables!$AG:$AG,""))</f>
        <v/>
      </c>
      <c r="AI451" s="28" t="str">
        <f t="array" ref="AI451">IF($I450="","",XLOOKUP($B451,Derived_Variables!$A:$A,Derived_Variables!$AC:$AC,"Medium"))</f>
        <v/>
      </c>
      <c r="AJ451" s="28" t="str">
        <f t="array" ref="AJ451">IF($I450="","",XLOOKUP($B451,Derived_Variables!$A:$A,Derived_Variables!$Y:$Y,FALSE))</f>
        <v/>
      </c>
      <c r="AK451" s="28" t="str">
        <f t="array" ref="AK451">IF($I450="","",XLOOKUP($B451,Derived_Variables!$A:$A,Derived_Variables!$AA:$AA,"Normal"))</f>
        <v/>
      </c>
      <c r="AL451" s="28" t="str">
        <f t="array" ref="AL451">IF($I450="","",XLOOKUP($B451,Derived_Variables!$A:$A,Derived_Variables!$AB:$AB,"Normal"))</f>
        <v/>
      </c>
      <c r="AM451" s="28" t="str">
        <f t="array" ref="AM451">IF($I451="","",IFS(C451="B",IF(OR(I451="NOT_READABLE",I451="BLURRY"),-AB451,0),C451="G",IFS(I451="RED_CLEARER",XLOOKUP("duochrome_red_step",Calibration!$B:$B,Calibration!$C:$C,-0.25),I451="GREEN_CLEARER",XLOOKUP("duochrome_green_step",Calibration!$B:$B,Calibration!$C:$C,0.25),I451="EQUAL",IF(XLOOKUP($B451,Derived_Variables!$A:$A,Derived_Variables!$S:$S,"Neutral")="Undercorrect",XLOOKUP("undercorrect_step",Calibration!$B:$B,Calibration!$C:$C,0.25),IF(XLOOKUP($B451,Derived_Variables!$A:$A,Derived_Variables!$S:$S,"Neutral")="Overcorrect",-XLOOKUP("overcorrect_step",Calibration!$B:$B,Calibration!$C:$C,0.25),0)),TRUE,0),C451="K",IF(I451="TOP_CLEARER",XLOOKUP("bino_balance_step",Calibration!$B:$B,Calibration!$C:$C,0.25),0),TRUE,0))</f>
        <v/>
      </c>
      <c r="AN451" s="28" t="str">
        <f t="shared" si="10"/>
        <v/>
      </c>
      <c r="AO451" s="28" t="str">
        <f t="shared" si="11"/>
        <v/>
      </c>
      <c r="AP451" s="28" t="str">
        <f t="array" ref="AP451">IF($I451="","",IFS(C451="D",IF(OR(I451="NOT_READABLE",I451="BLURRY"),-AB451,0),C451="J",IFS(I451="RED_CLEARER",XLOOKUP("duochrome_red_step",Calibration!$B:$B,Calibration!$C:$C,-0.25),I451="GREEN_CLEARER",XLOOKUP("duochrome_green_step",Calibration!$B:$B,Calibration!$C:$C,0.25),I451="EQUAL",IF(XLOOKUP($B451,Derived_Variables!$A:$A,Derived_Variables!$S:$S,"Neutral")="Undercorrect",XLOOKUP("undercorrect_step",Calibration!$B:$B,Calibration!$C:$C,0.25),IF(XLOOKUP($B451,Derived_Variables!$A:$A,Derived_Variables!$S:$S,"Neutral")="Overcorrect",-XLOOKUP("overcorrect_step",Calibration!$B:$B,Calibration!$C:$C,0.25),0)),TRUE,0),C451="K",IF(I451="BOTTOM_CLEARER",XLOOKUP("bino_balance_step",Calibration!$B:$B,Calibration!$C:$C,0.25),0),TRUE,0))</f>
        <v/>
      </c>
      <c r="AQ451" s="28" t="str">
        <f t="shared" si="12"/>
        <v/>
      </c>
      <c r="AR451" s="28" t="str">
        <f t="shared" si="13"/>
        <v/>
      </c>
      <c r="AS451" s="28" t="str">
        <f t="array" ref="AS451">IF($I451="","",IF(C451="P",IF(OR(I451="NOT_READABLE",I451="BLURRY"),XLOOKUP("near_add_step",Calibration!$B:$B,Calibration!$C:$C,0.25),0),IF(C451="R",IF(I451="NOT_CLEAR",XLOOKUP("near_add_step",Calibration!$B:$B,Calibration!$C:$C,0.25),0),0)))</f>
        <v/>
      </c>
      <c r="AT451" s="28" t="str">
        <f t="array" ref="AT451">IF($I451="","",IF(C451="Q",IF(OR(I451="NOT_READABLE",I451="BLURRY"),XLOOKUP("near_add_step",Calibration!$B:$B,Calibration!$C:$C,0.25),0),IF(C451="R",IF(I451="NOT_CLEAR",XLOOKUP("near_add_step",Calibration!$B:$B,Calibration!$C:$C,0.25),0),0)))</f>
        <v/>
      </c>
      <c r="AU451" s="28" t="str">
        <f t="array" ref="AU451">IF($I451="","",IF(G451="SNELLEN_FEET",IF(I451="READABLE",IFERROR(XLOOKUP(XLOOKUP(R451,Chart_Scale_Distance!B:B,Chart_Scale_Distance!A:A)+1,Chart_Scale_Distance!A:A,Chart_Scale_Distance!B:B),R451),R451),R451))</f>
        <v/>
      </c>
      <c r="AV451" s="28" t="str">
        <f t="array" ref="AV451">IF($I450="","",IFERROR(XLOOKUP(R451,Chart_Scale_Distance!$B:$B,Chart_Scale_Distance!$A:$A,""),""))</f>
        <v/>
      </c>
      <c r="AW451" s="28" t="str">
        <f t="array" ref="AW451">IF($I450="","",IFERROR(XLOOKUP(AA451,Chart_Scale_Distance!$B:$B,Chart_Scale_Distance!$A:$A,""),""))</f>
        <v/>
      </c>
      <c r="AX451" s="28" t="str">
        <f t="shared" si="14"/>
        <v/>
      </c>
      <c r="AY451" s="28" t="str">
        <f t="shared" si="15"/>
        <v/>
      </c>
      <c r="AZ451" s="28" t="str">
        <f t="shared" si="16"/>
        <v/>
      </c>
      <c r="BA451" s="28" t="str">
        <f t="shared" si="17"/>
        <v/>
      </c>
      <c r="BB451" s="28" t="str">
        <f t="shared" si="18"/>
        <v/>
      </c>
      <c r="BC451" s="28" t="str">
        <f t="array" ref="BC451">IF($I451="","",LET(
conf,AI451,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duoMax,XLOOKUP($B451,Derived_Variables!$A:$A,Derived_Variables!$AI:$AI,4),
axisTol,XLOOKUP($B451,Derived_Variables!$A:$A,Derived_Variables!$W:$W,1),
maxStart,XLOOKUP($B451,Derived_Variables!$A:$A,Derived_Variables!$U:$U,1.25),
maxAR,XLOOKUP($B451,Derived_Variables!$A:$A,Derived_Variables!$V:$V,3),
anom,XLOOKUP($B451,Derived_Variables!$A:$A,Derived_Variables!$Z:$Z,FALSE),
reStart,XLOOKUP($B451,Derived_Variables!$A:$A,Derived_Variables!$K:$K,0),
leStart,XLOOKUP($B451,Derived_Variables!$A:$A,Derived_Variables!$N:$N,0),
reAR,XLOOKUP($B451,AR_Input!$A:$A,AR_Input!$B:$B,reStart),
leAR,XLOOKUP($B451,AR_Input!$A:$A,AR_Input!$E:$E,leStart),
reEsc,AND(anom,OR(ABS((S451+AM451)-reStart)&gt;maxStart,ABS((S451+AM451)-reAR)&gt;maxAR)),
leEsc,AND(anom,OR(ABS((V451+AP451)-leStart)&gt;maxStart,ABS((V451+AP451)-leAR)&gt;maxAR)),
phaseMax,IFS(
 AK451="Fast",
   IFS(
     OR(C451="B",C451="D"),XLOOKUP("timeout_coarse_fast",Calibration!$B:$B,Calibration!$C:$C,24),
     OR(C451="E",C451="F",C451="H",C451="I"),XLOOKUP("timeout_jcc_fast",Calibration!$B:$B,Calibration!$C:$C,10),
     OR(C451="G",C451="J"),XLOOKUP("timeout_duochrome_fast",Calibration!$B:$B,Calibration!$C:$C,8),
     C451="K",XLOOKUP("timeout_bino_fast",Calibration!$B:$B,Calibration!$C:$C,10),
     OR(C451="P",C451="Q",C451="R"),XLOOKUP("timeout_near_fast",Calibration!$B:$B,Calibration!$C:$C,16),
     TRUE,XLOOKUP("timeout_coarse_fast",Calibration!$B:$B,Calibration!$C:$C,24)
   ),
 AK451="Normal",
   IFS(
     OR(C451="B",C451="D"),XLOOKUP("timeout_coarse_normal",Calibration!$B:$B,Calibration!$C:$C,36),
     OR(C451="E",C451="F",C451="H",C451="I"),XLOOKUP("timeout_jcc_normal",Calibration!$B:$B,Calibration!$C:$C,14),
     OR(C451="G",C451="J"),XLOOKUP("timeout_duochrome_normal",Calibration!$B:$B,Calibration!$C:$C,10),
     C451="K",XLOOKUP("timeout_bino_normal",Calibration!$B:$B,Calibration!$C:$C,14),
     OR(C451="P",C451="Q",C451="R"),XLOOKUP("timeout_near_normal",Calibration!$B:$B,Calibration!$C:$C,22),
     TRUE,XLOOKUP("timeout_coarse_normal",Calibration!$B:$B,Calibration!$C:$C,36)
   ),
 TRUE,
   IFS(
     OR(C451="B",C451="D"),XLOOKUP("timeout_coarse_slow",Calibration!$B:$B,Calibration!$C:$C,48),
     OR(C451="E",C451="F",C451="H",C451="I"),XLOOKUP("timeout_jcc_slow",Calibration!$B:$B,Calibration!$C:$C,18),
     OR(C451="G",C451="J"),XLOOKUP("timeout_duochrome_slow",Calibration!$B:$B,Calibration!$C:$C,12),
     C451="K",XLOOKUP("timeout_bino_slow",Calibration!$B:$B,Calibration!$C:$C,18),
     OR(C451="P",C451="Q",C451="R"),XLOOKUP("timeout_near_slow",Calibration!$B:$B,Calibration!$C:$C,28),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AJ451=TRUE,"ESCALATE",
C451="A",
IF(OR(I451="NOT_READABLE",I451="BLURRY",AND(R451="20_20_20",I451="READABLE")),"B","A"),
C451="B",
IF(reEsc,"ESCALATE",IF(AY451&gt;=phaseMax,"ESCALATE",IF(AND(AV451&gt;=AW451,I451="READABLE"),"E","B"))),
C451="E",
IF(AY451&gt;=phaseMax,"ESCALATE",IF(OR(I451="SAME",I451="CANT_TELL",AD451&lt;axisTol),"F","E")),
C451="F",
IF(AY451&gt;=phaseMax,"ESCALATE",IF(AX451&gt;=powerSameN,"G","F")),
C451="G",
IF(AY451&gt;=phaseMax,"ESCALATE",IF(OR(AX451&gt;=duoEqualN,BB451&gt;=duoMax),"D","G")),
C451="D",
IF(leEsc,"ESCALATE",IF(AY451&gt;=phaseMax,"ESCALATE",IF(AND(AV451&gt;=AW451,I451="READABLE"),"H","D"))),
C451="H",
IF(AY451&gt;=phaseMax,"ESCALATE",IF(OR(I451="SAME",I451="CANT_TELL",AD451&lt;axisTol),"I","H")),
C451="I",
IF(AY451&gt;=phaseMax,"ESCALATE",IF(AX451&gt;=powerSameN,"J","I")),
C451="J",
IF(AY451&gt;=phaseMax,"ESCALATE",IF(OR(AX451&gt;=duoEqualN,BB451&gt;=duoMax),"K","J")),
C451="K",
IF(AY451&gt;=phaseMax,"ESCALATE",IF(AX451&gt;=binoSameN,IF(XLOOKUP($B451,Derived_Variables!$A:$A,Derived_Variables!$AJ:$AJ,FALSE)=TRUE,"P","END"),"K")),
C451="P",
IF(AY451&gt;=phaseMax,"ESCALATE",IF(OR(I451="READABLE",I451="SAME"),"Q","P")),
C451="Q",
IF(AY451&gt;=phaseMax,"ESCALATE",IF(OR(I451="READABLE",I451="SAME"),"R","Q")),
C451="R",
IF(AY451&gt;=phaseMax,"ESCALATE",IF(OR(I451=nearTarget,I451="SAME"),"END","R")),
TRUE,"END"
)))</f>
        <v/>
      </c>
      <c r="BD451" s="28" t="b">
        <f t="shared" si="19"/>
        <v>0</v>
      </c>
    </row>
    <row r="452" ht="15.75" customHeight="1">
      <c r="A452" s="28">
        <f t="shared" si="3"/>
        <v>451</v>
      </c>
      <c r="B452" s="28">
        <f t="shared" si="4"/>
        <v>6</v>
      </c>
      <c r="C452" s="28" t="str">
        <f t="shared" si="5"/>
        <v/>
      </c>
      <c r="D452" s="28" t="str">
        <f t="array" ref="D452">IF($I451="","",XLOOKUP(C452,FSM_State_Map!A:A,FSM_State_Map!B:B,""))</f>
        <v/>
      </c>
      <c r="E452" s="28" t="str">
        <f t="array" ref="E452">IF($I451="","",XLOOKUP(C452,FSM_State_Map!A:A,FSM_State_Map!C:C,""))</f>
        <v/>
      </c>
      <c r="F452" s="28" t="str">
        <f t="array" ref="F452">IF($I451="","",XLOOKUP(E452,Phase_UI_Map!A:A,Phase_UI_Map!B:B,""))</f>
        <v/>
      </c>
      <c r="G452" s="28" t="str">
        <f t="array" ref="G452">IF($I451="","",XLOOKUP(E452,Phase_UI_Map!A:A,Phase_UI_Map!C:C,""))</f>
        <v/>
      </c>
      <c r="H452" s="28" t="str">
        <f t="array" ref="H452">IF($I451="","",XLOOKUP(E452,Phase_UI_Map!A:A,Phase_UI_Map!D:D,""))</f>
        <v/>
      </c>
      <c r="I452" s="29"/>
      <c r="J452" s="28" t="str">
        <f>IFERROR(__xludf.DUMMYFUNCTION("IF($I451="""","""",IFERROR(INDEX(FILTER(Response_Lists!$B:$B,Response_Lists!$A:$A=$H452),1),""""))"),"")</f>
        <v/>
      </c>
      <c r="K452" s="28" t="str">
        <f>IFERROR(__xludf.DUMMYFUNCTION("IF($I451="""","""",IFERROR(INDEX(FILTER(Response_Lists!$B:$B,Response_Lists!$A:$A=$H452),2),""""))"),"")</f>
        <v/>
      </c>
      <c r="L452" s="28" t="str">
        <f>IFERROR(__xludf.DUMMYFUNCTION("IF($I451="""","""",IFERROR(INDEX(FILTER(Response_Lists!$B:$B,Response_Lists!$A:$A=$H452),3),""""))"),"")</f>
        <v/>
      </c>
      <c r="M452" s="28" t="str">
        <f>IFERROR(__xludf.DUMMYFUNCTION("IF($I451="""","""",IFERROR(INDEX(FILTER(Response_Lists!$B:$B,Response_Lists!$A:$A=$H452),4),""""))"),"")</f>
        <v/>
      </c>
      <c r="N452" s="28" t="str">
        <f>IFERROR(__xludf.DUMMYFUNCTION("IF($I451="""","""",IFERROR(INDEX(FILTER(Response_Lists!$B:$B,Response_Lists!$A:$A=$H452),5),""""))"),"")</f>
        <v/>
      </c>
      <c r="O452" s="28" t="str">
        <f>IFERROR(__xludf.DUMMYFUNCTION("IF($I451="""","""",IFERROR(INDEX(FILTER(Response_Lists!$B:$B,Response_Lists!$A:$A=$H452),6),""""))"),"")</f>
        <v/>
      </c>
      <c r="P452" s="28" t="str">
        <f t="shared" si="6"/>
        <v/>
      </c>
      <c r="Q452" s="28" t="str">
        <f t="array" ref="Q452">IF($I451="","",XLOOKUP(C452,FSM_State_Map!A:A,FSM_State_Map!D:D,""))</f>
        <v/>
      </c>
      <c r="R452" s="28" t="str">
        <f t="shared" si="7"/>
        <v/>
      </c>
      <c r="S452" s="28" t="str">
        <f t="array" ref="S452">IF($I451="","",
IF(
  AND(C452="B",C451&lt;&gt;"B"),
  XLOOKUP($B452,Derived_Variables!$A:$A,Derived_Variables!$K:$K,0)
  + XLOOKUP($B452,Derived_Variables!$A:$A,Derived_Variables!$AE:$AE,0),
  S451+AM451
))</f>
        <v/>
      </c>
      <c r="T452" s="28" t="str">
        <f t="shared" ref="T452:U452" si="914">IF($I451="","",T451+AN451)</f>
        <v/>
      </c>
      <c r="U452" s="28" t="str">
        <f t="shared" si="914"/>
        <v/>
      </c>
      <c r="V452" s="28" t="str">
        <f t="array" ref="V452">IF($I451="","",
IF(
  AND(C452="D",C451&lt;&gt;"D"),
  XLOOKUP($B452,Derived_Variables!$A:$A,Derived_Variables!$N:$N,0)
  + XLOOKUP($B452,Derived_Variables!$A:$A,Derived_Variables!$AE:$AE,0),
  V451+AP451
))</f>
        <v/>
      </c>
      <c r="W452" s="28" t="str">
        <f t="shared" ref="W452:X452" si="915">IF($I451="","",W451+AQ451)</f>
        <v/>
      </c>
      <c r="X452" s="28" t="str">
        <f t="shared" si="915"/>
        <v/>
      </c>
      <c r="Y452" s="28" t="str">
        <f t="array" ref="Y452">IF($I451="","",IF(AND(C452="P",C451&lt;&gt;"P"),IFERROR(XLOOKUP($B452,Lenso_Input!$A:$A,Lenso_Input!$E:$E,0),0),Y451+AS451))</f>
        <v/>
      </c>
      <c r="Z452" s="28" t="str">
        <f t="array" ref="Z452">IF($I451="","",IF(AND(C452="Q",C451&lt;&gt;"Q"),IFERROR(XLOOKUP($B452,Lenso_Input!$A:$A,Lenso_Input!$I:$I,0),0),Z451+AT451))</f>
        <v/>
      </c>
      <c r="AA452" s="28" t="str">
        <f t="array" ref="AA452">IF($I451="","",IF(XLOOKUP($B452,Derived_Variables!$A:$A,Derived_Variables!$R:$R,"6/6_target")="6/6_target","20_20_20","40_30_25"))</f>
        <v/>
      </c>
      <c r="AB452" s="28" t="str">
        <f t="array" ref="AB452">IF($I451="","",XLOOKUP(LOWER(XLOOKUP($B452,Derived_Variables!$A:$A,Derived_Variables!$T:$T,"Standard"))&amp;"_sph_step",Calibration!$B:$B,Calibration!$C:$C,0.25))</f>
        <v/>
      </c>
      <c r="AC452" s="28" t="str">
        <f t="array" ref="AC452">IF($I451="","",XLOOKUP(LOWER(XLOOKUP($B452,Derived_Variables!$A:$A,Derived_Variables!$T:$T,"Standard"))&amp;"_cyl_step",Calibration!$B:$B,Calibration!$C:$C,0.25))</f>
        <v/>
      </c>
      <c r="AD452" s="28" t="str">
        <f t="array" ref="AD452">IF($I451="","",IF(OR(C452="E",C452="H"),LET(startStep,XLOOKUP("axis_start_step",Calibration!$B:$B,Calibration!$C:$C,5),step1,XLOOKUP("axis_reversal_step_1",Calibration!$B:$B,Calibration!$C:$C,3),step2,XLOOKUP("axis_reversal_step_2",Calibration!$B:$B,Calibration!$C:$C,1),IF(OR(C451&lt;&gt;C452,AZ452="",AZ452="SAME",AZ452="CANT_TELL",I452="",I452="SAME",I452="CANT_TELL"),startStep,IF(OR(AND(AZ452="BETTER_1",I452="BETTER_2"),AND(AZ452="BETTER_2",I452="BETTER_1")),IF(AD451&gt;step1,step1,step2),AD451))),0))</f>
        <v/>
      </c>
      <c r="AE452" s="28" t="str">
        <f t="array" ref="AE452">IF($I451="","",XLOOKUP($B452,Derived_Variables!$A:$A,Derived_Variables!$AD:$AD,"No_Fog"))</f>
        <v/>
      </c>
      <c r="AF452" s="28" t="str">
        <f t="array" ref="AF452">IF($I451="","",XLOOKUP($B452,Derived_Variables!$A:$A,Derived_Variables!$AE:$AE,0))</f>
        <v/>
      </c>
      <c r="AG452" s="28" t="str">
        <f t="array" ref="AG452">IF($I451="","",XLOOKUP($B452,Derived_Variables!$A:$A,Derived_Variables!$AF:$AF,""))</f>
        <v/>
      </c>
      <c r="AH452" s="28" t="str">
        <f t="array" ref="AH452">IF($I451="","",XLOOKUP($B452,Derived_Variables!$A:$A,Derived_Variables!$AG:$AG,""))</f>
        <v/>
      </c>
      <c r="AI452" s="28" t="str">
        <f t="array" ref="AI452">IF($I451="","",XLOOKUP($B452,Derived_Variables!$A:$A,Derived_Variables!$AC:$AC,"Medium"))</f>
        <v/>
      </c>
      <c r="AJ452" s="28" t="str">
        <f t="array" ref="AJ452">IF($I451="","",XLOOKUP($B452,Derived_Variables!$A:$A,Derived_Variables!$Y:$Y,FALSE))</f>
        <v/>
      </c>
      <c r="AK452" s="28" t="str">
        <f t="array" ref="AK452">IF($I451="","",XLOOKUP($B452,Derived_Variables!$A:$A,Derived_Variables!$AA:$AA,"Normal"))</f>
        <v/>
      </c>
      <c r="AL452" s="28" t="str">
        <f t="array" ref="AL452">IF($I451="","",XLOOKUP($B452,Derived_Variables!$A:$A,Derived_Variables!$AB:$AB,"Normal"))</f>
        <v/>
      </c>
      <c r="AM452" s="28" t="str">
        <f t="array" ref="AM452">IF($I452="","",IFS(C452="B",IF(OR(I452="NOT_READABLE",I452="BLURRY"),-AB452,0),C452="G",IFS(I452="RED_CLEARER",XLOOKUP("duochrome_red_step",Calibration!$B:$B,Calibration!$C:$C,-0.25),I452="GREEN_CLEARER",XLOOKUP("duochrome_green_step",Calibration!$B:$B,Calibration!$C:$C,0.25),I452="EQUAL",IF(XLOOKUP($B452,Derived_Variables!$A:$A,Derived_Variables!$S:$S,"Neutral")="Undercorrect",XLOOKUP("undercorrect_step",Calibration!$B:$B,Calibration!$C:$C,0.25),IF(XLOOKUP($B452,Derived_Variables!$A:$A,Derived_Variables!$S:$S,"Neutral")="Overcorrect",-XLOOKUP("overcorrect_step",Calibration!$B:$B,Calibration!$C:$C,0.25),0)),TRUE,0),C452="K",IF(I452="TOP_CLEARER",XLOOKUP("bino_balance_step",Calibration!$B:$B,Calibration!$C:$C,0.25),0),TRUE,0))</f>
        <v/>
      </c>
      <c r="AN452" s="28" t="str">
        <f t="shared" si="10"/>
        <v/>
      </c>
      <c r="AO452" s="28" t="str">
        <f t="shared" si="11"/>
        <v/>
      </c>
      <c r="AP452" s="28" t="str">
        <f t="array" ref="AP452">IF($I452="","",IFS(C452="D",IF(OR(I452="NOT_READABLE",I452="BLURRY"),-AB452,0),C452="J",IFS(I452="RED_CLEARER",XLOOKUP("duochrome_red_step",Calibration!$B:$B,Calibration!$C:$C,-0.25),I452="GREEN_CLEARER",XLOOKUP("duochrome_green_step",Calibration!$B:$B,Calibration!$C:$C,0.25),I452="EQUAL",IF(XLOOKUP($B452,Derived_Variables!$A:$A,Derived_Variables!$S:$S,"Neutral")="Undercorrect",XLOOKUP("undercorrect_step",Calibration!$B:$B,Calibration!$C:$C,0.25),IF(XLOOKUP($B452,Derived_Variables!$A:$A,Derived_Variables!$S:$S,"Neutral")="Overcorrect",-XLOOKUP("overcorrect_step",Calibration!$B:$B,Calibration!$C:$C,0.25),0)),TRUE,0),C452="K",IF(I452="BOTTOM_CLEARER",XLOOKUP("bino_balance_step",Calibration!$B:$B,Calibration!$C:$C,0.25),0),TRUE,0))</f>
        <v/>
      </c>
      <c r="AQ452" s="28" t="str">
        <f t="shared" si="12"/>
        <v/>
      </c>
      <c r="AR452" s="28" t="str">
        <f t="shared" si="13"/>
        <v/>
      </c>
      <c r="AS452" s="28" t="str">
        <f t="array" ref="AS452">IF($I452="","",IF(C452="P",IF(OR(I452="NOT_READABLE",I452="BLURRY"),XLOOKUP("near_add_step",Calibration!$B:$B,Calibration!$C:$C,0.25),0),IF(C452="R",IF(I452="NOT_CLEAR",XLOOKUP("near_add_step",Calibration!$B:$B,Calibration!$C:$C,0.25),0),0)))</f>
        <v/>
      </c>
      <c r="AT452" s="28" t="str">
        <f t="array" ref="AT452">IF($I452="","",IF(C452="Q",IF(OR(I452="NOT_READABLE",I452="BLURRY"),XLOOKUP("near_add_step",Calibration!$B:$B,Calibration!$C:$C,0.25),0),IF(C452="R",IF(I452="NOT_CLEAR",XLOOKUP("near_add_step",Calibration!$B:$B,Calibration!$C:$C,0.25),0),0)))</f>
        <v/>
      </c>
      <c r="AU452" s="28" t="str">
        <f t="array" ref="AU452">IF($I452="","",IF(G452="SNELLEN_FEET",IF(I452="READABLE",IFERROR(XLOOKUP(XLOOKUP(R452,Chart_Scale_Distance!B:B,Chart_Scale_Distance!A:A)+1,Chart_Scale_Distance!A:A,Chart_Scale_Distance!B:B),R452),R452),R452))</f>
        <v/>
      </c>
      <c r="AV452" s="28" t="str">
        <f t="array" ref="AV452">IF($I451="","",IFERROR(XLOOKUP(R452,Chart_Scale_Distance!$B:$B,Chart_Scale_Distance!$A:$A,""),""))</f>
        <v/>
      </c>
      <c r="AW452" s="28" t="str">
        <f t="array" ref="AW452">IF($I451="","",IFERROR(XLOOKUP(AA452,Chart_Scale_Distance!$B:$B,Chart_Scale_Distance!$A:$A,""),""))</f>
        <v/>
      </c>
      <c r="AX452" s="28" t="str">
        <f t="shared" si="14"/>
        <v/>
      </c>
      <c r="AY452" s="28" t="str">
        <f t="shared" si="15"/>
        <v/>
      </c>
      <c r="AZ452" s="28" t="str">
        <f t="shared" si="16"/>
        <v/>
      </c>
      <c r="BA452" s="28" t="str">
        <f t="shared" si="17"/>
        <v/>
      </c>
      <c r="BB452" s="28" t="str">
        <f t="shared" si="18"/>
        <v/>
      </c>
      <c r="BC452" s="28" t="str">
        <f t="array" ref="BC452">IF($I452="","",LET(
conf,AI452,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duoMax,XLOOKUP($B452,Derived_Variables!$A:$A,Derived_Variables!$AI:$AI,4),
axisTol,XLOOKUP($B452,Derived_Variables!$A:$A,Derived_Variables!$W:$W,1),
maxStart,XLOOKUP($B452,Derived_Variables!$A:$A,Derived_Variables!$U:$U,1.25),
maxAR,XLOOKUP($B452,Derived_Variables!$A:$A,Derived_Variables!$V:$V,3),
anom,XLOOKUP($B452,Derived_Variables!$A:$A,Derived_Variables!$Z:$Z,FALSE),
reStart,XLOOKUP($B452,Derived_Variables!$A:$A,Derived_Variables!$K:$K,0),
leStart,XLOOKUP($B452,Derived_Variables!$A:$A,Derived_Variables!$N:$N,0),
reAR,XLOOKUP($B452,AR_Input!$A:$A,AR_Input!$B:$B,reStart),
leAR,XLOOKUP($B452,AR_Input!$A:$A,AR_Input!$E:$E,leStart),
reEsc,AND(anom,OR(ABS((S452+AM452)-reStart)&gt;maxStart,ABS((S452+AM452)-reAR)&gt;maxAR)),
leEsc,AND(anom,OR(ABS((V452+AP452)-leStart)&gt;maxStart,ABS((V452+AP452)-leAR)&gt;maxAR)),
phaseMax,IFS(
 AK452="Fast",
   IFS(
     OR(C452="B",C452="D"),XLOOKUP("timeout_coarse_fast",Calibration!$B:$B,Calibration!$C:$C,24),
     OR(C452="E",C452="F",C452="H",C452="I"),XLOOKUP("timeout_jcc_fast",Calibration!$B:$B,Calibration!$C:$C,10),
     OR(C452="G",C452="J"),XLOOKUP("timeout_duochrome_fast",Calibration!$B:$B,Calibration!$C:$C,8),
     C452="K",XLOOKUP("timeout_bino_fast",Calibration!$B:$B,Calibration!$C:$C,10),
     OR(C452="P",C452="Q",C452="R"),XLOOKUP("timeout_near_fast",Calibration!$B:$B,Calibration!$C:$C,16),
     TRUE,XLOOKUP("timeout_coarse_fast",Calibration!$B:$B,Calibration!$C:$C,24)
   ),
 AK452="Normal",
   IFS(
     OR(C452="B",C452="D"),XLOOKUP("timeout_coarse_normal",Calibration!$B:$B,Calibration!$C:$C,36),
     OR(C452="E",C452="F",C452="H",C452="I"),XLOOKUP("timeout_jcc_normal",Calibration!$B:$B,Calibration!$C:$C,14),
     OR(C452="G",C452="J"),XLOOKUP("timeout_duochrome_normal",Calibration!$B:$B,Calibration!$C:$C,10),
     C452="K",XLOOKUP("timeout_bino_normal",Calibration!$B:$B,Calibration!$C:$C,14),
     OR(C452="P",C452="Q",C452="R"),XLOOKUP("timeout_near_normal",Calibration!$B:$B,Calibration!$C:$C,22),
     TRUE,XLOOKUP("timeout_coarse_normal",Calibration!$B:$B,Calibration!$C:$C,36)
   ),
 TRUE,
   IFS(
     OR(C452="B",C452="D"),XLOOKUP("timeout_coarse_slow",Calibration!$B:$B,Calibration!$C:$C,48),
     OR(C452="E",C452="F",C452="H",C452="I"),XLOOKUP("timeout_jcc_slow",Calibration!$B:$B,Calibration!$C:$C,18),
     OR(C452="G",C452="J"),XLOOKUP("timeout_duochrome_slow",Calibration!$B:$B,Calibration!$C:$C,12),
     C452="K",XLOOKUP("timeout_bino_slow",Calibration!$B:$B,Calibration!$C:$C,18),
     OR(C452="P",C452="Q",C452="R"),XLOOKUP("timeout_near_slow",Calibration!$B:$B,Calibration!$C:$C,28),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AJ452=TRUE,"ESCALATE",
C452="A",
IF(OR(I452="NOT_READABLE",I452="BLURRY",AND(R452="20_20_20",I452="READABLE")),"B","A"),
C452="B",
IF(reEsc,"ESCALATE",IF(AY452&gt;=phaseMax,"ESCALATE",IF(AND(AV452&gt;=AW452,I452="READABLE"),"E","B"))),
C452="E",
IF(AY452&gt;=phaseMax,"ESCALATE",IF(OR(I452="SAME",I452="CANT_TELL",AD452&lt;axisTol),"F","E")),
C452="F",
IF(AY452&gt;=phaseMax,"ESCALATE",IF(AX452&gt;=powerSameN,"G","F")),
C452="G",
IF(AY452&gt;=phaseMax,"ESCALATE",IF(OR(AX452&gt;=duoEqualN,BB452&gt;=duoMax),"D","G")),
C452="D",
IF(leEsc,"ESCALATE",IF(AY452&gt;=phaseMax,"ESCALATE",IF(AND(AV452&gt;=AW452,I452="READABLE"),"H","D"))),
C452="H",
IF(AY452&gt;=phaseMax,"ESCALATE",IF(OR(I452="SAME",I452="CANT_TELL",AD452&lt;axisTol),"I","H")),
C452="I",
IF(AY452&gt;=phaseMax,"ESCALATE",IF(AX452&gt;=powerSameN,"J","I")),
C452="J",
IF(AY452&gt;=phaseMax,"ESCALATE",IF(OR(AX452&gt;=duoEqualN,BB452&gt;=duoMax),"K","J")),
C452="K",
IF(AY452&gt;=phaseMax,"ESCALATE",IF(AX452&gt;=binoSameN,IF(XLOOKUP($B452,Derived_Variables!$A:$A,Derived_Variables!$AJ:$AJ,FALSE)=TRUE,"P","END"),"K")),
C452="P",
IF(AY452&gt;=phaseMax,"ESCALATE",IF(OR(I452="READABLE",I452="SAME"),"Q","P")),
C452="Q",
IF(AY452&gt;=phaseMax,"ESCALATE",IF(OR(I452="READABLE",I452="SAME"),"R","Q")),
C452="R",
IF(AY452&gt;=phaseMax,"ESCALATE",IF(OR(I452=nearTarget,I452="SAME"),"END","R")),
TRUE,"END"
)))</f>
        <v/>
      </c>
      <c r="BD452" s="28" t="b">
        <f t="shared" si="19"/>
        <v>0</v>
      </c>
    </row>
    <row r="453" ht="15.75" customHeight="1">
      <c r="A453" s="28">
        <f t="shared" si="3"/>
        <v>452</v>
      </c>
      <c r="B453" s="28">
        <f t="shared" si="4"/>
        <v>6</v>
      </c>
      <c r="C453" s="28" t="str">
        <f t="shared" si="5"/>
        <v/>
      </c>
      <c r="D453" s="28" t="str">
        <f t="array" ref="D453">IF($I452="","",XLOOKUP(C453,FSM_State_Map!A:A,FSM_State_Map!B:B,""))</f>
        <v/>
      </c>
      <c r="E453" s="28" t="str">
        <f t="array" ref="E453">IF($I452="","",XLOOKUP(C453,FSM_State_Map!A:A,FSM_State_Map!C:C,""))</f>
        <v/>
      </c>
      <c r="F453" s="28" t="str">
        <f t="array" ref="F453">IF($I452="","",XLOOKUP(E453,Phase_UI_Map!A:A,Phase_UI_Map!B:B,""))</f>
        <v/>
      </c>
      <c r="G453" s="28" t="str">
        <f t="array" ref="G453">IF($I452="","",XLOOKUP(E453,Phase_UI_Map!A:A,Phase_UI_Map!C:C,""))</f>
        <v/>
      </c>
      <c r="H453" s="28" t="str">
        <f t="array" ref="H453">IF($I452="","",XLOOKUP(E453,Phase_UI_Map!A:A,Phase_UI_Map!D:D,""))</f>
        <v/>
      </c>
      <c r="I453" s="29"/>
      <c r="J453" s="28" t="str">
        <f>IFERROR(__xludf.DUMMYFUNCTION("IF($I452="""","""",IFERROR(INDEX(FILTER(Response_Lists!$B:$B,Response_Lists!$A:$A=$H453),1),""""))"),"")</f>
        <v/>
      </c>
      <c r="K453" s="28" t="str">
        <f>IFERROR(__xludf.DUMMYFUNCTION("IF($I452="""","""",IFERROR(INDEX(FILTER(Response_Lists!$B:$B,Response_Lists!$A:$A=$H453),2),""""))"),"")</f>
        <v/>
      </c>
      <c r="L453" s="28" t="str">
        <f>IFERROR(__xludf.DUMMYFUNCTION("IF($I452="""","""",IFERROR(INDEX(FILTER(Response_Lists!$B:$B,Response_Lists!$A:$A=$H453),3),""""))"),"")</f>
        <v/>
      </c>
      <c r="M453" s="28" t="str">
        <f>IFERROR(__xludf.DUMMYFUNCTION("IF($I452="""","""",IFERROR(INDEX(FILTER(Response_Lists!$B:$B,Response_Lists!$A:$A=$H453),4),""""))"),"")</f>
        <v/>
      </c>
      <c r="N453" s="28" t="str">
        <f>IFERROR(__xludf.DUMMYFUNCTION("IF($I452="""","""",IFERROR(INDEX(FILTER(Response_Lists!$B:$B,Response_Lists!$A:$A=$H453),5),""""))"),"")</f>
        <v/>
      </c>
      <c r="O453" s="28" t="str">
        <f>IFERROR(__xludf.DUMMYFUNCTION("IF($I452="""","""",IFERROR(INDEX(FILTER(Response_Lists!$B:$B,Response_Lists!$A:$A=$H453),6),""""))"),"")</f>
        <v/>
      </c>
      <c r="P453" s="28" t="str">
        <f t="shared" si="6"/>
        <v/>
      </c>
      <c r="Q453" s="28" t="str">
        <f t="array" ref="Q453">IF($I452="","",XLOOKUP(C453,FSM_State_Map!A:A,FSM_State_Map!D:D,""))</f>
        <v/>
      </c>
      <c r="R453" s="28" t="str">
        <f t="shared" si="7"/>
        <v/>
      </c>
      <c r="S453" s="28" t="str">
        <f t="array" ref="S453">IF($I452="","",
IF(
  AND(C453="B",C452&lt;&gt;"B"),
  XLOOKUP($B453,Derived_Variables!$A:$A,Derived_Variables!$K:$K,0)
  + XLOOKUP($B453,Derived_Variables!$A:$A,Derived_Variables!$AE:$AE,0),
  S452+AM452
))</f>
        <v/>
      </c>
      <c r="T453" s="28" t="str">
        <f t="shared" ref="T453:U453" si="916">IF($I452="","",T452+AN452)</f>
        <v/>
      </c>
      <c r="U453" s="28" t="str">
        <f t="shared" si="916"/>
        <v/>
      </c>
      <c r="V453" s="28" t="str">
        <f t="array" ref="V453">IF($I452="","",
IF(
  AND(C453="D",C452&lt;&gt;"D"),
  XLOOKUP($B453,Derived_Variables!$A:$A,Derived_Variables!$N:$N,0)
  + XLOOKUP($B453,Derived_Variables!$A:$A,Derived_Variables!$AE:$AE,0),
  V452+AP452
))</f>
        <v/>
      </c>
      <c r="W453" s="28" t="str">
        <f t="shared" ref="W453:X453" si="917">IF($I452="","",W452+AQ452)</f>
        <v/>
      </c>
      <c r="X453" s="28" t="str">
        <f t="shared" si="917"/>
        <v/>
      </c>
      <c r="Y453" s="28" t="str">
        <f t="array" ref="Y453">IF($I452="","",IF(AND(C453="P",C452&lt;&gt;"P"),IFERROR(XLOOKUP($B453,Lenso_Input!$A:$A,Lenso_Input!$E:$E,0),0),Y452+AS452))</f>
        <v/>
      </c>
      <c r="Z453" s="28" t="str">
        <f t="array" ref="Z453">IF($I452="","",IF(AND(C453="Q",C452&lt;&gt;"Q"),IFERROR(XLOOKUP($B453,Lenso_Input!$A:$A,Lenso_Input!$I:$I,0),0),Z452+AT452))</f>
        <v/>
      </c>
      <c r="AA453" s="28" t="str">
        <f t="array" ref="AA453">IF($I452="","",IF(XLOOKUP($B453,Derived_Variables!$A:$A,Derived_Variables!$R:$R,"6/6_target")="6/6_target","20_20_20","40_30_25"))</f>
        <v/>
      </c>
      <c r="AB453" s="28" t="str">
        <f t="array" ref="AB453">IF($I452="","",XLOOKUP(LOWER(XLOOKUP($B453,Derived_Variables!$A:$A,Derived_Variables!$T:$T,"Standard"))&amp;"_sph_step",Calibration!$B:$B,Calibration!$C:$C,0.25))</f>
        <v/>
      </c>
      <c r="AC453" s="28" t="str">
        <f t="array" ref="AC453">IF($I452="","",XLOOKUP(LOWER(XLOOKUP($B453,Derived_Variables!$A:$A,Derived_Variables!$T:$T,"Standard"))&amp;"_cyl_step",Calibration!$B:$B,Calibration!$C:$C,0.25))</f>
        <v/>
      </c>
      <c r="AD453" s="28" t="str">
        <f t="array" ref="AD453">IF($I452="","",IF(OR(C453="E",C453="H"),LET(startStep,XLOOKUP("axis_start_step",Calibration!$B:$B,Calibration!$C:$C,5),step1,XLOOKUP("axis_reversal_step_1",Calibration!$B:$B,Calibration!$C:$C,3),step2,XLOOKUP("axis_reversal_step_2",Calibration!$B:$B,Calibration!$C:$C,1),IF(OR(C452&lt;&gt;C453,AZ453="",AZ453="SAME",AZ453="CANT_TELL",I453="",I453="SAME",I453="CANT_TELL"),startStep,IF(OR(AND(AZ453="BETTER_1",I453="BETTER_2"),AND(AZ453="BETTER_2",I453="BETTER_1")),IF(AD452&gt;step1,step1,step2),AD452))),0))</f>
        <v/>
      </c>
      <c r="AE453" s="28" t="str">
        <f t="array" ref="AE453">IF($I452="","",XLOOKUP($B453,Derived_Variables!$A:$A,Derived_Variables!$AD:$AD,"No_Fog"))</f>
        <v/>
      </c>
      <c r="AF453" s="28" t="str">
        <f t="array" ref="AF453">IF($I452="","",XLOOKUP($B453,Derived_Variables!$A:$A,Derived_Variables!$AE:$AE,0))</f>
        <v/>
      </c>
      <c r="AG453" s="28" t="str">
        <f t="array" ref="AG453">IF($I452="","",XLOOKUP($B453,Derived_Variables!$A:$A,Derived_Variables!$AF:$AF,""))</f>
        <v/>
      </c>
      <c r="AH453" s="28" t="str">
        <f t="array" ref="AH453">IF($I452="","",XLOOKUP($B453,Derived_Variables!$A:$A,Derived_Variables!$AG:$AG,""))</f>
        <v/>
      </c>
      <c r="AI453" s="28" t="str">
        <f t="array" ref="AI453">IF($I452="","",XLOOKUP($B453,Derived_Variables!$A:$A,Derived_Variables!$AC:$AC,"Medium"))</f>
        <v/>
      </c>
      <c r="AJ453" s="28" t="str">
        <f t="array" ref="AJ453">IF($I452="","",XLOOKUP($B453,Derived_Variables!$A:$A,Derived_Variables!$Y:$Y,FALSE))</f>
        <v/>
      </c>
      <c r="AK453" s="28" t="str">
        <f t="array" ref="AK453">IF($I452="","",XLOOKUP($B453,Derived_Variables!$A:$A,Derived_Variables!$AA:$AA,"Normal"))</f>
        <v/>
      </c>
      <c r="AL453" s="28" t="str">
        <f t="array" ref="AL453">IF($I452="","",XLOOKUP($B453,Derived_Variables!$A:$A,Derived_Variables!$AB:$AB,"Normal"))</f>
        <v/>
      </c>
      <c r="AM453" s="28" t="str">
        <f t="array" ref="AM453">IF($I453="","",IFS(C453="B",IF(OR(I453="NOT_READABLE",I453="BLURRY"),-AB453,0),C453="G",IFS(I453="RED_CLEARER",XLOOKUP("duochrome_red_step",Calibration!$B:$B,Calibration!$C:$C,-0.25),I453="GREEN_CLEARER",XLOOKUP("duochrome_green_step",Calibration!$B:$B,Calibration!$C:$C,0.25),I453="EQUAL",IF(XLOOKUP($B453,Derived_Variables!$A:$A,Derived_Variables!$S:$S,"Neutral")="Undercorrect",XLOOKUP("undercorrect_step",Calibration!$B:$B,Calibration!$C:$C,0.25),IF(XLOOKUP($B453,Derived_Variables!$A:$A,Derived_Variables!$S:$S,"Neutral")="Overcorrect",-XLOOKUP("overcorrect_step",Calibration!$B:$B,Calibration!$C:$C,0.25),0)),TRUE,0),C453="K",IF(I453="TOP_CLEARER",XLOOKUP("bino_balance_step",Calibration!$B:$B,Calibration!$C:$C,0.25),0),TRUE,0))</f>
        <v/>
      </c>
      <c r="AN453" s="28" t="str">
        <f t="shared" si="10"/>
        <v/>
      </c>
      <c r="AO453" s="28" t="str">
        <f t="shared" si="11"/>
        <v/>
      </c>
      <c r="AP453" s="28" t="str">
        <f t="array" ref="AP453">IF($I453="","",IFS(C453="D",IF(OR(I453="NOT_READABLE",I453="BLURRY"),-AB453,0),C453="J",IFS(I453="RED_CLEARER",XLOOKUP("duochrome_red_step",Calibration!$B:$B,Calibration!$C:$C,-0.25),I453="GREEN_CLEARER",XLOOKUP("duochrome_green_step",Calibration!$B:$B,Calibration!$C:$C,0.25),I453="EQUAL",IF(XLOOKUP($B453,Derived_Variables!$A:$A,Derived_Variables!$S:$S,"Neutral")="Undercorrect",XLOOKUP("undercorrect_step",Calibration!$B:$B,Calibration!$C:$C,0.25),IF(XLOOKUP($B453,Derived_Variables!$A:$A,Derived_Variables!$S:$S,"Neutral")="Overcorrect",-XLOOKUP("overcorrect_step",Calibration!$B:$B,Calibration!$C:$C,0.25),0)),TRUE,0),C453="K",IF(I453="BOTTOM_CLEARER",XLOOKUP("bino_balance_step",Calibration!$B:$B,Calibration!$C:$C,0.25),0),TRUE,0))</f>
        <v/>
      </c>
      <c r="AQ453" s="28" t="str">
        <f t="shared" si="12"/>
        <v/>
      </c>
      <c r="AR453" s="28" t="str">
        <f t="shared" si="13"/>
        <v/>
      </c>
      <c r="AS453" s="28" t="str">
        <f t="array" ref="AS453">IF($I453="","",IF(C453="P",IF(OR(I453="NOT_READABLE",I453="BLURRY"),XLOOKUP("near_add_step",Calibration!$B:$B,Calibration!$C:$C,0.25),0),IF(C453="R",IF(I453="NOT_CLEAR",XLOOKUP("near_add_step",Calibration!$B:$B,Calibration!$C:$C,0.25),0),0)))</f>
        <v/>
      </c>
      <c r="AT453" s="28" t="str">
        <f t="array" ref="AT453">IF($I453="","",IF(C453="Q",IF(OR(I453="NOT_READABLE",I453="BLURRY"),XLOOKUP("near_add_step",Calibration!$B:$B,Calibration!$C:$C,0.25),0),IF(C453="R",IF(I453="NOT_CLEAR",XLOOKUP("near_add_step",Calibration!$B:$B,Calibration!$C:$C,0.25),0),0)))</f>
        <v/>
      </c>
      <c r="AU453" s="28" t="str">
        <f t="array" ref="AU453">IF($I453="","",IF(G453="SNELLEN_FEET",IF(I453="READABLE",IFERROR(XLOOKUP(XLOOKUP(R453,Chart_Scale_Distance!B:B,Chart_Scale_Distance!A:A)+1,Chart_Scale_Distance!A:A,Chart_Scale_Distance!B:B),R453),R453),R453))</f>
        <v/>
      </c>
      <c r="AV453" s="28" t="str">
        <f t="array" ref="AV453">IF($I452="","",IFERROR(XLOOKUP(R453,Chart_Scale_Distance!$B:$B,Chart_Scale_Distance!$A:$A,""),""))</f>
        <v/>
      </c>
      <c r="AW453" s="28" t="str">
        <f t="array" ref="AW453">IF($I452="","",IFERROR(XLOOKUP(AA453,Chart_Scale_Distance!$B:$B,Chart_Scale_Distance!$A:$A,""),""))</f>
        <v/>
      </c>
      <c r="AX453" s="28" t="str">
        <f t="shared" si="14"/>
        <v/>
      </c>
      <c r="AY453" s="28" t="str">
        <f t="shared" si="15"/>
        <v/>
      </c>
      <c r="AZ453" s="28" t="str">
        <f t="shared" si="16"/>
        <v/>
      </c>
      <c r="BA453" s="28" t="str">
        <f t="shared" si="17"/>
        <v/>
      </c>
      <c r="BB453" s="28" t="str">
        <f t="shared" si="18"/>
        <v/>
      </c>
      <c r="BC453" s="28" t="str">
        <f t="array" ref="BC453">IF($I453="","",LET(
conf,AI453,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duoMax,XLOOKUP($B453,Derived_Variables!$A:$A,Derived_Variables!$AI:$AI,4),
axisTol,XLOOKUP($B453,Derived_Variables!$A:$A,Derived_Variables!$W:$W,1),
maxStart,XLOOKUP($B453,Derived_Variables!$A:$A,Derived_Variables!$U:$U,1.25),
maxAR,XLOOKUP($B453,Derived_Variables!$A:$A,Derived_Variables!$V:$V,3),
anom,XLOOKUP($B453,Derived_Variables!$A:$A,Derived_Variables!$Z:$Z,FALSE),
reStart,XLOOKUP($B453,Derived_Variables!$A:$A,Derived_Variables!$K:$K,0),
leStart,XLOOKUP($B453,Derived_Variables!$A:$A,Derived_Variables!$N:$N,0),
reAR,XLOOKUP($B453,AR_Input!$A:$A,AR_Input!$B:$B,reStart),
leAR,XLOOKUP($B453,AR_Input!$A:$A,AR_Input!$E:$E,leStart),
reEsc,AND(anom,OR(ABS((S453+AM453)-reStart)&gt;maxStart,ABS((S453+AM453)-reAR)&gt;maxAR)),
leEsc,AND(anom,OR(ABS((V453+AP453)-leStart)&gt;maxStart,ABS((V453+AP453)-leAR)&gt;maxAR)),
phaseMax,IFS(
 AK453="Fast",
   IFS(
     OR(C453="B",C453="D"),XLOOKUP("timeout_coarse_fast",Calibration!$B:$B,Calibration!$C:$C,24),
     OR(C453="E",C453="F",C453="H",C453="I"),XLOOKUP("timeout_jcc_fast",Calibration!$B:$B,Calibration!$C:$C,10),
     OR(C453="G",C453="J"),XLOOKUP("timeout_duochrome_fast",Calibration!$B:$B,Calibration!$C:$C,8),
     C453="K",XLOOKUP("timeout_bino_fast",Calibration!$B:$B,Calibration!$C:$C,10),
     OR(C453="P",C453="Q",C453="R"),XLOOKUP("timeout_near_fast",Calibration!$B:$B,Calibration!$C:$C,16),
     TRUE,XLOOKUP("timeout_coarse_fast",Calibration!$B:$B,Calibration!$C:$C,24)
   ),
 AK453="Normal",
   IFS(
     OR(C453="B",C453="D"),XLOOKUP("timeout_coarse_normal",Calibration!$B:$B,Calibration!$C:$C,36),
     OR(C453="E",C453="F",C453="H",C453="I"),XLOOKUP("timeout_jcc_normal",Calibration!$B:$B,Calibration!$C:$C,14),
     OR(C453="G",C453="J"),XLOOKUP("timeout_duochrome_normal",Calibration!$B:$B,Calibration!$C:$C,10),
     C453="K",XLOOKUP("timeout_bino_normal",Calibration!$B:$B,Calibration!$C:$C,14),
     OR(C453="P",C453="Q",C453="R"),XLOOKUP("timeout_near_normal",Calibration!$B:$B,Calibration!$C:$C,22),
     TRUE,XLOOKUP("timeout_coarse_normal",Calibration!$B:$B,Calibration!$C:$C,36)
   ),
 TRUE,
   IFS(
     OR(C453="B",C453="D"),XLOOKUP("timeout_coarse_slow",Calibration!$B:$B,Calibration!$C:$C,48),
     OR(C453="E",C453="F",C453="H",C453="I"),XLOOKUP("timeout_jcc_slow",Calibration!$B:$B,Calibration!$C:$C,18),
     OR(C453="G",C453="J"),XLOOKUP("timeout_duochrome_slow",Calibration!$B:$B,Calibration!$C:$C,12),
     C453="K",XLOOKUP("timeout_bino_slow",Calibration!$B:$B,Calibration!$C:$C,18),
     OR(C453="P",C453="Q",C453="R"),XLOOKUP("timeout_near_slow",Calibration!$B:$B,Calibration!$C:$C,28),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AJ453=TRUE,"ESCALATE",
C453="A",
IF(OR(I453="NOT_READABLE",I453="BLURRY",AND(R453="20_20_20",I453="READABLE")),"B","A"),
C453="B",
IF(reEsc,"ESCALATE",IF(AY453&gt;=phaseMax,"ESCALATE",IF(AND(AV453&gt;=AW453,I453="READABLE"),"E","B"))),
C453="E",
IF(AY453&gt;=phaseMax,"ESCALATE",IF(OR(I453="SAME",I453="CANT_TELL",AD453&lt;axisTol),"F","E")),
C453="F",
IF(AY453&gt;=phaseMax,"ESCALATE",IF(AX453&gt;=powerSameN,"G","F")),
C453="G",
IF(AY453&gt;=phaseMax,"ESCALATE",IF(OR(AX453&gt;=duoEqualN,BB453&gt;=duoMax),"D","G")),
C453="D",
IF(leEsc,"ESCALATE",IF(AY453&gt;=phaseMax,"ESCALATE",IF(AND(AV453&gt;=AW453,I453="READABLE"),"H","D"))),
C453="H",
IF(AY453&gt;=phaseMax,"ESCALATE",IF(OR(I453="SAME",I453="CANT_TELL",AD453&lt;axisTol),"I","H")),
C453="I",
IF(AY453&gt;=phaseMax,"ESCALATE",IF(AX453&gt;=powerSameN,"J","I")),
C453="J",
IF(AY453&gt;=phaseMax,"ESCALATE",IF(OR(AX453&gt;=duoEqualN,BB453&gt;=duoMax),"K","J")),
C453="K",
IF(AY453&gt;=phaseMax,"ESCALATE",IF(AX453&gt;=binoSameN,IF(XLOOKUP($B453,Derived_Variables!$A:$A,Derived_Variables!$AJ:$AJ,FALSE)=TRUE,"P","END"),"K")),
C453="P",
IF(AY453&gt;=phaseMax,"ESCALATE",IF(OR(I453="READABLE",I453="SAME"),"Q","P")),
C453="Q",
IF(AY453&gt;=phaseMax,"ESCALATE",IF(OR(I453="READABLE",I453="SAME"),"R","Q")),
C453="R",
IF(AY453&gt;=phaseMax,"ESCALATE",IF(OR(I453=nearTarget,I453="SAME"),"END","R")),
TRUE,"END"
)))</f>
        <v/>
      </c>
      <c r="BD453" s="28" t="b">
        <f t="shared" si="19"/>
        <v>0</v>
      </c>
    </row>
    <row r="454" ht="15.75" customHeight="1">
      <c r="A454" s="28">
        <f t="shared" si="3"/>
        <v>453</v>
      </c>
      <c r="B454" s="28">
        <f t="shared" si="4"/>
        <v>6</v>
      </c>
      <c r="C454" s="28" t="str">
        <f t="shared" si="5"/>
        <v/>
      </c>
      <c r="D454" s="28" t="str">
        <f t="array" ref="D454">IF($I453="","",XLOOKUP(C454,FSM_State_Map!A:A,FSM_State_Map!B:B,""))</f>
        <v/>
      </c>
      <c r="E454" s="28" t="str">
        <f t="array" ref="E454">IF($I453="","",XLOOKUP(C454,FSM_State_Map!A:A,FSM_State_Map!C:C,""))</f>
        <v/>
      </c>
      <c r="F454" s="28" t="str">
        <f t="array" ref="F454">IF($I453="","",XLOOKUP(E454,Phase_UI_Map!A:A,Phase_UI_Map!B:B,""))</f>
        <v/>
      </c>
      <c r="G454" s="28" t="str">
        <f t="array" ref="G454">IF($I453="","",XLOOKUP(E454,Phase_UI_Map!A:A,Phase_UI_Map!C:C,""))</f>
        <v/>
      </c>
      <c r="H454" s="28" t="str">
        <f t="array" ref="H454">IF($I453="","",XLOOKUP(E454,Phase_UI_Map!A:A,Phase_UI_Map!D:D,""))</f>
        <v/>
      </c>
      <c r="I454" s="29"/>
      <c r="J454" s="28" t="str">
        <f>IFERROR(__xludf.DUMMYFUNCTION("IF($I453="""","""",IFERROR(INDEX(FILTER(Response_Lists!$B:$B,Response_Lists!$A:$A=$H454),1),""""))"),"")</f>
        <v/>
      </c>
      <c r="K454" s="28" t="str">
        <f>IFERROR(__xludf.DUMMYFUNCTION("IF($I453="""","""",IFERROR(INDEX(FILTER(Response_Lists!$B:$B,Response_Lists!$A:$A=$H454),2),""""))"),"")</f>
        <v/>
      </c>
      <c r="L454" s="28" t="str">
        <f>IFERROR(__xludf.DUMMYFUNCTION("IF($I453="""","""",IFERROR(INDEX(FILTER(Response_Lists!$B:$B,Response_Lists!$A:$A=$H454),3),""""))"),"")</f>
        <v/>
      </c>
      <c r="M454" s="28" t="str">
        <f>IFERROR(__xludf.DUMMYFUNCTION("IF($I453="""","""",IFERROR(INDEX(FILTER(Response_Lists!$B:$B,Response_Lists!$A:$A=$H454),4),""""))"),"")</f>
        <v/>
      </c>
      <c r="N454" s="28" t="str">
        <f>IFERROR(__xludf.DUMMYFUNCTION("IF($I453="""","""",IFERROR(INDEX(FILTER(Response_Lists!$B:$B,Response_Lists!$A:$A=$H454),5),""""))"),"")</f>
        <v/>
      </c>
      <c r="O454" s="28" t="str">
        <f>IFERROR(__xludf.DUMMYFUNCTION("IF($I453="""","""",IFERROR(INDEX(FILTER(Response_Lists!$B:$B,Response_Lists!$A:$A=$H454),6),""""))"),"")</f>
        <v/>
      </c>
      <c r="P454" s="28" t="str">
        <f t="shared" si="6"/>
        <v/>
      </c>
      <c r="Q454" s="28" t="str">
        <f t="array" ref="Q454">IF($I453="","",XLOOKUP(C454,FSM_State_Map!A:A,FSM_State_Map!D:D,""))</f>
        <v/>
      </c>
      <c r="R454" s="28" t="str">
        <f t="shared" si="7"/>
        <v/>
      </c>
      <c r="S454" s="28" t="str">
        <f t="array" ref="S454">IF($I453="","",
IF(
  AND(C454="B",C453&lt;&gt;"B"),
  XLOOKUP($B454,Derived_Variables!$A:$A,Derived_Variables!$K:$K,0)
  + XLOOKUP($B454,Derived_Variables!$A:$A,Derived_Variables!$AE:$AE,0),
  S453+AM453
))</f>
        <v/>
      </c>
      <c r="T454" s="28" t="str">
        <f t="shared" ref="T454:U454" si="918">IF($I453="","",T453+AN453)</f>
        <v/>
      </c>
      <c r="U454" s="28" t="str">
        <f t="shared" si="918"/>
        <v/>
      </c>
      <c r="V454" s="28" t="str">
        <f t="array" ref="V454">IF($I453="","",
IF(
  AND(C454="D",C453&lt;&gt;"D"),
  XLOOKUP($B454,Derived_Variables!$A:$A,Derived_Variables!$N:$N,0)
  + XLOOKUP($B454,Derived_Variables!$A:$A,Derived_Variables!$AE:$AE,0),
  V453+AP453
))</f>
        <v/>
      </c>
      <c r="W454" s="28" t="str">
        <f t="shared" ref="W454:X454" si="919">IF($I453="","",W453+AQ453)</f>
        <v/>
      </c>
      <c r="X454" s="28" t="str">
        <f t="shared" si="919"/>
        <v/>
      </c>
      <c r="Y454" s="28" t="str">
        <f t="array" ref="Y454">IF($I453="","",IF(AND(C454="P",C453&lt;&gt;"P"),IFERROR(XLOOKUP($B454,Lenso_Input!$A:$A,Lenso_Input!$E:$E,0),0),Y453+AS453))</f>
        <v/>
      </c>
      <c r="Z454" s="28" t="str">
        <f t="array" ref="Z454">IF($I453="","",IF(AND(C454="Q",C453&lt;&gt;"Q"),IFERROR(XLOOKUP($B454,Lenso_Input!$A:$A,Lenso_Input!$I:$I,0),0),Z453+AT453))</f>
        <v/>
      </c>
      <c r="AA454" s="28" t="str">
        <f t="array" ref="AA454">IF($I453="","",IF(XLOOKUP($B454,Derived_Variables!$A:$A,Derived_Variables!$R:$R,"6/6_target")="6/6_target","20_20_20","40_30_25"))</f>
        <v/>
      </c>
      <c r="AB454" s="28" t="str">
        <f t="array" ref="AB454">IF($I453="","",XLOOKUP(LOWER(XLOOKUP($B454,Derived_Variables!$A:$A,Derived_Variables!$T:$T,"Standard"))&amp;"_sph_step",Calibration!$B:$B,Calibration!$C:$C,0.25))</f>
        <v/>
      </c>
      <c r="AC454" s="28" t="str">
        <f t="array" ref="AC454">IF($I453="","",XLOOKUP(LOWER(XLOOKUP($B454,Derived_Variables!$A:$A,Derived_Variables!$T:$T,"Standard"))&amp;"_cyl_step",Calibration!$B:$B,Calibration!$C:$C,0.25))</f>
        <v/>
      </c>
      <c r="AD454" s="28" t="str">
        <f t="array" ref="AD454">IF($I453="","",IF(OR(C454="E",C454="H"),LET(startStep,XLOOKUP("axis_start_step",Calibration!$B:$B,Calibration!$C:$C,5),step1,XLOOKUP("axis_reversal_step_1",Calibration!$B:$B,Calibration!$C:$C,3),step2,XLOOKUP("axis_reversal_step_2",Calibration!$B:$B,Calibration!$C:$C,1),IF(OR(C453&lt;&gt;C454,AZ454="",AZ454="SAME",AZ454="CANT_TELL",I454="",I454="SAME",I454="CANT_TELL"),startStep,IF(OR(AND(AZ454="BETTER_1",I454="BETTER_2"),AND(AZ454="BETTER_2",I454="BETTER_1")),IF(AD453&gt;step1,step1,step2),AD453))),0))</f>
        <v/>
      </c>
      <c r="AE454" s="28" t="str">
        <f t="array" ref="AE454">IF($I453="","",XLOOKUP($B454,Derived_Variables!$A:$A,Derived_Variables!$AD:$AD,"No_Fog"))</f>
        <v/>
      </c>
      <c r="AF454" s="28" t="str">
        <f t="array" ref="AF454">IF($I453="","",XLOOKUP($B454,Derived_Variables!$A:$A,Derived_Variables!$AE:$AE,0))</f>
        <v/>
      </c>
      <c r="AG454" s="28" t="str">
        <f t="array" ref="AG454">IF($I453="","",XLOOKUP($B454,Derived_Variables!$A:$A,Derived_Variables!$AF:$AF,""))</f>
        <v/>
      </c>
      <c r="AH454" s="28" t="str">
        <f t="array" ref="AH454">IF($I453="","",XLOOKUP($B454,Derived_Variables!$A:$A,Derived_Variables!$AG:$AG,""))</f>
        <v/>
      </c>
      <c r="AI454" s="28" t="str">
        <f t="array" ref="AI454">IF($I453="","",XLOOKUP($B454,Derived_Variables!$A:$A,Derived_Variables!$AC:$AC,"Medium"))</f>
        <v/>
      </c>
      <c r="AJ454" s="28" t="str">
        <f t="array" ref="AJ454">IF($I453="","",XLOOKUP($B454,Derived_Variables!$A:$A,Derived_Variables!$Y:$Y,FALSE))</f>
        <v/>
      </c>
      <c r="AK454" s="28" t="str">
        <f t="array" ref="AK454">IF($I453="","",XLOOKUP($B454,Derived_Variables!$A:$A,Derived_Variables!$AA:$AA,"Normal"))</f>
        <v/>
      </c>
      <c r="AL454" s="28" t="str">
        <f t="array" ref="AL454">IF($I453="","",XLOOKUP($B454,Derived_Variables!$A:$A,Derived_Variables!$AB:$AB,"Normal"))</f>
        <v/>
      </c>
      <c r="AM454" s="28" t="str">
        <f t="array" ref="AM454">IF($I454="","",IFS(C454="B",IF(OR(I454="NOT_READABLE",I454="BLURRY"),-AB454,0),C454="G",IFS(I454="RED_CLEARER",XLOOKUP("duochrome_red_step",Calibration!$B:$B,Calibration!$C:$C,-0.25),I454="GREEN_CLEARER",XLOOKUP("duochrome_green_step",Calibration!$B:$B,Calibration!$C:$C,0.25),I454="EQUAL",IF(XLOOKUP($B454,Derived_Variables!$A:$A,Derived_Variables!$S:$S,"Neutral")="Undercorrect",XLOOKUP("undercorrect_step",Calibration!$B:$B,Calibration!$C:$C,0.25),IF(XLOOKUP($B454,Derived_Variables!$A:$A,Derived_Variables!$S:$S,"Neutral")="Overcorrect",-XLOOKUP("overcorrect_step",Calibration!$B:$B,Calibration!$C:$C,0.25),0)),TRUE,0),C454="K",IF(I454="TOP_CLEARER",XLOOKUP("bino_balance_step",Calibration!$B:$B,Calibration!$C:$C,0.25),0),TRUE,0))</f>
        <v/>
      </c>
      <c r="AN454" s="28" t="str">
        <f t="shared" si="10"/>
        <v/>
      </c>
      <c r="AO454" s="28" t="str">
        <f t="shared" si="11"/>
        <v/>
      </c>
      <c r="AP454" s="28" t="str">
        <f t="array" ref="AP454">IF($I454="","",IFS(C454="D",IF(OR(I454="NOT_READABLE",I454="BLURRY"),-AB454,0),C454="J",IFS(I454="RED_CLEARER",XLOOKUP("duochrome_red_step",Calibration!$B:$B,Calibration!$C:$C,-0.25),I454="GREEN_CLEARER",XLOOKUP("duochrome_green_step",Calibration!$B:$B,Calibration!$C:$C,0.25),I454="EQUAL",IF(XLOOKUP($B454,Derived_Variables!$A:$A,Derived_Variables!$S:$S,"Neutral")="Undercorrect",XLOOKUP("undercorrect_step",Calibration!$B:$B,Calibration!$C:$C,0.25),IF(XLOOKUP($B454,Derived_Variables!$A:$A,Derived_Variables!$S:$S,"Neutral")="Overcorrect",-XLOOKUP("overcorrect_step",Calibration!$B:$B,Calibration!$C:$C,0.25),0)),TRUE,0),C454="K",IF(I454="BOTTOM_CLEARER",XLOOKUP("bino_balance_step",Calibration!$B:$B,Calibration!$C:$C,0.25),0),TRUE,0))</f>
        <v/>
      </c>
      <c r="AQ454" s="28" t="str">
        <f t="shared" si="12"/>
        <v/>
      </c>
      <c r="AR454" s="28" t="str">
        <f t="shared" si="13"/>
        <v/>
      </c>
      <c r="AS454" s="28" t="str">
        <f t="array" ref="AS454">IF($I454="","",IF(C454="P",IF(OR(I454="NOT_READABLE",I454="BLURRY"),XLOOKUP("near_add_step",Calibration!$B:$B,Calibration!$C:$C,0.25),0),IF(C454="R",IF(I454="NOT_CLEAR",XLOOKUP("near_add_step",Calibration!$B:$B,Calibration!$C:$C,0.25),0),0)))</f>
        <v/>
      </c>
      <c r="AT454" s="28" t="str">
        <f t="array" ref="AT454">IF($I454="","",IF(C454="Q",IF(OR(I454="NOT_READABLE",I454="BLURRY"),XLOOKUP("near_add_step",Calibration!$B:$B,Calibration!$C:$C,0.25),0),IF(C454="R",IF(I454="NOT_CLEAR",XLOOKUP("near_add_step",Calibration!$B:$B,Calibration!$C:$C,0.25),0),0)))</f>
        <v/>
      </c>
      <c r="AU454" s="28" t="str">
        <f t="array" ref="AU454">IF($I454="","",IF(G454="SNELLEN_FEET",IF(I454="READABLE",IFERROR(XLOOKUP(XLOOKUP(R454,Chart_Scale_Distance!B:B,Chart_Scale_Distance!A:A)+1,Chart_Scale_Distance!A:A,Chart_Scale_Distance!B:B),R454),R454),R454))</f>
        <v/>
      </c>
      <c r="AV454" s="28" t="str">
        <f t="array" ref="AV454">IF($I453="","",IFERROR(XLOOKUP(R454,Chart_Scale_Distance!$B:$B,Chart_Scale_Distance!$A:$A,""),""))</f>
        <v/>
      </c>
      <c r="AW454" s="28" t="str">
        <f t="array" ref="AW454">IF($I453="","",IFERROR(XLOOKUP(AA454,Chart_Scale_Distance!$B:$B,Chart_Scale_Distance!$A:$A,""),""))</f>
        <v/>
      </c>
      <c r="AX454" s="28" t="str">
        <f t="shared" si="14"/>
        <v/>
      </c>
      <c r="AY454" s="28" t="str">
        <f t="shared" si="15"/>
        <v/>
      </c>
      <c r="AZ454" s="28" t="str">
        <f t="shared" si="16"/>
        <v/>
      </c>
      <c r="BA454" s="28" t="str">
        <f t="shared" si="17"/>
        <v/>
      </c>
      <c r="BB454" s="28" t="str">
        <f t="shared" si="18"/>
        <v/>
      </c>
      <c r="BC454" s="28" t="str">
        <f t="array" ref="BC454">IF($I454="","",LET(
conf,AI454,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duoMax,XLOOKUP($B454,Derived_Variables!$A:$A,Derived_Variables!$AI:$AI,4),
axisTol,XLOOKUP($B454,Derived_Variables!$A:$A,Derived_Variables!$W:$W,1),
maxStart,XLOOKUP($B454,Derived_Variables!$A:$A,Derived_Variables!$U:$U,1.25),
maxAR,XLOOKUP($B454,Derived_Variables!$A:$A,Derived_Variables!$V:$V,3),
anom,XLOOKUP($B454,Derived_Variables!$A:$A,Derived_Variables!$Z:$Z,FALSE),
reStart,XLOOKUP($B454,Derived_Variables!$A:$A,Derived_Variables!$K:$K,0),
leStart,XLOOKUP($B454,Derived_Variables!$A:$A,Derived_Variables!$N:$N,0),
reAR,XLOOKUP($B454,AR_Input!$A:$A,AR_Input!$B:$B,reStart),
leAR,XLOOKUP($B454,AR_Input!$A:$A,AR_Input!$E:$E,leStart),
reEsc,AND(anom,OR(ABS((S454+AM454)-reStart)&gt;maxStart,ABS((S454+AM454)-reAR)&gt;maxAR)),
leEsc,AND(anom,OR(ABS((V454+AP454)-leStart)&gt;maxStart,ABS((V454+AP454)-leAR)&gt;maxAR)),
phaseMax,IFS(
 AK454="Fast",
   IFS(
     OR(C454="B",C454="D"),XLOOKUP("timeout_coarse_fast",Calibration!$B:$B,Calibration!$C:$C,24),
     OR(C454="E",C454="F",C454="H",C454="I"),XLOOKUP("timeout_jcc_fast",Calibration!$B:$B,Calibration!$C:$C,10),
     OR(C454="G",C454="J"),XLOOKUP("timeout_duochrome_fast",Calibration!$B:$B,Calibration!$C:$C,8),
     C454="K",XLOOKUP("timeout_bino_fast",Calibration!$B:$B,Calibration!$C:$C,10),
     OR(C454="P",C454="Q",C454="R"),XLOOKUP("timeout_near_fast",Calibration!$B:$B,Calibration!$C:$C,16),
     TRUE,XLOOKUP("timeout_coarse_fast",Calibration!$B:$B,Calibration!$C:$C,24)
   ),
 AK454="Normal",
   IFS(
     OR(C454="B",C454="D"),XLOOKUP("timeout_coarse_normal",Calibration!$B:$B,Calibration!$C:$C,36),
     OR(C454="E",C454="F",C454="H",C454="I"),XLOOKUP("timeout_jcc_normal",Calibration!$B:$B,Calibration!$C:$C,14),
     OR(C454="G",C454="J"),XLOOKUP("timeout_duochrome_normal",Calibration!$B:$B,Calibration!$C:$C,10),
     C454="K",XLOOKUP("timeout_bino_normal",Calibration!$B:$B,Calibration!$C:$C,14),
     OR(C454="P",C454="Q",C454="R"),XLOOKUP("timeout_near_normal",Calibration!$B:$B,Calibration!$C:$C,22),
     TRUE,XLOOKUP("timeout_coarse_normal",Calibration!$B:$B,Calibration!$C:$C,36)
   ),
 TRUE,
   IFS(
     OR(C454="B",C454="D"),XLOOKUP("timeout_coarse_slow",Calibration!$B:$B,Calibration!$C:$C,48),
     OR(C454="E",C454="F",C454="H",C454="I"),XLOOKUP("timeout_jcc_slow",Calibration!$B:$B,Calibration!$C:$C,18),
     OR(C454="G",C454="J"),XLOOKUP("timeout_duochrome_slow",Calibration!$B:$B,Calibration!$C:$C,12),
     C454="K",XLOOKUP("timeout_bino_slow",Calibration!$B:$B,Calibration!$C:$C,18),
     OR(C454="P",C454="Q",C454="R"),XLOOKUP("timeout_near_slow",Calibration!$B:$B,Calibration!$C:$C,28),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AJ454=TRUE,"ESCALATE",
C454="A",
IF(OR(I454="NOT_READABLE",I454="BLURRY",AND(R454="20_20_20",I454="READABLE")),"B","A"),
C454="B",
IF(reEsc,"ESCALATE",IF(AY454&gt;=phaseMax,"ESCALATE",IF(AND(AV454&gt;=AW454,I454="READABLE"),"E","B"))),
C454="E",
IF(AY454&gt;=phaseMax,"ESCALATE",IF(OR(I454="SAME",I454="CANT_TELL",AD454&lt;axisTol),"F","E")),
C454="F",
IF(AY454&gt;=phaseMax,"ESCALATE",IF(AX454&gt;=powerSameN,"G","F")),
C454="G",
IF(AY454&gt;=phaseMax,"ESCALATE",IF(OR(AX454&gt;=duoEqualN,BB454&gt;=duoMax),"D","G")),
C454="D",
IF(leEsc,"ESCALATE",IF(AY454&gt;=phaseMax,"ESCALATE",IF(AND(AV454&gt;=AW454,I454="READABLE"),"H","D"))),
C454="H",
IF(AY454&gt;=phaseMax,"ESCALATE",IF(OR(I454="SAME",I454="CANT_TELL",AD454&lt;axisTol),"I","H")),
C454="I",
IF(AY454&gt;=phaseMax,"ESCALATE",IF(AX454&gt;=powerSameN,"J","I")),
C454="J",
IF(AY454&gt;=phaseMax,"ESCALATE",IF(OR(AX454&gt;=duoEqualN,BB454&gt;=duoMax),"K","J")),
C454="K",
IF(AY454&gt;=phaseMax,"ESCALATE",IF(AX454&gt;=binoSameN,IF(XLOOKUP($B454,Derived_Variables!$A:$A,Derived_Variables!$AJ:$AJ,FALSE)=TRUE,"P","END"),"K")),
C454="P",
IF(AY454&gt;=phaseMax,"ESCALATE",IF(OR(I454="READABLE",I454="SAME"),"Q","P")),
C454="Q",
IF(AY454&gt;=phaseMax,"ESCALATE",IF(OR(I454="READABLE",I454="SAME"),"R","Q")),
C454="R",
IF(AY454&gt;=phaseMax,"ESCALATE",IF(OR(I454=nearTarget,I454="SAME"),"END","R")),
TRUE,"END"
)))</f>
        <v/>
      </c>
      <c r="BD454" s="28" t="b">
        <f t="shared" si="19"/>
        <v>0</v>
      </c>
    </row>
    <row r="455" ht="15.75" customHeight="1">
      <c r="A455" s="28">
        <f t="shared" si="3"/>
        <v>454</v>
      </c>
      <c r="B455" s="28">
        <f t="shared" si="4"/>
        <v>6</v>
      </c>
      <c r="C455" s="28" t="str">
        <f t="shared" si="5"/>
        <v/>
      </c>
      <c r="D455" s="28" t="str">
        <f t="array" ref="D455">IF($I454="","",XLOOKUP(C455,FSM_State_Map!A:A,FSM_State_Map!B:B,""))</f>
        <v/>
      </c>
      <c r="E455" s="28" t="str">
        <f t="array" ref="E455">IF($I454="","",XLOOKUP(C455,FSM_State_Map!A:A,FSM_State_Map!C:C,""))</f>
        <v/>
      </c>
      <c r="F455" s="28" t="str">
        <f t="array" ref="F455">IF($I454="","",XLOOKUP(E455,Phase_UI_Map!A:A,Phase_UI_Map!B:B,""))</f>
        <v/>
      </c>
      <c r="G455" s="28" t="str">
        <f t="array" ref="G455">IF($I454="","",XLOOKUP(E455,Phase_UI_Map!A:A,Phase_UI_Map!C:C,""))</f>
        <v/>
      </c>
      <c r="H455" s="28" t="str">
        <f t="array" ref="H455">IF($I454="","",XLOOKUP(E455,Phase_UI_Map!A:A,Phase_UI_Map!D:D,""))</f>
        <v/>
      </c>
      <c r="I455" s="29"/>
      <c r="J455" s="28" t="str">
        <f>IFERROR(__xludf.DUMMYFUNCTION("IF($I454="""","""",IFERROR(INDEX(FILTER(Response_Lists!$B:$B,Response_Lists!$A:$A=$H455),1),""""))"),"")</f>
        <v/>
      </c>
      <c r="K455" s="28" t="str">
        <f>IFERROR(__xludf.DUMMYFUNCTION("IF($I454="""","""",IFERROR(INDEX(FILTER(Response_Lists!$B:$B,Response_Lists!$A:$A=$H455),2),""""))"),"")</f>
        <v/>
      </c>
      <c r="L455" s="28" t="str">
        <f>IFERROR(__xludf.DUMMYFUNCTION("IF($I454="""","""",IFERROR(INDEX(FILTER(Response_Lists!$B:$B,Response_Lists!$A:$A=$H455),3),""""))"),"")</f>
        <v/>
      </c>
      <c r="M455" s="28" t="str">
        <f>IFERROR(__xludf.DUMMYFUNCTION("IF($I454="""","""",IFERROR(INDEX(FILTER(Response_Lists!$B:$B,Response_Lists!$A:$A=$H455),4),""""))"),"")</f>
        <v/>
      </c>
      <c r="N455" s="28" t="str">
        <f>IFERROR(__xludf.DUMMYFUNCTION("IF($I454="""","""",IFERROR(INDEX(FILTER(Response_Lists!$B:$B,Response_Lists!$A:$A=$H455),5),""""))"),"")</f>
        <v/>
      </c>
      <c r="O455" s="28" t="str">
        <f>IFERROR(__xludf.DUMMYFUNCTION("IF($I454="""","""",IFERROR(INDEX(FILTER(Response_Lists!$B:$B,Response_Lists!$A:$A=$H455),6),""""))"),"")</f>
        <v/>
      </c>
      <c r="P455" s="28" t="str">
        <f t="shared" si="6"/>
        <v/>
      </c>
      <c r="Q455" s="28" t="str">
        <f t="array" ref="Q455">IF($I454="","",XLOOKUP(C455,FSM_State_Map!A:A,FSM_State_Map!D:D,""))</f>
        <v/>
      </c>
      <c r="R455" s="28" t="str">
        <f t="shared" si="7"/>
        <v/>
      </c>
      <c r="S455" s="28" t="str">
        <f t="array" ref="S455">IF($I454="","",
IF(
  AND(C455="B",C454&lt;&gt;"B"),
  XLOOKUP($B455,Derived_Variables!$A:$A,Derived_Variables!$K:$K,0)
  + XLOOKUP($B455,Derived_Variables!$A:$A,Derived_Variables!$AE:$AE,0),
  S454+AM454
))</f>
        <v/>
      </c>
      <c r="T455" s="28" t="str">
        <f t="shared" ref="T455:U455" si="920">IF($I454="","",T454+AN454)</f>
        <v/>
      </c>
      <c r="U455" s="28" t="str">
        <f t="shared" si="920"/>
        <v/>
      </c>
      <c r="V455" s="28" t="str">
        <f t="array" ref="V455">IF($I454="","",
IF(
  AND(C455="D",C454&lt;&gt;"D"),
  XLOOKUP($B455,Derived_Variables!$A:$A,Derived_Variables!$N:$N,0)
  + XLOOKUP($B455,Derived_Variables!$A:$A,Derived_Variables!$AE:$AE,0),
  V454+AP454
))</f>
        <v/>
      </c>
      <c r="W455" s="28" t="str">
        <f t="shared" ref="W455:X455" si="921">IF($I454="","",W454+AQ454)</f>
        <v/>
      </c>
      <c r="X455" s="28" t="str">
        <f t="shared" si="921"/>
        <v/>
      </c>
      <c r="Y455" s="28" t="str">
        <f t="array" ref="Y455">IF($I454="","",IF(AND(C455="P",C454&lt;&gt;"P"),IFERROR(XLOOKUP($B455,Lenso_Input!$A:$A,Lenso_Input!$E:$E,0),0),Y454+AS454))</f>
        <v/>
      </c>
      <c r="Z455" s="28" t="str">
        <f t="array" ref="Z455">IF($I454="","",IF(AND(C455="Q",C454&lt;&gt;"Q"),IFERROR(XLOOKUP($B455,Lenso_Input!$A:$A,Lenso_Input!$I:$I,0),0),Z454+AT454))</f>
        <v/>
      </c>
      <c r="AA455" s="28" t="str">
        <f t="array" ref="AA455">IF($I454="","",IF(XLOOKUP($B455,Derived_Variables!$A:$A,Derived_Variables!$R:$R,"6/6_target")="6/6_target","20_20_20","40_30_25"))</f>
        <v/>
      </c>
      <c r="AB455" s="28" t="str">
        <f t="array" ref="AB455">IF($I454="","",XLOOKUP(LOWER(XLOOKUP($B455,Derived_Variables!$A:$A,Derived_Variables!$T:$T,"Standard"))&amp;"_sph_step",Calibration!$B:$B,Calibration!$C:$C,0.25))</f>
        <v/>
      </c>
      <c r="AC455" s="28" t="str">
        <f t="array" ref="AC455">IF($I454="","",XLOOKUP(LOWER(XLOOKUP($B455,Derived_Variables!$A:$A,Derived_Variables!$T:$T,"Standard"))&amp;"_cyl_step",Calibration!$B:$B,Calibration!$C:$C,0.25))</f>
        <v/>
      </c>
      <c r="AD455" s="28" t="str">
        <f t="array" ref="AD455">IF($I454="","",IF(OR(C455="E",C455="H"),LET(startStep,XLOOKUP("axis_start_step",Calibration!$B:$B,Calibration!$C:$C,5),step1,XLOOKUP("axis_reversal_step_1",Calibration!$B:$B,Calibration!$C:$C,3),step2,XLOOKUP("axis_reversal_step_2",Calibration!$B:$B,Calibration!$C:$C,1),IF(OR(C454&lt;&gt;C455,AZ455="",AZ455="SAME",AZ455="CANT_TELL",I455="",I455="SAME",I455="CANT_TELL"),startStep,IF(OR(AND(AZ455="BETTER_1",I455="BETTER_2"),AND(AZ455="BETTER_2",I455="BETTER_1")),IF(AD454&gt;step1,step1,step2),AD454))),0))</f>
        <v/>
      </c>
      <c r="AE455" s="28" t="str">
        <f t="array" ref="AE455">IF($I454="","",XLOOKUP($B455,Derived_Variables!$A:$A,Derived_Variables!$AD:$AD,"No_Fog"))</f>
        <v/>
      </c>
      <c r="AF455" s="28" t="str">
        <f t="array" ref="AF455">IF($I454="","",XLOOKUP($B455,Derived_Variables!$A:$A,Derived_Variables!$AE:$AE,0))</f>
        <v/>
      </c>
      <c r="AG455" s="28" t="str">
        <f t="array" ref="AG455">IF($I454="","",XLOOKUP($B455,Derived_Variables!$A:$A,Derived_Variables!$AF:$AF,""))</f>
        <v/>
      </c>
      <c r="AH455" s="28" t="str">
        <f t="array" ref="AH455">IF($I454="","",XLOOKUP($B455,Derived_Variables!$A:$A,Derived_Variables!$AG:$AG,""))</f>
        <v/>
      </c>
      <c r="AI455" s="28" t="str">
        <f t="array" ref="AI455">IF($I454="","",XLOOKUP($B455,Derived_Variables!$A:$A,Derived_Variables!$AC:$AC,"Medium"))</f>
        <v/>
      </c>
      <c r="AJ455" s="28" t="str">
        <f t="array" ref="AJ455">IF($I454="","",XLOOKUP($B455,Derived_Variables!$A:$A,Derived_Variables!$Y:$Y,FALSE))</f>
        <v/>
      </c>
      <c r="AK455" s="28" t="str">
        <f t="array" ref="AK455">IF($I454="","",XLOOKUP($B455,Derived_Variables!$A:$A,Derived_Variables!$AA:$AA,"Normal"))</f>
        <v/>
      </c>
      <c r="AL455" s="28" t="str">
        <f t="array" ref="AL455">IF($I454="","",XLOOKUP($B455,Derived_Variables!$A:$A,Derived_Variables!$AB:$AB,"Normal"))</f>
        <v/>
      </c>
      <c r="AM455" s="28" t="str">
        <f t="array" ref="AM455">IF($I455="","",IFS(C455="B",IF(OR(I455="NOT_READABLE",I455="BLURRY"),-AB455,0),C455="G",IFS(I455="RED_CLEARER",XLOOKUP("duochrome_red_step",Calibration!$B:$B,Calibration!$C:$C,-0.25),I455="GREEN_CLEARER",XLOOKUP("duochrome_green_step",Calibration!$B:$B,Calibration!$C:$C,0.25),I455="EQUAL",IF(XLOOKUP($B455,Derived_Variables!$A:$A,Derived_Variables!$S:$S,"Neutral")="Undercorrect",XLOOKUP("undercorrect_step",Calibration!$B:$B,Calibration!$C:$C,0.25),IF(XLOOKUP($B455,Derived_Variables!$A:$A,Derived_Variables!$S:$S,"Neutral")="Overcorrect",-XLOOKUP("overcorrect_step",Calibration!$B:$B,Calibration!$C:$C,0.25),0)),TRUE,0),C455="K",IF(I455="TOP_CLEARER",XLOOKUP("bino_balance_step",Calibration!$B:$B,Calibration!$C:$C,0.25),0),TRUE,0))</f>
        <v/>
      </c>
      <c r="AN455" s="28" t="str">
        <f t="shared" si="10"/>
        <v/>
      </c>
      <c r="AO455" s="28" t="str">
        <f t="shared" si="11"/>
        <v/>
      </c>
      <c r="AP455" s="28" t="str">
        <f t="array" ref="AP455">IF($I455="","",IFS(C455="D",IF(OR(I455="NOT_READABLE",I455="BLURRY"),-AB455,0),C455="J",IFS(I455="RED_CLEARER",XLOOKUP("duochrome_red_step",Calibration!$B:$B,Calibration!$C:$C,-0.25),I455="GREEN_CLEARER",XLOOKUP("duochrome_green_step",Calibration!$B:$B,Calibration!$C:$C,0.25),I455="EQUAL",IF(XLOOKUP($B455,Derived_Variables!$A:$A,Derived_Variables!$S:$S,"Neutral")="Undercorrect",XLOOKUP("undercorrect_step",Calibration!$B:$B,Calibration!$C:$C,0.25),IF(XLOOKUP($B455,Derived_Variables!$A:$A,Derived_Variables!$S:$S,"Neutral")="Overcorrect",-XLOOKUP("overcorrect_step",Calibration!$B:$B,Calibration!$C:$C,0.25),0)),TRUE,0),C455="K",IF(I455="BOTTOM_CLEARER",XLOOKUP("bino_balance_step",Calibration!$B:$B,Calibration!$C:$C,0.25),0),TRUE,0))</f>
        <v/>
      </c>
      <c r="AQ455" s="28" t="str">
        <f t="shared" si="12"/>
        <v/>
      </c>
      <c r="AR455" s="28" t="str">
        <f t="shared" si="13"/>
        <v/>
      </c>
      <c r="AS455" s="28" t="str">
        <f t="array" ref="AS455">IF($I455="","",IF(C455="P",IF(OR(I455="NOT_READABLE",I455="BLURRY"),XLOOKUP("near_add_step",Calibration!$B:$B,Calibration!$C:$C,0.25),0),IF(C455="R",IF(I455="NOT_CLEAR",XLOOKUP("near_add_step",Calibration!$B:$B,Calibration!$C:$C,0.25),0),0)))</f>
        <v/>
      </c>
      <c r="AT455" s="28" t="str">
        <f t="array" ref="AT455">IF($I455="","",IF(C455="Q",IF(OR(I455="NOT_READABLE",I455="BLURRY"),XLOOKUP("near_add_step",Calibration!$B:$B,Calibration!$C:$C,0.25),0),IF(C455="R",IF(I455="NOT_CLEAR",XLOOKUP("near_add_step",Calibration!$B:$B,Calibration!$C:$C,0.25),0),0)))</f>
        <v/>
      </c>
      <c r="AU455" s="28" t="str">
        <f t="array" ref="AU455">IF($I455="","",IF(G455="SNELLEN_FEET",IF(I455="READABLE",IFERROR(XLOOKUP(XLOOKUP(R455,Chart_Scale_Distance!B:B,Chart_Scale_Distance!A:A)+1,Chart_Scale_Distance!A:A,Chart_Scale_Distance!B:B),R455),R455),R455))</f>
        <v/>
      </c>
      <c r="AV455" s="28" t="str">
        <f t="array" ref="AV455">IF($I454="","",IFERROR(XLOOKUP(R455,Chart_Scale_Distance!$B:$B,Chart_Scale_Distance!$A:$A,""),""))</f>
        <v/>
      </c>
      <c r="AW455" s="28" t="str">
        <f t="array" ref="AW455">IF($I454="","",IFERROR(XLOOKUP(AA455,Chart_Scale_Distance!$B:$B,Chart_Scale_Distance!$A:$A,""),""))</f>
        <v/>
      </c>
      <c r="AX455" s="28" t="str">
        <f t="shared" si="14"/>
        <v/>
      </c>
      <c r="AY455" s="28" t="str">
        <f t="shared" si="15"/>
        <v/>
      </c>
      <c r="AZ455" s="28" t="str">
        <f t="shared" si="16"/>
        <v/>
      </c>
      <c r="BA455" s="28" t="str">
        <f t="shared" si="17"/>
        <v/>
      </c>
      <c r="BB455" s="28" t="str">
        <f t="shared" si="18"/>
        <v/>
      </c>
      <c r="BC455" s="28" t="str">
        <f t="array" ref="BC455">IF($I455="","",LET(
conf,AI455,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duoMax,XLOOKUP($B455,Derived_Variables!$A:$A,Derived_Variables!$AI:$AI,4),
axisTol,XLOOKUP($B455,Derived_Variables!$A:$A,Derived_Variables!$W:$W,1),
maxStart,XLOOKUP($B455,Derived_Variables!$A:$A,Derived_Variables!$U:$U,1.25),
maxAR,XLOOKUP($B455,Derived_Variables!$A:$A,Derived_Variables!$V:$V,3),
anom,XLOOKUP($B455,Derived_Variables!$A:$A,Derived_Variables!$Z:$Z,FALSE),
reStart,XLOOKUP($B455,Derived_Variables!$A:$A,Derived_Variables!$K:$K,0),
leStart,XLOOKUP($B455,Derived_Variables!$A:$A,Derived_Variables!$N:$N,0),
reAR,XLOOKUP($B455,AR_Input!$A:$A,AR_Input!$B:$B,reStart),
leAR,XLOOKUP($B455,AR_Input!$A:$A,AR_Input!$E:$E,leStart),
reEsc,AND(anom,OR(ABS((S455+AM455)-reStart)&gt;maxStart,ABS((S455+AM455)-reAR)&gt;maxAR)),
leEsc,AND(anom,OR(ABS((V455+AP455)-leStart)&gt;maxStart,ABS((V455+AP455)-leAR)&gt;maxAR)),
phaseMax,IFS(
 AK455="Fast",
   IFS(
     OR(C455="B",C455="D"),XLOOKUP("timeout_coarse_fast",Calibration!$B:$B,Calibration!$C:$C,24),
     OR(C455="E",C455="F",C455="H",C455="I"),XLOOKUP("timeout_jcc_fast",Calibration!$B:$B,Calibration!$C:$C,10),
     OR(C455="G",C455="J"),XLOOKUP("timeout_duochrome_fast",Calibration!$B:$B,Calibration!$C:$C,8),
     C455="K",XLOOKUP("timeout_bino_fast",Calibration!$B:$B,Calibration!$C:$C,10),
     OR(C455="P",C455="Q",C455="R"),XLOOKUP("timeout_near_fast",Calibration!$B:$B,Calibration!$C:$C,16),
     TRUE,XLOOKUP("timeout_coarse_fast",Calibration!$B:$B,Calibration!$C:$C,24)
   ),
 AK455="Normal",
   IFS(
     OR(C455="B",C455="D"),XLOOKUP("timeout_coarse_normal",Calibration!$B:$B,Calibration!$C:$C,36),
     OR(C455="E",C455="F",C455="H",C455="I"),XLOOKUP("timeout_jcc_normal",Calibration!$B:$B,Calibration!$C:$C,14),
     OR(C455="G",C455="J"),XLOOKUP("timeout_duochrome_normal",Calibration!$B:$B,Calibration!$C:$C,10),
     C455="K",XLOOKUP("timeout_bino_normal",Calibration!$B:$B,Calibration!$C:$C,14),
     OR(C455="P",C455="Q",C455="R"),XLOOKUP("timeout_near_normal",Calibration!$B:$B,Calibration!$C:$C,22),
     TRUE,XLOOKUP("timeout_coarse_normal",Calibration!$B:$B,Calibration!$C:$C,36)
   ),
 TRUE,
   IFS(
     OR(C455="B",C455="D"),XLOOKUP("timeout_coarse_slow",Calibration!$B:$B,Calibration!$C:$C,48),
     OR(C455="E",C455="F",C455="H",C455="I"),XLOOKUP("timeout_jcc_slow",Calibration!$B:$B,Calibration!$C:$C,18),
     OR(C455="G",C455="J"),XLOOKUP("timeout_duochrome_slow",Calibration!$B:$B,Calibration!$C:$C,12),
     C455="K",XLOOKUP("timeout_bino_slow",Calibration!$B:$B,Calibration!$C:$C,18),
     OR(C455="P",C455="Q",C455="R"),XLOOKUP("timeout_near_slow",Calibration!$B:$B,Calibration!$C:$C,28),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AJ455=TRUE,"ESCALATE",
C455="A",
IF(OR(I455="NOT_READABLE",I455="BLURRY",AND(R455="20_20_20",I455="READABLE")),"B","A"),
C455="B",
IF(reEsc,"ESCALATE",IF(AY455&gt;=phaseMax,"ESCALATE",IF(AND(AV455&gt;=AW455,I455="READABLE"),"E","B"))),
C455="E",
IF(AY455&gt;=phaseMax,"ESCALATE",IF(OR(I455="SAME",I455="CANT_TELL",AD455&lt;axisTol),"F","E")),
C455="F",
IF(AY455&gt;=phaseMax,"ESCALATE",IF(AX455&gt;=powerSameN,"G","F")),
C455="G",
IF(AY455&gt;=phaseMax,"ESCALATE",IF(OR(AX455&gt;=duoEqualN,BB455&gt;=duoMax),"D","G")),
C455="D",
IF(leEsc,"ESCALATE",IF(AY455&gt;=phaseMax,"ESCALATE",IF(AND(AV455&gt;=AW455,I455="READABLE"),"H","D"))),
C455="H",
IF(AY455&gt;=phaseMax,"ESCALATE",IF(OR(I455="SAME",I455="CANT_TELL",AD455&lt;axisTol),"I","H")),
C455="I",
IF(AY455&gt;=phaseMax,"ESCALATE",IF(AX455&gt;=powerSameN,"J","I")),
C455="J",
IF(AY455&gt;=phaseMax,"ESCALATE",IF(OR(AX455&gt;=duoEqualN,BB455&gt;=duoMax),"K","J")),
C455="K",
IF(AY455&gt;=phaseMax,"ESCALATE",IF(AX455&gt;=binoSameN,IF(XLOOKUP($B455,Derived_Variables!$A:$A,Derived_Variables!$AJ:$AJ,FALSE)=TRUE,"P","END"),"K")),
C455="P",
IF(AY455&gt;=phaseMax,"ESCALATE",IF(OR(I455="READABLE",I455="SAME"),"Q","P")),
C455="Q",
IF(AY455&gt;=phaseMax,"ESCALATE",IF(OR(I455="READABLE",I455="SAME"),"R","Q")),
C455="R",
IF(AY455&gt;=phaseMax,"ESCALATE",IF(OR(I455=nearTarget,I455="SAME"),"END","R")),
TRUE,"END"
)))</f>
        <v/>
      </c>
      <c r="BD455" s="28" t="b">
        <f t="shared" si="19"/>
        <v>0</v>
      </c>
    </row>
    <row r="456" ht="15.75" customHeight="1">
      <c r="A456" s="28">
        <f t="shared" si="3"/>
        <v>455</v>
      </c>
      <c r="B456" s="28">
        <f t="shared" si="4"/>
        <v>6</v>
      </c>
      <c r="C456" s="28" t="str">
        <f t="shared" si="5"/>
        <v/>
      </c>
      <c r="D456" s="28" t="str">
        <f t="array" ref="D456">IF($I455="","",XLOOKUP(C456,FSM_State_Map!A:A,FSM_State_Map!B:B,""))</f>
        <v/>
      </c>
      <c r="E456" s="28" t="str">
        <f t="array" ref="E456">IF($I455="","",XLOOKUP(C456,FSM_State_Map!A:A,FSM_State_Map!C:C,""))</f>
        <v/>
      </c>
      <c r="F456" s="28" t="str">
        <f t="array" ref="F456">IF($I455="","",XLOOKUP(E456,Phase_UI_Map!A:A,Phase_UI_Map!B:B,""))</f>
        <v/>
      </c>
      <c r="G456" s="28" t="str">
        <f t="array" ref="G456">IF($I455="","",XLOOKUP(E456,Phase_UI_Map!A:A,Phase_UI_Map!C:C,""))</f>
        <v/>
      </c>
      <c r="H456" s="28" t="str">
        <f t="array" ref="H456">IF($I455="","",XLOOKUP(E456,Phase_UI_Map!A:A,Phase_UI_Map!D:D,""))</f>
        <v/>
      </c>
      <c r="I456" s="29"/>
      <c r="J456" s="28" t="str">
        <f>IFERROR(__xludf.DUMMYFUNCTION("IF($I455="""","""",IFERROR(INDEX(FILTER(Response_Lists!$B:$B,Response_Lists!$A:$A=$H456),1),""""))"),"")</f>
        <v/>
      </c>
      <c r="K456" s="28" t="str">
        <f>IFERROR(__xludf.DUMMYFUNCTION("IF($I455="""","""",IFERROR(INDEX(FILTER(Response_Lists!$B:$B,Response_Lists!$A:$A=$H456),2),""""))"),"")</f>
        <v/>
      </c>
      <c r="L456" s="28" t="str">
        <f>IFERROR(__xludf.DUMMYFUNCTION("IF($I455="""","""",IFERROR(INDEX(FILTER(Response_Lists!$B:$B,Response_Lists!$A:$A=$H456),3),""""))"),"")</f>
        <v/>
      </c>
      <c r="M456" s="28" t="str">
        <f>IFERROR(__xludf.DUMMYFUNCTION("IF($I455="""","""",IFERROR(INDEX(FILTER(Response_Lists!$B:$B,Response_Lists!$A:$A=$H456),4),""""))"),"")</f>
        <v/>
      </c>
      <c r="N456" s="28" t="str">
        <f>IFERROR(__xludf.DUMMYFUNCTION("IF($I455="""","""",IFERROR(INDEX(FILTER(Response_Lists!$B:$B,Response_Lists!$A:$A=$H456),5),""""))"),"")</f>
        <v/>
      </c>
      <c r="O456" s="28" t="str">
        <f>IFERROR(__xludf.DUMMYFUNCTION("IF($I455="""","""",IFERROR(INDEX(FILTER(Response_Lists!$B:$B,Response_Lists!$A:$A=$H456),6),""""))"),"")</f>
        <v/>
      </c>
      <c r="P456" s="28" t="str">
        <f t="shared" si="6"/>
        <v/>
      </c>
      <c r="Q456" s="28" t="str">
        <f t="array" ref="Q456">IF($I455="","",XLOOKUP(C456,FSM_State_Map!A:A,FSM_State_Map!D:D,""))</f>
        <v/>
      </c>
      <c r="R456" s="28" t="str">
        <f t="shared" si="7"/>
        <v/>
      </c>
      <c r="S456" s="28" t="str">
        <f t="array" ref="S456">IF($I455="","",
IF(
  AND(C456="B",C455&lt;&gt;"B"),
  XLOOKUP($B456,Derived_Variables!$A:$A,Derived_Variables!$K:$K,0)
  + XLOOKUP($B456,Derived_Variables!$A:$A,Derived_Variables!$AE:$AE,0),
  S455+AM455
))</f>
        <v/>
      </c>
      <c r="T456" s="28" t="str">
        <f t="shared" ref="T456:U456" si="922">IF($I455="","",T455+AN455)</f>
        <v/>
      </c>
      <c r="U456" s="28" t="str">
        <f t="shared" si="922"/>
        <v/>
      </c>
      <c r="V456" s="28" t="str">
        <f t="array" ref="V456">IF($I455="","",
IF(
  AND(C456="D",C455&lt;&gt;"D"),
  XLOOKUP($B456,Derived_Variables!$A:$A,Derived_Variables!$N:$N,0)
  + XLOOKUP($B456,Derived_Variables!$A:$A,Derived_Variables!$AE:$AE,0),
  V455+AP455
))</f>
        <v/>
      </c>
      <c r="W456" s="28" t="str">
        <f t="shared" ref="W456:X456" si="923">IF($I455="","",W455+AQ455)</f>
        <v/>
      </c>
      <c r="X456" s="28" t="str">
        <f t="shared" si="923"/>
        <v/>
      </c>
      <c r="Y456" s="28" t="str">
        <f t="array" ref="Y456">IF($I455="","",IF(AND(C456="P",C455&lt;&gt;"P"),IFERROR(XLOOKUP($B456,Lenso_Input!$A:$A,Lenso_Input!$E:$E,0),0),Y455+AS455))</f>
        <v/>
      </c>
      <c r="Z456" s="28" t="str">
        <f t="array" ref="Z456">IF($I455="","",IF(AND(C456="Q",C455&lt;&gt;"Q"),IFERROR(XLOOKUP($B456,Lenso_Input!$A:$A,Lenso_Input!$I:$I,0),0),Z455+AT455))</f>
        <v/>
      </c>
      <c r="AA456" s="28" t="str">
        <f t="array" ref="AA456">IF($I455="","",IF(XLOOKUP($B456,Derived_Variables!$A:$A,Derived_Variables!$R:$R,"6/6_target")="6/6_target","20_20_20","40_30_25"))</f>
        <v/>
      </c>
      <c r="AB456" s="28" t="str">
        <f t="array" ref="AB456">IF($I455="","",XLOOKUP(LOWER(XLOOKUP($B456,Derived_Variables!$A:$A,Derived_Variables!$T:$T,"Standard"))&amp;"_sph_step",Calibration!$B:$B,Calibration!$C:$C,0.25))</f>
        <v/>
      </c>
      <c r="AC456" s="28" t="str">
        <f t="array" ref="AC456">IF($I455="","",XLOOKUP(LOWER(XLOOKUP($B456,Derived_Variables!$A:$A,Derived_Variables!$T:$T,"Standard"))&amp;"_cyl_step",Calibration!$B:$B,Calibration!$C:$C,0.25))</f>
        <v/>
      </c>
      <c r="AD456" s="28" t="str">
        <f t="array" ref="AD456">IF($I455="","",IF(OR(C456="E",C456="H"),LET(startStep,XLOOKUP("axis_start_step",Calibration!$B:$B,Calibration!$C:$C,5),step1,XLOOKUP("axis_reversal_step_1",Calibration!$B:$B,Calibration!$C:$C,3),step2,XLOOKUP("axis_reversal_step_2",Calibration!$B:$B,Calibration!$C:$C,1),IF(OR(C455&lt;&gt;C456,AZ456="",AZ456="SAME",AZ456="CANT_TELL",I456="",I456="SAME",I456="CANT_TELL"),startStep,IF(OR(AND(AZ456="BETTER_1",I456="BETTER_2"),AND(AZ456="BETTER_2",I456="BETTER_1")),IF(AD455&gt;step1,step1,step2),AD455))),0))</f>
        <v/>
      </c>
      <c r="AE456" s="28" t="str">
        <f t="array" ref="AE456">IF($I455="","",XLOOKUP($B456,Derived_Variables!$A:$A,Derived_Variables!$AD:$AD,"No_Fog"))</f>
        <v/>
      </c>
      <c r="AF456" s="28" t="str">
        <f t="array" ref="AF456">IF($I455="","",XLOOKUP($B456,Derived_Variables!$A:$A,Derived_Variables!$AE:$AE,0))</f>
        <v/>
      </c>
      <c r="AG456" s="28" t="str">
        <f t="array" ref="AG456">IF($I455="","",XLOOKUP($B456,Derived_Variables!$A:$A,Derived_Variables!$AF:$AF,""))</f>
        <v/>
      </c>
      <c r="AH456" s="28" t="str">
        <f t="array" ref="AH456">IF($I455="","",XLOOKUP($B456,Derived_Variables!$A:$A,Derived_Variables!$AG:$AG,""))</f>
        <v/>
      </c>
      <c r="AI456" s="28" t="str">
        <f t="array" ref="AI456">IF($I455="","",XLOOKUP($B456,Derived_Variables!$A:$A,Derived_Variables!$AC:$AC,"Medium"))</f>
        <v/>
      </c>
      <c r="AJ456" s="28" t="str">
        <f t="array" ref="AJ456">IF($I455="","",XLOOKUP($B456,Derived_Variables!$A:$A,Derived_Variables!$Y:$Y,FALSE))</f>
        <v/>
      </c>
      <c r="AK456" s="28" t="str">
        <f t="array" ref="AK456">IF($I455="","",XLOOKUP($B456,Derived_Variables!$A:$A,Derived_Variables!$AA:$AA,"Normal"))</f>
        <v/>
      </c>
      <c r="AL456" s="28" t="str">
        <f t="array" ref="AL456">IF($I455="","",XLOOKUP($B456,Derived_Variables!$A:$A,Derived_Variables!$AB:$AB,"Normal"))</f>
        <v/>
      </c>
      <c r="AM456" s="28" t="str">
        <f t="array" ref="AM456">IF($I456="","",IFS(C456="B",IF(OR(I456="NOT_READABLE",I456="BLURRY"),-AB456,0),C456="G",IFS(I456="RED_CLEARER",XLOOKUP("duochrome_red_step",Calibration!$B:$B,Calibration!$C:$C,-0.25),I456="GREEN_CLEARER",XLOOKUP("duochrome_green_step",Calibration!$B:$B,Calibration!$C:$C,0.25),I456="EQUAL",IF(XLOOKUP($B456,Derived_Variables!$A:$A,Derived_Variables!$S:$S,"Neutral")="Undercorrect",XLOOKUP("undercorrect_step",Calibration!$B:$B,Calibration!$C:$C,0.25),IF(XLOOKUP($B456,Derived_Variables!$A:$A,Derived_Variables!$S:$S,"Neutral")="Overcorrect",-XLOOKUP("overcorrect_step",Calibration!$B:$B,Calibration!$C:$C,0.25),0)),TRUE,0),C456="K",IF(I456="TOP_CLEARER",XLOOKUP("bino_balance_step",Calibration!$B:$B,Calibration!$C:$C,0.25),0),TRUE,0))</f>
        <v/>
      </c>
      <c r="AN456" s="28" t="str">
        <f t="shared" si="10"/>
        <v/>
      </c>
      <c r="AO456" s="28" t="str">
        <f t="shared" si="11"/>
        <v/>
      </c>
      <c r="AP456" s="28" t="str">
        <f t="array" ref="AP456">IF($I456="","",IFS(C456="D",IF(OR(I456="NOT_READABLE",I456="BLURRY"),-AB456,0),C456="J",IFS(I456="RED_CLEARER",XLOOKUP("duochrome_red_step",Calibration!$B:$B,Calibration!$C:$C,-0.25),I456="GREEN_CLEARER",XLOOKUP("duochrome_green_step",Calibration!$B:$B,Calibration!$C:$C,0.25),I456="EQUAL",IF(XLOOKUP($B456,Derived_Variables!$A:$A,Derived_Variables!$S:$S,"Neutral")="Undercorrect",XLOOKUP("undercorrect_step",Calibration!$B:$B,Calibration!$C:$C,0.25),IF(XLOOKUP($B456,Derived_Variables!$A:$A,Derived_Variables!$S:$S,"Neutral")="Overcorrect",-XLOOKUP("overcorrect_step",Calibration!$B:$B,Calibration!$C:$C,0.25),0)),TRUE,0),C456="K",IF(I456="BOTTOM_CLEARER",XLOOKUP("bino_balance_step",Calibration!$B:$B,Calibration!$C:$C,0.25),0),TRUE,0))</f>
        <v/>
      </c>
      <c r="AQ456" s="28" t="str">
        <f t="shared" si="12"/>
        <v/>
      </c>
      <c r="AR456" s="28" t="str">
        <f t="shared" si="13"/>
        <v/>
      </c>
      <c r="AS456" s="28" t="str">
        <f t="array" ref="AS456">IF($I456="","",IF(C456="P",IF(OR(I456="NOT_READABLE",I456="BLURRY"),XLOOKUP("near_add_step",Calibration!$B:$B,Calibration!$C:$C,0.25),0),IF(C456="R",IF(I456="NOT_CLEAR",XLOOKUP("near_add_step",Calibration!$B:$B,Calibration!$C:$C,0.25),0),0)))</f>
        <v/>
      </c>
      <c r="AT456" s="28" t="str">
        <f t="array" ref="AT456">IF($I456="","",IF(C456="Q",IF(OR(I456="NOT_READABLE",I456="BLURRY"),XLOOKUP("near_add_step",Calibration!$B:$B,Calibration!$C:$C,0.25),0),IF(C456="R",IF(I456="NOT_CLEAR",XLOOKUP("near_add_step",Calibration!$B:$B,Calibration!$C:$C,0.25),0),0)))</f>
        <v/>
      </c>
      <c r="AU456" s="28" t="str">
        <f t="array" ref="AU456">IF($I456="","",IF(G456="SNELLEN_FEET",IF(I456="READABLE",IFERROR(XLOOKUP(XLOOKUP(R456,Chart_Scale_Distance!B:B,Chart_Scale_Distance!A:A)+1,Chart_Scale_Distance!A:A,Chart_Scale_Distance!B:B),R456),R456),R456))</f>
        <v/>
      </c>
      <c r="AV456" s="28" t="str">
        <f t="array" ref="AV456">IF($I455="","",IFERROR(XLOOKUP(R456,Chart_Scale_Distance!$B:$B,Chart_Scale_Distance!$A:$A,""),""))</f>
        <v/>
      </c>
      <c r="AW456" s="28" t="str">
        <f t="array" ref="AW456">IF($I455="","",IFERROR(XLOOKUP(AA456,Chart_Scale_Distance!$B:$B,Chart_Scale_Distance!$A:$A,""),""))</f>
        <v/>
      </c>
      <c r="AX456" s="28" t="str">
        <f t="shared" si="14"/>
        <v/>
      </c>
      <c r="AY456" s="28" t="str">
        <f t="shared" si="15"/>
        <v/>
      </c>
      <c r="AZ456" s="28" t="str">
        <f t="shared" si="16"/>
        <v/>
      </c>
      <c r="BA456" s="28" t="str">
        <f t="shared" si="17"/>
        <v/>
      </c>
      <c r="BB456" s="28" t="str">
        <f t="shared" si="18"/>
        <v/>
      </c>
      <c r="BC456" s="28" t="str">
        <f t="array" ref="BC456">IF($I456="","",LET(
conf,AI456,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duoMax,XLOOKUP($B456,Derived_Variables!$A:$A,Derived_Variables!$AI:$AI,4),
axisTol,XLOOKUP($B456,Derived_Variables!$A:$A,Derived_Variables!$W:$W,1),
maxStart,XLOOKUP($B456,Derived_Variables!$A:$A,Derived_Variables!$U:$U,1.25),
maxAR,XLOOKUP($B456,Derived_Variables!$A:$A,Derived_Variables!$V:$V,3),
anom,XLOOKUP($B456,Derived_Variables!$A:$A,Derived_Variables!$Z:$Z,FALSE),
reStart,XLOOKUP($B456,Derived_Variables!$A:$A,Derived_Variables!$K:$K,0),
leStart,XLOOKUP($B456,Derived_Variables!$A:$A,Derived_Variables!$N:$N,0),
reAR,XLOOKUP($B456,AR_Input!$A:$A,AR_Input!$B:$B,reStart),
leAR,XLOOKUP($B456,AR_Input!$A:$A,AR_Input!$E:$E,leStart),
reEsc,AND(anom,OR(ABS((S456+AM456)-reStart)&gt;maxStart,ABS((S456+AM456)-reAR)&gt;maxAR)),
leEsc,AND(anom,OR(ABS((V456+AP456)-leStart)&gt;maxStart,ABS((V456+AP456)-leAR)&gt;maxAR)),
phaseMax,IFS(
 AK456="Fast",
   IFS(
     OR(C456="B",C456="D"),XLOOKUP("timeout_coarse_fast",Calibration!$B:$B,Calibration!$C:$C,24),
     OR(C456="E",C456="F",C456="H",C456="I"),XLOOKUP("timeout_jcc_fast",Calibration!$B:$B,Calibration!$C:$C,10),
     OR(C456="G",C456="J"),XLOOKUP("timeout_duochrome_fast",Calibration!$B:$B,Calibration!$C:$C,8),
     C456="K",XLOOKUP("timeout_bino_fast",Calibration!$B:$B,Calibration!$C:$C,10),
     OR(C456="P",C456="Q",C456="R"),XLOOKUP("timeout_near_fast",Calibration!$B:$B,Calibration!$C:$C,16),
     TRUE,XLOOKUP("timeout_coarse_fast",Calibration!$B:$B,Calibration!$C:$C,24)
   ),
 AK456="Normal",
   IFS(
     OR(C456="B",C456="D"),XLOOKUP("timeout_coarse_normal",Calibration!$B:$B,Calibration!$C:$C,36),
     OR(C456="E",C456="F",C456="H",C456="I"),XLOOKUP("timeout_jcc_normal",Calibration!$B:$B,Calibration!$C:$C,14),
     OR(C456="G",C456="J"),XLOOKUP("timeout_duochrome_normal",Calibration!$B:$B,Calibration!$C:$C,10),
     C456="K",XLOOKUP("timeout_bino_normal",Calibration!$B:$B,Calibration!$C:$C,14),
     OR(C456="P",C456="Q",C456="R"),XLOOKUP("timeout_near_normal",Calibration!$B:$B,Calibration!$C:$C,22),
     TRUE,XLOOKUP("timeout_coarse_normal",Calibration!$B:$B,Calibration!$C:$C,36)
   ),
 TRUE,
   IFS(
     OR(C456="B",C456="D"),XLOOKUP("timeout_coarse_slow",Calibration!$B:$B,Calibration!$C:$C,48),
     OR(C456="E",C456="F",C456="H",C456="I"),XLOOKUP("timeout_jcc_slow",Calibration!$B:$B,Calibration!$C:$C,18),
     OR(C456="G",C456="J"),XLOOKUP("timeout_duochrome_slow",Calibration!$B:$B,Calibration!$C:$C,12),
     C456="K",XLOOKUP("timeout_bino_slow",Calibration!$B:$B,Calibration!$C:$C,18),
     OR(C456="P",C456="Q",C456="R"),XLOOKUP("timeout_near_slow",Calibration!$B:$B,Calibration!$C:$C,28),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AJ456=TRUE,"ESCALATE",
C456="A",
IF(OR(I456="NOT_READABLE",I456="BLURRY",AND(R456="20_20_20",I456="READABLE")),"B","A"),
C456="B",
IF(reEsc,"ESCALATE",IF(AY456&gt;=phaseMax,"ESCALATE",IF(AND(AV456&gt;=AW456,I456="READABLE"),"E","B"))),
C456="E",
IF(AY456&gt;=phaseMax,"ESCALATE",IF(OR(I456="SAME",I456="CANT_TELL",AD456&lt;axisTol),"F","E")),
C456="F",
IF(AY456&gt;=phaseMax,"ESCALATE",IF(AX456&gt;=powerSameN,"G","F")),
C456="G",
IF(AY456&gt;=phaseMax,"ESCALATE",IF(OR(AX456&gt;=duoEqualN,BB456&gt;=duoMax),"D","G")),
C456="D",
IF(leEsc,"ESCALATE",IF(AY456&gt;=phaseMax,"ESCALATE",IF(AND(AV456&gt;=AW456,I456="READABLE"),"H","D"))),
C456="H",
IF(AY456&gt;=phaseMax,"ESCALATE",IF(OR(I456="SAME",I456="CANT_TELL",AD456&lt;axisTol),"I","H")),
C456="I",
IF(AY456&gt;=phaseMax,"ESCALATE",IF(AX456&gt;=powerSameN,"J","I")),
C456="J",
IF(AY456&gt;=phaseMax,"ESCALATE",IF(OR(AX456&gt;=duoEqualN,BB456&gt;=duoMax),"K","J")),
C456="K",
IF(AY456&gt;=phaseMax,"ESCALATE",IF(AX456&gt;=binoSameN,IF(XLOOKUP($B456,Derived_Variables!$A:$A,Derived_Variables!$AJ:$AJ,FALSE)=TRUE,"P","END"),"K")),
C456="P",
IF(AY456&gt;=phaseMax,"ESCALATE",IF(OR(I456="READABLE",I456="SAME"),"Q","P")),
C456="Q",
IF(AY456&gt;=phaseMax,"ESCALATE",IF(OR(I456="READABLE",I456="SAME"),"R","Q")),
C456="R",
IF(AY456&gt;=phaseMax,"ESCALATE",IF(OR(I456=nearTarget,I456="SAME"),"END","R")),
TRUE,"END"
)))</f>
        <v/>
      </c>
      <c r="BD456" s="28" t="b">
        <f t="shared" si="19"/>
        <v>0</v>
      </c>
    </row>
    <row r="457" ht="15.75" customHeight="1">
      <c r="A457" s="28">
        <f t="shared" si="3"/>
        <v>456</v>
      </c>
      <c r="B457" s="28">
        <f t="shared" si="4"/>
        <v>6</v>
      </c>
      <c r="C457" s="28" t="str">
        <f t="shared" si="5"/>
        <v/>
      </c>
      <c r="D457" s="28" t="str">
        <f t="array" ref="D457">IF($I456="","",XLOOKUP(C457,FSM_State_Map!A:A,FSM_State_Map!B:B,""))</f>
        <v/>
      </c>
      <c r="E457" s="28" t="str">
        <f t="array" ref="E457">IF($I456="","",XLOOKUP(C457,FSM_State_Map!A:A,FSM_State_Map!C:C,""))</f>
        <v/>
      </c>
      <c r="F457" s="28" t="str">
        <f t="array" ref="F457">IF($I456="","",XLOOKUP(E457,Phase_UI_Map!A:A,Phase_UI_Map!B:B,""))</f>
        <v/>
      </c>
      <c r="G457" s="28" t="str">
        <f t="array" ref="G457">IF($I456="","",XLOOKUP(E457,Phase_UI_Map!A:A,Phase_UI_Map!C:C,""))</f>
        <v/>
      </c>
      <c r="H457" s="28" t="str">
        <f t="array" ref="H457">IF($I456="","",XLOOKUP(E457,Phase_UI_Map!A:A,Phase_UI_Map!D:D,""))</f>
        <v/>
      </c>
      <c r="I457" s="29"/>
      <c r="J457" s="28" t="str">
        <f>IFERROR(__xludf.DUMMYFUNCTION("IF($I456="""","""",IFERROR(INDEX(FILTER(Response_Lists!$B:$B,Response_Lists!$A:$A=$H457),1),""""))"),"")</f>
        <v/>
      </c>
      <c r="K457" s="28" t="str">
        <f>IFERROR(__xludf.DUMMYFUNCTION("IF($I456="""","""",IFERROR(INDEX(FILTER(Response_Lists!$B:$B,Response_Lists!$A:$A=$H457),2),""""))"),"")</f>
        <v/>
      </c>
      <c r="L457" s="28" t="str">
        <f>IFERROR(__xludf.DUMMYFUNCTION("IF($I456="""","""",IFERROR(INDEX(FILTER(Response_Lists!$B:$B,Response_Lists!$A:$A=$H457),3),""""))"),"")</f>
        <v/>
      </c>
      <c r="M457" s="28" t="str">
        <f>IFERROR(__xludf.DUMMYFUNCTION("IF($I456="""","""",IFERROR(INDEX(FILTER(Response_Lists!$B:$B,Response_Lists!$A:$A=$H457),4),""""))"),"")</f>
        <v/>
      </c>
      <c r="N457" s="28" t="str">
        <f>IFERROR(__xludf.DUMMYFUNCTION("IF($I456="""","""",IFERROR(INDEX(FILTER(Response_Lists!$B:$B,Response_Lists!$A:$A=$H457),5),""""))"),"")</f>
        <v/>
      </c>
      <c r="O457" s="28" t="str">
        <f>IFERROR(__xludf.DUMMYFUNCTION("IF($I456="""","""",IFERROR(INDEX(FILTER(Response_Lists!$B:$B,Response_Lists!$A:$A=$H457),6),""""))"),"")</f>
        <v/>
      </c>
      <c r="P457" s="28" t="str">
        <f t="shared" si="6"/>
        <v/>
      </c>
      <c r="Q457" s="28" t="str">
        <f t="array" ref="Q457">IF($I456="","",XLOOKUP(C457,FSM_State_Map!A:A,FSM_State_Map!D:D,""))</f>
        <v/>
      </c>
      <c r="R457" s="28" t="str">
        <f t="shared" si="7"/>
        <v/>
      </c>
      <c r="S457" s="28" t="str">
        <f t="array" ref="S457">IF($I456="","",
IF(
  AND(C457="B",C456&lt;&gt;"B"),
  XLOOKUP($B457,Derived_Variables!$A:$A,Derived_Variables!$K:$K,0)
  + XLOOKUP($B457,Derived_Variables!$A:$A,Derived_Variables!$AE:$AE,0),
  S456+AM456
))</f>
        <v/>
      </c>
      <c r="T457" s="28" t="str">
        <f t="shared" ref="T457:U457" si="924">IF($I456="","",T456+AN456)</f>
        <v/>
      </c>
      <c r="U457" s="28" t="str">
        <f t="shared" si="924"/>
        <v/>
      </c>
      <c r="V457" s="28" t="str">
        <f t="array" ref="V457">IF($I456="","",
IF(
  AND(C457="D",C456&lt;&gt;"D"),
  XLOOKUP($B457,Derived_Variables!$A:$A,Derived_Variables!$N:$N,0)
  + XLOOKUP($B457,Derived_Variables!$A:$A,Derived_Variables!$AE:$AE,0),
  V456+AP456
))</f>
        <v/>
      </c>
      <c r="W457" s="28" t="str">
        <f t="shared" ref="W457:X457" si="925">IF($I456="","",W456+AQ456)</f>
        <v/>
      </c>
      <c r="X457" s="28" t="str">
        <f t="shared" si="925"/>
        <v/>
      </c>
      <c r="Y457" s="28" t="str">
        <f t="array" ref="Y457">IF($I456="","",IF(AND(C457="P",C456&lt;&gt;"P"),IFERROR(XLOOKUP($B457,Lenso_Input!$A:$A,Lenso_Input!$E:$E,0),0),Y456+AS456))</f>
        <v/>
      </c>
      <c r="Z457" s="28" t="str">
        <f t="array" ref="Z457">IF($I456="","",IF(AND(C457="Q",C456&lt;&gt;"Q"),IFERROR(XLOOKUP($B457,Lenso_Input!$A:$A,Lenso_Input!$I:$I,0),0),Z456+AT456))</f>
        <v/>
      </c>
      <c r="AA457" s="28" t="str">
        <f t="array" ref="AA457">IF($I456="","",IF(XLOOKUP($B457,Derived_Variables!$A:$A,Derived_Variables!$R:$R,"6/6_target")="6/6_target","20_20_20","40_30_25"))</f>
        <v/>
      </c>
      <c r="AB457" s="28" t="str">
        <f t="array" ref="AB457">IF($I456="","",XLOOKUP(LOWER(XLOOKUP($B457,Derived_Variables!$A:$A,Derived_Variables!$T:$T,"Standard"))&amp;"_sph_step",Calibration!$B:$B,Calibration!$C:$C,0.25))</f>
        <v/>
      </c>
      <c r="AC457" s="28" t="str">
        <f t="array" ref="AC457">IF($I456="","",XLOOKUP(LOWER(XLOOKUP($B457,Derived_Variables!$A:$A,Derived_Variables!$T:$T,"Standard"))&amp;"_cyl_step",Calibration!$B:$B,Calibration!$C:$C,0.25))</f>
        <v/>
      </c>
      <c r="AD457" s="28" t="str">
        <f t="array" ref="AD457">IF($I456="","",IF(OR(C457="E",C457="H"),LET(startStep,XLOOKUP("axis_start_step",Calibration!$B:$B,Calibration!$C:$C,5),step1,XLOOKUP("axis_reversal_step_1",Calibration!$B:$B,Calibration!$C:$C,3),step2,XLOOKUP("axis_reversal_step_2",Calibration!$B:$B,Calibration!$C:$C,1),IF(OR(C456&lt;&gt;C457,AZ457="",AZ457="SAME",AZ457="CANT_TELL",I457="",I457="SAME",I457="CANT_TELL"),startStep,IF(OR(AND(AZ457="BETTER_1",I457="BETTER_2"),AND(AZ457="BETTER_2",I457="BETTER_1")),IF(AD456&gt;step1,step1,step2),AD456))),0))</f>
        <v/>
      </c>
      <c r="AE457" s="28" t="str">
        <f t="array" ref="AE457">IF($I456="","",XLOOKUP($B457,Derived_Variables!$A:$A,Derived_Variables!$AD:$AD,"No_Fog"))</f>
        <v/>
      </c>
      <c r="AF457" s="28" t="str">
        <f t="array" ref="AF457">IF($I456="","",XLOOKUP($B457,Derived_Variables!$A:$A,Derived_Variables!$AE:$AE,0))</f>
        <v/>
      </c>
      <c r="AG457" s="28" t="str">
        <f t="array" ref="AG457">IF($I456="","",XLOOKUP($B457,Derived_Variables!$A:$A,Derived_Variables!$AF:$AF,""))</f>
        <v/>
      </c>
      <c r="AH457" s="28" t="str">
        <f t="array" ref="AH457">IF($I456="","",XLOOKUP($B457,Derived_Variables!$A:$A,Derived_Variables!$AG:$AG,""))</f>
        <v/>
      </c>
      <c r="AI457" s="28" t="str">
        <f t="array" ref="AI457">IF($I456="","",XLOOKUP($B457,Derived_Variables!$A:$A,Derived_Variables!$AC:$AC,"Medium"))</f>
        <v/>
      </c>
      <c r="AJ457" s="28" t="str">
        <f t="array" ref="AJ457">IF($I456="","",XLOOKUP($B457,Derived_Variables!$A:$A,Derived_Variables!$Y:$Y,FALSE))</f>
        <v/>
      </c>
      <c r="AK457" s="28" t="str">
        <f t="array" ref="AK457">IF($I456="","",XLOOKUP($B457,Derived_Variables!$A:$A,Derived_Variables!$AA:$AA,"Normal"))</f>
        <v/>
      </c>
      <c r="AL457" s="28" t="str">
        <f t="array" ref="AL457">IF($I456="","",XLOOKUP($B457,Derived_Variables!$A:$A,Derived_Variables!$AB:$AB,"Normal"))</f>
        <v/>
      </c>
      <c r="AM457" s="28" t="str">
        <f t="array" ref="AM457">IF($I457="","",IFS(C457="B",IF(OR(I457="NOT_READABLE",I457="BLURRY"),-AB457,0),C457="G",IFS(I457="RED_CLEARER",XLOOKUP("duochrome_red_step",Calibration!$B:$B,Calibration!$C:$C,-0.25),I457="GREEN_CLEARER",XLOOKUP("duochrome_green_step",Calibration!$B:$B,Calibration!$C:$C,0.25),I457="EQUAL",IF(XLOOKUP($B457,Derived_Variables!$A:$A,Derived_Variables!$S:$S,"Neutral")="Undercorrect",XLOOKUP("undercorrect_step",Calibration!$B:$B,Calibration!$C:$C,0.25),IF(XLOOKUP($B457,Derived_Variables!$A:$A,Derived_Variables!$S:$S,"Neutral")="Overcorrect",-XLOOKUP("overcorrect_step",Calibration!$B:$B,Calibration!$C:$C,0.25),0)),TRUE,0),C457="K",IF(I457="TOP_CLEARER",XLOOKUP("bino_balance_step",Calibration!$B:$B,Calibration!$C:$C,0.25),0),TRUE,0))</f>
        <v/>
      </c>
      <c r="AN457" s="28" t="str">
        <f t="shared" si="10"/>
        <v/>
      </c>
      <c r="AO457" s="28" t="str">
        <f t="shared" si="11"/>
        <v/>
      </c>
      <c r="AP457" s="28" t="str">
        <f t="array" ref="AP457">IF($I457="","",IFS(C457="D",IF(OR(I457="NOT_READABLE",I457="BLURRY"),-AB457,0),C457="J",IFS(I457="RED_CLEARER",XLOOKUP("duochrome_red_step",Calibration!$B:$B,Calibration!$C:$C,-0.25),I457="GREEN_CLEARER",XLOOKUP("duochrome_green_step",Calibration!$B:$B,Calibration!$C:$C,0.25),I457="EQUAL",IF(XLOOKUP($B457,Derived_Variables!$A:$A,Derived_Variables!$S:$S,"Neutral")="Undercorrect",XLOOKUP("undercorrect_step",Calibration!$B:$B,Calibration!$C:$C,0.25),IF(XLOOKUP($B457,Derived_Variables!$A:$A,Derived_Variables!$S:$S,"Neutral")="Overcorrect",-XLOOKUP("overcorrect_step",Calibration!$B:$B,Calibration!$C:$C,0.25),0)),TRUE,0),C457="K",IF(I457="BOTTOM_CLEARER",XLOOKUP("bino_balance_step",Calibration!$B:$B,Calibration!$C:$C,0.25),0),TRUE,0))</f>
        <v/>
      </c>
      <c r="AQ457" s="28" t="str">
        <f t="shared" si="12"/>
        <v/>
      </c>
      <c r="AR457" s="28" t="str">
        <f t="shared" si="13"/>
        <v/>
      </c>
      <c r="AS457" s="28" t="str">
        <f t="array" ref="AS457">IF($I457="","",IF(C457="P",IF(OR(I457="NOT_READABLE",I457="BLURRY"),XLOOKUP("near_add_step",Calibration!$B:$B,Calibration!$C:$C,0.25),0),IF(C457="R",IF(I457="NOT_CLEAR",XLOOKUP("near_add_step",Calibration!$B:$B,Calibration!$C:$C,0.25),0),0)))</f>
        <v/>
      </c>
      <c r="AT457" s="28" t="str">
        <f t="array" ref="AT457">IF($I457="","",IF(C457="Q",IF(OR(I457="NOT_READABLE",I457="BLURRY"),XLOOKUP("near_add_step",Calibration!$B:$B,Calibration!$C:$C,0.25),0),IF(C457="R",IF(I457="NOT_CLEAR",XLOOKUP("near_add_step",Calibration!$B:$B,Calibration!$C:$C,0.25),0),0)))</f>
        <v/>
      </c>
      <c r="AU457" s="28" t="str">
        <f t="array" ref="AU457">IF($I457="","",IF(G457="SNELLEN_FEET",IF(I457="READABLE",IFERROR(XLOOKUP(XLOOKUP(R457,Chart_Scale_Distance!B:B,Chart_Scale_Distance!A:A)+1,Chart_Scale_Distance!A:A,Chart_Scale_Distance!B:B),R457),R457),R457))</f>
        <v/>
      </c>
      <c r="AV457" s="28" t="str">
        <f t="array" ref="AV457">IF($I456="","",IFERROR(XLOOKUP(R457,Chart_Scale_Distance!$B:$B,Chart_Scale_Distance!$A:$A,""),""))</f>
        <v/>
      </c>
      <c r="AW457" s="28" t="str">
        <f t="array" ref="AW457">IF($I456="","",IFERROR(XLOOKUP(AA457,Chart_Scale_Distance!$B:$B,Chart_Scale_Distance!$A:$A,""),""))</f>
        <v/>
      </c>
      <c r="AX457" s="28" t="str">
        <f t="shared" si="14"/>
        <v/>
      </c>
      <c r="AY457" s="28" t="str">
        <f t="shared" si="15"/>
        <v/>
      </c>
      <c r="AZ457" s="28" t="str">
        <f t="shared" si="16"/>
        <v/>
      </c>
      <c r="BA457" s="28" t="str">
        <f t="shared" si="17"/>
        <v/>
      </c>
      <c r="BB457" s="28" t="str">
        <f t="shared" si="18"/>
        <v/>
      </c>
      <c r="BC457" s="28" t="str">
        <f t="array" ref="BC457">IF($I457="","",LET(
conf,AI457,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duoMax,XLOOKUP($B457,Derived_Variables!$A:$A,Derived_Variables!$AI:$AI,4),
axisTol,XLOOKUP($B457,Derived_Variables!$A:$A,Derived_Variables!$W:$W,1),
maxStart,XLOOKUP($B457,Derived_Variables!$A:$A,Derived_Variables!$U:$U,1.25),
maxAR,XLOOKUP($B457,Derived_Variables!$A:$A,Derived_Variables!$V:$V,3),
anom,XLOOKUP($B457,Derived_Variables!$A:$A,Derived_Variables!$Z:$Z,FALSE),
reStart,XLOOKUP($B457,Derived_Variables!$A:$A,Derived_Variables!$K:$K,0),
leStart,XLOOKUP($B457,Derived_Variables!$A:$A,Derived_Variables!$N:$N,0),
reAR,XLOOKUP($B457,AR_Input!$A:$A,AR_Input!$B:$B,reStart),
leAR,XLOOKUP($B457,AR_Input!$A:$A,AR_Input!$E:$E,leStart),
reEsc,AND(anom,OR(ABS((S457+AM457)-reStart)&gt;maxStart,ABS((S457+AM457)-reAR)&gt;maxAR)),
leEsc,AND(anom,OR(ABS((V457+AP457)-leStart)&gt;maxStart,ABS((V457+AP457)-leAR)&gt;maxAR)),
phaseMax,IFS(
 AK457="Fast",
   IFS(
     OR(C457="B",C457="D"),XLOOKUP("timeout_coarse_fast",Calibration!$B:$B,Calibration!$C:$C,24),
     OR(C457="E",C457="F",C457="H",C457="I"),XLOOKUP("timeout_jcc_fast",Calibration!$B:$B,Calibration!$C:$C,10),
     OR(C457="G",C457="J"),XLOOKUP("timeout_duochrome_fast",Calibration!$B:$B,Calibration!$C:$C,8),
     C457="K",XLOOKUP("timeout_bino_fast",Calibration!$B:$B,Calibration!$C:$C,10),
     OR(C457="P",C457="Q",C457="R"),XLOOKUP("timeout_near_fast",Calibration!$B:$B,Calibration!$C:$C,16),
     TRUE,XLOOKUP("timeout_coarse_fast",Calibration!$B:$B,Calibration!$C:$C,24)
   ),
 AK457="Normal",
   IFS(
     OR(C457="B",C457="D"),XLOOKUP("timeout_coarse_normal",Calibration!$B:$B,Calibration!$C:$C,36),
     OR(C457="E",C457="F",C457="H",C457="I"),XLOOKUP("timeout_jcc_normal",Calibration!$B:$B,Calibration!$C:$C,14),
     OR(C457="G",C457="J"),XLOOKUP("timeout_duochrome_normal",Calibration!$B:$B,Calibration!$C:$C,10),
     C457="K",XLOOKUP("timeout_bino_normal",Calibration!$B:$B,Calibration!$C:$C,14),
     OR(C457="P",C457="Q",C457="R"),XLOOKUP("timeout_near_normal",Calibration!$B:$B,Calibration!$C:$C,22),
     TRUE,XLOOKUP("timeout_coarse_normal",Calibration!$B:$B,Calibration!$C:$C,36)
   ),
 TRUE,
   IFS(
     OR(C457="B",C457="D"),XLOOKUP("timeout_coarse_slow",Calibration!$B:$B,Calibration!$C:$C,48),
     OR(C457="E",C457="F",C457="H",C457="I"),XLOOKUP("timeout_jcc_slow",Calibration!$B:$B,Calibration!$C:$C,18),
     OR(C457="G",C457="J"),XLOOKUP("timeout_duochrome_slow",Calibration!$B:$B,Calibration!$C:$C,12),
     C457="K",XLOOKUP("timeout_bino_slow",Calibration!$B:$B,Calibration!$C:$C,18),
     OR(C457="P",C457="Q",C457="R"),XLOOKUP("timeout_near_slow",Calibration!$B:$B,Calibration!$C:$C,28),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AJ457=TRUE,"ESCALATE",
C457="A",
IF(OR(I457="NOT_READABLE",I457="BLURRY",AND(R457="20_20_20",I457="READABLE")),"B","A"),
C457="B",
IF(reEsc,"ESCALATE",IF(AY457&gt;=phaseMax,"ESCALATE",IF(AND(AV457&gt;=AW457,I457="READABLE"),"E","B"))),
C457="E",
IF(AY457&gt;=phaseMax,"ESCALATE",IF(OR(I457="SAME",I457="CANT_TELL",AD457&lt;axisTol),"F","E")),
C457="F",
IF(AY457&gt;=phaseMax,"ESCALATE",IF(AX457&gt;=powerSameN,"G","F")),
C457="G",
IF(AY457&gt;=phaseMax,"ESCALATE",IF(OR(AX457&gt;=duoEqualN,BB457&gt;=duoMax),"D","G")),
C457="D",
IF(leEsc,"ESCALATE",IF(AY457&gt;=phaseMax,"ESCALATE",IF(AND(AV457&gt;=AW457,I457="READABLE"),"H","D"))),
C457="H",
IF(AY457&gt;=phaseMax,"ESCALATE",IF(OR(I457="SAME",I457="CANT_TELL",AD457&lt;axisTol),"I","H")),
C457="I",
IF(AY457&gt;=phaseMax,"ESCALATE",IF(AX457&gt;=powerSameN,"J","I")),
C457="J",
IF(AY457&gt;=phaseMax,"ESCALATE",IF(OR(AX457&gt;=duoEqualN,BB457&gt;=duoMax),"K","J")),
C457="K",
IF(AY457&gt;=phaseMax,"ESCALATE",IF(AX457&gt;=binoSameN,IF(XLOOKUP($B457,Derived_Variables!$A:$A,Derived_Variables!$AJ:$AJ,FALSE)=TRUE,"P","END"),"K")),
C457="P",
IF(AY457&gt;=phaseMax,"ESCALATE",IF(OR(I457="READABLE",I457="SAME"),"Q","P")),
C457="Q",
IF(AY457&gt;=phaseMax,"ESCALATE",IF(OR(I457="READABLE",I457="SAME"),"R","Q")),
C457="R",
IF(AY457&gt;=phaseMax,"ESCALATE",IF(OR(I457=nearTarget,I457="SAME"),"END","R")),
TRUE,"END"
)))</f>
        <v/>
      </c>
      <c r="BD457" s="28" t="b">
        <f t="shared" si="19"/>
        <v>0</v>
      </c>
    </row>
    <row r="458" ht="15.75" customHeight="1">
      <c r="A458" s="28">
        <f t="shared" si="3"/>
        <v>457</v>
      </c>
      <c r="B458" s="28">
        <f t="shared" si="4"/>
        <v>6</v>
      </c>
      <c r="C458" s="28" t="str">
        <f t="shared" si="5"/>
        <v/>
      </c>
      <c r="D458" s="28" t="str">
        <f t="array" ref="D458">IF($I457="","",XLOOKUP(C458,FSM_State_Map!A:A,FSM_State_Map!B:B,""))</f>
        <v/>
      </c>
      <c r="E458" s="28" t="str">
        <f t="array" ref="E458">IF($I457="","",XLOOKUP(C458,FSM_State_Map!A:A,FSM_State_Map!C:C,""))</f>
        <v/>
      </c>
      <c r="F458" s="28" t="str">
        <f t="array" ref="F458">IF($I457="","",XLOOKUP(E458,Phase_UI_Map!A:A,Phase_UI_Map!B:B,""))</f>
        <v/>
      </c>
      <c r="G458" s="28" t="str">
        <f t="array" ref="G458">IF($I457="","",XLOOKUP(E458,Phase_UI_Map!A:A,Phase_UI_Map!C:C,""))</f>
        <v/>
      </c>
      <c r="H458" s="28" t="str">
        <f t="array" ref="H458">IF($I457="","",XLOOKUP(E458,Phase_UI_Map!A:A,Phase_UI_Map!D:D,""))</f>
        <v/>
      </c>
      <c r="I458" s="29"/>
      <c r="J458" s="28" t="str">
        <f>IFERROR(__xludf.DUMMYFUNCTION("IF($I457="""","""",IFERROR(INDEX(FILTER(Response_Lists!$B:$B,Response_Lists!$A:$A=$H458),1),""""))"),"")</f>
        <v/>
      </c>
      <c r="K458" s="28" t="str">
        <f>IFERROR(__xludf.DUMMYFUNCTION("IF($I457="""","""",IFERROR(INDEX(FILTER(Response_Lists!$B:$B,Response_Lists!$A:$A=$H458),2),""""))"),"")</f>
        <v/>
      </c>
      <c r="L458" s="28" t="str">
        <f>IFERROR(__xludf.DUMMYFUNCTION("IF($I457="""","""",IFERROR(INDEX(FILTER(Response_Lists!$B:$B,Response_Lists!$A:$A=$H458),3),""""))"),"")</f>
        <v/>
      </c>
      <c r="M458" s="28" t="str">
        <f>IFERROR(__xludf.DUMMYFUNCTION("IF($I457="""","""",IFERROR(INDEX(FILTER(Response_Lists!$B:$B,Response_Lists!$A:$A=$H458),4),""""))"),"")</f>
        <v/>
      </c>
      <c r="N458" s="28" t="str">
        <f>IFERROR(__xludf.DUMMYFUNCTION("IF($I457="""","""",IFERROR(INDEX(FILTER(Response_Lists!$B:$B,Response_Lists!$A:$A=$H458),5),""""))"),"")</f>
        <v/>
      </c>
      <c r="O458" s="28" t="str">
        <f>IFERROR(__xludf.DUMMYFUNCTION("IF($I457="""","""",IFERROR(INDEX(FILTER(Response_Lists!$B:$B,Response_Lists!$A:$A=$H458),6),""""))"),"")</f>
        <v/>
      </c>
      <c r="P458" s="28" t="str">
        <f t="shared" si="6"/>
        <v/>
      </c>
      <c r="Q458" s="28" t="str">
        <f t="array" ref="Q458">IF($I457="","",XLOOKUP(C458,FSM_State_Map!A:A,FSM_State_Map!D:D,""))</f>
        <v/>
      </c>
      <c r="R458" s="28" t="str">
        <f t="shared" si="7"/>
        <v/>
      </c>
      <c r="S458" s="28" t="str">
        <f t="array" ref="S458">IF($I457="","",
IF(
  AND(C458="B",C457&lt;&gt;"B"),
  XLOOKUP($B458,Derived_Variables!$A:$A,Derived_Variables!$K:$K,0)
  + XLOOKUP($B458,Derived_Variables!$A:$A,Derived_Variables!$AE:$AE,0),
  S457+AM457
))</f>
        <v/>
      </c>
      <c r="T458" s="28" t="str">
        <f t="shared" ref="T458:U458" si="926">IF($I457="","",T457+AN457)</f>
        <v/>
      </c>
      <c r="U458" s="28" t="str">
        <f t="shared" si="926"/>
        <v/>
      </c>
      <c r="V458" s="28" t="str">
        <f t="array" ref="V458">IF($I457="","",
IF(
  AND(C458="D",C457&lt;&gt;"D"),
  XLOOKUP($B458,Derived_Variables!$A:$A,Derived_Variables!$N:$N,0)
  + XLOOKUP($B458,Derived_Variables!$A:$A,Derived_Variables!$AE:$AE,0),
  V457+AP457
))</f>
        <v/>
      </c>
      <c r="W458" s="28" t="str">
        <f t="shared" ref="W458:X458" si="927">IF($I457="","",W457+AQ457)</f>
        <v/>
      </c>
      <c r="X458" s="28" t="str">
        <f t="shared" si="927"/>
        <v/>
      </c>
      <c r="Y458" s="28" t="str">
        <f t="array" ref="Y458">IF($I457="","",IF(AND(C458="P",C457&lt;&gt;"P"),IFERROR(XLOOKUP($B458,Lenso_Input!$A:$A,Lenso_Input!$E:$E,0),0),Y457+AS457))</f>
        <v/>
      </c>
      <c r="Z458" s="28" t="str">
        <f t="array" ref="Z458">IF($I457="","",IF(AND(C458="Q",C457&lt;&gt;"Q"),IFERROR(XLOOKUP($B458,Lenso_Input!$A:$A,Lenso_Input!$I:$I,0),0),Z457+AT457))</f>
        <v/>
      </c>
      <c r="AA458" s="28" t="str">
        <f t="array" ref="AA458">IF($I457="","",IF(XLOOKUP($B458,Derived_Variables!$A:$A,Derived_Variables!$R:$R,"6/6_target")="6/6_target","20_20_20","40_30_25"))</f>
        <v/>
      </c>
      <c r="AB458" s="28" t="str">
        <f t="array" ref="AB458">IF($I457="","",XLOOKUP(LOWER(XLOOKUP($B458,Derived_Variables!$A:$A,Derived_Variables!$T:$T,"Standard"))&amp;"_sph_step",Calibration!$B:$B,Calibration!$C:$C,0.25))</f>
        <v/>
      </c>
      <c r="AC458" s="28" t="str">
        <f t="array" ref="AC458">IF($I457="","",XLOOKUP(LOWER(XLOOKUP($B458,Derived_Variables!$A:$A,Derived_Variables!$T:$T,"Standard"))&amp;"_cyl_step",Calibration!$B:$B,Calibration!$C:$C,0.25))</f>
        <v/>
      </c>
      <c r="AD458" s="28" t="str">
        <f t="array" ref="AD458">IF($I457="","",IF(OR(C458="E",C458="H"),LET(startStep,XLOOKUP("axis_start_step",Calibration!$B:$B,Calibration!$C:$C,5),step1,XLOOKUP("axis_reversal_step_1",Calibration!$B:$B,Calibration!$C:$C,3),step2,XLOOKUP("axis_reversal_step_2",Calibration!$B:$B,Calibration!$C:$C,1),IF(OR(C457&lt;&gt;C458,AZ458="",AZ458="SAME",AZ458="CANT_TELL",I458="",I458="SAME",I458="CANT_TELL"),startStep,IF(OR(AND(AZ458="BETTER_1",I458="BETTER_2"),AND(AZ458="BETTER_2",I458="BETTER_1")),IF(AD457&gt;step1,step1,step2),AD457))),0))</f>
        <v/>
      </c>
      <c r="AE458" s="28" t="str">
        <f t="array" ref="AE458">IF($I457="","",XLOOKUP($B458,Derived_Variables!$A:$A,Derived_Variables!$AD:$AD,"No_Fog"))</f>
        <v/>
      </c>
      <c r="AF458" s="28" t="str">
        <f t="array" ref="AF458">IF($I457="","",XLOOKUP($B458,Derived_Variables!$A:$A,Derived_Variables!$AE:$AE,0))</f>
        <v/>
      </c>
      <c r="AG458" s="28" t="str">
        <f t="array" ref="AG458">IF($I457="","",XLOOKUP($B458,Derived_Variables!$A:$A,Derived_Variables!$AF:$AF,""))</f>
        <v/>
      </c>
      <c r="AH458" s="28" t="str">
        <f t="array" ref="AH458">IF($I457="","",XLOOKUP($B458,Derived_Variables!$A:$A,Derived_Variables!$AG:$AG,""))</f>
        <v/>
      </c>
      <c r="AI458" s="28" t="str">
        <f t="array" ref="AI458">IF($I457="","",XLOOKUP($B458,Derived_Variables!$A:$A,Derived_Variables!$AC:$AC,"Medium"))</f>
        <v/>
      </c>
      <c r="AJ458" s="28" t="str">
        <f t="array" ref="AJ458">IF($I457="","",XLOOKUP($B458,Derived_Variables!$A:$A,Derived_Variables!$Y:$Y,FALSE))</f>
        <v/>
      </c>
      <c r="AK458" s="28" t="str">
        <f t="array" ref="AK458">IF($I457="","",XLOOKUP($B458,Derived_Variables!$A:$A,Derived_Variables!$AA:$AA,"Normal"))</f>
        <v/>
      </c>
      <c r="AL458" s="28" t="str">
        <f t="array" ref="AL458">IF($I457="","",XLOOKUP($B458,Derived_Variables!$A:$A,Derived_Variables!$AB:$AB,"Normal"))</f>
        <v/>
      </c>
      <c r="AM458" s="28" t="str">
        <f t="array" ref="AM458">IF($I458="","",IFS(C458="B",IF(OR(I458="NOT_READABLE",I458="BLURRY"),-AB458,0),C458="G",IFS(I458="RED_CLEARER",XLOOKUP("duochrome_red_step",Calibration!$B:$B,Calibration!$C:$C,-0.25),I458="GREEN_CLEARER",XLOOKUP("duochrome_green_step",Calibration!$B:$B,Calibration!$C:$C,0.25),I458="EQUAL",IF(XLOOKUP($B458,Derived_Variables!$A:$A,Derived_Variables!$S:$S,"Neutral")="Undercorrect",XLOOKUP("undercorrect_step",Calibration!$B:$B,Calibration!$C:$C,0.25),IF(XLOOKUP($B458,Derived_Variables!$A:$A,Derived_Variables!$S:$S,"Neutral")="Overcorrect",-XLOOKUP("overcorrect_step",Calibration!$B:$B,Calibration!$C:$C,0.25),0)),TRUE,0),C458="K",IF(I458="TOP_CLEARER",XLOOKUP("bino_balance_step",Calibration!$B:$B,Calibration!$C:$C,0.25),0),TRUE,0))</f>
        <v/>
      </c>
      <c r="AN458" s="28" t="str">
        <f t="shared" si="10"/>
        <v/>
      </c>
      <c r="AO458" s="28" t="str">
        <f t="shared" si="11"/>
        <v/>
      </c>
      <c r="AP458" s="28" t="str">
        <f t="array" ref="AP458">IF($I458="","",IFS(C458="D",IF(OR(I458="NOT_READABLE",I458="BLURRY"),-AB458,0),C458="J",IFS(I458="RED_CLEARER",XLOOKUP("duochrome_red_step",Calibration!$B:$B,Calibration!$C:$C,-0.25),I458="GREEN_CLEARER",XLOOKUP("duochrome_green_step",Calibration!$B:$B,Calibration!$C:$C,0.25),I458="EQUAL",IF(XLOOKUP($B458,Derived_Variables!$A:$A,Derived_Variables!$S:$S,"Neutral")="Undercorrect",XLOOKUP("undercorrect_step",Calibration!$B:$B,Calibration!$C:$C,0.25),IF(XLOOKUP($B458,Derived_Variables!$A:$A,Derived_Variables!$S:$S,"Neutral")="Overcorrect",-XLOOKUP("overcorrect_step",Calibration!$B:$B,Calibration!$C:$C,0.25),0)),TRUE,0),C458="K",IF(I458="BOTTOM_CLEARER",XLOOKUP("bino_balance_step",Calibration!$B:$B,Calibration!$C:$C,0.25),0),TRUE,0))</f>
        <v/>
      </c>
      <c r="AQ458" s="28" t="str">
        <f t="shared" si="12"/>
        <v/>
      </c>
      <c r="AR458" s="28" t="str">
        <f t="shared" si="13"/>
        <v/>
      </c>
      <c r="AS458" s="28" t="str">
        <f t="array" ref="AS458">IF($I458="","",IF(C458="P",IF(OR(I458="NOT_READABLE",I458="BLURRY"),XLOOKUP("near_add_step",Calibration!$B:$B,Calibration!$C:$C,0.25),0),IF(C458="R",IF(I458="NOT_CLEAR",XLOOKUP("near_add_step",Calibration!$B:$B,Calibration!$C:$C,0.25),0),0)))</f>
        <v/>
      </c>
      <c r="AT458" s="28" t="str">
        <f t="array" ref="AT458">IF($I458="","",IF(C458="Q",IF(OR(I458="NOT_READABLE",I458="BLURRY"),XLOOKUP("near_add_step",Calibration!$B:$B,Calibration!$C:$C,0.25),0),IF(C458="R",IF(I458="NOT_CLEAR",XLOOKUP("near_add_step",Calibration!$B:$B,Calibration!$C:$C,0.25),0),0)))</f>
        <v/>
      </c>
      <c r="AU458" s="28" t="str">
        <f t="array" ref="AU458">IF($I458="","",IF(G458="SNELLEN_FEET",IF(I458="READABLE",IFERROR(XLOOKUP(XLOOKUP(R458,Chart_Scale_Distance!B:B,Chart_Scale_Distance!A:A)+1,Chart_Scale_Distance!A:A,Chart_Scale_Distance!B:B),R458),R458),R458))</f>
        <v/>
      </c>
      <c r="AV458" s="28" t="str">
        <f t="array" ref="AV458">IF($I457="","",IFERROR(XLOOKUP(R458,Chart_Scale_Distance!$B:$B,Chart_Scale_Distance!$A:$A,""),""))</f>
        <v/>
      </c>
      <c r="AW458" s="28" t="str">
        <f t="array" ref="AW458">IF($I457="","",IFERROR(XLOOKUP(AA458,Chart_Scale_Distance!$B:$B,Chart_Scale_Distance!$A:$A,""),""))</f>
        <v/>
      </c>
      <c r="AX458" s="28" t="str">
        <f t="shared" si="14"/>
        <v/>
      </c>
      <c r="AY458" s="28" t="str">
        <f t="shared" si="15"/>
        <v/>
      </c>
      <c r="AZ458" s="28" t="str">
        <f t="shared" si="16"/>
        <v/>
      </c>
      <c r="BA458" s="28" t="str">
        <f t="shared" si="17"/>
        <v/>
      </c>
      <c r="BB458" s="28" t="str">
        <f t="shared" si="18"/>
        <v/>
      </c>
      <c r="BC458" s="28" t="str">
        <f t="array" ref="BC458">IF($I458="","",LET(
conf,AI458,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duoMax,XLOOKUP($B458,Derived_Variables!$A:$A,Derived_Variables!$AI:$AI,4),
axisTol,XLOOKUP($B458,Derived_Variables!$A:$A,Derived_Variables!$W:$W,1),
maxStart,XLOOKUP($B458,Derived_Variables!$A:$A,Derived_Variables!$U:$U,1.25),
maxAR,XLOOKUP($B458,Derived_Variables!$A:$A,Derived_Variables!$V:$V,3),
anom,XLOOKUP($B458,Derived_Variables!$A:$A,Derived_Variables!$Z:$Z,FALSE),
reStart,XLOOKUP($B458,Derived_Variables!$A:$A,Derived_Variables!$K:$K,0),
leStart,XLOOKUP($B458,Derived_Variables!$A:$A,Derived_Variables!$N:$N,0),
reAR,XLOOKUP($B458,AR_Input!$A:$A,AR_Input!$B:$B,reStart),
leAR,XLOOKUP($B458,AR_Input!$A:$A,AR_Input!$E:$E,leStart),
reEsc,AND(anom,OR(ABS((S458+AM458)-reStart)&gt;maxStart,ABS((S458+AM458)-reAR)&gt;maxAR)),
leEsc,AND(anom,OR(ABS((V458+AP458)-leStart)&gt;maxStart,ABS((V458+AP458)-leAR)&gt;maxAR)),
phaseMax,IFS(
 AK458="Fast",
   IFS(
     OR(C458="B",C458="D"),XLOOKUP("timeout_coarse_fast",Calibration!$B:$B,Calibration!$C:$C,24),
     OR(C458="E",C458="F",C458="H",C458="I"),XLOOKUP("timeout_jcc_fast",Calibration!$B:$B,Calibration!$C:$C,10),
     OR(C458="G",C458="J"),XLOOKUP("timeout_duochrome_fast",Calibration!$B:$B,Calibration!$C:$C,8),
     C458="K",XLOOKUP("timeout_bino_fast",Calibration!$B:$B,Calibration!$C:$C,10),
     OR(C458="P",C458="Q",C458="R"),XLOOKUP("timeout_near_fast",Calibration!$B:$B,Calibration!$C:$C,16),
     TRUE,XLOOKUP("timeout_coarse_fast",Calibration!$B:$B,Calibration!$C:$C,24)
   ),
 AK458="Normal",
   IFS(
     OR(C458="B",C458="D"),XLOOKUP("timeout_coarse_normal",Calibration!$B:$B,Calibration!$C:$C,36),
     OR(C458="E",C458="F",C458="H",C458="I"),XLOOKUP("timeout_jcc_normal",Calibration!$B:$B,Calibration!$C:$C,14),
     OR(C458="G",C458="J"),XLOOKUP("timeout_duochrome_normal",Calibration!$B:$B,Calibration!$C:$C,10),
     C458="K",XLOOKUP("timeout_bino_normal",Calibration!$B:$B,Calibration!$C:$C,14),
     OR(C458="P",C458="Q",C458="R"),XLOOKUP("timeout_near_normal",Calibration!$B:$B,Calibration!$C:$C,22),
     TRUE,XLOOKUP("timeout_coarse_normal",Calibration!$B:$B,Calibration!$C:$C,36)
   ),
 TRUE,
   IFS(
     OR(C458="B",C458="D"),XLOOKUP("timeout_coarse_slow",Calibration!$B:$B,Calibration!$C:$C,48),
     OR(C458="E",C458="F",C458="H",C458="I"),XLOOKUP("timeout_jcc_slow",Calibration!$B:$B,Calibration!$C:$C,18),
     OR(C458="G",C458="J"),XLOOKUP("timeout_duochrome_slow",Calibration!$B:$B,Calibration!$C:$C,12),
     C458="K",XLOOKUP("timeout_bino_slow",Calibration!$B:$B,Calibration!$C:$C,18),
     OR(C458="P",C458="Q",C458="R"),XLOOKUP("timeout_near_slow",Calibration!$B:$B,Calibration!$C:$C,28),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AJ458=TRUE,"ESCALATE",
C458="A",
IF(OR(I458="NOT_READABLE",I458="BLURRY",AND(R458="20_20_20",I458="READABLE")),"B","A"),
C458="B",
IF(reEsc,"ESCALATE",IF(AY458&gt;=phaseMax,"ESCALATE",IF(AND(AV458&gt;=AW458,I458="READABLE"),"E","B"))),
C458="E",
IF(AY458&gt;=phaseMax,"ESCALATE",IF(OR(I458="SAME",I458="CANT_TELL",AD458&lt;axisTol),"F","E")),
C458="F",
IF(AY458&gt;=phaseMax,"ESCALATE",IF(AX458&gt;=powerSameN,"G","F")),
C458="G",
IF(AY458&gt;=phaseMax,"ESCALATE",IF(OR(AX458&gt;=duoEqualN,BB458&gt;=duoMax),"D","G")),
C458="D",
IF(leEsc,"ESCALATE",IF(AY458&gt;=phaseMax,"ESCALATE",IF(AND(AV458&gt;=AW458,I458="READABLE"),"H","D"))),
C458="H",
IF(AY458&gt;=phaseMax,"ESCALATE",IF(OR(I458="SAME",I458="CANT_TELL",AD458&lt;axisTol),"I","H")),
C458="I",
IF(AY458&gt;=phaseMax,"ESCALATE",IF(AX458&gt;=powerSameN,"J","I")),
C458="J",
IF(AY458&gt;=phaseMax,"ESCALATE",IF(OR(AX458&gt;=duoEqualN,BB458&gt;=duoMax),"K","J")),
C458="K",
IF(AY458&gt;=phaseMax,"ESCALATE",IF(AX458&gt;=binoSameN,IF(XLOOKUP($B458,Derived_Variables!$A:$A,Derived_Variables!$AJ:$AJ,FALSE)=TRUE,"P","END"),"K")),
C458="P",
IF(AY458&gt;=phaseMax,"ESCALATE",IF(OR(I458="READABLE",I458="SAME"),"Q","P")),
C458="Q",
IF(AY458&gt;=phaseMax,"ESCALATE",IF(OR(I458="READABLE",I458="SAME"),"R","Q")),
C458="R",
IF(AY458&gt;=phaseMax,"ESCALATE",IF(OR(I458=nearTarget,I458="SAME"),"END","R")),
TRUE,"END"
)))</f>
        <v/>
      </c>
      <c r="BD458" s="28" t="b">
        <f t="shared" si="19"/>
        <v>0</v>
      </c>
    </row>
    <row r="459" ht="15.75" customHeight="1">
      <c r="A459" s="28">
        <f t="shared" si="3"/>
        <v>458</v>
      </c>
      <c r="B459" s="28">
        <f t="shared" si="4"/>
        <v>6</v>
      </c>
      <c r="C459" s="28" t="str">
        <f t="shared" si="5"/>
        <v/>
      </c>
      <c r="D459" s="28" t="str">
        <f t="array" ref="D459">IF($I458="","",XLOOKUP(C459,FSM_State_Map!A:A,FSM_State_Map!B:B,""))</f>
        <v/>
      </c>
      <c r="E459" s="28" t="str">
        <f t="array" ref="E459">IF($I458="","",XLOOKUP(C459,FSM_State_Map!A:A,FSM_State_Map!C:C,""))</f>
        <v/>
      </c>
      <c r="F459" s="28" t="str">
        <f t="array" ref="F459">IF($I458="","",XLOOKUP(E459,Phase_UI_Map!A:A,Phase_UI_Map!B:B,""))</f>
        <v/>
      </c>
      <c r="G459" s="28" t="str">
        <f t="array" ref="G459">IF($I458="","",XLOOKUP(E459,Phase_UI_Map!A:A,Phase_UI_Map!C:C,""))</f>
        <v/>
      </c>
      <c r="H459" s="28" t="str">
        <f t="array" ref="H459">IF($I458="","",XLOOKUP(E459,Phase_UI_Map!A:A,Phase_UI_Map!D:D,""))</f>
        <v/>
      </c>
      <c r="I459" s="29"/>
      <c r="J459" s="28" t="str">
        <f>IFERROR(__xludf.DUMMYFUNCTION("IF($I458="""","""",IFERROR(INDEX(FILTER(Response_Lists!$B:$B,Response_Lists!$A:$A=$H459),1),""""))"),"")</f>
        <v/>
      </c>
      <c r="K459" s="28" t="str">
        <f>IFERROR(__xludf.DUMMYFUNCTION("IF($I458="""","""",IFERROR(INDEX(FILTER(Response_Lists!$B:$B,Response_Lists!$A:$A=$H459),2),""""))"),"")</f>
        <v/>
      </c>
      <c r="L459" s="28" t="str">
        <f>IFERROR(__xludf.DUMMYFUNCTION("IF($I458="""","""",IFERROR(INDEX(FILTER(Response_Lists!$B:$B,Response_Lists!$A:$A=$H459),3),""""))"),"")</f>
        <v/>
      </c>
      <c r="M459" s="28" t="str">
        <f>IFERROR(__xludf.DUMMYFUNCTION("IF($I458="""","""",IFERROR(INDEX(FILTER(Response_Lists!$B:$B,Response_Lists!$A:$A=$H459),4),""""))"),"")</f>
        <v/>
      </c>
      <c r="N459" s="28" t="str">
        <f>IFERROR(__xludf.DUMMYFUNCTION("IF($I458="""","""",IFERROR(INDEX(FILTER(Response_Lists!$B:$B,Response_Lists!$A:$A=$H459),5),""""))"),"")</f>
        <v/>
      </c>
      <c r="O459" s="28" t="str">
        <f>IFERROR(__xludf.DUMMYFUNCTION("IF($I458="""","""",IFERROR(INDEX(FILTER(Response_Lists!$B:$B,Response_Lists!$A:$A=$H459),6),""""))"),"")</f>
        <v/>
      </c>
      <c r="P459" s="28" t="str">
        <f t="shared" si="6"/>
        <v/>
      </c>
      <c r="Q459" s="28" t="str">
        <f t="array" ref="Q459">IF($I458="","",XLOOKUP(C459,FSM_State_Map!A:A,FSM_State_Map!D:D,""))</f>
        <v/>
      </c>
      <c r="R459" s="28" t="str">
        <f t="shared" si="7"/>
        <v/>
      </c>
      <c r="S459" s="28" t="str">
        <f t="array" ref="S459">IF($I458="","",
IF(
  AND(C459="B",C458&lt;&gt;"B"),
  XLOOKUP($B459,Derived_Variables!$A:$A,Derived_Variables!$K:$K,0)
  + XLOOKUP($B459,Derived_Variables!$A:$A,Derived_Variables!$AE:$AE,0),
  S458+AM458
))</f>
        <v/>
      </c>
      <c r="T459" s="28" t="str">
        <f t="shared" ref="T459:U459" si="928">IF($I458="","",T458+AN458)</f>
        <v/>
      </c>
      <c r="U459" s="28" t="str">
        <f t="shared" si="928"/>
        <v/>
      </c>
      <c r="V459" s="28" t="str">
        <f t="array" ref="V459">IF($I458="","",
IF(
  AND(C459="D",C458&lt;&gt;"D"),
  XLOOKUP($B459,Derived_Variables!$A:$A,Derived_Variables!$N:$N,0)
  + XLOOKUP($B459,Derived_Variables!$A:$A,Derived_Variables!$AE:$AE,0),
  V458+AP458
))</f>
        <v/>
      </c>
      <c r="W459" s="28" t="str">
        <f t="shared" ref="W459:X459" si="929">IF($I458="","",W458+AQ458)</f>
        <v/>
      </c>
      <c r="X459" s="28" t="str">
        <f t="shared" si="929"/>
        <v/>
      </c>
      <c r="Y459" s="28" t="str">
        <f t="array" ref="Y459">IF($I458="","",IF(AND(C459="P",C458&lt;&gt;"P"),IFERROR(XLOOKUP($B459,Lenso_Input!$A:$A,Lenso_Input!$E:$E,0),0),Y458+AS458))</f>
        <v/>
      </c>
      <c r="Z459" s="28" t="str">
        <f t="array" ref="Z459">IF($I458="","",IF(AND(C459="Q",C458&lt;&gt;"Q"),IFERROR(XLOOKUP($B459,Lenso_Input!$A:$A,Lenso_Input!$I:$I,0),0),Z458+AT458))</f>
        <v/>
      </c>
      <c r="AA459" s="28" t="str">
        <f t="array" ref="AA459">IF($I458="","",IF(XLOOKUP($B459,Derived_Variables!$A:$A,Derived_Variables!$R:$R,"6/6_target")="6/6_target","20_20_20","40_30_25"))</f>
        <v/>
      </c>
      <c r="AB459" s="28" t="str">
        <f t="array" ref="AB459">IF($I458="","",XLOOKUP(LOWER(XLOOKUP($B459,Derived_Variables!$A:$A,Derived_Variables!$T:$T,"Standard"))&amp;"_sph_step",Calibration!$B:$B,Calibration!$C:$C,0.25))</f>
        <v/>
      </c>
      <c r="AC459" s="28" t="str">
        <f t="array" ref="AC459">IF($I458="","",XLOOKUP(LOWER(XLOOKUP($B459,Derived_Variables!$A:$A,Derived_Variables!$T:$T,"Standard"))&amp;"_cyl_step",Calibration!$B:$B,Calibration!$C:$C,0.25))</f>
        <v/>
      </c>
      <c r="AD459" s="28" t="str">
        <f t="array" ref="AD459">IF($I458="","",IF(OR(C459="E",C459="H"),LET(startStep,XLOOKUP("axis_start_step",Calibration!$B:$B,Calibration!$C:$C,5),step1,XLOOKUP("axis_reversal_step_1",Calibration!$B:$B,Calibration!$C:$C,3),step2,XLOOKUP("axis_reversal_step_2",Calibration!$B:$B,Calibration!$C:$C,1),IF(OR(C458&lt;&gt;C459,AZ459="",AZ459="SAME",AZ459="CANT_TELL",I459="",I459="SAME",I459="CANT_TELL"),startStep,IF(OR(AND(AZ459="BETTER_1",I459="BETTER_2"),AND(AZ459="BETTER_2",I459="BETTER_1")),IF(AD458&gt;step1,step1,step2),AD458))),0))</f>
        <v/>
      </c>
      <c r="AE459" s="28" t="str">
        <f t="array" ref="AE459">IF($I458="","",XLOOKUP($B459,Derived_Variables!$A:$A,Derived_Variables!$AD:$AD,"No_Fog"))</f>
        <v/>
      </c>
      <c r="AF459" s="28" t="str">
        <f t="array" ref="AF459">IF($I458="","",XLOOKUP($B459,Derived_Variables!$A:$A,Derived_Variables!$AE:$AE,0))</f>
        <v/>
      </c>
      <c r="AG459" s="28" t="str">
        <f t="array" ref="AG459">IF($I458="","",XLOOKUP($B459,Derived_Variables!$A:$A,Derived_Variables!$AF:$AF,""))</f>
        <v/>
      </c>
      <c r="AH459" s="28" t="str">
        <f t="array" ref="AH459">IF($I458="","",XLOOKUP($B459,Derived_Variables!$A:$A,Derived_Variables!$AG:$AG,""))</f>
        <v/>
      </c>
      <c r="AI459" s="28" t="str">
        <f t="array" ref="AI459">IF($I458="","",XLOOKUP($B459,Derived_Variables!$A:$A,Derived_Variables!$AC:$AC,"Medium"))</f>
        <v/>
      </c>
      <c r="AJ459" s="28" t="str">
        <f t="array" ref="AJ459">IF($I458="","",XLOOKUP($B459,Derived_Variables!$A:$A,Derived_Variables!$Y:$Y,FALSE))</f>
        <v/>
      </c>
      <c r="AK459" s="28" t="str">
        <f t="array" ref="AK459">IF($I458="","",XLOOKUP($B459,Derived_Variables!$A:$A,Derived_Variables!$AA:$AA,"Normal"))</f>
        <v/>
      </c>
      <c r="AL459" s="28" t="str">
        <f t="array" ref="AL459">IF($I458="","",XLOOKUP($B459,Derived_Variables!$A:$A,Derived_Variables!$AB:$AB,"Normal"))</f>
        <v/>
      </c>
      <c r="AM459" s="28" t="str">
        <f t="array" ref="AM459">IF($I459="","",IFS(C459="B",IF(OR(I459="NOT_READABLE",I459="BLURRY"),-AB459,0),C459="G",IFS(I459="RED_CLEARER",XLOOKUP("duochrome_red_step",Calibration!$B:$B,Calibration!$C:$C,-0.25),I459="GREEN_CLEARER",XLOOKUP("duochrome_green_step",Calibration!$B:$B,Calibration!$C:$C,0.25),I459="EQUAL",IF(XLOOKUP($B459,Derived_Variables!$A:$A,Derived_Variables!$S:$S,"Neutral")="Undercorrect",XLOOKUP("undercorrect_step",Calibration!$B:$B,Calibration!$C:$C,0.25),IF(XLOOKUP($B459,Derived_Variables!$A:$A,Derived_Variables!$S:$S,"Neutral")="Overcorrect",-XLOOKUP("overcorrect_step",Calibration!$B:$B,Calibration!$C:$C,0.25),0)),TRUE,0),C459="K",IF(I459="TOP_CLEARER",XLOOKUP("bino_balance_step",Calibration!$B:$B,Calibration!$C:$C,0.25),0),TRUE,0))</f>
        <v/>
      </c>
      <c r="AN459" s="28" t="str">
        <f t="shared" si="10"/>
        <v/>
      </c>
      <c r="AO459" s="28" t="str">
        <f t="shared" si="11"/>
        <v/>
      </c>
      <c r="AP459" s="28" t="str">
        <f t="array" ref="AP459">IF($I459="","",IFS(C459="D",IF(OR(I459="NOT_READABLE",I459="BLURRY"),-AB459,0),C459="J",IFS(I459="RED_CLEARER",XLOOKUP("duochrome_red_step",Calibration!$B:$B,Calibration!$C:$C,-0.25),I459="GREEN_CLEARER",XLOOKUP("duochrome_green_step",Calibration!$B:$B,Calibration!$C:$C,0.25),I459="EQUAL",IF(XLOOKUP($B459,Derived_Variables!$A:$A,Derived_Variables!$S:$S,"Neutral")="Undercorrect",XLOOKUP("undercorrect_step",Calibration!$B:$B,Calibration!$C:$C,0.25),IF(XLOOKUP($B459,Derived_Variables!$A:$A,Derived_Variables!$S:$S,"Neutral")="Overcorrect",-XLOOKUP("overcorrect_step",Calibration!$B:$B,Calibration!$C:$C,0.25),0)),TRUE,0),C459="K",IF(I459="BOTTOM_CLEARER",XLOOKUP("bino_balance_step",Calibration!$B:$B,Calibration!$C:$C,0.25),0),TRUE,0))</f>
        <v/>
      </c>
      <c r="AQ459" s="28" t="str">
        <f t="shared" si="12"/>
        <v/>
      </c>
      <c r="AR459" s="28" t="str">
        <f t="shared" si="13"/>
        <v/>
      </c>
      <c r="AS459" s="28" t="str">
        <f t="array" ref="AS459">IF($I459="","",IF(C459="P",IF(OR(I459="NOT_READABLE",I459="BLURRY"),XLOOKUP("near_add_step",Calibration!$B:$B,Calibration!$C:$C,0.25),0),IF(C459="R",IF(I459="NOT_CLEAR",XLOOKUP("near_add_step",Calibration!$B:$B,Calibration!$C:$C,0.25),0),0)))</f>
        <v/>
      </c>
      <c r="AT459" s="28" t="str">
        <f t="array" ref="AT459">IF($I459="","",IF(C459="Q",IF(OR(I459="NOT_READABLE",I459="BLURRY"),XLOOKUP("near_add_step",Calibration!$B:$B,Calibration!$C:$C,0.25),0),IF(C459="R",IF(I459="NOT_CLEAR",XLOOKUP("near_add_step",Calibration!$B:$B,Calibration!$C:$C,0.25),0),0)))</f>
        <v/>
      </c>
      <c r="AU459" s="28" t="str">
        <f t="array" ref="AU459">IF($I459="","",IF(G459="SNELLEN_FEET",IF(I459="READABLE",IFERROR(XLOOKUP(XLOOKUP(R459,Chart_Scale_Distance!B:B,Chart_Scale_Distance!A:A)+1,Chart_Scale_Distance!A:A,Chart_Scale_Distance!B:B),R459),R459),R459))</f>
        <v/>
      </c>
      <c r="AV459" s="28" t="str">
        <f t="array" ref="AV459">IF($I458="","",IFERROR(XLOOKUP(R459,Chart_Scale_Distance!$B:$B,Chart_Scale_Distance!$A:$A,""),""))</f>
        <v/>
      </c>
      <c r="AW459" s="28" t="str">
        <f t="array" ref="AW459">IF($I458="","",IFERROR(XLOOKUP(AA459,Chart_Scale_Distance!$B:$B,Chart_Scale_Distance!$A:$A,""),""))</f>
        <v/>
      </c>
      <c r="AX459" s="28" t="str">
        <f t="shared" si="14"/>
        <v/>
      </c>
      <c r="AY459" s="28" t="str">
        <f t="shared" si="15"/>
        <v/>
      </c>
      <c r="AZ459" s="28" t="str">
        <f t="shared" si="16"/>
        <v/>
      </c>
      <c r="BA459" s="28" t="str">
        <f t="shared" si="17"/>
        <v/>
      </c>
      <c r="BB459" s="28" t="str">
        <f t="shared" si="18"/>
        <v/>
      </c>
      <c r="BC459" s="28" t="str">
        <f t="array" ref="BC459">IF($I459="","",LET(
conf,AI459,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duoMax,XLOOKUP($B459,Derived_Variables!$A:$A,Derived_Variables!$AI:$AI,4),
axisTol,XLOOKUP($B459,Derived_Variables!$A:$A,Derived_Variables!$W:$W,1),
maxStart,XLOOKUP($B459,Derived_Variables!$A:$A,Derived_Variables!$U:$U,1.25),
maxAR,XLOOKUP($B459,Derived_Variables!$A:$A,Derived_Variables!$V:$V,3),
anom,XLOOKUP($B459,Derived_Variables!$A:$A,Derived_Variables!$Z:$Z,FALSE),
reStart,XLOOKUP($B459,Derived_Variables!$A:$A,Derived_Variables!$K:$K,0),
leStart,XLOOKUP($B459,Derived_Variables!$A:$A,Derived_Variables!$N:$N,0),
reAR,XLOOKUP($B459,AR_Input!$A:$A,AR_Input!$B:$B,reStart),
leAR,XLOOKUP($B459,AR_Input!$A:$A,AR_Input!$E:$E,leStart),
reEsc,AND(anom,OR(ABS((S459+AM459)-reStart)&gt;maxStart,ABS((S459+AM459)-reAR)&gt;maxAR)),
leEsc,AND(anom,OR(ABS((V459+AP459)-leStart)&gt;maxStart,ABS((V459+AP459)-leAR)&gt;maxAR)),
phaseMax,IFS(
 AK459="Fast",
   IFS(
     OR(C459="B",C459="D"),XLOOKUP("timeout_coarse_fast",Calibration!$B:$B,Calibration!$C:$C,24),
     OR(C459="E",C459="F",C459="H",C459="I"),XLOOKUP("timeout_jcc_fast",Calibration!$B:$B,Calibration!$C:$C,10),
     OR(C459="G",C459="J"),XLOOKUP("timeout_duochrome_fast",Calibration!$B:$B,Calibration!$C:$C,8),
     C459="K",XLOOKUP("timeout_bino_fast",Calibration!$B:$B,Calibration!$C:$C,10),
     OR(C459="P",C459="Q",C459="R"),XLOOKUP("timeout_near_fast",Calibration!$B:$B,Calibration!$C:$C,16),
     TRUE,XLOOKUP("timeout_coarse_fast",Calibration!$B:$B,Calibration!$C:$C,24)
   ),
 AK459="Normal",
   IFS(
     OR(C459="B",C459="D"),XLOOKUP("timeout_coarse_normal",Calibration!$B:$B,Calibration!$C:$C,36),
     OR(C459="E",C459="F",C459="H",C459="I"),XLOOKUP("timeout_jcc_normal",Calibration!$B:$B,Calibration!$C:$C,14),
     OR(C459="G",C459="J"),XLOOKUP("timeout_duochrome_normal",Calibration!$B:$B,Calibration!$C:$C,10),
     C459="K",XLOOKUP("timeout_bino_normal",Calibration!$B:$B,Calibration!$C:$C,14),
     OR(C459="P",C459="Q",C459="R"),XLOOKUP("timeout_near_normal",Calibration!$B:$B,Calibration!$C:$C,22),
     TRUE,XLOOKUP("timeout_coarse_normal",Calibration!$B:$B,Calibration!$C:$C,36)
   ),
 TRUE,
   IFS(
     OR(C459="B",C459="D"),XLOOKUP("timeout_coarse_slow",Calibration!$B:$B,Calibration!$C:$C,48),
     OR(C459="E",C459="F",C459="H",C459="I"),XLOOKUP("timeout_jcc_slow",Calibration!$B:$B,Calibration!$C:$C,18),
     OR(C459="G",C459="J"),XLOOKUP("timeout_duochrome_slow",Calibration!$B:$B,Calibration!$C:$C,12),
     C459="K",XLOOKUP("timeout_bino_slow",Calibration!$B:$B,Calibration!$C:$C,18),
     OR(C459="P",C459="Q",C459="R"),XLOOKUP("timeout_near_slow",Calibration!$B:$B,Calibration!$C:$C,28),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AJ459=TRUE,"ESCALATE",
C459="A",
IF(OR(I459="NOT_READABLE",I459="BLURRY",AND(R459="20_20_20",I459="READABLE")),"B","A"),
C459="B",
IF(reEsc,"ESCALATE",IF(AY459&gt;=phaseMax,"ESCALATE",IF(AND(AV459&gt;=AW459,I459="READABLE"),"E","B"))),
C459="E",
IF(AY459&gt;=phaseMax,"ESCALATE",IF(OR(I459="SAME",I459="CANT_TELL",AD459&lt;axisTol),"F","E")),
C459="F",
IF(AY459&gt;=phaseMax,"ESCALATE",IF(AX459&gt;=powerSameN,"G","F")),
C459="G",
IF(AY459&gt;=phaseMax,"ESCALATE",IF(OR(AX459&gt;=duoEqualN,BB459&gt;=duoMax),"D","G")),
C459="D",
IF(leEsc,"ESCALATE",IF(AY459&gt;=phaseMax,"ESCALATE",IF(AND(AV459&gt;=AW459,I459="READABLE"),"H","D"))),
C459="H",
IF(AY459&gt;=phaseMax,"ESCALATE",IF(OR(I459="SAME",I459="CANT_TELL",AD459&lt;axisTol),"I","H")),
C459="I",
IF(AY459&gt;=phaseMax,"ESCALATE",IF(AX459&gt;=powerSameN,"J","I")),
C459="J",
IF(AY459&gt;=phaseMax,"ESCALATE",IF(OR(AX459&gt;=duoEqualN,BB459&gt;=duoMax),"K","J")),
C459="K",
IF(AY459&gt;=phaseMax,"ESCALATE",IF(AX459&gt;=binoSameN,IF(XLOOKUP($B459,Derived_Variables!$A:$A,Derived_Variables!$AJ:$AJ,FALSE)=TRUE,"P","END"),"K")),
C459="P",
IF(AY459&gt;=phaseMax,"ESCALATE",IF(OR(I459="READABLE",I459="SAME"),"Q","P")),
C459="Q",
IF(AY459&gt;=phaseMax,"ESCALATE",IF(OR(I459="READABLE",I459="SAME"),"R","Q")),
C459="R",
IF(AY459&gt;=phaseMax,"ESCALATE",IF(OR(I459=nearTarget,I459="SAME"),"END","R")),
TRUE,"END"
)))</f>
        <v/>
      </c>
      <c r="BD459" s="28" t="b">
        <f t="shared" si="19"/>
        <v>0</v>
      </c>
    </row>
    <row r="460" ht="15.75" customHeight="1">
      <c r="A460" s="28">
        <f t="shared" si="3"/>
        <v>459</v>
      </c>
      <c r="B460" s="28">
        <f t="shared" si="4"/>
        <v>6</v>
      </c>
      <c r="C460" s="28" t="str">
        <f t="shared" si="5"/>
        <v/>
      </c>
      <c r="D460" s="28" t="str">
        <f t="array" ref="D460">IF($I459="","",XLOOKUP(C460,FSM_State_Map!A:A,FSM_State_Map!B:B,""))</f>
        <v/>
      </c>
      <c r="E460" s="28" t="str">
        <f t="array" ref="E460">IF($I459="","",XLOOKUP(C460,FSM_State_Map!A:A,FSM_State_Map!C:C,""))</f>
        <v/>
      </c>
      <c r="F460" s="28" t="str">
        <f t="array" ref="F460">IF($I459="","",XLOOKUP(E460,Phase_UI_Map!A:A,Phase_UI_Map!B:B,""))</f>
        <v/>
      </c>
      <c r="G460" s="28" t="str">
        <f t="array" ref="G460">IF($I459="","",XLOOKUP(E460,Phase_UI_Map!A:A,Phase_UI_Map!C:C,""))</f>
        <v/>
      </c>
      <c r="H460" s="28" t="str">
        <f t="array" ref="H460">IF($I459="","",XLOOKUP(E460,Phase_UI_Map!A:A,Phase_UI_Map!D:D,""))</f>
        <v/>
      </c>
      <c r="I460" s="29"/>
      <c r="J460" s="28" t="str">
        <f>IFERROR(__xludf.DUMMYFUNCTION("IF($I459="""","""",IFERROR(INDEX(FILTER(Response_Lists!$B:$B,Response_Lists!$A:$A=$H460),1),""""))"),"")</f>
        <v/>
      </c>
      <c r="K460" s="28" t="str">
        <f>IFERROR(__xludf.DUMMYFUNCTION("IF($I459="""","""",IFERROR(INDEX(FILTER(Response_Lists!$B:$B,Response_Lists!$A:$A=$H460),2),""""))"),"")</f>
        <v/>
      </c>
      <c r="L460" s="28" t="str">
        <f>IFERROR(__xludf.DUMMYFUNCTION("IF($I459="""","""",IFERROR(INDEX(FILTER(Response_Lists!$B:$B,Response_Lists!$A:$A=$H460),3),""""))"),"")</f>
        <v/>
      </c>
      <c r="M460" s="28" t="str">
        <f>IFERROR(__xludf.DUMMYFUNCTION("IF($I459="""","""",IFERROR(INDEX(FILTER(Response_Lists!$B:$B,Response_Lists!$A:$A=$H460),4),""""))"),"")</f>
        <v/>
      </c>
      <c r="N460" s="28" t="str">
        <f>IFERROR(__xludf.DUMMYFUNCTION("IF($I459="""","""",IFERROR(INDEX(FILTER(Response_Lists!$B:$B,Response_Lists!$A:$A=$H460),5),""""))"),"")</f>
        <v/>
      </c>
      <c r="O460" s="28" t="str">
        <f>IFERROR(__xludf.DUMMYFUNCTION("IF($I459="""","""",IFERROR(INDEX(FILTER(Response_Lists!$B:$B,Response_Lists!$A:$A=$H460),6),""""))"),"")</f>
        <v/>
      </c>
      <c r="P460" s="28" t="str">
        <f t="shared" si="6"/>
        <v/>
      </c>
      <c r="Q460" s="28" t="str">
        <f t="array" ref="Q460">IF($I459="","",XLOOKUP(C460,FSM_State_Map!A:A,FSM_State_Map!D:D,""))</f>
        <v/>
      </c>
      <c r="R460" s="28" t="str">
        <f t="shared" si="7"/>
        <v/>
      </c>
      <c r="S460" s="28" t="str">
        <f t="array" ref="S460">IF($I459="","",
IF(
  AND(C460="B",C459&lt;&gt;"B"),
  XLOOKUP($B460,Derived_Variables!$A:$A,Derived_Variables!$K:$K,0)
  + XLOOKUP($B460,Derived_Variables!$A:$A,Derived_Variables!$AE:$AE,0),
  S459+AM459
))</f>
        <v/>
      </c>
      <c r="T460" s="28" t="str">
        <f t="shared" ref="T460:U460" si="930">IF($I459="","",T459+AN459)</f>
        <v/>
      </c>
      <c r="U460" s="28" t="str">
        <f t="shared" si="930"/>
        <v/>
      </c>
      <c r="V460" s="28" t="str">
        <f t="array" ref="V460">IF($I459="","",
IF(
  AND(C460="D",C459&lt;&gt;"D"),
  XLOOKUP($B460,Derived_Variables!$A:$A,Derived_Variables!$N:$N,0)
  + XLOOKUP($B460,Derived_Variables!$A:$A,Derived_Variables!$AE:$AE,0),
  V459+AP459
))</f>
        <v/>
      </c>
      <c r="W460" s="28" t="str">
        <f t="shared" ref="W460:X460" si="931">IF($I459="","",W459+AQ459)</f>
        <v/>
      </c>
      <c r="X460" s="28" t="str">
        <f t="shared" si="931"/>
        <v/>
      </c>
      <c r="Y460" s="28" t="str">
        <f t="array" ref="Y460">IF($I459="","",IF(AND(C460="P",C459&lt;&gt;"P"),IFERROR(XLOOKUP($B460,Lenso_Input!$A:$A,Lenso_Input!$E:$E,0),0),Y459+AS459))</f>
        <v/>
      </c>
      <c r="Z460" s="28" t="str">
        <f t="array" ref="Z460">IF($I459="","",IF(AND(C460="Q",C459&lt;&gt;"Q"),IFERROR(XLOOKUP($B460,Lenso_Input!$A:$A,Lenso_Input!$I:$I,0),0),Z459+AT459))</f>
        <v/>
      </c>
      <c r="AA460" s="28" t="str">
        <f t="array" ref="AA460">IF($I459="","",IF(XLOOKUP($B460,Derived_Variables!$A:$A,Derived_Variables!$R:$R,"6/6_target")="6/6_target","20_20_20","40_30_25"))</f>
        <v/>
      </c>
      <c r="AB460" s="28" t="str">
        <f t="array" ref="AB460">IF($I459="","",XLOOKUP(LOWER(XLOOKUP($B460,Derived_Variables!$A:$A,Derived_Variables!$T:$T,"Standard"))&amp;"_sph_step",Calibration!$B:$B,Calibration!$C:$C,0.25))</f>
        <v/>
      </c>
      <c r="AC460" s="28" t="str">
        <f t="array" ref="AC460">IF($I459="","",XLOOKUP(LOWER(XLOOKUP($B460,Derived_Variables!$A:$A,Derived_Variables!$T:$T,"Standard"))&amp;"_cyl_step",Calibration!$B:$B,Calibration!$C:$C,0.25))</f>
        <v/>
      </c>
      <c r="AD460" s="28" t="str">
        <f t="array" ref="AD460">IF($I459="","",IF(OR(C460="E",C460="H"),LET(startStep,XLOOKUP("axis_start_step",Calibration!$B:$B,Calibration!$C:$C,5),step1,XLOOKUP("axis_reversal_step_1",Calibration!$B:$B,Calibration!$C:$C,3),step2,XLOOKUP("axis_reversal_step_2",Calibration!$B:$B,Calibration!$C:$C,1),IF(OR(C459&lt;&gt;C460,AZ460="",AZ460="SAME",AZ460="CANT_TELL",I460="",I460="SAME",I460="CANT_TELL"),startStep,IF(OR(AND(AZ460="BETTER_1",I460="BETTER_2"),AND(AZ460="BETTER_2",I460="BETTER_1")),IF(AD459&gt;step1,step1,step2),AD459))),0))</f>
        <v/>
      </c>
      <c r="AE460" s="28" t="str">
        <f t="array" ref="AE460">IF($I459="","",XLOOKUP($B460,Derived_Variables!$A:$A,Derived_Variables!$AD:$AD,"No_Fog"))</f>
        <v/>
      </c>
      <c r="AF460" s="28" t="str">
        <f t="array" ref="AF460">IF($I459="","",XLOOKUP($B460,Derived_Variables!$A:$A,Derived_Variables!$AE:$AE,0))</f>
        <v/>
      </c>
      <c r="AG460" s="28" t="str">
        <f t="array" ref="AG460">IF($I459="","",XLOOKUP($B460,Derived_Variables!$A:$A,Derived_Variables!$AF:$AF,""))</f>
        <v/>
      </c>
      <c r="AH460" s="28" t="str">
        <f t="array" ref="AH460">IF($I459="","",XLOOKUP($B460,Derived_Variables!$A:$A,Derived_Variables!$AG:$AG,""))</f>
        <v/>
      </c>
      <c r="AI460" s="28" t="str">
        <f t="array" ref="AI460">IF($I459="","",XLOOKUP($B460,Derived_Variables!$A:$A,Derived_Variables!$AC:$AC,"Medium"))</f>
        <v/>
      </c>
      <c r="AJ460" s="28" t="str">
        <f t="array" ref="AJ460">IF($I459="","",XLOOKUP($B460,Derived_Variables!$A:$A,Derived_Variables!$Y:$Y,FALSE))</f>
        <v/>
      </c>
      <c r="AK460" s="28" t="str">
        <f t="array" ref="AK460">IF($I459="","",XLOOKUP($B460,Derived_Variables!$A:$A,Derived_Variables!$AA:$AA,"Normal"))</f>
        <v/>
      </c>
      <c r="AL460" s="28" t="str">
        <f t="array" ref="AL460">IF($I459="","",XLOOKUP($B460,Derived_Variables!$A:$A,Derived_Variables!$AB:$AB,"Normal"))</f>
        <v/>
      </c>
      <c r="AM460" s="28" t="str">
        <f t="array" ref="AM460">IF($I460="","",IFS(C460="B",IF(OR(I460="NOT_READABLE",I460="BLURRY"),-AB460,0),C460="G",IFS(I460="RED_CLEARER",XLOOKUP("duochrome_red_step",Calibration!$B:$B,Calibration!$C:$C,-0.25),I460="GREEN_CLEARER",XLOOKUP("duochrome_green_step",Calibration!$B:$B,Calibration!$C:$C,0.25),I460="EQUAL",IF(XLOOKUP($B460,Derived_Variables!$A:$A,Derived_Variables!$S:$S,"Neutral")="Undercorrect",XLOOKUP("undercorrect_step",Calibration!$B:$B,Calibration!$C:$C,0.25),IF(XLOOKUP($B460,Derived_Variables!$A:$A,Derived_Variables!$S:$S,"Neutral")="Overcorrect",-XLOOKUP("overcorrect_step",Calibration!$B:$B,Calibration!$C:$C,0.25),0)),TRUE,0),C460="K",IF(I460="TOP_CLEARER",XLOOKUP("bino_balance_step",Calibration!$B:$B,Calibration!$C:$C,0.25),0),TRUE,0))</f>
        <v/>
      </c>
      <c r="AN460" s="28" t="str">
        <f t="shared" si="10"/>
        <v/>
      </c>
      <c r="AO460" s="28" t="str">
        <f t="shared" si="11"/>
        <v/>
      </c>
      <c r="AP460" s="28" t="str">
        <f t="array" ref="AP460">IF($I460="","",IFS(C460="D",IF(OR(I460="NOT_READABLE",I460="BLURRY"),-AB460,0),C460="J",IFS(I460="RED_CLEARER",XLOOKUP("duochrome_red_step",Calibration!$B:$B,Calibration!$C:$C,-0.25),I460="GREEN_CLEARER",XLOOKUP("duochrome_green_step",Calibration!$B:$B,Calibration!$C:$C,0.25),I460="EQUAL",IF(XLOOKUP($B460,Derived_Variables!$A:$A,Derived_Variables!$S:$S,"Neutral")="Undercorrect",XLOOKUP("undercorrect_step",Calibration!$B:$B,Calibration!$C:$C,0.25),IF(XLOOKUP($B460,Derived_Variables!$A:$A,Derived_Variables!$S:$S,"Neutral")="Overcorrect",-XLOOKUP("overcorrect_step",Calibration!$B:$B,Calibration!$C:$C,0.25),0)),TRUE,0),C460="K",IF(I460="BOTTOM_CLEARER",XLOOKUP("bino_balance_step",Calibration!$B:$B,Calibration!$C:$C,0.25),0),TRUE,0))</f>
        <v/>
      </c>
      <c r="AQ460" s="28" t="str">
        <f t="shared" si="12"/>
        <v/>
      </c>
      <c r="AR460" s="28" t="str">
        <f t="shared" si="13"/>
        <v/>
      </c>
      <c r="AS460" s="28" t="str">
        <f t="array" ref="AS460">IF($I460="","",IF(C460="P",IF(OR(I460="NOT_READABLE",I460="BLURRY"),XLOOKUP("near_add_step",Calibration!$B:$B,Calibration!$C:$C,0.25),0),IF(C460="R",IF(I460="NOT_CLEAR",XLOOKUP("near_add_step",Calibration!$B:$B,Calibration!$C:$C,0.25),0),0)))</f>
        <v/>
      </c>
      <c r="AT460" s="28" t="str">
        <f t="array" ref="AT460">IF($I460="","",IF(C460="Q",IF(OR(I460="NOT_READABLE",I460="BLURRY"),XLOOKUP("near_add_step",Calibration!$B:$B,Calibration!$C:$C,0.25),0),IF(C460="R",IF(I460="NOT_CLEAR",XLOOKUP("near_add_step",Calibration!$B:$B,Calibration!$C:$C,0.25),0),0)))</f>
        <v/>
      </c>
      <c r="AU460" s="28" t="str">
        <f t="array" ref="AU460">IF($I460="","",IF(G460="SNELLEN_FEET",IF(I460="READABLE",IFERROR(XLOOKUP(XLOOKUP(R460,Chart_Scale_Distance!B:B,Chart_Scale_Distance!A:A)+1,Chart_Scale_Distance!A:A,Chart_Scale_Distance!B:B),R460),R460),R460))</f>
        <v/>
      </c>
      <c r="AV460" s="28" t="str">
        <f t="array" ref="AV460">IF($I459="","",IFERROR(XLOOKUP(R460,Chart_Scale_Distance!$B:$B,Chart_Scale_Distance!$A:$A,""),""))</f>
        <v/>
      </c>
      <c r="AW460" s="28" t="str">
        <f t="array" ref="AW460">IF($I459="","",IFERROR(XLOOKUP(AA460,Chart_Scale_Distance!$B:$B,Chart_Scale_Distance!$A:$A,""),""))</f>
        <v/>
      </c>
      <c r="AX460" s="28" t="str">
        <f t="shared" si="14"/>
        <v/>
      </c>
      <c r="AY460" s="28" t="str">
        <f t="shared" si="15"/>
        <v/>
      </c>
      <c r="AZ460" s="28" t="str">
        <f t="shared" si="16"/>
        <v/>
      </c>
      <c r="BA460" s="28" t="str">
        <f t="shared" si="17"/>
        <v/>
      </c>
      <c r="BB460" s="28" t="str">
        <f t="shared" si="18"/>
        <v/>
      </c>
      <c r="BC460" s="28" t="str">
        <f t="array" ref="BC460">IF($I460="","",LET(
conf,AI460,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duoMax,XLOOKUP($B460,Derived_Variables!$A:$A,Derived_Variables!$AI:$AI,4),
axisTol,XLOOKUP($B460,Derived_Variables!$A:$A,Derived_Variables!$W:$W,1),
maxStart,XLOOKUP($B460,Derived_Variables!$A:$A,Derived_Variables!$U:$U,1.25),
maxAR,XLOOKUP($B460,Derived_Variables!$A:$A,Derived_Variables!$V:$V,3),
anom,XLOOKUP($B460,Derived_Variables!$A:$A,Derived_Variables!$Z:$Z,FALSE),
reStart,XLOOKUP($B460,Derived_Variables!$A:$A,Derived_Variables!$K:$K,0),
leStart,XLOOKUP($B460,Derived_Variables!$A:$A,Derived_Variables!$N:$N,0),
reAR,XLOOKUP($B460,AR_Input!$A:$A,AR_Input!$B:$B,reStart),
leAR,XLOOKUP($B460,AR_Input!$A:$A,AR_Input!$E:$E,leStart),
reEsc,AND(anom,OR(ABS((S460+AM460)-reStart)&gt;maxStart,ABS((S460+AM460)-reAR)&gt;maxAR)),
leEsc,AND(anom,OR(ABS((V460+AP460)-leStart)&gt;maxStart,ABS((V460+AP460)-leAR)&gt;maxAR)),
phaseMax,IFS(
 AK460="Fast",
   IFS(
     OR(C460="B",C460="D"),XLOOKUP("timeout_coarse_fast",Calibration!$B:$B,Calibration!$C:$C,24),
     OR(C460="E",C460="F",C460="H",C460="I"),XLOOKUP("timeout_jcc_fast",Calibration!$B:$B,Calibration!$C:$C,10),
     OR(C460="G",C460="J"),XLOOKUP("timeout_duochrome_fast",Calibration!$B:$B,Calibration!$C:$C,8),
     C460="K",XLOOKUP("timeout_bino_fast",Calibration!$B:$B,Calibration!$C:$C,10),
     OR(C460="P",C460="Q",C460="R"),XLOOKUP("timeout_near_fast",Calibration!$B:$B,Calibration!$C:$C,16),
     TRUE,XLOOKUP("timeout_coarse_fast",Calibration!$B:$B,Calibration!$C:$C,24)
   ),
 AK460="Normal",
   IFS(
     OR(C460="B",C460="D"),XLOOKUP("timeout_coarse_normal",Calibration!$B:$B,Calibration!$C:$C,36),
     OR(C460="E",C460="F",C460="H",C460="I"),XLOOKUP("timeout_jcc_normal",Calibration!$B:$B,Calibration!$C:$C,14),
     OR(C460="G",C460="J"),XLOOKUP("timeout_duochrome_normal",Calibration!$B:$B,Calibration!$C:$C,10),
     C460="K",XLOOKUP("timeout_bino_normal",Calibration!$B:$B,Calibration!$C:$C,14),
     OR(C460="P",C460="Q",C460="R"),XLOOKUP("timeout_near_normal",Calibration!$B:$B,Calibration!$C:$C,22),
     TRUE,XLOOKUP("timeout_coarse_normal",Calibration!$B:$B,Calibration!$C:$C,36)
   ),
 TRUE,
   IFS(
     OR(C460="B",C460="D"),XLOOKUP("timeout_coarse_slow",Calibration!$B:$B,Calibration!$C:$C,48),
     OR(C460="E",C460="F",C460="H",C460="I"),XLOOKUP("timeout_jcc_slow",Calibration!$B:$B,Calibration!$C:$C,18),
     OR(C460="G",C460="J"),XLOOKUP("timeout_duochrome_slow",Calibration!$B:$B,Calibration!$C:$C,12),
     C460="K",XLOOKUP("timeout_bino_slow",Calibration!$B:$B,Calibration!$C:$C,18),
     OR(C460="P",C460="Q",C460="R"),XLOOKUP("timeout_near_slow",Calibration!$B:$B,Calibration!$C:$C,28),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AJ460=TRUE,"ESCALATE",
C460="A",
IF(OR(I460="NOT_READABLE",I460="BLURRY",AND(R460="20_20_20",I460="READABLE")),"B","A"),
C460="B",
IF(reEsc,"ESCALATE",IF(AY460&gt;=phaseMax,"ESCALATE",IF(AND(AV460&gt;=AW460,I460="READABLE"),"E","B"))),
C460="E",
IF(AY460&gt;=phaseMax,"ESCALATE",IF(OR(I460="SAME",I460="CANT_TELL",AD460&lt;axisTol),"F","E")),
C460="F",
IF(AY460&gt;=phaseMax,"ESCALATE",IF(AX460&gt;=powerSameN,"G","F")),
C460="G",
IF(AY460&gt;=phaseMax,"ESCALATE",IF(OR(AX460&gt;=duoEqualN,BB460&gt;=duoMax),"D","G")),
C460="D",
IF(leEsc,"ESCALATE",IF(AY460&gt;=phaseMax,"ESCALATE",IF(AND(AV460&gt;=AW460,I460="READABLE"),"H","D"))),
C460="H",
IF(AY460&gt;=phaseMax,"ESCALATE",IF(OR(I460="SAME",I460="CANT_TELL",AD460&lt;axisTol),"I","H")),
C460="I",
IF(AY460&gt;=phaseMax,"ESCALATE",IF(AX460&gt;=powerSameN,"J","I")),
C460="J",
IF(AY460&gt;=phaseMax,"ESCALATE",IF(OR(AX460&gt;=duoEqualN,BB460&gt;=duoMax),"K","J")),
C460="K",
IF(AY460&gt;=phaseMax,"ESCALATE",IF(AX460&gt;=binoSameN,IF(XLOOKUP($B460,Derived_Variables!$A:$A,Derived_Variables!$AJ:$AJ,FALSE)=TRUE,"P","END"),"K")),
C460="P",
IF(AY460&gt;=phaseMax,"ESCALATE",IF(OR(I460="READABLE",I460="SAME"),"Q","P")),
C460="Q",
IF(AY460&gt;=phaseMax,"ESCALATE",IF(OR(I460="READABLE",I460="SAME"),"R","Q")),
C460="R",
IF(AY460&gt;=phaseMax,"ESCALATE",IF(OR(I460=nearTarget,I460="SAME"),"END","R")),
TRUE,"END"
)))</f>
        <v/>
      </c>
      <c r="BD460" s="28" t="b">
        <f t="shared" si="19"/>
        <v>0</v>
      </c>
    </row>
    <row r="461" ht="15.75" customHeight="1">
      <c r="A461" s="28">
        <f t="shared" si="3"/>
        <v>460</v>
      </c>
      <c r="B461" s="28">
        <f t="shared" si="4"/>
        <v>6</v>
      </c>
      <c r="C461" s="28" t="str">
        <f t="shared" si="5"/>
        <v/>
      </c>
      <c r="D461" s="28" t="str">
        <f t="array" ref="D461">IF($I460="","",XLOOKUP(C461,FSM_State_Map!A:A,FSM_State_Map!B:B,""))</f>
        <v/>
      </c>
      <c r="E461" s="28" t="str">
        <f t="array" ref="E461">IF($I460="","",XLOOKUP(C461,FSM_State_Map!A:A,FSM_State_Map!C:C,""))</f>
        <v/>
      </c>
      <c r="F461" s="28" t="str">
        <f t="array" ref="F461">IF($I460="","",XLOOKUP(E461,Phase_UI_Map!A:A,Phase_UI_Map!B:B,""))</f>
        <v/>
      </c>
      <c r="G461" s="28" t="str">
        <f t="array" ref="G461">IF($I460="","",XLOOKUP(E461,Phase_UI_Map!A:A,Phase_UI_Map!C:C,""))</f>
        <v/>
      </c>
      <c r="H461" s="28" t="str">
        <f t="array" ref="H461">IF($I460="","",XLOOKUP(E461,Phase_UI_Map!A:A,Phase_UI_Map!D:D,""))</f>
        <v/>
      </c>
      <c r="I461" s="29"/>
      <c r="J461" s="28" t="str">
        <f>IFERROR(__xludf.DUMMYFUNCTION("IF($I460="""","""",IFERROR(INDEX(FILTER(Response_Lists!$B:$B,Response_Lists!$A:$A=$H461),1),""""))"),"")</f>
        <v/>
      </c>
      <c r="K461" s="28" t="str">
        <f>IFERROR(__xludf.DUMMYFUNCTION("IF($I460="""","""",IFERROR(INDEX(FILTER(Response_Lists!$B:$B,Response_Lists!$A:$A=$H461),2),""""))"),"")</f>
        <v/>
      </c>
      <c r="L461" s="28" t="str">
        <f>IFERROR(__xludf.DUMMYFUNCTION("IF($I460="""","""",IFERROR(INDEX(FILTER(Response_Lists!$B:$B,Response_Lists!$A:$A=$H461),3),""""))"),"")</f>
        <v/>
      </c>
      <c r="M461" s="28" t="str">
        <f>IFERROR(__xludf.DUMMYFUNCTION("IF($I460="""","""",IFERROR(INDEX(FILTER(Response_Lists!$B:$B,Response_Lists!$A:$A=$H461),4),""""))"),"")</f>
        <v/>
      </c>
      <c r="N461" s="28" t="str">
        <f>IFERROR(__xludf.DUMMYFUNCTION("IF($I460="""","""",IFERROR(INDEX(FILTER(Response_Lists!$B:$B,Response_Lists!$A:$A=$H461),5),""""))"),"")</f>
        <v/>
      </c>
      <c r="O461" s="28" t="str">
        <f>IFERROR(__xludf.DUMMYFUNCTION("IF($I460="""","""",IFERROR(INDEX(FILTER(Response_Lists!$B:$B,Response_Lists!$A:$A=$H461),6),""""))"),"")</f>
        <v/>
      </c>
      <c r="P461" s="28" t="str">
        <f t="shared" si="6"/>
        <v/>
      </c>
      <c r="Q461" s="28" t="str">
        <f t="array" ref="Q461">IF($I460="","",XLOOKUP(C461,FSM_State_Map!A:A,FSM_State_Map!D:D,""))</f>
        <v/>
      </c>
      <c r="R461" s="28" t="str">
        <f t="shared" si="7"/>
        <v/>
      </c>
      <c r="S461" s="28" t="str">
        <f t="array" ref="S461">IF($I460="","",
IF(
  AND(C461="B",C460&lt;&gt;"B"),
  XLOOKUP($B461,Derived_Variables!$A:$A,Derived_Variables!$K:$K,0)
  + XLOOKUP($B461,Derived_Variables!$A:$A,Derived_Variables!$AE:$AE,0),
  S460+AM460
))</f>
        <v/>
      </c>
      <c r="T461" s="28" t="str">
        <f t="shared" ref="T461:U461" si="932">IF($I460="","",T460+AN460)</f>
        <v/>
      </c>
      <c r="U461" s="28" t="str">
        <f t="shared" si="932"/>
        <v/>
      </c>
      <c r="V461" s="28" t="str">
        <f t="array" ref="V461">IF($I460="","",
IF(
  AND(C461="D",C460&lt;&gt;"D"),
  XLOOKUP($B461,Derived_Variables!$A:$A,Derived_Variables!$N:$N,0)
  + XLOOKUP($B461,Derived_Variables!$A:$A,Derived_Variables!$AE:$AE,0),
  V460+AP460
))</f>
        <v/>
      </c>
      <c r="W461" s="28" t="str">
        <f t="shared" ref="W461:X461" si="933">IF($I460="","",W460+AQ460)</f>
        <v/>
      </c>
      <c r="X461" s="28" t="str">
        <f t="shared" si="933"/>
        <v/>
      </c>
      <c r="Y461" s="28" t="str">
        <f t="array" ref="Y461">IF($I460="","",IF(AND(C461="P",C460&lt;&gt;"P"),IFERROR(XLOOKUP($B461,Lenso_Input!$A:$A,Lenso_Input!$E:$E,0),0),Y460+AS460))</f>
        <v/>
      </c>
      <c r="Z461" s="28" t="str">
        <f t="array" ref="Z461">IF($I460="","",IF(AND(C461="Q",C460&lt;&gt;"Q"),IFERROR(XLOOKUP($B461,Lenso_Input!$A:$A,Lenso_Input!$I:$I,0),0),Z460+AT460))</f>
        <v/>
      </c>
      <c r="AA461" s="28" t="str">
        <f t="array" ref="AA461">IF($I460="","",IF(XLOOKUP($B461,Derived_Variables!$A:$A,Derived_Variables!$R:$R,"6/6_target")="6/6_target","20_20_20","40_30_25"))</f>
        <v/>
      </c>
      <c r="AB461" s="28" t="str">
        <f t="array" ref="AB461">IF($I460="","",XLOOKUP(LOWER(XLOOKUP($B461,Derived_Variables!$A:$A,Derived_Variables!$T:$T,"Standard"))&amp;"_sph_step",Calibration!$B:$B,Calibration!$C:$C,0.25))</f>
        <v/>
      </c>
      <c r="AC461" s="28" t="str">
        <f t="array" ref="AC461">IF($I460="","",XLOOKUP(LOWER(XLOOKUP($B461,Derived_Variables!$A:$A,Derived_Variables!$T:$T,"Standard"))&amp;"_cyl_step",Calibration!$B:$B,Calibration!$C:$C,0.25))</f>
        <v/>
      </c>
      <c r="AD461" s="28" t="str">
        <f t="array" ref="AD461">IF($I460="","",IF(OR(C461="E",C461="H"),LET(startStep,XLOOKUP("axis_start_step",Calibration!$B:$B,Calibration!$C:$C,5),step1,XLOOKUP("axis_reversal_step_1",Calibration!$B:$B,Calibration!$C:$C,3),step2,XLOOKUP("axis_reversal_step_2",Calibration!$B:$B,Calibration!$C:$C,1),IF(OR(C460&lt;&gt;C461,AZ461="",AZ461="SAME",AZ461="CANT_TELL",I461="",I461="SAME",I461="CANT_TELL"),startStep,IF(OR(AND(AZ461="BETTER_1",I461="BETTER_2"),AND(AZ461="BETTER_2",I461="BETTER_1")),IF(AD460&gt;step1,step1,step2),AD460))),0))</f>
        <v/>
      </c>
      <c r="AE461" s="28" t="str">
        <f t="array" ref="AE461">IF($I460="","",XLOOKUP($B461,Derived_Variables!$A:$A,Derived_Variables!$AD:$AD,"No_Fog"))</f>
        <v/>
      </c>
      <c r="AF461" s="28" t="str">
        <f t="array" ref="AF461">IF($I460="","",XLOOKUP($B461,Derived_Variables!$A:$A,Derived_Variables!$AE:$AE,0))</f>
        <v/>
      </c>
      <c r="AG461" s="28" t="str">
        <f t="array" ref="AG461">IF($I460="","",XLOOKUP($B461,Derived_Variables!$A:$A,Derived_Variables!$AF:$AF,""))</f>
        <v/>
      </c>
      <c r="AH461" s="28" t="str">
        <f t="array" ref="AH461">IF($I460="","",XLOOKUP($B461,Derived_Variables!$A:$A,Derived_Variables!$AG:$AG,""))</f>
        <v/>
      </c>
      <c r="AI461" s="28" t="str">
        <f t="array" ref="AI461">IF($I460="","",XLOOKUP($B461,Derived_Variables!$A:$A,Derived_Variables!$AC:$AC,"Medium"))</f>
        <v/>
      </c>
      <c r="AJ461" s="28" t="str">
        <f t="array" ref="AJ461">IF($I460="","",XLOOKUP($B461,Derived_Variables!$A:$A,Derived_Variables!$Y:$Y,FALSE))</f>
        <v/>
      </c>
      <c r="AK461" s="28" t="str">
        <f t="array" ref="AK461">IF($I460="","",XLOOKUP($B461,Derived_Variables!$A:$A,Derived_Variables!$AA:$AA,"Normal"))</f>
        <v/>
      </c>
      <c r="AL461" s="28" t="str">
        <f t="array" ref="AL461">IF($I460="","",XLOOKUP($B461,Derived_Variables!$A:$A,Derived_Variables!$AB:$AB,"Normal"))</f>
        <v/>
      </c>
      <c r="AM461" s="28" t="str">
        <f t="array" ref="AM461">IF($I461="","",IFS(C461="B",IF(OR(I461="NOT_READABLE",I461="BLURRY"),-AB461,0),C461="G",IFS(I461="RED_CLEARER",XLOOKUP("duochrome_red_step",Calibration!$B:$B,Calibration!$C:$C,-0.25),I461="GREEN_CLEARER",XLOOKUP("duochrome_green_step",Calibration!$B:$B,Calibration!$C:$C,0.25),I461="EQUAL",IF(XLOOKUP($B461,Derived_Variables!$A:$A,Derived_Variables!$S:$S,"Neutral")="Undercorrect",XLOOKUP("undercorrect_step",Calibration!$B:$B,Calibration!$C:$C,0.25),IF(XLOOKUP($B461,Derived_Variables!$A:$A,Derived_Variables!$S:$S,"Neutral")="Overcorrect",-XLOOKUP("overcorrect_step",Calibration!$B:$B,Calibration!$C:$C,0.25),0)),TRUE,0),C461="K",IF(I461="TOP_CLEARER",XLOOKUP("bino_balance_step",Calibration!$B:$B,Calibration!$C:$C,0.25),0),TRUE,0))</f>
        <v/>
      </c>
      <c r="AN461" s="28" t="str">
        <f t="shared" si="10"/>
        <v/>
      </c>
      <c r="AO461" s="28" t="str">
        <f t="shared" si="11"/>
        <v/>
      </c>
      <c r="AP461" s="28" t="str">
        <f t="array" ref="AP461">IF($I461="","",IFS(C461="D",IF(OR(I461="NOT_READABLE",I461="BLURRY"),-AB461,0),C461="J",IFS(I461="RED_CLEARER",XLOOKUP("duochrome_red_step",Calibration!$B:$B,Calibration!$C:$C,-0.25),I461="GREEN_CLEARER",XLOOKUP("duochrome_green_step",Calibration!$B:$B,Calibration!$C:$C,0.25),I461="EQUAL",IF(XLOOKUP($B461,Derived_Variables!$A:$A,Derived_Variables!$S:$S,"Neutral")="Undercorrect",XLOOKUP("undercorrect_step",Calibration!$B:$B,Calibration!$C:$C,0.25),IF(XLOOKUP($B461,Derived_Variables!$A:$A,Derived_Variables!$S:$S,"Neutral")="Overcorrect",-XLOOKUP("overcorrect_step",Calibration!$B:$B,Calibration!$C:$C,0.25),0)),TRUE,0),C461="K",IF(I461="BOTTOM_CLEARER",XLOOKUP("bino_balance_step",Calibration!$B:$B,Calibration!$C:$C,0.25),0),TRUE,0))</f>
        <v/>
      </c>
      <c r="AQ461" s="28" t="str">
        <f t="shared" si="12"/>
        <v/>
      </c>
      <c r="AR461" s="28" t="str">
        <f t="shared" si="13"/>
        <v/>
      </c>
      <c r="AS461" s="28" t="str">
        <f t="array" ref="AS461">IF($I461="","",IF(C461="P",IF(OR(I461="NOT_READABLE",I461="BLURRY"),XLOOKUP("near_add_step",Calibration!$B:$B,Calibration!$C:$C,0.25),0),IF(C461="R",IF(I461="NOT_CLEAR",XLOOKUP("near_add_step",Calibration!$B:$B,Calibration!$C:$C,0.25),0),0)))</f>
        <v/>
      </c>
      <c r="AT461" s="28" t="str">
        <f t="array" ref="AT461">IF($I461="","",IF(C461="Q",IF(OR(I461="NOT_READABLE",I461="BLURRY"),XLOOKUP("near_add_step",Calibration!$B:$B,Calibration!$C:$C,0.25),0),IF(C461="R",IF(I461="NOT_CLEAR",XLOOKUP("near_add_step",Calibration!$B:$B,Calibration!$C:$C,0.25),0),0)))</f>
        <v/>
      </c>
      <c r="AU461" s="28" t="str">
        <f t="array" ref="AU461">IF($I461="","",IF(G461="SNELLEN_FEET",IF(I461="READABLE",IFERROR(XLOOKUP(XLOOKUP(R461,Chart_Scale_Distance!B:B,Chart_Scale_Distance!A:A)+1,Chart_Scale_Distance!A:A,Chart_Scale_Distance!B:B),R461),R461),R461))</f>
        <v/>
      </c>
      <c r="AV461" s="28" t="str">
        <f t="array" ref="AV461">IF($I460="","",IFERROR(XLOOKUP(R461,Chart_Scale_Distance!$B:$B,Chart_Scale_Distance!$A:$A,""),""))</f>
        <v/>
      </c>
      <c r="AW461" s="28" t="str">
        <f t="array" ref="AW461">IF($I460="","",IFERROR(XLOOKUP(AA461,Chart_Scale_Distance!$B:$B,Chart_Scale_Distance!$A:$A,""),""))</f>
        <v/>
      </c>
      <c r="AX461" s="28" t="str">
        <f t="shared" si="14"/>
        <v/>
      </c>
      <c r="AY461" s="28" t="str">
        <f t="shared" si="15"/>
        <v/>
      </c>
      <c r="AZ461" s="28" t="str">
        <f t="shared" si="16"/>
        <v/>
      </c>
      <c r="BA461" s="28" t="str">
        <f t="shared" si="17"/>
        <v/>
      </c>
      <c r="BB461" s="28" t="str">
        <f t="shared" si="18"/>
        <v/>
      </c>
      <c r="BC461" s="28" t="str">
        <f t="array" ref="BC461">IF($I461="","",LET(
conf,AI461,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duoMax,XLOOKUP($B461,Derived_Variables!$A:$A,Derived_Variables!$AI:$AI,4),
axisTol,XLOOKUP($B461,Derived_Variables!$A:$A,Derived_Variables!$W:$W,1),
maxStart,XLOOKUP($B461,Derived_Variables!$A:$A,Derived_Variables!$U:$U,1.25),
maxAR,XLOOKUP($B461,Derived_Variables!$A:$A,Derived_Variables!$V:$V,3),
anom,XLOOKUP($B461,Derived_Variables!$A:$A,Derived_Variables!$Z:$Z,FALSE),
reStart,XLOOKUP($B461,Derived_Variables!$A:$A,Derived_Variables!$K:$K,0),
leStart,XLOOKUP($B461,Derived_Variables!$A:$A,Derived_Variables!$N:$N,0),
reAR,XLOOKUP($B461,AR_Input!$A:$A,AR_Input!$B:$B,reStart),
leAR,XLOOKUP($B461,AR_Input!$A:$A,AR_Input!$E:$E,leStart),
reEsc,AND(anom,OR(ABS((S461+AM461)-reStart)&gt;maxStart,ABS((S461+AM461)-reAR)&gt;maxAR)),
leEsc,AND(anom,OR(ABS((V461+AP461)-leStart)&gt;maxStart,ABS((V461+AP461)-leAR)&gt;maxAR)),
phaseMax,IFS(
 AK461="Fast",
   IFS(
     OR(C461="B",C461="D"),XLOOKUP("timeout_coarse_fast",Calibration!$B:$B,Calibration!$C:$C,24),
     OR(C461="E",C461="F",C461="H",C461="I"),XLOOKUP("timeout_jcc_fast",Calibration!$B:$B,Calibration!$C:$C,10),
     OR(C461="G",C461="J"),XLOOKUP("timeout_duochrome_fast",Calibration!$B:$B,Calibration!$C:$C,8),
     C461="K",XLOOKUP("timeout_bino_fast",Calibration!$B:$B,Calibration!$C:$C,10),
     OR(C461="P",C461="Q",C461="R"),XLOOKUP("timeout_near_fast",Calibration!$B:$B,Calibration!$C:$C,16),
     TRUE,XLOOKUP("timeout_coarse_fast",Calibration!$B:$B,Calibration!$C:$C,24)
   ),
 AK461="Normal",
   IFS(
     OR(C461="B",C461="D"),XLOOKUP("timeout_coarse_normal",Calibration!$B:$B,Calibration!$C:$C,36),
     OR(C461="E",C461="F",C461="H",C461="I"),XLOOKUP("timeout_jcc_normal",Calibration!$B:$B,Calibration!$C:$C,14),
     OR(C461="G",C461="J"),XLOOKUP("timeout_duochrome_normal",Calibration!$B:$B,Calibration!$C:$C,10),
     C461="K",XLOOKUP("timeout_bino_normal",Calibration!$B:$B,Calibration!$C:$C,14),
     OR(C461="P",C461="Q",C461="R"),XLOOKUP("timeout_near_normal",Calibration!$B:$B,Calibration!$C:$C,22),
     TRUE,XLOOKUP("timeout_coarse_normal",Calibration!$B:$B,Calibration!$C:$C,36)
   ),
 TRUE,
   IFS(
     OR(C461="B",C461="D"),XLOOKUP("timeout_coarse_slow",Calibration!$B:$B,Calibration!$C:$C,48),
     OR(C461="E",C461="F",C461="H",C461="I"),XLOOKUP("timeout_jcc_slow",Calibration!$B:$B,Calibration!$C:$C,18),
     OR(C461="G",C461="J"),XLOOKUP("timeout_duochrome_slow",Calibration!$B:$B,Calibration!$C:$C,12),
     C461="K",XLOOKUP("timeout_bino_slow",Calibration!$B:$B,Calibration!$C:$C,18),
     OR(C461="P",C461="Q",C461="R"),XLOOKUP("timeout_near_slow",Calibration!$B:$B,Calibration!$C:$C,28),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AJ461=TRUE,"ESCALATE",
C461="A",
IF(OR(I461="NOT_READABLE",I461="BLURRY",AND(R461="20_20_20",I461="READABLE")),"B","A"),
C461="B",
IF(reEsc,"ESCALATE",IF(AY461&gt;=phaseMax,"ESCALATE",IF(AND(AV461&gt;=AW461,I461="READABLE"),"E","B"))),
C461="E",
IF(AY461&gt;=phaseMax,"ESCALATE",IF(OR(I461="SAME",I461="CANT_TELL",AD461&lt;axisTol),"F","E")),
C461="F",
IF(AY461&gt;=phaseMax,"ESCALATE",IF(AX461&gt;=powerSameN,"G","F")),
C461="G",
IF(AY461&gt;=phaseMax,"ESCALATE",IF(OR(AX461&gt;=duoEqualN,BB461&gt;=duoMax),"D","G")),
C461="D",
IF(leEsc,"ESCALATE",IF(AY461&gt;=phaseMax,"ESCALATE",IF(AND(AV461&gt;=AW461,I461="READABLE"),"H","D"))),
C461="H",
IF(AY461&gt;=phaseMax,"ESCALATE",IF(OR(I461="SAME",I461="CANT_TELL",AD461&lt;axisTol),"I","H")),
C461="I",
IF(AY461&gt;=phaseMax,"ESCALATE",IF(AX461&gt;=powerSameN,"J","I")),
C461="J",
IF(AY461&gt;=phaseMax,"ESCALATE",IF(OR(AX461&gt;=duoEqualN,BB461&gt;=duoMax),"K","J")),
C461="K",
IF(AY461&gt;=phaseMax,"ESCALATE",IF(AX461&gt;=binoSameN,IF(XLOOKUP($B461,Derived_Variables!$A:$A,Derived_Variables!$AJ:$AJ,FALSE)=TRUE,"P","END"),"K")),
C461="P",
IF(AY461&gt;=phaseMax,"ESCALATE",IF(OR(I461="READABLE",I461="SAME"),"Q","P")),
C461="Q",
IF(AY461&gt;=phaseMax,"ESCALATE",IF(OR(I461="READABLE",I461="SAME"),"R","Q")),
C461="R",
IF(AY461&gt;=phaseMax,"ESCALATE",IF(OR(I461=nearTarget,I461="SAME"),"END","R")),
TRUE,"END"
)))</f>
        <v/>
      </c>
      <c r="BD461" s="28" t="b">
        <f t="shared" si="19"/>
        <v>0</v>
      </c>
    </row>
    <row r="462" ht="15.75" customHeight="1">
      <c r="A462" s="28">
        <f t="shared" si="3"/>
        <v>461</v>
      </c>
      <c r="B462" s="28">
        <f t="shared" si="4"/>
        <v>6</v>
      </c>
      <c r="C462" s="28" t="str">
        <f t="shared" si="5"/>
        <v/>
      </c>
      <c r="D462" s="28" t="str">
        <f t="array" ref="D462">IF($I461="","",XLOOKUP(C462,FSM_State_Map!A:A,FSM_State_Map!B:B,""))</f>
        <v/>
      </c>
      <c r="E462" s="28" t="str">
        <f t="array" ref="E462">IF($I461="","",XLOOKUP(C462,FSM_State_Map!A:A,FSM_State_Map!C:C,""))</f>
        <v/>
      </c>
      <c r="F462" s="28" t="str">
        <f t="array" ref="F462">IF($I461="","",XLOOKUP(E462,Phase_UI_Map!A:A,Phase_UI_Map!B:B,""))</f>
        <v/>
      </c>
      <c r="G462" s="28" t="str">
        <f t="array" ref="G462">IF($I461="","",XLOOKUP(E462,Phase_UI_Map!A:A,Phase_UI_Map!C:C,""))</f>
        <v/>
      </c>
      <c r="H462" s="28" t="str">
        <f t="array" ref="H462">IF($I461="","",XLOOKUP(E462,Phase_UI_Map!A:A,Phase_UI_Map!D:D,""))</f>
        <v/>
      </c>
      <c r="I462" s="29"/>
      <c r="J462" s="28" t="str">
        <f>IFERROR(__xludf.DUMMYFUNCTION("IF($I461="""","""",IFERROR(INDEX(FILTER(Response_Lists!$B:$B,Response_Lists!$A:$A=$H462),1),""""))"),"")</f>
        <v/>
      </c>
      <c r="K462" s="28" t="str">
        <f>IFERROR(__xludf.DUMMYFUNCTION("IF($I461="""","""",IFERROR(INDEX(FILTER(Response_Lists!$B:$B,Response_Lists!$A:$A=$H462),2),""""))"),"")</f>
        <v/>
      </c>
      <c r="L462" s="28" t="str">
        <f>IFERROR(__xludf.DUMMYFUNCTION("IF($I461="""","""",IFERROR(INDEX(FILTER(Response_Lists!$B:$B,Response_Lists!$A:$A=$H462),3),""""))"),"")</f>
        <v/>
      </c>
      <c r="M462" s="28" t="str">
        <f>IFERROR(__xludf.DUMMYFUNCTION("IF($I461="""","""",IFERROR(INDEX(FILTER(Response_Lists!$B:$B,Response_Lists!$A:$A=$H462),4),""""))"),"")</f>
        <v/>
      </c>
      <c r="N462" s="28" t="str">
        <f>IFERROR(__xludf.DUMMYFUNCTION("IF($I461="""","""",IFERROR(INDEX(FILTER(Response_Lists!$B:$B,Response_Lists!$A:$A=$H462),5),""""))"),"")</f>
        <v/>
      </c>
      <c r="O462" s="28" t="str">
        <f>IFERROR(__xludf.DUMMYFUNCTION("IF($I461="""","""",IFERROR(INDEX(FILTER(Response_Lists!$B:$B,Response_Lists!$A:$A=$H462),6),""""))"),"")</f>
        <v/>
      </c>
      <c r="P462" s="28" t="str">
        <f t="shared" si="6"/>
        <v/>
      </c>
      <c r="Q462" s="28" t="str">
        <f t="array" ref="Q462">IF($I461="","",XLOOKUP(C462,FSM_State_Map!A:A,FSM_State_Map!D:D,""))</f>
        <v/>
      </c>
      <c r="R462" s="28" t="str">
        <f t="shared" si="7"/>
        <v/>
      </c>
      <c r="S462" s="28" t="str">
        <f t="array" ref="S462">IF($I461="","",
IF(
  AND(C462="B",C461&lt;&gt;"B"),
  XLOOKUP($B462,Derived_Variables!$A:$A,Derived_Variables!$K:$K,0)
  + XLOOKUP($B462,Derived_Variables!$A:$A,Derived_Variables!$AE:$AE,0),
  S461+AM461
))</f>
        <v/>
      </c>
      <c r="T462" s="28" t="str">
        <f t="shared" ref="T462:U462" si="934">IF($I461="","",T461+AN461)</f>
        <v/>
      </c>
      <c r="U462" s="28" t="str">
        <f t="shared" si="934"/>
        <v/>
      </c>
      <c r="V462" s="28" t="str">
        <f t="array" ref="V462">IF($I461="","",
IF(
  AND(C462="D",C461&lt;&gt;"D"),
  XLOOKUP($B462,Derived_Variables!$A:$A,Derived_Variables!$N:$N,0)
  + XLOOKUP($B462,Derived_Variables!$A:$A,Derived_Variables!$AE:$AE,0),
  V461+AP461
))</f>
        <v/>
      </c>
      <c r="W462" s="28" t="str">
        <f t="shared" ref="W462:X462" si="935">IF($I461="","",W461+AQ461)</f>
        <v/>
      </c>
      <c r="X462" s="28" t="str">
        <f t="shared" si="935"/>
        <v/>
      </c>
      <c r="Y462" s="28" t="str">
        <f t="array" ref="Y462">IF($I461="","",IF(AND(C462="P",C461&lt;&gt;"P"),IFERROR(XLOOKUP($B462,Lenso_Input!$A:$A,Lenso_Input!$E:$E,0),0),Y461+AS461))</f>
        <v/>
      </c>
      <c r="Z462" s="28" t="str">
        <f t="array" ref="Z462">IF($I461="","",IF(AND(C462="Q",C461&lt;&gt;"Q"),IFERROR(XLOOKUP($B462,Lenso_Input!$A:$A,Lenso_Input!$I:$I,0),0),Z461+AT461))</f>
        <v/>
      </c>
      <c r="AA462" s="28" t="str">
        <f t="array" ref="AA462">IF($I461="","",IF(XLOOKUP($B462,Derived_Variables!$A:$A,Derived_Variables!$R:$R,"6/6_target")="6/6_target","20_20_20","40_30_25"))</f>
        <v/>
      </c>
      <c r="AB462" s="28" t="str">
        <f t="array" ref="AB462">IF($I461="","",XLOOKUP(LOWER(XLOOKUP($B462,Derived_Variables!$A:$A,Derived_Variables!$T:$T,"Standard"))&amp;"_sph_step",Calibration!$B:$B,Calibration!$C:$C,0.25))</f>
        <v/>
      </c>
      <c r="AC462" s="28" t="str">
        <f t="array" ref="AC462">IF($I461="","",XLOOKUP(LOWER(XLOOKUP($B462,Derived_Variables!$A:$A,Derived_Variables!$T:$T,"Standard"))&amp;"_cyl_step",Calibration!$B:$B,Calibration!$C:$C,0.25))</f>
        <v/>
      </c>
      <c r="AD462" s="28" t="str">
        <f t="array" ref="AD462">IF($I461="","",IF(OR(C462="E",C462="H"),LET(startStep,XLOOKUP("axis_start_step",Calibration!$B:$B,Calibration!$C:$C,5),step1,XLOOKUP("axis_reversal_step_1",Calibration!$B:$B,Calibration!$C:$C,3),step2,XLOOKUP("axis_reversal_step_2",Calibration!$B:$B,Calibration!$C:$C,1),IF(OR(C461&lt;&gt;C462,AZ462="",AZ462="SAME",AZ462="CANT_TELL",I462="",I462="SAME",I462="CANT_TELL"),startStep,IF(OR(AND(AZ462="BETTER_1",I462="BETTER_2"),AND(AZ462="BETTER_2",I462="BETTER_1")),IF(AD461&gt;step1,step1,step2),AD461))),0))</f>
        <v/>
      </c>
      <c r="AE462" s="28" t="str">
        <f t="array" ref="AE462">IF($I461="","",XLOOKUP($B462,Derived_Variables!$A:$A,Derived_Variables!$AD:$AD,"No_Fog"))</f>
        <v/>
      </c>
      <c r="AF462" s="28" t="str">
        <f t="array" ref="AF462">IF($I461="","",XLOOKUP($B462,Derived_Variables!$A:$A,Derived_Variables!$AE:$AE,0))</f>
        <v/>
      </c>
      <c r="AG462" s="28" t="str">
        <f t="array" ref="AG462">IF($I461="","",XLOOKUP($B462,Derived_Variables!$A:$A,Derived_Variables!$AF:$AF,""))</f>
        <v/>
      </c>
      <c r="AH462" s="28" t="str">
        <f t="array" ref="AH462">IF($I461="","",XLOOKUP($B462,Derived_Variables!$A:$A,Derived_Variables!$AG:$AG,""))</f>
        <v/>
      </c>
      <c r="AI462" s="28" t="str">
        <f t="array" ref="AI462">IF($I461="","",XLOOKUP($B462,Derived_Variables!$A:$A,Derived_Variables!$AC:$AC,"Medium"))</f>
        <v/>
      </c>
      <c r="AJ462" s="28" t="str">
        <f t="array" ref="AJ462">IF($I461="","",XLOOKUP($B462,Derived_Variables!$A:$A,Derived_Variables!$Y:$Y,FALSE))</f>
        <v/>
      </c>
      <c r="AK462" s="28" t="str">
        <f t="array" ref="AK462">IF($I461="","",XLOOKUP($B462,Derived_Variables!$A:$A,Derived_Variables!$AA:$AA,"Normal"))</f>
        <v/>
      </c>
      <c r="AL462" s="28" t="str">
        <f t="array" ref="AL462">IF($I461="","",XLOOKUP($B462,Derived_Variables!$A:$A,Derived_Variables!$AB:$AB,"Normal"))</f>
        <v/>
      </c>
      <c r="AM462" s="28" t="str">
        <f t="array" ref="AM462">IF($I462="","",IFS(C462="B",IF(OR(I462="NOT_READABLE",I462="BLURRY"),-AB462,0),C462="G",IFS(I462="RED_CLEARER",XLOOKUP("duochrome_red_step",Calibration!$B:$B,Calibration!$C:$C,-0.25),I462="GREEN_CLEARER",XLOOKUP("duochrome_green_step",Calibration!$B:$B,Calibration!$C:$C,0.25),I462="EQUAL",IF(XLOOKUP($B462,Derived_Variables!$A:$A,Derived_Variables!$S:$S,"Neutral")="Undercorrect",XLOOKUP("undercorrect_step",Calibration!$B:$B,Calibration!$C:$C,0.25),IF(XLOOKUP($B462,Derived_Variables!$A:$A,Derived_Variables!$S:$S,"Neutral")="Overcorrect",-XLOOKUP("overcorrect_step",Calibration!$B:$B,Calibration!$C:$C,0.25),0)),TRUE,0),C462="K",IF(I462="TOP_CLEARER",XLOOKUP("bino_balance_step",Calibration!$B:$B,Calibration!$C:$C,0.25),0),TRUE,0))</f>
        <v/>
      </c>
      <c r="AN462" s="28" t="str">
        <f t="shared" si="10"/>
        <v/>
      </c>
      <c r="AO462" s="28" t="str">
        <f t="shared" si="11"/>
        <v/>
      </c>
      <c r="AP462" s="28" t="str">
        <f t="array" ref="AP462">IF($I462="","",IFS(C462="D",IF(OR(I462="NOT_READABLE",I462="BLURRY"),-AB462,0),C462="J",IFS(I462="RED_CLEARER",XLOOKUP("duochrome_red_step",Calibration!$B:$B,Calibration!$C:$C,-0.25),I462="GREEN_CLEARER",XLOOKUP("duochrome_green_step",Calibration!$B:$B,Calibration!$C:$C,0.25),I462="EQUAL",IF(XLOOKUP($B462,Derived_Variables!$A:$A,Derived_Variables!$S:$S,"Neutral")="Undercorrect",XLOOKUP("undercorrect_step",Calibration!$B:$B,Calibration!$C:$C,0.25),IF(XLOOKUP($B462,Derived_Variables!$A:$A,Derived_Variables!$S:$S,"Neutral")="Overcorrect",-XLOOKUP("overcorrect_step",Calibration!$B:$B,Calibration!$C:$C,0.25),0)),TRUE,0),C462="K",IF(I462="BOTTOM_CLEARER",XLOOKUP("bino_balance_step",Calibration!$B:$B,Calibration!$C:$C,0.25),0),TRUE,0))</f>
        <v/>
      </c>
      <c r="AQ462" s="28" t="str">
        <f t="shared" si="12"/>
        <v/>
      </c>
      <c r="AR462" s="28" t="str">
        <f t="shared" si="13"/>
        <v/>
      </c>
      <c r="AS462" s="28" t="str">
        <f t="array" ref="AS462">IF($I462="","",IF(C462="P",IF(OR(I462="NOT_READABLE",I462="BLURRY"),XLOOKUP("near_add_step",Calibration!$B:$B,Calibration!$C:$C,0.25),0),IF(C462="R",IF(I462="NOT_CLEAR",XLOOKUP("near_add_step",Calibration!$B:$B,Calibration!$C:$C,0.25),0),0)))</f>
        <v/>
      </c>
      <c r="AT462" s="28" t="str">
        <f t="array" ref="AT462">IF($I462="","",IF(C462="Q",IF(OR(I462="NOT_READABLE",I462="BLURRY"),XLOOKUP("near_add_step",Calibration!$B:$B,Calibration!$C:$C,0.25),0),IF(C462="R",IF(I462="NOT_CLEAR",XLOOKUP("near_add_step",Calibration!$B:$B,Calibration!$C:$C,0.25),0),0)))</f>
        <v/>
      </c>
      <c r="AU462" s="28" t="str">
        <f t="array" ref="AU462">IF($I462="","",IF(G462="SNELLEN_FEET",IF(I462="READABLE",IFERROR(XLOOKUP(XLOOKUP(R462,Chart_Scale_Distance!B:B,Chart_Scale_Distance!A:A)+1,Chart_Scale_Distance!A:A,Chart_Scale_Distance!B:B),R462),R462),R462))</f>
        <v/>
      </c>
      <c r="AV462" s="28" t="str">
        <f t="array" ref="AV462">IF($I461="","",IFERROR(XLOOKUP(R462,Chart_Scale_Distance!$B:$B,Chart_Scale_Distance!$A:$A,""),""))</f>
        <v/>
      </c>
      <c r="AW462" s="28" t="str">
        <f t="array" ref="AW462">IF($I461="","",IFERROR(XLOOKUP(AA462,Chart_Scale_Distance!$B:$B,Chart_Scale_Distance!$A:$A,""),""))</f>
        <v/>
      </c>
      <c r="AX462" s="28" t="str">
        <f t="shared" si="14"/>
        <v/>
      </c>
      <c r="AY462" s="28" t="str">
        <f t="shared" si="15"/>
        <v/>
      </c>
      <c r="AZ462" s="28" t="str">
        <f t="shared" si="16"/>
        <v/>
      </c>
      <c r="BA462" s="28" t="str">
        <f t="shared" si="17"/>
        <v/>
      </c>
      <c r="BB462" s="28" t="str">
        <f t="shared" si="18"/>
        <v/>
      </c>
      <c r="BC462" s="28" t="str">
        <f t="array" ref="BC462">IF($I462="","",LET(
conf,AI462,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duoMax,XLOOKUP($B462,Derived_Variables!$A:$A,Derived_Variables!$AI:$AI,4),
axisTol,XLOOKUP($B462,Derived_Variables!$A:$A,Derived_Variables!$W:$W,1),
maxStart,XLOOKUP($B462,Derived_Variables!$A:$A,Derived_Variables!$U:$U,1.25),
maxAR,XLOOKUP($B462,Derived_Variables!$A:$A,Derived_Variables!$V:$V,3),
anom,XLOOKUP($B462,Derived_Variables!$A:$A,Derived_Variables!$Z:$Z,FALSE),
reStart,XLOOKUP($B462,Derived_Variables!$A:$A,Derived_Variables!$K:$K,0),
leStart,XLOOKUP($B462,Derived_Variables!$A:$A,Derived_Variables!$N:$N,0),
reAR,XLOOKUP($B462,AR_Input!$A:$A,AR_Input!$B:$B,reStart),
leAR,XLOOKUP($B462,AR_Input!$A:$A,AR_Input!$E:$E,leStart),
reEsc,AND(anom,OR(ABS((S462+AM462)-reStart)&gt;maxStart,ABS((S462+AM462)-reAR)&gt;maxAR)),
leEsc,AND(anom,OR(ABS((V462+AP462)-leStart)&gt;maxStart,ABS((V462+AP462)-leAR)&gt;maxAR)),
phaseMax,IFS(
 AK462="Fast",
   IFS(
     OR(C462="B",C462="D"),XLOOKUP("timeout_coarse_fast",Calibration!$B:$B,Calibration!$C:$C,24),
     OR(C462="E",C462="F",C462="H",C462="I"),XLOOKUP("timeout_jcc_fast",Calibration!$B:$B,Calibration!$C:$C,10),
     OR(C462="G",C462="J"),XLOOKUP("timeout_duochrome_fast",Calibration!$B:$B,Calibration!$C:$C,8),
     C462="K",XLOOKUP("timeout_bino_fast",Calibration!$B:$B,Calibration!$C:$C,10),
     OR(C462="P",C462="Q",C462="R"),XLOOKUP("timeout_near_fast",Calibration!$B:$B,Calibration!$C:$C,16),
     TRUE,XLOOKUP("timeout_coarse_fast",Calibration!$B:$B,Calibration!$C:$C,24)
   ),
 AK462="Normal",
   IFS(
     OR(C462="B",C462="D"),XLOOKUP("timeout_coarse_normal",Calibration!$B:$B,Calibration!$C:$C,36),
     OR(C462="E",C462="F",C462="H",C462="I"),XLOOKUP("timeout_jcc_normal",Calibration!$B:$B,Calibration!$C:$C,14),
     OR(C462="G",C462="J"),XLOOKUP("timeout_duochrome_normal",Calibration!$B:$B,Calibration!$C:$C,10),
     C462="K",XLOOKUP("timeout_bino_normal",Calibration!$B:$B,Calibration!$C:$C,14),
     OR(C462="P",C462="Q",C462="R"),XLOOKUP("timeout_near_normal",Calibration!$B:$B,Calibration!$C:$C,22),
     TRUE,XLOOKUP("timeout_coarse_normal",Calibration!$B:$B,Calibration!$C:$C,36)
   ),
 TRUE,
   IFS(
     OR(C462="B",C462="D"),XLOOKUP("timeout_coarse_slow",Calibration!$B:$B,Calibration!$C:$C,48),
     OR(C462="E",C462="F",C462="H",C462="I"),XLOOKUP("timeout_jcc_slow",Calibration!$B:$B,Calibration!$C:$C,18),
     OR(C462="G",C462="J"),XLOOKUP("timeout_duochrome_slow",Calibration!$B:$B,Calibration!$C:$C,12),
     C462="K",XLOOKUP("timeout_bino_slow",Calibration!$B:$B,Calibration!$C:$C,18),
     OR(C462="P",C462="Q",C462="R"),XLOOKUP("timeout_near_slow",Calibration!$B:$B,Calibration!$C:$C,28),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AJ462=TRUE,"ESCALATE",
C462="A",
IF(OR(I462="NOT_READABLE",I462="BLURRY",AND(R462="20_20_20",I462="READABLE")),"B","A"),
C462="B",
IF(reEsc,"ESCALATE",IF(AY462&gt;=phaseMax,"ESCALATE",IF(AND(AV462&gt;=AW462,I462="READABLE"),"E","B"))),
C462="E",
IF(AY462&gt;=phaseMax,"ESCALATE",IF(OR(I462="SAME",I462="CANT_TELL",AD462&lt;axisTol),"F","E")),
C462="F",
IF(AY462&gt;=phaseMax,"ESCALATE",IF(AX462&gt;=powerSameN,"G","F")),
C462="G",
IF(AY462&gt;=phaseMax,"ESCALATE",IF(OR(AX462&gt;=duoEqualN,BB462&gt;=duoMax),"D","G")),
C462="D",
IF(leEsc,"ESCALATE",IF(AY462&gt;=phaseMax,"ESCALATE",IF(AND(AV462&gt;=AW462,I462="READABLE"),"H","D"))),
C462="H",
IF(AY462&gt;=phaseMax,"ESCALATE",IF(OR(I462="SAME",I462="CANT_TELL",AD462&lt;axisTol),"I","H")),
C462="I",
IF(AY462&gt;=phaseMax,"ESCALATE",IF(AX462&gt;=powerSameN,"J","I")),
C462="J",
IF(AY462&gt;=phaseMax,"ESCALATE",IF(OR(AX462&gt;=duoEqualN,BB462&gt;=duoMax),"K","J")),
C462="K",
IF(AY462&gt;=phaseMax,"ESCALATE",IF(AX462&gt;=binoSameN,IF(XLOOKUP($B462,Derived_Variables!$A:$A,Derived_Variables!$AJ:$AJ,FALSE)=TRUE,"P","END"),"K")),
C462="P",
IF(AY462&gt;=phaseMax,"ESCALATE",IF(OR(I462="READABLE",I462="SAME"),"Q","P")),
C462="Q",
IF(AY462&gt;=phaseMax,"ESCALATE",IF(OR(I462="READABLE",I462="SAME"),"R","Q")),
C462="R",
IF(AY462&gt;=phaseMax,"ESCALATE",IF(OR(I462=nearTarget,I462="SAME"),"END","R")),
TRUE,"END"
)))</f>
        <v/>
      </c>
      <c r="BD462" s="28" t="b">
        <f t="shared" si="19"/>
        <v>0</v>
      </c>
    </row>
    <row r="463" ht="15.75" customHeight="1">
      <c r="A463" s="28">
        <f t="shared" si="3"/>
        <v>462</v>
      </c>
      <c r="B463" s="28">
        <f t="shared" si="4"/>
        <v>6</v>
      </c>
      <c r="C463" s="28" t="str">
        <f t="shared" si="5"/>
        <v/>
      </c>
      <c r="D463" s="28" t="str">
        <f t="array" ref="D463">IF($I462="","",XLOOKUP(C463,FSM_State_Map!A:A,FSM_State_Map!B:B,""))</f>
        <v/>
      </c>
      <c r="E463" s="28" t="str">
        <f t="array" ref="E463">IF($I462="","",XLOOKUP(C463,FSM_State_Map!A:A,FSM_State_Map!C:C,""))</f>
        <v/>
      </c>
      <c r="F463" s="28" t="str">
        <f t="array" ref="F463">IF($I462="","",XLOOKUP(E463,Phase_UI_Map!A:A,Phase_UI_Map!B:B,""))</f>
        <v/>
      </c>
      <c r="G463" s="28" t="str">
        <f t="array" ref="G463">IF($I462="","",XLOOKUP(E463,Phase_UI_Map!A:A,Phase_UI_Map!C:C,""))</f>
        <v/>
      </c>
      <c r="H463" s="28" t="str">
        <f t="array" ref="H463">IF($I462="","",XLOOKUP(E463,Phase_UI_Map!A:A,Phase_UI_Map!D:D,""))</f>
        <v/>
      </c>
      <c r="I463" s="29"/>
      <c r="J463" s="28" t="str">
        <f>IFERROR(__xludf.DUMMYFUNCTION("IF($I462="""","""",IFERROR(INDEX(FILTER(Response_Lists!$B:$B,Response_Lists!$A:$A=$H463),1),""""))"),"")</f>
        <v/>
      </c>
      <c r="K463" s="28" t="str">
        <f>IFERROR(__xludf.DUMMYFUNCTION("IF($I462="""","""",IFERROR(INDEX(FILTER(Response_Lists!$B:$B,Response_Lists!$A:$A=$H463),2),""""))"),"")</f>
        <v/>
      </c>
      <c r="L463" s="28" t="str">
        <f>IFERROR(__xludf.DUMMYFUNCTION("IF($I462="""","""",IFERROR(INDEX(FILTER(Response_Lists!$B:$B,Response_Lists!$A:$A=$H463),3),""""))"),"")</f>
        <v/>
      </c>
      <c r="M463" s="28" t="str">
        <f>IFERROR(__xludf.DUMMYFUNCTION("IF($I462="""","""",IFERROR(INDEX(FILTER(Response_Lists!$B:$B,Response_Lists!$A:$A=$H463),4),""""))"),"")</f>
        <v/>
      </c>
      <c r="N463" s="28" t="str">
        <f>IFERROR(__xludf.DUMMYFUNCTION("IF($I462="""","""",IFERROR(INDEX(FILTER(Response_Lists!$B:$B,Response_Lists!$A:$A=$H463),5),""""))"),"")</f>
        <v/>
      </c>
      <c r="O463" s="28" t="str">
        <f>IFERROR(__xludf.DUMMYFUNCTION("IF($I462="""","""",IFERROR(INDEX(FILTER(Response_Lists!$B:$B,Response_Lists!$A:$A=$H463),6),""""))"),"")</f>
        <v/>
      </c>
      <c r="P463" s="28" t="str">
        <f t="shared" si="6"/>
        <v/>
      </c>
      <c r="Q463" s="28" t="str">
        <f t="array" ref="Q463">IF($I462="","",XLOOKUP(C463,FSM_State_Map!A:A,FSM_State_Map!D:D,""))</f>
        <v/>
      </c>
      <c r="R463" s="28" t="str">
        <f t="shared" si="7"/>
        <v/>
      </c>
      <c r="S463" s="28" t="str">
        <f t="array" ref="S463">IF($I462="","",
IF(
  AND(C463="B",C462&lt;&gt;"B"),
  XLOOKUP($B463,Derived_Variables!$A:$A,Derived_Variables!$K:$K,0)
  + XLOOKUP($B463,Derived_Variables!$A:$A,Derived_Variables!$AE:$AE,0),
  S462+AM462
))</f>
        <v/>
      </c>
      <c r="T463" s="28" t="str">
        <f t="shared" ref="T463:U463" si="936">IF($I462="","",T462+AN462)</f>
        <v/>
      </c>
      <c r="U463" s="28" t="str">
        <f t="shared" si="936"/>
        <v/>
      </c>
      <c r="V463" s="28" t="str">
        <f t="array" ref="V463">IF($I462="","",
IF(
  AND(C463="D",C462&lt;&gt;"D"),
  XLOOKUP($B463,Derived_Variables!$A:$A,Derived_Variables!$N:$N,0)
  + XLOOKUP($B463,Derived_Variables!$A:$A,Derived_Variables!$AE:$AE,0),
  V462+AP462
))</f>
        <v/>
      </c>
      <c r="W463" s="28" t="str">
        <f t="shared" ref="W463:X463" si="937">IF($I462="","",W462+AQ462)</f>
        <v/>
      </c>
      <c r="X463" s="28" t="str">
        <f t="shared" si="937"/>
        <v/>
      </c>
      <c r="Y463" s="28" t="str">
        <f t="array" ref="Y463">IF($I462="","",IF(AND(C463="P",C462&lt;&gt;"P"),IFERROR(XLOOKUP($B463,Lenso_Input!$A:$A,Lenso_Input!$E:$E,0),0),Y462+AS462))</f>
        <v/>
      </c>
      <c r="Z463" s="28" t="str">
        <f t="array" ref="Z463">IF($I462="","",IF(AND(C463="Q",C462&lt;&gt;"Q"),IFERROR(XLOOKUP($B463,Lenso_Input!$A:$A,Lenso_Input!$I:$I,0),0),Z462+AT462))</f>
        <v/>
      </c>
      <c r="AA463" s="28" t="str">
        <f t="array" ref="AA463">IF($I462="","",IF(XLOOKUP($B463,Derived_Variables!$A:$A,Derived_Variables!$R:$R,"6/6_target")="6/6_target","20_20_20","40_30_25"))</f>
        <v/>
      </c>
      <c r="AB463" s="28" t="str">
        <f t="array" ref="AB463">IF($I462="","",XLOOKUP(LOWER(XLOOKUP($B463,Derived_Variables!$A:$A,Derived_Variables!$T:$T,"Standard"))&amp;"_sph_step",Calibration!$B:$B,Calibration!$C:$C,0.25))</f>
        <v/>
      </c>
      <c r="AC463" s="28" t="str">
        <f t="array" ref="AC463">IF($I462="","",XLOOKUP(LOWER(XLOOKUP($B463,Derived_Variables!$A:$A,Derived_Variables!$T:$T,"Standard"))&amp;"_cyl_step",Calibration!$B:$B,Calibration!$C:$C,0.25))</f>
        <v/>
      </c>
      <c r="AD463" s="28" t="str">
        <f t="array" ref="AD463">IF($I462="","",IF(OR(C463="E",C463="H"),LET(startStep,XLOOKUP("axis_start_step",Calibration!$B:$B,Calibration!$C:$C,5),step1,XLOOKUP("axis_reversal_step_1",Calibration!$B:$B,Calibration!$C:$C,3),step2,XLOOKUP("axis_reversal_step_2",Calibration!$B:$B,Calibration!$C:$C,1),IF(OR(C462&lt;&gt;C463,AZ463="",AZ463="SAME",AZ463="CANT_TELL",I463="",I463="SAME",I463="CANT_TELL"),startStep,IF(OR(AND(AZ463="BETTER_1",I463="BETTER_2"),AND(AZ463="BETTER_2",I463="BETTER_1")),IF(AD462&gt;step1,step1,step2),AD462))),0))</f>
        <v/>
      </c>
      <c r="AE463" s="28" t="str">
        <f t="array" ref="AE463">IF($I462="","",XLOOKUP($B463,Derived_Variables!$A:$A,Derived_Variables!$AD:$AD,"No_Fog"))</f>
        <v/>
      </c>
      <c r="AF463" s="28" t="str">
        <f t="array" ref="AF463">IF($I462="","",XLOOKUP($B463,Derived_Variables!$A:$A,Derived_Variables!$AE:$AE,0))</f>
        <v/>
      </c>
      <c r="AG463" s="28" t="str">
        <f t="array" ref="AG463">IF($I462="","",XLOOKUP($B463,Derived_Variables!$A:$A,Derived_Variables!$AF:$AF,""))</f>
        <v/>
      </c>
      <c r="AH463" s="28" t="str">
        <f t="array" ref="AH463">IF($I462="","",XLOOKUP($B463,Derived_Variables!$A:$A,Derived_Variables!$AG:$AG,""))</f>
        <v/>
      </c>
      <c r="AI463" s="28" t="str">
        <f t="array" ref="AI463">IF($I462="","",XLOOKUP($B463,Derived_Variables!$A:$A,Derived_Variables!$AC:$AC,"Medium"))</f>
        <v/>
      </c>
      <c r="AJ463" s="28" t="str">
        <f t="array" ref="AJ463">IF($I462="","",XLOOKUP($B463,Derived_Variables!$A:$A,Derived_Variables!$Y:$Y,FALSE))</f>
        <v/>
      </c>
      <c r="AK463" s="28" t="str">
        <f t="array" ref="AK463">IF($I462="","",XLOOKUP($B463,Derived_Variables!$A:$A,Derived_Variables!$AA:$AA,"Normal"))</f>
        <v/>
      </c>
      <c r="AL463" s="28" t="str">
        <f t="array" ref="AL463">IF($I462="","",XLOOKUP($B463,Derived_Variables!$A:$A,Derived_Variables!$AB:$AB,"Normal"))</f>
        <v/>
      </c>
      <c r="AM463" s="28" t="str">
        <f t="array" ref="AM463">IF($I463="","",IFS(C463="B",IF(OR(I463="NOT_READABLE",I463="BLURRY"),-AB463,0),C463="G",IFS(I463="RED_CLEARER",XLOOKUP("duochrome_red_step",Calibration!$B:$B,Calibration!$C:$C,-0.25),I463="GREEN_CLEARER",XLOOKUP("duochrome_green_step",Calibration!$B:$B,Calibration!$C:$C,0.25),I463="EQUAL",IF(XLOOKUP($B463,Derived_Variables!$A:$A,Derived_Variables!$S:$S,"Neutral")="Undercorrect",XLOOKUP("undercorrect_step",Calibration!$B:$B,Calibration!$C:$C,0.25),IF(XLOOKUP($B463,Derived_Variables!$A:$A,Derived_Variables!$S:$S,"Neutral")="Overcorrect",-XLOOKUP("overcorrect_step",Calibration!$B:$B,Calibration!$C:$C,0.25),0)),TRUE,0),C463="K",IF(I463="TOP_CLEARER",XLOOKUP("bino_balance_step",Calibration!$B:$B,Calibration!$C:$C,0.25),0),TRUE,0))</f>
        <v/>
      </c>
      <c r="AN463" s="28" t="str">
        <f t="shared" si="10"/>
        <v/>
      </c>
      <c r="AO463" s="28" t="str">
        <f t="shared" si="11"/>
        <v/>
      </c>
      <c r="AP463" s="28" t="str">
        <f t="array" ref="AP463">IF($I463="","",IFS(C463="D",IF(OR(I463="NOT_READABLE",I463="BLURRY"),-AB463,0),C463="J",IFS(I463="RED_CLEARER",XLOOKUP("duochrome_red_step",Calibration!$B:$B,Calibration!$C:$C,-0.25),I463="GREEN_CLEARER",XLOOKUP("duochrome_green_step",Calibration!$B:$B,Calibration!$C:$C,0.25),I463="EQUAL",IF(XLOOKUP($B463,Derived_Variables!$A:$A,Derived_Variables!$S:$S,"Neutral")="Undercorrect",XLOOKUP("undercorrect_step",Calibration!$B:$B,Calibration!$C:$C,0.25),IF(XLOOKUP($B463,Derived_Variables!$A:$A,Derived_Variables!$S:$S,"Neutral")="Overcorrect",-XLOOKUP("overcorrect_step",Calibration!$B:$B,Calibration!$C:$C,0.25),0)),TRUE,0),C463="K",IF(I463="BOTTOM_CLEARER",XLOOKUP("bino_balance_step",Calibration!$B:$B,Calibration!$C:$C,0.25),0),TRUE,0))</f>
        <v/>
      </c>
      <c r="AQ463" s="28" t="str">
        <f t="shared" si="12"/>
        <v/>
      </c>
      <c r="AR463" s="28" t="str">
        <f t="shared" si="13"/>
        <v/>
      </c>
      <c r="AS463" s="28" t="str">
        <f t="array" ref="AS463">IF($I463="","",IF(C463="P",IF(OR(I463="NOT_READABLE",I463="BLURRY"),XLOOKUP("near_add_step",Calibration!$B:$B,Calibration!$C:$C,0.25),0),IF(C463="R",IF(I463="NOT_CLEAR",XLOOKUP("near_add_step",Calibration!$B:$B,Calibration!$C:$C,0.25),0),0)))</f>
        <v/>
      </c>
      <c r="AT463" s="28" t="str">
        <f t="array" ref="AT463">IF($I463="","",IF(C463="Q",IF(OR(I463="NOT_READABLE",I463="BLURRY"),XLOOKUP("near_add_step",Calibration!$B:$B,Calibration!$C:$C,0.25),0),IF(C463="R",IF(I463="NOT_CLEAR",XLOOKUP("near_add_step",Calibration!$B:$B,Calibration!$C:$C,0.25),0),0)))</f>
        <v/>
      </c>
      <c r="AU463" s="28" t="str">
        <f t="array" ref="AU463">IF($I463="","",IF(G463="SNELLEN_FEET",IF(I463="READABLE",IFERROR(XLOOKUP(XLOOKUP(R463,Chart_Scale_Distance!B:B,Chart_Scale_Distance!A:A)+1,Chart_Scale_Distance!A:A,Chart_Scale_Distance!B:B),R463),R463),R463))</f>
        <v/>
      </c>
      <c r="AV463" s="28" t="str">
        <f t="array" ref="AV463">IF($I462="","",IFERROR(XLOOKUP(R463,Chart_Scale_Distance!$B:$B,Chart_Scale_Distance!$A:$A,""),""))</f>
        <v/>
      </c>
      <c r="AW463" s="28" t="str">
        <f t="array" ref="AW463">IF($I462="","",IFERROR(XLOOKUP(AA463,Chart_Scale_Distance!$B:$B,Chart_Scale_Distance!$A:$A,""),""))</f>
        <v/>
      </c>
      <c r="AX463" s="28" t="str">
        <f t="shared" si="14"/>
        <v/>
      </c>
      <c r="AY463" s="28" t="str">
        <f t="shared" si="15"/>
        <v/>
      </c>
      <c r="AZ463" s="28" t="str">
        <f t="shared" si="16"/>
        <v/>
      </c>
      <c r="BA463" s="28" t="str">
        <f t="shared" si="17"/>
        <v/>
      </c>
      <c r="BB463" s="28" t="str">
        <f t="shared" si="18"/>
        <v/>
      </c>
      <c r="BC463" s="28" t="str">
        <f t="array" ref="BC463">IF($I463="","",LET(
conf,AI463,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duoMax,XLOOKUP($B463,Derived_Variables!$A:$A,Derived_Variables!$AI:$AI,4),
axisTol,XLOOKUP($B463,Derived_Variables!$A:$A,Derived_Variables!$W:$W,1),
maxStart,XLOOKUP($B463,Derived_Variables!$A:$A,Derived_Variables!$U:$U,1.25),
maxAR,XLOOKUP($B463,Derived_Variables!$A:$A,Derived_Variables!$V:$V,3),
anom,XLOOKUP($B463,Derived_Variables!$A:$A,Derived_Variables!$Z:$Z,FALSE),
reStart,XLOOKUP($B463,Derived_Variables!$A:$A,Derived_Variables!$K:$K,0),
leStart,XLOOKUP($B463,Derived_Variables!$A:$A,Derived_Variables!$N:$N,0),
reAR,XLOOKUP($B463,AR_Input!$A:$A,AR_Input!$B:$B,reStart),
leAR,XLOOKUP($B463,AR_Input!$A:$A,AR_Input!$E:$E,leStart),
reEsc,AND(anom,OR(ABS((S463+AM463)-reStart)&gt;maxStart,ABS((S463+AM463)-reAR)&gt;maxAR)),
leEsc,AND(anom,OR(ABS((V463+AP463)-leStart)&gt;maxStart,ABS((V463+AP463)-leAR)&gt;maxAR)),
phaseMax,IFS(
 AK463="Fast",
   IFS(
     OR(C463="B",C463="D"),XLOOKUP("timeout_coarse_fast",Calibration!$B:$B,Calibration!$C:$C,24),
     OR(C463="E",C463="F",C463="H",C463="I"),XLOOKUP("timeout_jcc_fast",Calibration!$B:$B,Calibration!$C:$C,10),
     OR(C463="G",C463="J"),XLOOKUP("timeout_duochrome_fast",Calibration!$B:$B,Calibration!$C:$C,8),
     C463="K",XLOOKUP("timeout_bino_fast",Calibration!$B:$B,Calibration!$C:$C,10),
     OR(C463="P",C463="Q",C463="R"),XLOOKUP("timeout_near_fast",Calibration!$B:$B,Calibration!$C:$C,16),
     TRUE,XLOOKUP("timeout_coarse_fast",Calibration!$B:$B,Calibration!$C:$C,24)
   ),
 AK463="Normal",
   IFS(
     OR(C463="B",C463="D"),XLOOKUP("timeout_coarse_normal",Calibration!$B:$B,Calibration!$C:$C,36),
     OR(C463="E",C463="F",C463="H",C463="I"),XLOOKUP("timeout_jcc_normal",Calibration!$B:$B,Calibration!$C:$C,14),
     OR(C463="G",C463="J"),XLOOKUP("timeout_duochrome_normal",Calibration!$B:$B,Calibration!$C:$C,10),
     C463="K",XLOOKUP("timeout_bino_normal",Calibration!$B:$B,Calibration!$C:$C,14),
     OR(C463="P",C463="Q",C463="R"),XLOOKUP("timeout_near_normal",Calibration!$B:$B,Calibration!$C:$C,22),
     TRUE,XLOOKUP("timeout_coarse_normal",Calibration!$B:$B,Calibration!$C:$C,36)
   ),
 TRUE,
   IFS(
     OR(C463="B",C463="D"),XLOOKUP("timeout_coarse_slow",Calibration!$B:$B,Calibration!$C:$C,48),
     OR(C463="E",C463="F",C463="H",C463="I"),XLOOKUP("timeout_jcc_slow",Calibration!$B:$B,Calibration!$C:$C,18),
     OR(C463="G",C463="J"),XLOOKUP("timeout_duochrome_slow",Calibration!$B:$B,Calibration!$C:$C,12),
     C463="K",XLOOKUP("timeout_bino_slow",Calibration!$B:$B,Calibration!$C:$C,18),
     OR(C463="P",C463="Q",C463="R"),XLOOKUP("timeout_near_slow",Calibration!$B:$B,Calibration!$C:$C,28),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AJ463=TRUE,"ESCALATE",
C463="A",
IF(OR(I463="NOT_READABLE",I463="BLURRY",AND(R463="20_20_20",I463="READABLE")),"B","A"),
C463="B",
IF(reEsc,"ESCALATE",IF(AY463&gt;=phaseMax,"ESCALATE",IF(AND(AV463&gt;=AW463,I463="READABLE"),"E","B"))),
C463="E",
IF(AY463&gt;=phaseMax,"ESCALATE",IF(OR(I463="SAME",I463="CANT_TELL",AD463&lt;axisTol),"F","E")),
C463="F",
IF(AY463&gt;=phaseMax,"ESCALATE",IF(AX463&gt;=powerSameN,"G","F")),
C463="G",
IF(AY463&gt;=phaseMax,"ESCALATE",IF(OR(AX463&gt;=duoEqualN,BB463&gt;=duoMax),"D","G")),
C463="D",
IF(leEsc,"ESCALATE",IF(AY463&gt;=phaseMax,"ESCALATE",IF(AND(AV463&gt;=AW463,I463="READABLE"),"H","D"))),
C463="H",
IF(AY463&gt;=phaseMax,"ESCALATE",IF(OR(I463="SAME",I463="CANT_TELL",AD463&lt;axisTol),"I","H")),
C463="I",
IF(AY463&gt;=phaseMax,"ESCALATE",IF(AX463&gt;=powerSameN,"J","I")),
C463="J",
IF(AY463&gt;=phaseMax,"ESCALATE",IF(OR(AX463&gt;=duoEqualN,BB463&gt;=duoMax),"K","J")),
C463="K",
IF(AY463&gt;=phaseMax,"ESCALATE",IF(AX463&gt;=binoSameN,IF(XLOOKUP($B463,Derived_Variables!$A:$A,Derived_Variables!$AJ:$AJ,FALSE)=TRUE,"P","END"),"K")),
C463="P",
IF(AY463&gt;=phaseMax,"ESCALATE",IF(OR(I463="READABLE",I463="SAME"),"Q","P")),
C463="Q",
IF(AY463&gt;=phaseMax,"ESCALATE",IF(OR(I463="READABLE",I463="SAME"),"R","Q")),
C463="R",
IF(AY463&gt;=phaseMax,"ESCALATE",IF(OR(I463=nearTarget,I463="SAME"),"END","R")),
TRUE,"END"
)))</f>
        <v/>
      </c>
      <c r="BD463" s="28" t="b">
        <f t="shared" si="19"/>
        <v>0</v>
      </c>
    </row>
    <row r="464" ht="15.75" customHeight="1">
      <c r="A464" s="28">
        <f t="shared" si="3"/>
        <v>463</v>
      </c>
      <c r="B464" s="28">
        <f t="shared" si="4"/>
        <v>6</v>
      </c>
      <c r="C464" s="28" t="str">
        <f t="shared" si="5"/>
        <v/>
      </c>
      <c r="D464" s="28" t="str">
        <f t="array" ref="D464">IF($I463="","",XLOOKUP(C464,FSM_State_Map!A:A,FSM_State_Map!B:B,""))</f>
        <v/>
      </c>
      <c r="E464" s="28" t="str">
        <f t="array" ref="E464">IF($I463="","",XLOOKUP(C464,FSM_State_Map!A:A,FSM_State_Map!C:C,""))</f>
        <v/>
      </c>
      <c r="F464" s="28" t="str">
        <f t="array" ref="F464">IF($I463="","",XLOOKUP(E464,Phase_UI_Map!A:A,Phase_UI_Map!B:B,""))</f>
        <v/>
      </c>
      <c r="G464" s="28" t="str">
        <f t="array" ref="G464">IF($I463="","",XLOOKUP(E464,Phase_UI_Map!A:A,Phase_UI_Map!C:C,""))</f>
        <v/>
      </c>
      <c r="H464" s="28" t="str">
        <f t="array" ref="H464">IF($I463="","",XLOOKUP(E464,Phase_UI_Map!A:A,Phase_UI_Map!D:D,""))</f>
        <v/>
      </c>
      <c r="I464" s="29"/>
      <c r="J464" s="28" t="str">
        <f>IFERROR(__xludf.DUMMYFUNCTION("IF($I463="""","""",IFERROR(INDEX(FILTER(Response_Lists!$B:$B,Response_Lists!$A:$A=$H464),1),""""))"),"")</f>
        <v/>
      </c>
      <c r="K464" s="28" t="str">
        <f>IFERROR(__xludf.DUMMYFUNCTION("IF($I463="""","""",IFERROR(INDEX(FILTER(Response_Lists!$B:$B,Response_Lists!$A:$A=$H464),2),""""))"),"")</f>
        <v/>
      </c>
      <c r="L464" s="28" t="str">
        <f>IFERROR(__xludf.DUMMYFUNCTION("IF($I463="""","""",IFERROR(INDEX(FILTER(Response_Lists!$B:$B,Response_Lists!$A:$A=$H464),3),""""))"),"")</f>
        <v/>
      </c>
      <c r="M464" s="28" t="str">
        <f>IFERROR(__xludf.DUMMYFUNCTION("IF($I463="""","""",IFERROR(INDEX(FILTER(Response_Lists!$B:$B,Response_Lists!$A:$A=$H464),4),""""))"),"")</f>
        <v/>
      </c>
      <c r="N464" s="28" t="str">
        <f>IFERROR(__xludf.DUMMYFUNCTION("IF($I463="""","""",IFERROR(INDEX(FILTER(Response_Lists!$B:$B,Response_Lists!$A:$A=$H464),5),""""))"),"")</f>
        <v/>
      </c>
      <c r="O464" s="28" t="str">
        <f>IFERROR(__xludf.DUMMYFUNCTION("IF($I463="""","""",IFERROR(INDEX(FILTER(Response_Lists!$B:$B,Response_Lists!$A:$A=$H464),6),""""))"),"")</f>
        <v/>
      </c>
      <c r="P464" s="28" t="str">
        <f t="shared" si="6"/>
        <v/>
      </c>
      <c r="Q464" s="28" t="str">
        <f t="array" ref="Q464">IF($I463="","",XLOOKUP(C464,FSM_State_Map!A:A,FSM_State_Map!D:D,""))</f>
        <v/>
      </c>
      <c r="R464" s="28" t="str">
        <f t="shared" si="7"/>
        <v/>
      </c>
      <c r="S464" s="28" t="str">
        <f t="array" ref="S464">IF($I463="","",
IF(
  AND(C464="B",C463&lt;&gt;"B"),
  XLOOKUP($B464,Derived_Variables!$A:$A,Derived_Variables!$K:$K,0)
  + XLOOKUP($B464,Derived_Variables!$A:$A,Derived_Variables!$AE:$AE,0),
  S463+AM463
))</f>
        <v/>
      </c>
      <c r="T464" s="28" t="str">
        <f t="shared" ref="T464:U464" si="938">IF($I463="","",T463+AN463)</f>
        <v/>
      </c>
      <c r="U464" s="28" t="str">
        <f t="shared" si="938"/>
        <v/>
      </c>
      <c r="V464" s="28" t="str">
        <f t="array" ref="V464">IF($I463="","",
IF(
  AND(C464="D",C463&lt;&gt;"D"),
  XLOOKUP($B464,Derived_Variables!$A:$A,Derived_Variables!$N:$N,0)
  + XLOOKUP($B464,Derived_Variables!$A:$A,Derived_Variables!$AE:$AE,0),
  V463+AP463
))</f>
        <v/>
      </c>
      <c r="W464" s="28" t="str">
        <f t="shared" ref="W464:X464" si="939">IF($I463="","",W463+AQ463)</f>
        <v/>
      </c>
      <c r="X464" s="28" t="str">
        <f t="shared" si="939"/>
        <v/>
      </c>
      <c r="Y464" s="28" t="str">
        <f t="array" ref="Y464">IF($I463="","",IF(AND(C464="P",C463&lt;&gt;"P"),IFERROR(XLOOKUP($B464,Lenso_Input!$A:$A,Lenso_Input!$E:$E,0),0),Y463+AS463))</f>
        <v/>
      </c>
      <c r="Z464" s="28" t="str">
        <f t="array" ref="Z464">IF($I463="","",IF(AND(C464="Q",C463&lt;&gt;"Q"),IFERROR(XLOOKUP($B464,Lenso_Input!$A:$A,Lenso_Input!$I:$I,0),0),Z463+AT463))</f>
        <v/>
      </c>
      <c r="AA464" s="28" t="str">
        <f t="array" ref="AA464">IF($I463="","",IF(XLOOKUP($B464,Derived_Variables!$A:$A,Derived_Variables!$R:$R,"6/6_target")="6/6_target","20_20_20","40_30_25"))</f>
        <v/>
      </c>
      <c r="AB464" s="28" t="str">
        <f t="array" ref="AB464">IF($I463="","",XLOOKUP(LOWER(XLOOKUP($B464,Derived_Variables!$A:$A,Derived_Variables!$T:$T,"Standard"))&amp;"_sph_step",Calibration!$B:$B,Calibration!$C:$C,0.25))</f>
        <v/>
      </c>
      <c r="AC464" s="28" t="str">
        <f t="array" ref="AC464">IF($I463="","",XLOOKUP(LOWER(XLOOKUP($B464,Derived_Variables!$A:$A,Derived_Variables!$T:$T,"Standard"))&amp;"_cyl_step",Calibration!$B:$B,Calibration!$C:$C,0.25))</f>
        <v/>
      </c>
      <c r="AD464" s="28" t="str">
        <f t="array" ref="AD464">IF($I463="","",IF(OR(C464="E",C464="H"),LET(startStep,XLOOKUP("axis_start_step",Calibration!$B:$B,Calibration!$C:$C,5),step1,XLOOKUP("axis_reversal_step_1",Calibration!$B:$B,Calibration!$C:$C,3),step2,XLOOKUP("axis_reversal_step_2",Calibration!$B:$B,Calibration!$C:$C,1),IF(OR(C463&lt;&gt;C464,AZ464="",AZ464="SAME",AZ464="CANT_TELL",I464="",I464="SAME",I464="CANT_TELL"),startStep,IF(OR(AND(AZ464="BETTER_1",I464="BETTER_2"),AND(AZ464="BETTER_2",I464="BETTER_1")),IF(AD463&gt;step1,step1,step2),AD463))),0))</f>
        <v/>
      </c>
      <c r="AE464" s="28" t="str">
        <f t="array" ref="AE464">IF($I463="","",XLOOKUP($B464,Derived_Variables!$A:$A,Derived_Variables!$AD:$AD,"No_Fog"))</f>
        <v/>
      </c>
      <c r="AF464" s="28" t="str">
        <f t="array" ref="AF464">IF($I463="","",XLOOKUP($B464,Derived_Variables!$A:$A,Derived_Variables!$AE:$AE,0))</f>
        <v/>
      </c>
      <c r="AG464" s="28" t="str">
        <f t="array" ref="AG464">IF($I463="","",XLOOKUP($B464,Derived_Variables!$A:$A,Derived_Variables!$AF:$AF,""))</f>
        <v/>
      </c>
      <c r="AH464" s="28" t="str">
        <f t="array" ref="AH464">IF($I463="","",XLOOKUP($B464,Derived_Variables!$A:$A,Derived_Variables!$AG:$AG,""))</f>
        <v/>
      </c>
      <c r="AI464" s="28" t="str">
        <f t="array" ref="AI464">IF($I463="","",XLOOKUP($B464,Derived_Variables!$A:$A,Derived_Variables!$AC:$AC,"Medium"))</f>
        <v/>
      </c>
      <c r="AJ464" s="28" t="str">
        <f t="array" ref="AJ464">IF($I463="","",XLOOKUP($B464,Derived_Variables!$A:$A,Derived_Variables!$Y:$Y,FALSE))</f>
        <v/>
      </c>
      <c r="AK464" s="28" t="str">
        <f t="array" ref="AK464">IF($I463="","",XLOOKUP($B464,Derived_Variables!$A:$A,Derived_Variables!$AA:$AA,"Normal"))</f>
        <v/>
      </c>
      <c r="AL464" s="28" t="str">
        <f t="array" ref="AL464">IF($I463="","",XLOOKUP($B464,Derived_Variables!$A:$A,Derived_Variables!$AB:$AB,"Normal"))</f>
        <v/>
      </c>
      <c r="AM464" s="28" t="str">
        <f t="array" ref="AM464">IF($I464="","",IFS(C464="B",IF(OR(I464="NOT_READABLE",I464="BLURRY"),-AB464,0),C464="G",IFS(I464="RED_CLEARER",XLOOKUP("duochrome_red_step",Calibration!$B:$B,Calibration!$C:$C,-0.25),I464="GREEN_CLEARER",XLOOKUP("duochrome_green_step",Calibration!$B:$B,Calibration!$C:$C,0.25),I464="EQUAL",IF(XLOOKUP($B464,Derived_Variables!$A:$A,Derived_Variables!$S:$S,"Neutral")="Undercorrect",XLOOKUP("undercorrect_step",Calibration!$B:$B,Calibration!$C:$C,0.25),IF(XLOOKUP($B464,Derived_Variables!$A:$A,Derived_Variables!$S:$S,"Neutral")="Overcorrect",-XLOOKUP("overcorrect_step",Calibration!$B:$B,Calibration!$C:$C,0.25),0)),TRUE,0),C464="K",IF(I464="TOP_CLEARER",XLOOKUP("bino_balance_step",Calibration!$B:$B,Calibration!$C:$C,0.25),0),TRUE,0))</f>
        <v/>
      </c>
      <c r="AN464" s="28" t="str">
        <f t="shared" si="10"/>
        <v/>
      </c>
      <c r="AO464" s="28" t="str">
        <f t="shared" si="11"/>
        <v/>
      </c>
      <c r="AP464" s="28" t="str">
        <f t="array" ref="AP464">IF($I464="","",IFS(C464="D",IF(OR(I464="NOT_READABLE",I464="BLURRY"),-AB464,0),C464="J",IFS(I464="RED_CLEARER",XLOOKUP("duochrome_red_step",Calibration!$B:$B,Calibration!$C:$C,-0.25),I464="GREEN_CLEARER",XLOOKUP("duochrome_green_step",Calibration!$B:$B,Calibration!$C:$C,0.25),I464="EQUAL",IF(XLOOKUP($B464,Derived_Variables!$A:$A,Derived_Variables!$S:$S,"Neutral")="Undercorrect",XLOOKUP("undercorrect_step",Calibration!$B:$B,Calibration!$C:$C,0.25),IF(XLOOKUP($B464,Derived_Variables!$A:$A,Derived_Variables!$S:$S,"Neutral")="Overcorrect",-XLOOKUP("overcorrect_step",Calibration!$B:$B,Calibration!$C:$C,0.25),0)),TRUE,0),C464="K",IF(I464="BOTTOM_CLEARER",XLOOKUP("bino_balance_step",Calibration!$B:$B,Calibration!$C:$C,0.25),0),TRUE,0))</f>
        <v/>
      </c>
      <c r="AQ464" s="28" t="str">
        <f t="shared" si="12"/>
        <v/>
      </c>
      <c r="AR464" s="28" t="str">
        <f t="shared" si="13"/>
        <v/>
      </c>
      <c r="AS464" s="28" t="str">
        <f t="array" ref="AS464">IF($I464="","",IF(C464="P",IF(OR(I464="NOT_READABLE",I464="BLURRY"),XLOOKUP("near_add_step",Calibration!$B:$B,Calibration!$C:$C,0.25),0),IF(C464="R",IF(I464="NOT_CLEAR",XLOOKUP("near_add_step",Calibration!$B:$B,Calibration!$C:$C,0.25),0),0)))</f>
        <v/>
      </c>
      <c r="AT464" s="28" t="str">
        <f t="array" ref="AT464">IF($I464="","",IF(C464="Q",IF(OR(I464="NOT_READABLE",I464="BLURRY"),XLOOKUP("near_add_step",Calibration!$B:$B,Calibration!$C:$C,0.25),0),IF(C464="R",IF(I464="NOT_CLEAR",XLOOKUP("near_add_step",Calibration!$B:$B,Calibration!$C:$C,0.25),0),0)))</f>
        <v/>
      </c>
      <c r="AU464" s="28" t="str">
        <f t="array" ref="AU464">IF($I464="","",IF(G464="SNELLEN_FEET",IF(I464="READABLE",IFERROR(XLOOKUP(XLOOKUP(R464,Chart_Scale_Distance!B:B,Chart_Scale_Distance!A:A)+1,Chart_Scale_Distance!A:A,Chart_Scale_Distance!B:B),R464),R464),R464))</f>
        <v/>
      </c>
      <c r="AV464" s="28" t="str">
        <f t="array" ref="AV464">IF($I463="","",IFERROR(XLOOKUP(R464,Chart_Scale_Distance!$B:$B,Chart_Scale_Distance!$A:$A,""),""))</f>
        <v/>
      </c>
      <c r="AW464" s="28" t="str">
        <f t="array" ref="AW464">IF($I463="","",IFERROR(XLOOKUP(AA464,Chart_Scale_Distance!$B:$B,Chart_Scale_Distance!$A:$A,""),""))</f>
        <v/>
      </c>
      <c r="AX464" s="28" t="str">
        <f t="shared" si="14"/>
        <v/>
      </c>
      <c r="AY464" s="28" t="str">
        <f t="shared" si="15"/>
        <v/>
      </c>
      <c r="AZ464" s="28" t="str">
        <f t="shared" si="16"/>
        <v/>
      </c>
      <c r="BA464" s="28" t="str">
        <f t="shared" si="17"/>
        <v/>
      </c>
      <c r="BB464" s="28" t="str">
        <f t="shared" si="18"/>
        <v/>
      </c>
      <c r="BC464" s="28" t="str">
        <f t="array" ref="BC464">IF($I464="","",LET(
conf,AI464,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duoMax,XLOOKUP($B464,Derived_Variables!$A:$A,Derived_Variables!$AI:$AI,4),
axisTol,XLOOKUP($B464,Derived_Variables!$A:$A,Derived_Variables!$W:$W,1),
maxStart,XLOOKUP($B464,Derived_Variables!$A:$A,Derived_Variables!$U:$U,1.25),
maxAR,XLOOKUP($B464,Derived_Variables!$A:$A,Derived_Variables!$V:$V,3),
anom,XLOOKUP($B464,Derived_Variables!$A:$A,Derived_Variables!$Z:$Z,FALSE),
reStart,XLOOKUP($B464,Derived_Variables!$A:$A,Derived_Variables!$K:$K,0),
leStart,XLOOKUP($B464,Derived_Variables!$A:$A,Derived_Variables!$N:$N,0),
reAR,XLOOKUP($B464,AR_Input!$A:$A,AR_Input!$B:$B,reStart),
leAR,XLOOKUP($B464,AR_Input!$A:$A,AR_Input!$E:$E,leStart),
reEsc,AND(anom,OR(ABS((S464+AM464)-reStart)&gt;maxStart,ABS((S464+AM464)-reAR)&gt;maxAR)),
leEsc,AND(anom,OR(ABS((V464+AP464)-leStart)&gt;maxStart,ABS((V464+AP464)-leAR)&gt;maxAR)),
phaseMax,IFS(
 AK464="Fast",
   IFS(
     OR(C464="B",C464="D"),XLOOKUP("timeout_coarse_fast",Calibration!$B:$B,Calibration!$C:$C,24),
     OR(C464="E",C464="F",C464="H",C464="I"),XLOOKUP("timeout_jcc_fast",Calibration!$B:$B,Calibration!$C:$C,10),
     OR(C464="G",C464="J"),XLOOKUP("timeout_duochrome_fast",Calibration!$B:$B,Calibration!$C:$C,8),
     C464="K",XLOOKUP("timeout_bino_fast",Calibration!$B:$B,Calibration!$C:$C,10),
     OR(C464="P",C464="Q",C464="R"),XLOOKUP("timeout_near_fast",Calibration!$B:$B,Calibration!$C:$C,16),
     TRUE,XLOOKUP("timeout_coarse_fast",Calibration!$B:$B,Calibration!$C:$C,24)
   ),
 AK464="Normal",
   IFS(
     OR(C464="B",C464="D"),XLOOKUP("timeout_coarse_normal",Calibration!$B:$B,Calibration!$C:$C,36),
     OR(C464="E",C464="F",C464="H",C464="I"),XLOOKUP("timeout_jcc_normal",Calibration!$B:$B,Calibration!$C:$C,14),
     OR(C464="G",C464="J"),XLOOKUP("timeout_duochrome_normal",Calibration!$B:$B,Calibration!$C:$C,10),
     C464="K",XLOOKUP("timeout_bino_normal",Calibration!$B:$B,Calibration!$C:$C,14),
     OR(C464="P",C464="Q",C464="R"),XLOOKUP("timeout_near_normal",Calibration!$B:$B,Calibration!$C:$C,22),
     TRUE,XLOOKUP("timeout_coarse_normal",Calibration!$B:$B,Calibration!$C:$C,36)
   ),
 TRUE,
   IFS(
     OR(C464="B",C464="D"),XLOOKUP("timeout_coarse_slow",Calibration!$B:$B,Calibration!$C:$C,48),
     OR(C464="E",C464="F",C464="H",C464="I"),XLOOKUP("timeout_jcc_slow",Calibration!$B:$B,Calibration!$C:$C,18),
     OR(C464="G",C464="J"),XLOOKUP("timeout_duochrome_slow",Calibration!$B:$B,Calibration!$C:$C,12),
     C464="K",XLOOKUP("timeout_bino_slow",Calibration!$B:$B,Calibration!$C:$C,18),
     OR(C464="P",C464="Q",C464="R"),XLOOKUP("timeout_near_slow",Calibration!$B:$B,Calibration!$C:$C,28),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AJ464=TRUE,"ESCALATE",
C464="A",
IF(OR(I464="NOT_READABLE",I464="BLURRY",AND(R464="20_20_20",I464="READABLE")),"B","A"),
C464="B",
IF(reEsc,"ESCALATE",IF(AY464&gt;=phaseMax,"ESCALATE",IF(AND(AV464&gt;=AW464,I464="READABLE"),"E","B"))),
C464="E",
IF(AY464&gt;=phaseMax,"ESCALATE",IF(OR(I464="SAME",I464="CANT_TELL",AD464&lt;axisTol),"F","E")),
C464="F",
IF(AY464&gt;=phaseMax,"ESCALATE",IF(AX464&gt;=powerSameN,"G","F")),
C464="G",
IF(AY464&gt;=phaseMax,"ESCALATE",IF(OR(AX464&gt;=duoEqualN,BB464&gt;=duoMax),"D","G")),
C464="D",
IF(leEsc,"ESCALATE",IF(AY464&gt;=phaseMax,"ESCALATE",IF(AND(AV464&gt;=AW464,I464="READABLE"),"H","D"))),
C464="H",
IF(AY464&gt;=phaseMax,"ESCALATE",IF(OR(I464="SAME",I464="CANT_TELL",AD464&lt;axisTol),"I","H")),
C464="I",
IF(AY464&gt;=phaseMax,"ESCALATE",IF(AX464&gt;=powerSameN,"J","I")),
C464="J",
IF(AY464&gt;=phaseMax,"ESCALATE",IF(OR(AX464&gt;=duoEqualN,BB464&gt;=duoMax),"K","J")),
C464="K",
IF(AY464&gt;=phaseMax,"ESCALATE",IF(AX464&gt;=binoSameN,IF(XLOOKUP($B464,Derived_Variables!$A:$A,Derived_Variables!$AJ:$AJ,FALSE)=TRUE,"P","END"),"K")),
C464="P",
IF(AY464&gt;=phaseMax,"ESCALATE",IF(OR(I464="READABLE",I464="SAME"),"Q","P")),
C464="Q",
IF(AY464&gt;=phaseMax,"ESCALATE",IF(OR(I464="READABLE",I464="SAME"),"R","Q")),
C464="R",
IF(AY464&gt;=phaseMax,"ESCALATE",IF(OR(I464=nearTarget,I464="SAME"),"END","R")),
TRUE,"END"
)))</f>
        <v/>
      </c>
      <c r="BD464" s="28" t="b">
        <f t="shared" si="19"/>
        <v>0</v>
      </c>
    </row>
    <row r="465" ht="15.75" customHeight="1">
      <c r="A465" s="28">
        <f t="shared" si="3"/>
        <v>464</v>
      </c>
      <c r="B465" s="28">
        <f t="shared" si="4"/>
        <v>6</v>
      </c>
      <c r="C465" s="28" t="str">
        <f t="shared" si="5"/>
        <v/>
      </c>
      <c r="D465" s="28" t="str">
        <f t="array" ref="D465">IF($I464="","",XLOOKUP(C465,FSM_State_Map!A:A,FSM_State_Map!B:B,""))</f>
        <v/>
      </c>
      <c r="E465" s="28" t="str">
        <f t="array" ref="E465">IF($I464="","",XLOOKUP(C465,FSM_State_Map!A:A,FSM_State_Map!C:C,""))</f>
        <v/>
      </c>
      <c r="F465" s="28" t="str">
        <f t="array" ref="F465">IF($I464="","",XLOOKUP(E465,Phase_UI_Map!A:A,Phase_UI_Map!B:B,""))</f>
        <v/>
      </c>
      <c r="G465" s="28" t="str">
        <f t="array" ref="G465">IF($I464="","",XLOOKUP(E465,Phase_UI_Map!A:A,Phase_UI_Map!C:C,""))</f>
        <v/>
      </c>
      <c r="H465" s="28" t="str">
        <f t="array" ref="H465">IF($I464="","",XLOOKUP(E465,Phase_UI_Map!A:A,Phase_UI_Map!D:D,""))</f>
        <v/>
      </c>
      <c r="I465" s="29"/>
      <c r="J465" s="28" t="str">
        <f>IFERROR(__xludf.DUMMYFUNCTION("IF($I464="""","""",IFERROR(INDEX(FILTER(Response_Lists!$B:$B,Response_Lists!$A:$A=$H465),1),""""))"),"")</f>
        <v/>
      </c>
      <c r="K465" s="28" t="str">
        <f>IFERROR(__xludf.DUMMYFUNCTION("IF($I464="""","""",IFERROR(INDEX(FILTER(Response_Lists!$B:$B,Response_Lists!$A:$A=$H465),2),""""))"),"")</f>
        <v/>
      </c>
      <c r="L465" s="28" t="str">
        <f>IFERROR(__xludf.DUMMYFUNCTION("IF($I464="""","""",IFERROR(INDEX(FILTER(Response_Lists!$B:$B,Response_Lists!$A:$A=$H465),3),""""))"),"")</f>
        <v/>
      </c>
      <c r="M465" s="28" t="str">
        <f>IFERROR(__xludf.DUMMYFUNCTION("IF($I464="""","""",IFERROR(INDEX(FILTER(Response_Lists!$B:$B,Response_Lists!$A:$A=$H465),4),""""))"),"")</f>
        <v/>
      </c>
      <c r="N465" s="28" t="str">
        <f>IFERROR(__xludf.DUMMYFUNCTION("IF($I464="""","""",IFERROR(INDEX(FILTER(Response_Lists!$B:$B,Response_Lists!$A:$A=$H465),5),""""))"),"")</f>
        <v/>
      </c>
      <c r="O465" s="28" t="str">
        <f>IFERROR(__xludf.DUMMYFUNCTION("IF($I464="""","""",IFERROR(INDEX(FILTER(Response_Lists!$B:$B,Response_Lists!$A:$A=$H465),6),""""))"),"")</f>
        <v/>
      </c>
      <c r="P465" s="28" t="str">
        <f t="shared" si="6"/>
        <v/>
      </c>
      <c r="Q465" s="28" t="str">
        <f t="array" ref="Q465">IF($I464="","",XLOOKUP(C465,FSM_State_Map!A:A,FSM_State_Map!D:D,""))</f>
        <v/>
      </c>
      <c r="R465" s="28" t="str">
        <f t="shared" si="7"/>
        <v/>
      </c>
      <c r="S465" s="28" t="str">
        <f t="array" ref="S465">IF($I464="","",
IF(
  AND(C465="B",C464&lt;&gt;"B"),
  XLOOKUP($B465,Derived_Variables!$A:$A,Derived_Variables!$K:$K,0)
  + XLOOKUP($B465,Derived_Variables!$A:$A,Derived_Variables!$AE:$AE,0),
  S464+AM464
))</f>
        <v/>
      </c>
      <c r="T465" s="28" t="str">
        <f t="shared" ref="T465:U465" si="940">IF($I464="","",T464+AN464)</f>
        <v/>
      </c>
      <c r="U465" s="28" t="str">
        <f t="shared" si="940"/>
        <v/>
      </c>
      <c r="V465" s="28" t="str">
        <f t="array" ref="V465">IF($I464="","",
IF(
  AND(C465="D",C464&lt;&gt;"D"),
  XLOOKUP($B465,Derived_Variables!$A:$A,Derived_Variables!$N:$N,0)
  + XLOOKUP($B465,Derived_Variables!$A:$A,Derived_Variables!$AE:$AE,0),
  V464+AP464
))</f>
        <v/>
      </c>
      <c r="W465" s="28" t="str">
        <f t="shared" ref="W465:X465" si="941">IF($I464="","",W464+AQ464)</f>
        <v/>
      </c>
      <c r="X465" s="28" t="str">
        <f t="shared" si="941"/>
        <v/>
      </c>
      <c r="Y465" s="28" t="str">
        <f t="array" ref="Y465">IF($I464="","",IF(AND(C465="P",C464&lt;&gt;"P"),IFERROR(XLOOKUP($B465,Lenso_Input!$A:$A,Lenso_Input!$E:$E,0),0),Y464+AS464))</f>
        <v/>
      </c>
      <c r="Z465" s="28" t="str">
        <f t="array" ref="Z465">IF($I464="","",IF(AND(C465="Q",C464&lt;&gt;"Q"),IFERROR(XLOOKUP($B465,Lenso_Input!$A:$A,Lenso_Input!$I:$I,0),0),Z464+AT464))</f>
        <v/>
      </c>
      <c r="AA465" s="28" t="str">
        <f t="array" ref="AA465">IF($I464="","",IF(XLOOKUP($B465,Derived_Variables!$A:$A,Derived_Variables!$R:$R,"6/6_target")="6/6_target","20_20_20","40_30_25"))</f>
        <v/>
      </c>
      <c r="AB465" s="28" t="str">
        <f t="array" ref="AB465">IF($I464="","",XLOOKUP(LOWER(XLOOKUP($B465,Derived_Variables!$A:$A,Derived_Variables!$T:$T,"Standard"))&amp;"_sph_step",Calibration!$B:$B,Calibration!$C:$C,0.25))</f>
        <v/>
      </c>
      <c r="AC465" s="28" t="str">
        <f t="array" ref="AC465">IF($I464="","",XLOOKUP(LOWER(XLOOKUP($B465,Derived_Variables!$A:$A,Derived_Variables!$T:$T,"Standard"))&amp;"_cyl_step",Calibration!$B:$B,Calibration!$C:$C,0.25))</f>
        <v/>
      </c>
      <c r="AD465" s="28" t="str">
        <f t="array" ref="AD465">IF($I464="","",IF(OR(C465="E",C465="H"),LET(startStep,XLOOKUP("axis_start_step",Calibration!$B:$B,Calibration!$C:$C,5),step1,XLOOKUP("axis_reversal_step_1",Calibration!$B:$B,Calibration!$C:$C,3),step2,XLOOKUP("axis_reversal_step_2",Calibration!$B:$B,Calibration!$C:$C,1),IF(OR(C464&lt;&gt;C465,AZ465="",AZ465="SAME",AZ465="CANT_TELL",I465="",I465="SAME",I465="CANT_TELL"),startStep,IF(OR(AND(AZ465="BETTER_1",I465="BETTER_2"),AND(AZ465="BETTER_2",I465="BETTER_1")),IF(AD464&gt;step1,step1,step2),AD464))),0))</f>
        <v/>
      </c>
      <c r="AE465" s="28" t="str">
        <f t="array" ref="AE465">IF($I464="","",XLOOKUP($B465,Derived_Variables!$A:$A,Derived_Variables!$AD:$AD,"No_Fog"))</f>
        <v/>
      </c>
      <c r="AF465" s="28" t="str">
        <f t="array" ref="AF465">IF($I464="","",XLOOKUP($B465,Derived_Variables!$A:$A,Derived_Variables!$AE:$AE,0))</f>
        <v/>
      </c>
      <c r="AG465" s="28" t="str">
        <f t="array" ref="AG465">IF($I464="","",XLOOKUP($B465,Derived_Variables!$A:$A,Derived_Variables!$AF:$AF,""))</f>
        <v/>
      </c>
      <c r="AH465" s="28" t="str">
        <f t="array" ref="AH465">IF($I464="","",XLOOKUP($B465,Derived_Variables!$A:$A,Derived_Variables!$AG:$AG,""))</f>
        <v/>
      </c>
      <c r="AI465" s="28" t="str">
        <f t="array" ref="AI465">IF($I464="","",XLOOKUP($B465,Derived_Variables!$A:$A,Derived_Variables!$AC:$AC,"Medium"))</f>
        <v/>
      </c>
      <c r="AJ465" s="28" t="str">
        <f t="array" ref="AJ465">IF($I464="","",XLOOKUP($B465,Derived_Variables!$A:$A,Derived_Variables!$Y:$Y,FALSE))</f>
        <v/>
      </c>
      <c r="AK465" s="28" t="str">
        <f t="array" ref="AK465">IF($I464="","",XLOOKUP($B465,Derived_Variables!$A:$A,Derived_Variables!$AA:$AA,"Normal"))</f>
        <v/>
      </c>
      <c r="AL465" s="28" t="str">
        <f t="array" ref="AL465">IF($I464="","",XLOOKUP($B465,Derived_Variables!$A:$A,Derived_Variables!$AB:$AB,"Normal"))</f>
        <v/>
      </c>
      <c r="AM465" s="28" t="str">
        <f t="array" ref="AM465">IF($I465="","",IFS(C465="B",IF(OR(I465="NOT_READABLE",I465="BLURRY"),-AB465,0),C465="G",IFS(I465="RED_CLEARER",XLOOKUP("duochrome_red_step",Calibration!$B:$B,Calibration!$C:$C,-0.25),I465="GREEN_CLEARER",XLOOKUP("duochrome_green_step",Calibration!$B:$B,Calibration!$C:$C,0.25),I465="EQUAL",IF(XLOOKUP($B465,Derived_Variables!$A:$A,Derived_Variables!$S:$S,"Neutral")="Undercorrect",XLOOKUP("undercorrect_step",Calibration!$B:$B,Calibration!$C:$C,0.25),IF(XLOOKUP($B465,Derived_Variables!$A:$A,Derived_Variables!$S:$S,"Neutral")="Overcorrect",-XLOOKUP("overcorrect_step",Calibration!$B:$B,Calibration!$C:$C,0.25),0)),TRUE,0),C465="K",IF(I465="TOP_CLEARER",XLOOKUP("bino_balance_step",Calibration!$B:$B,Calibration!$C:$C,0.25),0),TRUE,0))</f>
        <v/>
      </c>
      <c r="AN465" s="28" t="str">
        <f t="shared" si="10"/>
        <v/>
      </c>
      <c r="AO465" s="28" t="str">
        <f t="shared" si="11"/>
        <v/>
      </c>
      <c r="AP465" s="28" t="str">
        <f t="array" ref="AP465">IF($I465="","",IFS(C465="D",IF(OR(I465="NOT_READABLE",I465="BLURRY"),-AB465,0),C465="J",IFS(I465="RED_CLEARER",XLOOKUP("duochrome_red_step",Calibration!$B:$B,Calibration!$C:$C,-0.25),I465="GREEN_CLEARER",XLOOKUP("duochrome_green_step",Calibration!$B:$B,Calibration!$C:$C,0.25),I465="EQUAL",IF(XLOOKUP($B465,Derived_Variables!$A:$A,Derived_Variables!$S:$S,"Neutral")="Undercorrect",XLOOKUP("undercorrect_step",Calibration!$B:$B,Calibration!$C:$C,0.25),IF(XLOOKUP($B465,Derived_Variables!$A:$A,Derived_Variables!$S:$S,"Neutral")="Overcorrect",-XLOOKUP("overcorrect_step",Calibration!$B:$B,Calibration!$C:$C,0.25),0)),TRUE,0),C465="K",IF(I465="BOTTOM_CLEARER",XLOOKUP("bino_balance_step",Calibration!$B:$B,Calibration!$C:$C,0.25),0),TRUE,0))</f>
        <v/>
      </c>
      <c r="AQ465" s="28" t="str">
        <f t="shared" si="12"/>
        <v/>
      </c>
      <c r="AR465" s="28" t="str">
        <f t="shared" si="13"/>
        <v/>
      </c>
      <c r="AS465" s="28" t="str">
        <f t="array" ref="AS465">IF($I465="","",IF(C465="P",IF(OR(I465="NOT_READABLE",I465="BLURRY"),XLOOKUP("near_add_step",Calibration!$B:$B,Calibration!$C:$C,0.25),0),IF(C465="R",IF(I465="NOT_CLEAR",XLOOKUP("near_add_step",Calibration!$B:$B,Calibration!$C:$C,0.25),0),0)))</f>
        <v/>
      </c>
      <c r="AT465" s="28" t="str">
        <f t="array" ref="AT465">IF($I465="","",IF(C465="Q",IF(OR(I465="NOT_READABLE",I465="BLURRY"),XLOOKUP("near_add_step",Calibration!$B:$B,Calibration!$C:$C,0.25),0),IF(C465="R",IF(I465="NOT_CLEAR",XLOOKUP("near_add_step",Calibration!$B:$B,Calibration!$C:$C,0.25),0),0)))</f>
        <v/>
      </c>
      <c r="AU465" s="28" t="str">
        <f t="array" ref="AU465">IF($I465="","",IF(G465="SNELLEN_FEET",IF(I465="READABLE",IFERROR(XLOOKUP(XLOOKUP(R465,Chart_Scale_Distance!B:B,Chart_Scale_Distance!A:A)+1,Chart_Scale_Distance!A:A,Chart_Scale_Distance!B:B),R465),R465),R465))</f>
        <v/>
      </c>
      <c r="AV465" s="28" t="str">
        <f t="array" ref="AV465">IF($I464="","",IFERROR(XLOOKUP(R465,Chart_Scale_Distance!$B:$B,Chart_Scale_Distance!$A:$A,""),""))</f>
        <v/>
      </c>
      <c r="AW465" s="28" t="str">
        <f t="array" ref="AW465">IF($I464="","",IFERROR(XLOOKUP(AA465,Chart_Scale_Distance!$B:$B,Chart_Scale_Distance!$A:$A,""),""))</f>
        <v/>
      </c>
      <c r="AX465" s="28" t="str">
        <f t="shared" si="14"/>
        <v/>
      </c>
      <c r="AY465" s="28" t="str">
        <f t="shared" si="15"/>
        <v/>
      </c>
      <c r="AZ465" s="28" t="str">
        <f t="shared" si="16"/>
        <v/>
      </c>
      <c r="BA465" s="28" t="str">
        <f t="shared" si="17"/>
        <v/>
      </c>
      <c r="BB465" s="28" t="str">
        <f t="shared" si="18"/>
        <v/>
      </c>
      <c r="BC465" s="28" t="str">
        <f t="array" ref="BC465">IF($I465="","",LET(
conf,AI465,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duoMax,XLOOKUP($B465,Derived_Variables!$A:$A,Derived_Variables!$AI:$AI,4),
axisTol,XLOOKUP($B465,Derived_Variables!$A:$A,Derived_Variables!$W:$W,1),
maxStart,XLOOKUP($B465,Derived_Variables!$A:$A,Derived_Variables!$U:$U,1.25),
maxAR,XLOOKUP($B465,Derived_Variables!$A:$A,Derived_Variables!$V:$V,3),
anom,XLOOKUP($B465,Derived_Variables!$A:$A,Derived_Variables!$Z:$Z,FALSE),
reStart,XLOOKUP($B465,Derived_Variables!$A:$A,Derived_Variables!$K:$K,0),
leStart,XLOOKUP($B465,Derived_Variables!$A:$A,Derived_Variables!$N:$N,0),
reAR,XLOOKUP($B465,AR_Input!$A:$A,AR_Input!$B:$B,reStart),
leAR,XLOOKUP($B465,AR_Input!$A:$A,AR_Input!$E:$E,leStart),
reEsc,AND(anom,OR(ABS((S465+AM465)-reStart)&gt;maxStart,ABS((S465+AM465)-reAR)&gt;maxAR)),
leEsc,AND(anom,OR(ABS((V465+AP465)-leStart)&gt;maxStart,ABS((V465+AP465)-leAR)&gt;maxAR)),
phaseMax,IFS(
 AK465="Fast",
   IFS(
     OR(C465="B",C465="D"),XLOOKUP("timeout_coarse_fast",Calibration!$B:$B,Calibration!$C:$C,24),
     OR(C465="E",C465="F",C465="H",C465="I"),XLOOKUP("timeout_jcc_fast",Calibration!$B:$B,Calibration!$C:$C,10),
     OR(C465="G",C465="J"),XLOOKUP("timeout_duochrome_fast",Calibration!$B:$B,Calibration!$C:$C,8),
     C465="K",XLOOKUP("timeout_bino_fast",Calibration!$B:$B,Calibration!$C:$C,10),
     OR(C465="P",C465="Q",C465="R"),XLOOKUP("timeout_near_fast",Calibration!$B:$B,Calibration!$C:$C,16),
     TRUE,XLOOKUP("timeout_coarse_fast",Calibration!$B:$B,Calibration!$C:$C,24)
   ),
 AK465="Normal",
   IFS(
     OR(C465="B",C465="D"),XLOOKUP("timeout_coarse_normal",Calibration!$B:$B,Calibration!$C:$C,36),
     OR(C465="E",C465="F",C465="H",C465="I"),XLOOKUP("timeout_jcc_normal",Calibration!$B:$B,Calibration!$C:$C,14),
     OR(C465="G",C465="J"),XLOOKUP("timeout_duochrome_normal",Calibration!$B:$B,Calibration!$C:$C,10),
     C465="K",XLOOKUP("timeout_bino_normal",Calibration!$B:$B,Calibration!$C:$C,14),
     OR(C465="P",C465="Q",C465="R"),XLOOKUP("timeout_near_normal",Calibration!$B:$B,Calibration!$C:$C,22),
     TRUE,XLOOKUP("timeout_coarse_normal",Calibration!$B:$B,Calibration!$C:$C,36)
   ),
 TRUE,
   IFS(
     OR(C465="B",C465="D"),XLOOKUP("timeout_coarse_slow",Calibration!$B:$B,Calibration!$C:$C,48),
     OR(C465="E",C465="F",C465="H",C465="I"),XLOOKUP("timeout_jcc_slow",Calibration!$B:$B,Calibration!$C:$C,18),
     OR(C465="G",C465="J"),XLOOKUP("timeout_duochrome_slow",Calibration!$B:$B,Calibration!$C:$C,12),
     C465="K",XLOOKUP("timeout_bino_slow",Calibration!$B:$B,Calibration!$C:$C,18),
     OR(C465="P",C465="Q",C465="R"),XLOOKUP("timeout_near_slow",Calibration!$B:$B,Calibration!$C:$C,28),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AJ465=TRUE,"ESCALATE",
C465="A",
IF(OR(I465="NOT_READABLE",I465="BLURRY",AND(R465="20_20_20",I465="READABLE")),"B","A"),
C465="B",
IF(reEsc,"ESCALATE",IF(AY465&gt;=phaseMax,"ESCALATE",IF(AND(AV465&gt;=AW465,I465="READABLE"),"E","B"))),
C465="E",
IF(AY465&gt;=phaseMax,"ESCALATE",IF(OR(I465="SAME",I465="CANT_TELL",AD465&lt;axisTol),"F","E")),
C465="F",
IF(AY465&gt;=phaseMax,"ESCALATE",IF(AX465&gt;=powerSameN,"G","F")),
C465="G",
IF(AY465&gt;=phaseMax,"ESCALATE",IF(OR(AX465&gt;=duoEqualN,BB465&gt;=duoMax),"D","G")),
C465="D",
IF(leEsc,"ESCALATE",IF(AY465&gt;=phaseMax,"ESCALATE",IF(AND(AV465&gt;=AW465,I465="READABLE"),"H","D"))),
C465="H",
IF(AY465&gt;=phaseMax,"ESCALATE",IF(OR(I465="SAME",I465="CANT_TELL",AD465&lt;axisTol),"I","H")),
C465="I",
IF(AY465&gt;=phaseMax,"ESCALATE",IF(AX465&gt;=powerSameN,"J","I")),
C465="J",
IF(AY465&gt;=phaseMax,"ESCALATE",IF(OR(AX465&gt;=duoEqualN,BB465&gt;=duoMax),"K","J")),
C465="K",
IF(AY465&gt;=phaseMax,"ESCALATE",IF(AX465&gt;=binoSameN,IF(XLOOKUP($B465,Derived_Variables!$A:$A,Derived_Variables!$AJ:$AJ,FALSE)=TRUE,"P","END"),"K")),
C465="P",
IF(AY465&gt;=phaseMax,"ESCALATE",IF(OR(I465="READABLE",I465="SAME"),"Q","P")),
C465="Q",
IF(AY465&gt;=phaseMax,"ESCALATE",IF(OR(I465="READABLE",I465="SAME"),"R","Q")),
C465="R",
IF(AY465&gt;=phaseMax,"ESCALATE",IF(OR(I465=nearTarget,I465="SAME"),"END","R")),
TRUE,"END"
)))</f>
        <v/>
      </c>
      <c r="BD465" s="28" t="b">
        <f t="shared" si="19"/>
        <v>0</v>
      </c>
    </row>
    <row r="466" ht="15.75" customHeight="1">
      <c r="A466" s="28">
        <f t="shared" si="3"/>
        <v>465</v>
      </c>
      <c r="B466" s="28">
        <f t="shared" si="4"/>
        <v>6</v>
      </c>
      <c r="C466" s="28" t="str">
        <f t="shared" si="5"/>
        <v/>
      </c>
      <c r="D466" s="28" t="str">
        <f t="array" ref="D466">IF($I465="","",XLOOKUP(C466,FSM_State_Map!A:A,FSM_State_Map!B:B,""))</f>
        <v/>
      </c>
      <c r="E466" s="28" t="str">
        <f t="array" ref="E466">IF($I465="","",XLOOKUP(C466,FSM_State_Map!A:A,FSM_State_Map!C:C,""))</f>
        <v/>
      </c>
      <c r="F466" s="28" t="str">
        <f t="array" ref="F466">IF($I465="","",XLOOKUP(E466,Phase_UI_Map!A:A,Phase_UI_Map!B:B,""))</f>
        <v/>
      </c>
      <c r="G466" s="28" t="str">
        <f t="array" ref="G466">IF($I465="","",XLOOKUP(E466,Phase_UI_Map!A:A,Phase_UI_Map!C:C,""))</f>
        <v/>
      </c>
      <c r="H466" s="28" t="str">
        <f t="array" ref="H466">IF($I465="","",XLOOKUP(E466,Phase_UI_Map!A:A,Phase_UI_Map!D:D,""))</f>
        <v/>
      </c>
      <c r="I466" s="29"/>
      <c r="J466" s="28" t="str">
        <f>IFERROR(__xludf.DUMMYFUNCTION("IF($I465="""","""",IFERROR(INDEX(FILTER(Response_Lists!$B:$B,Response_Lists!$A:$A=$H466),1),""""))"),"")</f>
        <v/>
      </c>
      <c r="K466" s="28" t="str">
        <f>IFERROR(__xludf.DUMMYFUNCTION("IF($I465="""","""",IFERROR(INDEX(FILTER(Response_Lists!$B:$B,Response_Lists!$A:$A=$H466),2),""""))"),"")</f>
        <v/>
      </c>
      <c r="L466" s="28" t="str">
        <f>IFERROR(__xludf.DUMMYFUNCTION("IF($I465="""","""",IFERROR(INDEX(FILTER(Response_Lists!$B:$B,Response_Lists!$A:$A=$H466),3),""""))"),"")</f>
        <v/>
      </c>
      <c r="M466" s="28" t="str">
        <f>IFERROR(__xludf.DUMMYFUNCTION("IF($I465="""","""",IFERROR(INDEX(FILTER(Response_Lists!$B:$B,Response_Lists!$A:$A=$H466),4),""""))"),"")</f>
        <v/>
      </c>
      <c r="N466" s="28" t="str">
        <f>IFERROR(__xludf.DUMMYFUNCTION("IF($I465="""","""",IFERROR(INDEX(FILTER(Response_Lists!$B:$B,Response_Lists!$A:$A=$H466),5),""""))"),"")</f>
        <v/>
      </c>
      <c r="O466" s="28" t="str">
        <f>IFERROR(__xludf.DUMMYFUNCTION("IF($I465="""","""",IFERROR(INDEX(FILTER(Response_Lists!$B:$B,Response_Lists!$A:$A=$H466),6),""""))"),"")</f>
        <v/>
      </c>
      <c r="P466" s="28" t="str">
        <f t="shared" si="6"/>
        <v/>
      </c>
      <c r="Q466" s="28" t="str">
        <f t="array" ref="Q466">IF($I465="","",XLOOKUP(C466,FSM_State_Map!A:A,FSM_State_Map!D:D,""))</f>
        <v/>
      </c>
      <c r="R466" s="28" t="str">
        <f t="shared" si="7"/>
        <v/>
      </c>
      <c r="S466" s="28" t="str">
        <f t="array" ref="S466">IF($I465="","",
IF(
  AND(C466="B",C465&lt;&gt;"B"),
  XLOOKUP($B466,Derived_Variables!$A:$A,Derived_Variables!$K:$K,0)
  + XLOOKUP($B466,Derived_Variables!$A:$A,Derived_Variables!$AE:$AE,0),
  S465+AM465
))</f>
        <v/>
      </c>
      <c r="T466" s="28" t="str">
        <f t="shared" ref="T466:U466" si="942">IF($I465="","",T465+AN465)</f>
        <v/>
      </c>
      <c r="U466" s="28" t="str">
        <f t="shared" si="942"/>
        <v/>
      </c>
      <c r="V466" s="28" t="str">
        <f t="array" ref="V466">IF($I465="","",
IF(
  AND(C466="D",C465&lt;&gt;"D"),
  XLOOKUP($B466,Derived_Variables!$A:$A,Derived_Variables!$N:$N,0)
  + XLOOKUP($B466,Derived_Variables!$A:$A,Derived_Variables!$AE:$AE,0),
  V465+AP465
))</f>
        <v/>
      </c>
      <c r="W466" s="28" t="str">
        <f t="shared" ref="W466:X466" si="943">IF($I465="","",W465+AQ465)</f>
        <v/>
      </c>
      <c r="X466" s="28" t="str">
        <f t="shared" si="943"/>
        <v/>
      </c>
      <c r="Y466" s="28" t="str">
        <f t="array" ref="Y466">IF($I465="","",IF(AND(C466="P",C465&lt;&gt;"P"),IFERROR(XLOOKUP($B466,Lenso_Input!$A:$A,Lenso_Input!$E:$E,0),0),Y465+AS465))</f>
        <v/>
      </c>
      <c r="Z466" s="28" t="str">
        <f t="array" ref="Z466">IF($I465="","",IF(AND(C466="Q",C465&lt;&gt;"Q"),IFERROR(XLOOKUP($B466,Lenso_Input!$A:$A,Lenso_Input!$I:$I,0),0),Z465+AT465))</f>
        <v/>
      </c>
      <c r="AA466" s="28" t="str">
        <f t="array" ref="AA466">IF($I465="","",IF(XLOOKUP($B466,Derived_Variables!$A:$A,Derived_Variables!$R:$R,"6/6_target")="6/6_target","20_20_20","40_30_25"))</f>
        <v/>
      </c>
      <c r="AB466" s="28" t="str">
        <f t="array" ref="AB466">IF($I465="","",XLOOKUP(LOWER(XLOOKUP($B466,Derived_Variables!$A:$A,Derived_Variables!$T:$T,"Standard"))&amp;"_sph_step",Calibration!$B:$B,Calibration!$C:$C,0.25))</f>
        <v/>
      </c>
      <c r="AC466" s="28" t="str">
        <f t="array" ref="AC466">IF($I465="","",XLOOKUP(LOWER(XLOOKUP($B466,Derived_Variables!$A:$A,Derived_Variables!$T:$T,"Standard"))&amp;"_cyl_step",Calibration!$B:$B,Calibration!$C:$C,0.25))</f>
        <v/>
      </c>
      <c r="AD466" s="28" t="str">
        <f t="array" ref="AD466">IF($I465="","",IF(OR(C466="E",C466="H"),LET(startStep,XLOOKUP("axis_start_step",Calibration!$B:$B,Calibration!$C:$C,5),step1,XLOOKUP("axis_reversal_step_1",Calibration!$B:$B,Calibration!$C:$C,3),step2,XLOOKUP("axis_reversal_step_2",Calibration!$B:$B,Calibration!$C:$C,1),IF(OR(C465&lt;&gt;C466,AZ466="",AZ466="SAME",AZ466="CANT_TELL",I466="",I466="SAME",I466="CANT_TELL"),startStep,IF(OR(AND(AZ466="BETTER_1",I466="BETTER_2"),AND(AZ466="BETTER_2",I466="BETTER_1")),IF(AD465&gt;step1,step1,step2),AD465))),0))</f>
        <v/>
      </c>
      <c r="AE466" s="28" t="str">
        <f t="array" ref="AE466">IF($I465="","",XLOOKUP($B466,Derived_Variables!$A:$A,Derived_Variables!$AD:$AD,"No_Fog"))</f>
        <v/>
      </c>
      <c r="AF466" s="28" t="str">
        <f t="array" ref="AF466">IF($I465="","",XLOOKUP($B466,Derived_Variables!$A:$A,Derived_Variables!$AE:$AE,0))</f>
        <v/>
      </c>
      <c r="AG466" s="28" t="str">
        <f t="array" ref="AG466">IF($I465="","",XLOOKUP($B466,Derived_Variables!$A:$A,Derived_Variables!$AF:$AF,""))</f>
        <v/>
      </c>
      <c r="AH466" s="28" t="str">
        <f t="array" ref="AH466">IF($I465="","",XLOOKUP($B466,Derived_Variables!$A:$A,Derived_Variables!$AG:$AG,""))</f>
        <v/>
      </c>
      <c r="AI466" s="28" t="str">
        <f t="array" ref="AI466">IF($I465="","",XLOOKUP($B466,Derived_Variables!$A:$A,Derived_Variables!$AC:$AC,"Medium"))</f>
        <v/>
      </c>
      <c r="AJ466" s="28" t="str">
        <f t="array" ref="AJ466">IF($I465="","",XLOOKUP($B466,Derived_Variables!$A:$A,Derived_Variables!$Y:$Y,FALSE))</f>
        <v/>
      </c>
      <c r="AK466" s="28" t="str">
        <f t="array" ref="AK466">IF($I465="","",XLOOKUP($B466,Derived_Variables!$A:$A,Derived_Variables!$AA:$AA,"Normal"))</f>
        <v/>
      </c>
      <c r="AL466" s="28" t="str">
        <f t="array" ref="AL466">IF($I465="","",XLOOKUP($B466,Derived_Variables!$A:$A,Derived_Variables!$AB:$AB,"Normal"))</f>
        <v/>
      </c>
      <c r="AM466" s="28" t="str">
        <f t="array" ref="AM466">IF($I466="","",IFS(C466="B",IF(OR(I466="NOT_READABLE",I466="BLURRY"),-AB466,0),C466="G",IFS(I466="RED_CLEARER",XLOOKUP("duochrome_red_step",Calibration!$B:$B,Calibration!$C:$C,-0.25),I466="GREEN_CLEARER",XLOOKUP("duochrome_green_step",Calibration!$B:$B,Calibration!$C:$C,0.25),I466="EQUAL",IF(XLOOKUP($B466,Derived_Variables!$A:$A,Derived_Variables!$S:$S,"Neutral")="Undercorrect",XLOOKUP("undercorrect_step",Calibration!$B:$B,Calibration!$C:$C,0.25),IF(XLOOKUP($B466,Derived_Variables!$A:$A,Derived_Variables!$S:$S,"Neutral")="Overcorrect",-XLOOKUP("overcorrect_step",Calibration!$B:$B,Calibration!$C:$C,0.25),0)),TRUE,0),C466="K",IF(I466="TOP_CLEARER",XLOOKUP("bino_balance_step",Calibration!$B:$B,Calibration!$C:$C,0.25),0),TRUE,0))</f>
        <v/>
      </c>
      <c r="AN466" s="28" t="str">
        <f t="shared" si="10"/>
        <v/>
      </c>
      <c r="AO466" s="28" t="str">
        <f t="shared" si="11"/>
        <v/>
      </c>
      <c r="AP466" s="28" t="str">
        <f t="array" ref="AP466">IF($I466="","",IFS(C466="D",IF(OR(I466="NOT_READABLE",I466="BLURRY"),-AB466,0),C466="J",IFS(I466="RED_CLEARER",XLOOKUP("duochrome_red_step",Calibration!$B:$B,Calibration!$C:$C,-0.25),I466="GREEN_CLEARER",XLOOKUP("duochrome_green_step",Calibration!$B:$B,Calibration!$C:$C,0.25),I466="EQUAL",IF(XLOOKUP($B466,Derived_Variables!$A:$A,Derived_Variables!$S:$S,"Neutral")="Undercorrect",XLOOKUP("undercorrect_step",Calibration!$B:$B,Calibration!$C:$C,0.25),IF(XLOOKUP($B466,Derived_Variables!$A:$A,Derived_Variables!$S:$S,"Neutral")="Overcorrect",-XLOOKUP("overcorrect_step",Calibration!$B:$B,Calibration!$C:$C,0.25),0)),TRUE,0),C466="K",IF(I466="BOTTOM_CLEARER",XLOOKUP("bino_balance_step",Calibration!$B:$B,Calibration!$C:$C,0.25),0),TRUE,0))</f>
        <v/>
      </c>
      <c r="AQ466" s="28" t="str">
        <f t="shared" si="12"/>
        <v/>
      </c>
      <c r="AR466" s="28" t="str">
        <f t="shared" si="13"/>
        <v/>
      </c>
      <c r="AS466" s="28" t="str">
        <f t="array" ref="AS466">IF($I466="","",IF(C466="P",IF(OR(I466="NOT_READABLE",I466="BLURRY"),XLOOKUP("near_add_step",Calibration!$B:$B,Calibration!$C:$C,0.25),0),IF(C466="R",IF(I466="NOT_CLEAR",XLOOKUP("near_add_step",Calibration!$B:$B,Calibration!$C:$C,0.25),0),0)))</f>
        <v/>
      </c>
      <c r="AT466" s="28" t="str">
        <f t="array" ref="AT466">IF($I466="","",IF(C466="Q",IF(OR(I466="NOT_READABLE",I466="BLURRY"),XLOOKUP("near_add_step",Calibration!$B:$B,Calibration!$C:$C,0.25),0),IF(C466="R",IF(I466="NOT_CLEAR",XLOOKUP("near_add_step",Calibration!$B:$B,Calibration!$C:$C,0.25),0),0)))</f>
        <v/>
      </c>
      <c r="AU466" s="28" t="str">
        <f t="array" ref="AU466">IF($I466="","",IF(G466="SNELLEN_FEET",IF(I466="READABLE",IFERROR(XLOOKUP(XLOOKUP(R466,Chart_Scale_Distance!B:B,Chart_Scale_Distance!A:A)+1,Chart_Scale_Distance!A:A,Chart_Scale_Distance!B:B),R466),R466),R466))</f>
        <v/>
      </c>
      <c r="AV466" s="28" t="str">
        <f t="array" ref="AV466">IF($I465="","",IFERROR(XLOOKUP(R466,Chart_Scale_Distance!$B:$B,Chart_Scale_Distance!$A:$A,""),""))</f>
        <v/>
      </c>
      <c r="AW466" s="28" t="str">
        <f t="array" ref="AW466">IF($I465="","",IFERROR(XLOOKUP(AA466,Chart_Scale_Distance!$B:$B,Chart_Scale_Distance!$A:$A,""),""))</f>
        <v/>
      </c>
      <c r="AX466" s="28" t="str">
        <f t="shared" si="14"/>
        <v/>
      </c>
      <c r="AY466" s="28" t="str">
        <f t="shared" si="15"/>
        <v/>
      </c>
      <c r="AZ466" s="28" t="str">
        <f t="shared" si="16"/>
        <v/>
      </c>
      <c r="BA466" s="28" t="str">
        <f t="shared" si="17"/>
        <v/>
      </c>
      <c r="BB466" s="28" t="str">
        <f t="shared" si="18"/>
        <v/>
      </c>
      <c r="BC466" s="28" t="str">
        <f t="array" ref="BC466">IF($I466="","",LET(
conf,AI466,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duoMax,XLOOKUP($B466,Derived_Variables!$A:$A,Derived_Variables!$AI:$AI,4),
axisTol,XLOOKUP($B466,Derived_Variables!$A:$A,Derived_Variables!$W:$W,1),
maxStart,XLOOKUP($B466,Derived_Variables!$A:$A,Derived_Variables!$U:$U,1.25),
maxAR,XLOOKUP($B466,Derived_Variables!$A:$A,Derived_Variables!$V:$V,3),
anom,XLOOKUP($B466,Derived_Variables!$A:$A,Derived_Variables!$Z:$Z,FALSE),
reStart,XLOOKUP($B466,Derived_Variables!$A:$A,Derived_Variables!$K:$K,0),
leStart,XLOOKUP($B466,Derived_Variables!$A:$A,Derived_Variables!$N:$N,0),
reAR,XLOOKUP($B466,AR_Input!$A:$A,AR_Input!$B:$B,reStart),
leAR,XLOOKUP($B466,AR_Input!$A:$A,AR_Input!$E:$E,leStart),
reEsc,AND(anom,OR(ABS((S466+AM466)-reStart)&gt;maxStart,ABS((S466+AM466)-reAR)&gt;maxAR)),
leEsc,AND(anom,OR(ABS((V466+AP466)-leStart)&gt;maxStart,ABS((V466+AP466)-leAR)&gt;maxAR)),
phaseMax,IFS(
 AK466="Fast",
   IFS(
     OR(C466="B",C466="D"),XLOOKUP("timeout_coarse_fast",Calibration!$B:$B,Calibration!$C:$C,24),
     OR(C466="E",C466="F",C466="H",C466="I"),XLOOKUP("timeout_jcc_fast",Calibration!$B:$B,Calibration!$C:$C,10),
     OR(C466="G",C466="J"),XLOOKUP("timeout_duochrome_fast",Calibration!$B:$B,Calibration!$C:$C,8),
     C466="K",XLOOKUP("timeout_bino_fast",Calibration!$B:$B,Calibration!$C:$C,10),
     OR(C466="P",C466="Q",C466="R"),XLOOKUP("timeout_near_fast",Calibration!$B:$B,Calibration!$C:$C,16),
     TRUE,XLOOKUP("timeout_coarse_fast",Calibration!$B:$B,Calibration!$C:$C,24)
   ),
 AK466="Normal",
   IFS(
     OR(C466="B",C466="D"),XLOOKUP("timeout_coarse_normal",Calibration!$B:$B,Calibration!$C:$C,36),
     OR(C466="E",C466="F",C466="H",C466="I"),XLOOKUP("timeout_jcc_normal",Calibration!$B:$B,Calibration!$C:$C,14),
     OR(C466="G",C466="J"),XLOOKUP("timeout_duochrome_normal",Calibration!$B:$B,Calibration!$C:$C,10),
     C466="K",XLOOKUP("timeout_bino_normal",Calibration!$B:$B,Calibration!$C:$C,14),
     OR(C466="P",C466="Q",C466="R"),XLOOKUP("timeout_near_normal",Calibration!$B:$B,Calibration!$C:$C,22),
     TRUE,XLOOKUP("timeout_coarse_normal",Calibration!$B:$B,Calibration!$C:$C,36)
   ),
 TRUE,
   IFS(
     OR(C466="B",C466="D"),XLOOKUP("timeout_coarse_slow",Calibration!$B:$B,Calibration!$C:$C,48),
     OR(C466="E",C466="F",C466="H",C466="I"),XLOOKUP("timeout_jcc_slow",Calibration!$B:$B,Calibration!$C:$C,18),
     OR(C466="G",C466="J"),XLOOKUP("timeout_duochrome_slow",Calibration!$B:$B,Calibration!$C:$C,12),
     C466="K",XLOOKUP("timeout_bino_slow",Calibration!$B:$B,Calibration!$C:$C,18),
     OR(C466="P",C466="Q",C466="R"),XLOOKUP("timeout_near_slow",Calibration!$B:$B,Calibration!$C:$C,28),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AJ466=TRUE,"ESCALATE",
C466="A",
IF(OR(I466="NOT_READABLE",I466="BLURRY",AND(R466="20_20_20",I466="READABLE")),"B","A"),
C466="B",
IF(reEsc,"ESCALATE",IF(AY466&gt;=phaseMax,"ESCALATE",IF(AND(AV466&gt;=AW466,I466="READABLE"),"E","B"))),
C466="E",
IF(AY466&gt;=phaseMax,"ESCALATE",IF(OR(I466="SAME",I466="CANT_TELL",AD466&lt;axisTol),"F","E")),
C466="F",
IF(AY466&gt;=phaseMax,"ESCALATE",IF(AX466&gt;=powerSameN,"G","F")),
C466="G",
IF(AY466&gt;=phaseMax,"ESCALATE",IF(OR(AX466&gt;=duoEqualN,BB466&gt;=duoMax),"D","G")),
C466="D",
IF(leEsc,"ESCALATE",IF(AY466&gt;=phaseMax,"ESCALATE",IF(AND(AV466&gt;=AW466,I466="READABLE"),"H","D"))),
C466="H",
IF(AY466&gt;=phaseMax,"ESCALATE",IF(OR(I466="SAME",I466="CANT_TELL",AD466&lt;axisTol),"I","H")),
C466="I",
IF(AY466&gt;=phaseMax,"ESCALATE",IF(AX466&gt;=powerSameN,"J","I")),
C466="J",
IF(AY466&gt;=phaseMax,"ESCALATE",IF(OR(AX466&gt;=duoEqualN,BB466&gt;=duoMax),"K","J")),
C466="K",
IF(AY466&gt;=phaseMax,"ESCALATE",IF(AX466&gt;=binoSameN,IF(XLOOKUP($B466,Derived_Variables!$A:$A,Derived_Variables!$AJ:$AJ,FALSE)=TRUE,"P","END"),"K")),
C466="P",
IF(AY466&gt;=phaseMax,"ESCALATE",IF(OR(I466="READABLE",I466="SAME"),"Q","P")),
C466="Q",
IF(AY466&gt;=phaseMax,"ESCALATE",IF(OR(I466="READABLE",I466="SAME"),"R","Q")),
C466="R",
IF(AY466&gt;=phaseMax,"ESCALATE",IF(OR(I466=nearTarget,I466="SAME"),"END","R")),
TRUE,"END"
)))</f>
        <v/>
      </c>
      <c r="BD466" s="28" t="b">
        <f t="shared" si="19"/>
        <v>0</v>
      </c>
    </row>
    <row r="467" ht="15.75" customHeight="1">
      <c r="A467" s="28">
        <f t="shared" si="3"/>
        <v>466</v>
      </c>
      <c r="B467" s="28">
        <f t="shared" si="4"/>
        <v>6</v>
      </c>
      <c r="C467" s="28" t="str">
        <f t="shared" si="5"/>
        <v/>
      </c>
      <c r="D467" s="28" t="str">
        <f t="array" ref="D467">IF($I466="","",XLOOKUP(C467,FSM_State_Map!A:A,FSM_State_Map!B:B,""))</f>
        <v/>
      </c>
      <c r="E467" s="28" t="str">
        <f t="array" ref="E467">IF($I466="","",XLOOKUP(C467,FSM_State_Map!A:A,FSM_State_Map!C:C,""))</f>
        <v/>
      </c>
      <c r="F467" s="28" t="str">
        <f t="array" ref="F467">IF($I466="","",XLOOKUP(E467,Phase_UI_Map!A:A,Phase_UI_Map!B:B,""))</f>
        <v/>
      </c>
      <c r="G467" s="28" t="str">
        <f t="array" ref="G467">IF($I466="","",XLOOKUP(E467,Phase_UI_Map!A:A,Phase_UI_Map!C:C,""))</f>
        <v/>
      </c>
      <c r="H467" s="28" t="str">
        <f t="array" ref="H467">IF($I466="","",XLOOKUP(E467,Phase_UI_Map!A:A,Phase_UI_Map!D:D,""))</f>
        <v/>
      </c>
      <c r="I467" s="29"/>
      <c r="J467" s="28" t="str">
        <f>IFERROR(__xludf.DUMMYFUNCTION("IF($I466="""","""",IFERROR(INDEX(FILTER(Response_Lists!$B:$B,Response_Lists!$A:$A=$H467),1),""""))"),"")</f>
        <v/>
      </c>
      <c r="K467" s="28" t="str">
        <f>IFERROR(__xludf.DUMMYFUNCTION("IF($I466="""","""",IFERROR(INDEX(FILTER(Response_Lists!$B:$B,Response_Lists!$A:$A=$H467),2),""""))"),"")</f>
        <v/>
      </c>
      <c r="L467" s="28" t="str">
        <f>IFERROR(__xludf.DUMMYFUNCTION("IF($I466="""","""",IFERROR(INDEX(FILTER(Response_Lists!$B:$B,Response_Lists!$A:$A=$H467),3),""""))"),"")</f>
        <v/>
      </c>
      <c r="M467" s="28" t="str">
        <f>IFERROR(__xludf.DUMMYFUNCTION("IF($I466="""","""",IFERROR(INDEX(FILTER(Response_Lists!$B:$B,Response_Lists!$A:$A=$H467),4),""""))"),"")</f>
        <v/>
      </c>
      <c r="N467" s="28" t="str">
        <f>IFERROR(__xludf.DUMMYFUNCTION("IF($I466="""","""",IFERROR(INDEX(FILTER(Response_Lists!$B:$B,Response_Lists!$A:$A=$H467),5),""""))"),"")</f>
        <v/>
      </c>
      <c r="O467" s="28" t="str">
        <f>IFERROR(__xludf.DUMMYFUNCTION("IF($I466="""","""",IFERROR(INDEX(FILTER(Response_Lists!$B:$B,Response_Lists!$A:$A=$H467),6),""""))"),"")</f>
        <v/>
      </c>
      <c r="P467" s="28" t="str">
        <f t="shared" si="6"/>
        <v/>
      </c>
      <c r="Q467" s="28" t="str">
        <f t="array" ref="Q467">IF($I466="","",XLOOKUP(C467,FSM_State_Map!A:A,FSM_State_Map!D:D,""))</f>
        <v/>
      </c>
      <c r="R467" s="28" t="str">
        <f t="shared" si="7"/>
        <v/>
      </c>
      <c r="S467" s="28" t="str">
        <f t="array" ref="S467">IF($I466="","",
IF(
  AND(C467="B",C466&lt;&gt;"B"),
  XLOOKUP($B467,Derived_Variables!$A:$A,Derived_Variables!$K:$K,0)
  + XLOOKUP($B467,Derived_Variables!$A:$A,Derived_Variables!$AE:$AE,0),
  S466+AM466
))</f>
        <v/>
      </c>
      <c r="T467" s="28" t="str">
        <f t="shared" ref="T467:U467" si="944">IF($I466="","",T466+AN466)</f>
        <v/>
      </c>
      <c r="U467" s="28" t="str">
        <f t="shared" si="944"/>
        <v/>
      </c>
      <c r="V467" s="28" t="str">
        <f t="array" ref="V467">IF($I466="","",
IF(
  AND(C467="D",C466&lt;&gt;"D"),
  XLOOKUP($B467,Derived_Variables!$A:$A,Derived_Variables!$N:$N,0)
  + XLOOKUP($B467,Derived_Variables!$A:$A,Derived_Variables!$AE:$AE,0),
  V466+AP466
))</f>
        <v/>
      </c>
      <c r="W467" s="28" t="str">
        <f t="shared" ref="W467:X467" si="945">IF($I466="","",W466+AQ466)</f>
        <v/>
      </c>
      <c r="X467" s="28" t="str">
        <f t="shared" si="945"/>
        <v/>
      </c>
      <c r="Y467" s="28" t="str">
        <f t="array" ref="Y467">IF($I466="","",IF(AND(C467="P",C466&lt;&gt;"P"),IFERROR(XLOOKUP($B467,Lenso_Input!$A:$A,Lenso_Input!$E:$E,0),0),Y466+AS466))</f>
        <v/>
      </c>
      <c r="Z467" s="28" t="str">
        <f t="array" ref="Z467">IF($I466="","",IF(AND(C467="Q",C466&lt;&gt;"Q"),IFERROR(XLOOKUP($B467,Lenso_Input!$A:$A,Lenso_Input!$I:$I,0),0),Z466+AT466))</f>
        <v/>
      </c>
      <c r="AA467" s="28" t="str">
        <f t="array" ref="AA467">IF($I466="","",IF(XLOOKUP($B467,Derived_Variables!$A:$A,Derived_Variables!$R:$R,"6/6_target")="6/6_target","20_20_20","40_30_25"))</f>
        <v/>
      </c>
      <c r="AB467" s="28" t="str">
        <f t="array" ref="AB467">IF($I466="","",XLOOKUP(LOWER(XLOOKUP($B467,Derived_Variables!$A:$A,Derived_Variables!$T:$T,"Standard"))&amp;"_sph_step",Calibration!$B:$B,Calibration!$C:$C,0.25))</f>
        <v/>
      </c>
      <c r="AC467" s="28" t="str">
        <f t="array" ref="AC467">IF($I466="","",XLOOKUP(LOWER(XLOOKUP($B467,Derived_Variables!$A:$A,Derived_Variables!$T:$T,"Standard"))&amp;"_cyl_step",Calibration!$B:$B,Calibration!$C:$C,0.25))</f>
        <v/>
      </c>
      <c r="AD467" s="28" t="str">
        <f t="array" ref="AD467">IF($I466="","",IF(OR(C467="E",C467="H"),LET(startStep,XLOOKUP("axis_start_step",Calibration!$B:$B,Calibration!$C:$C,5),step1,XLOOKUP("axis_reversal_step_1",Calibration!$B:$B,Calibration!$C:$C,3),step2,XLOOKUP("axis_reversal_step_2",Calibration!$B:$B,Calibration!$C:$C,1),IF(OR(C466&lt;&gt;C467,AZ467="",AZ467="SAME",AZ467="CANT_TELL",I467="",I467="SAME",I467="CANT_TELL"),startStep,IF(OR(AND(AZ467="BETTER_1",I467="BETTER_2"),AND(AZ467="BETTER_2",I467="BETTER_1")),IF(AD466&gt;step1,step1,step2),AD466))),0))</f>
        <v/>
      </c>
      <c r="AE467" s="28" t="str">
        <f t="array" ref="AE467">IF($I466="","",XLOOKUP($B467,Derived_Variables!$A:$A,Derived_Variables!$AD:$AD,"No_Fog"))</f>
        <v/>
      </c>
      <c r="AF467" s="28" t="str">
        <f t="array" ref="AF467">IF($I466="","",XLOOKUP($B467,Derived_Variables!$A:$A,Derived_Variables!$AE:$AE,0))</f>
        <v/>
      </c>
      <c r="AG467" s="28" t="str">
        <f t="array" ref="AG467">IF($I466="","",XLOOKUP($B467,Derived_Variables!$A:$A,Derived_Variables!$AF:$AF,""))</f>
        <v/>
      </c>
      <c r="AH467" s="28" t="str">
        <f t="array" ref="AH467">IF($I466="","",XLOOKUP($B467,Derived_Variables!$A:$A,Derived_Variables!$AG:$AG,""))</f>
        <v/>
      </c>
      <c r="AI467" s="28" t="str">
        <f t="array" ref="AI467">IF($I466="","",XLOOKUP($B467,Derived_Variables!$A:$A,Derived_Variables!$AC:$AC,"Medium"))</f>
        <v/>
      </c>
      <c r="AJ467" s="28" t="str">
        <f t="array" ref="AJ467">IF($I466="","",XLOOKUP($B467,Derived_Variables!$A:$A,Derived_Variables!$Y:$Y,FALSE))</f>
        <v/>
      </c>
      <c r="AK467" s="28" t="str">
        <f t="array" ref="AK467">IF($I466="","",XLOOKUP($B467,Derived_Variables!$A:$A,Derived_Variables!$AA:$AA,"Normal"))</f>
        <v/>
      </c>
      <c r="AL467" s="28" t="str">
        <f t="array" ref="AL467">IF($I466="","",XLOOKUP($B467,Derived_Variables!$A:$A,Derived_Variables!$AB:$AB,"Normal"))</f>
        <v/>
      </c>
      <c r="AM467" s="28" t="str">
        <f t="array" ref="AM467">IF($I467="","",IFS(C467="B",IF(OR(I467="NOT_READABLE",I467="BLURRY"),-AB467,0),C467="G",IFS(I467="RED_CLEARER",XLOOKUP("duochrome_red_step",Calibration!$B:$B,Calibration!$C:$C,-0.25),I467="GREEN_CLEARER",XLOOKUP("duochrome_green_step",Calibration!$B:$B,Calibration!$C:$C,0.25),I467="EQUAL",IF(XLOOKUP($B467,Derived_Variables!$A:$A,Derived_Variables!$S:$S,"Neutral")="Undercorrect",XLOOKUP("undercorrect_step",Calibration!$B:$B,Calibration!$C:$C,0.25),IF(XLOOKUP($B467,Derived_Variables!$A:$A,Derived_Variables!$S:$S,"Neutral")="Overcorrect",-XLOOKUP("overcorrect_step",Calibration!$B:$B,Calibration!$C:$C,0.25),0)),TRUE,0),C467="K",IF(I467="TOP_CLEARER",XLOOKUP("bino_balance_step",Calibration!$B:$B,Calibration!$C:$C,0.25),0),TRUE,0))</f>
        <v/>
      </c>
      <c r="AN467" s="28" t="str">
        <f t="shared" si="10"/>
        <v/>
      </c>
      <c r="AO467" s="28" t="str">
        <f t="shared" si="11"/>
        <v/>
      </c>
      <c r="AP467" s="28" t="str">
        <f t="array" ref="AP467">IF($I467="","",IFS(C467="D",IF(OR(I467="NOT_READABLE",I467="BLURRY"),-AB467,0),C467="J",IFS(I467="RED_CLEARER",XLOOKUP("duochrome_red_step",Calibration!$B:$B,Calibration!$C:$C,-0.25),I467="GREEN_CLEARER",XLOOKUP("duochrome_green_step",Calibration!$B:$B,Calibration!$C:$C,0.25),I467="EQUAL",IF(XLOOKUP($B467,Derived_Variables!$A:$A,Derived_Variables!$S:$S,"Neutral")="Undercorrect",XLOOKUP("undercorrect_step",Calibration!$B:$B,Calibration!$C:$C,0.25),IF(XLOOKUP($B467,Derived_Variables!$A:$A,Derived_Variables!$S:$S,"Neutral")="Overcorrect",-XLOOKUP("overcorrect_step",Calibration!$B:$B,Calibration!$C:$C,0.25),0)),TRUE,0),C467="K",IF(I467="BOTTOM_CLEARER",XLOOKUP("bino_balance_step",Calibration!$B:$B,Calibration!$C:$C,0.25),0),TRUE,0))</f>
        <v/>
      </c>
      <c r="AQ467" s="28" t="str">
        <f t="shared" si="12"/>
        <v/>
      </c>
      <c r="AR467" s="28" t="str">
        <f t="shared" si="13"/>
        <v/>
      </c>
      <c r="AS467" s="28" t="str">
        <f t="array" ref="AS467">IF($I467="","",IF(C467="P",IF(OR(I467="NOT_READABLE",I467="BLURRY"),XLOOKUP("near_add_step",Calibration!$B:$B,Calibration!$C:$C,0.25),0),IF(C467="R",IF(I467="NOT_CLEAR",XLOOKUP("near_add_step",Calibration!$B:$B,Calibration!$C:$C,0.25),0),0)))</f>
        <v/>
      </c>
      <c r="AT467" s="28" t="str">
        <f t="array" ref="AT467">IF($I467="","",IF(C467="Q",IF(OR(I467="NOT_READABLE",I467="BLURRY"),XLOOKUP("near_add_step",Calibration!$B:$B,Calibration!$C:$C,0.25),0),IF(C467="R",IF(I467="NOT_CLEAR",XLOOKUP("near_add_step",Calibration!$B:$B,Calibration!$C:$C,0.25),0),0)))</f>
        <v/>
      </c>
      <c r="AU467" s="28" t="str">
        <f t="array" ref="AU467">IF($I467="","",IF(G467="SNELLEN_FEET",IF(I467="READABLE",IFERROR(XLOOKUP(XLOOKUP(R467,Chart_Scale_Distance!B:B,Chart_Scale_Distance!A:A)+1,Chart_Scale_Distance!A:A,Chart_Scale_Distance!B:B),R467),R467),R467))</f>
        <v/>
      </c>
      <c r="AV467" s="28" t="str">
        <f t="array" ref="AV467">IF($I466="","",IFERROR(XLOOKUP(R467,Chart_Scale_Distance!$B:$B,Chart_Scale_Distance!$A:$A,""),""))</f>
        <v/>
      </c>
      <c r="AW467" s="28" t="str">
        <f t="array" ref="AW467">IF($I466="","",IFERROR(XLOOKUP(AA467,Chart_Scale_Distance!$B:$B,Chart_Scale_Distance!$A:$A,""),""))</f>
        <v/>
      </c>
      <c r="AX467" s="28" t="str">
        <f t="shared" si="14"/>
        <v/>
      </c>
      <c r="AY467" s="28" t="str">
        <f t="shared" si="15"/>
        <v/>
      </c>
      <c r="AZ467" s="28" t="str">
        <f t="shared" si="16"/>
        <v/>
      </c>
      <c r="BA467" s="28" t="str">
        <f t="shared" si="17"/>
        <v/>
      </c>
      <c r="BB467" s="28" t="str">
        <f t="shared" si="18"/>
        <v/>
      </c>
      <c r="BC467" s="28" t="str">
        <f t="array" ref="BC467">IF($I467="","",LET(
conf,AI467,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duoMax,XLOOKUP($B467,Derived_Variables!$A:$A,Derived_Variables!$AI:$AI,4),
axisTol,XLOOKUP($B467,Derived_Variables!$A:$A,Derived_Variables!$W:$W,1),
maxStart,XLOOKUP($B467,Derived_Variables!$A:$A,Derived_Variables!$U:$U,1.25),
maxAR,XLOOKUP($B467,Derived_Variables!$A:$A,Derived_Variables!$V:$V,3),
anom,XLOOKUP($B467,Derived_Variables!$A:$A,Derived_Variables!$Z:$Z,FALSE),
reStart,XLOOKUP($B467,Derived_Variables!$A:$A,Derived_Variables!$K:$K,0),
leStart,XLOOKUP($B467,Derived_Variables!$A:$A,Derived_Variables!$N:$N,0),
reAR,XLOOKUP($B467,AR_Input!$A:$A,AR_Input!$B:$B,reStart),
leAR,XLOOKUP($B467,AR_Input!$A:$A,AR_Input!$E:$E,leStart),
reEsc,AND(anom,OR(ABS((S467+AM467)-reStart)&gt;maxStart,ABS((S467+AM467)-reAR)&gt;maxAR)),
leEsc,AND(anom,OR(ABS((V467+AP467)-leStart)&gt;maxStart,ABS((V467+AP467)-leAR)&gt;maxAR)),
phaseMax,IFS(
 AK467="Fast",
   IFS(
     OR(C467="B",C467="D"),XLOOKUP("timeout_coarse_fast",Calibration!$B:$B,Calibration!$C:$C,24),
     OR(C467="E",C467="F",C467="H",C467="I"),XLOOKUP("timeout_jcc_fast",Calibration!$B:$B,Calibration!$C:$C,10),
     OR(C467="G",C467="J"),XLOOKUP("timeout_duochrome_fast",Calibration!$B:$B,Calibration!$C:$C,8),
     C467="K",XLOOKUP("timeout_bino_fast",Calibration!$B:$B,Calibration!$C:$C,10),
     OR(C467="P",C467="Q",C467="R"),XLOOKUP("timeout_near_fast",Calibration!$B:$B,Calibration!$C:$C,16),
     TRUE,XLOOKUP("timeout_coarse_fast",Calibration!$B:$B,Calibration!$C:$C,24)
   ),
 AK467="Normal",
   IFS(
     OR(C467="B",C467="D"),XLOOKUP("timeout_coarse_normal",Calibration!$B:$B,Calibration!$C:$C,36),
     OR(C467="E",C467="F",C467="H",C467="I"),XLOOKUP("timeout_jcc_normal",Calibration!$B:$B,Calibration!$C:$C,14),
     OR(C467="G",C467="J"),XLOOKUP("timeout_duochrome_normal",Calibration!$B:$B,Calibration!$C:$C,10),
     C467="K",XLOOKUP("timeout_bino_normal",Calibration!$B:$B,Calibration!$C:$C,14),
     OR(C467="P",C467="Q",C467="R"),XLOOKUP("timeout_near_normal",Calibration!$B:$B,Calibration!$C:$C,22),
     TRUE,XLOOKUP("timeout_coarse_normal",Calibration!$B:$B,Calibration!$C:$C,36)
   ),
 TRUE,
   IFS(
     OR(C467="B",C467="D"),XLOOKUP("timeout_coarse_slow",Calibration!$B:$B,Calibration!$C:$C,48),
     OR(C467="E",C467="F",C467="H",C467="I"),XLOOKUP("timeout_jcc_slow",Calibration!$B:$B,Calibration!$C:$C,18),
     OR(C467="G",C467="J"),XLOOKUP("timeout_duochrome_slow",Calibration!$B:$B,Calibration!$C:$C,12),
     C467="K",XLOOKUP("timeout_bino_slow",Calibration!$B:$B,Calibration!$C:$C,18),
     OR(C467="P",C467="Q",C467="R"),XLOOKUP("timeout_near_slow",Calibration!$B:$B,Calibration!$C:$C,28),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AJ467=TRUE,"ESCALATE",
C467="A",
IF(OR(I467="NOT_READABLE",I467="BLURRY",AND(R467="20_20_20",I467="READABLE")),"B","A"),
C467="B",
IF(reEsc,"ESCALATE",IF(AY467&gt;=phaseMax,"ESCALATE",IF(AND(AV467&gt;=AW467,I467="READABLE"),"E","B"))),
C467="E",
IF(AY467&gt;=phaseMax,"ESCALATE",IF(OR(I467="SAME",I467="CANT_TELL",AD467&lt;axisTol),"F","E")),
C467="F",
IF(AY467&gt;=phaseMax,"ESCALATE",IF(AX467&gt;=powerSameN,"G","F")),
C467="G",
IF(AY467&gt;=phaseMax,"ESCALATE",IF(OR(AX467&gt;=duoEqualN,BB467&gt;=duoMax),"D","G")),
C467="D",
IF(leEsc,"ESCALATE",IF(AY467&gt;=phaseMax,"ESCALATE",IF(AND(AV467&gt;=AW467,I467="READABLE"),"H","D"))),
C467="H",
IF(AY467&gt;=phaseMax,"ESCALATE",IF(OR(I467="SAME",I467="CANT_TELL",AD467&lt;axisTol),"I","H")),
C467="I",
IF(AY467&gt;=phaseMax,"ESCALATE",IF(AX467&gt;=powerSameN,"J","I")),
C467="J",
IF(AY467&gt;=phaseMax,"ESCALATE",IF(OR(AX467&gt;=duoEqualN,BB467&gt;=duoMax),"K","J")),
C467="K",
IF(AY467&gt;=phaseMax,"ESCALATE",IF(AX467&gt;=binoSameN,IF(XLOOKUP($B467,Derived_Variables!$A:$A,Derived_Variables!$AJ:$AJ,FALSE)=TRUE,"P","END"),"K")),
C467="P",
IF(AY467&gt;=phaseMax,"ESCALATE",IF(OR(I467="READABLE",I467="SAME"),"Q","P")),
C467="Q",
IF(AY467&gt;=phaseMax,"ESCALATE",IF(OR(I467="READABLE",I467="SAME"),"R","Q")),
C467="R",
IF(AY467&gt;=phaseMax,"ESCALATE",IF(OR(I467=nearTarget,I467="SAME"),"END","R")),
TRUE,"END"
)))</f>
        <v/>
      </c>
      <c r="BD467" s="28" t="b">
        <f t="shared" si="19"/>
        <v>0</v>
      </c>
    </row>
    <row r="468" ht="15.75" customHeight="1">
      <c r="A468" s="28">
        <f t="shared" si="3"/>
        <v>467</v>
      </c>
      <c r="B468" s="28">
        <f t="shared" si="4"/>
        <v>6</v>
      </c>
      <c r="C468" s="28" t="str">
        <f t="shared" si="5"/>
        <v/>
      </c>
      <c r="D468" s="28" t="str">
        <f t="array" ref="D468">IF($I467="","",XLOOKUP(C468,FSM_State_Map!A:A,FSM_State_Map!B:B,""))</f>
        <v/>
      </c>
      <c r="E468" s="28" t="str">
        <f t="array" ref="E468">IF($I467="","",XLOOKUP(C468,FSM_State_Map!A:A,FSM_State_Map!C:C,""))</f>
        <v/>
      </c>
      <c r="F468" s="28" t="str">
        <f t="array" ref="F468">IF($I467="","",XLOOKUP(E468,Phase_UI_Map!A:A,Phase_UI_Map!B:B,""))</f>
        <v/>
      </c>
      <c r="G468" s="28" t="str">
        <f t="array" ref="G468">IF($I467="","",XLOOKUP(E468,Phase_UI_Map!A:A,Phase_UI_Map!C:C,""))</f>
        <v/>
      </c>
      <c r="H468" s="28" t="str">
        <f t="array" ref="H468">IF($I467="","",XLOOKUP(E468,Phase_UI_Map!A:A,Phase_UI_Map!D:D,""))</f>
        <v/>
      </c>
      <c r="I468" s="29"/>
      <c r="J468" s="28" t="str">
        <f>IFERROR(__xludf.DUMMYFUNCTION("IF($I467="""","""",IFERROR(INDEX(FILTER(Response_Lists!$B:$B,Response_Lists!$A:$A=$H468),1),""""))"),"")</f>
        <v/>
      </c>
      <c r="K468" s="28" t="str">
        <f>IFERROR(__xludf.DUMMYFUNCTION("IF($I467="""","""",IFERROR(INDEX(FILTER(Response_Lists!$B:$B,Response_Lists!$A:$A=$H468),2),""""))"),"")</f>
        <v/>
      </c>
      <c r="L468" s="28" t="str">
        <f>IFERROR(__xludf.DUMMYFUNCTION("IF($I467="""","""",IFERROR(INDEX(FILTER(Response_Lists!$B:$B,Response_Lists!$A:$A=$H468),3),""""))"),"")</f>
        <v/>
      </c>
      <c r="M468" s="28" t="str">
        <f>IFERROR(__xludf.DUMMYFUNCTION("IF($I467="""","""",IFERROR(INDEX(FILTER(Response_Lists!$B:$B,Response_Lists!$A:$A=$H468),4),""""))"),"")</f>
        <v/>
      </c>
      <c r="N468" s="28" t="str">
        <f>IFERROR(__xludf.DUMMYFUNCTION("IF($I467="""","""",IFERROR(INDEX(FILTER(Response_Lists!$B:$B,Response_Lists!$A:$A=$H468),5),""""))"),"")</f>
        <v/>
      </c>
      <c r="O468" s="28" t="str">
        <f>IFERROR(__xludf.DUMMYFUNCTION("IF($I467="""","""",IFERROR(INDEX(FILTER(Response_Lists!$B:$B,Response_Lists!$A:$A=$H468),6),""""))"),"")</f>
        <v/>
      </c>
      <c r="P468" s="28" t="str">
        <f t="shared" si="6"/>
        <v/>
      </c>
      <c r="Q468" s="28" t="str">
        <f t="array" ref="Q468">IF($I467="","",XLOOKUP(C468,FSM_State_Map!A:A,FSM_State_Map!D:D,""))</f>
        <v/>
      </c>
      <c r="R468" s="28" t="str">
        <f t="shared" si="7"/>
        <v/>
      </c>
      <c r="S468" s="28" t="str">
        <f t="array" ref="S468">IF($I467="","",
IF(
  AND(C468="B",C467&lt;&gt;"B"),
  XLOOKUP($B468,Derived_Variables!$A:$A,Derived_Variables!$K:$K,0)
  + XLOOKUP($B468,Derived_Variables!$A:$A,Derived_Variables!$AE:$AE,0),
  S467+AM467
))</f>
        <v/>
      </c>
      <c r="T468" s="28" t="str">
        <f t="shared" ref="T468:U468" si="946">IF($I467="","",T467+AN467)</f>
        <v/>
      </c>
      <c r="U468" s="28" t="str">
        <f t="shared" si="946"/>
        <v/>
      </c>
      <c r="V468" s="28" t="str">
        <f t="array" ref="V468">IF($I467="","",
IF(
  AND(C468="D",C467&lt;&gt;"D"),
  XLOOKUP($B468,Derived_Variables!$A:$A,Derived_Variables!$N:$N,0)
  + XLOOKUP($B468,Derived_Variables!$A:$A,Derived_Variables!$AE:$AE,0),
  V467+AP467
))</f>
        <v/>
      </c>
      <c r="W468" s="28" t="str">
        <f t="shared" ref="W468:X468" si="947">IF($I467="","",W467+AQ467)</f>
        <v/>
      </c>
      <c r="X468" s="28" t="str">
        <f t="shared" si="947"/>
        <v/>
      </c>
      <c r="Y468" s="28" t="str">
        <f t="array" ref="Y468">IF($I467="","",IF(AND(C468="P",C467&lt;&gt;"P"),IFERROR(XLOOKUP($B468,Lenso_Input!$A:$A,Lenso_Input!$E:$E,0),0),Y467+AS467))</f>
        <v/>
      </c>
      <c r="Z468" s="28" t="str">
        <f t="array" ref="Z468">IF($I467="","",IF(AND(C468="Q",C467&lt;&gt;"Q"),IFERROR(XLOOKUP($B468,Lenso_Input!$A:$A,Lenso_Input!$I:$I,0),0),Z467+AT467))</f>
        <v/>
      </c>
      <c r="AA468" s="28" t="str">
        <f t="array" ref="AA468">IF($I467="","",IF(XLOOKUP($B468,Derived_Variables!$A:$A,Derived_Variables!$R:$R,"6/6_target")="6/6_target","20_20_20","40_30_25"))</f>
        <v/>
      </c>
      <c r="AB468" s="28" t="str">
        <f t="array" ref="AB468">IF($I467="","",XLOOKUP(LOWER(XLOOKUP($B468,Derived_Variables!$A:$A,Derived_Variables!$T:$T,"Standard"))&amp;"_sph_step",Calibration!$B:$B,Calibration!$C:$C,0.25))</f>
        <v/>
      </c>
      <c r="AC468" s="28" t="str">
        <f t="array" ref="AC468">IF($I467="","",XLOOKUP(LOWER(XLOOKUP($B468,Derived_Variables!$A:$A,Derived_Variables!$T:$T,"Standard"))&amp;"_cyl_step",Calibration!$B:$B,Calibration!$C:$C,0.25))</f>
        <v/>
      </c>
      <c r="AD468" s="28" t="str">
        <f t="array" ref="AD468">IF($I467="","",IF(OR(C468="E",C468="H"),LET(startStep,XLOOKUP("axis_start_step",Calibration!$B:$B,Calibration!$C:$C,5),step1,XLOOKUP("axis_reversal_step_1",Calibration!$B:$B,Calibration!$C:$C,3),step2,XLOOKUP("axis_reversal_step_2",Calibration!$B:$B,Calibration!$C:$C,1),IF(OR(C467&lt;&gt;C468,AZ468="",AZ468="SAME",AZ468="CANT_TELL",I468="",I468="SAME",I468="CANT_TELL"),startStep,IF(OR(AND(AZ468="BETTER_1",I468="BETTER_2"),AND(AZ468="BETTER_2",I468="BETTER_1")),IF(AD467&gt;step1,step1,step2),AD467))),0))</f>
        <v/>
      </c>
      <c r="AE468" s="28" t="str">
        <f t="array" ref="AE468">IF($I467="","",XLOOKUP($B468,Derived_Variables!$A:$A,Derived_Variables!$AD:$AD,"No_Fog"))</f>
        <v/>
      </c>
      <c r="AF468" s="28" t="str">
        <f t="array" ref="AF468">IF($I467="","",XLOOKUP($B468,Derived_Variables!$A:$A,Derived_Variables!$AE:$AE,0))</f>
        <v/>
      </c>
      <c r="AG468" s="28" t="str">
        <f t="array" ref="AG468">IF($I467="","",XLOOKUP($B468,Derived_Variables!$A:$A,Derived_Variables!$AF:$AF,""))</f>
        <v/>
      </c>
      <c r="AH468" s="28" t="str">
        <f t="array" ref="AH468">IF($I467="","",XLOOKUP($B468,Derived_Variables!$A:$A,Derived_Variables!$AG:$AG,""))</f>
        <v/>
      </c>
      <c r="AI468" s="28" t="str">
        <f t="array" ref="AI468">IF($I467="","",XLOOKUP($B468,Derived_Variables!$A:$A,Derived_Variables!$AC:$AC,"Medium"))</f>
        <v/>
      </c>
      <c r="AJ468" s="28" t="str">
        <f t="array" ref="AJ468">IF($I467="","",XLOOKUP($B468,Derived_Variables!$A:$A,Derived_Variables!$Y:$Y,FALSE))</f>
        <v/>
      </c>
      <c r="AK468" s="28" t="str">
        <f t="array" ref="AK468">IF($I467="","",XLOOKUP($B468,Derived_Variables!$A:$A,Derived_Variables!$AA:$AA,"Normal"))</f>
        <v/>
      </c>
      <c r="AL468" s="28" t="str">
        <f t="array" ref="AL468">IF($I467="","",XLOOKUP($B468,Derived_Variables!$A:$A,Derived_Variables!$AB:$AB,"Normal"))</f>
        <v/>
      </c>
      <c r="AM468" s="28" t="str">
        <f t="array" ref="AM468">IF($I468="","",IFS(C468="B",IF(OR(I468="NOT_READABLE",I468="BLURRY"),-AB468,0),C468="G",IFS(I468="RED_CLEARER",XLOOKUP("duochrome_red_step",Calibration!$B:$B,Calibration!$C:$C,-0.25),I468="GREEN_CLEARER",XLOOKUP("duochrome_green_step",Calibration!$B:$B,Calibration!$C:$C,0.25),I468="EQUAL",IF(XLOOKUP($B468,Derived_Variables!$A:$A,Derived_Variables!$S:$S,"Neutral")="Undercorrect",XLOOKUP("undercorrect_step",Calibration!$B:$B,Calibration!$C:$C,0.25),IF(XLOOKUP($B468,Derived_Variables!$A:$A,Derived_Variables!$S:$S,"Neutral")="Overcorrect",-XLOOKUP("overcorrect_step",Calibration!$B:$B,Calibration!$C:$C,0.25),0)),TRUE,0),C468="K",IF(I468="TOP_CLEARER",XLOOKUP("bino_balance_step",Calibration!$B:$B,Calibration!$C:$C,0.25),0),TRUE,0))</f>
        <v/>
      </c>
      <c r="AN468" s="28" t="str">
        <f t="shared" si="10"/>
        <v/>
      </c>
      <c r="AO468" s="28" t="str">
        <f t="shared" si="11"/>
        <v/>
      </c>
      <c r="AP468" s="28" t="str">
        <f t="array" ref="AP468">IF($I468="","",IFS(C468="D",IF(OR(I468="NOT_READABLE",I468="BLURRY"),-AB468,0),C468="J",IFS(I468="RED_CLEARER",XLOOKUP("duochrome_red_step",Calibration!$B:$B,Calibration!$C:$C,-0.25),I468="GREEN_CLEARER",XLOOKUP("duochrome_green_step",Calibration!$B:$B,Calibration!$C:$C,0.25),I468="EQUAL",IF(XLOOKUP($B468,Derived_Variables!$A:$A,Derived_Variables!$S:$S,"Neutral")="Undercorrect",XLOOKUP("undercorrect_step",Calibration!$B:$B,Calibration!$C:$C,0.25),IF(XLOOKUP($B468,Derived_Variables!$A:$A,Derived_Variables!$S:$S,"Neutral")="Overcorrect",-XLOOKUP("overcorrect_step",Calibration!$B:$B,Calibration!$C:$C,0.25),0)),TRUE,0),C468="K",IF(I468="BOTTOM_CLEARER",XLOOKUP("bino_balance_step",Calibration!$B:$B,Calibration!$C:$C,0.25),0),TRUE,0))</f>
        <v/>
      </c>
      <c r="AQ468" s="28" t="str">
        <f t="shared" si="12"/>
        <v/>
      </c>
      <c r="AR468" s="28" t="str">
        <f t="shared" si="13"/>
        <v/>
      </c>
      <c r="AS468" s="28" t="str">
        <f t="array" ref="AS468">IF($I468="","",IF(C468="P",IF(OR(I468="NOT_READABLE",I468="BLURRY"),XLOOKUP("near_add_step",Calibration!$B:$B,Calibration!$C:$C,0.25),0),IF(C468="R",IF(I468="NOT_CLEAR",XLOOKUP("near_add_step",Calibration!$B:$B,Calibration!$C:$C,0.25),0),0)))</f>
        <v/>
      </c>
      <c r="AT468" s="28" t="str">
        <f t="array" ref="AT468">IF($I468="","",IF(C468="Q",IF(OR(I468="NOT_READABLE",I468="BLURRY"),XLOOKUP("near_add_step",Calibration!$B:$B,Calibration!$C:$C,0.25),0),IF(C468="R",IF(I468="NOT_CLEAR",XLOOKUP("near_add_step",Calibration!$B:$B,Calibration!$C:$C,0.25),0),0)))</f>
        <v/>
      </c>
      <c r="AU468" s="28" t="str">
        <f t="array" ref="AU468">IF($I468="","",IF(G468="SNELLEN_FEET",IF(I468="READABLE",IFERROR(XLOOKUP(XLOOKUP(R468,Chart_Scale_Distance!B:B,Chart_Scale_Distance!A:A)+1,Chart_Scale_Distance!A:A,Chart_Scale_Distance!B:B),R468),R468),R468))</f>
        <v/>
      </c>
      <c r="AV468" s="28" t="str">
        <f t="array" ref="AV468">IF($I467="","",IFERROR(XLOOKUP(R468,Chart_Scale_Distance!$B:$B,Chart_Scale_Distance!$A:$A,""),""))</f>
        <v/>
      </c>
      <c r="AW468" s="28" t="str">
        <f t="array" ref="AW468">IF($I467="","",IFERROR(XLOOKUP(AA468,Chart_Scale_Distance!$B:$B,Chart_Scale_Distance!$A:$A,""),""))</f>
        <v/>
      </c>
      <c r="AX468" s="28" t="str">
        <f t="shared" si="14"/>
        <v/>
      </c>
      <c r="AY468" s="28" t="str">
        <f t="shared" si="15"/>
        <v/>
      </c>
      <c r="AZ468" s="28" t="str">
        <f t="shared" si="16"/>
        <v/>
      </c>
      <c r="BA468" s="28" t="str">
        <f t="shared" si="17"/>
        <v/>
      </c>
      <c r="BB468" s="28" t="str">
        <f t="shared" si="18"/>
        <v/>
      </c>
      <c r="BC468" s="28" t="str">
        <f t="array" ref="BC468">IF($I468="","",LET(
conf,AI468,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duoMax,XLOOKUP($B468,Derived_Variables!$A:$A,Derived_Variables!$AI:$AI,4),
axisTol,XLOOKUP($B468,Derived_Variables!$A:$A,Derived_Variables!$W:$W,1),
maxStart,XLOOKUP($B468,Derived_Variables!$A:$A,Derived_Variables!$U:$U,1.25),
maxAR,XLOOKUP($B468,Derived_Variables!$A:$A,Derived_Variables!$V:$V,3),
anom,XLOOKUP($B468,Derived_Variables!$A:$A,Derived_Variables!$Z:$Z,FALSE),
reStart,XLOOKUP($B468,Derived_Variables!$A:$A,Derived_Variables!$K:$K,0),
leStart,XLOOKUP($B468,Derived_Variables!$A:$A,Derived_Variables!$N:$N,0),
reAR,XLOOKUP($B468,AR_Input!$A:$A,AR_Input!$B:$B,reStart),
leAR,XLOOKUP($B468,AR_Input!$A:$A,AR_Input!$E:$E,leStart),
reEsc,AND(anom,OR(ABS((S468+AM468)-reStart)&gt;maxStart,ABS((S468+AM468)-reAR)&gt;maxAR)),
leEsc,AND(anom,OR(ABS((V468+AP468)-leStart)&gt;maxStart,ABS((V468+AP468)-leAR)&gt;maxAR)),
phaseMax,IFS(
 AK468="Fast",
   IFS(
     OR(C468="B",C468="D"),XLOOKUP("timeout_coarse_fast",Calibration!$B:$B,Calibration!$C:$C,24),
     OR(C468="E",C468="F",C468="H",C468="I"),XLOOKUP("timeout_jcc_fast",Calibration!$B:$B,Calibration!$C:$C,10),
     OR(C468="G",C468="J"),XLOOKUP("timeout_duochrome_fast",Calibration!$B:$B,Calibration!$C:$C,8),
     C468="K",XLOOKUP("timeout_bino_fast",Calibration!$B:$B,Calibration!$C:$C,10),
     OR(C468="P",C468="Q",C468="R"),XLOOKUP("timeout_near_fast",Calibration!$B:$B,Calibration!$C:$C,16),
     TRUE,XLOOKUP("timeout_coarse_fast",Calibration!$B:$B,Calibration!$C:$C,24)
   ),
 AK468="Normal",
   IFS(
     OR(C468="B",C468="D"),XLOOKUP("timeout_coarse_normal",Calibration!$B:$B,Calibration!$C:$C,36),
     OR(C468="E",C468="F",C468="H",C468="I"),XLOOKUP("timeout_jcc_normal",Calibration!$B:$B,Calibration!$C:$C,14),
     OR(C468="G",C468="J"),XLOOKUP("timeout_duochrome_normal",Calibration!$B:$B,Calibration!$C:$C,10),
     C468="K",XLOOKUP("timeout_bino_normal",Calibration!$B:$B,Calibration!$C:$C,14),
     OR(C468="P",C468="Q",C468="R"),XLOOKUP("timeout_near_normal",Calibration!$B:$B,Calibration!$C:$C,22),
     TRUE,XLOOKUP("timeout_coarse_normal",Calibration!$B:$B,Calibration!$C:$C,36)
   ),
 TRUE,
   IFS(
     OR(C468="B",C468="D"),XLOOKUP("timeout_coarse_slow",Calibration!$B:$B,Calibration!$C:$C,48),
     OR(C468="E",C468="F",C468="H",C468="I"),XLOOKUP("timeout_jcc_slow",Calibration!$B:$B,Calibration!$C:$C,18),
     OR(C468="G",C468="J"),XLOOKUP("timeout_duochrome_slow",Calibration!$B:$B,Calibration!$C:$C,12),
     C468="K",XLOOKUP("timeout_bino_slow",Calibration!$B:$B,Calibration!$C:$C,18),
     OR(C468="P",C468="Q",C468="R"),XLOOKUP("timeout_near_slow",Calibration!$B:$B,Calibration!$C:$C,28),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AJ468=TRUE,"ESCALATE",
C468="A",
IF(OR(I468="NOT_READABLE",I468="BLURRY",AND(R468="20_20_20",I468="READABLE")),"B","A"),
C468="B",
IF(reEsc,"ESCALATE",IF(AY468&gt;=phaseMax,"ESCALATE",IF(AND(AV468&gt;=AW468,I468="READABLE"),"E","B"))),
C468="E",
IF(AY468&gt;=phaseMax,"ESCALATE",IF(OR(I468="SAME",I468="CANT_TELL",AD468&lt;axisTol),"F","E")),
C468="F",
IF(AY468&gt;=phaseMax,"ESCALATE",IF(AX468&gt;=powerSameN,"G","F")),
C468="G",
IF(AY468&gt;=phaseMax,"ESCALATE",IF(OR(AX468&gt;=duoEqualN,BB468&gt;=duoMax),"D","G")),
C468="D",
IF(leEsc,"ESCALATE",IF(AY468&gt;=phaseMax,"ESCALATE",IF(AND(AV468&gt;=AW468,I468="READABLE"),"H","D"))),
C468="H",
IF(AY468&gt;=phaseMax,"ESCALATE",IF(OR(I468="SAME",I468="CANT_TELL",AD468&lt;axisTol),"I","H")),
C468="I",
IF(AY468&gt;=phaseMax,"ESCALATE",IF(AX468&gt;=powerSameN,"J","I")),
C468="J",
IF(AY468&gt;=phaseMax,"ESCALATE",IF(OR(AX468&gt;=duoEqualN,BB468&gt;=duoMax),"K","J")),
C468="K",
IF(AY468&gt;=phaseMax,"ESCALATE",IF(AX468&gt;=binoSameN,IF(XLOOKUP($B468,Derived_Variables!$A:$A,Derived_Variables!$AJ:$AJ,FALSE)=TRUE,"P","END"),"K")),
C468="P",
IF(AY468&gt;=phaseMax,"ESCALATE",IF(OR(I468="READABLE",I468="SAME"),"Q","P")),
C468="Q",
IF(AY468&gt;=phaseMax,"ESCALATE",IF(OR(I468="READABLE",I468="SAME"),"R","Q")),
C468="R",
IF(AY468&gt;=phaseMax,"ESCALATE",IF(OR(I468=nearTarget,I468="SAME"),"END","R")),
TRUE,"END"
)))</f>
        <v/>
      </c>
      <c r="BD468" s="28" t="b">
        <f t="shared" si="19"/>
        <v>0</v>
      </c>
    </row>
    <row r="469" ht="15.75" customHeight="1">
      <c r="A469" s="28">
        <f t="shared" si="3"/>
        <v>468</v>
      </c>
      <c r="B469" s="28">
        <f t="shared" si="4"/>
        <v>6</v>
      </c>
      <c r="C469" s="28" t="str">
        <f t="shared" si="5"/>
        <v/>
      </c>
      <c r="D469" s="28" t="str">
        <f t="array" ref="D469">IF($I468="","",XLOOKUP(C469,FSM_State_Map!A:A,FSM_State_Map!B:B,""))</f>
        <v/>
      </c>
      <c r="E469" s="28" t="str">
        <f t="array" ref="E469">IF($I468="","",XLOOKUP(C469,FSM_State_Map!A:A,FSM_State_Map!C:C,""))</f>
        <v/>
      </c>
      <c r="F469" s="28" t="str">
        <f t="array" ref="F469">IF($I468="","",XLOOKUP(E469,Phase_UI_Map!A:A,Phase_UI_Map!B:B,""))</f>
        <v/>
      </c>
      <c r="G469" s="28" t="str">
        <f t="array" ref="G469">IF($I468="","",XLOOKUP(E469,Phase_UI_Map!A:A,Phase_UI_Map!C:C,""))</f>
        <v/>
      </c>
      <c r="H469" s="28" t="str">
        <f t="array" ref="H469">IF($I468="","",XLOOKUP(E469,Phase_UI_Map!A:A,Phase_UI_Map!D:D,""))</f>
        <v/>
      </c>
      <c r="I469" s="29"/>
      <c r="J469" s="28" t="str">
        <f>IFERROR(__xludf.DUMMYFUNCTION("IF($I468="""","""",IFERROR(INDEX(FILTER(Response_Lists!$B:$B,Response_Lists!$A:$A=$H469),1),""""))"),"")</f>
        <v/>
      </c>
      <c r="K469" s="28" t="str">
        <f>IFERROR(__xludf.DUMMYFUNCTION("IF($I468="""","""",IFERROR(INDEX(FILTER(Response_Lists!$B:$B,Response_Lists!$A:$A=$H469),2),""""))"),"")</f>
        <v/>
      </c>
      <c r="L469" s="28" t="str">
        <f>IFERROR(__xludf.DUMMYFUNCTION("IF($I468="""","""",IFERROR(INDEX(FILTER(Response_Lists!$B:$B,Response_Lists!$A:$A=$H469),3),""""))"),"")</f>
        <v/>
      </c>
      <c r="M469" s="28" t="str">
        <f>IFERROR(__xludf.DUMMYFUNCTION("IF($I468="""","""",IFERROR(INDEX(FILTER(Response_Lists!$B:$B,Response_Lists!$A:$A=$H469),4),""""))"),"")</f>
        <v/>
      </c>
      <c r="N469" s="28" t="str">
        <f>IFERROR(__xludf.DUMMYFUNCTION("IF($I468="""","""",IFERROR(INDEX(FILTER(Response_Lists!$B:$B,Response_Lists!$A:$A=$H469),5),""""))"),"")</f>
        <v/>
      </c>
      <c r="O469" s="28" t="str">
        <f>IFERROR(__xludf.DUMMYFUNCTION("IF($I468="""","""",IFERROR(INDEX(FILTER(Response_Lists!$B:$B,Response_Lists!$A:$A=$H469),6),""""))"),"")</f>
        <v/>
      </c>
      <c r="P469" s="28" t="str">
        <f t="shared" si="6"/>
        <v/>
      </c>
      <c r="Q469" s="28" t="str">
        <f t="array" ref="Q469">IF($I468="","",XLOOKUP(C469,FSM_State_Map!A:A,FSM_State_Map!D:D,""))</f>
        <v/>
      </c>
      <c r="R469" s="28" t="str">
        <f t="shared" si="7"/>
        <v/>
      </c>
      <c r="S469" s="28" t="str">
        <f t="array" ref="S469">IF($I468="","",
IF(
  AND(C469="B",C468&lt;&gt;"B"),
  XLOOKUP($B469,Derived_Variables!$A:$A,Derived_Variables!$K:$K,0)
  + XLOOKUP($B469,Derived_Variables!$A:$A,Derived_Variables!$AE:$AE,0),
  S468+AM468
))</f>
        <v/>
      </c>
      <c r="T469" s="28" t="str">
        <f t="shared" ref="T469:U469" si="948">IF($I468="","",T468+AN468)</f>
        <v/>
      </c>
      <c r="U469" s="28" t="str">
        <f t="shared" si="948"/>
        <v/>
      </c>
      <c r="V469" s="28" t="str">
        <f t="array" ref="V469">IF($I468="","",
IF(
  AND(C469="D",C468&lt;&gt;"D"),
  XLOOKUP($B469,Derived_Variables!$A:$A,Derived_Variables!$N:$N,0)
  + XLOOKUP($B469,Derived_Variables!$A:$A,Derived_Variables!$AE:$AE,0),
  V468+AP468
))</f>
        <v/>
      </c>
      <c r="W469" s="28" t="str">
        <f t="shared" ref="W469:X469" si="949">IF($I468="","",W468+AQ468)</f>
        <v/>
      </c>
      <c r="X469" s="28" t="str">
        <f t="shared" si="949"/>
        <v/>
      </c>
      <c r="Y469" s="28" t="str">
        <f t="array" ref="Y469">IF($I468="","",IF(AND(C469="P",C468&lt;&gt;"P"),IFERROR(XLOOKUP($B469,Lenso_Input!$A:$A,Lenso_Input!$E:$E,0),0),Y468+AS468))</f>
        <v/>
      </c>
      <c r="Z469" s="28" t="str">
        <f t="array" ref="Z469">IF($I468="","",IF(AND(C469="Q",C468&lt;&gt;"Q"),IFERROR(XLOOKUP($B469,Lenso_Input!$A:$A,Lenso_Input!$I:$I,0),0),Z468+AT468))</f>
        <v/>
      </c>
      <c r="AA469" s="28" t="str">
        <f t="array" ref="AA469">IF($I468="","",IF(XLOOKUP($B469,Derived_Variables!$A:$A,Derived_Variables!$R:$R,"6/6_target")="6/6_target","20_20_20","40_30_25"))</f>
        <v/>
      </c>
      <c r="AB469" s="28" t="str">
        <f t="array" ref="AB469">IF($I468="","",XLOOKUP(LOWER(XLOOKUP($B469,Derived_Variables!$A:$A,Derived_Variables!$T:$T,"Standard"))&amp;"_sph_step",Calibration!$B:$B,Calibration!$C:$C,0.25))</f>
        <v/>
      </c>
      <c r="AC469" s="28" t="str">
        <f t="array" ref="AC469">IF($I468="","",XLOOKUP(LOWER(XLOOKUP($B469,Derived_Variables!$A:$A,Derived_Variables!$T:$T,"Standard"))&amp;"_cyl_step",Calibration!$B:$B,Calibration!$C:$C,0.25))</f>
        <v/>
      </c>
      <c r="AD469" s="28" t="str">
        <f t="array" ref="AD469">IF($I468="","",IF(OR(C469="E",C469="H"),LET(startStep,XLOOKUP("axis_start_step",Calibration!$B:$B,Calibration!$C:$C,5),step1,XLOOKUP("axis_reversal_step_1",Calibration!$B:$B,Calibration!$C:$C,3),step2,XLOOKUP("axis_reversal_step_2",Calibration!$B:$B,Calibration!$C:$C,1),IF(OR(C468&lt;&gt;C469,AZ469="",AZ469="SAME",AZ469="CANT_TELL",I469="",I469="SAME",I469="CANT_TELL"),startStep,IF(OR(AND(AZ469="BETTER_1",I469="BETTER_2"),AND(AZ469="BETTER_2",I469="BETTER_1")),IF(AD468&gt;step1,step1,step2),AD468))),0))</f>
        <v/>
      </c>
      <c r="AE469" s="28" t="str">
        <f t="array" ref="AE469">IF($I468="","",XLOOKUP($B469,Derived_Variables!$A:$A,Derived_Variables!$AD:$AD,"No_Fog"))</f>
        <v/>
      </c>
      <c r="AF469" s="28" t="str">
        <f t="array" ref="AF469">IF($I468="","",XLOOKUP($B469,Derived_Variables!$A:$A,Derived_Variables!$AE:$AE,0))</f>
        <v/>
      </c>
      <c r="AG469" s="28" t="str">
        <f t="array" ref="AG469">IF($I468="","",XLOOKUP($B469,Derived_Variables!$A:$A,Derived_Variables!$AF:$AF,""))</f>
        <v/>
      </c>
      <c r="AH469" s="28" t="str">
        <f t="array" ref="AH469">IF($I468="","",XLOOKUP($B469,Derived_Variables!$A:$A,Derived_Variables!$AG:$AG,""))</f>
        <v/>
      </c>
      <c r="AI469" s="28" t="str">
        <f t="array" ref="AI469">IF($I468="","",XLOOKUP($B469,Derived_Variables!$A:$A,Derived_Variables!$AC:$AC,"Medium"))</f>
        <v/>
      </c>
      <c r="AJ469" s="28" t="str">
        <f t="array" ref="AJ469">IF($I468="","",XLOOKUP($B469,Derived_Variables!$A:$A,Derived_Variables!$Y:$Y,FALSE))</f>
        <v/>
      </c>
      <c r="AK469" s="28" t="str">
        <f t="array" ref="AK469">IF($I468="","",XLOOKUP($B469,Derived_Variables!$A:$A,Derived_Variables!$AA:$AA,"Normal"))</f>
        <v/>
      </c>
      <c r="AL469" s="28" t="str">
        <f t="array" ref="AL469">IF($I468="","",XLOOKUP($B469,Derived_Variables!$A:$A,Derived_Variables!$AB:$AB,"Normal"))</f>
        <v/>
      </c>
      <c r="AM469" s="28" t="str">
        <f t="array" ref="AM469">IF($I469="","",IFS(C469="B",IF(OR(I469="NOT_READABLE",I469="BLURRY"),-AB469,0),C469="G",IFS(I469="RED_CLEARER",XLOOKUP("duochrome_red_step",Calibration!$B:$B,Calibration!$C:$C,-0.25),I469="GREEN_CLEARER",XLOOKUP("duochrome_green_step",Calibration!$B:$B,Calibration!$C:$C,0.25),I469="EQUAL",IF(XLOOKUP($B469,Derived_Variables!$A:$A,Derived_Variables!$S:$S,"Neutral")="Undercorrect",XLOOKUP("undercorrect_step",Calibration!$B:$B,Calibration!$C:$C,0.25),IF(XLOOKUP($B469,Derived_Variables!$A:$A,Derived_Variables!$S:$S,"Neutral")="Overcorrect",-XLOOKUP("overcorrect_step",Calibration!$B:$B,Calibration!$C:$C,0.25),0)),TRUE,0),C469="K",IF(I469="TOP_CLEARER",XLOOKUP("bino_balance_step",Calibration!$B:$B,Calibration!$C:$C,0.25),0),TRUE,0))</f>
        <v/>
      </c>
      <c r="AN469" s="28" t="str">
        <f t="shared" si="10"/>
        <v/>
      </c>
      <c r="AO469" s="28" t="str">
        <f t="shared" si="11"/>
        <v/>
      </c>
      <c r="AP469" s="28" t="str">
        <f t="array" ref="AP469">IF($I469="","",IFS(C469="D",IF(OR(I469="NOT_READABLE",I469="BLURRY"),-AB469,0),C469="J",IFS(I469="RED_CLEARER",XLOOKUP("duochrome_red_step",Calibration!$B:$B,Calibration!$C:$C,-0.25),I469="GREEN_CLEARER",XLOOKUP("duochrome_green_step",Calibration!$B:$B,Calibration!$C:$C,0.25),I469="EQUAL",IF(XLOOKUP($B469,Derived_Variables!$A:$A,Derived_Variables!$S:$S,"Neutral")="Undercorrect",XLOOKUP("undercorrect_step",Calibration!$B:$B,Calibration!$C:$C,0.25),IF(XLOOKUP($B469,Derived_Variables!$A:$A,Derived_Variables!$S:$S,"Neutral")="Overcorrect",-XLOOKUP("overcorrect_step",Calibration!$B:$B,Calibration!$C:$C,0.25),0)),TRUE,0),C469="K",IF(I469="BOTTOM_CLEARER",XLOOKUP("bino_balance_step",Calibration!$B:$B,Calibration!$C:$C,0.25),0),TRUE,0))</f>
        <v/>
      </c>
      <c r="AQ469" s="28" t="str">
        <f t="shared" si="12"/>
        <v/>
      </c>
      <c r="AR469" s="28" t="str">
        <f t="shared" si="13"/>
        <v/>
      </c>
      <c r="AS469" s="28" t="str">
        <f t="array" ref="AS469">IF($I469="","",IF(C469="P",IF(OR(I469="NOT_READABLE",I469="BLURRY"),XLOOKUP("near_add_step",Calibration!$B:$B,Calibration!$C:$C,0.25),0),IF(C469="R",IF(I469="NOT_CLEAR",XLOOKUP("near_add_step",Calibration!$B:$B,Calibration!$C:$C,0.25),0),0)))</f>
        <v/>
      </c>
      <c r="AT469" s="28" t="str">
        <f t="array" ref="AT469">IF($I469="","",IF(C469="Q",IF(OR(I469="NOT_READABLE",I469="BLURRY"),XLOOKUP("near_add_step",Calibration!$B:$B,Calibration!$C:$C,0.25),0),IF(C469="R",IF(I469="NOT_CLEAR",XLOOKUP("near_add_step",Calibration!$B:$B,Calibration!$C:$C,0.25),0),0)))</f>
        <v/>
      </c>
      <c r="AU469" s="28" t="str">
        <f t="array" ref="AU469">IF($I469="","",IF(G469="SNELLEN_FEET",IF(I469="READABLE",IFERROR(XLOOKUP(XLOOKUP(R469,Chart_Scale_Distance!B:B,Chart_Scale_Distance!A:A)+1,Chart_Scale_Distance!A:A,Chart_Scale_Distance!B:B),R469),R469),R469))</f>
        <v/>
      </c>
      <c r="AV469" s="28" t="str">
        <f t="array" ref="AV469">IF($I468="","",IFERROR(XLOOKUP(R469,Chart_Scale_Distance!$B:$B,Chart_Scale_Distance!$A:$A,""),""))</f>
        <v/>
      </c>
      <c r="AW469" s="28" t="str">
        <f t="array" ref="AW469">IF($I468="","",IFERROR(XLOOKUP(AA469,Chart_Scale_Distance!$B:$B,Chart_Scale_Distance!$A:$A,""),""))</f>
        <v/>
      </c>
      <c r="AX469" s="28" t="str">
        <f t="shared" si="14"/>
        <v/>
      </c>
      <c r="AY469" s="28" t="str">
        <f t="shared" si="15"/>
        <v/>
      </c>
      <c r="AZ469" s="28" t="str">
        <f t="shared" si="16"/>
        <v/>
      </c>
      <c r="BA469" s="28" t="str">
        <f t="shared" si="17"/>
        <v/>
      </c>
      <c r="BB469" s="28" t="str">
        <f t="shared" si="18"/>
        <v/>
      </c>
      <c r="BC469" s="28" t="str">
        <f t="array" ref="BC469">IF($I469="","",LET(
conf,AI469,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duoMax,XLOOKUP($B469,Derived_Variables!$A:$A,Derived_Variables!$AI:$AI,4),
axisTol,XLOOKUP($B469,Derived_Variables!$A:$A,Derived_Variables!$W:$W,1),
maxStart,XLOOKUP($B469,Derived_Variables!$A:$A,Derived_Variables!$U:$U,1.25),
maxAR,XLOOKUP($B469,Derived_Variables!$A:$A,Derived_Variables!$V:$V,3),
anom,XLOOKUP($B469,Derived_Variables!$A:$A,Derived_Variables!$Z:$Z,FALSE),
reStart,XLOOKUP($B469,Derived_Variables!$A:$A,Derived_Variables!$K:$K,0),
leStart,XLOOKUP($B469,Derived_Variables!$A:$A,Derived_Variables!$N:$N,0),
reAR,XLOOKUP($B469,AR_Input!$A:$A,AR_Input!$B:$B,reStart),
leAR,XLOOKUP($B469,AR_Input!$A:$A,AR_Input!$E:$E,leStart),
reEsc,AND(anom,OR(ABS((S469+AM469)-reStart)&gt;maxStart,ABS((S469+AM469)-reAR)&gt;maxAR)),
leEsc,AND(anom,OR(ABS((V469+AP469)-leStart)&gt;maxStart,ABS((V469+AP469)-leAR)&gt;maxAR)),
phaseMax,IFS(
 AK469="Fast",
   IFS(
     OR(C469="B",C469="D"),XLOOKUP("timeout_coarse_fast",Calibration!$B:$B,Calibration!$C:$C,24),
     OR(C469="E",C469="F",C469="H",C469="I"),XLOOKUP("timeout_jcc_fast",Calibration!$B:$B,Calibration!$C:$C,10),
     OR(C469="G",C469="J"),XLOOKUP("timeout_duochrome_fast",Calibration!$B:$B,Calibration!$C:$C,8),
     C469="K",XLOOKUP("timeout_bino_fast",Calibration!$B:$B,Calibration!$C:$C,10),
     OR(C469="P",C469="Q",C469="R"),XLOOKUP("timeout_near_fast",Calibration!$B:$B,Calibration!$C:$C,16),
     TRUE,XLOOKUP("timeout_coarse_fast",Calibration!$B:$B,Calibration!$C:$C,24)
   ),
 AK469="Normal",
   IFS(
     OR(C469="B",C469="D"),XLOOKUP("timeout_coarse_normal",Calibration!$B:$B,Calibration!$C:$C,36),
     OR(C469="E",C469="F",C469="H",C469="I"),XLOOKUP("timeout_jcc_normal",Calibration!$B:$B,Calibration!$C:$C,14),
     OR(C469="G",C469="J"),XLOOKUP("timeout_duochrome_normal",Calibration!$B:$B,Calibration!$C:$C,10),
     C469="K",XLOOKUP("timeout_bino_normal",Calibration!$B:$B,Calibration!$C:$C,14),
     OR(C469="P",C469="Q",C469="R"),XLOOKUP("timeout_near_normal",Calibration!$B:$B,Calibration!$C:$C,22),
     TRUE,XLOOKUP("timeout_coarse_normal",Calibration!$B:$B,Calibration!$C:$C,36)
   ),
 TRUE,
   IFS(
     OR(C469="B",C469="D"),XLOOKUP("timeout_coarse_slow",Calibration!$B:$B,Calibration!$C:$C,48),
     OR(C469="E",C469="F",C469="H",C469="I"),XLOOKUP("timeout_jcc_slow",Calibration!$B:$B,Calibration!$C:$C,18),
     OR(C469="G",C469="J"),XLOOKUP("timeout_duochrome_slow",Calibration!$B:$B,Calibration!$C:$C,12),
     C469="K",XLOOKUP("timeout_bino_slow",Calibration!$B:$B,Calibration!$C:$C,18),
     OR(C469="P",C469="Q",C469="R"),XLOOKUP("timeout_near_slow",Calibration!$B:$B,Calibration!$C:$C,28),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AJ469=TRUE,"ESCALATE",
C469="A",
IF(OR(I469="NOT_READABLE",I469="BLURRY",AND(R469="20_20_20",I469="READABLE")),"B","A"),
C469="B",
IF(reEsc,"ESCALATE",IF(AY469&gt;=phaseMax,"ESCALATE",IF(AND(AV469&gt;=AW469,I469="READABLE"),"E","B"))),
C469="E",
IF(AY469&gt;=phaseMax,"ESCALATE",IF(OR(I469="SAME",I469="CANT_TELL",AD469&lt;axisTol),"F","E")),
C469="F",
IF(AY469&gt;=phaseMax,"ESCALATE",IF(AX469&gt;=powerSameN,"G","F")),
C469="G",
IF(AY469&gt;=phaseMax,"ESCALATE",IF(OR(AX469&gt;=duoEqualN,BB469&gt;=duoMax),"D","G")),
C469="D",
IF(leEsc,"ESCALATE",IF(AY469&gt;=phaseMax,"ESCALATE",IF(AND(AV469&gt;=AW469,I469="READABLE"),"H","D"))),
C469="H",
IF(AY469&gt;=phaseMax,"ESCALATE",IF(OR(I469="SAME",I469="CANT_TELL",AD469&lt;axisTol),"I","H")),
C469="I",
IF(AY469&gt;=phaseMax,"ESCALATE",IF(AX469&gt;=powerSameN,"J","I")),
C469="J",
IF(AY469&gt;=phaseMax,"ESCALATE",IF(OR(AX469&gt;=duoEqualN,BB469&gt;=duoMax),"K","J")),
C469="K",
IF(AY469&gt;=phaseMax,"ESCALATE",IF(AX469&gt;=binoSameN,IF(XLOOKUP($B469,Derived_Variables!$A:$A,Derived_Variables!$AJ:$AJ,FALSE)=TRUE,"P","END"),"K")),
C469="P",
IF(AY469&gt;=phaseMax,"ESCALATE",IF(OR(I469="READABLE",I469="SAME"),"Q","P")),
C469="Q",
IF(AY469&gt;=phaseMax,"ESCALATE",IF(OR(I469="READABLE",I469="SAME"),"R","Q")),
C469="R",
IF(AY469&gt;=phaseMax,"ESCALATE",IF(OR(I469=nearTarget,I469="SAME"),"END","R")),
TRUE,"END"
)))</f>
        <v/>
      </c>
      <c r="BD469" s="28" t="b">
        <f t="shared" si="19"/>
        <v>0</v>
      </c>
    </row>
    <row r="470" ht="15.75" customHeight="1">
      <c r="A470" s="28">
        <f t="shared" si="3"/>
        <v>469</v>
      </c>
      <c r="B470" s="28">
        <f t="shared" si="4"/>
        <v>6</v>
      </c>
      <c r="C470" s="28" t="str">
        <f t="shared" si="5"/>
        <v/>
      </c>
      <c r="D470" s="28" t="str">
        <f t="array" ref="D470">IF($I469="","",XLOOKUP(C470,FSM_State_Map!A:A,FSM_State_Map!B:B,""))</f>
        <v/>
      </c>
      <c r="E470" s="28" t="str">
        <f t="array" ref="E470">IF($I469="","",XLOOKUP(C470,FSM_State_Map!A:A,FSM_State_Map!C:C,""))</f>
        <v/>
      </c>
      <c r="F470" s="28" t="str">
        <f t="array" ref="F470">IF($I469="","",XLOOKUP(E470,Phase_UI_Map!A:A,Phase_UI_Map!B:B,""))</f>
        <v/>
      </c>
      <c r="G470" s="28" t="str">
        <f t="array" ref="G470">IF($I469="","",XLOOKUP(E470,Phase_UI_Map!A:A,Phase_UI_Map!C:C,""))</f>
        <v/>
      </c>
      <c r="H470" s="28" t="str">
        <f t="array" ref="H470">IF($I469="","",XLOOKUP(E470,Phase_UI_Map!A:A,Phase_UI_Map!D:D,""))</f>
        <v/>
      </c>
      <c r="I470" s="29"/>
      <c r="J470" s="28" t="str">
        <f>IFERROR(__xludf.DUMMYFUNCTION("IF($I469="""","""",IFERROR(INDEX(FILTER(Response_Lists!$B:$B,Response_Lists!$A:$A=$H470),1),""""))"),"")</f>
        <v/>
      </c>
      <c r="K470" s="28" t="str">
        <f>IFERROR(__xludf.DUMMYFUNCTION("IF($I469="""","""",IFERROR(INDEX(FILTER(Response_Lists!$B:$B,Response_Lists!$A:$A=$H470),2),""""))"),"")</f>
        <v/>
      </c>
      <c r="L470" s="28" t="str">
        <f>IFERROR(__xludf.DUMMYFUNCTION("IF($I469="""","""",IFERROR(INDEX(FILTER(Response_Lists!$B:$B,Response_Lists!$A:$A=$H470),3),""""))"),"")</f>
        <v/>
      </c>
      <c r="M470" s="28" t="str">
        <f>IFERROR(__xludf.DUMMYFUNCTION("IF($I469="""","""",IFERROR(INDEX(FILTER(Response_Lists!$B:$B,Response_Lists!$A:$A=$H470),4),""""))"),"")</f>
        <v/>
      </c>
      <c r="N470" s="28" t="str">
        <f>IFERROR(__xludf.DUMMYFUNCTION("IF($I469="""","""",IFERROR(INDEX(FILTER(Response_Lists!$B:$B,Response_Lists!$A:$A=$H470),5),""""))"),"")</f>
        <v/>
      </c>
      <c r="O470" s="28" t="str">
        <f>IFERROR(__xludf.DUMMYFUNCTION("IF($I469="""","""",IFERROR(INDEX(FILTER(Response_Lists!$B:$B,Response_Lists!$A:$A=$H470),6),""""))"),"")</f>
        <v/>
      </c>
      <c r="P470" s="28" t="str">
        <f t="shared" si="6"/>
        <v/>
      </c>
      <c r="Q470" s="28" t="str">
        <f t="array" ref="Q470">IF($I469="","",XLOOKUP(C470,FSM_State_Map!A:A,FSM_State_Map!D:D,""))</f>
        <v/>
      </c>
      <c r="R470" s="28" t="str">
        <f t="shared" si="7"/>
        <v/>
      </c>
      <c r="S470" s="28" t="str">
        <f t="array" ref="S470">IF($I469="","",
IF(
  AND(C470="B",C469&lt;&gt;"B"),
  XLOOKUP($B470,Derived_Variables!$A:$A,Derived_Variables!$K:$K,0)
  + XLOOKUP($B470,Derived_Variables!$A:$A,Derived_Variables!$AE:$AE,0),
  S469+AM469
))</f>
        <v/>
      </c>
      <c r="T470" s="28" t="str">
        <f t="shared" ref="T470:U470" si="950">IF($I469="","",T469+AN469)</f>
        <v/>
      </c>
      <c r="U470" s="28" t="str">
        <f t="shared" si="950"/>
        <v/>
      </c>
      <c r="V470" s="28" t="str">
        <f t="array" ref="V470">IF($I469="","",
IF(
  AND(C470="D",C469&lt;&gt;"D"),
  XLOOKUP($B470,Derived_Variables!$A:$A,Derived_Variables!$N:$N,0)
  + XLOOKUP($B470,Derived_Variables!$A:$A,Derived_Variables!$AE:$AE,0),
  V469+AP469
))</f>
        <v/>
      </c>
      <c r="W470" s="28" t="str">
        <f t="shared" ref="W470:X470" si="951">IF($I469="","",W469+AQ469)</f>
        <v/>
      </c>
      <c r="X470" s="28" t="str">
        <f t="shared" si="951"/>
        <v/>
      </c>
      <c r="Y470" s="28" t="str">
        <f t="array" ref="Y470">IF($I469="","",IF(AND(C470="P",C469&lt;&gt;"P"),IFERROR(XLOOKUP($B470,Lenso_Input!$A:$A,Lenso_Input!$E:$E,0),0),Y469+AS469))</f>
        <v/>
      </c>
      <c r="Z470" s="28" t="str">
        <f t="array" ref="Z470">IF($I469="","",IF(AND(C470="Q",C469&lt;&gt;"Q"),IFERROR(XLOOKUP($B470,Lenso_Input!$A:$A,Lenso_Input!$I:$I,0),0),Z469+AT469))</f>
        <v/>
      </c>
      <c r="AA470" s="28" t="str">
        <f t="array" ref="AA470">IF($I469="","",IF(XLOOKUP($B470,Derived_Variables!$A:$A,Derived_Variables!$R:$R,"6/6_target")="6/6_target","20_20_20","40_30_25"))</f>
        <v/>
      </c>
      <c r="AB470" s="28" t="str">
        <f t="array" ref="AB470">IF($I469="","",XLOOKUP(LOWER(XLOOKUP($B470,Derived_Variables!$A:$A,Derived_Variables!$T:$T,"Standard"))&amp;"_sph_step",Calibration!$B:$B,Calibration!$C:$C,0.25))</f>
        <v/>
      </c>
      <c r="AC470" s="28" t="str">
        <f t="array" ref="AC470">IF($I469="","",XLOOKUP(LOWER(XLOOKUP($B470,Derived_Variables!$A:$A,Derived_Variables!$T:$T,"Standard"))&amp;"_cyl_step",Calibration!$B:$B,Calibration!$C:$C,0.25))</f>
        <v/>
      </c>
      <c r="AD470" s="28" t="str">
        <f t="array" ref="AD470">IF($I469="","",IF(OR(C470="E",C470="H"),LET(startStep,XLOOKUP("axis_start_step",Calibration!$B:$B,Calibration!$C:$C,5),step1,XLOOKUP("axis_reversal_step_1",Calibration!$B:$B,Calibration!$C:$C,3),step2,XLOOKUP("axis_reversal_step_2",Calibration!$B:$B,Calibration!$C:$C,1),IF(OR(C469&lt;&gt;C470,AZ470="",AZ470="SAME",AZ470="CANT_TELL",I470="",I470="SAME",I470="CANT_TELL"),startStep,IF(OR(AND(AZ470="BETTER_1",I470="BETTER_2"),AND(AZ470="BETTER_2",I470="BETTER_1")),IF(AD469&gt;step1,step1,step2),AD469))),0))</f>
        <v/>
      </c>
      <c r="AE470" s="28" t="str">
        <f t="array" ref="AE470">IF($I469="","",XLOOKUP($B470,Derived_Variables!$A:$A,Derived_Variables!$AD:$AD,"No_Fog"))</f>
        <v/>
      </c>
      <c r="AF470" s="28" t="str">
        <f t="array" ref="AF470">IF($I469="","",XLOOKUP($B470,Derived_Variables!$A:$A,Derived_Variables!$AE:$AE,0))</f>
        <v/>
      </c>
      <c r="AG470" s="28" t="str">
        <f t="array" ref="AG470">IF($I469="","",XLOOKUP($B470,Derived_Variables!$A:$A,Derived_Variables!$AF:$AF,""))</f>
        <v/>
      </c>
      <c r="AH470" s="28" t="str">
        <f t="array" ref="AH470">IF($I469="","",XLOOKUP($B470,Derived_Variables!$A:$A,Derived_Variables!$AG:$AG,""))</f>
        <v/>
      </c>
      <c r="AI470" s="28" t="str">
        <f t="array" ref="AI470">IF($I469="","",XLOOKUP($B470,Derived_Variables!$A:$A,Derived_Variables!$AC:$AC,"Medium"))</f>
        <v/>
      </c>
      <c r="AJ470" s="28" t="str">
        <f t="array" ref="AJ470">IF($I469="","",XLOOKUP($B470,Derived_Variables!$A:$A,Derived_Variables!$Y:$Y,FALSE))</f>
        <v/>
      </c>
      <c r="AK470" s="28" t="str">
        <f t="array" ref="AK470">IF($I469="","",XLOOKUP($B470,Derived_Variables!$A:$A,Derived_Variables!$AA:$AA,"Normal"))</f>
        <v/>
      </c>
      <c r="AL470" s="28" t="str">
        <f t="array" ref="AL470">IF($I469="","",XLOOKUP($B470,Derived_Variables!$A:$A,Derived_Variables!$AB:$AB,"Normal"))</f>
        <v/>
      </c>
      <c r="AM470" s="28" t="str">
        <f t="array" ref="AM470">IF($I470="","",IFS(C470="B",IF(OR(I470="NOT_READABLE",I470="BLURRY"),-AB470,0),C470="G",IFS(I470="RED_CLEARER",XLOOKUP("duochrome_red_step",Calibration!$B:$B,Calibration!$C:$C,-0.25),I470="GREEN_CLEARER",XLOOKUP("duochrome_green_step",Calibration!$B:$B,Calibration!$C:$C,0.25),I470="EQUAL",IF(XLOOKUP($B470,Derived_Variables!$A:$A,Derived_Variables!$S:$S,"Neutral")="Undercorrect",XLOOKUP("undercorrect_step",Calibration!$B:$B,Calibration!$C:$C,0.25),IF(XLOOKUP($B470,Derived_Variables!$A:$A,Derived_Variables!$S:$S,"Neutral")="Overcorrect",-XLOOKUP("overcorrect_step",Calibration!$B:$B,Calibration!$C:$C,0.25),0)),TRUE,0),C470="K",IF(I470="TOP_CLEARER",XLOOKUP("bino_balance_step",Calibration!$B:$B,Calibration!$C:$C,0.25),0),TRUE,0))</f>
        <v/>
      </c>
      <c r="AN470" s="28" t="str">
        <f t="shared" si="10"/>
        <v/>
      </c>
      <c r="AO470" s="28" t="str">
        <f t="shared" si="11"/>
        <v/>
      </c>
      <c r="AP470" s="28" t="str">
        <f t="array" ref="AP470">IF($I470="","",IFS(C470="D",IF(OR(I470="NOT_READABLE",I470="BLURRY"),-AB470,0),C470="J",IFS(I470="RED_CLEARER",XLOOKUP("duochrome_red_step",Calibration!$B:$B,Calibration!$C:$C,-0.25),I470="GREEN_CLEARER",XLOOKUP("duochrome_green_step",Calibration!$B:$B,Calibration!$C:$C,0.25),I470="EQUAL",IF(XLOOKUP($B470,Derived_Variables!$A:$A,Derived_Variables!$S:$S,"Neutral")="Undercorrect",XLOOKUP("undercorrect_step",Calibration!$B:$B,Calibration!$C:$C,0.25),IF(XLOOKUP($B470,Derived_Variables!$A:$A,Derived_Variables!$S:$S,"Neutral")="Overcorrect",-XLOOKUP("overcorrect_step",Calibration!$B:$B,Calibration!$C:$C,0.25),0)),TRUE,0),C470="K",IF(I470="BOTTOM_CLEARER",XLOOKUP("bino_balance_step",Calibration!$B:$B,Calibration!$C:$C,0.25),0),TRUE,0))</f>
        <v/>
      </c>
      <c r="AQ470" s="28" t="str">
        <f t="shared" si="12"/>
        <v/>
      </c>
      <c r="AR470" s="28" t="str">
        <f t="shared" si="13"/>
        <v/>
      </c>
      <c r="AS470" s="28" t="str">
        <f t="array" ref="AS470">IF($I470="","",IF(C470="P",IF(OR(I470="NOT_READABLE",I470="BLURRY"),XLOOKUP("near_add_step",Calibration!$B:$B,Calibration!$C:$C,0.25),0),IF(C470="R",IF(I470="NOT_CLEAR",XLOOKUP("near_add_step",Calibration!$B:$B,Calibration!$C:$C,0.25),0),0)))</f>
        <v/>
      </c>
      <c r="AT470" s="28" t="str">
        <f t="array" ref="AT470">IF($I470="","",IF(C470="Q",IF(OR(I470="NOT_READABLE",I470="BLURRY"),XLOOKUP("near_add_step",Calibration!$B:$B,Calibration!$C:$C,0.25),0),IF(C470="R",IF(I470="NOT_CLEAR",XLOOKUP("near_add_step",Calibration!$B:$B,Calibration!$C:$C,0.25),0),0)))</f>
        <v/>
      </c>
      <c r="AU470" s="28" t="str">
        <f t="array" ref="AU470">IF($I470="","",IF(G470="SNELLEN_FEET",IF(I470="READABLE",IFERROR(XLOOKUP(XLOOKUP(R470,Chart_Scale_Distance!B:B,Chart_Scale_Distance!A:A)+1,Chart_Scale_Distance!A:A,Chart_Scale_Distance!B:B),R470),R470),R470))</f>
        <v/>
      </c>
      <c r="AV470" s="28" t="str">
        <f t="array" ref="AV470">IF($I469="","",IFERROR(XLOOKUP(R470,Chart_Scale_Distance!$B:$B,Chart_Scale_Distance!$A:$A,""),""))</f>
        <v/>
      </c>
      <c r="AW470" s="28" t="str">
        <f t="array" ref="AW470">IF($I469="","",IFERROR(XLOOKUP(AA470,Chart_Scale_Distance!$B:$B,Chart_Scale_Distance!$A:$A,""),""))</f>
        <v/>
      </c>
      <c r="AX470" s="28" t="str">
        <f t="shared" si="14"/>
        <v/>
      </c>
      <c r="AY470" s="28" t="str">
        <f t="shared" si="15"/>
        <v/>
      </c>
      <c r="AZ470" s="28" t="str">
        <f t="shared" si="16"/>
        <v/>
      </c>
      <c r="BA470" s="28" t="str">
        <f t="shared" si="17"/>
        <v/>
      </c>
      <c r="BB470" s="28" t="str">
        <f t="shared" si="18"/>
        <v/>
      </c>
      <c r="BC470" s="28" t="str">
        <f t="array" ref="BC470">IF($I470="","",LET(
conf,AI470,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duoMax,XLOOKUP($B470,Derived_Variables!$A:$A,Derived_Variables!$AI:$AI,4),
axisTol,XLOOKUP($B470,Derived_Variables!$A:$A,Derived_Variables!$W:$W,1),
maxStart,XLOOKUP($B470,Derived_Variables!$A:$A,Derived_Variables!$U:$U,1.25),
maxAR,XLOOKUP($B470,Derived_Variables!$A:$A,Derived_Variables!$V:$V,3),
anom,XLOOKUP($B470,Derived_Variables!$A:$A,Derived_Variables!$Z:$Z,FALSE),
reStart,XLOOKUP($B470,Derived_Variables!$A:$A,Derived_Variables!$K:$K,0),
leStart,XLOOKUP($B470,Derived_Variables!$A:$A,Derived_Variables!$N:$N,0),
reAR,XLOOKUP($B470,AR_Input!$A:$A,AR_Input!$B:$B,reStart),
leAR,XLOOKUP($B470,AR_Input!$A:$A,AR_Input!$E:$E,leStart),
reEsc,AND(anom,OR(ABS((S470+AM470)-reStart)&gt;maxStart,ABS((S470+AM470)-reAR)&gt;maxAR)),
leEsc,AND(anom,OR(ABS((V470+AP470)-leStart)&gt;maxStart,ABS((V470+AP470)-leAR)&gt;maxAR)),
phaseMax,IFS(
 AK470="Fast",
   IFS(
     OR(C470="B",C470="D"),XLOOKUP("timeout_coarse_fast",Calibration!$B:$B,Calibration!$C:$C,24),
     OR(C470="E",C470="F",C470="H",C470="I"),XLOOKUP("timeout_jcc_fast",Calibration!$B:$B,Calibration!$C:$C,10),
     OR(C470="G",C470="J"),XLOOKUP("timeout_duochrome_fast",Calibration!$B:$B,Calibration!$C:$C,8),
     C470="K",XLOOKUP("timeout_bino_fast",Calibration!$B:$B,Calibration!$C:$C,10),
     OR(C470="P",C470="Q",C470="R"),XLOOKUP("timeout_near_fast",Calibration!$B:$B,Calibration!$C:$C,16),
     TRUE,XLOOKUP("timeout_coarse_fast",Calibration!$B:$B,Calibration!$C:$C,24)
   ),
 AK470="Normal",
   IFS(
     OR(C470="B",C470="D"),XLOOKUP("timeout_coarse_normal",Calibration!$B:$B,Calibration!$C:$C,36),
     OR(C470="E",C470="F",C470="H",C470="I"),XLOOKUP("timeout_jcc_normal",Calibration!$B:$B,Calibration!$C:$C,14),
     OR(C470="G",C470="J"),XLOOKUP("timeout_duochrome_normal",Calibration!$B:$B,Calibration!$C:$C,10),
     C470="K",XLOOKUP("timeout_bino_normal",Calibration!$B:$B,Calibration!$C:$C,14),
     OR(C470="P",C470="Q",C470="R"),XLOOKUP("timeout_near_normal",Calibration!$B:$B,Calibration!$C:$C,22),
     TRUE,XLOOKUP("timeout_coarse_normal",Calibration!$B:$B,Calibration!$C:$C,36)
   ),
 TRUE,
   IFS(
     OR(C470="B",C470="D"),XLOOKUP("timeout_coarse_slow",Calibration!$B:$B,Calibration!$C:$C,48),
     OR(C470="E",C470="F",C470="H",C470="I"),XLOOKUP("timeout_jcc_slow",Calibration!$B:$B,Calibration!$C:$C,18),
     OR(C470="G",C470="J"),XLOOKUP("timeout_duochrome_slow",Calibration!$B:$B,Calibration!$C:$C,12),
     C470="K",XLOOKUP("timeout_bino_slow",Calibration!$B:$B,Calibration!$C:$C,18),
     OR(C470="P",C470="Q",C470="R"),XLOOKUP("timeout_near_slow",Calibration!$B:$B,Calibration!$C:$C,28),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AJ470=TRUE,"ESCALATE",
C470="A",
IF(OR(I470="NOT_READABLE",I470="BLURRY",AND(R470="20_20_20",I470="READABLE")),"B","A"),
C470="B",
IF(reEsc,"ESCALATE",IF(AY470&gt;=phaseMax,"ESCALATE",IF(AND(AV470&gt;=AW470,I470="READABLE"),"E","B"))),
C470="E",
IF(AY470&gt;=phaseMax,"ESCALATE",IF(OR(I470="SAME",I470="CANT_TELL",AD470&lt;axisTol),"F","E")),
C470="F",
IF(AY470&gt;=phaseMax,"ESCALATE",IF(AX470&gt;=powerSameN,"G","F")),
C470="G",
IF(AY470&gt;=phaseMax,"ESCALATE",IF(OR(AX470&gt;=duoEqualN,BB470&gt;=duoMax),"D","G")),
C470="D",
IF(leEsc,"ESCALATE",IF(AY470&gt;=phaseMax,"ESCALATE",IF(AND(AV470&gt;=AW470,I470="READABLE"),"H","D"))),
C470="H",
IF(AY470&gt;=phaseMax,"ESCALATE",IF(OR(I470="SAME",I470="CANT_TELL",AD470&lt;axisTol),"I","H")),
C470="I",
IF(AY470&gt;=phaseMax,"ESCALATE",IF(AX470&gt;=powerSameN,"J","I")),
C470="J",
IF(AY470&gt;=phaseMax,"ESCALATE",IF(OR(AX470&gt;=duoEqualN,BB470&gt;=duoMax),"K","J")),
C470="K",
IF(AY470&gt;=phaseMax,"ESCALATE",IF(AX470&gt;=binoSameN,IF(XLOOKUP($B470,Derived_Variables!$A:$A,Derived_Variables!$AJ:$AJ,FALSE)=TRUE,"P","END"),"K")),
C470="P",
IF(AY470&gt;=phaseMax,"ESCALATE",IF(OR(I470="READABLE",I470="SAME"),"Q","P")),
C470="Q",
IF(AY470&gt;=phaseMax,"ESCALATE",IF(OR(I470="READABLE",I470="SAME"),"R","Q")),
C470="R",
IF(AY470&gt;=phaseMax,"ESCALATE",IF(OR(I470=nearTarget,I470="SAME"),"END","R")),
TRUE,"END"
)))</f>
        <v/>
      </c>
      <c r="BD470" s="28" t="b">
        <f t="shared" si="19"/>
        <v>0</v>
      </c>
    </row>
    <row r="471" ht="15.75" customHeight="1">
      <c r="A471" s="28">
        <f t="shared" si="3"/>
        <v>470</v>
      </c>
      <c r="B471" s="28">
        <f t="shared" si="4"/>
        <v>6</v>
      </c>
      <c r="C471" s="28" t="str">
        <f t="shared" si="5"/>
        <v/>
      </c>
      <c r="D471" s="28" t="str">
        <f t="array" ref="D471">IF($I470="","",XLOOKUP(C471,FSM_State_Map!A:A,FSM_State_Map!B:B,""))</f>
        <v/>
      </c>
      <c r="E471" s="28" t="str">
        <f t="array" ref="E471">IF($I470="","",XLOOKUP(C471,FSM_State_Map!A:A,FSM_State_Map!C:C,""))</f>
        <v/>
      </c>
      <c r="F471" s="28" t="str">
        <f t="array" ref="F471">IF($I470="","",XLOOKUP(E471,Phase_UI_Map!A:A,Phase_UI_Map!B:B,""))</f>
        <v/>
      </c>
      <c r="G471" s="28" t="str">
        <f t="array" ref="G471">IF($I470="","",XLOOKUP(E471,Phase_UI_Map!A:A,Phase_UI_Map!C:C,""))</f>
        <v/>
      </c>
      <c r="H471" s="28" t="str">
        <f t="array" ref="H471">IF($I470="","",XLOOKUP(E471,Phase_UI_Map!A:A,Phase_UI_Map!D:D,""))</f>
        <v/>
      </c>
      <c r="I471" s="29"/>
      <c r="J471" s="28" t="str">
        <f>IFERROR(__xludf.DUMMYFUNCTION("IF($I470="""","""",IFERROR(INDEX(FILTER(Response_Lists!$B:$B,Response_Lists!$A:$A=$H471),1),""""))"),"")</f>
        <v/>
      </c>
      <c r="K471" s="28" t="str">
        <f>IFERROR(__xludf.DUMMYFUNCTION("IF($I470="""","""",IFERROR(INDEX(FILTER(Response_Lists!$B:$B,Response_Lists!$A:$A=$H471),2),""""))"),"")</f>
        <v/>
      </c>
      <c r="L471" s="28" t="str">
        <f>IFERROR(__xludf.DUMMYFUNCTION("IF($I470="""","""",IFERROR(INDEX(FILTER(Response_Lists!$B:$B,Response_Lists!$A:$A=$H471),3),""""))"),"")</f>
        <v/>
      </c>
      <c r="M471" s="28" t="str">
        <f>IFERROR(__xludf.DUMMYFUNCTION("IF($I470="""","""",IFERROR(INDEX(FILTER(Response_Lists!$B:$B,Response_Lists!$A:$A=$H471),4),""""))"),"")</f>
        <v/>
      </c>
      <c r="N471" s="28" t="str">
        <f>IFERROR(__xludf.DUMMYFUNCTION("IF($I470="""","""",IFERROR(INDEX(FILTER(Response_Lists!$B:$B,Response_Lists!$A:$A=$H471),5),""""))"),"")</f>
        <v/>
      </c>
      <c r="O471" s="28" t="str">
        <f>IFERROR(__xludf.DUMMYFUNCTION("IF($I470="""","""",IFERROR(INDEX(FILTER(Response_Lists!$B:$B,Response_Lists!$A:$A=$H471),6),""""))"),"")</f>
        <v/>
      </c>
      <c r="P471" s="28" t="str">
        <f t="shared" si="6"/>
        <v/>
      </c>
      <c r="Q471" s="28" t="str">
        <f t="array" ref="Q471">IF($I470="","",XLOOKUP(C471,FSM_State_Map!A:A,FSM_State_Map!D:D,""))</f>
        <v/>
      </c>
      <c r="R471" s="28" t="str">
        <f t="shared" si="7"/>
        <v/>
      </c>
      <c r="S471" s="28" t="str">
        <f t="array" ref="S471">IF($I470="","",
IF(
  AND(C471="B",C470&lt;&gt;"B"),
  XLOOKUP($B471,Derived_Variables!$A:$A,Derived_Variables!$K:$K,0)
  + XLOOKUP($B471,Derived_Variables!$A:$A,Derived_Variables!$AE:$AE,0),
  S470+AM470
))</f>
        <v/>
      </c>
      <c r="T471" s="28" t="str">
        <f t="shared" ref="T471:U471" si="952">IF($I470="","",T470+AN470)</f>
        <v/>
      </c>
      <c r="U471" s="28" t="str">
        <f t="shared" si="952"/>
        <v/>
      </c>
      <c r="V471" s="28" t="str">
        <f t="array" ref="V471">IF($I470="","",
IF(
  AND(C471="D",C470&lt;&gt;"D"),
  XLOOKUP($B471,Derived_Variables!$A:$A,Derived_Variables!$N:$N,0)
  + XLOOKUP($B471,Derived_Variables!$A:$A,Derived_Variables!$AE:$AE,0),
  V470+AP470
))</f>
        <v/>
      </c>
      <c r="W471" s="28" t="str">
        <f t="shared" ref="W471:X471" si="953">IF($I470="","",W470+AQ470)</f>
        <v/>
      </c>
      <c r="X471" s="28" t="str">
        <f t="shared" si="953"/>
        <v/>
      </c>
      <c r="Y471" s="28" t="str">
        <f t="array" ref="Y471">IF($I470="","",IF(AND(C471="P",C470&lt;&gt;"P"),IFERROR(XLOOKUP($B471,Lenso_Input!$A:$A,Lenso_Input!$E:$E,0),0),Y470+AS470))</f>
        <v/>
      </c>
      <c r="Z471" s="28" t="str">
        <f t="array" ref="Z471">IF($I470="","",IF(AND(C471="Q",C470&lt;&gt;"Q"),IFERROR(XLOOKUP($B471,Lenso_Input!$A:$A,Lenso_Input!$I:$I,0),0),Z470+AT470))</f>
        <v/>
      </c>
      <c r="AA471" s="28" t="str">
        <f t="array" ref="AA471">IF($I470="","",IF(XLOOKUP($B471,Derived_Variables!$A:$A,Derived_Variables!$R:$R,"6/6_target")="6/6_target","20_20_20","40_30_25"))</f>
        <v/>
      </c>
      <c r="AB471" s="28" t="str">
        <f t="array" ref="AB471">IF($I470="","",XLOOKUP(LOWER(XLOOKUP($B471,Derived_Variables!$A:$A,Derived_Variables!$T:$T,"Standard"))&amp;"_sph_step",Calibration!$B:$B,Calibration!$C:$C,0.25))</f>
        <v/>
      </c>
      <c r="AC471" s="28" t="str">
        <f t="array" ref="AC471">IF($I470="","",XLOOKUP(LOWER(XLOOKUP($B471,Derived_Variables!$A:$A,Derived_Variables!$T:$T,"Standard"))&amp;"_cyl_step",Calibration!$B:$B,Calibration!$C:$C,0.25))</f>
        <v/>
      </c>
      <c r="AD471" s="28" t="str">
        <f t="array" ref="AD471">IF($I470="","",IF(OR(C471="E",C471="H"),LET(startStep,XLOOKUP("axis_start_step",Calibration!$B:$B,Calibration!$C:$C,5),step1,XLOOKUP("axis_reversal_step_1",Calibration!$B:$B,Calibration!$C:$C,3),step2,XLOOKUP("axis_reversal_step_2",Calibration!$B:$B,Calibration!$C:$C,1),IF(OR(C470&lt;&gt;C471,AZ471="",AZ471="SAME",AZ471="CANT_TELL",I471="",I471="SAME",I471="CANT_TELL"),startStep,IF(OR(AND(AZ471="BETTER_1",I471="BETTER_2"),AND(AZ471="BETTER_2",I471="BETTER_1")),IF(AD470&gt;step1,step1,step2),AD470))),0))</f>
        <v/>
      </c>
      <c r="AE471" s="28" t="str">
        <f t="array" ref="AE471">IF($I470="","",XLOOKUP($B471,Derived_Variables!$A:$A,Derived_Variables!$AD:$AD,"No_Fog"))</f>
        <v/>
      </c>
      <c r="AF471" s="28" t="str">
        <f t="array" ref="AF471">IF($I470="","",XLOOKUP($B471,Derived_Variables!$A:$A,Derived_Variables!$AE:$AE,0))</f>
        <v/>
      </c>
      <c r="AG471" s="28" t="str">
        <f t="array" ref="AG471">IF($I470="","",XLOOKUP($B471,Derived_Variables!$A:$A,Derived_Variables!$AF:$AF,""))</f>
        <v/>
      </c>
      <c r="AH471" s="28" t="str">
        <f t="array" ref="AH471">IF($I470="","",XLOOKUP($B471,Derived_Variables!$A:$A,Derived_Variables!$AG:$AG,""))</f>
        <v/>
      </c>
      <c r="AI471" s="28" t="str">
        <f t="array" ref="AI471">IF($I470="","",XLOOKUP($B471,Derived_Variables!$A:$A,Derived_Variables!$AC:$AC,"Medium"))</f>
        <v/>
      </c>
      <c r="AJ471" s="28" t="str">
        <f t="array" ref="AJ471">IF($I470="","",XLOOKUP($B471,Derived_Variables!$A:$A,Derived_Variables!$Y:$Y,FALSE))</f>
        <v/>
      </c>
      <c r="AK471" s="28" t="str">
        <f t="array" ref="AK471">IF($I470="","",XLOOKUP($B471,Derived_Variables!$A:$A,Derived_Variables!$AA:$AA,"Normal"))</f>
        <v/>
      </c>
      <c r="AL471" s="28" t="str">
        <f t="array" ref="AL471">IF($I470="","",XLOOKUP($B471,Derived_Variables!$A:$A,Derived_Variables!$AB:$AB,"Normal"))</f>
        <v/>
      </c>
      <c r="AM471" s="28" t="str">
        <f t="array" ref="AM471">IF($I471="","",IFS(C471="B",IF(OR(I471="NOT_READABLE",I471="BLURRY"),-AB471,0),C471="G",IFS(I471="RED_CLEARER",XLOOKUP("duochrome_red_step",Calibration!$B:$B,Calibration!$C:$C,-0.25),I471="GREEN_CLEARER",XLOOKUP("duochrome_green_step",Calibration!$B:$B,Calibration!$C:$C,0.25),I471="EQUAL",IF(XLOOKUP($B471,Derived_Variables!$A:$A,Derived_Variables!$S:$S,"Neutral")="Undercorrect",XLOOKUP("undercorrect_step",Calibration!$B:$B,Calibration!$C:$C,0.25),IF(XLOOKUP($B471,Derived_Variables!$A:$A,Derived_Variables!$S:$S,"Neutral")="Overcorrect",-XLOOKUP("overcorrect_step",Calibration!$B:$B,Calibration!$C:$C,0.25),0)),TRUE,0),C471="K",IF(I471="TOP_CLEARER",XLOOKUP("bino_balance_step",Calibration!$B:$B,Calibration!$C:$C,0.25),0),TRUE,0))</f>
        <v/>
      </c>
      <c r="AN471" s="28" t="str">
        <f t="shared" si="10"/>
        <v/>
      </c>
      <c r="AO471" s="28" t="str">
        <f t="shared" si="11"/>
        <v/>
      </c>
      <c r="AP471" s="28" t="str">
        <f t="array" ref="AP471">IF($I471="","",IFS(C471="D",IF(OR(I471="NOT_READABLE",I471="BLURRY"),-AB471,0),C471="J",IFS(I471="RED_CLEARER",XLOOKUP("duochrome_red_step",Calibration!$B:$B,Calibration!$C:$C,-0.25),I471="GREEN_CLEARER",XLOOKUP("duochrome_green_step",Calibration!$B:$B,Calibration!$C:$C,0.25),I471="EQUAL",IF(XLOOKUP($B471,Derived_Variables!$A:$A,Derived_Variables!$S:$S,"Neutral")="Undercorrect",XLOOKUP("undercorrect_step",Calibration!$B:$B,Calibration!$C:$C,0.25),IF(XLOOKUP($B471,Derived_Variables!$A:$A,Derived_Variables!$S:$S,"Neutral")="Overcorrect",-XLOOKUP("overcorrect_step",Calibration!$B:$B,Calibration!$C:$C,0.25),0)),TRUE,0),C471="K",IF(I471="BOTTOM_CLEARER",XLOOKUP("bino_balance_step",Calibration!$B:$B,Calibration!$C:$C,0.25),0),TRUE,0))</f>
        <v/>
      </c>
      <c r="AQ471" s="28" t="str">
        <f t="shared" si="12"/>
        <v/>
      </c>
      <c r="AR471" s="28" t="str">
        <f t="shared" si="13"/>
        <v/>
      </c>
      <c r="AS471" s="28" t="str">
        <f t="array" ref="AS471">IF($I471="","",IF(C471="P",IF(OR(I471="NOT_READABLE",I471="BLURRY"),XLOOKUP("near_add_step",Calibration!$B:$B,Calibration!$C:$C,0.25),0),IF(C471="R",IF(I471="NOT_CLEAR",XLOOKUP("near_add_step",Calibration!$B:$B,Calibration!$C:$C,0.25),0),0)))</f>
        <v/>
      </c>
      <c r="AT471" s="28" t="str">
        <f t="array" ref="AT471">IF($I471="","",IF(C471="Q",IF(OR(I471="NOT_READABLE",I471="BLURRY"),XLOOKUP("near_add_step",Calibration!$B:$B,Calibration!$C:$C,0.25),0),IF(C471="R",IF(I471="NOT_CLEAR",XLOOKUP("near_add_step",Calibration!$B:$B,Calibration!$C:$C,0.25),0),0)))</f>
        <v/>
      </c>
      <c r="AU471" s="28" t="str">
        <f t="array" ref="AU471">IF($I471="","",IF(G471="SNELLEN_FEET",IF(I471="READABLE",IFERROR(XLOOKUP(XLOOKUP(R471,Chart_Scale_Distance!B:B,Chart_Scale_Distance!A:A)+1,Chart_Scale_Distance!A:A,Chart_Scale_Distance!B:B),R471),R471),R471))</f>
        <v/>
      </c>
      <c r="AV471" s="28" t="str">
        <f t="array" ref="AV471">IF($I470="","",IFERROR(XLOOKUP(R471,Chart_Scale_Distance!$B:$B,Chart_Scale_Distance!$A:$A,""),""))</f>
        <v/>
      </c>
      <c r="AW471" s="28" t="str">
        <f t="array" ref="AW471">IF($I470="","",IFERROR(XLOOKUP(AA471,Chart_Scale_Distance!$B:$B,Chart_Scale_Distance!$A:$A,""),""))</f>
        <v/>
      </c>
      <c r="AX471" s="28" t="str">
        <f t="shared" si="14"/>
        <v/>
      </c>
      <c r="AY471" s="28" t="str">
        <f t="shared" si="15"/>
        <v/>
      </c>
      <c r="AZ471" s="28" t="str">
        <f t="shared" si="16"/>
        <v/>
      </c>
      <c r="BA471" s="28" t="str">
        <f t="shared" si="17"/>
        <v/>
      </c>
      <c r="BB471" s="28" t="str">
        <f t="shared" si="18"/>
        <v/>
      </c>
      <c r="BC471" s="28" t="str">
        <f t="array" ref="BC471">IF($I471="","",LET(
conf,AI471,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duoMax,XLOOKUP($B471,Derived_Variables!$A:$A,Derived_Variables!$AI:$AI,4),
axisTol,XLOOKUP($B471,Derived_Variables!$A:$A,Derived_Variables!$W:$W,1),
maxStart,XLOOKUP($B471,Derived_Variables!$A:$A,Derived_Variables!$U:$U,1.25),
maxAR,XLOOKUP($B471,Derived_Variables!$A:$A,Derived_Variables!$V:$V,3),
anom,XLOOKUP($B471,Derived_Variables!$A:$A,Derived_Variables!$Z:$Z,FALSE),
reStart,XLOOKUP($B471,Derived_Variables!$A:$A,Derived_Variables!$K:$K,0),
leStart,XLOOKUP($B471,Derived_Variables!$A:$A,Derived_Variables!$N:$N,0),
reAR,XLOOKUP($B471,AR_Input!$A:$A,AR_Input!$B:$B,reStart),
leAR,XLOOKUP($B471,AR_Input!$A:$A,AR_Input!$E:$E,leStart),
reEsc,AND(anom,OR(ABS((S471+AM471)-reStart)&gt;maxStart,ABS((S471+AM471)-reAR)&gt;maxAR)),
leEsc,AND(anom,OR(ABS((V471+AP471)-leStart)&gt;maxStart,ABS((V471+AP471)-leAR)&gt;maxAR)),
phaseMax,IFS(
 AK471="Fast",
   IFS(
     OR(C471="B",C471="D"),XLOOKUP("timeout_coarse_fast",Calibration!$B:$B,Calibration!$C:$C,24),
     OR(C471="E",C471="F",C471="H",C471="I"),XLOOKUP("timeout_jcc_fast",Calibration!$B:$B,Calibration!$C:$C,10),
     OR(C471="G",C471="J"),XLOOKUP("timeout_duochrome_fast",Calibration!$B:$B,Calibration!$C:$C,8),
     C471="K",XLOOKUP("timeout_bino_fast",Calibration!$B:$B,Calibration!$C:$C,10),
     OR(C471="P",C471="Q",C471="R"),XLOOKUP("timeout_near_fast",Calibration!$B:$B,Calibration!$C:$C,16),
     TRUE,XLOOKUP("timeout_coarse_fast",Calibration!$B:$B,Calibration!$C:$C,24)
   ),
 AK471="Normal",
   IFS(
     OR(C471="B",C471="D"),XLOOKUP("timeout_coarse_normal",Calibration!$B:$B,Calibration!$C:$C,36),
     OR(C471="E",C471="F",C471="H",C471="I"),XLOOKUP("timeout_jcc_normal",Calibration!$B:$B,Calibration!$C:$C,14),
     OR(C471="G",C471="J"),XLOOKUP("timeout_duochrome_normal",Calibration!$B:$B,Calibration!$C:$C,10),
     C471="K",XLOOKUP("timeout_bino_normal",Calibration!$B:$B,Calibration!$C:$C,14),
     OR(C471="P",C471="Q",C471="R"),XLOOKUP("timeout_near_normal",Calibration!$B:$B,Calibration!$C:$C,22),
     TRUE,XLOOKUP("timeout_coarse_normal",Calibration!$B:$B,Calibration!$C:$C,36)
   ),
 TRUE,
   IFS(
     OR(C471="B",C471="D"),XLOOKUP("timeout_coarse_slow",Calibration!$B:$B,Calibration!$C:$C,48),
     OR(C471="E",C471="F",C471="H",C471="I"),XLOOKUP("timeout_jcc_slow",Calibration!$B:$B,Calibration!$C:$C,18),
     OR(C471="G",C471="J"),XLOOKUP("timeout_duochrome_slow",Calibration!$B:$B,Calibration!$C:$C,12),
     C471="K",XLOOKUP("timeout_bino_slow",Calibration!$B:$B,Calibration!$C:$C,18),
     OR(C471="P",C471="Q",C471="R"),XLOOKUP("timeout_near_slow",Calibration!$B:$B,Calibration!$C:$C,28),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AJ471=TRUE,"ESCALATE",
C471="A",
IF(OR(I471="NOT_READABLE",I471="BLURRY",AND(R471="20_20_20",I471="READABLE")),"B","A"),
C471="B",
IF(reEsc,"ESCALATE",IF(AY471&gt;=phaseMax,"ESCALATE",IF(AND(AV471&gt;=AW471,I471="READABLE"),"E","B"))),
C471="E",
IF(AY471&gt;=phaseMax,"ESCALATE",IF(OR(I471="SAME",I471="CANT_TELL",AD471&lt;axisTol),"F","E")),
C471="F",
IF(AY471&gt;=phaseMax,"ESCALATE",IF(AX471&gt;=powerSameN,"G","F")),
C471="G",
IF(AY471&gt;=phaseMax,"ESCALATE",IF(OR(AX471&gt;=duoEqualN,BB471&gt;=duoMax),"D","G")),
C471="D",
IF(leEsc,"ESCALATE",IF(AY471&gt;=phaseMax,"ESCALATE",IF(AND(AV471&gt;=AW471,I471="READABLE"),"H","D"))),
C471="H",
IF(AY471&gt;=phaseMax,"ESCALATE",IF(OR(I471="SAME",I471="CANT_TELL",AD471&lt;axisTol),"I","H")),
C471="I",
IF(AY471&gt;=phaseMax,"ESCALATE",IF(AX471&gt;=powerSameN,"J","I")),
C471="J",
IF(AY471&gt;=phaseMax,"ESCALATE",IF(OR(AX471&gt;=duoEqualN,BB471&gt;=duoMax),"K","J")),
C471="K",
IF(AY471&gt;=phaseMax,"ESCALATE",IF(AX471&gt;=binoSameN,IF(XLOOKUP($B471,Derived_Variables!$A:$A,Derived_Variables!$AJ:$AJ,FALSE)=TRUE,"P","END"),"K")),
C471="P",
IF(AY471&gt;=phaseMax,"ESCALATE",IF(OR(I471="READABLE",I471="SAME"),"Q","P")),
C471="Q",
IF(AY471&gt;=phaseMax,"ESCALATE",IF(OR(I471="READABLE",I471="SAME"),"R","Q")),
C471="R",
IF(AY471&gt;=phaseMax,"ESCALATE",IF(OR(I471=nearTarget,I471="SAME"),"END","R")),
TRUE,"END"
)))</f>
        <v/>
      </c>
      <c r="BD471" s="28" t="b">
        <f t="shared" si="19"/>
        <v>0</v>
      </c>
    </row>
    <row r="472" ht="15.75" customHeight="1">
      <c r="A472" s="28">
        <f t="shared" si="3"/>
        <v>471</v>
      </c>
      <c r="B472" s="28">
        <f t="shared" si="4"/>
        <v>6</v>
      </c>
      <c r="C472" s="28" t="str">
        <f t="shared" si="5"/>
        <v/>
      </c>
      <c r="D472" s="28" t="str">
        <f t="array" ref="D472">IF($I471="","",XLOOKUP(C472,FSM_State_Map!A:A,FSM_State_Map!B:B,""))</f>
        <v/>
      </c>
      <c r="E472" s="28" t="str">
        <f t="array" ref="E472">IF($I471="","",XLOOKUP(C472,FSM_State_Map!A:A,FSM_State_Map!C:C,""))</f>
        <v/>
      </c>
      <c r="F472" s="28" t="str">
        <f t="array" ref="F472">IF($I471="","",XLOOKUP(E472,Phase_UI_Map!A:A,Phase_UI_Map!B:B,""))</f>
        <v/>
      </c>
      <c r="G472" s="28" t="str">
        <f t="array" ref="G472">IF($I471="","",XLOOKUP(E472,Phase_UI_Map!A:A,Phase_UI_Map!C:C,""))</f>
        <v/>
      </c>
      <c r="H472" s="28" t="str">
        <f t="array" ref="H472">IF($I471="","",XLOOKUP(E472,Phase_UI_Map!A:A,Phase_UI_Map!D:D,""))</f>
        <v/>
      </c>
      <c r="I472" s="29"/>
      <c r="J472" s="28" t="str">
        <f>IFERROR(__xludf.DUMMYFUNCTION("IF($I471="""","""",IFERROR(INDEX(FILTER(Response_Lists!$B:$B,Response_Lists!$A:$A=$H472),1),""""))"),"")</f>
        <v/>
      </c>
      <c r="K472" s="28" t="str">
        <f>IFERROR(__xludf.DUMMYFUNCTION("IF($I471="""","""",IFERROR(INDEX(FILTER(Response_Lists!$B:$B,Response_Lists!$A:$A=$H472),2),""""))"),"")</f>
        <v/>
      </c>
      <c r="L472" s="28" t="str">
        <f>IFERROR(__xludf.DUMMYFUNCTION("IF($I471="""","""",IFERROR(INDEX(FILTER(Response_Lists!$B:$B,Response_Lists!$A:$A=$H472),3),""""))"),"")</f>
        <v/>
      </c>
      <c r="M472" s="28" t="str">
        <f>IFERROR(__xludf.DUMMYFUNCTION("IF($I471="""","""",IFERROR(INDEX(FILTER(Response_Lists!$B:$B,Response_Lists!$A:$A=$H472),4),""""))"),"")</f>
        <v/>
      </c>
      <c r="N472" s="28" t="str">
        <f>IFERROR(__xludf.DUMMYFUNCTION("IF($I471="""","""",IFERROR(INDEX(FILTER(Response_Lists!$B:$B,Response_Lists!$A:$A=$H472),5),""""))"),"")</f>
        <v/>
      </c>
      <c r="O472" s="28" t="str">
        <f>IFERROR(__xludf.DUMMYFUNCTION("IF($I471="""","""",IFERROR(INDEX(FILTER(Response_Lists!$B:$B,Response_Lists!$A:$A=$H472),6),""""))"),"")</f>
        <v/>
      </c>
      <c r="P472" s="28" t="str">
        <f t="shared" si="6"/>
        <v/>
      </c>
      <c r="Q472" s="28" t="str">
        <f t="array" ref="Q472">IF($I471="","",XLOOKUP(C472,FSM_State_Map!A:A,FSM_State_Map!D:D,""))</f>
        <v/>
      </c>
      <c r="R472" s="28" t="str">
        <f t="shared" si="7"/>
        <v/>
      </c>
      <c r="S472" s="28" t="str">
        <f t="array" ref="S472">IF($I471="","",
IF(
  AND(C472="B",C471&lt;&gt;"B"),
  XLOOKUP($B472,Derived_Variables!$A:$A,Derived_Variables!$K:$K,0)
  + XLOOKUP($B472,Derived_Variables!$A:$A,Derived_Variables!$AE:$AE,0),
  S471+AM471
))</f>
        <v/>
      </c>
      <c r="T472" s="28" t="str">
        <f t="shared" ref="T472:U472" si="954">IF($I471="","",T471+AN471)</f>
        <v/>
      </c>
      <c r="U472" s="28" t="str">
        <f t="shared" si="954"/>
        <v/>
      </c>
      <c r="V472" s="28" t="str">
        <f t="array" ref="V472">IF($I471="","",
IF(
  AND(C472="D",C471&lt;&gt;"D"),
  XLOOKUP($B472,Derived_Variables!$A:$A,Derived_Variables!$N:$N,0)
  + XLOOKUP($B472,Derived_Variables!$A:$A,Derived_Variables!$AE:$AE,0),
  V471+AP471
))</f>
        <v/>
      </c>
      <c r="W472" s="28" t="str">
        <f t="shared" ref="W472:X472" si="955">IF($I471="","",W471+AQ471)</f>
        <v/>
      </c>
      <c r="X472" s="28" t="str">
        <f t="shared" si="955"/>
        <v/>
      </c>
      <c r="Y472" s="28" t="str">
        <f t="array" ref="Y472">IF($I471="","",IF(AND(C472="P",C471&lt;&gt;"P"),IFERROR(XLOOKUP($B472,Lenso_Input!$A:$A,Lenso_Input!$E:$E,0),0),Y471+AS471))</f>
        <v/>
      </c>
      <c r="Z472" s="28" t="str">
        <f t="array" ref="Z472">IF($I471="","",IF(AND(C472="Q",C471&lt;&gt;"Q"),IFERROR(XLOOKUP($B472,Lenso_Input!$A:$A,Lenso_Input!$I:$I,0),0),Z471+AT471))</f>
        <v/>
      </c>
      <c r="AA472" s="28" t="str">
        <f t="array" ref="AA472">IF($I471="","",IF(XLOOKUP($B472,Derived_Variables!$A:$A,Derived_Variables!$R:$R,"6/6_target")="6/6_target","20_20_20","40_30_25"))</f>
        <v/>
      </c>
      <c r="AB472" s="28" t="str">
        <f t="array" ref="AB472">IF($I471="","",XLOOKUP(LOWER(XLOOKUP($B472,Derived_Variables!$A:$A,Derived_Variables!$T:$T,"Standard"))&amp;"_sph_step",Calibration!$B:$B,Calibration!$C:$C,0.25))</f>
        <v/>
      </c>
      <c r="AC472" s="28" t="str">
        <f t="array" ref="AC472">IF($I471="","",XLOOKUP(LOWER(XLOOKUP($B472,Derived_Variables!$A:$A,Derived_Variables!$T:$T,"Standard"))&amp;"_cyl_step",Calibration!$B:$B,Calibration!$C:$C,0.25))</f>
        <v/>
      </c>
      <c r="AD472" s="28" t="str">
        <f t="array" ref="AD472">IF($I471="","",IF(OR(C472="E",C472="H"),LET(startStep,XLOOKUP("axis_start_step",Calibration!$B:$B,Calibration!$C:$C,5),step1,XLOOKUP("axis_reversal_step_1",Calibration!$B:$B,Calibration!$C:$C,3),step2,XLOOKUP("axis_reversal_step_2",Calibration!$B:$B,Calibration!$C:$C,1),IF(OR(C471&lt;&gt;C472,AZ472="",AZ472="SAME",AZ472="CANT_TELL",I472="",I472="SAME",I472="CANT_TELL"),startStep,IF(OR(AND(AZ472="BETTER_1",I472="BETTER_2"),AND(AZ472="BETTER_2",I472="BETTER_1")),IF(AD471&gt;step1,step1,step2),AD471))),0))</f>
        <v/>
      </c>
      <c r="AE472" s="28" t="str">
        <f t="array" ref="AE472">IF($I471="","",XLOOKUP($B472,Derived_Variables!$A:$A,Derived_Variables!$AD:$AD,"No_Fog"))</f>
        <v/>
      </c>
      <c r="AF472" s="28" t="str">
        <f t="array" ref="AF472">IF($I471="","",XLOOKUP($B472,Derived_Variables!$A:$A,Derived_Variables!$AE:$AE,0))</f>
        <v/>
      </c>
      <c r="AG472" s="28" t="str">
        <f t="array" ref="AG472">IF($I471="","",XLOOKUP($B472,Derived_Variables!$A:$A,Derived_Variables!$AF:$AF,""))</f>
        <v/>
      </c>
      <c r="AH472" s="28" t="str">
        <f t="array" ref="AH472">IF($I471="","",XLOOKUP($B472,Derived_Variables!$A:$A,Derived_Variables!$AG:$AG,""))</f>
        <v/>
      </c>
      <c r="AI472" s="28" t="str">
        <f t="array" ref="AI472">IF($I471="","",XLOOKUP($B472,Derived_Variables!$A:$A,Derived_Variables!$AC:$AC,"Medium"))</f>
        <v/>
      </c>
      <c r="AJ472" s="28" t="str">
        <f t="array" ref="AJ472">IF($I471="","",XLOOKUP($B472,Derived_Variables!$A:$A,Derived_Variables!$Y:$Y,FALSE))</f>
        <v/>
      </c>
      <c r="AK472" s="28" t="str">
        <f t="array" ref="AK472">IF($I471="","",XLOOKUP($B472,Derived_Variables!$A:$A,Derived_Variables!$AA:$AA,"Normal"))</f>
        <v/>
      </c>
      <c r="AL472" s="28" t="str">
        <f t="array" ref="AL472">IF($I471="","",XLOOKUP($B472,Derived_Variables!$A:$A,Derived_Variables!$AB:$AB,"Normal"))</f>
        <v/>
      </c>
      <c r="AM472" s="28" t="str">
        <f t="array" ref="AM472">IF($I472="","",IFS(C472="B",IF(OR(I472="NOT_READABLE",I472="BLURRY"),-AB472,0),C472="G",IFS(I472="RED_CLEARER",XLOOKUP("duochrome_red_step",Calibration!$B:$B,Calibration!$C:$C,-0.25),I472="GREEN_CLEARER",XLOOKUP("duochrome_green_step",Calibration!$B:$B,Calibration!$C:$C,0.25),I472="EQUAL",IF(XLOOKUP($B472,Derived_Variables!$A:$A,Derived_Variables!$S:$S,"Neutral")="Undercorrect",XLOOKUP("undercorrect_step",Calibration!$B:$B,Calibration!$C:$C,0.25),IF(XLOOKUP($B472,Derived_Variables!$A:$A,Derived_Variables!$S:$S,"Neutral")="Overcorrect",-XLOOKUP("overcorrect_step",Calibration!$B:$B,Calibration!$C:$C,0.25),0)),TRUE,0),C472="K",IF(I472="TOP_CLEARER",XLOOKUP("bino_balance_step",Calibration!$B:$B,Calibration!$C:$C,0.25),0),TRUE,0))</f>
        <v/>
      </c>
      <c r="AN472" s="28" t="str">
        <f t="shared" si="10"/>
        <v/>
      </c>
      <c r="AO472" s="28" t="str">
        <f t="shared" si="11"/>
        <v/>
      </c>
      <c r="AP472" s="28" t="str">
        <f t="array" ref="AP472">IF($I472="","",IFS(C472="D",IF(OR(I472="NOT_READABLE",I472="BLURRY"),-AB472,0),C472="J",IFS(I472="RED_CLEARER",XLOOKUP("duochrome_red_step",Calibration!$B:$B,Calibration!$C:$C,-0.25),I472="GREEN_CLEARER",XLOOKUP("duochrome_green_step",Calibration!$B:$B,Calibration!$C:$C,0.25),I472="EQUAL",IF(XLOOKUP($B472,Derived_Variables!$A:$A,Derived_Variables!$S:$S,"Neutral")="Undercorrect",XLOOKUP("undercorrect_step",Calibration!$B:$B,Calibration!$C:$C,0.25),IF(XLOOKUP($B472,Derived_Variables!$A:$A,Derived_Variables!$S:$S,"Neutral")="Overcorrect",-XLOOKUP("overcorrect_step",Calibration!$B:$B,Calibration!$C:$C,0.25),0)),TRUE,0),C472="K",IF(I472="BOTTOM_CLEARER",XLOOKUP("bino_balance_step",Calibration!$B:$B,Calibration!$C:$C,0.25),0),TRUE,0))</f>
        <v/>
      </c>
      <c r="AQ472" s="28" t="str">
        <f t="shared" si="12"/>
        <v/>
      </c>
      <c r="AR472" s="28" t="str">
        <f t="shared" si="13"/>
        <v/>
      </c>
      <c r="AS472" s="28" t="str">
        <f t="array" ref="AS472">IF($I472="","",IF(C472="P",IF(OR(I472="NOT_READABLE",I472="BLURRY"),XLOOKUP("near_add_step",Calibration!$B:$B,Calibration!$C:$C,0.25),0),IF(C472="R",IF(I472="NOT_CLEAR",XLOOKUP("near_add_step",Calibration!$B:$B,Calibration!$C:$C,0.25),0),0)))</f>
        <v/>
      </c>
      <c r="AT472" s="28" t="str">
        <f t="array" ref="AT472">IF($I472="","",IF(C472="Q",IF(OR(I472="NOT_READABLE",I472="BLURRY"),XLOOKUP("near_add_step",Calibration!$B:$B,Calibration!$C:$C,0.25),0),IF(C472="R",IF(I472="NOT_CLEAR",XLOOKUP("near_add_step",Calibration!$B:$B,Calibration!$C:$C,0.25),0),0)))</f>
        <v/>
      </c>
      <c r="AU472" s="28" t="str">
        <f t="array" ref="AU472">IF($I472="","",IF(G472="SNELLEN_FEET",IF(I472="READABLE",IFERROR(XLOOKUP(XLOOKUP(R472,Chart_Scale_Distance!B:B,Chart_Scale_Distance!A:A)+1,Chart_Scale_Distance!A:A,Chart_Scale_Distance!B:B),R472),R472),R472))</f>
        <v/>
      </c>
      <c r="AV472" s="28" t="str">
        <f t="array" ref="AV472">IF($I471="","",IFERROR(XLOOKUP(R472,Chart_Scale_Distance!$B:$B,Chart_Scale_Distance!$A:$A,""),""))</f>
        <v/>
      </c>
      <c r="AW472" s="28" t="str">
        <f t="array" ref="AW472">IF($I471="","",IFERROR(XLOOKUP(AA472,Chart_Scale_Distance!$B:$B,Chart_Scale_Distance!$A:$A,""),""))</f>
        <v/>
      </c>
      <c r="AX472" s="28" t="str">
        <f t="shared" si="14"/>
        <v/>
      </c>
      <c r="AY472" s="28" t="str">
        <f t="shared" si="15"/>
        <v/>
      </c>
      <c r="AZ472" s="28" t="str">
        <f t="shared" si="16"/>
        <v/>
      </c>
      <c r="BA472" s="28" t="str">
        <f t="shared" si="17"/>
        <v/>
      </c>
      <c r="BB472" s="28" t="str">
        <f t="shared" si="18"/>
        <v/>
      </c>
      <c r="BC472" s="28" t="str">
        <f t="array" ref="BC472">IF($I472="","",LET(
conf,AI472,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duoMax,XLOOKUP($B472,Derived_Variables!$A:$A,Derived_Variables!$AI:$AI,4),
axisTol,XLOOKUP($B472,Derived_Variables!$A:$A,Derived_Variables!$W:$W,1),
maxStart,XLOOKUP($B472,Derived_Variables!$A:$A,Derived_Variables!$U:$U,1.25),
maxAR,XLOOKUP($B472,Derived_Variables!$A:$A,Derived_Variables!$V:$V,3),
anom,XLOOKUP($B472,Derived_Variables!$A:$A,Derived_Variables!$Z:$Z,FALSE),
reStart,XLOOKUP($B472,Derived_Variables!$A:$A,Derived_Variables!$K:$K,0),
leStart,XLOOKUP($B472,Derived_Variables!$A:$A,Derived_Variables!$N:$N,0),
reAR,XLOOKUP($B472,AR_Input!$A:$A,AR_Input!$B:$B,reStart),
leAR,XLOOKUP($B472,AR_Input!$A:$A,AR_Input!$E:$E,leStart),
reEsc,AND(anom,OR(ABS((S472+AM472)-reStart)&gt;maxStart,ABS((S472+AM472)-reAR)&gt;maxAR)),
leEsc,AND(anom,OR(ABS((V472+AP472)-leStart)&gt;maxStart,ABS((V472+AP472)-leAR)&gt;maxAR)),
phaseMax,IFS(
 AK472="Fast",
   IFS(
     OR(C472="B",C472="D"),XLOOKUP("timeout_coarse_fast",Calibration!$B:$B,Calibration!$C:$C,24),
     OR(C472="E",C472="F",C472="H",C472="I"),XLOOKUP("timeout_jcc_fast",Calibration!$B:$B,Calibration!$C:$C,10),
     OR(C472="G",C472="J"),XLOOKUP("timeout_duochrome_fast",Calibration!$B:$B,Calibration!$C:$C,8),
     C472="K",XLOOKUP("timeout_bino_fast",Calibration!$B:$B,Calibration!$C:$C,10),
     OR(C472="P",C472="Q",C472="R"),XLOOKUP("timeout_near_fast",Calibration!$B:$B,Calibration!$C:$C,16),
     TRUE,XLOOKUP("timeout_coarse_fast",Calibration!$B:$B,Calibration!$C:$C,24)
   ),
 AK472="Normal",
   IFS(
     OR(C472="B",C472="D"),XLOOKUP("timeout_coarse_normal",Calibration!$B:$B,Calibration!$C:$C,36),
     OR(C472="E",C472="F",C472="H",C472="I"),XLOOKUP("timeout_jcc_normal",Calibration!$B:$B,Calibration!$C:$C,14),
     OR(C472="G",C472="J"),XLOOKUP("timeout_duochrome_normal",Calibration!$B:$B,Calibration!$C:$C,10),
     C472="K",XLOOKUP("timeout_bino_normal",Calibration!$B:$B,Calibration!$C:$C,14),
     OR(C472="P",C472="Q",C472="R"),XLOOKUP("timeout_near_normal",Calibration!$B:$B,Calibration!$C:$C,22),
     TRUE,XLOOKUP("timeout_coarse_normal",Calibration!$B:$B,Calibration!$C:$C,36)
   ),
 TRUE,
   IFS(
     OR(C472="B",C472="D"),XLOOKUP("timeout_coarse_slow",Calibration!$B:$B,Calibration!$C:$C,48),
     OR(C472="E",C472="F",C472="H",C472="I"),XLOOKUP("timeout_jcc_slow",Calibration!$B:$B,Calibration!$C:$C,18),
     OR(C472="G",C472="J"),XLOOKUP("timeout_duochrome_slow",Calibration!$B:$B,Calibration!$C:$C,12),
     C472="K",XLOOKUP("timeout_bino_slow",Calibration!$B:$B,Calibration!$C:$C,18),
     OR(C472="P",C472="Q",C472="R"),XLOOKUP("timeout_near_slow",Calibration!$B:$B,Calibration!$C:$C,28),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AJ472=TRUE,"ESCALATE",
C472="A",
IF(OR(I472="NOT_READABLE",I472="BLURRY",AND(R472="20_20_20",I472="READABLE")),"B","A"),
C472="B",
IF(reEsc,"ESCALATE",IF(AY472&gt;=phaseMax,"ESCALATE",IF(AND(AV472&gt;=AW472,I472="READABLE"),"E","B"))),
C472="E",
IF(AY472&gt;=phaseMax,"ESCALATE",IF(OR(I472="SAME",I472="CANT_TELL",AD472&lt;axisTol),"F","E")),
C472="F",
IF(AY472&gt;=phaseMax,"ESCALATE",IF(AX472&gt;=powerSameN,"G","F")),
C472="G",
IF(AY472&gt;=phaseMax,"ESCALATE",IF(OR(AX472&gt;=duoEqualN,BB472&gt;=duoMax),"D","G")),
C472="D",
IF(leEsc,"ESCALATE",IF(AY472&gt;=phaseMax,"ESCALATE",IF(AND(AV472&gt;=AW472,I472="READABLE"),"H","D"))),
C472="H",
IF(AY472&gt;=phaseMax,"ESCALATE",IF(OR(I472="SAME",I472="CANT_TELL",AD472&lt;axisTol),"I","H")),
C472="I",
IF(AY472&gt;=phaseMax,"ESCALATE",IF(AX472&gt;=powerSameN,"J","I")),
C472="J",
IF(AY472&gt;=phaseMax,"ESCALATE",IF(OR(AX472&gt;=duoEqualN,BB472&gt;=duoMax),"K","J")),
C472="K",
IF(AY472&gt;=phaseMax,"ESCALATE",IF(AX472&gt;=binoSameN,IF(XLOOKUP($B472,Derived_Variables!$A:$A,Derived_Variables!$AJ:$AJ,FALSE)=TRUE,"P","END"),"K")),
C472="P",
IF(AY472&gt;=phaseMax,"ESCALATE",IF(OR(I472="READABLE",I472="SAME"),"Q","P")),
C472="Q",
IF(AY472&gt;=phaseMax,"ESCALATE",IF(OR(I472="READABLE",I472="SAME"),"R","Q")),
C472="R",
IF(AY472&gt;=phaseMax,"ESCALATE",IF(OR(I472=nearTarget,I472="SAME"),"END","R")),
TRUE,"END"
)))</f>
        <v/>
      </c>
      <c r="BD472" s="28" t="b">
        <f t="shared" si="19"/>
        <v>0</v>
      </c>
    </row>
    <row r="473" ht="15.75" customHeight="1">
      <c r="A473" s="28">
        <f t="shared" si="3"/>
        <v>472</v>
      </c>
      <c r="B473" s="28">
        <f t="shared" si="4"/>
        <v>6</v>
      </c>
      <c r="C473" s="28" t="str">
        <f t="shared" si="5"/>
        <v/>
      </c>
      <c r="D473" s="28" t="str">
        <f t="array" ref="D473">IF($I472="","",XLOOKUP(C473,FSM_State_Map!A:A,FSM_State_Map!B:B,""))</f>
        <v/>
      </c>
      <c r="E473" s="28" t="str">
        <f t="array" ref="E473">IF($I472="","",XLOOKUP(C473,FSM_State_Map!A:A,FSM_State_Map!C:C,""))</f>
        <v/>
      </c>
      <c r="F473" s="28" t="str">
        <f t="array" ref="F473">IF($I472="","",XLOOKUP(E473,Phase_UI_Map!A:A,Phase_UI_Map!B:B,""))</f>
        <v/>
      </c>
      <c r="G473" s="28" t="str">
        <f t="array" ref="G473">IF($I472="","",XLOOKUP(E473,Phase_UI_Map!A:A,Phase_UI_Map!C:C,""))</f>
        <v/>
      </c>
      <c r="H473" s="28" t="str">
        <f t="array" ref="H473">IF($I472="","",XLOOKUP(E473,Phase_UI_Map!A:A,Phase_UI_Map!D:D,""))</f>
        <v/>
      </c>
      <c r="I473" s="29"/>
      <c r="J473" s="28" t="str">
        <f>IFERROR(__xludf.DUMMYFUNCTION("IF($I472="""","""",IFERROR(INDEX(FILTER(Response_Lists!$B:$B,Response_Lists!$A:$A=$H473),1),""""))"),"")</f>
        <v/>
      </c>
      <c r="K473" s="28" t="str">
        <f>IFERROR(__xludf.DUMMYFUNCTION("IF($I472="""","""",IFERROR(INDEX(FILTER(Response_Lists!$B:$B,Response_Lists!$A:$A=$H473),2),""""))"),"")</f>
        <v/>
      </c>
      <c r="L473" s="28" t="str">
        <f>IFERROR(__xludf.DUMMYFUNCTION("IF($I472="""","""",IFERROR(INDEX(FILTER(Response_Lists!$B:$B,Response_Lists!$A:$A=$H473),3),""""))"),"")</f>
        <v/>
      </c>
      <c r="M473" s="28" t="str">
        <f>IFERROR(__xludf.DUMMYFUNCTION("IF($I472="""","""",IFERROR(INDEX(FILTER(Response_Lists!$B:$B,Response_Lists!$A:$A=$H473),4),""""))"),"")</f>
        <v/>
      </c>
      <c r="N473" s="28" t="str">
        <f>IFERROR(__xludf.DUMMYFUNCTION("IF($I472="""","""",IFERROR(INDEX(FILTER(Response_Lists!$B:$B,Response_Lists!$A:$A=$H473),5),""""))"),"")</f>
        <v/>
      </c>
      <c r="O473" s="28" t="str">
        <f>IFERROR(__xludf.DUMMYFUNCTION("IF($I472="""","""",IFERROR(INDEX(FILTER(Response_Lists!$B:$B,Response_Lists!$A:$A=$H473),6),""""))"),"")</f>
        <v/>
      </c>
      <c r="P473" s="28" t="str">
        <f t="shared" si="6"/>
        <v/>
      </c>
      <c r="Q473" s="28" t="str">
        <f t="array" ref="Q473">IF($I472="","",XLOOKUP(C473,FSM_State_Map!A:A,FSM_State_Map!D:D,""))</f>
        <v/>
      </c>
      <c r="R473" s="28" t="str">
        <f t="shared" si="7"/>
        <v/>
      </c>
      <c r="S473" s="28" t="str">
        <f t="array" ref="S473">IF($I472="","",
IF(
  AND(C473="B",C472&lt;&gt;"B"),
  XLOOKUP($B473,Derived_Variables!$A:$A,Derived_Variables!$K:$K,0)
  + XLOOKUP($B473,Derived_Variables!$A:$A,Derived_Variables!$AE:$AE,0),
  S472+AM472
))</f>
        <v/>
      </c>
      <c r="T473" s="28" t="str">
        <f t="shared" ref="T473:U473" si="956">IF($I472="","",T472+AN472)</f>
        <v/>
      </c>
      <c r="U473" s="28" t="str">
        <f t="shared" si="956"/>
        <v/>
      </c>
      <c r="V473" s="28" t="str">
        <f t="array" ref="V473">IF($I472="","",
IF(
  AND(C473="D",C472&lt;&gt;"D"),
  XLOOKUP($B473,Derived_Variables!$A:$A,Derived_Variables!$N:$N,0)
  + XLOOKUP($B473,Derived_Variables!$A:$A,Derived_Variables!$AE:$AE,0),
  V472+AP472
))</f>
        <v/>
      </c>
      <c r="W473" s="28" t="str">
        <f t="shared" ref="W473:X473" si="957">IF($I472="","",W472+AQ472)</f>
        <v/>
      </c>
      <c r="X473" s="28" t="str">
        <f t="shared" si="957"/>
        <v/>
      </c>
      <c r="Y473" s="28" t="str">
        <f t="array" ref="Y473">IF($I472="","",IF(AND(C473="P",C472&lt;&gt;"P"),IFERROR(XLOOKUP($B473,Lenso_Input!$A:$A,Lenso_Input!$E:$E,0),0),Y472+AS472))</f>
        <v/>
      </c>
      <c r="Z473" s="28" t="str">
        <f t="array" ref="Z473">IF($I472="","",IF(AND(C473="Q",C472&lt;&gt;"Q"),IFERROR(XLOOKUP($B473,Lenso_Input!$A:$A,Lenso_Input!$I:$I,0),0),Z472+AT472))</f>
        <v/>
      </c>
      <c r="AA473" s="28" t="str">
        <f t="array" ref="AA473">IF($I472="","",IF(XLOOKUP($B473,Derived_Variables!$A:$A,Derived_Variables!$R:$R,"6/6_target")="6/6_target","20_20_20","40_30_25"))</f>
        <v/>
      </c>
      <c r="AB473" s="28" t="str">
        <f t="array" ref="AB473">IF($I472="","",XLOOKUP(LOWER(XLOOKUP($B473,Derived_Variables!$A:$A,Derived_Variables!$T:$T,"Standard"))&amp;"_sph_step",Calibration!$B:$B,Calibration!$C:$C,0.25))</f>
        <v/>
      </c>
      <c r="AC473" s="28" t="str">
        <f t="array" ref="AC473">IF($I472="","",XLOOKUP(LOWER(XLOOKUP($B473,Derived_Variables!$A:$A,Derived_Variables!$T:$T,"Standard"))&amp;"_cyl_step",Calibration!$B:$B,Calibration!$C:$C,0.25))</f>
        <v/>
      </c>
      <c r="AD473" s="28" t="str">
        <f t="array" ref="AD473">IF($I472="","",IF(OR(C473="E",C473="H"),LET(startStep,XLOOKUP("axis_start_step",Calibration!$B:$B,Calibration!$C:$C,5),step1,XLOOKUP("axis_reversal_step_1",Calibration!$B:$B,Calibration!$C:$C,3),step2,XLOOKUP("axis_reversal_step_2",Calibration!$B:$B,Calibration!$C:$C,1),IF(OR(C472&lt;&gt;C473,AZ473="",AZ473="SAME",AZ473="CANT_TELL",I473="",I473="SAME",I473="CANT_TELL"),startStep,IF(OR(AND(AZ473="BETTER_1",I473="BETTER_2"),AND(AZ473="BETTER_2",I473="BETTER_1")),IF(AD472&gt;step1,step1,step2),AD472))),0))</f>
        <v/>
      </c>
      <c r="AE473" s="28" t="str">
        <f t="array" ref="AE473">IF($I472="","",XLOOKUP($B473,Derived_Variables!$A:$A,Derived_Variables!$AD:$AD,"No_Fog"))</f>
        <v/>
      </c>
      <c r="AF473" s="28" t="str">
        <f t="array" ref="AF473">IF($I472="","",XLOOKUP($B473,Derived_Variables!$A:$A,Derived_Variables!$AE:$AE,0))</f>
        <v/>
      </c>
      <c r="AG473" s="28" t="str">
        <f t="array" ref="AG473">IF($I472="","",XLOOKUP($B473,Derived_Variables!$A:$A,Derived_Variables!$AF:$AF,""))</f>
        <v/>
      </c>
      <c r="AH473" s="28" t="str">
        <f t="array" ref="AH473">IF($I472="","",XLOOKUP($B473,Derived_Variables!$A:$A,Derived_Variables!$AG:$AG,""))</f>
        <v/>
      </c>
      <c r="AI473" s="28" t="str">
        <f t="array" ref="AI473">IF($I472="","",XLOOKUP($B473,Derived_Variables!$A:$A,Derived_Variables!$AC:$AC,"Medium"))</f>
        <v/>
      </c>
      <c r="AJ473" s="28" t="str">
        <f t="array" ref="AJ473">IF($I472="","",XLOOKUP($B473,Derived_Variables!$A:$A,Derived_Variables!$Y:$Y,FALSE))</f>
        <v/>
      </c>
      <c r="AK473" s="28" t="str">
        <f t="array" ref="AK473">IF($I472="","",XLOOKUP($B473,Derived_Variables!$A:$A,Derived_Variables!$AA:$AA,"Normal"))</f>
        <v/>
      </c>
      <c r="AL473" s="28" t="str">
        <f t="array" ref="AL473">IF($I472="","",XLOOKUP($B473,Derived_Variables!$A:$A,Derived_Variables!$AB:$AB,"Normal"))</f>
        <v/>
      </c>
      <c r="AM473" s="28" t="str">
        <f t="array" ref="AM473">IF($I473="","",IFS(C473="B",IF(OR(I473="NOT_READABLE",I473="BLURRY"),-AB473,0),C473="G",IFS(I473="RED_CLEARER",XLOOKUP("duochrome_red_step",Calibration!$B:$B,Calibration!$C:$C,-0.25),I473="GREEN_CLEARER",XLOOKUP("duochrome_green_step",Calibration!$B:$B,Calibration!$C:$C,0.25),I473="EQUAL",IF(XLOOKUP($B473,Derived_Variables!$A:$A,Derived_Variables!$S:$S,"Neutral")="Undercorrect",XLOOKUP("undercorrect_step",Calibration!$B:$B,Calibration!$C:$C,0.25),IF(XLOOKUP($B473,Derived_Variables!$A:$A,Derived_Variables!$S:$S,"Neutral")="Overcorrect",-XLOOKUP("overcorrect_step",Calibration!$B:$B,Calibration!$C:$C,0.25),0)),TRUE,0),C473="K",IF(I473="TOP_CLEARER",XLOOKUP("bino_balance_step",Calibration!$B:$B,Calibration!$C:$C,0.25),0),TRUE,0))</f>
        <v/>
      </c>
      <c r="AN473" s="28" t="str">
        <f t="shared" si="10"/>
        <v/>
      </c>
      <c r="AO473" s="28" t="str">
        <f t="shared" si="11"/>
        <v/>
      </c>
      <c r="AP473" s="28" t="str">
        <f t="array" ref="AP473">IF($I473="","",IFS(C473="D",IF(OR(I473="NOT_READABLE",I473="BLURRY"),-AB473,0),C473="J",IFS(I473="RED_CLEARER",XLOOKUP("duochrome_red_step",Calibration!$B:$B,Calibration!$C:$C,-0.25),I473="GREEN_CLEARER",XLOOKUP("duochrome_green_step",Calibration!$B:$B,Calibration!$C:$C,0.25),I473="EQUAL",IF(XLOOKUP($B473,Derived_Variables!$A:$A,Derived_Variables!$S:$S,"Neutral")="Undercorrect",XLOOKUP("undercorrect_step",Calibration!$B:$B,Calibration!$C:$C,0.25),IF(XLOOKUP($B473,Derived_Variables!$A:$A,Derived_Variables!$S:$S,"Neutral")="Overcorrect",-XLOOKUP("overcorrect_step",Calibration!$B:$B,Calibration!$C:$C,0.25),0)),TRUE,0),C473="K",IF(I473="BOTTOM_CLEARER",XLOOKUP("bino_balance_step",Calibration!$B:$B,Calibration!$C:$C,0.25),0),TRUE,0))</f>
        <v/>
      </c>
      <c r="AQ473" s="28" t="str">
        <f t="shared" si="12"/>
        <v/>
      </c>
      <c r="AR473" s="28" t="str">
        <f t="shared" si="13"/>
        <v/>
      </c>
      <c r="AS473" s="28" t="str">
        <f t="array" ref="AS473">IF($I473="","",IF(C473="P",IF(OR(I473="NOT_READABLE",I473="BLURRY"),XLOOKUP("near_add_step",Calibration!$B:$B,Calibration!$C:$C,0.25),0),IF(C473="R",IF(I473="NOT_CLEAR",XLOOKUP("near_add_step",Calibration!$B:$B,Calibration!$C:$C,0.25),0),0)))</f>
        <v/>
      </c>
      <c r="AT473" s="28" t="str">
        <f t="array" ref="AT473">IF($I473="","",IF(C473="Q",IF(OR(I473="NOT_READABLE",I473="BLURRY"),XLOOKUP("near_add_step",Calibration!$B:$B,Calibration!$C:$C,0.25),0),IF(C473="R",IF(I473="NOT_CLEAR",XLOOKUP("near_add_step",Calibration!$B:$B,Calibration!$C:$C,0.25),0),0)))</f>
        <v/>
      </c>
      <c r="AU473" s="28" t="str">
        <f t="array" ref="AU473">IF($I473="","",IF(G473="SNELLEN_FEET",IF(I473="READABLE",IFERROR(XLOOKUP(XLOOKUP(R473,Chart_Scale_Distance!B:B,Chart_Scale_Distance!A:A)+1,Chart_Scale_Distance!A:A,Chart_Scale_Distance!B:B),R473),R473),R473))</f>
        <v/>
      </c>
      <c r="AV473" s="28" t="str">
        <f t="array" ref="AV473">IF($I472="","",IFERROR(XLOOKUP(R473,Chart_Scale_Distance!$B:$B,Chart_Scale_Distance!$A:$A,""),""))</f>
        <v/>
      </c>
      <c r="AW473" s="28" t="str">
        <f t="array" ref="AW473">IF($I472="","",IFERROR(XLOOKUP(AA473,Chart_Scale_Distance!$B:$B,Chart_Scale_Distance!$A:$A,""),""))</f>
        <v/>
      </c>
      <c r="AX473" s="28" t="str">
        <f t="shared" si="14"/>
        <v/>
      </c>
      <c r="AY473" s="28" t="str">
        <f t="shared" si="15"/>
        <v/>
      </c>
      <c r="AZ473" s="28" t="str">
        <f t="shared" si="16"/>
        <v/>
      </c>
      <c r="BA473" s="28" t="str">
        <f t="shared" si="17"/>
        <v/>
      </c>
      <c r="BB473" s="28" t="str">
        <f t="shared" si="18"/>
        <v/>
      </c>
      <c r="BC473" s="28" t="str">
        <f t="array" ref="BC473">IF($I473="","",LET(
conf,AI473,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duoMax,XLOOKUP($B473,Derived_Variables!$A:$A,Derived_Variables!$AI:$AI,4),
axisTol,XLOOKUP($B473,Derived_Variables!$A:$A,Derived_Variables!$W:$W,1),
maxStart,XLOOKUP($B473,Derived_Variables!$A:$A,Derived_Variables!$U:$U,1.25),
maxAR,XLOOKUP($B473,Derived_Variables!$A:$A,Derived_Variables!$V:$V,3),
anom,XLOOKUP($B473,Derived_Variables!$A:$A,Derived_Variables!$Z:$Z,FALSE),
reStart,XLOOKUP($B473,Derived_Variables!$A:$A,Derived_Variables!$K:$K,0),
leStart,XLOOKUP($B473,Derived_Variables!$A:$A,Derived_Variables!$N:$N,0),
reAR,XLOOKUP($B473,AR_Input!$A:$A,AR_Input!$B:$B,reStart),
leAR,XLOOKUP($B473,AR_Input!$A:$A,AR_Input!$E:$E,leStart),
reEsc,AND(anom,OR(ABS((S473+AM473)-reStart)&gt;maxStart,ABS((S473+AM473)-reAR)&gt;maxAR)),
leEsc,AND(anom,OR(ABS((V473+AP473)-leStart)&gt;maxStart,ABS((V473+AP473)-leAR)&gt;maxAR)),
phaseMax,IFS(
 AK473="Fast",
   IFS(
     OR(C473="B",C473="D"),XLOOKUP("timeout_coarse_fast",Calibration!$B:$B,Calibration!$C:$C,24),
     OR(C473="E",C473="F",C473="H",C473="I"),XLOOKUP("timeout_jcc_fast",Calibration!$B:$B,Calibration!$C:$C,10),
     OR(C473="G",C473="J"),XLOOKUP("timeout_duochrome_fast",Calibration!$B:$B,Calibration!$C:$C,8),
     C473="K",XLOOKUP("timeout_bino_fast",Calibration!$B:$B,Calibration!$C:$C,10),
     OR(C473="P",C473="Q",C473="R"),XLOOKUP("timeout_near_fast",Calibration!$B:$B,Calibration!$C:$C,16),
     TRUE,XLOOKUP("timeout_coarse_fast",Calibration!$B:$B,Calibration!$C:$C,24)
   ),
 AK473="Normal",
   IFS(
     OR(C473="B",C473="D"),XLOOKUP("timeout_coarse_normal",Calibration!$B:$B,Calibration!$C:$C,36),
     OR(C473="E",C473="F",C473="H",C473="I"),XLOOKUP("timeout_jcc_normal",Calibration!$B:$B,Calibration!$C:$C,14),
     OR(C473="G",C473="J"),XLOOKUP("timeout_duochrome_normal",Calibration!$B:$B,Calibration!$C:$C,10),
     C473="K",XLOOKUP("timeout_bino_normal",Calibration!$B:$B,Calibration!$C:$C,14),
     OR(C473="P",C473="Q",C473="R"),XLOOKUP("timeout_near_normal",Calibration!$B:$B,Calibration!$C:$C,22),
     TRUE,XLOOKUP("timeout_coarse_normal",Calibration!$B:$B,Calibration!$C:$C,36)
   ),
 TRUE,
   IFS(
     OR(C473="B",C473="D"),XLOOKUP("timeout_coarse_slow",Calibration!$B:$B,Calibration!$C:$C,48),
     OR(C473="E",C473="F",C473="H",C473="I"),XLOOKUP("timeout_jcc_slow",Calibration!$B:$B,Calibration!$C:$C,18),
     OR(C473="G",C473="J"),XLOOKUP("timeout_duochrome_slow",Calibration!$B:$B,Calibration!$C:$C,12),
     C473="K",XLOOKUP("timeout_bino_slow",Calibration!$B:$B,Calibration!$C:$C,18),
     OR(C473="P",C473="Q",C473="R"),XLOOKUP("timeout_near_slow",Calibration!$B:$B,Calibration!$C:$C,28),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AJ473=TRUE,"ESCALATE",
C473="A",
IF(OR(I473="NOT_READABLE",I473="BLURRY",AND(R473="20_20_20",I473="READABLE")),"B","A"),
C473="B",
IF(reEsc,"ESCALATE",IF(AY473&gt;=phaseMax,"ESCALATE",IF(AND(AV473&gt;=AW473,I473="READABLE"),"E","B"))),
C473="E",
IF(AY473&gt;=phaseMax,"ESCALATE",IF(OR(I473="SAME",I473="CANT_TELL",AD473&lt;axisTol),"F","E")),
C473="F",
IF(AY473&gt;=phaseMax,"ESCALATE",IF(AX473&gt;=powerSameN,"G","F")),
C473="G",
IF(AY473&gt;=phaseMax,"ESCALATE",IF(OR(AX473&gt;=duoEqualN,BB473&gt;=duoMax),"D","G")),
C473="D",
IF(leEsc,"ESCALATE",IF(AY473&gt;=phaseMax,"ESCALATE",IF(AND(AV473&gt;=AW473,I473="READABLE"),"H","D"))),
C473="H",
IF(AY473&gt;=phaseMax,"ESCALATE",IF(OR(I473="SAME",I473="CANT_TELL",AD473&lt;axisTol),"I","H")),
C473="I",
IF(AY473&gt;=phaseMax,"ESCALATE",IF(AX473&gt;=powerSameN,"J","I")),
C473="J",
IF(AY473&gt;=phaseMax,"ESCALATE",IF(OR(AX473&gt;=duoEqualN,BB473&gt;=duoMax),"K","J")),
C473="K",
IF(AY473&gt;=phaseMax,"ESCALATE",IF(AX473&gt;=binoSameN,IF(XLOOKUP($B473,Derived_Variables!$A:$A,Derived_Variables!$AJ:$AJ,FALSE)=TRUE,"P","END"),"K")),
C473="P",
IF(AY473&gt;=phaseMax,"ESCALATE",IF(OR(I473="READABLE",I473="SAME"),"Q","P")),
C473="Q",
IF(AY473&gt;=phaseMax,"ESCALATE",IF(OR(I473="READABLE",I473="SAME"),"R","Q")),
C473="R",
IF(AY473&gt;=phaseMax,"ESCALATE",IF(OR(I473=nearTarget,I473="SAME"),"END","R")),
TRUE,"END"
)))</f>
        <v/>
      </c>
      <c r="BD473" s="28" t="b">
        <f t="shared" si="19"/>
        <v>0</v>
      </c>
    </row>
    <row r="474" ht="15.75" customHeight="1">
      <c r="A474" s="28">
        <f t="shared" si="3"/>
        <v>473</v>
      </c>
      <c r="B474" s="28">
        <f t="shared" si="4"/>
        <v>6</v>
      </c>
      <c r="C474" s="28" t="str">
        <f t="shared" si="5"/>
        <v/>
      </c>
      <c r="D474" s="28" t="str">
        <f t="array" ref="D474">IF($I473="","",XLOOKUP(C474,FSM_State_Map!A:A,FSM_State_Map!B:B,""))</f>
        <v/>
      </c>
      <c r="E474" s="28" t="str">
        <f t="array" ref="E474">IF($I473="","",XLOOKUP(C474,FSM_State_Map!A:A,FSM_State_Map!C:C,""))</f>
        <v/>
      </c>
      <c r="F474" s="28" t="str">
        <f t="array" ref="F474">IF($I473="","",XLOOKUP(E474,Phase_UI_Map!A:A,Phase_UI_Map!B:B,""))</f>
        <v/>
      </c>
      <c r="G474" s="28" t="str">
        <f t="array" ref="G474">IF($I473="","",XLOOKUP(E474,Phase_UI_Map!A:A,Phase_UI_Map!C:C,""))</f>
        <v/>
      </c>
      <c r="H474" s="28" t="str">
        <f t="array" ref="H474">IF($I473="","",XLOOKUP(E474,Phase_UI_Map!A:A,Phase_UI_Map!D:D,""))</f>
        <v/>
      </c>
      <c r="I474" s="29"/>
      <c r="J474" s="28" t="str">
        <f>IFERROR(__xludf.DUMMYFUNCTION("IF($I473="""","""",IFERROR(INDEX(FILTER(Response_Lists!$B:$B,Response_Lists!$A:$A=$H474),1),""""))"),"")</f>
        <v/>
      </c>
      <c r="K474" s="28" t="str">
        <f>IFERROR(__xludf.DUMMYFUNCTION("IF($I473="""","""",IFERROR(INDEX(FILTER(Response_Lists!$B:$B,Response_Lists!$A:$A=$H474),2),""""))"),"")</f>
        <v/>
      </c>
      <c r="L474" s="28" t="str">
        <f>IFERROR(__xludf.DUMMYFUNCTION("IF($I473="""","""",IFERROR(INDEX(FILTER(Response_Lists!$B:$B,Response_Lists!$A:$A=$H474),3),""""))"),"")</f>
        <v/>
      </c>
      <c r="M474" s="28" t="str">
        <f>IFERROR(__xludf.DUMMYFUNCTION("IF($I473="""","""",IFERROR(INDEX(FILTER(Response_Lists!$B:$B,Response_Lists!$A:$A=$H474),4),""""))"),"")</f>
        <v/>
      </c>
      <c r="N474" s="28" t="str">
        <f>IFERROR(__xludf.DUMMYFUNCTION("IF($I473="""","""",IFERROR(INDEX(FILTER(Response_Lists!$B:$B,Response_Lists!$A:$A=$H474),5),""""))"),"")</f>
        <v/>
      </c>
      <c r="O474" s="28" t="str">
        <f>IFERROR(__xludf.DUMMYFUNCTION("IF($I473="""","""",IFERROR(INDEX(FILTER(Response_Lists!$B:$B,Response_Lists!$A:$A=$H474),6),""""))"),"")</f>
        <v/>
      </c>
      <c r="P474" s="28" t="str">
        <f t="shared" si="6"/>
        <v/>
      </c>
      <c r="Q474" s="28" t="str">
        <f t="array" ref="Q474">IF($I473="","",XLOOKUP(C474,FSM_State_Map!A:A,FSM_State_Map!D:D,""))</f>
        <v/>
      </c>
      <c r="R474" s="28" t="str">
        <f t="shared" si="7"/>
        <v/>
      </c>
      <c r="S474" s="28" t="str">
        <f t="array" ref="S474">IF($I473="","",
IF(
  AND(C474="B",C473&lt;&gt;"B"),
  XLOOKUP($B474,Derived_Variables!$A:$A,Derived_Variables!$K:$K,0)
  + XLOOKUP($B474,Derived_Variables!$A:$A,Derived_Variables!$AE:$AE,0),
  S473+AM473
))</f>
        <v/>
      </c>
      <c r="T474" s="28" t="str">
        <f t="shared" ref="T474:U474" si="958">IF($I473="","",T473+AN473)</f>
        <v/>
      </c>
      <c r="U474" s="28" t="str">
        <f t="shared" si="958"/>
        <v/>
      </c>
      <c r="V474" s="28" t="str">
        <f t="array" ref="V474">IF($I473="","",
IF(
  AND(C474="D",C473&lt;&gt;"D"),
  XLOOKUP($B474,Derived_Variables!$A:$A,Derived_Variables!$N:$N,0)
  + XLOOKUP($B474,Derived_Variables!$A:$A,Derived_Variables!$AE:$AE,0),
  V473+AP473
))</f>
        <v/>
      </c>
      <c r="W474" s="28" t="str">
        <f t="shared" ref="W474:X474" si="959">IF($I473="","",W473+AQ473)</f>
        <v/>
      </c>
      <c r="X474" s="28" t="str">
        <f t="shared" si="959"/>
        <v/>
      </c>
      <c r="Y474" s="28" t="str">
        <f t="array" ref="Y474">IF($I473="","",IF(AND(C474="P",C473&lt;&gt;"P"),IFERROR(XLOOKUP($B474,Lenso_Input!$A:$A,Lenso_Input!$E:$E,0),0),Y473+AS473))</f>
        <v/>
      </c>
      <c r="Z474" s="28" t="str">
        <f t="array" ref="Z474">IF($I473="","",IF(AND(C474="Q",C473&lt;&gt;"Q"),IFERROR(XLOOKUP($B474,Lenso_Input!$A:$A,Lenso_Input!$I:$I,0),0),Z473+AT473))</f>
        <v/>
      </c>
      <c r="AA474" s="28" t="str">
        <f t="array" ref="AA474">IF($I473="","",IF(XLOOKUP($B474,Derived_Variables!$A:$A,Derived_Variables!$R:$R,"6/6_target")="6/6_target","20_20_20","40_30_25"))</f>
        <v/>
      </c>
      <c r="AB474" s="28" t="str">
        <f t="array" ref="AB474">IF($I473="","",XLOOKUP(LOWER(XLOOKUP($B474,Derived_Variables!$A:$A,Derived_Variables!$T:$T,"Standard"))&amp;"_sph_step",Calibration!$B:$B,Calibration!$C:$C,0.25))</f>
        <v/>
      </c>
      <c r="AC474" s="28" t="str">
        <f t="array" ref="AC474">IF($I473="","",XLOOKUP(LOWER(XLOOKUP($B474,Derived_Variables!$A:$A,Derived_Variables!$T:$T,"Standard"))&amp;"_cyl_step",Calibration!$B:$B,Calibration!$C:$C,0.25))</f>
        <v/>
      </c>
      <c r="AD474" s="28" t="str">
        <f t="array" ref="AD474">IF($I473="","",IF(OR(C474="E",C474="H"),LET(startStep,XLOOKUP("axis_start_step",Calibration!$B:$B,Calibration!$C:$C,5),step1,XLOOKUP("axis_reversal_step_1",Calibration!$B:$B,Calibration!$C:$C,3),step2,XLOOKUP("axis_reversal_step_2",Calibration!$B:$B,Calibration!$C:$C,1),IF(OR(C473&lt;&gt;C474,AZ474="",AZ474="SAME",AZ474="CANT_TELL",I474="",I474="SAME",I474="CANT_TELL"),startStep,IF(OR(AND(AZ474="BETTER_1",I474="BETTER_2"),AND(AZ474="BETTER_2",I474="BETTER_1")),IF(AD473&gt;step1,step1,step2),AD473))),0))</f>
        <v/>
      </c>
      <c r="AE474" s="28" t="str">
        <f t="array" ref="AE474">IF($I473="","",XLOOKUP($B474,Derived_Variables!$A:$A,Derived_Variables!$AD:$AD,"No_Fog"))</f>
        <v/>
      </c>
      <c r="AF474" s="28" t="str">
        <f t="array" ref="AF474">IF($I473="","",XLOOKUP($B474,Derived_Variables!$A:$A,Derived_Variables!$AE:$AE,0))</f>
        <v/>
      </c>
      <c r="AG474" s="28" t="str">
        <f t="array" ref="AG474">IF($I473="","",XLOOKUP($B474,Derived_Variables!$A:$A,Derived_Variables!$AF:$AF,""))</f>
        <v/>
      </c>
      <c r="AH474" s="28" t="str">
        <f t="array" ref="AH474">IF($I473="","",XLOOKUP($B474,Derived_Variables!$A:$A,Derived_Variables!$AG:$AG,""))</f>
        <v/>
      </c>
      <c r="AI474" s="28" t="str">
        <f t="array" ref="AI474">IF($I473="","",XLOOKUP($B474,Derived_Variables!$A:$A,Derived_Variables!$AC:$AC,"Medium"))</f>
        <v/>
      </c>
      <c r="AJ474" s="28" t="str">
        <f t="array" ref="AJ474">IF($I473="","",XLOOKUP($B474,Derived_Variables!$A:$A,Derived_Variables!$Y:$Y,FALSE))</f>
        <v/>
      </c>
      <c r="AK474" s="28" t="str">
        <f t="array" ref="AK474">IF($I473="","",XLOOKUP($B474,Derived_Variables!$A:$A,Derived_Variables!$AA:$AA,"Normal"))</f>
        <v/>
      </c>
      <c r="AL474" s="28" t="str">
        <f t="array" ref="AL474">IF($I473="","",XLOOKUP($B474,Derived_Variables!$A:$A,Derived_Variables!$AB:$AB,"Normal"))</f>
        <v/>
      </c>
      <c r="AM474" s="28" t="str">
        <f t="array" ref="AM474">IF($I474="","",IFS(C474="B",IF(OR(I474="NOT_READABLE",I474="BLURRY"),-AB474,0),C474="G",IFS(I474="RED_CLEARER",XLOOKUP("duochrome_red_step",Calibration!$B:$B,Calibration!$C:$C,-0.25),I474="GREEN_CLEARER",XLOOKUP("duochrome_green_step",Calibration!$B:$B,Calibration!$C:$C,0.25),I474="EQUAL",IF(XLOOKUP($B474,Derived_Variables!$A:$A,Derived_Variables!$S:$S,"Neutral")="Undercorrect",XLOOKUP("undercorrect_step",Calibration!$B:$B,Calibration!$C:$C,0.25),IF(XLOOKUP($B474,Derived_Variables!$A:$A,Derived_Variables!$S:$S,"Neutral")="Overcorrect",-XLOOKUP("overcorrect_step",Calibration!$B:$B,Calibration!$C:$C,0.25),0)),TRUE,0),C474="K",IF(I474="TOP_CLEARER",XLOOKUP("bino_balance_step",Calibration!$B:$B,Calibration!$C:$C,0.25),0),TRUE,0))</f>
        <v/>
      </c>
      <c r="AN474" s="28" t="str">
        <f t="shared" si="10"/>
        <v/>
      </c>
      <c r="AO474" s="28" t="str">
        <f t="shared" si="11"/>
        <v/>
      </c>
      <c r="AP474" s="28" t="str">
        <f t="array" ref="AP474">IF($I474="","",IFS(C474="D",IF(OR(I474="NOT_READABLE",I474="BLURRY"),-AB474,0),C474="J",IFS(I474="RED_CLEARER",XLOOKUP("duochrome_red_step",Calibration!$B:$B,Calibration!$C:$C,-0.25),I474="GREEN_CLEARER",XLOOKUP("duochrome_green_step",Calibration!$B:$B,Calibration!$C:$C,0.25),I474="EQUAL",IF(XLOOKUP($B474,Derived_Variables!$A:$A,Derived_Variables!$S:$S,"Neutral")="Undercorrect",XLOOKUP("undercorrect_step",Calibration!$B:$B,Calibration!$C:$C,0.25),IF(XLOOKUP($B474,Derived_Variables!$A:$A,Derived_Variables!$S:$S,"Neutral")="Overcorrect",-XLOOKUP("overcorrect_step",Calibration!$B:$B,Calibration!$C:$C,0.25),0)),TRUE,0),C474="K",IF(I474="BOTTOM_CLEARER",XLOOKUP("bino_balance_step",Calibration!$B:$B,Calibration!$C:$C,0.25),0),TRUE,0))</f>
        <v/>
      </c>
      <c r="AQ474" s="28" t="str">
        <f t="shared" si="12"/>
        <v/>
      </c>
      <c r="AR474" s="28" t="str">
        <f t="shared" si="13"/>
        <v/>
      </c>
      <c r="AS474" s="28" t="str">
        <f t="array" ref="AS474">IF($I474="","",IF(C474="P",IF(OR(I474="NOT_READABLE",I474="BLURRY"),XLOOKUP("near_add_step",Calibration!$B:$B,Calibration!$C:$C,0.25),0),IF(C474="R",IF(I474="NOT_CLEAR",XLOOKUP("near_add_step",Calibration!$B:$B,Calibration!$C:$C,0.25),0),0)))</f>
        <v/>
      </c>
      <c r="AT474" s="28" t="str">
        <f t="array" ref="AT474">IF($I474="","",IF(C474="Q",IF(OR(I474="NOT_READABLE",I474="BLURRY"),XLOOKUP("near_add_step",Calibration!$B:$B,Calibration!$C:$C,0.25),0),IF(C474="R",IF(I474="NOT_CLEAR",XLOOKUP("near_add_step",Calibration!$B:$B,Calibration!$C:$C,0.25),0),0)))</f>
        <v/>
      </c>
      <c r="AU474" s="28" t="str">
        <f t="array" ref="AU474">IF($I474="","",IF(G474="SNELLEN_FEET",IF(I474="READABLE",IFERROR(XLOOKUP(XLOOKUP(R474,Chart_Scale_Distance!B:B,Chart_Scale_Distance!A:A)+1,Chart_Scale_Distance!A:A,Chart_Scale_Distance!B:B),R474),R474),R474))</f>
        <v/>
      </c>
      <c r="AV474" s="28" t="str">
        <f t="array" ref="AV474">IF($I473="","",IFERROR(XLOOKUP(R474,Chart_Scale_Distance!$B:$B,Chart_Scale_Distance!$A:$A,""),""))</f>
        <v/>
      </c>
      <c r="AW474" s="28" t="str">
        <f t="array" ref="AW474">IF($I473="","",IFERROR(XLOOKUP(AA474,Chart_Scale_Distance!$B:$B,Chart_Scale_Distance!$A:$A,""),""))</f>
        <v/>
      </c>
      <c r="AX474" s="28" t="str">
        <f t="shared" si="14"/>
        <v/>
      </c>
      <c r="AY474" s="28" t="str">
        <f t="shared" si="15"/>
        <v/>
      </c>
      <c r="AZ474" s="28" t="str">
        <f t="shared" si="16"/>
        <v/>
      </c>
      <c r="BA474" s="28" t="str">
        <f t="shared" si="17"/>
        <v/>
      </c>
      <c r="BB474" s="28" t="str">
        <f t="shared" si="18"/>
        <v/>
      </c>
      <c r="BC474" s="28" t="str">
        <f t="array" ref="BC474">IF($I474="","",LET(
conf,AI474,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duoMax,XLOOKUP($B474,Derived_Variables!$A:$A,Derived_Variables!$AI:$AI,4),
axisTol,XLOOKUP($B474,Derived_Variables!$A:$A,Derived_Variables!$W:$W,1),
maxStart,XLOOKUP($B474,Derived_Variables!$A:$A,Derived_Variables!$U:$U,1.25),
maxAR,XLOOKUP($B474,Derived_Variables!$A:$A,Derived_Variables!$V:$V,3),
anom,XLOOKUP($B474,Derived_Variables!$A:$A,Derived_Variables!$Z:$Z,FALSE),
reStart,XLOOKUP($B474,Derived_Variables!$A:$A,Derived_Variables!$K:$K,0),
leStart,XLOOKUP($B474,Derived_Variables!$A:$A,Derived_Variables!$N:$N,0),
reAR,XLOOKUP($B474,AR_Input!$A:$A,AR_Input!$B:$B,reStart),
leAR,XLOOKUP($B474,AR_Input!$A:$A,AR_Input!$E:$E,leStart),
reEsc,AND(anom,OR(ABS((S474+AM474)-reStart)&gt;maxStart,ABS((S474+AM474)-reAR)&gt;maxAR)),
leEsc,AND(anom,OR(ABS((V474+AP474)-leStart)&gt;maxStart,ABS((V474+AP474)-leAR)&gt;maxAR)),
phaseMax,IFS(
 AK474="Fast",
   IFS(
     OR(C474="B",C474="D"),XLOOKUP("timeout_coarse_fast",Calibration!$B:$B,Calibration!$C:$C,24),
     OR(C474="E",C474="F",C474="H",C474="I"),XLOOKUP("timeout_jcc_fast",Calibration!$B:$B,Calibration!$C:$C,10),
     OR(C474="G",C474="J"),XLOOKUP("timeout_duochrome_fast",Calibration!$B:$B,Calibration!$C:$C,8),
     C474="K",XLOOKUP("timeout_bino_fast",Calibration!$B:$B,Calibration!$C:$C,10),
     OR(C474="P",C474="Q",C474="R"),XLOOKUP("timeout_near_fast",Calibration!$B:$B,Calibration!$C:$C,16),
     TRUE,XLOOKUP("timeout_coarse_fast",Calibration!$B:$B,Calibration!$C:$C,24)
   ),
 AK474="Normal",
   IFS(
     OR(C474="B",C474="D"),XLOOKUP("timeout_coarse_normal",Calibration!$B:$B,Calibration!$C:$C,36),
     OR(C474="E",C474="F",C474="H",C474="I"),XLOOKUP("timeout_jcc_normal",Calibration!$B:$B,Calibration!$C:$C,14),
     OR(C474="G",C474="J"),XLOOKUP("timeout_duochrome_normal",Calibration!$B:$B,Calibration!$C:$C,10),
     C474="K",XLOOKUP("timeout_bino_normal",Calibration!$B:$B,Calibration!$C:$C,14),
     OR(C474="P",C474="Q",C474="R"),XLOOKUP("timeout_near_normal",Calibration!$B:$B,Calibration!$C:$C,22),
     TRUE,XLOOKUP("timeout_coarse_normal",Calibration!$B:$B,Calibration!$C:$C,36)
   ),
 TRUE,
   IFS(
     OR(C474="B",C474="D"),XLOOKUP("timeout_coarse_slow",Calibration!$B:$B,Calibration!$C:$C,48),
     OR(C474="E",C474="F",C474="H",C474="I"),XLOOKUP("timeout_jcc_slow",Calibration!$B:$B,Calibration!$C:$C,18),
     OR(C474="G",C474="J"),XLOOKUP("timeout_duochrome_slow",Calibration!$B:$B,Calibration!$C:$C,12),
     C474="K",XLOOKUP("timeout_bino_slow",Calibration!$B:$B,Calibration!$C:$C,18),
     OR(C474="P",C474="Q",C474="R"),XLOOKUP("timeout_near_slow",Calibration!$B:$B,Calibration!$C:$C,28),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AJ474=TRUE,"ESCALATE",
C474="A",
IF(OR(I474="NOT_READABLE",I474="BLURRY",AND(R474="20_20_20",I474="READABLE")),"B","A"),
C474="B",
IF(reEsc,"ESCALATE",IF(AY474&gt;=phaseMax,"ESCALATE",IF(AND(AV474&gt;=AW474,I474="READABLE"),"E","B"))),
C474="E",
IF(AY474&gt;=phaseMax,"ESCALATE",IF(OR(I474="SAME",I474="CANT_TELL",AD474&lt;axisTol),"F","E")),
C474="F",
IF(AY474&gt;=phaseMax,"ESCALATE",IF(AX474&gt;=powerSameN,"G","F")),
C474="G",
IF(AY474&gt;=phaseMax,"ESCALATE",IF(OR(AX474&gt;=duoEqualN,BB474&gt;=duoMax),"D","G")),
C474="D",
IF(leEsc,"ESCALATE",IF(AY474&gt;=phaseMax,"ESCALATE",IF(AND(AV474&gt;=AW474,I474="READABLE"),"H","D"))),
C474="H",
IF(AY474&gt;=phaseMax,"ESCALATE",IF(OR(I474="SAME",I474="CANT_TELL",AD474&lt;axisTol),"I","H")),
C474="I",
IF(AY474&gt;=phaseMax,"ESCALATE",IF(AX474&gt;=powerSameN,"J","I")),
C474="J",
IF(AY474&gt;=phaseMax,"ESCALATE",IF(OR(AX474&gt;=duoEqualN,BB474&gt;=duoMax),"K","J")),
C474="K",
IF(AY474&gt;=phaseMax,"ESCALATE",IF(AX474&gt;=binoSameN,IF(XLOOKUP($B474,Derived_Variables!$A:$A,Derived_Variables!$AJ:$AJ,FALSE)=TRUE,"P","END"),"K")),
C474="P",
IF(AY474&gt;=phaseMax,"ESCALATE",IF(OR(I474="READABLE",I474="SAME"),"Q","P")),
C474="Q",
IF(AY474&gt;=phaseMax,"ESCALATE",IF(OR(I474="READABLE",I474="SAME"),"R","Q")),
C474="R",
IF(AY474&gt;=phaseMax,"ESCALATE",IF(OR(I474=nearTarget,I474="SAME"),"END","R")),
TRUE,"END"
)))</f>
        <v/>
      </c>
      <c r="BD474" s="28" t="b">
        <f t="shared" si="19"/>
        <v>0</v>
      </c>
    </row>
    <row r="475" ht="15.75" customHeight="1">
      <c r="A475" s="28">
        <f t="shared" si="3"/>
        <v>474</v>
      </c>
      <c r="B475" s="28">
        <f t="shared" si="4"/>
        <v>6</v>
      </c>
      <c r="C475" s="28" t="str">
        <f t="shared" si="5"/>
        <v/>
      </c>
      <c r="D475" s="28" t="str">
        <f t="array" ref="D475">IF($I474="","",XLOOKUP(C475,FSM_State_Map!A:A,FSM_State_Map!B:B,""))</f>
        <v/>
      </c>
      <c r="E475" s="28" t="str">
        <f t="array" ref="E475">IF($I474="","",XLOOKUP(C475,FSM_State_Map!A:A,FSM_State_Map!C:C,""))</f>
        <v/>
      </c>
      <c r="F475" s="28" t="str">
        <f t="array" ref="F475">IF($I474="","",XLOOKUP(E475,Phase_UI_Map!A:A,Phase_UI_Map!B:B,""))</f>
        <v/>
      </c>
      <c r="G475" s="28" t="str">
        <f t="array" ref="G475">IF($I474="","",XLOOKUP(E475,Phase_UI_Map!A:A,Phase_UI_Map!C:C,""))</f>
        <v/>
      </c>
      <c r="H475" s="28" t="str">
        <f t="array" ref="H475">IF($I474="","",XLOOKUP(E475,Phase_UI_Map!A:A,Phase_UI_Map!D:D,""))</f>
        <v/>
      </c>
      <c r="I475" s="29"/>
      <c r="J475" s="28" t="str">
        <f>IFERROR(__xludf.DUMMYFUNCTION("IF($I474="""","""",IFERROR(INDEX(FILTER(Response_Lists!$B:$B,Response_Lists!$A:$A=$H475),1),""""))"),"")</f>
        <v/>
      </c>
      <c r="K475" s="28" t="str">
        <f>IFERROR(__xludf.DUMMYFUNCTION("IF($I474="""","""",IFERROR(INDEX(FILTER(Response_Lists!$B:$B,Response_Lists!$A:$A=$H475),2),""""))"),"")</f>
        <v/>
      </c>
      <c r="L475" s="28" t="str">
        <f>IFERROR(__xludf.DUMMYFUNCTION("IF($I474="""","""",IFERROR(INDEX(FILTER(Response_Lists!$B:$B,Response_Lists!$A:$A=$H475),3),""""))"),"")</f>
        <v/>
      </c>
      <c r="M475" s="28" t="str">
        <f>IFERROR(__xludf.DUMMYFUNCTION("IF($I474="""","""",IFERROR(INDEX(FILTER(Response_Lists!$B:$B,Response_Lists!$A:$A=$H475),4),""""))"),"")</f>
        <v/>
      </c>
      <c r="N475" s="28" t="str">
        <f>IFERROR(__xludf.DUMMYFUNCTION("IF($I474="""","""",IFERROR(INDEX(FILTER(Response_Lists!$B:$B,Response_Lists!$A:$A=$H475),5),""""))"),"")</f>
        <v/>
      </c>
      <c r="O475" s="28" t="str">
        <f>IFERROR(__xludf.DUMMYFUNCTION("IF($I474="""","""",IFERROR(INDEX(FILTER(Response_Lists!$B:$B,Response_Lists!$A:$A=$H475),6),""""))"),"")</f>
        <v/>
      </c>
      <c r="P475" s="28" t="str">
        <f t="shared" si="6"/>
        <v/>
      </c>
      <c r="Q475" s="28" t="str">
        <f t="array" ref="Q475">IF($I474="","",XLOOKUP(C475,FSM_State_Map!A:A,FSM_State_Map!D:D,""))</f>
        <v/>
      </c>
      <c r="R475" s="28" t="str">
        <f t="shared" si="7"/>
        <v/>
      </c>
      <c r="S475" s="28" t="str">
        <f t="array" ref="S475">IF($I474="","",
IF(
  AND(C475="B",C474&lt;&gt;"B"),
  XLOOKUP($B475,Derived_Variables!$A:$A,Derived_Variables!$K:$K,0)
  + XLOOKUP($B475,Derived_Variables!$A:$A,Derived_Variables!$AE:$AE,0),
  S474+AM474
))</f>
        <v/>
      </c>
      <c r="T475" s="28" t="str">
        <f t="shared" ref="T475:U475" si="960">IF($I474="","",T474+AN474)</f>
        <v/>
      </c>
      <c r="U475" s="28" t="str">
        <f t="shared" si="960"/>
        <v/>
      </c>
      <c r="V475" s="28" t="str">
        <f t="array" ref="V475">IF($I474="","",
IF(
  AND(C475="D",C474&lt;&gt;"D"),
  XLOOKUP($B475,Derived_Variables!$A:$A,Derived_Variables!$N:$N,0)
  + XLOOKUP($B475,Derived_Variables!$A:$A,Derived_Variables!$AE:$AE,0),
  V474+AP474
))</f>
        <v/>
      </c>
      <c r="W475" s="28" t="str">
        <f t="shared" ref="W475:X475" si="961">IF($I474="","",W474+AQ474)</f>
        <v/>
      </c>
      <c r="X475" s="28" t="str">
        <f t="shared" si="961"/>
        <v/>
      </c>
      <c r="Y475" s="28" t="str">
        <f t="array" ref="Y475">IF($I474="","",IF(AND(C475="P",C474&lt;&gt;"P"),IFERROR(XLOOKUP($B475,Lenso_Input!$A:$A,Lenso_Input!$E:$E,0),0),Y474+AS474))</f>
        <v/>
      </c>
      <c r="Z475" s="28" t="str">
        <f t="array" ref="Z475">IF($I474="","",IF(AND(C475="Q",C474&lt;&gt;"Q"),IFERROR(XLOOKUP($B475,Lenso_Input!$A:$A,Lenso_Input!$I:$I,0),0),Z474+AT474))</f>
        <v/>
      </c>
      <c r="AA475" s="28" t="str">
        <f t="array" ref="AA475">IF($I474="","",IF(XLOOKUP($B475,Derived_Variables!$A:$A,Derived_Variables!$R:$R,"6/6_target")="6/6_target","20_20_20","40_30_25"))</f>
        <v/>
      </c>
      <c r="AB475" s="28" t="str">
        <f t="array" ref="AB475">IF($I474="","",XLOOKUP(LOWER(XLOOKUP($B475,Derived_Variables!$A:$A,Derived_Variables!$T:$T,"Standard"))&amp;"_sph_step",Calibration!$B:$B,Calibration!$C:$C,0.25))</f>
        <v/>
      </c>
      <c r="AC475" s="28" t="str">
        <f t="array" ref="AC475">IF($I474="","",XLOOKUP(LOWER(XLOOKUP($B475,Derived_Variables!$A:$A,Derived_Variables!$T:$T,"Standard"))&amp;"_cyl_step",Calibration!$B:$B,Calibration!$C:$C,0.25))</f>
        <v/>
      </c>
      <c r="AD475" s="28" t="str">
        <f t="array" ref="AD475">IF($I474="","",IF(OR(C475="E",C475="H"),LET(startStep,XLOOKUP("axis_start_step",Calibration!$B:$B,Calibration!$C:$C,5),step1,XLOOKUP("axis_reversal_step_1",Calibration!$B:$B,Calibration!$C:$C,3),step2,XLOOKUP("axis_reversal_step_2",Calibration!$B:$B,Calibration!$C:$C,1),IF(OR(C474&lt;&gt;C475,AZ475="",AZ475="SAME",AZ475="CANT_TELL",I475="",I475="SAME",I475="CANT_TELL"),startStep,IF(OR(AND(AZ475="BETTER_1",I475="BETTER_2"),AND(AZ475="BETTER_2",I475="BETTER_1")),IF(AD474&gt;step1,step1,step2),AD474))),0))</f>
        <v/>
      </c>
      <c r="AE475" s="28" t="str">
        <f t="array" ref="AE475">IF($I474="","",XLOOKUP($B475,Derived_Variables!$A:$A,Derived_Variables!$AD:$AD,"No_Fog"))</f>
        <v/>
      </c>
      <c r="AF475" s="28" t="str">
        <f t="array" ref="AF475">IF($I474="","",XLOOKUP($B475,Derived_Variables!$A:$A,Derived_Variables!$AE:$AE,0))</f>
        <v/>
      </c>
      <c r="AG475" s="28" t="str">
        <f t="array" ref="AG475">IF($I474="","",XLOOKUP($B475,Derived_Variables!$A:$A,Derived_Variables!$AF:$AF,""))</f>
        <v/>
      </c>
      <c r="AH475" s="28" t="str">
        <f t="array" ref="AH475">IF($I474="","",XLOOKUP($B475,Derived_Variables!$A:$A,Derived_Variables!$AG:$AG,""))</f>
        <v/>
      </c>
      <c r="AI475" s="28" t="str">
        <f t="array" ref="AI475">IF($I474="","",XLOOKUP($B475,Derived_Variables!$A:$A,Derived_Variables!$AC:$AC,"Medium"))</f>
        <v/>
      </c>
      <c r="AJ475" s="28" t="str">
        <f t="array" ref="AJ475">IF($I474="","",XLOOKUP($B475,Derived_Variables!$A:$A,Derived_Variables!$Y:$Y,FALSE))</f>
        <v/>
      </c>
      <c r="AK475" s="28" t="str">
        <f t="array" ref="AK475">IF($I474="","",XLOOKUP($B475,Derived_Variables!$A:$A,Derived_Variables!$AA:$AA,"Normal"))</f>
        <v/>
      </c>
      <c r="AL475" s="28" t="str">
        <f t="array" ref="AL475">IF($I474="","",XLOOKUP($B475,Derived_Variables!$A:$A,Derived_Variables!$AB:$AB,"Normal"))</f>
        <v/>
      </c>
      <c r="AM475" s="28" t="str">
        <f t="array" ref="AM475">IF($I475="","",IFS(C475="B",IF(OR(I475="NOT_READABLE",I475="BLURRY"),-AB475,0),C475="G",IFS(I475="RED_CLEARER",XLOOKUP("duochrome_red_step",Calibration!$B:$B,Calibration!$C:$C,-0.25),I475="GREEN_CLEARER",XLOOKUP("duochrome_green_step",Calibration!$B:$B,Calibration!$C:$C,0.25),I475="EQUAL",IF(XLOOKUP($B475,Derived_Variables!$A:$A,Derived_Variables!$S:$S,"Neutral")="Undercorrect",XLOOKUP("undercorrect_step",Calibration!$B:$B,Calibration!$C:$C,0.25),IF(XLOOKUP($B475,Derived_Variables!$A:$A,Derived_Variables!$S:$S,"Neutral")="Overcorrect",-XLOOKUP("overcorrect_step",Calibration!$B:$B,Calibration!$C:$C,0.25),0)),TRUE,0),C475="K",IF(I475="TOP_CLEARER",XLOOKUP("bino_balance_step",Calibration!$B:$B,Calibration!$C:$C,0.25),0),TRUE,0))</f>
        <v/>
      </c>
      <c r="AN475" s="28" t="str">
        <f t="shared" si="10"/>
        <v/>
      </c>
      <c r="AO475" s="28" t="str">
        <f t="shared" si="11"/>
        <v/>
      </c>
      <c r="AP475" s="28" t="str">
        <f t="array" ref="AP475">IF($I475="","",IFS(C475="D",IF(OR(I475="NOT_READABLE",I475="BLURRY"),-AB475,0),C475="J",IFS(I475="RED_CLEARER",XLOOKUP("duochrome_red_step",Calibration!$B:$B,Calibration!$C:$C,-0.25),I475="GREEN_CLEARER",XLOOKUP("duochrome_green_step",Calibration!$B:$B,Calibration!$C:$C,0.25),I475="EQUAL",IF(XLOOKUP($B475,Derived_Variables!$A:$A,Derived_Variables!$S:$S,"Neutral")="Undercorrect",XLOOKUP("undercorrect_step",Calibration!$B:$B,Calibration!$C:$C,0.25),IF(XLOOKUP($B475,Derived_Variables!$A:$A,Derived_Variables!$S:$S,"Neutral")="Overcorrect",-XLOOKUP("overcorrect_step",Calibration!$B:$B,Calibration!$C:$C,0.25),0)),TRUE,0),C475="K",IF(I475="BOTTOM_CLEARER",XLOOKUP("bino_balance_step",Calibration!$B:$B,Calibration!$C:$C,0.25),0),TRUE,0))</f>
        <v/>
      </c>
      <c r="AQ475" s="28" t="str">
        <f t="shared" si="12"/>
        <v/>
      </c>
      <c r="AR475" s="28" t="str">
        <f t="shared" si="13"/>
        <v/>
      </c>
      <c r="AS475" s="28" t="str">
        <f t="array" ref="AS475">IF($I475="","",IF(C475="P",IF(OR(I475="NOT_READABLE",I475="BLURRY"),XLOOKUP("near_add_step",Calibration!$B:$B,Calibration!$C:$C,0.25),0),IF(C475="R",IF(I475="NOT_CLEAR",XLOOKUP("near_add_step",Calibration!$B:$B,Calibration!$C:$C,0.25),0),0)))</f>
        <v/>
      </c>
      <c r="AT475" s="28" t="str">
        <f t="array" ref="AT475">IF($I475="","",IF(C475="Q",IF(OR(I475="NOT_READABLE",I475="BLURRY"),XLOOKUP("near_add_step",Calibration!$B:$B,Calibration!$C:$C,0.25),0),IF(C475="R",IF(I475="NOT_CLEAR",XLOOKUP("near_add_step",Calibration!$B:$B,Calibration!$C:$C,0.25),0),0)))</f>
        <v/>
      </c>
      <c r="AU475" s="28" t="str">
        <f t="array" ref="AU475">IF($I475="","",IF(G475="SNELLEN_FEET",IF(I475="READABLE",IFERROR(XLOOKUP(XLOOKUP(R475,Chart_Scale_Distance!B:B,Chart_Scale_Distance!A:A)+1,Chart_Scale_Distance!A:A,Chart_Scale_Distance!B:B),R475),R475),R475))</f>
        <v/>
      </c>
      <c r="AV475" s="28" t="str">
        <f t="array" ref="AV475">IF($I474="","",IFERROR(XLOOKUP(R475,Chart_Scale_Distance!$B:$B,Chart_Scale_Distance!$A:$A,""),""))</f>
        <v/>
      </c>
      <c r="AW475" s="28" t="str">
        <f t="array" ref="AW475">IF($I474="","",IFERROR(XLOOKUP(AA475,Chart_Scale_Distance!$B:$B,Chart_Scale_Distance!$A:$A,""),""))</f>
        <v/>
      </c>
      <c r="AX475" s="28" t="str">
        <f t="shared" si="14"/>
        <v/>
      </c>
      <c r="AY475" s="28" t="str">
        <f t="shared" si="15"/>
        <v/>
      </c>
      <c r="AZ475" s="28" t="str">
        <f t="shared" si="16"/>
        <v/>
      </c>
      <c r="BA475" s="28" t="str">
        <f t="shared" si="17"/>
        <v/>
      </c>
      <c r="BB475" s="28" t="str">
        <f t="shared" si="18"/>
        <v/>
      </c>
      <c r="BC475" s="28" t="str">
        <f t="array" ref="BC475">IF($I475="","",LET(
conf,AI475,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duoMax,XLOOKUP($B475,Derived_Variables!$A:$A,Derived_Variables!$AI:$AI,4),
axisTol,XLOOKUP($B475,Derived_Variables!$A:$A,Derived_Variables!$W:$W,1),
maxStart,XLOOKUP($B475,Derived_Variables!$A:$A,Derived_Variables!$U:$U,1.25),
maxAR,XLOOKUP($B475,Derived_Variables!$A:$A,Derived_Variables!$V:$V,3),
anom,XLOOKUP($B475,Derived_Variables!$A:$A,Derived_Variables!$Z:$Z,FALSE),
reStart,XLOOKUP($B475,Derived_Variables!$A:$A,Derived_Variables!$K:$K,0),
leStart,XLOOKUP($B475,Derived_Variables!$A:$A,Derived_Variables!$N:$N,0),
reAR,XLOOKUP($B475,AR_Input!$A:$A,AR_Input!$B:$B,reStart),
leAR,XLOOKUP($B475,AR_Input!$A:$A,AR_Input!$E:$E,leStart),
reEsc,AND(anom,OR(ABS((S475+AM475)-reStart)&gt;maxStart,ABS((S475+AM475)-reAR)&gt;maxAR)),
leEsc,AND(anom,OR(ABS((V475+AP475)-leStart)&gt;maxStart,ABS((V475+AP475)-leAR)&gt;maxAR)),
phaseMax,IFS(
 AK475="Fast",
   IFS(
     OR(C475="B",C475="D"),XLOOKUP("timeout_coarse_fast",Calibration!$B:$B,Calibration!$C:$C,24),
     OR(C475="E",C475="F",C475="H",C475="I"),XLOOKUP("timeout_jcc_fast",Calibration!$B:$B,Calibration!$C:$C,10),
     OR(C475="G",C475="J"),XLOOKUP("timeout_duochrome_fast",Calibration!$B:$B,Calibration!$C:$C,8),
     C475="K",XLOOKUP("timeout_bino_fast",Calibration!$B:$B,Calibration!$C:$C,10),
     OR(C475="P",C475="Q",C475="R"),XLOOKUP("timeout_near_fast",Calibration!$B:$B,Calibration!$C:$C,16),
     TRUE,XLOOKUP("timeout_coarse_fast",Calibration!$B:$B,Calibration!$C:$C,24)
   ),
 AK475="Normal",
   IFS(
     OR(C475="B",C475="D"),XLOOKUP("timeout_coarse_normal",Calibration!$B:$B,Calibration!$C:$C,36),
     OR(C475="E",C475="F",C475="H",C475="I"),XLOOKUP("timeout_jcc_normal",Calibration!$B:$B,Calibration!$C:$C,14),
     OR(C475="G",C475="J"),XLOOKUP("timeout_duochrome_normal",Calibration!$B:$B,Calibration!$C:$C,10),
     C475="K",XLOOKUP("timeout_bino_normal",Calibration!$B:$B,Calibration!$C:$C,14),
     OR(C475="P",C475="Q",C475="R"),XLOOKUP("timeout_near_normal",Calibration!$B:$B,Calibration!$C:$C,22),
     TRUE,XLOOKUP("timeout_coarse_normal",Calibration!$B:$B,Calibration!$C:$C,36)
   ),
 TRUE,
   IFS(
     OR(C475="B",C475="D"),XLOOKUP("timeout_coarse_slow",Calibration!$B:$B,Calibration!$C:$C,48),
     OR(C475="E",C475="F",C475="H",C475="I"),XLOOKUP("timeout_jcc_slow",Calibration!$B:$B,Calibration!$C:$C,18),
     OR(C475="G",C475="J"),XLOOKUP("timeout_duochrome_slow",Calibration!$B:$B,Calibration!$C:$C,12),
     C475="K",XLOOKUP("timeout_bino_slow",Calibration!$B:$B,Calibration!$C:$C,18),
     OR(C475="P",C475="Q",C475="R"),XLOOKUP("timeout_near_slow",Calibration!$B:$B,Calibration!$C:$C,28),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AJ475=TRUE,"ESCALATE",
C475="A",
IF(OR(I475="NOT_READABLE",I475="BLURRY",AND(R475="20_20_20",I475="READABLE")),"B","A"),
C475="B",
IF(reEsc,"ESCALATE",IF(AY475&gt;=phaseMax,"ESCALATE",IF(AND(AV475&gt;=AW475,I475="READABLE"),"E","B"))),
C475="E",
IF(AY475&gt;=phaseMax,"ESCALATE",IF(OR(I475="SAME",I475="CANT_TELL",AD475&lt;axisTol),"F","E")),
C475="F",
IF(AY475&gt;=phaseMax,"ESCALATE",IF(AX475&gt;=powerSameN,"G","F")),
C475="G",
IF(AY475&gt;=phaseMax,"ESCALATE",IF(OR(AX475&gt;=duoEqualN,BB475&gt;=duoMax),"D","G")),
C475="D",
IF(leEsc,"ESCALATE",IF(AY475&gt;=phaseMax,"ESCALATE",IF(AND(AV475&gt;=AW475,I475="READABLE"),"H","D"))),
C475="H",
IF(AY475&gt;=phaseMax,"ESCALATE",IF(OR(I475="SAME",I475="CANT_TELL",AD475&lt;axisTol),"I","H")),
C475="I",
IF(AY475&gt;=phaseMax,"ESCALATE",IF(AX475&gt;=powerSameN,"J","I")),
C475="J",
IF(AY475&gt;=phaseMax,"ESCALATE",IF(OR(AX475&gt;=duoEqualN,BB475&gt;=duoMax),"K","J")),
C475="K",
IF(AY475&gt;=phaseMax,"ESCALATE",IF(AX475&gt;=binoSameN,IF(XLOOKUP($B475,Derived_Variables!$A:$A,Derived_Variables!$AJ:$AJ,FALSE)=TRUE,"P","END"),"K")),
C475="P",
IF(AY475&gt;=phaseMax,"ESCALATE",IF(OR(I475="READABLE",I475="SAME"),"Q","P")),
C475="Q",
IF(AY475&gt;=phaseMax,"ESCALATE",IF(OR(I475="READABLE",I475="SAME"),"R","Q")),
C475="R",
IF(AY475&gt;=phaseMax,"ESCALATE",IF(OR(I475=nearTarget,I475="SAME"),"END","R")),
TRUE,"END"
)))</f>
        <v/>
      </c>
      <c r="BD475" s="28" t="b">
        <f t="shared" si="19"/>
        <v>0</v>
      </c>
    </row>
    <row r="476" ht="15.75" customHeight="1">
      <c r="A476" s="28">
        <f t="shared" si="3"/>
        <v>475</v>
      </c>
      <c r="B476" s="28">
        <f t="shared" si="4"/>
        <v>6</v>
      </c>
      <c r="C476" s="28" t="str">
        <f t="shared" si="5"/>
        <v/>
      </c>
      <c r="D476" s="28" t="str">
        <f t="array" ref="D476">IF($I475="","",XLOOKUP(C476,FSM_State_Map!A:A,FSM_State_Map!B:B,""))</f>
        <v/>
      </c>
      <c r="E476" s="28" t="str">
        <f t="array" ref="E476">IF($I475="","",XLOOKUP(C476,FSM_State_Map!A:A,FSM_State_Map!C:C,""))</f>
        <v/>
      </c>
      <c r="F476" s="28" t="str">
        <f t="array" ref="F476">IF($I475="","",XLOOKUP(E476,Phase_UI_Map!A:A,Phase_UI_Map!B:B,""))</f>
        <v/>
      </c>
      <c r="G476" s="28" t="str">
        <f t="array" ref="G476">IF($I475="","",XLOOKUP(E476,Phase_UI_Map!A:A,Phase_UI_Map!C:C,""))</f>
        <v/>
      </c>
      <c r="H476" s="28" t="str">
        <f t="array" ref="H476">IF($I475="","",XLOOKUP(E476,Phase_UI_Map!A:A,Phase_UI_Map!D:D,""))</f>
        <v/>
      </c>
      <c r="I476" s="29"/>
      <c r="J476" s="28" t="str">
        <f>IFERROR(__xludf.DUMMYFUNCTION("IF($I475="""","""",IFERROR(INDEX(FILTER(Response_Lists!$B:$B,Response_Lists!$A:$A=$H476),1),""""))"),"")</f>
        <v/>
      </c>
      <c r="K476" s="28" t="str">
        <f>IFERROR(__xludf.DUMMYFUNCTION("IF($I475="""","""",IFERROR(INDEX(FILTER(Response_Lists!$B:$B,Response_Lists!$A:$A=$H476),2),""""))"),"")</f>
        <v/>
      </c>
      <c r="L476" s="28" t="str">
        <f>IFERROR(__xludf.DUMMYFUNCTION("IF($I475="""","""",IFERROR(INDEX(FILTER(Response_Lists!$B:$B,Response_Lists!$A:$A=$H476),3),""""))"),"")</f>
        <v/>
      </c>
      <c r="M476" s="28" t="str">
        <f>IFERROR(__xludf.DUMMYFUNCTION("IF($I475="""","""",IFERROR(INDEX(FILTER(Response_Lists!$B:$B,Response_Lists!$A:$A=$H476),4),""""))"),"")</f>
        <v/>
      </c>
      <c r="N476" s="28" t="str">
        <f>IFERROR(__xludf.DUMMYFUNCTION("IF($I475="""","""",IFERROR(INDEX(FILTER(Response_Lists!$B:$B,Response_Lists!$A:$A=$H476),5),""""))"),"")</f>
        <v/>
      </c>
      <c r="O476" s="28" t="str">
        <f>IFERROR(__xludf.DUMMYFUNCTION("IF($I475="""","""",IFERROR(INDEX(FILTER(Response_Lists!$B:$B,Response_Lists!$A:$A=$H476),6),""""))"),"")</f>
        <v/>
      </c>
      <c r="P476" s="28" t="str">
        <f t="shared" si="6"/>
        <v/>
      </c>
      <c r="Q476" s="28" t="str">
        <f t="array" ref="Q476">IF($I475="","",XLOOKUP(C476,FSM_State_Map!A:A,FSM_State_Map!D:D,""))</f>
        <v/>
      </c>
      <c r="R476" s="28" t="str">
        <f t="shared" si="7"/>
        <v/>
      </c>
      <c r="S476" s="28" t="str">
        <f t="array" ref="S476">IF($I475="","",
IF(
  AND(C476="B",C475&lt;&gt;"B"),
  XLOOKUP($B476,Derived_Variables!$A:$A,Derived_Variables!$K:$K,0)
  + XLOOKUP($B476,Derived_Variables!$A:$A,Derived_Variables!$AE:$AE,0),
  S475+AM475
))</f>
        <v/>
      </c>
      <c r="T476" s="28" t="str">
        <f t="shared" ref="T476:U476" si="962">IF($I475="","",T475+AN475)</f>
        <v/>
      </c>
      <c r="U476" s="28" t="str">
        <f t="shared" si="962"/>
        <v/>
      </c>
      <c r="V476" s="28" t="str">
        <f t="array" ref="V476">IF($I475="","",
IF(
  AND(C476="D",C475&lt;&gt;"D"),
  XLOOKUP($B476,Derived_Variables!$A:$A,Derived_Variables!$N:$N,0)
  + XLOOKUP($B476,Derived_Variables!$A:$A,Derived_Variables!$AE:$AE,0),
  V475+AP475
))</f>
        <v/>
      </c>
      <c r="W476" s="28" t="str">
        <f t="shared" ref="W476:X476" si="963">IF($I475="","",W475+AQ475)</f>
        <v/>
      </c>
      <c r="X476" s="28" t="str">
        <f t="shared" si="963"/>
        <v/>
      </c>
      <c r="Y476" s="28" t="str">
        <f t="array" ref="Y476">IF($I475="","",IF(AND(C476="P",C475&lt;&gt;"P"),IFERROR(XLOOKUP($B476,Lenso_Input!$A:$A,Lenso_Input!$E:$E,0),0),Y475+AS475))</f>
        <v/>
      </c>
      <c r="Z476" s="28" t="str">
        <f t="array" ref="Z476">IF($I475="","",IF(AND(C476="Q",C475&lt;&gt;"Q"),IFERROR(XLOOKUP($B476,Lenso_Input!$A:$A,Lenso_Input!$I:$I,0),0),Z475+AT475))</f>
        <v/>
      </c>
      <c r="AA476" s="28" t="str">
        <f t="array" ref="AA476">IF($I475="","",IF(XLOOKUP($B476,Derived_Variables!$A:$A,Derived_Variables!$R:$R,"6/6_target")="6/6_target","20_20_20","40_30_25"))</f>
        <v/>
      </c>
      <c r="AB476" s="28" t="str">
        <f t="array" ref="AB476">IF($I475="","",XLOOKUP(LOWER(XLOOKUP($B476,Derived_Variables!$A:$A,Derived_Variables!$T:$T,"Standard"))&amp;"_sph_step",Calibration!$B:$B,Calibration!$C:$C,0.25))</f>
        <v/>
      </c>
      <c r="AC476" s="28" t="str">
        <f t="array" ref="AC476">IF($I475="","",XLOOKUP(LOWER(XLOOKUP($B476,Derived_Variables!$A:$A,Derived_Variables!$T:$T,"Standard"))&amp;"_cyl_step",Calibration!$B:$B,Calibration!$C:$C,0.25))</f>
        <v/>
      </c>
      <c r="AD476" s="28" t="str">
        <f t="array" ref="AD476">IF($I475="","",IF(OR(C476="E",C476="H"),LET(startStep,XLOOKUP("axis_start_step",Calibration!$B:$B,Calibration!$C:$C,5),step1,XLOOKUP("axis_reversal_step_1",Calibration!$B:$B,Calibration!$C:$C,3),step2,XLOOKUP("axis_reversal_step_2",Calibration!$B:$B,Calibration!$C:$C,1),IF(OR(C475&lt;&gt;C476,AZ476="",AZ476="SAME",AZ476="CANT_TELL",I476="",I476="SAME",I476="CANT_TELL"),startStep,IF(OR(AND(AZ476="BETTER_1",I476="BETTER_2"),AND(AZ476="BETTER_2",I476="BETTER_1")),IF(AD475&gt;step1,step1,step2),AD475))),0))</f>
        <v/>
      </c>
      <c r="AE476" s="28" t="str">
        <f t="array" ref="AE476">IF($I475="","",XLOOKUP($B476,Derived_Variables!$A:$A,Derived_Variables!$AD:$AD,"No_Fog"))</f>
        <v/>
      </c>
      <c r="AF476" s="28" t="str">
        <f t="array" ref="AF476">IF($I475="","",XLOOKUP($B476,Derived_Variables!$A:$A,Derived_Variables!$AE:$AE,0))</f>
        <v/>
      </c>
      <c r="AG476" s="28" t="str">
        <f t="array" ref="AG476">IF($I475="","",XLOOKUP($B476,Derived_Variables!$A:$A,Derived_Variables!$AF:$AF,""))</f>
        <v/>
      </c>
      <c r="AH476" s="28" t="str">
        <f t="array" ref="AH476">IF($I475="","",XLOOKUP($B476,Derived_Variables!$A:$A,Derived_Variables!$AG:$AG,""))</f>
        <v/>
      </c>
      <c r="AI476" s="28" t="str">
        <f t="array" ref="AI476">IF($I475="","",XLOOKUP($B476,Derived_Variables!$A:$A,Derived_Variables!$AC:$AC,"Medium"))</f>
        <v/>
      </c>
      <c r="AJ476" s="28" t="str">
        <f t="array" ref="AJ476">IF($I475="","",XLOOKUP($B476,Derived_Variables!$A:$A,Derived_Variables!$Y:$Y,FALSE))</f>
        <v/>
      </c>
      <c r="AK476" s="28" t="str">
        <f t="array" ref="AK476">IF($I475="","",XLOOKUP($B476,Derived_Variables!$A:$A,Derived_Variables!$AA:$AA,"Normal"))</f>
        <v/>
      </c>
      <c r="AL476" s="28" t="str">
        <f t="array" ref="AL476">IF($I475="","",XLOOKUP($B476,Derived_Variables!$A:$A,Derived_Variables!$AB:$AB,"Normal"))</f>
        <v/>
      </c>
      <c r="AM476" s="28" t="str">
        <f t="array" ref="AM476">IF($I476="","",IFS(C476="B",IF(OR(I476="NOT_READABLE",I476="BLURRY"),-AB476,0),C476="G",IFS(I476="RED_CLEARER",XLOOKUP("duochrome_red_step",Calibration!$B:$B,Calibration!$C:$C,-0.25),I476="GREEN_CLEARER",XLOOKUP("duochrome_green_step",Calibration!$B:$B,Calibration!$C:$C,0.25),I476="EQUAL",IF(XLOOKUP($B476,Derived_Variables!$A:$A,Derived_Variables!$S:$S,"Neutral")="Undercorrect",XLOOKUP("undercorrect_step",Calibration!$B:$B,Calibration!$C:$C,0.25),IF(XLOOKUP($B476,Derived_Variables!$A:$A,Derived_Variables!$S:$S,"Neutral")="Overcorrect",-XLOOKUP("overcorrect_step",Calibration!$B:$B,Calibration!$C:$C,0.25),0)),TRUE,0),C476="K",IF(I476="TOP_CLEARER",XLOOKUP("bino_balance_step",Calibration!$B:$B,Calibration!$C:$C,0.25),0),TRUE,0))</f>
        <v/>
      </c>
      <c r="AN476" s="28" t="str">
        <f t="shared" si="10"/>
        <v/>
      </c>
      <c r="AO476" s="28" t="str">
        <f t="shared" si="11"/>
        <v/>
      </c>
      <c r="AP476" s="28" t="str">
        <f t="array" ref="AP476">IF($I476="","",IFS(C476="D",IF(OR(I476="NOT_READABLE",I476="BLURRY"),-AB476,0),C476="J",IFS(I476="RED_CLEARER",XLOOKUP("duochrome_red_step",Calibration!$B:$B,Calibration!$C:$C,-0.25),I476="GREEN_CLEARER",XLOOKUP("duochrome_green_step",Calibration!$B:$B,Calibration!$C:$C,0.25),I476="EQUAL",IF(XLOOKUP($B476,Derived_Variables!$A:$A,Derived_Variables!$S:$S,"Neutral")="Undercorrect",XLOOKUP("undercorrect_step",Calibration!$B:$B,Calibration!$C:$C,0.25),IF(XLOOKUP($B476,Derived_Variables!$A:$A,Derived_Variables!$S:$S,"Neutral")="Overcorrect",-XLOOKUP("overcorrect_step",Calibration!$B:$B,Calibration!$C:$C,0.25),0)),TRUE,0),C476="K",IF(I476="BOTTOM_CLEARER",XLOOKUP("bino_balance_step",Calibration!$B:$B,Calibration!$C:$C,0.25),0),TRUE,0))</f>
        <v/>
      </c>
      <c r="AQ476" s="28" t="str">
        <f t="shared" si="12"/>
        <v/>
      </c>
      <c r="AR476" s="28" t="str">
        <f t="shared" si="13"/>
        <v/>
      </c>
      <c r="AS476" s="28" t="str">
        <f t="array" ref="AS476">IF($I476="","",IF(C476="P",IF(OR(I476="NOT_READABLE",I476="BLURRY"),XLOOKUP("near_add_step",Calibration!$B:$B,Calibration!$C:$C,0.25),0),IF(C476="R",IF(I476="NOT_CLEAR",XLOOKUP("near_add_step",Calibration!$B:$B,Calibration!$C:$C,0.25),0),0)))</f>
        <v/>
      </c>
      <c r="AT476" s="28" t="str">
        <f t="array" ref="AT476">IF($I476="","",IF(C476="Q",IF(OR(I476="NOT_READABLE",I476="BLURRY"),XLOOKUP("near_add_step",Calibration!$B:$B,Calibration!$C:$C,0.25),0),IF(C476="R",IF(I476="NOT_CLEAR",XLOOKUP("near_add_step",Calibration!$B:$B,Calibration!$C:$C,0.25),0),0)))</f>
        <v/>
      </c>
      <c r="AU476" s="28" t="str">
        <f t="array" ref="AU476">IF($I476="","",IF(G476="SNELLEN_FEET",IF(I476="READABLE",IFERROR(XLOOKUP(XLOOKUP(R476,Chart_Scale_Distance!B:B,Chart_Scale_Distance!A:A)+1,Chart_Scale_Distance!A:A,Chart_Scale_Distance!B:B),R476),R476),R476))</f>
        <v/>
      </c>
      <c r="AV476" s="28" t="str">
        <f t="array" ref="AV476">IF($I475="","",IFERROR(XLOOKUP(R476,Chart_Scale_Distance!$B:$B,Chart_Scale_Distance!$A:$A,""),""))</f>
        <v/>
      </c>
      <c r="AW476" s="28" t="str">
        <f t="array" ref="AW476">IF($I475="","",IFERROR(XLOOKUP(AA476,Chart_Scale_Distance!$B:$B,Chart_Scale_Distance!$A:$A,""),""))</f>
        <v/>
      </c>
      <c r="AX476" s="28" t="str">
        <f t="shared" si="14"/>
        <v/>
      </c>
      <c r="AY476" s="28" t="str">
        <f t="shared" si="15"/>
        <v/>
      </c>
      <c r="AZ476" s="28" t="str">
        <f t="shared" si="16"/>
        <v/>
      </c>
      <c r="BA476" s="28" t="str">
        <f t="shared" si="17"/>
        <v/>
      </c>
      <c r="BB476" s="28" t="str">
        <f t="shared" si="18"/>
        <v/>
      </c>
      <c r="BC476" s="28" t="str">
        <f t="array" ref="BC476">IF($I476="","",LET(
conf,AI476,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duoMax,XLOOKUP($B476,Derived_Variables!$A:$A,Derived_Variables!$AI:$AI,4),
axisTol,XLOOKUP($B476,Derived_Variables!$A:$A,Derived_Variables!$W:$W,1),
maxStart,XLOOKUP($B476,Derived_Variables!$A:$A,Derived_Variables!$U:$U,1.25),
maxAR,XLOOKUP($B476,Derived_Variables!$A:$A,Derived_Variables!$V:$V,3),
anom,XLOOKUP($B476,Derived_Variables!$A:$A,Derived_Variables!$Z:$Z,FALSE),
reStart,XLOOKUP($B476,Derived_Variables!$A:$A,Derived_Variables!$K:$K,0),
leStart,XLOOKUP($B476,Derived_Variables!$A:$A,Derived_Variables!$N:$N,0),
reAR,XLOOKUP($B476,AR_Input!$A:$A,AR_Input!$B:$B,reStart),
leAR,XLOOKUP($B476,AR_Input!$A:$A,AR_Input!$E:$E,leStart),
reEsc,AND(anom,OR(ABS((S476+AM476)-reStart)&gt;maxStart,ABS((S476+AM476)-reAR)&gt;maxAR)),
leEsc,AND(anom,OR(ABS((V476+AP476)-leStart)&gt;maxStart,ABS((V476+AP476)-leAR)&gt;maxAR)),
phaseMax,IFS(
 AK476="Fast",
   IFS(
     OR(C476="B",C476="D"),XLOOKUP("timeout_coarse_fast",Calibration!$B:$B,Calibration!$C:$C,24),
     OR(C476="E",C476="F",C476="H",C476="I"),XLOOKUP("timeout_jcc_fast",Calibration!$B:$B,Calibration!$C:$C,10),
     OR(C476="G",C476="J"),XLOOKUP("timeout_duochrome_fast",Calibration!$B:$B,Calibration!$C:$C,8),
     C476="K",XLOOKUP("timeout_bino_fast",Calibration!$B:$B,Calibration!$C:$C,10),
     OR(C476="P",C476="Q",C476="R"),XLOOKUP("timeout_near_fast",Calibration!$B:$B,Calibration!$C:$C,16),
     TRUE,XLOOKUP("timeout_coarse_fast",Calibration!$B:$B,Calibration!$C:$C,24)
   ),
 AK476="Normal",
   IFS(
     OR(C476="B",C476="D"),XLOOKUP("timeout_coarse_normal",Calibration!$B:$B,Calibration!$C:$C,36),
     OR(C476="E",C476="F",C476="H",C476="I"),XLOOKUP("timeout_jcc_normal",Calibration!$B:$B,Calibration!$C:$C,14),
     OR(C476="G",C476="J"),XLOOKUP("timeout_duochrome_normal",Calibration!$B:$B,Calibration!$C:$C,10),
     C476="K",XLOOKUP("timeout_bino_normal",Calibration!$B:$B,Calibration!$C:$C,14),
     OR(C476="P",C476="Q",C476="R"),XLOOKUP("timeout_near_normal",Calibration!$B:$B,Calibration!$C:$C,22),
     TRUE,XLOOKUP("timeout_coarse_normal",Calibration!$B:$B,Calibration!$C:$C,36)
   ),
 TRUE,
   IFS(
     OR(C476="B",C476="D"),XLOOKUP("timeout_coarse_slow",Calibration!$B:$B,Calibration!$C:$C,48),
     OR(C476="E",C476="F",C476="H",C476="I"),XLOOKUP("timeout_jcc_slow",Calibration!$B:$B,Calibration!$C:$C,18),
     OR(C476="G",C476="J"),XLOOKUP("timeout_duochrome_slow",Calibration!$B:$B,Calibration!$C:$C,12),
     C476="K",XLOOKUP("timeout_bino_slow",Calibration!$B:$B,Calibration!$C:$C,18),
     OR(C476="P",C476="Q",C476="R"),XLOOKUP("timeout_near_slow",Calibration!$B:$B,Calibration!$C:$C,28),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AJ476=TRUE,"ESCALATE",
C476="A",
IF(OR(I476="NOT_READABLE",I476="BLURRY",AND(R476="20_20_20",I476="READABLE")),"B","A"),
C476="B",
IF(reEsc,"ESCALATE",IF(AY476&gt;=phaseMax,"ESCALATE",IF(AND(AV476&gt;=AW476,I476="READABLE"),"E","B"))),
C476="E",
IF(AY476&gt;=phaseMax,"ESCALATE",IF(OR(I476="SAME",I476="CANT_TELL",AD476&lt;axisTol),"F","E")),
C476="F",
IF(AY476&gt;=phaseMax,"ESCALATE",IF(AX476&gt;=powerSameN,"G","F")),
C476="G",
IF(AY476&gt;=phaseMax,"ESCALATE",IF(OR(AX476&gt;=duoEqualN,BB476&gt;=duoMax),"D","G")),
C476="D",
IF(leEsc,"ESCALATE",IF(AY476&gt;=phaseMax,"ESCALATE",IF(AND(AV476&gt;=AW476,I476="READABLE"),"H","D"))),
C476="H",
IF(AY476&gt;=phaseMax,"ESCALATE",IF(OR(I476="SAME",I476="CANT_TELL",AD476&lt;axisTol),"I","H")),
C476="I",
IF(AY476&gt;=phaseMax,"ESCALATE",IF(AX476&gt;=powerSameN,"J","I")),
C476="J",
IF(AY476&gt;=phaseMax,"ESCALATE",IF(OR(AX476&gt;=duoEqualN,BB476&gt;=duoMax),"K","J")),
C476="K",
IF(AY476&gt;=phaseMax,"ESCALATE",IF(AX476&gt;=binoSameN,IF(XLOOKUP($B476,Derived_Variables!$A:$A,Derived_Variables!$AJ:$AJ,FALSE)=TRUE,"P","END"),"K")),
C476="P",
IF(AY476&gt;=phaseMax,"ESCALATE",IF(OR(I476="READABLE",I476="SAME"),"Q","P")),
C476="Q",
IF(AY476&gt;=phaseMax,"ESCALATE",IF(OR(I476="READABLE",I476="SAME"),"R","Q")),
C476="R",
IF(AY476&gt;=phaseMax,"ESCALATE",IF(OR(I476=nearTarget,I476="SAME"),"END","R")),
TRUE,"END"
)))</f>
        <v/>
      </c>
      <c r="BD476" s="28" t="b">
        <f t="shared" si="19"/>
        <v>0</v>
      </c>
    </row>
    <row r="477" ht="15.75" customHeight="1">
      <c r="A477" s="28">
        <f t="shared" si="3"/>
        <v>476</v>
      </c>
      <c r="B477" s="28">
        <f t="shared" si="4"/>
        <v>6</v>
      </c>
      <c r="C477" s="28" t="str">
        <f t="shared" si="5"/>
        <v/>
      </c>
      <c r="D477" s="28" t="str">
        <f t="array" ref="D477">IF($I476="","",XLOOKUP(C477,FSM_State_Map!A:A,FSM_State_Map!B:B,""))</f>
        <v/>
      </c>
      <c r="E477" s="28" t="str">
        <f t="array" ref="E477">IF($I476="","",XLOOKUP(C477,FSM_State_Map!A:A,FSM_State_Map!C:C,""))</f>
        <v/>
      </c>
      <c r="F477" s="28" t="str">
        <f t="array" ref="F477">IF($I476="","",XLOOKUP(E477,Phase_UI_Map!A:A,Phase_UI_Map!B:B,""))</f>
        <v/>
      </c>
      <c r="G477" s="28" t="str">
        <f t="array" ref="G477">IF($I476="","",XLOOKUP(E477,Phase_UI_Map!A:A,Phase_UI_Map!C:C,""))</f>
        <v/>
      </c>
      <c r="H477" s="28" t="str">
        <f t="array" ref="H477">IF($I476="","",XLOOKUP(E477,Phase_UI_Map!A:A,Phase_UI_Map!D:D,""))</f>
        <v/>
      </c>
      <c r="I477" s="29"/>
      <c r="J477" s="28" t="str">
        <f>IFERROR(__xludf.DUMMYFUNCTION("IF($I476="""","""",IFERROR(INDEX(FILTER(Response_Lists!$B:$B,Response_Lists!$A:$A=$H477),1),""""))"),"")</f>
        <v/>
      </c>
      <c r="K477" s="28" t="str">
        <f>IFERROR(__xludf.DUMMYFUNCTION("IF($I476="""","""",IFERROR(INDEX(FILTER(Response_Lists!$B:$B,Response_Lists!$A:$A=$H477),2),""""))"),"")</f>
        <v/>
      </c>
      <c r="L477" s="28" t="str">
        <f>IFERROR(__xludf.DUMMYFUNCTION("IF($I476="""","""",IFERROR(INDEX(FILTER(Response_Lists!$B:$B,Response_Lists!$A:$A=$H477),3),""""))"),"")</f>
        <v/>
      </c>
      <c r="M477" s="28" t="str">
        <f>IFERROR(__xludf.DUMMYFUNCTION("IF($I476="""","""",IFERROR(INDEX(FILTER(Response_Lists!$B:$B,Response_Lists!$A:$A=$H477),4),""""))"),"")</f>
        <v/>
      </c>
      <c r="N477" s="28" t="str">
        <f>IFERROR(__xludf.DUMMYFUNCTION("IF($I476="""","""",IFERROR(INDEX(FILTER(Response_Lists!$B:$B,Response_Lists!$A:$A=$H477),5),""""))"),"")</f>
        <v/>
      </c>
      <c r="O477" s="28" t="str">
        <f>IFERROR(__xludf.DUMMYFUNCTION("IF($I476="""","""",IFERROR(INDEX(FILTER(Response_Lists!$B:$B,Response_Lists!$A:$A=$H477),6),""""))"),"")</f>
        <v/>
      </c>
      <c r="P477" s="28" t="str">
        <f t="shared" si="6"/>
        <v/>
      </c>
      <c r="Q477" s="28" t="str">
        <f t="array" ref="Q477">IF($I476="","",XLOOKUP(C477,FSM_State_Map!A:A,FSM_State_Map!D:D,""))</f>
        <v/>
      </c>
      <c r="R477" s="28" t="str">
        <f t="shared" si="7"/>
        <v/>
      </c>
      <c r="S477" s="28" t="str">
        <f t="array" ref="S477">IF($I476="","",
IF(
  AND(C477="B",C476&lt;&gt;"B"),
  XLOOKUP($B477,Derived_Variables!$A:$A,Derived_Variables!$K:$K,0)
  + XLOOKUP($B477,Derived_Variables!$A:$A,Derived_Variables!$AE:$AE,0),
  S476+AM476
))</f>
        <v/>
      </c>
      <c r="T477" s="28" t="str">
        <f t="shared" ref="T477:U477" si="964">IF($I476="","",T476+AN476)</f>
        <v/>
      </c>
      <c r="U477" s="28" t="str">
        <f t="shared" si="964"/>
        <v/>
      </c>
      <c r="V477" s="28" t="str">
        <f t="array" ref="V477">IF($I476="","",
IF(
  AND(C477="D",C476&lt;&gt;"D"),
  XLOOKUP($B477,Derived_Variables!$A:$A,Derived_Variables!$N:$N,0)
  + XLOOKUP($B477,Derived_Variables!$A:$A,Derived_Variables!$AE:$AE,0),
  V476+AP476
))</f>
        <v/>
      </c>
      <c r="W477" s="28" t="str">
        <f t="shared" ref="W477:X477" si="965">IF($I476="","",W476+AQ476)</f>
        <v/>
      </c>
      <c r="X477" s="28" t="str">
        <f t="shared" si="965"/>
        <v/>
      </c>
      <c r="Y477" s="28" t="str">
        <f t="array" ref="Y477">IF($I476="","",IF(AND(C477="P",C476&lt;&gt;"P"),IFERROR(XLOOKUP($B477,Lenso_Input!$A:$A,Lenso_Input!$E:$E,0),0),Y476+AS476))</f>
        <v/>
      </c>
      <c r="Z477" s="28" t="str">
        <f t="array" ref="Z477">IF($I476="","",IF(AND(C477="Q",C476&lt;&gt;"Q"),IFERROR(XLOOKUP($B477,Lenso_Input!$A:$A,Lenso_Input!$I:$I,0),0),Z476+AT476))</f>
        <v/>
      </c>
      <c r="AA477" s="28" t="str">
        <f t="array" ref="AA477">IF($I476="","",IF(XLOOKUP($B477,Derived_Variables!$A:$A,Derived_Variables!$R:$R,"6/6_target")="6/6_target","20_20_20","40_30_25"))</f>
        <v/>
      </c>
      <c r="AB477" s="28" t="str">
        <f t="array" ref="AB477">IF($I476="","",XLOOKUP(LOWER(XLOOKUP($B477,Derived_Variables!$A:$A,Derived_Variables!$T:$T,"Standard"))&amp;"_sph_step",Calibration!$B:$B,Calibration!$C:$C,0.25))</f>
        <v/>
      </c>
      <c r="AC477" s="28" t="str">
        <f t="array" ref="AC477">IF($I476="","",XLOOKUP(LOWER(XLOOKUP($B477,Derived_Variables!$A:$A,Derived_Variables!$T:$T,"Standard"))&amp;"_cyl_step",Calibration!$B:$B,Calibration!$C:$C,0.25))</f>
        <v/>
      </c>
      <c r="AD477" s="28" t="str">
        <f t="array" ref="AD477">IF($I476="","",IF(OR(C477="E",C477="H"),LET(startStep,XLOOKUP("axis_start_step",Calibration!$B:$B,Calibration!$C:$C,5),step1,XLOOKUP("axis_reversal_step_1",Calibration!$B:$B,Calibration!$C:$C,3),step2,XLOOKUP("axis_reversal_step_2",Calibration!$B:$B,Calibration!$C:$C,1),IF(OR(C476&lt;&gt;C477,AZ477="",AZ477="SAME",AZ477="CANT_TELL",I477="",I477="SAME",I477="CANT_TELL"),startStep,IF(OR(AND(AZ477="BETTER_1",I477="BETTER_2"),AND(AZ477="BETTER_2",I477="BETTER_1")),IF(AD476&gt;step1,step1,step2),AD476))),0))</f>
        <v/>
      </c>
      <c r="AE477" s="28" t="str">
        <f t="array" ref="AE477">IF($I476="","",XLOOKUP($B477,Derived_Variables!$A:$A,Derived_Variables!$AD:$AD,"No_Fog"))</f>
        <v/>
      </c>
      <c r="AF477" s="28" t="str">
        <f t="array" ref="AF477">IF($I476="","",XLOOKUP($B477,Derived_Variables!$A:$A,Derived_Variables!$AE:$AE,0))</f>
        <v/>
      </c>
      <c r="AG477" s="28" t="str">
        <f t="array" ref="AG477">IF($I476="","",XLOOKUP($B477,Derived_Variables!$A:$A,Derived_Variables!$AF:$AF,""))</f>
        <v/>
      </c>
      <c r="AH477" s="28" t="str">
        <f t="array" ref="AH477">IF($I476="","",XLOOKUP($B477,Derived_Variables!$A:$A,Derived_Variables!$AG:$AG,""))</f>
        <v/>
      </c>
      <c r="AI477" s="28" t="str">
        <f t="array" ref="AI477">IF($I476="","",XLOOKUP($B477,Derived_Variables!$A:$A,Derived_Variables!$AC:$AC,"Medium"))</f>
        <v/>
      </c>
      <c r="AJ477" s="28" t="str">
        <f t="array" ref="AJ477">IF($I476="","",XLOOKUP($B477,Derived_Variables!$A:$A,Derived_Variables!$Y:$Y,FALSE))</f>
        <v/>
      </c>
      <c r="AK477" s="28" t="str">
        <f t="array" ref="AK477">IF($I476="","",XLOOKUP($B477,Derived_Variables!$A:$A,Derived_Variables!$AA:$AA,"Normal"))</f>
        <v/>
      </c>
      <c r="AL477" s="28" t="str">
        <f t="array" ref="AL477">IF($I476="","",XLOOKUP($B477,Derived_Variables!$A:$A,Derived_Variables!$AB:$AB,"Normal"))</f>
        <v/>
      </c>
      <c r="AM477" s="28" t="str">
        <f t="array" ref="AM477">IF($I477="","",IFS(C477="B",IF(OR(I477="NOT_READABLE",I477="BLURRY"),-AB477,0),C477="G",IFS(I477="RED_CLEARER",XLOOKUP("duochrome_red_step",Calibration!$B:$B,Calibration!$C:$C,-0.25),I477="GREEN_CLEARER",XLOOKUP("duochrome_green_step",Calibration!$B:$B,Calibration!$C:$C,0.25),I477="EQUAL",IF(XLOOKUP($B477,Derived_Variables!$A:$A,Derived_Variables!$S:$S,"Neutral")="Undercorrect",XLOOKUP("undercorrect_step",Calibration!$B:$B,Calibration!$C:$C,0.25),IF(XLOOKUP($B477,Derived_Variables!$A:$A,Derived_Variables!$S:$S,"Neutral")="Overcorrect",-XLOOKUP("overcorrect_step",Calibration!$B:$B,Calibration!$C:$C,0.25),0)),TRUE,0),C477="K",IF(I477="TOP_CLEARER",XLOOKUP("bino_balance_step",Calibration!$B:$B,Calibration!$C:$C,0.25),0),TRUE,0))</f>
        <v/>
      </c>
      <c r="AN477" s="28" t="str">
        <f t="shared" si="10"/>
        <v/>
      </c>
      <c r="AO477" s="28" t="str">
        <f t="shared" si="11"/>
        <v/>
      </c>
      <c r="AP477" s="28" t="str">
        <f t="array" ref="AP477">IF($I477="","",IFS(C477="D",IF(OR(I477="NOT_READABLE",I477="BLURRY"),-AB477,0),C477="J",IFS(I477="RED_CLEARER",XLOOKUP("duochrome_red_step",Calibration!$B:$B,Calibration!$C:$C,-0.25),I477="GREEN_CLEARER",XLOOKUP("duochrome_green_step",Calibration!$B:$B,Calibration!$C:$C,0.25),I477="EQUAL",IF(XLOOKUP($B477,Derived_Variables!$A:$A,Derived_Variables!$S:$S,"Neutral")="Undercorrect",XLOOKUP("undercorrect_step",Calibration!$B:$B,Calibration!$C:$C,0.25),IF(XLOOKUP($B477,Derived_Variables!$A:$A,Derived_Variables!$S:$S,"Neutral")="Overcorrect",-XLOOKUP("overcorrect_step",Calibration!$B:$B,Calibration!$C:$C,0.25),0)),TRUE,0),C477="K",IF(I477="BOTTOM_CLEARER",XLOOKUP("bino_balance_step",Calibration!$B:$B,Calibration!$C:$C,0.25),0),TRUE,0))</f>
        <v/>
      </c>
      <c r="AQ477" s="28" t="str">
        <f t="shared" si="12"/>
        <v/>
      </c>
      <c r="AR477" s="28" t="str">
        <f t="shared" si="13"/>
        <v/>
      </c>
      <c r="AS477" s="28" t="str">
        <f t="array" ref="AS477">IF($I477="","",IF(C477="P",IF(OR(I477="NOT_READABLE",I477="BLURRY"),XLOOKUP("near_add_step",Calibration!$B:$B,Calibration!$C:$C,0.25),0),IF(C477="R",IF(I477="NOT_CLEAR",XLOOKUP("near_add_step",Calibration!$B:$B,Calibration!$C:$C,0.25),0),0)))</f>
        <v/>
      </c>
      <c r="AT477" s="28" t="str">
        <f t="array" ref="AT477">IF($I477="","",IF(C477="Q",IF(OR(I477="NOT_READABLE",I477="BLURRY"),XLOOKUP("near_add_step",Calibration!$B:$B,Calibration!$C:$C,0.25),0),IF(C477="R",IF(I477="NOT_CLEAR",XLOOKUP("near_add_step",Calibration!$B:$B,Calibration!$C:$C,0.25),0),0)))</f>
        <v/>
      </c>
      <c r="AU477" s="28" t="str">
        <f t="array" ref="AU477">IF($I477="","",IF(G477="SNELLEN_FEET",IF(I477="READABLE",IFERROR(XLOOKUP(XLOOKUP(R477,Chart_Scale_Distance!B:B,Chart_Scale_Distance!A:A)+1,Chart_Scale_Distance!A:A,Chart_Scale_Distance!B:B),R477),R477),R477))</f>
        <v/>
      </c>
      <c r="AV477" s="28" t="str">
        <f t="array" ref="AV477">IF($I476="","",IFERROR(XLOOKUP(R477,Chart_Scale_Distance!$B:$B,Chart_Scale_Distance!$A:$A,""),""))</f>
        <v/>
      </c>
      <c r="AW477" s="28" t="str">
        <f t="array" ref="AW477">IF($I476="","",IFERROR(XLOOKUP(AA477,Chart_Scale_Distance!$B:$B,Chart_Scale_Distance!$A:$A,""),""))</f>
        <v/>
      </c>
      <c r="AX477" s="28" t="str">
        <f t="shared" si="14"/>
        <v/>
      </c>
      <c r="AY477" s="28" t="str">
        <f t="shared" si="15"/>
        <v/>
      </c>
      <c r="AZ477" s="28" t="str">
        <f t="shared" si="16"/>
        <v/>
      </c>
      <c r="BA477" s="28" t="str">
        <f t="shared" si="17"/>
        <v/>
      </c>
      <c r="BB477" s="28" t="str">
        <f t="shared" si="18"/>
        <v/>
      </c>
      <c r="BC477" s="28" t="str">
        <f t="array" ref="BC477">IF($I477="","",LET(
conf,AI477,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duoMax,XLOOKUP($B477,Derived_Variables!$A:$A,Derived_Variables!$AI:$AI,4),
axisTol,XLOOKUP($B477,Derived_Variables!$A:$A,Derived_Variables!$W:$W,1),
maxStart,XLOOKUP($B477,Derived_Variables!$A:$A,Derived_Variables!$U:$U,1.25),
maxAR,XLOOKUP($B477,Derived_Variables!$A:$A,Derived_Variables!$V:$V,3),
anom,XLOOKUP($B477,Derived_Variables!$A:$A,Derived_Variables!$Z:$Z,FALSE),
reStart,XLOOKUP($B477,Derived_Variables!$A:$A,Derived_Variables!$K:$K,0),
leStart,XLOOKUP($B477,Derived_Variables!$A:$A,Derived_Variables!$N:$N,0),
reAR,XLOOKUP($B477,AR_Input!$A:$A,AR_Input!$B:$B,reStart),
leAR,XLOOKUP($B477,AR_Input!$A:$A,AR_Input!$E:$E,leStart),
reEsc,AND(anom,OR(ABS((S477+AM477)-reStart)&gt;maxStart,ABS((S477+AM477)-reAR)&gt;maxAR)),
leEsc,AND(anom,OR(ABS((V477+AP477)-leStart)&gt;maxStart,ABS((V477+AP477)-leAR)&gt;maxAR)),
phaseMax,IFS(
 AK477="Fast",
   IFS(
     OR(C477="B",C477="D"),XLOOKUP("timeout_coarse_fast",Calibration!$B:$B,Calibration!$C:$C,24),
     OR(C477="E",C477="F",C477="H",C477="I"),XLOOKUP("timeout_jcc_fast",Calibration!$B:$B,Calibration!$C:$C,10),
     OR(C477="G",C477="J"),XLOOKUP("timeout_duochrome_fast",Calibration!$B:$B,Calibration!$C:$C,8),
     C477="K",XLOOKUP("timeout_bino_fast",Calibration!$B:$B,Calibration!$C:$C,10),
     OR(C477="P",C477="Q",C477="R"),XLOOKUP("timeout_near_fast",Calibration!$B:$B,Calibration!$C:$C,16),
     TRUE,XLOOKUP("timeout_coarse_fast",Calibration!$B:$B,Calibration!$C:$C,24)
   ),
 AK477="Normal",
   IFS(
     OR(C477="B",C477="D"),XLOOKUP("timeout_coarse_normal",Calibration!$B:$B,Calibration!$C:$C,36),
     OR(C477="E",C477="F",C477="H",C477="I"),XLOOKUP("timeout_jcc_normal",Calibration!$B:$B,Calibration!$C:$C,14),
     OR(C477="G",C477="J"),XLOOKUP("timeout_duochrome_normal",Calibration!$B:$B,Calibration!$C:$C,10),
     C477="K",XLOOKUP("timeout_bino_normal",Calibration!$B:$B,Calibration!$C:$C,14),
     OR(C477="P",C477="Q",C477="R"),XLOOKUP("timeout_near_normal",Calibration!$B:$B,Calibration!$C:$C,22),
     TRUE,XLOOKUP("timeout_coarse_normal",Calibration!$B:$B,Calibration!$C:$C,36)
   ),
 TRUE,
   IFS(
     OR(C477="B",C477="D"),XLOOKUP("timeout_coarse_slow",Calibration!$B:$B,Calibration!$C:$C,48),
     OR(C477="E",C477="F",C477="H",C477="I"),XLOOKUP("timeout_jcc_slow",Calibration!$B:$B,Calibration!$C:$C,18),
     OR(C477="G",C477="J"),XLOOKUP("timeout_duochrome_slow",Calibration!$B:$B,Calibration!$C:$C,12),
     C477="K",XLOOKUP("timeout_bino_slow",Calibration!$B:$B,Calibration!$C:$C,18),
     OR(C477="P",C477="Q",C477="R"),XLOOKUP("timeout_near_slow",Calibration!$B:$B,Calibration!$C:$C,28),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AJ477=TRUE,"ESCALATE",
C477="A",
IF(OR(I477="NOT_READABLE",I477="BLURRY",AND(R477="20_20_20",I477="READABLE")),"B","A"),
C477="B",
IF(reEsc,"ESCALATE",IF(AY477&gt;=phaseMax,"ESCALATE",IF(AND(AV477&gt;=AW477,I477="READABLE"),"E","B"))),
C477="E",
IF(AY477&gt;=phaseMax,"ESCALATE",IF(OR(I477="SAME",I477="CANT_TELL",AD477&lt;axisTol),"F","E")),
C477="F",
IF(AY477&gt;=phaseMax,"ESCALATE",IF(AX477&gt;=powerSameN,"G","F")),
C477="G",
IF(AY477&gt;=phaseMax,"ESCALATE",IF(OR(AX477&gt;=duoEqualN,BB477&gt;=duoMax),"D","G")),
C477="D",
IF(leEsc,"ESCALATE",IF(AY477&gt;=phaseMax,"ESCALATE",IF(AND(AV477&gt;=AW477,I477="READABLE"),"H","D"))),
C477="H",
IF(AY477&gt;=phaseMax,"ESCALATE",IF(OR(I477="SAME",I477="CANT_TELL",AD477&lt;axisTol),"I","H")),
C477="I",
IF(AY477&gt;=phaseMax,"ESCALATE",IF(AX477&gt;=powerSameN,"J","I")),
C477="J",
IF(AY477&gt;=phaseMax,"ESCALATE",IF(OR(AX477&gt;=duoEqualN,BB477&gt;=duoMax),"K","J")),
C477="K",
IF(AY477&gt;=phaseMax,"ESCALATE",IF(AX477&gt;=binoSameN,IF(XLOOKUP($B477,Derived_Variables!$A:$A,Derived_Variables!$AJ:$AJ,FALSE)=TRUE,"P","END"),"K")),
C477="P",
IF(AY477&gt;=phaseMax,"ESCALATE",IF(OR(I477="READABLE",I477="SAME"),"Q","P")),
C477="Q",
IF(AY477&gt;=phaseMax,"ESCALATE",IF(OR(I477="READABLE",I477="SAME"),"R","Q")),
C477="R",
IF(AY477&gt;=phaseMax,"ESCALATE",IF(OR(I477=nearTarget,I477="SAME"),"END","R")),
TRUE,"END"
)))</f>
        <v/>
      </c>
      <c r="BD477" s="28" t="b">
        <f t="shared" si="19"/>
        <v>0</v>
      </c>
    </row>
    <row r="478" ht="15.75" customHeight="1">
      <c r="A478" s="28">
        <f t="shared" si="3"/>
        <v>477</v>
      </c>
      <c r="B478" s="28">
        <f t="shared" si="4"/>
        <v>6</v>
      </c>
      <c r="C478" s="28" t="str">
        <f t="shared" si="5"/>
        <v/>
      </c>
      <c r="D478" s="28" t="str">
        <f t="array" ref="D478">IF($I477="","",XLOOKUP(C478,FSM_State_Map!A:A,FSM_State_Map!B:B,""))</f>
        <v/>
      </c>
      <c r="E478" s="28" t="str">
        <f t="array" ref="E478">IF($I477="","",XLOOKUP(C478,FSM_State_Map!A:A,FSM_State_Map!C:C,""))</f>
        <v/>
      </c>
      <c r="F478" s="28" t="str">
        <f t="array" ref="F478">IF($I477="","",XLOOKUP(E478,Phase_UI_Map!A:A,Phase_UI_Map!B:B,""))</f>
        <v/>
      </c>
      <c r="G478" s="28" t="str">
        <f t="array" ref="G478">IF($I477="","",XLOOKUP(E478,Phase_UI_Map!A:A,Phase_UI_Map!C:C,""))</f>
        <v/>
      </c>
      <c r="H478" s="28" t="str">
        <f t="array" ref="H478">IF($I477="","",XLOOKUP(E478,Phase_UI_Map!A:A,Phase_UI_Map!D:D,""))</f>
        <v/>
      </c>
      <c r="I478" s="29"/>
      <c r="J478" s="28" t="str">
        <f>IFERROR(__xludf.DUMMYFUNCTION("IF($I477="""","""",IFERROR(INDEX(FILTER(Response_Lists!$B:$B,Response_Lists!$A:$A=$H478),1),""""))"),"")</f>
        <v/>
      </c>
      <c r="K478" s="28" t="str">
        <f>IFERROR(__xludf.DUMMYFUNCTION("IF($I477="""","""",IFERROR(INDEX(FILTER(Response_Lists!$B:$B,Response_Lists!$A:$A=$H478),2),""""))"),"")</f>
        <v/>
      </c>
      <c r="L478" s="28" t="str">
        <f>IFERROR(__xludf.DUMMYFUNCTION("IF($I477="""","""",IFERROR(INDEX(FILTER(Response_Lists!$B:$B,Response_Lists!$A:$A=$H478),3),""""))"),"")</f>
        <v/>
      </c>
      <c r="M478" s="28" t="str">
        <f>IFERROR(__xludf.DUMMYFUNCTION("IF($I477="""","""",IFERROR(INDEX(FILTER(Response_Lists!$B:$B,Response_Lists!$A:$A=$H478),4),""""))"),"")</f>
        <v/>
      </c>
      <c r="N478" s="28" t="str">
        <f>IFERROR(__xludf.DUMMYFUNCTION("IF($I477="""","""",IFERROR(INDEX(FILTER(Response_Lists!$B:$B,Response_Lists!$A:$A=$H478),5),""""))"),"")</f>
        <v/>
      </c>
      <c r="O478" s="28" t="str">
        <f>IFERROR(__xludf.DUMMYFUNCTION("IF($I477="""","""",IFERROR(INDEX(FILTER(Response_Lists!$B:$B,Response_Lists!$A:$A=$H478),6),""""))"),"")</f>
        <v/>
      </c>
      <c r="P478" s="28" t="str">
        <f t="shared" si="6"/>
        <v/>
      </c>
      <c r="Q478" s="28" t="str">
        <f t="array" ref="Q478">IF($I477="","",XLOOKUP(C478,FSM_State_Map!A:A,FSM_State_Map!D:D,""))</f>
        <v/>
      </c>
      <c r="R478" s="28" t="str">
        <f t="shared" si="7"/>
        <v/>
      </c>
      <c r="S478" s="28" t="str">
        <f t="array" ref="S478">IF($I477="","",
IF(
  AND(C478="B",C477&lt;&gt;"B"),
  XLOOKUP($B478,Derived_Variables!$A:$A,Derived_Variables!$K:$K,0)
  + XLOOKUP($B478,Derived_Variables!$A:$A,Derived_Variables!$AE:$AE,0),
  S477+AM477
))</f>
        <v/>
      </c>
      <c r="T478" s="28" t="str">
        <f t="shared" ref="T478:U478" si="966">IF($I477="","",T477+AN477)</f>
        <v/>
      </c>
      <c r="U478" s="28" t="str">
        <f t="shared" si="966"/>
        <v/>
      </c>
      <c r="V478" s="28" t="str">
        <f t="array" ref="V478">IF($I477="","",
IF(
  AND(C478="D",C477&lt;&gt;"D"),
  XLOOKUP($B478,Derived_Variables!$A:$A,Derived_Variables!$N:$N,0)
  + XLOOKUP($B478,Derived_Variables!$A:$A,Derived_Variables!$AE:$AE,0),
  V477+AP477
))</f>
        <v/>
      </c>
      <c r="W478" s="28" t="str">
        <f t="shared" ref="W478:X478" si="967">IF($I477="","",W477+AQ477)</f>
        <v/>
      </c>
      <c r="X478" s="28" t="str">
        <f t="shared" si="967"/>
        <v/>
      </c>
      <c r="Y478" s="28" t="str">
        <f t="array" ref="Y478">IF($I477="","",IF(AND(C478="P",C477&lt;&gt;"P"),IFERROR(XLOOKUP($B478,Lenso_Input!$A:$A,Lenso_Input!$E:$E,0),0),Y477+AS477))</f>
        <v/>
      </c>
      <c r="Z478" s="28" t="str">
        <f t="array" ref="Z478">IF($I477="","",IF(AND(C478="Q",C477&lt;&gt;"Q"),IFERROR(XLOOKUP($B478,Lenso_Input!$A:$A,Lenso_Input!$I:$I,0),0),Z477+AT477))</f>
        <v/>
      </c>
      <c r="AA478" s="28" t="str">
        <f t="array" ref="AA478">IF($I477="","",IF(XLOOKUP($B478,Derived_Variables!$A:$A,Derived_Variables!$R:$R,"6/6_target")="6/6_target","20_20_20","40_30_25"))</f>
        <v/>
      </c>
      <c r="AB478" s="28" t="str">
        <f t="array" ref="AB478">IF($I477="","",XLOOKUP(LOWER(XLOOKUP($B478,Derived_Variables!$A:$A,Derived_Variables!$T:$T,"Standard"))&amp;"_sph_step",Calibration!$B:$B,Calibration!$C:$C,0.25))</f>
        <v/>
      </c>
      <c r="AC478" s="28" t="str">
        <f t="array" ref="AC478">IF($I477="","",XLOOKUP(LOWER(XLOOKUP($B478,Derived_Variables!$A:$A,Derived_Variables!$T:$T,"Standard"))&amp;"_cyl_step",Calibration!$B:$B,Calibration!$C:$C,0.25))</f>
        <v/>
      </c>
      <c r="AD478" s="28" t="str">
        <f t="array" ref="AD478">IF($I477="","",IF(OR(C478="E",C478="H"),LET(startStep,XLOOKUP("axis_start_step",Calibration!$B:$B,Calibration!$C:$C,5),step1,XLOOKUP("axis_reversal_step_1",Calibration!$B:$B,Calibration!$C:$C,3),step2,XLOOKUP("axis_reversal_step_2",Calibration!$B:$B,Calibration!$C:$C,1),IF(OR(C477&lt;&gt;C478,AZ478="",AZ478="SAME",AZ478="CANT_TELL",I478="",I478="SAME",I478="CANT_TELL"),startStep,IF(OR(AND(AZ478="BETTER_1",I478="BETTER_2"),AND(AZ478="BETTER_2",I478="BETTER_1")),IF(AD477&gt;step1,step1,step2),AD477))),0))</f>
        <v/>
      </c>
      <c r="AE478" s="28" t="str">
        <f t="array" ref="AE478">IF($I477="","",XLOOKUP($B478,Derived_Variables!$A:$A,Derived_Variables!$AD:$AD,"No_Fog"))</f>
        <v/>
      </c>
      <c r="AF478" s="28" t="str">
        <f t="array" ref="AF478">IF($I477="","",XLOOKUP($B478,Derived_Variables!$A:$A,Derived_Variables!$AE:$AE,0))</f>
        <v/>
      </c>
      <c r="AG478" s="28" t="str">
        <f t="array" ref="AG478">IF($I477="","",XLOOKUP($B478,Derived_Variables!$A:$A,Derived_Variables!$AF:$AF,""))</f>
        <v/>
      </c>
      <c r="AH478" s="28" t="str">
        <f t="array" ref="AH478">IF($I477="","",XLOOKUP($B478,Derived_Variables!$A:$A,Derived_Variables!$AG:$AG,""))</f>
        <v/>
      </c>
      <c r="AI478" s="28" t="str">
        <f t="array" ref="AI478">IF($I477="","",XLOOKUP($B478,Derived_Variables!$A:$A,Derived_Variables!$AC:$AC,"Medium"))</f>
        <v/>
      </c>
      <c r="AJ478" s="28" t="str">
        <f t="array" ref="AJ478">IF($I477="","",XLOOKUP($B478,Derived_Variables!$A:$A,Derived_Variables!$Y:$Y,FALSE))</f>
        <v/>
      </c>
      <c r="AK478" s="28" t="str">
        <f t="array" ref="AK478">IF($I477="","",XLOOKUP($B478,Derived_Variables!$A:$A,Derived_Variables!$AA:$AA,"Normal"))</f>
        <v/>
      </c>
      <c r="AL478" s="28" t="str">
        <f t="array" ref="AL478">IF($I477="","",XLOOKUP($B478,Derived_Variables!$A:$A,Derived_Variables!$AB:$AB,"Normal"))</f>
        <v/>
      </c>
      <c r="AM478" s="28" t="str">
        <f t="array" ref="AM478">IF($I478="","",IFS(C478="B",IF(OR(I478="NOT_READABLE",I478="BLURRY"),-AB478,0),C478="G",IFS(I478="RED_CLEARER",XLOOKUP("duochrome_red_step",Calibration!$B:$B,Calibration!$C:$C,-0.25),I478="GREEN_CLEARER",XLOOKUP("duochrome_green_step",Calibration!$B:$B,Calibration!$C:$C,0.25),I478="EQUAL",IF(XLOOKUP($B478,Derived_Variables!$A:$A,Derived_Variables!$S:$S,"Neutral")="Undercorrect",XLOOKUP("undercorrect_step",Calibration!$B:$B,Calibration!$C:$C,0.25),IF(XLOOKUP($B478,Derived_Variables!$A:$A,Derived_Variables!$S:$S,"Neutral")="Overcorrect",-XLOOKUP("overcorrect_step",Calibration!$B:$B,Calibration!$C:$C,0.25),0)),TRUE,0),C478="K",IF(I478="TOP_CLEARER",XLOOKUP("bino_balance_step",Calibration!$B:$B,Calibration!$C:$C,0.25),0),TRUE,0))</f>
        <v/>
      </c>
      <c r="AN478" s="28" t="str">
        <f t="shared" si="10"/>
        <v/>
      </c>
      <c r="AO478" s="28" t="str">
        <f t="shared" si="11"/>
        <v/>
      </c>
      <c r="AP478" s="28" t="str">
        <f t="array" ref="AP478">IF($I478="","",IFS(C478="D",IF(OR(I478="NOT_READABLE",I478="BLURRY"),-AB478,0),C478="J",IFS(I478="RED_CLEARER",XLOOKUP("duochrome_red_step",Calibration!$B:$B,Calibration!$C:$C,-0.25),I478="GREEN_CLEARER",XLOOKUP("duochrome_green_step",Calibration!$B:$B,Calibration!$C:$C,0.25),I478="EQUAL",IF(XLOOKUP($B478,Derived_Variables!$A:$A,Derived_Variables!$S:$S,"Neutral")="Undercorrect",XLOOKUP("undercorrect_step",Calibration!$B:$B,Calibration!$C:$C,0.25),IF(XLOOKUP($B478,Derived_Variables!$A:$A,Derived_Variables!$S:$S,"Neutral")="Overcorrect",-XLOOKUP("overcorrect_step",Calibration!$B:$B,Calibration!$C:$C,0.25),0)),TRUE,0),C478="K",IF(I478="BOTTOM_CLEARER",XLOOKUP("bino_balance_step",Calibration!$B:$B,Calibration!$C:$C,0.25),0),TRUE,0))</f>
        <v/>
      </c>
      <c r="AQ478" s="28" t="str">
        <f t="shared" si="12"/>
        <v/>
      </c>
      <c r="AR478" s="28" t="str">
        <f t="shared" si="13"/>
        <v/>
      </c>
      <c r="AS478" s="28" t="str">
        <f t="array" ref="AS478">IF($I478="","",IF(C478="P",IF(OR(I478="NOT_READABLE",I478="BLURRY"),XLOOKUP("near_add_step",Calibration!$B:$B,Calibration!$C:$C,0.25),0),IF(C478="R",IF(I478="NOT_CLEAR",XLOOKUP("near_add_step",Calibration!$B:$B,Calibration!$C:$C,0.25),0),0)))</f>
        <v/>
      </c>
      <c r="AT478" s="28" t="str">
        <f t="array" ref="AT478">IF($I478="","",IF(C478="Q",IF(OR(I478="NOT_READABLE",I478="BLURRY"),XLOOKUP("near_add_step",Calibration!$B:$B,Calibration!$C:$C,0.25),0),IF(C478="R",IF(I478="NOT_CLEAR",XLOOKUP("near_add_step",Calibration!$B:$B,Calibration!$C:$C,0.25),0),0)))</f>
        <v/>
      </c>
      <c r="AU478" s="28" t="str">
        <f t="array" ref="AU478">IF($I478="","",IF(G478="SNELLEN_FEET",IF(I478="READABLE",IFERROR(XLOOKUP(XLOOKUP(R478,Chart_Scale_Distance!B:B,Chart_Scale_Distance!A:A)+1,Chart_Scale_Distance!A:A,Chart_Scale_Distance!B:B),R478),R478),R478))</f>
        <v/>
      </c>
      <c r="AV478" s="28" t="str">
        <f t="array" ref="AV478">IF($I477="","",IFERROR(XLOOKUP(R478,Chart_Scale_Distance!$B:$B,Chart_Scale_Distance!$A:$A,""),""))</f>
        <v/>
      </c>
      <c r="AW478" s="28" t="str">
        <f t="array" ref="AW478">IF($I477="","",IFERROR(XLOOKUP(AA478,Chart_Scale_Distance!$B:$B,Chart_Scale_Distance!$A:$A,""),""))</f>
        <v/>
      </c>
      <c r="AX478" s="28" t="str">
        <f t="shared" si="14"/>
        <v/>
      </c>
      <c r="AY478" s="28" t="str">
        <f t="shared" si="15"/>
        <v/>
      </c>
      <c r="AZ478" s="28" t="str">
        <f t="shared" si="16"/>
        <v/>
      </c>
      <c r="BA478" s="28" t="str">
        <f t="shared" si="17"/>
        <v/>
      </c>
      <c r="BB478" s="28" t="str">
        <f t="shared" si="18"/>
        <v/>
      </c>
      <c r="BC478" s="28" t="str">
        <f t="array" ref="BC478">IF($I478="","",LET(
conf,AI478,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duoMax,XLOOKUP($B478,Derived_Variables!$A:$A,Derived_Variables!$AI:$AI,4),
axisTol,XLOOKUP($B478,Derived_Variables!$A:$A,Derived_Variables!$W:$W,1),
maxStart,XLOOKUP($B478,Derived_Variables!$A:$A,Derived_Variables!$U:$U,1.25),
maxAR,XLOOKUP($B478,Derived_Variables!$A:$A,Derived_Variables!$V:$V,3),
anom,XLOOKUP($B478,Derived_Variables!$A:$A,Derived_Variables!$Z:$Z,FALSE),
reStart,XLOOKUP($B478,Derived_Variables!$A:$A,Derived_Variables!$K:$K,0),
leStart,XLOOKUP($B478,Derived_Variables!$A:$A,Derived_Variables!$N:$N,0),
reAR,XLOOKUP($B478,AR_Input!$A:$A,AR_Input!$B:$B,reStart),
leAR,XLOOKUP($B478,AR_Input!$A:$A,AR_Input!$E:$E,leStart),
reEsc,AND(anom,OR(ABS((S478+AM478)-reStart)&gt;maxStart,ABS((S478+AM478)-reAR)&gt;maxAR)),
leEsc,AND(anom,OR(ABS((V478+AP478)-leStart)&gt;maxStart,ABS((V478+AP478)-leAR)&gt;maxAR)),
phaseMax,IFS(
 AK478="Fast",
   IFS(
     OR(C478="B",C478="D"),XLOOKUP("timeout_coarse_fast",Calibration!$B:$B,Calibration!$C:$C,24),
     OR(C478="E",C478="F",C478="H",C478="I"),XLOOKUP("timeout_jcc_fast",Calibration!$B:$B,Calibration!$C:$C,10),
     OR(C478="G",C478="J"),XLOOKUP("timeout_duochrome_fast",Calibration!$B:$B,Calibration!$C:$C,8),
     C478="K",XLOOKUP("timeout_bino_fast",Calibration!$B:$B,Calibration!$C:$C,10),
     OR(C478="P",C478="Q",C478="R"),XLOOKUP("timeout_near_fast",Calibration!$B:$B,Calibration!$C:$C,16),
     TRUE,XLOOKUP("timeout_coarse_fast",Calibration!$B:$B,Calibration!$C:$C,24)
   ),
 AK478="Normal",
   IFS(
     OR(C478="B",C478="D"),XLOOKUP("timeout_coarse_normal",Calibration!$B:$B,Calibration!$C:$C,36),
     OR(C478="E",C478="F",C478="H",C478="I"),XLOOKUP("timeout_jcc_normal",Calibration!$B:$B,Calibration!$C:$C,14),
     OR(C478="G",C478="J"),XLOOKUP("timeout_duochrome_normal",Calibration!$B:$B,Calibration!$C:$C,10),
     C478="K",XLOOKUP("timeout_bino_normal",Calibration!$B:$B,Calibration!$C:$C,14),
     OR(C478="P",C478="Q",C478="R"),XLOOKUP("timeout_near_normal",Calibration!$B:$B,Calibration!$C:$C,22),
     TRUE,XLOOKUP("timeout_coarse_normal",Calibration!$B:$B,Calibration!$C:$C,36)
   ),
 TRUE,
   IFS(
     OR(C478="B",C478="D"),XLOOKUP("timeout_coarse_slow",Calibration!$B:$B,Calibration!$C:$C,48),
     OR(C478="E",C478="F",C478="H",C478="I"),XLOOKUP("timeout_jcc_slow",Calibration!$B:$B,Calibration!$C:$C,18),
     OR(C478="G",C478="J"),XLOOKUP("timeout_duochrome_slow",Calibration!$B:$B,Calibration!$C:$C,12),
     C478="K",XLOOKUP("timeout_bino_slow",Calibration!$B:$B,Calibration!$C:$C,18),
     OR(C478="P",C478="Q",C478="R"),XLOOKUP("timeout_near_slow",Calibration!$B:$B,Calibration!$C:$C,28),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AJ478=TRUE,"ESCALATE",
C478="A",
IF(OR(I478="NOT_READABLE",I478="BLURRY",AND(R478="20_20_20",I478="READABLE")),"B","A"),
C478="B",
IF(reEsc,"ESCALATE",IF(AY478&gt;=phaseMax,"ESCALATE",IF(AND(AV478&gt;=AW478,I478="READABLE"),"E","B"))),
C478="E",
IF(AY478&gt;=phaseMax,"ESCALATE",IF(OR(I478="SAME",I478="CANT_TELL",AD478&lt;axisTol),"F","E")),
C478="F",
IF(AY478&gt;=phaseMax,"ESCALATE",IF(AX478&gt;=powerSameN,"G","F")),
C478="G",
IF(AY478&gt;=phaseMax,"ESCALATE",IF(OR(AX478&gt;=duoEqualN,BB478&gt;=duoMax),"D","G")),
C478="D",
IF(leEsc,"ESCALATE",IF(AY478&gt;=phaseMax,"ESCALATE",IF(AND(AV478&gt;=AW478,I478="READABLE"),"H","D"))),
C478="H",
IF(AY478&gt;=phaseMax,"ESCALATE",IF(OR(I478="SAME",I478="CANT_TELL",AD478&lt;axisTol),"I","H")),
C478="I",
IF(AY478&gt;=phaseMax,"ESCALATE",IF(AX478&gt;=powerSameN,"J","I")),
C478="J",
IF(AY478&gt;=phaseMax,"ESCALATE",IF(OR(AX478&gt;=duoEqualN,BB478&gt;=duoMax),"K","J")),
C478="K",
IF(AY478&gt;=phaseMax,"ESCALATE",IF(AX478&gt;=binoSameN,IF(XLOOKUP($B478,Derived_Variables!$A:$A,Derived_Variables!$AJ:$AJ,FALSE)=TRUE,"P","END"),"K")),
C478="P",
IF(AY478&gt;=phaseMax,"ESCALATE",IF(OR(I478="READABLE",I478="SAME"),"Q","P")),
C478="Q",
IF(AY478&gt;=phaseMax,"ESCALATE",IF(OR(I478="READABLE",I478="SAME"),"R","Q")),
C478="R",
IF(AY478&gt;=phaseMax,"ESCALATE",IF(OR(I478=nearTarget,I478="SAME"),"END","R")),
TRUE,"END"
)))</f>
        <v/>
      </c>
      <c r="BD478" s="28" t="b">
        <f t="shared" si="19"/>
        <v>0</v>
      </c>
    </row>
    <row r="479" ht="15.75" customHeight="1">
      <c r="A479" s="28">
        <f t="shared" si="3"/>
        <v>478</v>
      </c>
      <c r="B479" s="28">
        <f t="shared" si="4"/>
        <v>6</v>
      </c>
      <c r="C479" s="28" t="str">
        <f t="shared" si="5"/>
        <v/>
      </c>
      <c r="D479" s="28" t="str">
        <f t="array" ref="D479">IF($I478="","",XLOOKUP(C479,FSM_State_Map!A:A,FSM_State_Map!B:B,""))</f>
        <v/>
      </c>
      <c r="E479" s="28" t="str">
        <f t="array" ref="E479">IF($I478="","",XLOOKUP(C479,FSM_State_Map!A:A,FSM_State_Map!C:C,""))</f>
        <v/>
      </c>
      <c r="F479" s="28" t="str">
        <f t="array" ref="F479">IF($I478="","",XLOOKUP(E479,Phase_UI_Map!A:A,Phase_UI_Map!B:B,""))</f>
        <v/>
      </c>
      <c r="G479" s="28" t="str">
        <f t="array" ref="G479">IF($I478="","",XLOOKUP(E479,Phase_UI_Map!A:A,Phase_UI_Map!C:C,""))</f>
        <v/>
      </c>
      <c r="H479" s="28" t="str">
        <f t="array" ref="H479">IF($I478="","",XLOOKUP(E479,Phase_UI_Map!A:A,Phase_UI_Map!D:D,""))</f>
        <v/>
      </c>
      <c r="I479" s="29"/>
      <c r="J479" s="28" t="str">
        <f>IFERROR(__xludf.DUMMYFUNCTION("IF($I478="""","""",IFERROR(INDEX(FILTER(Response_Lists!$B:$B,Response_Lists!$A:$A=$H479),1),""""))"),"")</f>
        <v/>
      </c>
      <c r="K479" s="28" t="str">
        <f>IFERROR(__xludf.DUMMYFUNCTION("IF($I478="""","""",IFERROR(INDEX(FILTER(Response_Lists!$B:$B,Response_Lists!$A:$A=$H479),2),""""))"),"")</f>
        <v/>
      </c>
      <c r="L479" s="28" t="str">
        <f>IFERROR(__xludf.DUMMYFUNCTION("IF($I478="""","""",IFERROR(INDEX(FILTER(Response_Lists!$B:$B,Response_Lists!$A:$A=$H479),3),""""))"),"")</f>
        <v/>
      </c>
      <c r="M479" s="28" t="str">
        <f>IFERROR(__xludf.DUMMYFUNCTION("IF($I478="""","""",IFERROR(INDEX(FILTER(Response_Lists!$B:$B,Response_Lists!$A:$A=$H479),4),""""))"),"")</f>
        <v/>
      </c>
      <c r="N479" s="28" t="str">
        <f>IFERROR(__xludf.DUMMYFUNCTION("IF($I478="""","""",IFERROR(INDEX(FILTER(Response_Lists!$B:$B,Response_Lists!$A:$A=$H479),5),""""))"),"")</f>
        <v/>
      </c>
      <c r="O479" s="28" t="str">
        <f>IFERROR(__xludf.DUMMYFUNCTION("IF($I478="""","""",IFERROR(INDEX(FILTER(Response_Lists!$B:$B,Response_Lists!$A:$A=$H479),6),""""))"),"")</f>
        <v/>
      </c>
      <c r="P479" s="28" t="str">
        <f t="shared" si="6"/>
        <v/>
      </c>
      <c r="Q479" s="28" t="str">
        <f t="array" ref="Q479">IF($I478="","",XLOOKUP(C479,FSM_State_Map!A:A,FSM_State_Map!D:D,""))</f>
        <v/>
      </c>
      <c r="R479" s="28" t="str">
        <f t="shared" si="7"/>
        <v/>
      </c>
      <c r="S479" s="28" t="str">
        <f t="array" ref="S479">IF($I478="","",
IF(
  AND(C479="B",C478&lt;&gt;"B"),
  XLOOKUP($B479,Derived_Variables!$A:$A,Derived_Variables!$K:$K,0)
  + XLOOKUP($B479,Derived_Variables!$A:$A,Derived_Variables!$AE:$AE,0),
  S478+AM478
))</f>
        <v/>
      </c>
      <c r="T479" s="28" t="str">
        <f t="shared" ref="T479:U479" si="968">IF($I478="","",T478+AN478)</f>
        <v/>
      </c>
      <c r="U479" s="28" t="str">
        <f t="shared" si="968"/>
        <v/>
      </c>
      <c r="V479" s="28" t="str">
        <f t="array" ref="V479">IF($I478="","",
IF(
  AND(C479="D",C478&lt;&gt;"D"),
  XLOOKUP($B479,Derived_Variables!$A:$A,Derived_Variables!$N:$N,0)
  + XLOOKUP($B479,Derived_Variables!$A:$A,Derived_Variables!$AE:$AE,0),
  V478+AP478
))</f>
        <v/>
      </c>
      <c r="W479" s="28" t="str">
        <f t="shared" ref="W479:X479" si="969">IF($I478="","",W478+AQ478)</f>
        <v/>
      </c>
      <c r="X479" s="28" t="str">
        <f t="shared" si="969"/>
        <v/>
      </c>
      <c r="Y479" s="28" t="str">
        <f t="array" ref="Y479">IF($I478="","",IF(AND(C479="P",C478&lt;&gt;"P"),IFERROR(XLOOKUP($B479,Lenso_Input!$A:$A,Lenso_Input!$E:$E,0),0),Y478+AS478))</f>
        <v/>
      </c>
      <c r="Z479" s="28" t="str">
        <f t="array" ref="Z479">IF($I478="","",IF(AND(C479="Q",C478&lt;&gt;"Q"),IFERROR(XLOOKUP($B479,Lenso_Input!$A:$A,Lenso_Input!$I:$I,0),0),Z478+AT478))</f>
        <v/>
      </c>
      <c r="AA479" s="28" t="str">
        <f t="array" ref="AA479">IF($I478="","",IF(XLOOKUP($B479,Derived_Variables!$A:$A,Derived_Variables!$R:$R,"6/6_target")="6/6_target","20_20_20","40_30_25"))</f>
        <v/>
      </c>
      <c r="AB479" s="28" t="str">
        <f t="array" ref="AB479">IF($I478="","",XLOOKUP(LOWER(XLOOKUP($B479,Derived_Variables!$A:$A,Derived_Variables!$T:$T,"Standard"))&amp;"_sph_step",Calibration!$B:$B,Calibration!$C:$C,0.25))</f>
        <v/>
      </c>
      <c r="AC479" s="28" t="str">
        <f t="array" ref="AC479">IF($I478="","",XLOOKUP(LOWER(XLOOKUP($B479,Derived_Variables!$A:$A,Derived_Variables!$T:$T,"Standard"))&amp;"_cyl_step",Calibration!$B:$B,Calibration!$C:$C,0.25))</f>
        <v/>
      </c>
      <c r="AD479" s="28" t="str">
        <f t="array" ref="AD479">IF($I478="","",IF(OR(C479="E",C479="H"),LET(startStep,XLOOKUP("axis_start_step",Calibration!$B:$B,Calibration!$C:$C,5),step1,XLOOKUP("axis_reversal_step_1",Calibration!$B:$B,Calibration!$C:$C,3),step2,XLOOKUP("axis_reversal_step_2",Calibration!$B:$B,Calibration!$C:$C,1),IF(OR(C478&lt;&gt;C479,AZ479="",AZ479="SAME",AZ479="CANT_TELL",I479="",I479="SAME",I479="CANT_TELL"),startStep,IF(OR(AND(AZ479="BETTER_1",I479="BETTER_2"),AND(AZ479="BETTER_2",I479="BETTER_1")),IF(AD478&gt;step1,step1,step2),AD478))),0))</f>
        <v/>
      </c>
      <c r="AE479" s="28" t="str">
        <f t="array" ref="AE479">IF($I478="","",XLOOKUP($B479,Derived_Variables!$A:$A,Derived_Variables!$AD:$AD,"No_Fog"))</f>
        <v/>
      </c>
      <c r="AF479" s="28" t="str">
        <f t="array" ref="AF479">IF($I478="","",XLOOKUP($B479,Derived_Variables!$A:$A,Derived_Variables!$AE:$AE,0))</f>
        <v/>
      </c>
      <c r="AG479" s="28" t="str">
        <f t="array" ref="AG479">IF($I478="","",XLOOKUP($B479,Derived_Variables!$A:$A,Derived_Variables!$AF:$AF,""))</f>
        <v/>
      </c>
      <c r="AH479" s="28" t="str">
        <f t="array" ref="AH479">IF($I478="","",XLOOKUP($B479,Derived_Variables!$A:$A,Derived_Variables!$AG:$AG,""))</f>
        <v/>
      </c>
      <c r="AI479" s="28" t="str">
        <f t="array" ref="AI479">IF($I478="","",XLOOKUP($B479,Derived_Variables!$A:$A,Derived_Variables!$AC:$AC,"Medium"))</f>
        <v/>
      </c>
      <c r="AJ479" s="28" t="str">
        <f t="array" ref="AJ479">IF($I478="","",XLOOKUP($B479,Derived_Variables!$A:$A,Derived_Variables!$Y:$Y,FALSE))</f>
        <v/>
      </c>
      <c r="AK479" s="28" t="str">
        <f t="array" ref="AK479">IF($I478="","",XLOOKUP($B479,Derived_Variables!$A:$A,Derived_Variables!$AA:$AA,"Normal"))</f>
        <v/>
      </c>
      <c r="AL479" s="28" t="str">
        <f t="array" ref="AL479">IF($I478="","",XLOOKUP($B479,Derived_Variables!$A:$A,Derived_Variables!$AB:$AB,"Normal"))</f>
        <v/>
      </c>
      <c r="AM479" s="28" t="str">
        <f t="array" ref="AM479">IF($I479="","",IFS(C479="B",IF(OR(I479="NOT_READABLE",I479="BLURRY"),-AB479,0),C479="G",IFS(I479="RED_CLEARER",XLOOKUP("duochrome_red_step",Calibration!$B:$B,Calibration!$C:$C,-0.25),I479="GREEN_CLEARER",XLOOKUP("duochrome_green_step",Calibration!$B:$B,Calibration!$C:$C,0.25),I479="EQUAL",IF(XLOOKUP($B479,Derived_Variables!$A:$A,Derived_Variables!$S:$S,"Neutral")="Undercorrect",XLOOKUP("undercorrect_step",Calibration!$B:$B,Calibration!$C:$C,0.25),IF(XLOOKUP($B479,Derived_Variables!$A:$A,Derived_Variables!$S:$S,"Neutral")="Overcorrect",-XLOOKUP("overcorrect_step",Calibration!$B:$B,Calibration!$C:$C,0.25),0)),TRUE,0),C479="K",IF(I479="TOP_CLEARER",XLOOKUP("bino_balance_step",Calibration!$B:$B,Calibration!$C:$C,0.25),0),TRUE,0))</f>
        <v/>
      </c>
      <c r="AN479" s="28" t="str">
        <f t="shared" si="10"/>
        <v/>
      </c>
      <c r="AO479" s="28" t="str">
        <f t="shared" si="11"/>
        <v/>
      </c>
      <c r="AP479" s="28" t="str">
        <f t="array" ref="AP479">IF($I479="","",IFS(C479="D",IF(OR(I479="NOT_READABLE",I479="BLURRY"),-AB479,0),C479="J",IFS(I479="RED_CLEARER",XLOOKUP("duochrome_red_step",Calibration!$B:$B,Calibration!$C:$C,-0.25),I479="GREEN_CLEARER",XLOOKUP("duochrome_green_step",Calibration!$B:$B,Calibration!$C:$C,0.25),I479="EQUAL",IF(XLOOKUP($B479,Derived_Variables!$A:$A,Derived_Variables!$S:$S,"Neutral")="Undercorrect",XLOOKUP("undercorrect_step",Calibration!$B:$B,Calibration!$C:$C,0.25),IF(XLOOKUP($B479,Derived_Variables!$A:$A,Derived_Variables!$S:$S,"Neutral")="Overcorrect",-XLOOKUP("overcorrect_step",Calibration!$B:$B,Calibration!$C:$C,0.25),0)),TRUE,0),C479="K",IF(I479="BOTTOM_CLEARER",XLOOKUP("bino_balance_step",Calibration!$B:$B,Calibration!$C:$C,0.25),0),TRUE,0))</f>
        <v/>
      </c>
      <c r="AQ479" s="28" t="str">
        <f t="shared" si="12"/>
        <v/>
      </c>
      <c r="AR479" s="28" t="str">
        <f t="shared" si="13"/>
        <v/>
      </c>
      <c r="AS479" s="28" t="str">
        <f t="array" ref="AS479">IF($I479="","",IF(C479="P",IF(OR(I479="NOT_READABLE",I479="BLURRY"),XLOOKUP("near_add_step",Calibration!$B:$B,Calibration!$C:$C,0.25),0),IF(C479="R",IF(I479="NOT_CLEAR",XLOOKUP("near_add_step",Calibration!$B:$B,Calibration!$C:$C,0.25),0),0)))</f>
        <v/>
      </c>
      <c r="AT479" s="28" t="str">
        <f t="array" ref="AT479">IF($I479="","",IF(C479="Q",IF(OR(I479="NOT_READABLE",I479="BLURRY"),XLOOKUP("near_add_step",Calibration!$B:$B,Calibration!$C:$C,0.25),0),IF(C479="R",IF(I479="NOT_CLEAR",XLOOKUP("near_add_step",Calibration!$B:$B,Calibration!$C:$C,0.25),0),0)))</f>
        <v/>
      </c>
      <c r="AU479" s="28" t="str">
        <f t="array" ref="AU479">IF($I479="","",IF(G479="SNELLEN_FEET",IF(I479="READABLE",IFERROR(XLOOKUP(XLOOKUP(R479,Chart_Scale_Distance!B:B,Chart_Scale_Distance!A:A)+1,Chart_Scale_Distance!A:A,Chart_Scale_Distance!B:B),R479),R479),R479))</f>
        <v/>
      </c>
      <c r="AV479" s="28" t="str">
        <f t="array" ref="AV479">IF($I478="","",IFERROR(XLOOKUP(R479,Chart_Scale_Distance!$B:$B,Chart_Scale_Distance!$A:$A,""),""))</f>
        <v/>
      </c>
      <c r="AW479" s="28" t="str">
        <f t="array" ref="AW479">IF($I478="","",IFERROR(XLOOKUP(AA479,Chart_Scale_Distance!$B:$B,Chart_Scale_Distance!$A:$A,""),""))</f>
        <v/>
      </c>
      <c r="AX479" s="28" t="str">
        <f t="shared" si="14"/>
        <v/>
      </c>
      <c r="AY479" s="28" t="str">
        <f t="shared" si="15"/>
        <v/>
      </c>
      <c r="AZ479" s="28" t="str">
        <f t="shared" si="16"/>
        <v/>
      </c>
      <c r="BA479" s="28" t="str">
        <f t="shared" si="17"/>
        <v/>
      </c>
      <c r="BB479" s="28" t="str">
        <f t="shared" si="18"/>
        <v/>
      </c>
      <c r="BC479" s="28" t="str">
        <f t="array" ref="BC479">IF($I479="","",LET(
conf,AI479,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duoMax,XLOOKUP($B479,Derived_Variables!$A:$A,Derived_Variables!$AI:$AI,4),
axisTol,XLOOKUP($B479,Derived_Variables!$A:$A,Derived_Variables!$W:$W,1),
maxStart,XLOOKUP($B479,Derived_Variables!$A:$A,Derived_Variables!$U:$U,1.25),
maxAR,XLOOKUP($B479,Derived_Variables!$A:$A,Derived_Variables!$V:$V,3),
anom,XLOOKUP($B479,Derived_Variables!$A:$A,Derived_Variables!$Z:$Z,FALSE),
reStart,XLOOKUP($B479,Derived_Variables!$A:$A,Derived_Variables!$K:$K,0),
leStart,XLOOKUP($B479,Derived_Variables!$A:$A,Derived_Variables!$N:$N,0),
reAR,XLOOKUP($B479,AR_Input!$A:$A,AR_Input!$B:$B,reStart),
leAR,XLOOKUP($B479,AR_Input!$A:$A,AR_Input!$E:$E,leStart),
reEsc,AND(anom,OR(ABS((S479+AM479)-reStart)&gt;maxStart,ABS((S479+AM479)-reAR)&gt;maxAR)),
leEsc,AND(anom,OR(ABS((V479+AP479)-leStart)&gt;maxStart,ABS((V479+AP479)-leAR)&gt;maxAR)),
phaseMax,IFS(
 AK479="Fast",
   IFS(
     OR(C479="B",C479="D"),XLOOKUP("timeout_coarse_fast",Calibration!$B:$B,Calibration!$C:$C,24),
     OR(C479="E",C479="F",C479="H",C479="I"),XLOOKUP("timeout_jcc_fast",Calibration!$B:$B,Calibration!$C:$C,10),
     OR(C479="G",C479="J"),XLOOKUP("timeout_duochrome_fast",Calibration!$B:$B,Calibration!$C:$C,8),
     C479="K",XLOOKUP("timeout_bino_fast",Calibration!$B:$B,Calibration!$C:$C,10),
     OR(C479="P",C479="Q",C479="R"),XLOOKUP("timeout_near_fast",Calibration!$B:$B,Calibration!$C:$C,16),
     TRUE,XLOOKUP("timeout_coarse_fast",Calibration!$B:$B,Calibration!$C:$C,24)
   ),
 AK479="Normal",
   IFS(
     OR(C479="B",C479="D"),XLOOKUP("timeout_coarse_normal",Calibration!$B:$B,Calibration!$C:$C,36),
     OR(C479="E",C479="F",C479="H",C479="I"),XLOOKUP("timeout_jcc_normal",Calibration!$B:$B,Calibration!$C:$C,14),
     OR(C479="G",C479="J"),XLOOKUP("timeout_duochrome_normal",Calibration!$B:$B,Calibration!$C:$C,10),
     C479="K",XLOOKUP("timeout_bino_normal",Calibration!$B:$B,Calibration!$C:$C,14),
     OR(C479="P",C479="Q",C479="R"),XLOOKUP("timeout_near_normal",Calibration!$B:$B,Calibration!$C:$C,22),
     TRUE,XLOOKUP("timeout_coarse_normal",Calibration!$B:$B,Calibration!$C:$C,36)
   ),
 TRUE,
   IFS(
     OR(C479="B",C479="D"),XLOOKUP("timeout_coarse_slow",Calibration!$B:$B,Calibration!$C:$C,48),
     OR(C479="E",C479="F",C479="H",C479="I"),XLOOKUP("timeout_jcc_slow",Calibration!$B:$B,Calibration!$C:$C,18),
     OR(C479="G",C479="J"),XLOOKUP("timeout_duochrome_slow",Calibration!$B:$B,Calibration!$C:$C,12),
     C479="K",XLOOKUP("timeout_bino_slow",Calibration!$B:$B,Calibration!$C:$C,18),
     OR(C479="P",C479="Q",C479="R"),XLOOKUP("timeout_near_slow",Calibration!$B:$B,Calibration!$C:$C,28),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AJ479=TRUE,"ESCALATE",
C479="A",
IF(OR(I479="NOT_READABLE",I479="BLURRY",AND(R479="20_20_20",I479="READABLE")),"B","A"),
C479="B",
IF(reEsc,"ESCALATE",IF(AY479&gt;=phaseMax,"ESCALATE",IF(AND(AV479&gt;=AW479,I479="READABLE"),"E","B"))),
C479="E",
IF(AY479&gt;=phaseMax,"ESCALATE",IF(OR(I479="SAME",I479="CANT_TELL",AD479&lt;axisTol),"F","E")),
C479="F",
IF(AY479&gt;=phaseMax,"ESCALATE",IF(AX479&gt;=powerSameN,"G","F")),
C479="G",
IF(AY479&gt;=phaseMax,"ESCALATE",IF(OR(AX479&gt;=duoEqualN,BB479&gt;=duoMax),"D","G")),
C479="D",
IF(leEsc,"ESCALATE",IF(AY479&gt;=phaseMax,"ESCALATE",IF(AND(AV479&gt;=AW479,I479="READABLE"),"H","D"))),
C479="H",
IF(AY479&gt;=phaseMax,"ESCALATE",IF(OR(I479="SAME",I479="CANT_TELL",AD479&lt;axisTol),"I","H")),
C479="I",
IF(AY479&gt;=phaseMax,"ESCALATE",IF(AX479&gt;=powerSameN,"J","I")),
C479="J",
IF(AY479&gt;=phaseMax,"ESCALATE",IF(OR(AX479&gt;=duoEqualN,BB479&gt;=duoMax),"K","J")),
C479="K",
IF(AY479&gt;=phaseMax,"ESCALATE",IF(AX479&gt;=binoSameN,IF(XLOOKUP($B479,Derived_Variables!$A:$A,Derived_Variables!$AJ:$AJ,FALSE)=TRUE,"P","END"),"K")),
C479="P",
IF(AY479&gt;=phaseMax,"ESCALATE",IF(OR(I479="READABLE",I479="SAME"),"Q","P")),
C479="Q",
IF(AY479&gt;=phaseMax,"ESCALATE",IF(OR(I479="READABLE",I479="SAME"),"R","Q")),
C479="R",
IF(AY479&gt;=phaseMax,"ESCALATE",IF(OR(I479=nearTarget,I479="SAME"),"END","R")),
TRUE,"END"
)))</f>
        <v/>
      </c>
      <c r="BD479" s="28" t="b">
        <f t="shared" si="19"/>
        <v>0</v>
      </c>
    </row>
    <row r="480" ht="15.75" customHeight="1">
      <c r="A480" s="28">
        <f t="shared" si="3"/>
        <v>479</v>
      </c>
      <c r="B480" s="28">
        <f t="shared" si="4"/>
        <v>6</v>
      </c>
      <c r="C480" s="28" t="str">
        <f t="shared" si="5"/>
        <v/>
      </c>
      <c r="D480" s="28" t="str">
        <f t="array" ref="D480">IF($I479="","",XLOOKUP(C480,FSM_State_Map!A:A,FSM_State_Map!B:B,""))</f>
        <v/>
      </c>
      <c r="E480" s="28" t="str">
        <f t="array" ref="E480">IF($I479="","",XLOOKUP(C480,FSM_State_Map!A:A,FSM_State_Map!C:C,""))</f>
        <v/>
      </c>
      <c r="F480" s="28" t="str">
        <f t="array" ref="F480">IF($I479="","",XLOOKUP(E480,Phase_UI_Map!A:A,Phase_UI_Map!B:B,""))</f>
        <v/>
      </c>
      <c r="G480" s="28" t="str">
        <f t="array" ref="G480">IF($I479="","",XLOOKUP(E480,Phase_UI_Map!A:A,Phase_UI_Map!C:C,""))</f>
        <v/>
      </c>
      <c r="H480" s="28" t="str">
        <f t="array" ref="H480">IF($I479="","",XLOOKUP(E480,Phase_UI_Map!A:A,Phase_UI_Map!D:D,""))</f>
        <v/>
      </c>
      <c r="I480" s="29"/>
      <c r="J480" s="28" t="str">
        <f>IFERROR(__xludf.DUMMYFUNCTION("IF($I479="""","""",IFERROR(INDEX(FILTER(Response_Lists!$B:$B,Response_Lists!$A:$A=$H480),1),""""))"),"")</f>
        <v/>
      </c>
      <c r="K480" s="28" t="str">
        <f>IFERROR(__xludf.DUMMYFUNCTION("IF($I479="""","""",IFERROR(INDEX(FILTER(Response_Lists!$B:$B,Response_Lists!$A:$A=$H480),2),""""))"),"")</f>
        <v/>
      </c>
      <c r="L480" s="28" t="str">
        <f>IFERROR(__xludf.DUMMYFUNCTION("IF($I479="""","""",IFERROR(INDEX(FILTER(Response_Lists!$B:$B,Response_Lists!$A:$A=$H480),3),""""))"),"")</f>
        <v/>
      </c>
      <c r="M480" s="28" t="str">
        <f>IFERROR(__xludf.DUMMYFUNCTION("IF($I479="""","""",IFERROR(INDEX(FILTER(Response_Lists!$B:$B,Response_Lists!$A:$A=$H480),4),""""))"),"")</f>
        <v/>
      </c>
      <c r="N480" s="28" t="str">
        <f>IFERROR(__xludf.DUMMYFUNCTION("IF($I479="""","""",IFERROR(INDEX(FILTER(Response_Lists!$B:$B,Response_Lists!$A:$A=$H480),5),""""))"),"")</f>
        <v/>
      </c>
      <c r="O480" s="28" t="str">
        <f>IFERROR(__xludf.DUMMYFUNCTION("IF($I479="""","""",IFERROR(INDEX(FILTER(Response_Lists!$B:$B,Response_Lists!$A:$A=$H480),6),""""))"),"")</f>
        <v/>
      </c>
      <c r="P480" s="28" t="str">
        <f t="shared" si="6"/>
        <v/>
      </c>
      <c r="Q480" s="28" t="str">
        <f t="array" ref="Q480">IF($I479="","",XLOOKUP(C480,FSM_State_Map!A:A,FSM_State_Map!D:D,""))</f>
        <v/>
      </c>
      <c r="R480" s="28" t="str">
        <f t="shared" si="7"/>
        <v/>
      </c>
      <c r="S480" s="28" t="str">
        <f t="array" ref="S480">IF($I479="","",
IF(
  AND(C480="B",C479&lt;&gt;"B"),
  XLOOKUP($B480,Derived_Variables!$A:$A,Derived_Variables!$K:$K,0)
  + XLOOKUP($B480,Derived_Variables!$A:$A,Derived_Variables!$AE:$AE,0),
  S479+AM479
))</f>
        <v/>
      </c>
      <c r="T480" s="28" t="str">
        <f t="shared" ref="T480:U480" si="970">IF($I479="","",T479+AN479)</f>
        <v/>
      </c>
      <c r="U480" s="28" t="str">
        <f t="shared" si="970"/>
        <v/>
      </c>
      <c r="V480" s="28" t="str">
        <f t="array" ref="V480">IF($I479="","",
IF(
  AND(C480="D",C479&lt;&gt;"D"),
  XLOOKUP($B480,Derived_Variables!$A:$A,Derived_Variables!$N:$N,0)
  + XLOOKUP($B480,Derived_Variables!$A:$A,Derived_Variables!$AE:$AE,0),
  V479+AP479
))</f>
        <v/>
      </c>
      <c r="W480" s="28" t="str">
        <f t="shared" ref="W480:X480" si="971">IF($I479="","",W479+AQ479)</f>
        <v/>
      </c>
      <c r="X480" s="28" t="str">
        <f t="shared" si="971"/>
        <v/>
      </c>
      <c r="Y480" s="28" t="str">
        <f t="array" ref="Y480">IF($I479="","",IF(AND(C480="P",C479&lt;&gt;"P"),IFERROR(XLOOKUP($B480,Lenso_Input!$A:$A,Lenso_Input!$E:$E,0),0),Y479+AS479))</f>
        <v/>
      </c>
      <c r="Z480" s="28" t="str">
        <f t="array" ref="Z480">IF($I479="","",IF(AND(C480="Q",C479&lt;&gt;"Q"),IFERROR(XLOOKUP($B480,Lenso_Input!$A:$A,Lenso_Input!$I:$I,0),0),Z479+AT479))</f>
        <v/>
      </c>
      <c r="AA480" s="28" t="str">
        <f t="array" ref="AA480">IF($I479="","",IF(XLOOKUP($B480,Derived_Variables!$A:$A,Derived_Variables!$R:$R,"6/6_target")="6/6_target","20_20_20","40_30_25"))</f>
        <v/>
      </c>
      <c r="AB480" s="28" t="str">
        <f t="array" ref="AB480">IF($I479="","",XLOOKUP(LOWER(XLOOKUP($B480,Derived_Variables!$A:$A,Derived_Variables!$T:$T,"Standard"))&amp;"_sph_step",Calibration!$B:$B,Calibration!$C:$C,0.25))</f>
        <v/>
      </c>
      <c r="AC480" s="28" t="str">
        <f t="array" ref="AC480">IF($I479="","",XLOOKUP(LOWER(XLOOKUP($B480,Derived_Variables!$A:$A,Derived_Variables!$T:$T,"Standard"))&amp;"_cyl_step",Calibration!$B:$B,Calibration!$C:$C,0.25))</f>
        <v/>
      </c>
      <c r="AD480" s="28" t="str">
        <f t="array" ref="AD480">IF($I479="","",IF(OR(C480="E",C480="H"),LET(startStep,XLOOKUP("axis_start_step",Calibration!$B:$B,Calibration!$C:$C,5),step1,XLOOKUP("axis_reversal_step_1",Calibration!$B:$B,Calibration!$C:$C,3),step2,XLOOKUP("axis_reversal_step_2",Calibration!$B:$B,Calibration!$C:$C,1),IF(OR(C479&lt;&gt;C480,AZ480="",AZ480="SAME",AZ480="CANT_TELL",I480="",I480="SAME",I480="CANT_TELL"),startStep,IF(OR(AND(AZ480="BETTER_1",I480="BETTER_2"),AND(AZ480="BETTER_2",I480="BETTER_1")),IF(AD479&gt;step1,step1,step2),AD479))),0))</f>
        <v/>
      </c>
      <c r="AE480" s="28" t="str">
        <f t="array" ref="AE480">IF($I479="","",XLOOKUP($B480,Derived_Variables!$A:$A,Derived_Variables!$AD:$AD,"No_Fog"))</f>
        <v/>
      </c>
      <c r="AF480" s="28" t="str">
        <f t="array" ref="AF480">IF($I479="","",XLOOKUP($B480,Derived_Variables!$A:$A,Derived_Variables!$AE:$AE,0))</f>
        <v/>
      </c>
      <c r="AG480" s="28" t="str">
        <f t="array" ref="AG480">IF($I479="","",XLOOKUP($B480,Derived_Variables!$A:$A,Derived_Variables!$AF:$AF,""))</f>
        <v/>
      </c>
      <c r="AH480" s="28" t="str">
        <f t="array" ref="AH480">IF($I479="","",XLOOKUP($B480,Derived_Variables!$A:$A,Derived_Variables!$AG:$AG,""))</f>
        <v/>
      </c>
      <c r="AI480" s="28" t="str">
        <f t="array" ref="AI480">IF($I479="","",XLOOKUP($B480,Derived_Variables!$A:$A,Derived_Variables!$AC:$AC,"Medium"))</f>
        <v/>
      </c>
      <c r="AJ480" s="28" t="str">
        <f t="array" ref="AJ480">IF($I479="","",XLOOKUP($B480,Derived_Variables!$A:$A,Derived_Variables!$Y:$Y,FALSE))</f>
        <v/>
      </c>
      <c r="AK480" s="28" t="str">
        <f t="array" ref="AK480">IF($I479="","",XLOOKUP($B480,Derived_Variables!$A:$A,Derived_Variables!$AA:$AA,"Normal"))</f>
        <v/>
      </c>
      <c r="AL480" s="28" t="str">
        <f t="array" ref="AL480">IF($I479="","",XLOOKUP($B480,Derived_Variables!$A:$A,Derived_Variables!$AB:$AB,"Normal"))</f>
        <v/>
      </c>
      <c r="AM480" s="28" t="str">
        <f t="array" ref="AM480">IF($I480="","",IFS(C480="B",IF(OR(I480="NOT_READABLE",I480="BLURRY"),-AB480,0),C480="G",IFS(I480="RED_CLEARER",XLOOKUP("duochrome_red_step",Calibration!$B:$B,Calibration!$C:$C,-0.25),I480="GREEN_CLEARER",XLOOKUP("duochrome_green_step",Calibration!$B:$B,Calibration!$C:$C,0.25),I480="EQUAL",IF(XLOOKUP($B480,Derived_Variables!$A:$A,Derived_Variables!$S:$S,"Neutral")="Undercorrect",XLOOKUP("undercorrect_step",Calibration!$B:$B,Calibration!$C:$C,0.25),IF(XLOOKUP($B480,Derived_Variables!$A:$A,Derived_Variables!$S:$S,"Neutral")="Overcorrect",-XLOOKUP("overcorrect_step",Calibration!$B:$B,Calibration!$C:$C,0.25),0)),TRUE,0),C480="K",IF(I480="TOP_CLEARER",XLOOKUP("bino_balance_step",Calibration!$B:$B,Calibration!$C:$C,0.25),0),TRUE,0))</f>
        <v/>
      </c>
      <c r="AN480" s="28" t="str">
        <f t="shared" si="10"/>
        <v/>
      </c>
      <c r="AO480" s="28" t="str">
        <f t="shared" si="11"/>
        <v/>
      </c>
      <c r="AP480" s="28" t="str">
        <f t="array" ref="AP480">IF($I480="","",IFS(C480="D",IF(OR(I480="NOT_READABLE",I480="BLURRY"),-AB480,0),C480="J",IFS(I480="RED_CLEARER",XLOOKUP("duochrome_red_step",Calibration!$B:$B,Calibration!$C:$C,-0.25),I480="GREEN_CLEARER",XLOOKUP("duochrome_green_step",Calibration!$B:$B,Calibration!$C:$C,0.25),I480="EQUAL",IF(XLOOKUP($B480,Derived_Variables!$A:$A,Derived_Variables!$S:$S,"Neutral")="Undercorrect",XLOOKUP("undercorrect_step",Calibration!$B:$B,Calibration!$C:$C,0.25),IF(XLOOKUP($B480,Derived_Variables!$A:$A,Derived_Variables!$S:$S,"Neutral")="Overcorrect",-XLOOKUP("overcorrect_step",Calibration!$B:$B,Calibration!$C:$C,0.25),0)),TRUE,0),C480="K",IF(I480="BOTTOM_CLEARER",XLOOKUP("bino_balance_step",Calibration!$B:$B,Calibration!$C:$C,0.25),0),TRUE,0))</f>
        <v/>
      </c>
      <c r="AQ480" s="28" t="str">
        <f t="shared" si="12"/>
        <v/>
      </c>
      <c r="AR480" s="28" t="str">
        <f t="shared" si="13"/>
        <v/>
      </c>
      <c r="AS480" s="28" t="str">
        <f t="array" ref="AS480">IF($I480="","",IF(C480="P",IF(OR(I480="NOT_READABLE",I480="BLURRY"),XLOOKUP("near_add_step",Calibration!$B:$B,Calibration!$C:$C,0.25),0),IF(C480="R",IF(I480="NOT_CLEAR",XLOOKUP("near_add_step",Calibration!$B:$B,Calibration!$C:$C,0.25),0),0)))</f>
        <v/>
      </c>
      <c r="AT480" s="28" t="str">
        <f t="array" ref="AT480">IF($I480="","",IF(C480="Q",IF(OR(I480="NOT_READABLE",I480="BLURRY"),XLOOKUP("near_add_step",Calibration!$B:$B,Calibration!$C:$C,0.25),0),IF(C480="R",IF(I480="NOT_CLEAR",XLOOKUP("near_add_step",Calibration!$B:$B,Calibration!$C:$C,0.25),0),0)))</f>
        <v/>
      </c>
      <c r="AU480" s="28" t="str">
        <f t="array" ref="AU480">IF($I480="","",IF(G480="SNELLEN_FEET",IF(I480="READABLE",IFERROR(XLOOKUP(XLOOKUP(R480,Chart_Scale_Distance!B:B,Chart_Scale_Distance!A:A)+1,Chart_Scale_Distance!A:A,Chart_Scale_Distance!B:B),R480),R480),R480))</f>
        <v/>
      </c>
      <c r="AV480" s="28" t="str">
        <f t="array" ref="AV480">IF($I479="","",IFERROR(XLOOKUP(R480,Chart_Scale_Distance!$B:$B,Chart_Scale_Distance!$A:$A,""),""))</f>
        <v/>
      </c>
      <c r="AW480" s="28" t="str">
        <f t="array" ref="AW480">IF($I479="","",IFERROR(XLOOKUP(AA480,Chart_Scale_Distance!$B:$B,Chart_Scale_Distance!$A:$A,""),""))</f>
        <v/>
      </c>
      <c r="AX480" s="28" t="str">
        <f t="shared" si="14"/>
        <v/>
      </c>
      <c r="AY480" s="28" t="str">
        <f t="shared" si="15"/>
        <v/>
      </c>
      <c r="AZ480" s="28" t="str">
        <f t="shared" si="16"/>
        <v/>
      </c>
      <c r="BA480" s="28" t="str">
        <f t="shared" si="17"/>
        <v/>
      </c>
      <c r="BB480" s="28" t="str">
        <f t="shared" si="18"/>
        <v/>
      </c>
      <c r="BC480" s="28" t="str">
        <f t="array" ref="BC480">IF($I480="","",LET(
conf,AI480,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duoMax,XLOOKUP($B480,Derived_Variables!$A:$A,Derived_Variables!$AI:$AI,4),
axisTol,XLOOKUP($B480,Derived_Variables!$A:$A,Derived_Variables!$W:$W,1),
maxStart,XLOOKUP($B480,Derived_Variables!$A:$A,Derived_Variables!$U:$U,1.25),
maxAR,XLOOKUP($B480,Derived_Variables!$A:$A,Derived_Variables!$V:$V,3),
anom,XLOOKUP($B480,Derived_Variables!$A:$A,Derived_Variables!$Z:$Z,FALSE),
reStart,XLOOKUP($B480,Derived_Variables!$A:$A,Derived_Variables!$K:$K,0),
leStart,XLOOKUP($B480,Derived_Variables!$A:$A,Derived_Variables!$N:$N,0),
reAR,XLOOKUP($B480,AR_Input!$A:$A,AR_Input!$B:$B,reStart),
leAR,XLOOKUP($B480,AR_Input!$A:$A,AR_Input!$E:$E,leStart),
reEsc,AND(anom,OR(ABS((S480+AM480)-reStart)&gt;maxStart,ABS((S480+AM480)-reAR)&gt;maxAR)),
leEsc,AND(anom,OR(ABS((V480+AP480)-leStart)&gt;maxStart,ABS((V480+AP480)-leAR)&gt;maxAR)),
phaseMax,IFS(
 AK480="Fast",
   IFS(
     OR(C480="B",C480="D"),XLOOKUP("timeout_coarse_fast",Calibration!$B:$B,Calibration!$C:$C,24),
     OR(C480="E",C480="F",C480="H",C480="I"),XLOOKUP("timeout_jcc_fast",Calibration!$B:$B,Calibration!$C:$C,10),
     OR(C480="G",C480="J"),XLOOKUP("timeout_duochrome_fast",Calibration!$B:$B,Calibration!$C:$C,8),
     C480="K",XLOOKUP("timeout_bino_fast",Calibration!$B:$B,Calibration!$C:$C,10),
     OR(C480="P",C480="Q",C480="R"),XLOOKUP("timeout_near_fast",Calibration!$B:$B,Calibration!$C:$C,16),
     TRUE,XLOOKUP("timeout_coarse_fast",Calibration!$B:$B,Calibration!$C:$C,24)
   ),
 AK480="Normal",
   IFS(
     OR(C480="B",C480="D"),XLOOKUP("timeout_coarse_normal",Calibration!$B:$B,Calibration!$C:$C,36),
     OR(C480="E",C480="F",C480="H",C480="I"),XLOOKUP("timeout_jcc_normal",Calibration!$B:$B,Calibration!$C:$C,14),
     OR(C480="G",C480="J"),XLOOKUP("timeout_duochrome_normal",Calibration!$B:$B,Calibration!$C:$C,10),
     C480="K",XLOOKUP("timeout_bino_normal",Calibration!$B:$B,Calibration!$C:$C,14),
     OR(C480="P",C480="Q",C480="R"),XLOOKUP("timeout_near_normal",Calibration!$B:$B,Calibration!$C:$C,22),
     TRUE,XLOOKUP("timeout_coarse_normal",Calibration!$B:$B,Calibration!$C:$C,36)
   ),
 TRUE,
   IFS(
     OR(C480="B",C480="D"),XLOOKUP("timeout_coarse_slow",Calibration!$B:$B,Calibration!$C:$C,48),
     OR(C480="E",C480="F",C480="H",C480="I"),XLOOKUP("timeout_jcc_slow",Calibration!$B:$B,Calibration!$C:$C,18),
     OR(C480="G",C480="J"),XLOOKUP("timeout_duochrome_slow",Calibration!$B:$B,Calibration!$C:$C,12),
     C480="K",XLOOKUP("timeout_bino_slow",Calibration!$B:$B,Calibration!$C:$C,18),
     OR(C480="P",C480="Q",C480="R"),XLOOKUP("timeout_near_slow",Calibration!$B:$B,Calibration!$C:$C,28),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AJ480=TRUE,"ESCALATE",
C480="A",
IF(OR(I480="NOT_READABLE",I480="BLURRY",AND(R480="20_20_20",I480="READABLE")),"B","A"),
C480="B",
IF(reEsc,"ESCALATE",IF(AY480&gt;=phaseMax,"ESCALATE",IF(AND(AV480&gt;=AW480,I480="READABLE"),"E","B"))),
C480="E",
IF(AY480&gt;=phaseMax,"ESCALATE",IF(OR(I480="SAME",I480="CANT_TELL",AD480&lt;axisTol),"F","E")),
C480="F",
IF(AY480&gt;=phaseMax,"ESCALATE",IF(AX480&gt;=powerSameN,"G","F")),
C480="G",
IF(AY480&gt;=phaseMax,"ESCALATE",IF(OR(AX480&gt;=duoEqualN,BB480&gt;=duoMax),"D","G")),
C480="D",
IF(leEsc,"ESCALATE",IF(AY480&gt;=phaseMax,"ESCALATE",IF(AND(AV480&gt;=AW480,I480="READABLE"),"H","D"))),
C480="H",
IF(AY480&gt;=phaseMax,"ESCALATE",IF(OR(I480="SAME",I480="CANT_TELL",AD480&lt;axisTol),"I","H")),
C480="I",
IF(AY480&gt;=phaseMax,"ESCALATE",IF(AX480&gt;=powerSameN,"J","I")),
C480="J",
IF(AY480&gt;=phaseMax,"ESCALATE",IF(OR(AX480&gt;=duoEqualN,BB480&gt;=duoMax),"K","J")),
C480="K",
IF(AY480&gt;=phaseMax,"ESCALATE",IF(AX480&gt;=binoSameN,IF(XLOOKUP($B480,Derived_Variables!$A:$A,Derived_Variables!$AJ:$AJ,FALSE)=TRUE,"P","END"),"K")),
C480="P",
IF(AY480&gt;=phaseMax,"ESCALATE",IF(OR(I480="READABLE",I480="SAME"),"Q","P")),
C480="Q",
IF(AY480&gt;=phaseMax,"ESCALATE",IF(OR(I480="READABLE",I480="SAME"),"R","Q")),
C480="R",
IF(AY480&gt;=phaseMax,"ESCALATE",IF(OR(I480=nearTarget,I480="SAME"),"END","R")),
TRUE,"END"
)))</f>
        <v/>
      </c>
      <c r="BD480" s="28" t="b">
        <f t="shared" si="19"/>
        <v>0</v>
      </c>
    </row>
    <row r="481" ht="15.75" customHeight="1">
      <c r="A481" s="28">
        <f t="shared" si="3"/>
        <v>480</v>
      </c>
      <c r="B481" s="28">
        <f t="shared" si="4"/>
        <v>6</v>
      </c>
      <c r="C481" s="28" t="str">
        <f t="shared" si="5"/>
        <v/>
      </c>
      <c r="D481" s="28" t="str">
        <f t="array" ref="D481">IF($I480="","",XLOOKUP(C481,FSM_State_Map!A:A,FSM_State_Map!B:B,""))</f>
        <v/>
      </c>
      <c r="E481" s="28" t="str">
        <f t="array" ref="E481">IF($I480="","",XLOOKUP(C481,FSM_State_Map!A:A,FSM_State_Map!C:C,""))</f>
        <v/>
      </c>
      <c r="F481" s="28" t="str">
        <f t="array" ref="F481">IF($I480="","",XLOOKUP(E481,Phase_UI_Map!A:A,Phase_UI_Map!B:B,""))</f>
        <v/>
      </c>
      <c r="G481" s="28" t="str">
        <f t="array" ref="G481">IF($I480="","",XLOOKUP(E481,Phase_UI_Map!A:A,Phase_UI_Map!C:C,""))</f>
        <v/>
      </c>
      <c r="H481" s="28" t="str">
        <f t="array" ref="H481">IF($I480="","",XLOOKUP(E481,Phase_UI_Map!A:A,Phase_UI_Map!D:D,""))</f>
        <v/>
      </c>
      <c r="I481" s="29"/>
      <c r="J481" s="28" t="str">
        <f>IFERROR(__xludf.DUMMYFUNCTION("IF($I480="""","""",IFERROR(INDEX(FILTER(Response_Lists!$B:$B,Response_Lists!$A:$A=$H481),1),""""))"),"")</f>
        <v/>
      </c>
      <c r="K481" s="28" t="str">
        <f>IFERROR(__xludf.DUMMYFUNCTION("IF($I480="""","""",IFERROR(INDEX(FILTER(Response_Lists!$B:$B,Response_Lists!$A:$A=$H481),2),""""))"),"")</f>
        <v/>
      </c>
      <c r="L481" s="28" t="str">
        <f>IFERROR(__xludf.DUMMYFUNCTION("IF($I480="""","""",IFERROR(INDEX(FILTER(Response_Lists!$B:$B,Response_Lists!$A:$A=$H481),3),""""))"),"")</f>
        <v/>
      </c>
      <c r="M481" s="28" t="str">
        <f>IFERROR(__xludf.DUMMYFUNCTION("IF($I480="""","""",IFERROR(INDEX(FILTER(Response_Lists!$B:$B,Response_Lists!$A:$A=$H481),4),""""))"),"")</f>
        <v/>
      </c>
      <c r="N481" s="28" t="str">
        <f>IFERROR(__xludf.DUMMYFUNCTION("IF($I480="""","""",IFERROR(INDEX(FILTER(Response_Lists!$B:$B,Response_Lists!$A:$A=$H481),5),""""))"),"")</f>
        <v/>
      </c>
      <c r="O481" s="28" t="str">
        <f>IFERROR(__xludf.DUMMYFUNCTION("IF($I480="""","""",IFERROR(INDEX(FILTER(Response_Lists!$B:$B,Response_Lists!$A:$A=$H481),6),""""))"),"")</f>
        <v/>
      </c>
      <c r="P481" s="28" t="str">
        <f t="shared" si="6"/>
        <v/>
      </c>
      <c r="Q481" s="28" t="str">
        <f t="array" ref="Q481">IF($I480="","",XLOOKUP(C481,FSM_State_Map!A:A,FSM_State_Map!D:D,""))</f>
        <v/>
      </c>
      <c r="R481" s="28" t="str">
        <f t="shared" si="7"/>
        <v/>
      </c>
      <c r="S481" s="28" t="str">
        <f t="array" ref="S481">IF($I480="","",
IF(
  AND(C481="B",C480&lt;&gt;"B"),
  XLOOKUP($B481,Derived_Variables!$A:$A,Derived_Variables!$K:$K,0)
  + XLOOKUP($B481,Derived_Variables!$A:$A,Derived_Variables!$AE:$AE,0),
  S480+AM480
))</f>
        <v/>
      </c>
      <c r="T481" s="28" t="str">
        <f t="shared" ref="T481:U481" si="972">IF($I480="","",T480+AN480)</f>
        <v/>
      </c>
      <c r="U481" s="28" t="str">
        <f t="shared" si="972"/>
        <v/>
      </c>
      <c r="V481" s="28" t="str">
        <f t="array" ref="V481">IF($I480="","",
IF(
  AND(C481="D",C480&lt;&gt;"D"),
  XLOOKUP($B481,Derived_Variables!$A:$A,Derived_Variables!$N:$N,0)
  + XLOOKUP($B481,Derived_Variables!$A:$A,Derived_Variables!$AE:$AE,0),
  V480+AP480
))</f>
        <v/>
      </c>
      <c r="W481" s="28" t="str">
        <f t="shared" ref="W481:X481" si="973">IF($I480="","",W480+AQ480)</f>
        <v/>
      </c>
      <c r="X481" s="28" t="str">
        <f t="shared" si="973"/>
        <v/>
      </c>
      <c r="Y481" s="28" t="str">
        <f t="array" ref="Y481">IF($I480="","",IF(AND(C481="P",C480&lt;&gt;"P"),IFERROR(XLOOKUP($B481,Lenso_Input!$A:$A,Lenso_Input!$E:$E,0),0),Y480+AS480))</f>
        <v/>
      </c>
      <c r="Z481" s="28" t="str">
        <f t="array" ref="Z481">IF($I480="","",IF(AND(C481="Q",C480&lt;&gt;"Q"),IFERROR(XLOOKUP($B481,Lenso_Input!$A:$A,Lenso_Input!$I:$I,0),0),Z480+AT480))</f>
        <v/>
      </c>
      <c r="AA481" s="28" t="str">
        <f t="array" ref="AA481">IF($I480="","",IF(XLOOKUP($B481,Derived_Variables!$A:$A,Derived_Variables!$R:$R,"6/6_target")="6/6_target","20_20_20","40_30_25"))</f>
        <v/>
      </c>
      <c r="AB481" s="28" t="str">
        <f t="array" ref="AB481">IF($I480="","",XLOOKUP(LOWER(XLOOKUP($B481,Derived_Variables!$A:$A,Derived_Variables!$T:$T,"Standard"))&amp;"_sph_step",Calibration!$B:$B,Calibration!$C:$C,0.25))</f>
        <v/>
      </c>
      <c r="AC481" s="28" t="str">
        <f t="array" ref="AC481">IF($I480="","",XLOOKUP(LOWER(XLOOKUP($B481,Derived_Variables!$A:$A,Derived_Variables!$T:$T,"Standard"))&amp;"_cyl_step",Calibration!$B:$B,Calibration!$C:$C,0.25))</f>
        <v/>
      </c>
      <c r="AD481" s="28" t="str">
        <f t="array" ref="AD481">IF($I480="","",IF(OR(C481="E",C481="H"),LET(startStep,XLOOKUP("axis_start_step",Calibration!$B:$B,Calibration!$C:$C,5),step1,XLOOKUP("axis_reversal_step_1",Calibration!$B:$B,Calibration!$C:$C,3),step2,XLOOKUP("axis_reversal_step_2",Calibration!$B:$B,Calibration!$C:$C,1),IF(OR(C480&lt;&gt;C481,AZ481="",AZ481="SAME",AZ481="CANT_TELL",I481="",I481="SAME",I481="CANT_TELL"),startStep,IF(OR(AND(AZ481="BETTER_1",I481="BETTER_2"),AND(AZ481="BETTER_2",I481="BETTER_1")),IF(AD480&gt;step1,step1,step2),AD480))),0))</f>
        <v/>
      </c>
      <c r="AE481" s="28" t="str">
        <f t="array" ref="AE481">IF($I480="","",XLOOKUP($B481,Derived_Variables!$A:$A,Derived_Variables!$AD:$AD,"No_Fog"))</f>
        <v/>
      </c>
      <c r="AF481" s="28" t="str">
        <f t="array" ref="AF481">IF($I480="","",XLOOKUP($B481,Derived_Variables!$A:$A,Derived_Variables!$AE:$AE,0))</f>
        <v/>
      </c>
      <c r="AG481" s="28" t="str">
        <f t="array" ref="AG481">IF($I480="","",XLOOKUP($B481,Derived_Variables!$A:$A,Derived_Variables!$AF:$AF,""))</f>
        <v/>
      </c>
      <c r="AH481" s="28" t="str">
        <f t="array" ref="AH481">IF($I480="","",XLOOKUP($B481,Derived_Variables!$A:$A,Derived_Variables!$AG:$AG,""))</f>
        <v/>
      </c>
      <c r="AI481" s="28" t="str">
        <f t="array" ref="AI481">IF($I480="","",XLOOKUP($B481,Derived_Variables!$A:$A,Derived_Variables!$AC:$AC,"Medium"))</f>
        <v/>
      </c>
      <c r="AJ481" s="28" t="str">
        <f t="array" ref="AJ481">IF($I480="","",XLOOKUP($B481,Derived_Variables!$A:$A,Derived_Variables!$Y:$Y,FALSE))</f>
        <v/>
      </c>
      <c r="AK481" s="28" t="str">
        <f t="array" ref="AK481">IF($I480="","",XLOOKUP($B481,Derived_Variables!$A:$A,Derived_Variables!$AA:$AA,"Normal"))</f>
        <v/>
      </c>
      <c r="AL481" s="28" t="str">
        <f t="array" ref="AL481">IF($I480="","",XLOOKUP($B481,Derived_Variables!$A:$A,Derived_Variables!$AB:$AB,"Normal"))</f>
        <v/>
      </c>
      <c r="AM481" s="28" t="str">
        <f t="array" ref="AM481">IF($I481="","",IFS(C481="B",IF(OR(I481="NOT_READABLE",I481="BLURRY"),-AB481,0),C481="G",IFS(I481="RED_CLEARER",XLOOKUP("duochrome_red_step",Calibration!$B:$B,Calibration!$C:$C,-0.25),I481="GREEN_CLEARER",XLOOKUP("duochrome_green_step",Calibration!$B:$B,Calibration!$C:$C,0.25),I481="EQUAL",IF(XLOOKUP($B481,Derived_Variables!$A:$A,Derived_Variables!$S:$S,"Neutral")="Undercorrect",XLOOKUP("undercorrect_step",Calibration!$B:$B,Calibration!$C:$C,0.25),IF(XLOOKUP($B481,Derived_Variables!$A:$A,Derived_Variables!$S:$S,"Neutral")="Overcorrect",-XLOOKUP("overcorrect_step",Calibration!$B:$B,Calibration!$C:$C,0.25),0)),TRUE,0),C481="K",IF(I481="TOP_CLEARER",XLOOKUP("bino_balance_step",Calibration!$B:$B,Calibration!$C:$C,0.25),0),TRUE,0))</f>
        <v/>
      </c>
      <c r="AN481" s="28" t="str">
        <f t="shared" si="10"/>
        <v/>
      </c>
      <c r="AO481" s="28" t="str">
        <f t="shared" si="11"/>
        <v/>
      </c>
      <c r="AP481" s="28" t="str">
        <f t="array" ref="AP481">IF($I481="","",IFS(C481="D",IF(OR(I481="NOT_READABLE",I481="BLURRY"),-AB481,0),C481="J",IFS(I481="RED_CLEARER",XLOOKUP("duochrome_red_step",Calibration!$B:$B,Calibration!$C:$C,-0.25),I481="GREEN_CLEARER",XLOOKUP("duochrome_green_step",Calibration!$B:$B,Calibration!$C:$C,0.25),I481="EQUAL",IF(XLOOKUP($B481,Derived_Variables!$A:$A,Derived_Variables!$S:$S,"Neutral")="Undercorrect",XLOOKUP("undercorrect_step",Calibration!$B:$B,Calibration!$C:$C,0.25),IF(XLOOKUP($B481,Derived_Variables!$A:$A,Derived_Variables!$S:$S,"Neutral")="Overcorrect",-XLOOKUP("overcorrect_step",Calibration!$B:$B,Calibration!$C:$C,0.25),0)),TRUE,0),C481="K",IF(I481="BOTTOM_CLEARER",XLOOKUP("bino_balance_step",Calibration!$B:$B,Calibration!$C:$C,0.25),0),TRUE,0))</f>
        <v/>
      </c>
      <c r="AQ481" s="28" t="str">
        <f t="shared" si="12"/>
        <v/>
      </c>
      <c r="AR481" s="28" t="str">
        <f t="shared" si="13"/>
        <v/>
      </c>
      <c r="AS481" s="28" t="str">
        <f t="array" ref="AS481">IF($I481="","",IF(C481="P",IF(OR(I481="NOT_READABLE",I481="BLURRY"),XLOOKUP("near_add_step",Calibration!$B:$B,Calibration!$C:$C,0.25),0),IF(C481="R",IF(I481="NOT_CLEAR",XLOOKUP("near_add_step",Calibration!$B:$B,Calibration!$C:$C,0.25),0),0)))</f>
        <v/>
      </c>
      <c r="AT481" s="28" t="str">
        <f t="array" ref="AT481">IF($I481="","",IF(C481="Q",IF(OR(I481="NOT_READABLE",I481="BLURRY"),XLOOKUP("near_add_step",Calibration!$B:$B,Calibration!$C:$C,0.25),0),IF(C481="R",IF(I481="NOT_CLEAR",XLOOKUP("near_add_step",Calibration!$B:$B,Calibration!$C:$C,0.25),0),0)))</f>
        <v/>
      </c>
      <c r="AU481" s="28" t="str">
        <f t="array" ref="AU481">IF($I481="","",IF(G481="SNELLEN_FEET",IF(I481="READABLE",IFERROR(XLOOKUP(XLOOKUP(R481,Chart_Scale_Distance!B:B,Chart_Scale_Distance!A:A)+1,Chart_Scale_Distance!A:A,Chart_Scale_Distance!B:B),R481),R481),R481))</f>
        <v/>
      </c>
      <c r="AV481" s="28" t="str">
        <f t="array" ref="AV481">IF($I480="","",IFERROR(XLOOKUP(R481,Chart_Scale_Distance!$B:$B,Chart_Scale_Distance!$A:$A,""),""))</f>
        <v/>
      </c>
      <c r="AW481" s="28" t="str">
        <f t="array" ref="AW481">IF($I480="","",IFERROR(XLOOKUP(AA481,Chart_Scale_Distance!$B:$B,Chart_Scale_Distance!$A:$A,""),""))</f>
        <v/>
      </c>
      <c r="AX481" s="28" t="str">
        <f t="shared" si="14"/>
        <v/>
      </c>
      <c r="AY481" s="28" t="str">
        <f t="shared" si="15"/>
        <v/>
      </c>
      <c r="AZ481" s="28" t="str">
        <f t="shared" si="16"/>
        <v/>
      </c>
      <c r="BA481" s="28" t="str">
        <f t="shared" si="17"/>
        <v/>
      </c>
      <c r="BB481" s="28" t="str">
        <f t="shared" si="18"/>
        <v/>
      </c>
      <c r="BC481" s="28" t="str">
        <f t="array" ref="BC481">IF($I481="","",LET(
conf,AI481,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duoMax,XLOOKUP($B481,Derived_Variables!$A:$A,Derived_Variables!$AI:$AI,4),
axisTol,XLOOKUP($B481,Derived_Variables!$A:$A,Derived_Variables!$W:$W,1),
maxStart,XLOOKUP($B481,Derived_Variables!$A:$A,Derived_Variables!$U:$U,1.25),
maxAR,XLOOKUP($B481,Derived_Variables!$A:$A,Derived_Variables!$V:$V,3),
anom,XLOOKUP($B481,Derived_Variables!$A:$A,Derived_Variables!$Z:$Z,FALSE),
reStart,XLOOKUP($B481,Derived_Variables!$A:$A,Derived_Variables!$K:$K,0),
leStart,XLOOKUP($B481,Derived_Variables!$A:$A,Derived_Variables!$N:$N,0),
reAR,XLOOKUP($B481,AR_Input!$A:$A,AR_Input!$B:$B,reStart),
leAR,XLOOKUP($B481,AR_Input!$A:$A,AR_Input!$E:$E,leStart),
reEsc,AND(anom,OR(ABS((S481+AM481)-reStart)&gt;maxStart,ABS((S481+AM481)-reAR)&gt;maxAR)),
leEsc,AND(anom,OR(ABS((V481+AP481)-leStart)&gt;maxStart,ABS((V481+AP481)-leAR)&gt;maxAR)),
phaseMax,IFS(
 AK481="Fast",
   IFS(
     OR(C481="B",C481="D"),XLOOKUP("timeout_coarse_fast",Calibration!$B:$B,Calibration!$C:$C,24),
     OR(C481="E",C481="F",C481="H",C481="I"),XLOOKUP("timeout_jcc_fast",Calibration!$B:$B,Calibration!$C:$C,10),
     OR(C481="G",C481="J"),XLOOKUP("timeout_duochrome_fast",Calibration!$B:$B,Calibration!$C:$C,8),
     C481="K",XLOOKUP("timeout_bino_fast",Calibration!$B:$B,Calibration!$C:$C,10),
     OR(C481="P",C481="Q",C481="R"),XLOOKUP("timeout_near_fast",Calibration!$B:$B,Calibration!$C:$C,16),
     TRUE,XLOOKUP("timeout_coarse_fast",Calibration!$B:$B,Calibration!$C:$C,24)
   ),
 AK481="Normal",
   IFS(
     OR(C481="B",C481="D"),XLOOKUP("timeout_coarse_normal",Calibration!$B:$B,Calibration!$C:$C,36),
     OR(C481="E",C481="F",C481="H",C481="I"),XLOOKUP("timeout_jcc_normal",Calibration!$B:$B,Calibration!$C:$C,14),
     OR(C481="G",C481="J"),XLOOKUP("timeout_duochrome_normal",Calibration!$B:$B,Calibration!$C:$C,10),
     C481="K",XLOOKUP("timeout_bino_normal",Calibration!$B:$B,Calibration!$C:$C,14),
     OR(C481="P",C481="Q",C481="R"),XLOOKUP("timeout_near_normal",Calibration!$B:$B,Calibration!$C:$C,22),
     TRUE,XLOOKUP("timeout_coarse_normal",Calibration!$B:$B,Calibration!$C:$C,36)
   ),
 TRUE,
   IFS(
     OR(C481="B",C481="D"),XLOOKUP("timeout_coarse_slow",Calibration!$B:$B,Calibration!$C:$C,48),
     OR(C481="E",C481="F",C481="H",C481="I"),XLOOKUP("timeout_jcc_slow",Calibration!$B:$B,Calibration!$C:$C,18),
     OR(C481="G",C481="J"),XLOOKUP("timeout_duochrome_slow",Calibration!$B:$B,Calibration!$C:$C,12),
     C481="K",XLOOKUP("timeout_bino_slow",Calibration!$B:$B,Calibration!$C:$C,18),
     OR(C481="P",C481="Q",C481="R"),XLOOKUP("timeout_near_slow",Calibration!$B:$B,Calibration!$C:$C,28),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AJ481=TRUE,"ESCALATE",
C481="A",
IF(OR(I481="NOT_READABLE",I481="BLURRY",AND(R481="20_20_20",I481="READABLE")),"B","A"),
C481="B",
IF(reEsc,"ESCALATE",IF(AY481&gt;=phaseMax,"ESCALATE",IF(AND(AV481&gt;=AW481,I481="READABLE"),"E","B"))),
C481="E",
IF(AY481&gt;=phaseMax,"ESCALATE",IF(OR(I481="SAME",I481="CANT_TELL",AD481&lt;axisTol),"F","E")),
C481="F",
IF(AY481&gt;=phaseMax,"ESCALATE",IF(AX481&gt;=powerSameN,"G","F")),
C481="G",
IF(AY481&gt;=phaseMax,"ESCALATE",IF(OR(AX481&gt;=duoEqualN,BB481&gt;=duoMax),"D","G")),
C481="D",
IF(leEsc,"ESCALATE",IF(AY481&gt;=phaseMax,"ESCALATE",IF(AND(AV481&gt;=AW481,I481="READABLE"),"H","D"))),
C481="H",
IF(AY481&gt;=phaseMax,"ESCALATE",IF(OR(I481="SAME",I481="CANT_TELL",AD481&lt;axisTol),"I","H")),
C481="I",
IF(AY481&gt;=phaseMax,"ESCALATE",IF(AX481&gt;=powerSameN,"J","I")),
C481="J",
IF(AY481&gt;=phaseMax,"ESCALATE",IF(OR(AX481&gt;=duoEqualN,BB481&gt;=duoMax),"K","J")),
C481="K",
IF(AY481&gt;=phaseMax,"ESCALATE",IF(AX481&gt;=binoSameN,IF(XLOOKUP($B481,Derived_Variables!$A:$A,Derived_Variables!$AJ:$AJ,FALSE)=TRUE,"P","END"),"K")),
C481="P",
IF(AY481&gt;=phaseMax,"ESCALATE",IF(OR(I481="READABLE",I481="SAME"),"Q","P")),
C481="Q",
IF(AY481&gt;=phaseMax,"ESCALATE",IF(OR(I481="READABLE",I481="SAME"),"R","Q")),
C481="R",
IF(AY481&gt;=phaseMax,"ESCALATE",IF(OR(I481=nearTarget,I481="SAME"),"END","R")),
TRUE,"END"
)))</f>
        <v/>
      </c>
      <c r="BD481" s="28" t="b">
        <f t="shared" si="19"/>
        <v>0</v>
      </c>
    </row>
    <row r="482" ht="15.75" customHeight="1">
      <c r="A482" s="28">
        <f t="shared" si="3"/>
        <v>481</v>
      </c>
      <c r="B482" s="28">
        <f t="shared" si="4"/>
        <v>6</v>
      </c>
      <c r="C482" s="28" t="str">
        <f t="shared" si="5"/>
        <v/>
      </c>
      <c r="D482" s="28" t="str">
        <f t="array" ref="D482">IF($I481="","",XLOOKUP(C482,FSM_State_Map!A:A,FSM_State_Map!B:B,""))</f>
        <v/>
      </c>
      <c r="E482" s="28" t="str">
        <f t="array" ref="E482">IF($I481="","",XLOOKUP(C482,FSM_State_Map!A:A,FSM_State_Map!C:C,""))</f>
        <v/>
      </c>
      <c r="F482" s="28" t="str">
        <f t="array" ref="F482">IF($I481="","",XLOOKUP(E482,Phase_UI_Map!A:A,Phase_UI_Map!B:B,""))</f>
        <v/>
      </c>
      <c r="G482" s="28" t="str">
        <f t="array" ref="G482">IF($I481="","",XLOOKUP(E482,Phase_UI_Map!A:A,Phase_UI_Map!C:C,""))</f>
        <v/>
      </c>
      <c r="H482" s="28" t="str">
        <f t="array" ref="H482">IF($I481="","",XLOOKUP(E482,Phase_UI_Map!A:A,Phase_UI_Map!D:D,""))</f>
        <v/>
      </c>
      <c r="I482" s="29"/>
      <c r="J482" s="28" t="str">
        <f>IFERROR(__xludf.DUMMYFUNCTION("IF($I481="""","""",IFERROR(INDEX(FILTER(Response_Lists!$B:$B,Response_Lists!$A:$A=$H482),1),""""))"),"")</f>
        <v/>
      </c>
      <c r="K482" s="28" t="str">
        <f>IFERROR(__xludf.DUMMYFUNCTION("IF($I481="""","""",IFERROR(INDEX(FILTER(Response_Lists!$B:$B,Response_Lists!$A:$A=$H482),2),""""))"),"")</f>
        <v/>
      </c>
      <c r="L482" s="28" t="str">
        <f>IFERROR(__xludf.DUMMYFUNCTION("IF($I481="""","""",IFERROR(INDEX(FILTER(Response_Lists!$B:$B,Response_Lists!$A:$A=$H482),3),""""))"),"")</f>
        <v/>
      </c>
      <c r="M482" s="28" t="str">
        <f>IFERROR(__xludf.DUMMYFUNCTION("IF($I481="""","""",IFERROR(INDEX(FILTER(Response_Lists!$B:$B,Response_Lists!$A:$A=$H482),4),""""))"),"")</f>
        <v/>
      </c>
      <c r="N482" s="28" t="str">
        <f>IFERROR(__xludf.DUMMYFUNCTION("IF($I481="""","""",IFERROR(INDEX(FILTER(Response_Lists!$B:$B,Response_Lists!$A:$A=$H482),5),""""))"),"")</f>
        <v/>
      </c>
      <c r="O482" s="28" t="str">
        <f>IFERROR(__xludf.DUMMYFUNCTION("IF($I481="""","""",IFERROR(INDEX(FILTER(Response_Lists!$B:$B,Response_Lists!$A:$A=$H482),6),""""))"),"")</f>
        <v/>
      </c>
      <c r="P482" s="28" t="str">
        <f t="shared" si="6"/>
        <v/>
      </c>
      <c r="Q482" s="28" t="str">
        <f t="array" ref="Q482">IF($I481="","",XLOOKUP(C482,FSM_State_Map!A:A,FSM_State_Map!D:D,""))</f>
        <v/>
      </c>
      <c r="R482" s="28" t="str">
        <f t="shared" si="7"/>
        <v/>
      </c>
      <c r="S482" s="28" t="str">
        <f t="array" ref="S482">IF($I481="","",
IF(
  AND(C482="B",C481&lt;&gt;"B"),
  XLOOKUP($B482,Derived_Variables!$A:$A,Derived_Variables!$K:$K,0)
  + XLOOKUP($B482,Derived_Variables!$A:$A,Derived_Variables!$AE:$AE,0),
  S481+AM481
))</f>
        <v/>
      </c>
      <c r="T482" s="28" t="str">
        <f t="shared" ref="T482:U482" si="974">IF($I481="","",T481+AN481)</f>
        <v/>
      </c>
      <c r="U482" s="28" t="str">
        <f t="shared" si="974"/>
        <v/>
      </c>
      <c r="V482" s="28" t="str">
        <f t="array" ref="V482">IF($I481="","",
IF(
  AND(C482="D",C481&lt;&gt;"D"),
  XLOOKUP($B482,Derived_Variables!$A:$A,Derived_Variables!$N:$N,0)
  + XLOOKUP($B482,Derived_Variables!$A:$A,Derived_Variables!$AE:$AE,0),
  V481+AP481
))</f>
        <v/>
      </c>
      <c r="W482" s="28" t="str">
        <f t="shared" ref="W482:X482" si="975">IF($I481="","",W481+AQ481)</f>
        <v/>
      </c>
      <c r="X482" s="28" t="str">
        <f t="shared" si="975"/>
        <v/>
      </c>
      <c r="Y482" s="28" t="str">
        <f t="array" ref="Y482">IF($I481="","",IF(AND(C482="P",C481&lt;&gt;"P"),IFERROR(XLOOKUP($B482,Lenso_Input!$A:$A,Lenso_Input!$E:$E,0),0),Y481+AS481))</f>
        <v/>
      </c>
      <c r="Z482" s="28" t="str">
        <f t="array" ref="Z482">IF($I481="","",IF(AND(C482="Q",C481&lt;&gt;"Q"),IFERROR(XLOOKUP($B482,Lenso_Input!$A:$A,Lenso_Input!$I:$I,0),0),Z481+AT481))</f>
        <v/>
      </c>
      <c r="AA482" s="28" t="str">
        <f t="array" ref="AA482">IF($I481="","",IF(XLOOKUP($B482,Derived_Variables!$A:$A,Derived_Variables!$R:$R,"6/6_target")="6/6_target","20_20_20","40_30_25"))</f>
        <v/>
      </c>
      <c r="AB482" s="28" t="str">
        <f t="array" ref="AB482">IF($I481="","",XLOOKUP(LOWER(XLOOKUP($B482,Derived_Variables!$A:$A,Derived_Variables!$T:$T,"Standard"))&amp;"_sph_step",Calibration!$B:$B,Calibration!$C:$C,0.25))</f>
        <v/>
      </c>
      <c r="AC482" s="28" t="str">
        <f t="array" ref="AC482">IF($I481="","",XLOOKUP(LOWER(XLOOKUP($B482,Derived_Variables!$A:$A,Derived_Variables!$T:$T,"Standard"))&amp;"_cyl_step",Calibration!$B:$B,Calibration!$C:$C,0.25))</f>
        <v/>
      </c>
      <c r="AD482" s="28" t="str">
        <f t="array" ref="AD482">IF($I481="","",IF(OR(C482="E",C482="H"),LET(startStep,XLOOKUP("axis_start_step",Calibration!$B:$B,Calibration!$C:$C,5),step1,XLOOKUP("axis_reversal_step_1",Calibration!$B:$B,Calibration!$C:$C,3),step2,XLOOKUP("axis_reversal_step_2",Calibration!$B:$B,Calibration!$C:$C,1),IF(OR(C481&lt;&gt;C482,AZ482="",AZ482="SAME",AZ482="CANT_TELL",I482="",I482="SAME",I482="CANT_TELL"),startStep,IF(OR(AND(AZ482="BETTER_1",I482="BETTER_2"),AND(AZ482="BETTER_2",I482="BETTER_1")),IF(AD481&gt;step1,step1,step2),AD481))),0))</f>
        <v/>
      </c>
      <c r="AE482" s="28" t="str">
        <f t="array" ref="AE482">IF($I481="","",XLOOKUP($B482,Derived_Variables!$A:$A,Derived_Variables!$AD:$AD,"No_Fog"))</f>
        <v/>
      </c>
      <c r="AF482" s="28" t="str">
        <f t="array" ref="AF482">IF($I481="","",XLOOKUP($B482,Derived_Variables!$A:$A,Derived_Variables!$AE:$AE,0))</f>
        <v/>
      </c>
      <c r="AG482" s="28" t="str">
        <f t="array" ref="AG482">IF($I481="","",XLOOKUP($B482,Derived_Variables!$A:$A,Derived_Variables!$AF:$AF,""))</f>
        <v/>
      </c>
      <c r="AH482" s="28" t="str">
        <f t="array" ref="AH482">IF($I481="","",XLOOKUP($B482,Derived_Variables!$A:$A,Derived_Variables!$AG:$AG,""))</f>
        <v/>
      </c>
      <c r="AI482" s="28" t="str">
        <f t="array" ref="AI482">IF($I481="","",XLOOKUP($B482,Derived_Variables!$A:$A,Derived_Variables!$AC:$AC,"Medium"))</f>
        <v/>
      </c>
      <c r="AJ482" s="28" t="str">
        <f t="array" ref="AJ482">IF($I481="","",XLOOKUP($B482,Derived_Variables!$A:$A,Derived_Variables!$Y:$Y,FALSE))</f>
        <v/>
      </c>
      <c r="AK482" s="28" t="str">
        <f t="array" ref="AK482">IF($I481="","",XLOOKUP($B482,Derived_Variables!$A:$A,Derived_Variables!$AA:$AA,"Normal"))</f>
        <v/>
      </c>
      <c r="AL482" s="28" t="str">
        <f t="array" ref="AL482">IF($I481="","",XLOOKUP($B482,Derived_Variables!$A:$A,Derived_Variables!$AB:$AB,"Normal"))</f>
        <v/>
      </c>
      <c r="AM482" s="28" t="str">
        <f t="array" ref="AM482">IF($I482="","",IFS(C482="B",IF(OR(I482="NOT_READABLE",I482="BLURRY"),-AB482,0),C482="G",IFS(I482="RED_CLEARER",XLOOKUP("duochrome_red_step",Calibration!$B:$B,Calibration!$C:$C,-0.25),I482="GREEN_CLEARER",XLOOKUP("duochrome_green_step",Calibration!$B:$B,Calibration!$C:$C,0.25),I482="EQUAL",IF(XLOOKUP($B482,Derived_Variables!$A:$A,Derived_Variables!$S:$S,"Neutral")="Undercorrect",XLOOKUP("undercorrect_step",Calibration!$B:$B,Calibration!$C:$C,0.25),IF(XLOOKUP($B482,Derived_Variables!$A:$A,Derived_Variables!$S:$S,"Neutral")="Overcorrect",-XLOOKUP("overcorrect_step",Calibration!$B:$B,Calibration!$C:$C,0.25),0)),TRUE,0),C482="K",IF(I482="TOP_CLEARER",XLOOKUP("bino_balance_step",Calibration!$B:$B,Calibration!$C:$C,0.25),0),TRUE,0))</f>
        <v/>
      </c>
      <c r="AN482" s="28" t="str">
        <f t="shared" si="10"/>
        <v/>
      </c>
      <c r="AO482" s="28" t="str">
        <f t="shared" si="11"/>
        <v/>
      </c>
      <c r="AP482" s="28" t="str">
        <f t="array" ref="AP482">IF($I482="","",IFS(C482="D",IF(OR(I482="NOT_READABLE",I482="BLURRY"),-AB482,0),C482="J",IFS(I482="RED_CLEARER",XLOOKUP("duochrome_red_step",Calibration!$B:$B,Calibration!$C:$C,-0.25),I482="GREEN_CLEARER",XLOOKUP("duochrome_green_step",Calibration!$B:$B,Calibration!$C:$C,0.25),I482="EQUAL",IF(XLOOKUP($B482,Derived_Variables!$A:$A,Derived_Variables!$S:$S,"Neutral")="Undercorrect",XLOOKUP("undercorrect_step",Calibration!$B:$B,Calibration!$C:$C,0.25),IF(XLOOKUP($B482,Derived_Variables!$A:$A,Derived_Variables!$S:$S,"Neutral")="Overcorrect",-XLOOKUP("overcorrect_step",Calibration!$B:$B,Calibration!$C:$C,0.25),0)),TRUE,0),C482="K",IF(I482="BOTTOM_CLEARER",XLOOKUP("bino_balance_step",Calibration!$B:$B,Calibration!$C:$C,0.25),0),TRUE,0))</f>
        <v/>
      </c>
      <c r="AQ482" s="28" t="str">
        <f t="shared" si="12"/>
        <v/>
      </c>
      <c r="AR482" s="28" t="str">
        <f t="shared" si="13"/>
        <v/>
      </c>
      <c r="AS482" s="28" t="str">
        <f t="array" ref="AS482">IF($I482="","",IF(C482="P",IF(OR(I482="NOT_READABLE",I482="BLURRY"),XLOOKUP("near_add_step",Calibration!$B:$B,Calibration!$C:$C,0.25),0),IF(C482="R",IF(I482="NOT_CLEAR",XLOOKUP("near_add_step",Calibration!$B:$B,Calibration!$C:$C,0.25),0),0)))</f>
        <v/>
      </c>
      <c r="AT482" s="28" t="str">
        <f t="array" ref="AT482">IF($I482="","",IF(C482="Q",IF(OR(I482="NOT_READABLE",I482="BLURRY"),XLOOKUP("near_add_step",Calibration!$B:$B,Calibration!$C:$C,0.25),0),IF(C482="R",IF(I482="NOT_CLEAR",XLOOKUP("near_add_step",Calibration!$B:$B,Calibration!$C:$C,0.25),0),0)))</f>
        <v/>
      </c>
      <c r="AU482" s="28" t="str">
        <f t="array" ref="AU482">IF($I482="","",IF(G482="SNELLEN_FEET",IF(I482="READABLE",IFERROR(XLOOKUP(XLOOKUP(R482,Chart_Scale_Distance!B:B,Chart_Scale_Distance!A:A)+1,Chart_Scale_Distance!A:A,Chart_Scale_Distance!B:B),R482),R482),R482))</f>
        <v/>
      </c>
      <c r="AV482" s="28" t="str">
        <f t="array" ref="AV482">IF($I481="","",IFERROR(XLOOKUP(R482,Chart_Scale_Distance!$B:$B,Chart_Scale_Distance!$A:$A,""),""))</f>
        <v/>
      </c>
      <c r="AW482" s="28" t="str">
        <f t="array" ref="AW482">IF($I481="","",IFERROR(XLOOKUP(AA482,Chart_Scale_Distance!$B:$B,Chart_Scale_Distance!$A:$A,""),""))</f>
        <v/>
      </c>
      <c r="AX482" s="28" t="str">
        <f t="shared" si="14"/>
        <v/>
      </c>
      <c r="AY482" s="28" t="str">
        <f t="shared" si="15"/>
        <v/>
      </c>
      <c r="AZ482" s="28" t="str">
        <f t="shared" si="16"/>
        <v/>
      </c>
      <c r="BA482" s="28" t="str">
        <f t="shared" si="17"/>
        <v/>
      </c>
      <c r="BB482" s="28" t="str">
        <f t="shared" si="18"/>
        <v/>
      </c>
      <c r="BC482" s="28" t="str">
        <f t="array" ref="BC482">IF($I482="","",LET(
conf,AI482,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duoMax,XLOOKUP($B482,Derived_Variables!$A:$A,Derived_Variables!$AI:$AI,4),
axisTol,XLOOKUP($B482,Derived_Variables!$A:$A,Derived_Variables!$W:$W,1),
maxStart,XLOOKUP($B482,Derived_Variables!$A:$A,Derived_Variables!$U:$U,1.25),
maxAR,XLOOKUP($B482,Derived_Variables!$A:$A,Derived_Variables!$V:$V,3),
anom,XLOOKUP($B482,Derived_Variables!$A:$A,Derived_Variables!$Z:$Z,FALSE),
reStart,XLOOKUP($B482,Derived_Variables!$A:$A,Derived_Variables!$K:$K,0),
leStart,XLOOKUP($B482,Derived_Variables!$A:$A,Derived_Variables!$N:$N,0),
reAR,XLOOKUP($B482,AR_Input!$A:$A,AR_Input!$B:$B,reStart),
leAR,XLOOKUP($B482,AR_Input!$A:$A,AR_Input!$E:$E,leStart),
reEsc,AND(anom,OR(ABS((S482+AM482)-reStart)&gt;maxStart,ABS((S482+AM482)-reAR)&gt;maxAR)),
leEsc,AND(anom,OR(ABS((V482+AP482)-leStart)&gt;maxStart,ABS((V482+AP482)-leAR)&gt;maxAR)),
phaseMax,IFS(
 AK482="Fast",
   IFS(
     OR(C482="B",C482="D"),XLOOKUP("timeout_coarse_fast",Calibration!$B:$B,Calibration!$C:$C,24),
     OR(C482="E",C482="F",C482="H",C482="I"),XLOOKUP("timeout_jcc_fast",Calibration!$B:$B,Calibration!$C:$C,10),
     OR(C482="G",C482="J"),XLOOKUP("timeout_duochrome_fast",Calibration!$B:$B,Calibration!$C:$C,8),
     C482="K",XLOOKUP("timeout_bino_fast",Calibration!$B:$B,Calibration!$C:$C,10),
     OR(C482="P",C482="Q",C482="R"),XLOOKUP("timeout_near_fast",Calibration!$B:$B,Calibration!$C:$C,16),
     TRUE,XLOOKUP("timeout_coarse_fast",Calibration!$B:$B,Calibration!$C:$C,24)
   ),
 AK482="Normal",
   IFS(
     OR(C482="B",C482="D"),XLOOKUP("timeout_coarse_normal",Calibration!$B:$B,Calibration!$C:$C,36),
     OR(C482="E",C482="F",C482="H",C482="I"),XLOOKUP("timeout_jcc_normal",Calibration!$B:$B,Calibration!$C:$C,14),
     OR(C482="G",C482="J"),XLOOKUP("timeout_duochrome_normal",Calibration!$B:$B,Calibration!$C:$C,10),
     C482="K",XLOOKUP("timeout_bino_normal",Calibration!$B:$B,Calibration!$C:$C,14),
     OR(C482="P",C482="Q",C482="R"),XLOOKUP("timeout_near_normal",Calibration!$B:$B,Calibration!$C:$C,22),
     TRUE,XLOOKUP("timeout_coarse_normal",Calibration!$B:$B,Calibration!$C:$C,36)
   ),
 TRUE,
   IFS(
     OR(C482="B",C482="D"),XLOOKUP("timeout_coarse_slow",Calibration!$B:$B,Calibration!$C:$C,48),
     OR(C482="E",C482="F",C482="H",C482="I"),XLOOKUP("timeout_jcc_slow",Calibration!$B:$B,Calibration!$C:$C,18),
     OR(C482="G",C482="J"),XLOOKUP("timeout_duochrome_slow",Calibration!$B:$B,Calibration!$C:$C,12),
     C482="K",XLOOKUP("timeout_bino_slow",Calibration!$B:$B,Calibration!$C:$C,18),
     OR(C482="P",C482="Q",C482="R"),XLOOKUP("timeout_near_slow",Calibration!$B:$B,Calibration!$C:$C,28),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AJ482=TRUE,"ESCALATE",
C482="A",
IF(OR(I482="NOT_READABLE",I482="BLURRY",AND(R482="20_20_20",I482="READABLE")),"B","A"),
C482="B",
IF(reEsc,"ESCALATE",IF(AY482&gt;=phaseMax,"ESCALATE",IF(AND(AV482&gt;=AW482,I482="READABLE"),"E","B"))),
C482="E",
IF(AY482&gt;=phaseMax,"ESCALATE",IF(OR(I482="SAME",I482="CANT_TELL",AD482&lt;axisTol),"F","E")),
C482="F",
IF(AY482&gt;=phaseMax,"ESCALATE",IF(AX482&gt;=powerSameN,"G","F")),
C482="G",
IF(AY482&gt;=phaseMax,"ESCALATE",IF(OR(AX482&gt;=duoEqualN,BB482&gt;=duoMax),"D","G")),
C482="D",
IF(leEsc,"ESCALATE",IF(AY482&gt;=phaseMax,"ESCALATE",IF(AND(AV482&gt;=AW482,I482="READABLE"),"H","D"))),
C482="H",
IF(AY482&gt;=phaseMax,"ESCALATE",IF(OR(I482="SAME",I482="CANT_TELL",AD482&lt;axisTol),"I","H")),
C482="I",
IF(AY482&gt;=phaseMax,"ESCALATE",IF(AX482&gt;=powerSameN,"J","I")),
C482="J",
IF(AY482&gt;=phaseMax,"ESCALATE",IF(OR(AX482&gt;=duoEqualN,BB482&gt;=duoMax),"K","J")),
C482="K",
IF(AY482&gt;=phaseMax,"ESCALATE",IF(AX482&gt;=binoSameN,IF(XLOOKUP($B482,Derived_Variables!$A:$A,Derived_Variables!$AJ:$AJ,FALSE)=TRUE,"P","END"),"K")),
C482="P",
IF(AY482&gt;=phaseMax,"ESCALATE",IF(OR(I482="READABLE",I482="SAME"),"Q","P")),
C482="Q",
IF(AY482&gt;=phaseMax,"ESCALATE",IF(OR(I482="READABLE",I482="SAME"),"R","Q")),
C482="R",
IF(AY482&gt;=phaseMax,"ESCALATE",IF(OR(I482=nearTarget,I482="SAME"),"END","R")),
TRUE,"END"
)))</f>
        <v/>
      </c>
      <c r="BD482" s="28" t="b">
        <f t="shared" si="19"/>
        <v>0</v>
      </c>
    </row>
    <row r="483" ht="15.75" customHeight="1">
      <c r="A483" s="28">
        <f t="shared" si="3"/>
        <v>482</v>
      </c>
      <c r="B483" s="28">
        <f t="shared" si="4"/>
        <v>6</v>
      </c>
      <c r="C483" s="28" t="str">
        <f t="shared" si="5"/>
        <v/>
      </c>
      <c r="D483" s="28" t="str">
        <f t="array" ref="D483">IF($I482="","",XLOOKUP(C483,FSM_State_Map!A:A,FSM_State_Map!B:B,""))</f>
        <v/>
      </c>
      <c r="E483" s="28" t="str">
        <f t="array" ref="E483">IF($I482="","",XLOOKUP(C483,FSM_State_Map!A:A,FSM_State_Map!C:C,""))</f>
        <v/>
      </c>
      <c r="F483" s="28" t="str">
        <f t="array" ref="F483">IF($I482="","",XLOOKUP(E483,Phase_UI_Map!A:A,Phase_UI_Map!B:B,""))</f>
        <v/>
      </c>
      <c r="G483" s="28" t="str">
        <f t="array" ref="G483">IF($I482="","",XLOOKUP(E483,Phase_UI_Map!A:A,Phase_UI_Map!C:C,""))</f>
        <v/>
      </c>
      <c r="H483" s="28" t="str">
        <f t="array" ref="H483">IF($I482="","",XLOOKUP(E483,Phase_UI_Map!A:A,Phase_UI_Map!D:D,""))</f>
        <v/>
      </c>
      <c r="I483" s="29"/>
      <c r="J483" s="28" t="str">
        <f>IFERROR(__xludf.DUMMYFUNCTION("IF($I482="""","""",IFERROR(INDEX(FILTER(Response_Lists!$B:$B,Response_Lists!$A:$A=$H483),1),""""))"),"")</f>
        <v/>
      </c>
      <c r="K483" s="28" t="str">
        <f>IFERROR(__xludf.DUMMYFUNCTION("IF($I482="""","""",IFERROR(INDEX(FILTER(Response_Lists!$B:$B,Response_Lists!$A:$A=$H483),2),""""))"),"")</f>
        <v/>
      </c>
      <c r="L483" s="28" t="str">
        <f>IFERROR(__xludf.DUMMYFUNCTION("IF($I482="""","""",IFERROR(INDEX(FILTER(Response_Lists!$B:$B,Response_Lists!$A:$A=$H483),3),""""))"),"")</f>
        <v/>
      </c>
      <c r="M483" s="28" t="str">
        <f>IFERROR(__xludf.DUMMYFUNCTION("IF($I482="""","""",IFERROR(INDEX(FILTER(Response_Lists!$B:$B,Response_Lists!$A:$A=$H483),4),""""))"),"")</f>
        <v/>
      </c>
      <c r="N483" s="28" t="str">
        <f>IFERROR(__xludf.DUMMYFUNCTION("IF($I482="""","""",IFERROR(INDEX(FILTER(Response_Lists!$B:$B,Response_Lists!$A:$A=$H483),5),""""))"),"")</f>
        <v/>
      </c>
      <c r="O483" s="28" t="str">
        <f>IFERROR(__xludf.DUMMYFUNCTION("IF($I482="""","""",IFERROR(INDEX(FILTER(Response_Lists!$B:$B,Response_Lists!$A:$A=$H483),6),""""))"),"")</f>
        <v/>
      </c>
      <c r="P483" s="28" t="str">
        <f t="shared" si="6"/>
        <v/>
      </c>
      <c r="Q483" s="28" t="str">
        <f t="array" ref="Q483">IF($I482="","",XLOOKUP(C483,FSM_State_Map!A:A,FSM_State_Map!D:D,""))</f>
        <v/>
      </c>
      <c r="R483" s="28" t="str">
        <f t="shared" si="7"/>
        <v/>
      </c>
      <c r="S483" s="28" t="str">
        <f t="array" ref="S483">IF($I482="","",
IF(
  AND(C483="B",C482&lt;&gt;"B"),
  XLOOKUP($B483,Derived_Variables!$A:$A,Derived_Variables!$K:$K,0)
  + XLOOKUP($B483,Derived_Variables!$A:$A,Derived_Variables!$AE:$AE,0),
  S482+AM482
))</f>
        <v/>
      </c>
      <c r="T483" s="28" t="str">
        <f t="shared" ref="T483:U483" si="976">IF($I482="","",T482+AN482)</f>
        <v/>
      </c>
      <c r="U483" s="28" t="str">
        <f t="shared" si="976"/>
        <v/>
      </c>
      <c r="V483" s="28" t="str">
        <f t="array" ref="V483">IF($I482="","",
IF(
  AND(C483="D",C482&lt;&gt;"D"),
  XLOOKUP($B483,Derived_Variables!$A:$A,Derived_Variables!$N:$N,0)
  + XLOOKUP($B483,Derived_Variables!$A:$A,Derived_Variables!$AE:$AE,0),
  V482+AP482
))</f>
        <v/>
      </c>
      <c r="W483" s="28" t="str">
        <f t="shared" ref="W483:X483" si="977">IF($I482="","",W482+AQ482)</f>
        <v/>
      </c>
      <c r="X483" s="28" t="str">
        <f t="shared" si="977"/>
        <v/>
      </c>
      <c r="Y483" s="28" t="str">
        <f t="array" ref="Y483">IF($I482="","",IF(AND(C483="P",C482&lt;&gt;"P"),IFERROR(XLOOKUP($B483,Lenso_Input!$A:$A,Lenso_Input!$E:$E,0),0),Y482+AS482))</f>
        <v/>
      </c>
      <c r="Z483" s="28" t="str">
        <f t="array" ref="Z483">IF($I482="","",IF(AND(C483="Q",C482&lt;&gt;"Q"),IFERROR(XLOOKUP($B483,Lenso_Input!$A:$A,Lenso_Input!$I:$I,0),0),Z482+AT482))</f>
        <v/>
      </c>
      <c r="AA483" s="28" t="str">
        <f t="array" ref="AA483">IF($I482="","",IF(XLOOKUP($B483,Derived_Variables!$A:$A,Derived_Variables!$R:$R,"6/6_target")="6/6_target","20_20_20","40_30_25"))</f>
        <v/>
      </c>
      <c r="AB483" s="28" t="str">
        <f t="array" ref="AB483">IF($I482="","",XLOOKUP(LOWER(XLOOKUP($B483,Derived_Variables!$A:$A,Derived_Variables!$T:$T,"Standard"))&amp;"_sph_step",Calibration!$B:$B,Calibration!$C:$C,0.25))</f>
        <v/>
      </c>
      <c r="AC483" s="28" t="str">
        <f t="array" ref="AC483">IF($I482="","",XLOOKUP(LOWER(XLOOKUP($B483,Derived_Variables!$A:$A,Derived_Variables!$T:$T,"Standard"))&amp;"_cyl_step",Calibration!$B:$B,Calibration!$C:$C,0.25))</f>
        <v/>
      </c>
      <c r="AD483" s="28" t="str">
        <f t="array" ref="AD483">IF($I482="","",IF(OR(C483="E",C483="H"),LET(startStep,XLOOKUP("axis_start_step",Calibration!$B:$B,Calibration!$C:$C,5),step1,XLOOKUP("axis_reversal_step_1",Calibration!$B:$B,Calibration!$C:$C,3),step2,XLOOKUP("axis_reversal_step_2",Calibration!$B:$B,Calibration!$C:$C,1),IF(OR(C482&lt;&gt;C483,AZ483="",AZ483="SAME",AZ483="CANT_TELL",I483="",I483="SAME",I483="CANT_TELL"),startStep,IF(OR(AND(AZ483="BETTER_1",I483="BETTER_2"),AND(AZ483="BETTER_2",I483="BETTER_1")),IF(AD482&gt;step1,step1,step2),AD482))),0))</f>
        <v/>
      </c>
      <c r="AE483" s="28" t="str">
        <f t="array" ref="AE483">IF($I482="","",XLOOKUP($B483,Derived_Variables!$A:$A,Derived_Variables!$AD:$AD,"No_Fog"))</f>
        <v/>
      </c>
      <c r="AF483" s="28" t="str">
        <f t="array" ref="AF483">IF($I482="","",XLOOKUP($B483,Derived_Variables!$A:$A,Derived_Variables!$AE:$AE,0))</f>
        <v/>
      </c>
      <c r="AG483" s="28" t="str">
        <f t="array" ref="AG483">IF($I482="","",XLOOKUP($B483,Derived_Variables!$A:$A,Derived_Variables!$AF:$AF,""))</f>
        <v/>
      </c>
      <c r="AH483" s="28" t="str">
        <f t="array" ref="AH483">IF($I482="","",XLOOKUP($B483,Derived_Variables!$A:$A,Derived_Variables!$AG:$AG,""))</f>
        <v/>
      </c>
      <c r="AI483" s="28" t="str">
        <f t="array" ref="AI483">IF($I482="","",XLOOKUP($B483,Derived_Variables!$A:$A,Derived_Variables!$AC:$AC,"Medium"))</f>
        <v/>
      </c>
      <c r="AJ483" s="28" t="str">
        <f t="array" ref="AJ483">IF($I482="","",XLOOKUP($B483,Derived_Variables!$A:$A,Derived_Variables!$Y:$Y,FALSE))</f>
        <v/>
      </c>
      <c r="AK483" s="28" t="str">
        <f t="array" ref="AK483">IF($I482="","",XLOOKUP($B483,Derived_Variables!$A:$A,Derived_Variables!$AA:$AA,"Normal"))</f>
        <v/>
      </c>
      <c r="AL483" s="28" t="str">
        <f t="array" ref="AL483">IF($I482="","",XLOOKUP($B483,Derived_Variables!$A:$A,Derived_Variables!$AB:$AB,"Normal"))</f>
        <v/>
      </c>
      <c r="AM483" s="28" t="str">
        <f t="array" ref="AM483">IF($I483="","",IFS(C483="B",IF(OR(I483="NOT_READABLE",I483="BLURRY"),-AB483,0),C483="G",IFS(I483="RED_CLEARER",XLOOKUP("duochrome_red_step",Calibration!$B:$B,Calibration!$C:$C,-0.25),I483="GREEN_CLEARER",XLOOKUP("duochrome_green_step",Calibration!$B:$B,Calibration!$C:$C,0.25),I483="EQUAL",IF(XLOOKUP($B483,Derived_Variables!$A:$A,Derived_Variables!$S:$S,"Neutral")="Undercorrect",XLOOKUP("undercorrect_step",Calibration!$B:$B,Calibration!$C:$C,0.25),IF(XLOOKUP($B483,Derived_Variables!$A:$A,Derived_Variables!$S:$S,"Neutral")="Overcorrect",-XLOOKUP("overcorrect_step",Calibration!$B:$B,Calibration!$C:$C,0.25),0)),TRUE,0),C483="K",IF(I483="TOP_CLEARER",XLOOKUP("bino_balance_step",Calibration!$B:$B,Calibration!$C:$C,0.25),0),TRUE,0))</f>
        <v/>
      </c>
      <c r="AN483" s="28" t="str">
        <f t="shared" si="10"/>
        <v/>
      </c>
      <c r="AO483" s="28" t="str">
        <f t="shared" si="11"/>
        <v/>
      </c>
      <c r="AP483" s="28" t="str">
        <f t="array" ref="AP483">IF($I483="","",IFS(C483="D",IF(OR(I483="NOT_READABLE",I483="BLURRY"),-AB483,0),C483="J",IFS(I483="RED_CLEARER",XLOOKUP("duochrome_red_step",Calibration!$B:$B,Calibration!$C:$C,-0.25),I483="GREEN_CLEARER",XLOOKUP("duochrome_green_step",Calibration!$B:$B,Calibration!$C:$C,0.25),I483="EQUAL",IF(XLOOKUP($B483,Derived_Variables!$A:$A,Derived_Variables!$S:$S,"Neutral")="Undercorrect",XLOOKUP("undercorrect_step",Calibration!$B:$B,Calibration!$C:$C,0.25),IF(XLOOKUP($B483,Derived_Variables!$A:$A,Derived_Variables!$S:$S,"Neutral")="Overcorrect",-XLOOKUP("overcorrect_step",Calibration!$B:$B,Calibration!$C:$C,0.25),0)),TRUE,0),C483="K",IF(I483="BOTTOM_CLEARER",XLOOKUP("bino_balance_step",Calibration!$B:$B,Calibration!$C:$C,0.25),0),TRUE,0))</f>
        <v/>
      </c>
      <c r="AQ483" s="28" t="str">
        <f t="shared" si="12"/>
        <v/>
      </c>
      <c r="AR483" s="28" t="str">
        <f t="shared" si="13"/>
        <v/>
      </c>
      <c r="AS483" s="28" t="str">
        <f t="array" ref="AS483">IF($I483="","",IF(C483="P",IF(OR(I483="NOT_READABLE",I483="BLURRY"),XLOOKUP("near_add_step",Calibration!$B:$B,Calibration!$C:$C,0.25),0),IF(C483="R",IF(I483="NOT_CLEAR",XLOOKUP("near_add_step",Calibration!$B:$B,Calibration!$C:$C,0.25),0),0)))</f>
        <v/>
      </c>
      <c r="AT483" s="28" t="str">
        <f t="array" ref="AT483">IF($I483="","",IF(C483="Q",IF(OR(I483="NOT_READABLE",I483="BLURRY"),XLOOKUP("near_add_step",Calibration!$B:$B,Calibration!$C:$C,0.25),0),IF(C483="R",IF(I483="NOT_CLEAR",XLOOKUP("near_add_step",Calibration!$B:$B,Calibration!$C:$C,0.25),0),0)))</f>
        <v/>
      </c>
      <c r="AU483" s="28" t="str">
        <f t="array" ref="AU483">IF($I483="","",IF(G483="SNELLEN_FEET",IF(I483="READABLE",IFERROR(XLOOKUP(XLOOKUP(R483,Chart_Scale_Distance!B:B,Chart_Scale_Distance!A:A)+1,Chart_Scale_Distance!A:A,Chart_Scale_Distance!B:B),R483),R483),R483))</f>
        <v/>
      </c>
      <c r="AV483" s="28" t="str">
        <f t="array" ref="AV483">IF($I482="","",IFERROR(XLOOKUP(R483,Chart_Scale_Distance!$B:$B,Chart_Scale_Distance!$A:$A,""),""))</f>
        <v/>
      </c>
      <c r="AW483" s="28" t="str">
        <f t="array" ref="AW483">IF($I482="","",IFERROR(XLOOKUP(AA483,Chart_Scale_Distance!$B:$B,Chart_Scale_Distance!$A:$A,""),""))</f>
        <v/>
      </c>
      <c r="AX483" s="28" t="str">
        <f t="shared" si="14"/>
        <v/>
      </c>
      <c r="AY483" s="28" t="str">
        <f t="shared" si="15"/>
        <v/>
      </c>
      <c r="AZ483" s="28" t="str">
        <f t="shared" si="16"/>
        <v/>
      </c>
      <c r="BA483" s="28" t="str">
        <f t="shared" si="17"/>
        <v/>
      </c>
      <c r="BB483" s="28" t="str">
        <f t="shared" si="18"/>
        <v/>
      </c>
      <c r="BC483" s="28" t="str">
        <f t="array" ref="BC483">IF($I483="","",LET(
conf,AI483,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duoMax,XLOOKUP($B483,Derived_Variables!$A:$A,Derived_Variables!$AI:$AI,4),
axisTol,XLOOKUP($B483,Derived_Variables!$A:$A,Derived_Variables!$W:$W,1),
maxStart,XLOOKUP($B483,Derived_Variables!$A:$A,Derived_Variables!$U:$U,1.25),
maxAR,XLOOKUP($B483,Derived_Variables!$A:$A,Derived_Variables!$V:$V,3),
anom,XLOOKUP($B483,Derived_Variables!$A:$A,Derived_Variables!$Z:$Z,FALSE),
reStart,XLOOKUP($B483,Derived_Variables!$A:$A,Derived_Variables!$K:$K,0),
leStart,XLOOKUP($B483,Derived_Variables!$A:$A,Derived_Variables!$N:$N,0),
reAR,XLOOKUP($B483,AR_Input!$A:$A,AR_Input!$B:$B,reStart),
leAR,XLOOKUP($B483,AR_Input!$A:$A,AR_Input!$E:$E,leStart),
reEsc,AND(anom,OR(ABS((S483+AM483)-reStart)&gt;maxStart,ABS((S483+AM483)-reAR)&gt;maxAR)),
leEsc,AND(anom,OR(ABS((V483+AP483)-leStart)&gt;maxStart,ABS((V483+AP483)-leAR)&gt;maxAR)),
phaseMax,IFS(
 AK483="Fast",
   IFS(
     OR(C483="B",C483="D"),XLOOKUP("timeout_coarse_fast",Calibration!$B:$B,Calibration!$C:$C,24),
     OR(C483="E",C483="F",C483="H",C483="I"),XLOOKUP("timeout_jcc_fast",Calibration!$B:$B,Calibration!$C:$C,10),
     OR(C483="G",C483="J"),XLOOKUP("timeout_duochrome_fast",Calibration!$B:$B,Calibration!$C:$C,8),
     C483="K",XLOOKUP("timeout_bino_fast",Calibration!$B:$B,Calibration!$C:$C,10),
     OR(C483="P",C483="Q",C483="R"),XLOOKUP("timeout_near_fast",Calibration!$B:$B,Calibration!$C:$C,16),
     TRUE,XLOOKUP("timeout_coarse_fast",Calibration!$B:$B,Calibration!$C:$C,24)
   ),
 AK483="Normal",
   IFS(
     OR(C483="B",C483="D"),XLOOKUP("timeout_coarse_normal",Calibration!$B:$B,Calibration!$C:$C,36),
     OR(C483="E",C483="F",C483="H",C483="I"),XLOOKUP("timeout_jcc_normal",Calibration!$B:$B,Calibration!$C:$C,14),
     OR(C483="G",C483="J"),XLOOKUP("timeout_duochrome_normal",Calibration!$B:$B,Calibration!$C:$C,10),
     C483="K",XLOOKUP("timeout_bino_normal",Calibration!$B:$B,Calibration!$C:$C,14),
     OR(C483="P",C483="Q",C483="R"),XLOOKUP("timeout_near_normal",Calibration!$B:$B,Calibration!$C:$C,22),
     TRUE,XLOOKUP("timeout_coarse_normal",Calibration!$B:$B,Calibration!$C:$C,36)
   ),
 TRUE,
   IFS(
     OR(C483="B",C483="D"),XLOOKUP("timeout_coarse_slow",Calibration!$B:$B,Calibration!$C:$C,48),
     OR(C483="E",C483="F",C483="H",C483="I"),XLOOKUP("timeout_jcc_slow",Calibration!$B:$B,Calibration!$C:$C,18),
     OR(C483="G",C483="J"),XLOOKUP("timeout_duochrome_slow",Calibration!$B:$B,Calibration!$C:$C,12),
     C483="K",XLOOKUP("timeout_bino_slow",Calibration!$B:$B,Calibration!$C:$C,18),
     OR(C483="P",C483="Q",C483="R"),XLOOKUP("timeout_near_slow",Calibration!$B:$B,Calibration!$C:$C,28),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AJ483=TRUE,"ESCALATE",
C483="A",
IF(OR(I483="NOT_READABLE",I483="BLURRY",AND(R483="20_20_20",I483="READABLE")),"B","A"),
C483="B",
IF(reEsc,"ESCALATE",IF(AY483&gt;=phaseMax,"ESCALATE",IF(AND(AV483&gt;=AW483,I483="READABLE"),"E","B"))),
C483="E",
IF(AY483&gt;=phaseMax,"ESCALATE",IF(OR(I483="SAME",I483="CANT_TELL",AD483&lt;axisTol),"F","E")),
C483="F",
IF(AY483&gt;=phaseMax,"ESCALATE",IF(AX483&gt;=powerSameN,"G","F")),
C483="G",
IF(AY483&gt;=phaseMax,"ESCALATE",IF(OR(AX483&gt;=duoEqualN,BB483&gt;=duoMax),"D","G")),
C483="D",
IF(leEsc,"ESCALATE",IF(AY483&gt;=phaseMax,"ESCALATE",IF(AND(AV483&gt;=AW483,I483="READABLE"),"H","D"))),
C483="H",
IF(AY483&gt;=phaseMax,"ESCALATE",IF(OR(I483="SAME",I483="CANT_TELL",AD483&lt;axisTol),"I","H")),
C483="I",
IF(AY483&gt;=phaseMax,"ESCALATE",IF(AX483&gt;=powerSameN,"J","I")),
C483="J",
IF(AY483&gt;=phaseMax,"ESCALATE",IF(OR(AX483&gt;=duoEqualN,BB483&gt;=duoMax),"K","J")),
C483="K",
IF(AY483&gt;=phaseMax,"ESCALATE",IF(AX483&gt;=binoSameN,IF(XLOOKUP($B483,Derived_Variables!$A:$A,Derived_Variables!$AJ:$AJ,FALSE)=TRUE,"P","END"),"K")),
C483="P",
IF(AY483&gt;=phaseMax,"ESCALATE",IF(OR(I483="READABLE",I483="SAME"),"Q","P")),
C483="Q",
IF(AY483&gt;=phaseMax,"ESCALATE",IF(OR(I483="READABLE",I483="SAME"),"R","Q")),
C483="R",
IF(AY483&gt;=phaseMax,"ESCALATE",IF(OR(I483=nearTarget,I483="SAME"),"END","R")),
TRUE,"END"
)))</f>
        <v/>
      </c>
      <c r="BD483" s="28" t="b">
        <f t="shared" si="19"/>
        <v>0</v>
      </c>
    </row>
    <row r="484" ht="15.75" customHeight="1">
      <c r="A484" s="28">
        <f t="shared" si="3"/>
        <v>483</v>
      </c>
      <c r="B484" s="28">
        <f t="shared" si="4"/>
        <v>6</v>
      </c>
      <c r="C484" s="28" t="str">
        <f t="shared" si="5"/>
        <v/>
      </c>
      <c r="D484" s="28" t="str">
        <f t="array" ref="D484">IF($I483="","",XLOOKUP(C484,FSM_State_Map!A:A,FSM_State_Map!B:B,""))</f>
        <v/>
      </c>
      <c r="E484" s="28" t="str">
        <f t="array" ref="E484">IF($I483="","",XLOOKUP(C484,FSM_State_Map!A:A,FSM_State_Map!C:C,""))</f>
        <v/>
      </c>
      <c r="F484" s="28" t="str">
        <f t="array" ref="F484">IF($I483="","",XLOOKUP(E484,Phase_UI_Map!A:A,Phase_UI_Map!B:B,""))</f>
        <v/>
      </c>
      <c r="G484" s="28" t="str">
        <f t="array" ref="G484">IF($I483="","",XLOOKUP(E484,Phase_UI_Map!A:A,Phase_UI_Map!C:C,""))</f>
        <v/>
      </c>
      <c r="H484" s="28" t="str">
        <f t="array" ref="H484">IF($I483="","",XLOOKUP(E484,Phase_UI_Map!A:A,Phase_UI_Map!D:D,""))</f>
        <v/>
      </c>
      <c r="I484" s="29"/>
      <c r="J484" s="28" t="str">
        <f>IFERROR(__xludf.DUMMYFUNCTION("IF($I483="""","""",IFERROR(INDEX(FILTER(Response_Lists!$B:$B,Response_Lists!$A:$A=$H484),1),""""))"),"")</f>
        <v/>
      </c>
      <c r="K484" s="28" t="str">
        <f>IFERROR(__xludf.DUMMYFUNCTION("IF($I483="""","""",IFERROR(INDEX(FILTER(Response_Lists!$B:$B,Response_Lists!$A:$A=$H484),2),""""))"),"")</f>
        <v/>
      </c>
      <c r="L484" s="28" t="str">
        <f>IFERROR(__xludf.DUMMYFUNCTION("IF($I483="""","""",IFERROR(INDEX(FILTER(Response_Lists!$B:$B,Response_Lists!$A:$A=$H484),3),""""))"),"")</f>
        <v/>
      </c>
      <c r="M484" s="28" t="str">
        <f>IFERROR(__xludf.DUMMYFUNCTION("IF($I483="""","""",IFERROR(INDEX(FILTER(Response_Lists!$B:$B,Response_Lists!$A:$A=$H484),4),""""))"),"")</f>
        <v/>
      </c>
      <c r="N484" s="28" t="str">
        <f>IFERROR(__xludf.DUMMYFUNCTION("IF($I483="""","""",IFERROR(INDEX(FILTER(Response_Lists!$B:$B,Response_Lists!$A:$A=$H484),5),""""))"),"")</f>
        <v/>
      </c>
      <c r="O484" s="28" t="str">
        <f>IFERROR(__xludf.DUMMYFUNCTION("IF($I483="""","""",IFERROR(INDEX(FILTER(Response_Lists!$B:$B,Response_Lists!$A:$A=$H484),6),""""))"),"")</f>
        <v/>
      </c>
      <c r="P484" s="28" t="str">
        <f t="shared" si="6"/>
        <v/>
      </c>
      <c r="Q484" s="28" t="str">
        <f t="array" ref="Q484">IF($I483="","",XLOOKUP(C484,FSM_State_Map!A:A,FSM_State_Map!D:D,""))</f>
        <v/>
      </c>
      <c r="R484" s="28" t="str">
        <f t="shared" si="7"/>
        <v/>
      </c>
      <c r="S484" s="28" t="str">
        <f t="array" ref="S484">IF($I483="","",
IF(
  AND(C484="B",C483&lt;&gt;"B"),
  XLOOKUP($B484,Derived_Variables!$A:$A,Derived_Variables!$K:$K,0)
  + XLOOKUP($B484,Derived_Variables!$A:$A,Derived_Variables!$AE:$AE,0),
  S483+AM483
))</f>
        <v/>
      </c>
      <c r="T484" s="28" t="str">
        <f t="shared" ref="T484:U484" si="978">IF($I483="","",T483+AN483)</f>
        <v/>
      </c>
      <c r="U484" s="28" t="str">
        <f t="shared" si="978"/>
        <v/>
      </c>
      <c r="V484" s="28" t="str">
        <f t="array" ref="V484">IF($I483="","",
IF(
  AND(C484="D",C483&lt;&gt;"D"),
  XLOOKUP($B484,Derived_Variables!$A:$A,Derived_Variables!$N:$N,0)
  + XLOOKUP($B484,Derived_Variables!$A:$A,Derived_Variables!$AE:$AE,0),
  V483+AP483
))</f>
        <v/>
      </c>
      <c r="W484" s="28" t="str">
        <f t="shared" ref="W484:X484" si="979">IF($I483="","",W483+AQ483)</f>
        <v/>
      </c>
      <c r="X484" s="28" t="str">
        <f t="shared" si="979"/>
        <v/>
      </c>
      <c r="Y484" s="28" t="str">
        <f t="array" ref="Y484">IF($I483="","",IF(AND(C484="P",C483&lt;&gt;"P"),IFERROR(XLOOKUP($B484,Lenso_Input!$A:$A,Lenso_Input!$E:$E,0),0),Y483+AS483))</f>
        <v/>
      </c>
      <c r="Z484" s="28" t="str">
        <f t="array" ref="Z484">IF($I483="","",IF(AND(C484="Q",C483&lt;&gt;"Q"),IFERROR(XLOOKUP($B484,Lenso_Input!$A:$A,Lenso_Input!$I:$I,0),0),Z483+AT483))</f>
        <v/>
      </c>
      <c r="AA484" s="28" t="str">
        <f t="array" ref="AA484">IF($I483="","",IF(XLOOKUP($B484,Derived_Variables!$A:$A,Derived_Variables!$R:$R,"6/6_target")="6/6_target","20_20_20","40_30_25"))</f>
        <v/>
      </c>
      <c r="AB484" s="28" t="str">
        <f t="array" ref="AB484">IF($I483="","",XLOOKUP(LOWER(XLOOKUP($B484,Derived_Variables!$A:$A,Derived_Variables!$T:$T,"Standard"))&amp;"_sph_step",Calibration!$B:$B,Calibration!$C:$C,0.25))</f>
        <v/>
      </c>
      <c r="AC484" s="28" t="str">
        <f t="array" ref="AC484">IF($I483="","",XLOOKUP(LOWER(XLOOKUP($B484,Derived_Variables!$A:$A,Derived_Variables!$T:$T,"Standard"))&amp;"_cyl_step",Calibration!$B:$B,Calibration!$C:$C,0.25))</f>
        <v/>
      </c>
      <c r="AD484" s="28" t="str">
        <f t="array" ref="AD484">IF($I483="","",IF(OR(C484="E",C484="H"),LET(startStep,XLOOKUP("axis_start_step",Calibration!$B:$B,Calibration!$C:$C,5),step1,XLOOKUP("axis_reversal_step_1",Calibration!$B:$B,Calibration!$C:$C,3),step2,XLOOKUP("axis_reversal_step_2",Calibration!$B:$B,Calibration!$C:$C,1),IF(OR(C483&lt;&gt;C484,AZ484="",AZ484="SAME",AZ484="CANT_TELL",I484="",I484="SAME",I484="CANT_TELL"),startStep,IF(OR(AND(AZ484="BETTER_1",I484="BETTER_2"),AND(AZ484="BETTER_2",I484="BETTER_1")),IF(AD483&gt;step1,step1,step2),AD483))),0))</f>
        <v/>
      </c>
      <c r="AE484" s="28" t="str">
        <f t="array" ref="AE484">IF($I483="","",XLOOKUP($B484,Derived_Variables!$A:$A,Derived_Variables!$AD:$AD,"No_Fog"))</f>
        <v/>
      </c>
      <c r="AF484" s="28" t="str">
        <f t="array" ref="AF484">IF($I483="","",XLOOKUP($B484,Derived_Variables!$A:$A,Derived_Variables!$AE:$AE,0))</f>
        <v/>
      </c>
      <c r="AG484" s="28" t="str">
        <f t="array" ref="AG484">IF($I483="","",XLOOKUP($B484,Derived_Variables!$A:$A,Derived_Variables!$AF:$AF,""))</f>
        <v/>
      </c>
      <c r="AH484" s="28" t="str">
        <f t="array" ref="AH484">IF($I483="","",XLOOKUP($B484,Derived_Variables!$A:$A,Derived_Variables!$AG:$AG,""))</f>
        <v/>
      </c>
      <c r="AI484" s="28" t="str">
        <f t="array" ref="AI484">IF($I483="","",XLOOKUP($B484,Derived_Variables!$A:$A,Derived_Variables!$AC:$AC,"Medium"))</f>
        <v/>
      </c>
      <c r="AJ484" s="28" t="str">
        <f t="array" ref="AJ484">IF($I483="","",XLOOKUP($B484,Derived_Variables!$A:$A,Derived_Variables!$Y:$Y,FALSE))</f>
        <v/>
      </c>
      <c r="AK484" s="28" t="str">
        <f t="array" ref="AK484">IF($I483="","",XLOOKUP($B484,Derived_Variables!$A:$A,Derived_Variables!$AA:$AA,"Normal"))</f>
        <v/>
      </c>
      <c r="AL484" s="28" t="str">
        <f t="array" ref="AL484">IF($I483="","",XLOOKUP($B484,Derived_Variables!$A:$A,Derived_Variables!$AB:$AB,"Normal"))</f>
        <v/>
      </c>
      <c r="AM484" s="28" t="str">
        <f t="array" ref="AM484">IF($I484="","",IFS(C484="B",IF(OR(I484="NOT_READABLE",I484="BLURRY"),-AB484,0),C484="G",IFS(I484="RED_CLEARER",XLOOKUP("duochrome_red_step",Calibration!$B:$B,Calibration!$C:$C,-0.25),I484="GREEN_CLEARER",XLOOKUP("duochrome_green_step",Calibration!$B:$B,Calibration!$C:$C,0.25),I484="EQUAL",IF(XLOOKUP($B484,Derived_Variables!$A:$A,Derived_Variables!$S:$S,"Neutral")="Undercorrect",XLOOKUP("undercorrect_step",Calibration!$B:$B,Calibration!$C:$C,0.25),IF(XLOOKUP($B484,Derived_Variables!$A:$A,Derived_Variables!$S:$S,"Neutral")="Overcorrect",-XLOOKUP("overcorrect_step",Calibration!$B:$B,Calibration!$C:$C,0.25),0)),TRUE,0),C484="K",IF(I484="TOP_CLEARER",XLOOKUP("bino_balance_step",Calibration!$B:$B,Calibration!$C:$C,0.25),0),TRUE,0))</f>
        <v/>
      </c>
      <c r="AN484" s="28" t="str">
        <f t="shared" si="10"/>
        <v/>
      </c>
      <c r="AO484" s="28" t="str">
        <f t="shared" si="11"/>
        <v/>
      </c>
      <c r="AP484" s="28" t="str">
        <f t="array" ref="AP484">IF($I484="","",IFS(C484="D",IF(OR(I484="NOT_READABLE",I484="BLURRY"),-AB484,0),C484="J",IFS(I484="RED_CLEARER",XLOOKUP("duochrome_red_step",Calibration!$B:$B,Calibration!$C:$C,-0.25),I484="GREEN_CLEARER",XLOOKUP("duochrome_green_step",Calibration!$B:$B,Calibration!$C:$C,0.25),I484="EQUAL",IF(XLOOKUP($B484,Derived_Variables!$A:$A,Derived_Variables!$S:$S,"Neutral")="Undercorrect",XLOOKUP("undercorrect_step",Calibration!$B:$B,Calibration!$C:$C,0.25),IF(XLOOKUP($B484,Derived_Variables!$A:$A,Derived_Variables!$S:$S,"Neutral")="Overcorrect",-XLOOKUP("overcorrect_step",Calibration!$B:$B,Calibration!$C:$C,0.25),0)),TRUE,0),C484="K",IF(I484="BOTTOM_CLEARER",XLOOKUP("bino_balance_step",Calibration!$B:$B,Calibration!$C:$C,0.25),0),TRUE,0))</f>
        <v/>
      </c>
      <c r="AQ484" s="28" t="str">
        <f t="shared" si="12"/>
        <v/>
      </c>
      <c r="AR484" s="28" t="str">
        <f t="shared" si="13"/>
        <v/>
      </c>
      <c r="AS484" s="28" t="str">
        <f t="array" ref="AS484">IF($I484="","",IF(C484="P",IF(OR(I484="NOT_READABLE",I484="BLURRY"),XLOOKUP("near_add_step",Calibration!$B:$B,Calibration!$C:$C,0.25),0),IF(C484="R",IF(I484="NOT_CLEAR",XLOOKUP("near_add_step",Calibration!$B:$B,Calibration!$C:$C,0.25),0),0)))</f>
        <v/>
      </c>
      <c r="AT484" s="28" t="str">
        <f t="array" ref="AT484">IF($I484="","",IF(C484="Q",IF(OR(I484="NOT_READABLE",I484="BLURRY"),XLOOKUP("near_add_step",Calibration!$B:$B,Calibration!$C:$C,0.25),0),IF(C484="R",IF(I484="NOT_CLEAR",XLOOKUP("near_add_step",Calibration!$B:$B,Calibration!$C:$C,0.25),0),0)))</f>
        <v/>
      </c>
      <c r="AU484" s="28" t="str">
        <f t="array" ref="AU484">IF($I484="","",IF(G484="SNELLEN_FEET",IF(I484="READABLE",IFERROR(XLOOKUP(XLOOKUP(R484,Chart_Scale_Distance!B:B,Chart_Scale_Distance!A:A)+1,Chart_Scale_Distance!A:A,Chart_Scale_Distance!B:B),R484),R484),R484))</f>
        <v/>
      </c>
      <c r="AV484" s="28" t="str">
        <f t="array" ref="AV484">IF($I483="","",IFERROR(XLOOKUP(R484,Chart_Scale_Distance!$B:$B,Chart_Scale_Distance!$A:$A,""),""))</f>
        <v/>
      </c>
      <c r="AW484" s="28" t="str">
        <f t="array" ref="AW484">IF($I483="","",IFERROR(XLOOKUP(AA484,Chart_Scale_Distance!$B:$B,Chart_Scale_Distance!$A:$A,""),""))</f>
        <v/>
      </c>
      <c r="AX484" s="28" t="str">
        <f t="shared" si="14"/>
        <v/>
      </c>
      <c r="AY484" s="28" t="str">
        <f t="shared" si="15"/>
        <v/>
      </c>
      <c r="AZ484" s="28" t="str">
        <f t="shared" si="16"/>
        <v/>
      </c>
      <c r="BA484" s="28" t="str">
        <f t="shared" si="17"/>
        <v/>
      </c>
      <c r="BB484" s="28" t="str">
        <f t="shared" si="18"/>
        <v/>
      </c>
      <c r="BC484" s="28" t="str">
        <f t="array" ref="BC484">IF($I484="","",LET(
conf,AI484,
powerSameN,IF(conf="Low",XLOOKUP("jcc_power_same_low",Calibration!$B:$B,Calibration!$C:$C,1),IF(conf="Medium",XLOOKUP("jcc_power_same_medium",Calibration!$B:$B,Calibration!$C:$C,2),XLOOKUP("jcc_power_same_high",Calibration!$B:$B,Calibration!$C:$C,2))),
duoEqualN,XLOOKUP("duochrome_equal_confirmations",Calibration!$B:$B,Calibration!$C:$C,2),
duoMax,XLOOKUP($B484,Derived_Variables!$A:$A,Derived_Variables!$AI:$AI,4),
axisTol,XLOOKUP($B484,Derived_Variables!$A:$A,Derived_Variables!$W:$W,1),
maxStart,XLOOKUP($B484,Derived_Variables!$A:$A,Derived_Variables!$U:$U,1.25),
maxAR,XLOOKUP($B484,Derived_Variables!$A:$A,Derived_Variables!$V:$V,3),
anom,XLOOKUP($B484,Derived_Variables!$A:$A,Derived_Variables!$Z:$Z,FALSE),
reStart,XLOOKUP($B484,Derived_Variables!$A:$A,Derived_Variables!$K:$K,0),
leStart,XLOOKUP($B484,Derived_Variables!$A:$A,Derived_Variables!$N:$N,0),
reAR,XLOOKUP($B484,AR_Input!$A:$A,AR_Input!$B:$B,reStart),
leAR,XLOOKUP($B484,AR_Input!$A:$A,AR_Input!$E:$E,leStart),
reEsc,AND(anom,OR(ABS((S484+AM484)-reStart)&gt;maxStart,ABS((S484+AM484)-reAR)&gt;maxAR)),
leEsc,AND(anom,OR(ABS((V484+AP484)-leStart)&gt;maxStart,ABS((V484+AP484)-leAR)&gt;maxAR)),
phaseMax,IFS(
 AK484="Fast",
   IFS(
     OR(C484="B",C484="D"),XLOOKUP("timeout_coarse_fast",Calibration!$B:$B,Calibration!$C:$C,24),
     OR(C484="E",C484="F",C484="H",C484="I"),XLOOKUP("timeout_jcc_fast",Calibration!$B:$B,Calibration!$C:$C,10),
     OR(C484="G",C484="J"),XLOOKUP("timeout_duochrome_fast",Calibration!$B:$B,Calibration!$C:$C,8),
     C484="K",XLOOKUP("timeout_bino_fast",Calibration!$B:$B,Calibration!$C:$C,10),
     OR(C484="P",C484="Q",C484="R"),XLOOKUP("timeout_near_fast",Calibration!$B:$B,Calibration!$C:$C,16),
     TRUE,XLOOKUP("timeout_coarse_fast",Calibration!$B:$B,Calibration!$C:$C,24)
   ),
 AK484="Normal",
   IFS(
     OR(C484="B",C484="D"),XLOOKUP("timeout_coarse_normal",Calibration!$B:$B,Calibration!$C:$C,36),
     OR(C484="E",C484="F",C484="H",C484="I"),XLOOKUP("timeout_jcc_normal",Calibration!$B:$B,Calibration!$C:$C,14),
     OR(C484="G",C484="J"),XLOOKUP("timeout_duochrome_normal",Calibration!$B:$B,Calibration!$C:$C,10),
     C484="K",XLOOKUP("timeout_bino_normal",Calibration!$B:$B,Calibration!$C:$C,14),
     OR(C484="P",C484="Q",C484="R"),XLOOKUP("timeout_near_normal",Calibration!$B:$B,Calibration!$C:$C,22),
     TRUE,XLOOKUP("timeout_coarse_normal",Calibration!$B:$B,Calibration!$C:$C,36)
   ),
 TRUE,
   IFS(
     OR(C484="B",C484="D"),XLOOKUP("timeout_coarse_slow",Calibration!$B:$B,Calibration!$C:$C,48),
     OR(C484="E",C484="F",C484="H",C484="I"),XLOOKUP("timeout_jcc_slow",Calibration!$B:$B,Calibration!$C:$C,18),
     OR(C484="G",C484="J"),XLOOKUP("timeout_duochrome_slow",Calibration!$B:$B,Calibration!$C:$C,12),
     C484="K",XLOOKUP("timeout_bino_slow",Calibration!$B:$B,Calibration!$C:$C,18),
     OR(C484="P",C484="Q",C484="R"),XLOOKUP("timeout_near_slow",Calibration!$B:$B,Calibration!$C:$C,28),
     TRUE,XLOOKUP("timeout_coarse_slow",Calibration!$B:$B,Calibration!$C:$C,48)
   )
),
binoSameN,XLOOKUP("bino_balance_same_required",Calibration!$B:$B,Calibration!$C:$C,1),
nearTarget,XLOOKUP("near_binoc_target_response",Calibration!$B:$B,Calibration!$C:$C,"TARGET_OK"),
IFS(
AJ484=TRUE,"ESCALATE",
C484="A",
IF(OR(I484="NOT_READABLE",I484="BLURRY",AND(R484="20_20_20",I484="READABLE")),"B","A"),
C484="B",
IF(reEsc,"ESCALATE",IF(AY484&gt;=phaseMax,"ESCALATE",IF(AND(AV484&gt;=AW484,I484="READABLE"),"E","B"))),
C484="E",
IF(AY484&gt;=phaseMax,"ESCALATE",IF(OR(I484="SAME",I484="CANT_TELL",AD484&lt;axisTol),"F","E")),
C484="F",
IF(AY484&gt;=phaseMax,"ESCALATE",IF(AX484&gt;=powerSameN,"G","F")),
C484="G",
IF(AY484&gt;=phaseMax,"ESCALATE",IF(OR(AX484&gt;=duoEqualN,BB484&gt;=duoMax),"D","G")),
C484="D",
IF(leEsc,"ESCALATE",IF(AY484&gt;=phaseMax,"ESCALATE",IF(AND(AV484&gt;=AW484,I484="READABLE"),"H","D"))),
C484="H",
IF(AY484&gt;=phaseMax,"ESCALATE",IF(OR(I484="SAME",I484="CANT_TELL",AD484&lt;axisTol),"I","H")),
C484="I",
IF(AY484&gt;=phaseMax,"ESCALATE",IF(AX484&gt;=powerSameN,"J","I")),
C484="J",
IF(AY484&gt;=phaseMax,"ESCALATE",IF(OR(AX484&gt;=duoEqualN,BB484&gt;=duoMax),"K","J")),
C484="K",
IF(AY484&gt;=phaseMax,"ESCALATE",IF(AX484&gt;=binoSameN,IF(XLOOKUP($B484,Derived_Variables!$A:$A,Derived_Variables!$AJ:$AJ,FALSE)=TRUE,"P","END"),"K")),
C484="P",
IF(AY484&gt;=phaseMax,"ESCALATE",IF(OR(I484="READABLE",I484="SAME"),"Q","P")),
C484="Q",
IF(AY484&gt;=phaseMax,"ESCALATE",IF(OR(I484="READABLE",I484="SAME"),"R","Q")),
C484="R",
IF(AY484&gt;=phaseMax,"ESCALATE",IF(OR(I484=nearTarget,I484="SAME"),"END","R")),
TRUE,"END"
)))</f>
        <v/>
      </c>
      <c r="BD484" s="28" t="b">
        <f t="shared" si="19"/>
        <v>0</v>
      </c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 t="str">
        <f t="array" ref="BC485">IF($I485="","",LET(
conf,AI485,
sameN,IF(conf="Low",1,IF(conf="Medium",2,3)),
duoMax,XLOOKUP($B485,Derived_Variables!$A:$A,Derived_Variables!$AI:$AI,4),
axisTol,XLOOKUP($B485,Derived_Variables!$A:$A,Derived_Variables!$W:$W,1),
IFS(
C485="A",
IF(
 OR(
   I485="NOT_READABLE",
   I485="BLURRY",
   AND(R485="20_20_20",I485="READABLE")
 ),
 "B",
 "A"
),
C485="B",
IF(AND(AV485&gt;=AW485,I485="READABLE"),"E","B"),
C485="E",
IF(OR(I485="SAME",AD485&lt;=axisTol),"F","E"),
C485="F",
IF(AX485&gt;=sameN,"G","F"),
C485="G",
IF(OR(I485="EQUAL",BB485=1,BA485&gt;=duoMax),"D","G"),
C485="D",
IF(AND(AV485&gt;=AW485,I485="READABLE"),"H","D"),
C485="H",
IF(OR(I485="SAME",AD485&lt;=axisTol),"I","H"),
C485="I",
IF(AX485&gt;=sameN,"J","I"),
C485="J",
IF(OR(I485="EQUAL",BB485=1,BA485&gt;=duoMax),"K","J"),
C485="K",
IF(
 I485="SAME",
 IF(
   XLOOKUP($B485,Derived_Variables!$A:$A,Derived_Variables!$Q:$Q,"None")="None",
   "END",
   "P"
 ),
 "K"
),
C485="P",
IF(OR(I485="READABLE",I485="SAME"),"Q","P"),
C485="Q",
IF(OR(I485="READABLE",I485="SAME"),"R","Q"),
C485="R",
IF(OR(I485="TARGET_OK",I485="SAME"),"END","R"),
TRUE,"END"
)))</f>
        <v/>
      </c>
      <c r="BD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 t="str">
        <f t="array" ref="BC486">IF($I486="","",LET(
conf,AI486,
sameN,IF(conf="Low",1,IF(conf="Medium",2,3)),
duoMax,XLOOKUP($B486,Derived_Variables!$A:$A,Derived_Variables!$AI:$AI,4),
axisTol,XLOOKUP($B486,Derived_Variables!$A:$A,Derived_Variables!$W:$W,1),
IFS(
C486="A",
IF(
 OR(
   I486="NOT_READABLE",
   I486="BLURRY",
   AND(R486="20_20_20",I486="READABLE")
 ),
 "B",
 "A"
),
C486="B",
IF(AND(AV486&gt;=AW486,I486="READABLE"),"E","B"),
C486="E",
IF(OR(I486="SAME",AD486&lt;=axisTol),"F","E"),
C486="F",
IF(AX486&gt;=sameN,"G","F"),
C486="G",
IF(OR(I486="EQUAL",BB486=1,BA486&gt;=duoMax),"D","G"),
C486="D",
IF(AND(AV486&gt;=AW486,I486="READABLE"),"H","D"),
C486="H",
IF(OR(I486="SAME",AD486&lt;=axisTol),"I","H"),
C486="I",
IF(AX486&gt;=sameN,"J","I"),
C486="J",
IF(OR(I486="EQUAL",BB486=1,BA486&gt;=duoMax),"K","J"),
C486="K",
IF(
 I486="SAME",
 IF(
   XLOOKUP($B486,Derived_Variables!$A:$A,Derived_Variables!$Q:$Q,"None")="None",
   "END",
   "P"
 ),
 "K"
),
C486="P",
IF(OR(I486="READABLE",I486="SAME"),"Q","P"),
C486="Q",
IF(OR(I486="READABLE",I486="SAME"),"R","Q"),
C486="R",
IF(OR(I486="TARGET_OK",I486="SAME"),"END","R"),
TRUE,"END"
)))</f>
        <v/>
      </c>
      <c r="BD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 t="str">
        <f t="array" ref="BC487">IF($I487="","",LET(
conf,AI487,
sameN,IF(conf="Low",1,IF(conf="Medium",2,3)),
duoMax,XLOOKUP($B487,Derived_Variables!$A:$A,Derived_Variables!$AI:$AI,4),
axisTol,XLOOKUP($B487,Derived_Variables!$A:$A,Derived_Variables!$W:$W,1),
IFS(
C487="A",
IF(
 OR(
   I487="NOT_READABLE",
   I487="BLURRY",
   AND(R487="20_20_20",I487="READABLE")
 ),
 "B",
 "A"
),
C487="B",
IF(AND(AV487&gt;=AW487,I487="READABLE"),"E","B"),
C487="E",
IF(OR(I487="SAME",AD487&lt;=axisTol),"F","E"),
C487="F",
IF(AX487&gt;=sameN,"G","F"),
C487="G",
IF(OR(I487="EQUAL",BB487=1,BA487&gt;=duoMax),"D","G"),
C487="D",
IF(AND(AV487&gt;=AW487,I487="READABLE"),"H","D"),
C487="H",
IF(OR(I487="SAME",AD487&lt;=axisTol),"I","H"),
C487="I",
IF(AX487&gt;=sameN,"J","I"),
C487="J",
IF(OR(I487="EQUAL",BB487=1,BA487&gt;=duoMax),"K","J"),
C487="K",
IF(
 I487="SAME",
 IF(
   XLOOKUP($B487,Derived_Variables!$A:$A,Derived_Variables!$Q:$Q,"None")="None",
   "END",
   "P"
 ),
 "K"
),
C487="P",
IF(OR(I487="READABLE",I487="SAME"),"Q","P"),
C487="Q",
IF(OR(I487="READABLE",I487="SAME"),"R","Q"),
C487="R",
IF(OR(I487="TARGET_OK",I487="SAME"),"END","R"),
TRUE,"END"
)))</f>
        <v/>
      </c>
      <c r="BD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 t="str">
        <f t="array" ref="BC488">IF($I488="","",LET(
conf,AI488,
sameN,IF(conf="Low",1,IF(conf="Medium",2,3)),
duoMax,XLOOKUP($B488,Derived_Variables!$A:$A,Derived_Variables!$AI:$AI,4),
axisTol,XLOOKUP($B488,Derived_Variables!$A:$A,Derived_Variables!$W:$W,1),
IFS(
C488="A",
IF(
 OR(
   I488="NOT_READABLE",
   I488="BLURRY",
   AND(R488="20_20_20",I488="READABLE")
 ),
 "B",
 "A"
),
C488="B",
IF(AND(AV488&gt;=AW488,I488="READABLE"),"E","B"),
C488="E",
IF(OR(I488="SAME",AD488&lt;=axisTol),"F","E"),
C488="F",
IF(AX488&gt;=sameN,"G","F"),
C488="G",
IF(OR(I488="EQUAL",BB488=1,BA488&gt;=duoMax),"D","G"),
C488="D",
IF(AND(AV488&gt;=AW488,I488="READABLE"),"H","D"),
C488="H",
IF(OR(I488="SAME",AD488&lt;=axisTol),"I","H"),
C488="I",
IF(AX488&gt;=sameN,"J","I"),
C488="J",
IF(OR(I488="EQUAL",BB488=1,BA488&gt;=duoMax),"K","J"),
C488="K",
IF(
 I488="SAME",
 IF(
   XLOOKUP($B488,Derived_Variables!$A:$A,Derived_Variables!$Q:$Q,"None")="None",
   "END",
   "P"
 ),
 "K"
),
C488="P",
IF(OR(I488="READABLE",I488="SAME"),"Q","P"),
C488="Q",
IF(OR(I488="READABLE",I488="SAME"),"R","Q"),
C488="R",
IF(OR(I488="TARGET_OK",I488="SAME"),"END","R"),
TRUE,"END"
)))</f>
        <v/>
      </c>
      <c r="BD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 t="str">
        <f t="array" ref="BC489">IF($I489="","",LET(
conf,AI489,
sameN,IF(conf="Low",1,IF(conf="Medium",2,3)),
duoMax,XLOOKUP($B489,Derived_Variables!$A:$A,Derived_Variables!$AI:$AI,4),
axisTol,XLOOKUP($B489,Derived_Variables!$A:$A,Derived_Variables!$W:$W,1),
IFS(
C489="A",
IF(
 OR(
   I489="NOT_READABLE",
   I489="BLURRY",
   AND(R489="20_20_20",I489="READABLE")
 ),
 "B",
 "A"
),
C489="B",
IF(AND(AV489&gt;=AW489,I489="READABLE"),"E","B"),
C489="E",
IF(OR(I489="SAME",AD489&lt;=axisTol),"F","E"),
C489="F",
IF(AX489&gt;=sameN,"G","F"),
C489="G",
IF(OR(I489="EQUAL",BB489=1,BA489&gt;=duoMax),"D","G"),
C489="D",
IF(AND(AV489&gt;=AW489,I489="READABLE"),"H","D"),
C489="H",
IF(OR(I489="SAME",AD489&lt;=axisTol),"I","H"),
C489="I",
IF(AX489&gt;=sameN,"J","I"),
C489="J",
IF(OR(I489="EQUAL",BB489=1,BA489&gt;=duoMax),"K","J"),
C489="K",
IF(
 I489="SAME",
 IF(
   XLOOKUP($B489,Derived_Variables!$A:$A,Derived_Variables!$Q:$Q,"None")="None",
   "END",
   "P"
 ),
 "K"
),
C489="P",
IF(OR(I489="READABLE",I489="SAME"),"Q","P"),
C489="Q",
IF(OR(I489="READABLE",I489="SAME"),"R","Q"),
C489="R",
IF(OR(I489="TARGET_OK",I489="SAME"),"END","R"),
TRUE,"END"
)))</f>
        <v/>
      </c>
      <c r="BD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 t="str">
        <f t="array" ref="BC490">IF($I490="","",LET(
conf,AI490,
sameN,IF(conf="Low",1,IF(conf="Medium",2,3)),
duoMax,XLOOKUP($B490,Derived_Variables!$A:$A,Derived_Variables!$AI:$AI,4),
axisTol,XLOOKUP($B490,Derived_Variables!$A:$A,Derived_Variables!$W:$W,1),
IFS(
C490="A",
IF(
 OR(
   I490="NOT_READABLE",
   I490="BLURRY",
   AND(R490="20_20_20",I490="READABLE")
 ),
 "B",
 "A"
),
C490="B",
IF(AND(AV490&gt;=AW490,I490="READABLE"),"E","B"),
C490="E",
IF(OR(I490="SAME",AD490&lt;=axisTol),"F","E"),
C490="F",
IF(AX490&gt;=sameN,"G","F"),
C490="G",
IF(OR(I490="EQUAL",BB490=1,BA490&gt;=duoMax),"D","G"),
C490="D",
IF(AND(AV490&gt;=AW490,I490="READABLE"),"H","D"),
C490="H",
IF(OR(I490="SAME",AD490&lt;=axisTol),"I","H"),
C490="I",
IF(AX490&gt;=sameN,"J","I"),
C490="J",
IF(OR(I490="EQUAL",BB490=1,BA490&gt;=duoMax),"K","J"),
C490="K",
IF(
 I490="SAME",
 IF(
   XLOOKUP($B490,Derived_Variables!$A:$A,Derived_Variables!$Q:$Q,"None")="None",
   "END",
   "P"
 ),
 "K"
),
C490="P",
IF(OR(I490="READABLE",I490="SAME"),"Q","P"),
C490="Q",
IF(OR(I490="READABLE",I490="SAME"),"R","Q"),
C490="R",
IF(OR(I490="TARGET_OK",I490="SAME"),"END","R"),
TRUE,"END"
)))</f>
        <v/>
      </c>
      <c r="BD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 t="str">
        <f t="array" ref="BC491">IF($I491="","",LET(
conf,AI491,
sameN,IF(conf="Low",1,IF(conf="Medium",2,3)),
duoMax,XLOOKUP($B491,Derived_Variables!$A:$A,Derived_Variables!$AI:$AI,4),
axisTol,XLOOKUP($B491,Derived_Variables!$A:$A,Derived_Variables!$W:$W,1),
IFS(
C491="A",
IF(
 OR(
   I491="NOT_READABLE",
   I491="BLURRY",
   AND(R491="20_20_20",I491="READABLE")
 ),
 "B",
 "A"
),
C491="B",
IF(AND(AV491&gt;=AW491,I491="READABLE"),"E","B"),
C491="E",
IF(OR(I491="SAME",AD491&lt;=axisTol),"F","E"),
C491="F",
IF(AX491&gt;=sameN,"G","F"),
C491="G",
IF(OR(I491="EQUAL",BB491=1,BA491&gt;=duoMax),"D","G"),
C491="D",
IF(AND(AV491&gt;=AW491,I491="READABLE"),"H","D"),
C491="H",
IF(OR(I491="SAME",AD491&lt;=axisTol),"I","H"),
C491="I",
IF(AX491&gt;=sameN,"J","I"),
C491="J",
IF(OR(I491="EQUAL",BB491=1,BA491&gt;=duoMax),"K","J"),
C491="K",
IF(
 I491="SAME",
 IF(
   XLOOKUP($B491,Derived_Variables!$A:$A,Derived_Variables!$Q:$Q,"None")="None",
   "END",
   "P"
 ),
 "K"
),
C491="P",
IF(OR(I491="READABLE",I491="SAME"),"Q","P"),
C491="Q",
IF(OR(I491="READABLE",I491="SAME"),"R","Q"),
C491="R",
IF(OR(I491="TARGET_OK",I491="SAME"),"END","R"),
TRUE,"END"
)))</f>
        <v/>
      </c>
      <c r="BD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 t="str">
        <f t="array" ref="BC492">IF($I492="","",LET(
conf,AI492,
sameN,IF(conf="Low",1,IF(conf="Medium",2,3)),
duoMax,XLOOKUP($B492,Derived_Variables!$A:$A,Derived_Variables!$AI:$AI,4),
axisTol,XLOOKUP($B492,Derived_Variables!$A:$A,Derived_Variables!$W:$W,1),
IFS(
C492="A",
IF(
 OR(
   I492="NOT_READABLE",
   I492="BLURRY",
   AND(R492="20_20_20",I492="READABLE")
 ),
 "B",
 "A"
),
C492="B",
IF(AND(AV492&gt;=AW492,I492="READABLE"),"E","B"),
C492="E",
IF(OR(I492="SAME",AD492&lt;=axisTol),"F","E"),
C492="F",
IF(AX492&gt;=sameN,"G","F"),
C492="G",
IF(OR(I492="EQUAL",BB492=1,BA492&gt;=duoMax),"D","G"),
C492="D",
IF(AND(AV492&gt;=AW492,I492="READABLE"),"H","D"),
C492="H",
IF(OR(I492="SAME",AD492&lt;=axisTol),"I","H"),
C492="I",
IF(AX492&gt;=sameN,"J","I"),
C492="J",
IF(OR(I492="EQUAL",BB492=1,BA492&gt;=duoMax),"K","J"),
C492="K",
IF(
 I492="SAME",
 IF(
   XLOOKUP($B492,Derived_Variables!$A:$A,Derived_Variables!$Q:$Q,"None")="None",
   "END",
   "P"
 ),
 "K"
),
C492="P",
IF(OR(I492="READABLE",I492="SAME"),"Q","P"),
C492="Q",
IF(OR(I492="READABLE",I492="SAME"),"R","Q"),
C492="R",
IF(OR(I492="TARGET_OK",I492="SAME"),"END","R"),
TRUE,"END"
)))</f>
        <v/>
      </c>
      <c r="BD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 t="str">
        <f t="array" ref="BC493">IF($I493="","",LET(
conf,AI493,
sameN,IF(conf="Low",1,IF(conf="Medium",2,3)),
duoMax,XLOOKUP($B493,Derived_Variables!$A:$A,Derived_Variables!$AI:$AI,4),
axisTol,XLOOKUP($B493,Derived_Variables!$A:$A,Derived_Variables!$W:$W,1),
IFS(
C493="A",
IF(
 OR(
   I493="NOT_READABLE",
   I493="BLURRY",
   AND(R493="20_20_20",I493="READABLE")
 ),
 "B",
 "A"
),
C493="B",
IF(AND(AV493&gt;=AW493,I493="READABLE"),"E","B"),
C493="E",
IF(OR(I493="SAME",AD493&lt;=axisTol),"F","E"),
C493="F",
IF(AX493&gt;=sameN,"G","F"),
C493="G",
IF(OR(I493="EQUAL",BB493=1,BA493&gt;=duoMax),"D","G"),
C493="D",
IF(AND(AV493&gt;=AW493,I493="READABLE"),"H","D"),
C493="H",
IF(OR(I493="SAME",AD493&lt;=axisTol),"I","H"),
C493="I",
IF(AX493&gt;=sameN,"J","I"),
C493="J",
IF(OR(I493="EQUAL",BB493=1,BA493&gt;=duoMax),"K","J"),
C493="K",
IF(
 I493="SAME",
 IF(
   XLOOKUP($B493,Derived_Variables!$A:$A,Derived_Variables!$Q:$Q,"None")="None",
   "END",
   "P"
 ),
 "K"
),
C493="P",
IF(OR(I493="READABLE",I493="SAME"),"Q","P"),
C493="Q",
IF(OR(I493="READABLE",I493="SAME"),"R","Q"),
C493="R",
IF(OR(I493="TARGET_OK",I493="SAME"),"END","R"),
TRUE,"END"
)))</f>
        <v/>
      </c>
      <c r="BD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 t="str">
        <f t="array" ref="BC494">IF($I494="","",LET(
conf,AI494,
sameN,IF(conf="Low",1,IF(conf="Medium",2,3)),
duoMax,XLOOKUP($B494,Derived_Variables!$A:$A,Derived_Variables!$AI:$AI,4),
axisTol,XLOOKUP($B494,Derived_Variables!$A:$A,Derived_Variables!$W:$W,1),
IFS(
C494="A",
IF(
 OR(
   I494="NOT_READABLE",
   I494="BLURRY",
   AND(R494="20_20_20",I494="READABLE")
 ),
 "B",
 "A"
),
C494="B",
IF(AND(AV494&gt;=AW494,I494="READABLE"),"E","B"),
C494="E",
IF(OR(I494="SAME",AD494&lt;=axisTol),"F","E"),
C494="F",
IF(AX494&gt;=sameN,"G","F"),
C494="G",
IF(OR(I494="EQUAL",BB494=1,BA494&gt;=duoMax),"D","G"),
C494="D",
IF(AND(AV494&gt;=AW494,I494="READABLE"),"H","D"),
C494="H",
IF(OR(I494="SAME",AD494&lt;=axisTol),"I","H"),
C494="I",
IF(AX494&gt;=sameN,"J","I"),
C494="J",
IF(OR(I494="EQUAL",BB494=1,BA494&gt;=duoMax),"K","J"),
C494="K",
IF(
 I494="SAME",
 IF(
   XLOOKUP($B494,Derived_Variables!$A:$A,Derived_Variables!$Q:$Q,"None")="None",
   "END",
   "P"
 ),
 "K"
),
C494="P",
IF(OR(I494="READABLE",I494="SAME"),"Q","P"),
C494="Q",
IF(OR(I494="READABLE",I494="SAME"),"R","Q"),
C494="R",
IF(OR(I494="TARGET_OK",I494="SAME"),"END","R"),
TRUE,"END"
)))</f>
        <v/>
      </c>
      <c r="BD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 t="str">
        <f t="array" ref="BC495">IF($I495="","",LET(
conf,AI495,
sameN,IF(conf="Low",1,IF(conf="Medium",2,3)),
duoMax,XLOOKUP($B495,Derived_Variables!$A:$A,Derived_Variables!$AI:$AI,4),
axisTol,XLOOKUP($B495,Derived_Variables!$A:$A,Derived_Variables!$W:$W,1),
IFS(
C495="A",
IF(
 OR(
   I495="NOT_READABLE",
   I495="BLURRY",
   AND(R495="20_20_20",I495="READABLE")
 ),
 "B",
 "A"
),
C495="B",
IF(AND(AV495&gt;=AW495,I495="READABLE"),"E","B"),
C495="E",
IF(OR(I495="SAME",AD495&lt;=axisTol),"F","E"),
C495="F",
IF(AX495&gt;=sameN,"G","F"),
C495="G",
IF(OR(I495="EQUAL",BB495=1,BA495&gt;=duoMax),"D","G"),
C495="D",
IF(AND(AV495&gt;=AW495,I495="READABLE"),"H","D"),
C495="H",
IF(OR(I495="SAME",AD495&lt;=axisTol),"I","H"),
C495="I",
IF(AX495&gt;=sameN,"J","I"),
C495="J",
IF(OR(I495="EQUAL",BB495=1,BA495&gt;=duoMax),"K","J"),
C495="K",
IF(
 I495="SAME",
 IF(
   XLOOKUP($B495,Derived_Variables!$A:$A,Derived_Variables!$Q:$Q,"None")="None",
   "END",
   "P"
 ),
 "K"
),
C495="P",
IF(OR(I495="READABLE",I495="SAME"),"Q","P"),
C495="Q",
IF(OR(I495="READABLE",I495="SAME"),"R","Q"),
C495="R",
IF(OR(I495="TARGET_OK",I495="SAME"),"END","R"),
TRUE,"END"
)))</f>
        <v/>
      </c>
      <c r="BD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 t="str">
        <f t="array" ref="BC496">IF($I496="","",LET(
conf,AI496,
sameN,IF(conf="Low",1,IF(conf="Medium",2,3)),
duoMax,XLOOKUP($B496,Derived_Variables!$A:$A,Derived_Variables!$AI:$AI,4),
axisTol,XLOOKUP($B496,Derived_Variables!$A:$A,Derived_Variables!$W:$W,1),
IFS(
C496="A",
IF(
 OR(
   I496="NOT_READABLE",
   I496="BLURRY",
   AND(R496="20_20_20",I496="READABLE")
 ),
 "B",
 "A"
),
C496="B",
IF(AND(AV496&gt;=AW496,I496="READABLE"),"E","B"),
C496="E",
IF(OR(I496="SAME",AD496&lt;=axisTol),"F","E"),
C496="F",
IF(AX496&gt;=sameN,"G","F"),
C496="G",
IF(OR(I496="EQUAL",BB496=1,BA496&gt;=duoMax),"D","G"),
C496="D",
IF(AND(AV496&gt;=AW496,I496="READABLE"),"H","D"),
C496="H",
IF(OR(I496="SAME",AD496&lt;=axisTol),"I","H"),
C496="I",
IF(AX496&gt;=sameN,"J","I"),
C496="J",
IF(OR(I496="EQUAL",BB496=1,BA496&gt;=duoMax),"K","J"),
C496="K",
IF(
 I496="SAME",
 IF(
   XLOOKUP($B496,Derived_Variables!$A:$A,Derived_Variables!$Q:$Q,"None")="None",
   "END",
   "P"
 ),
 "K"
),
C496="P",
IF(OR(I496="READABLE",I496="SAME"),"Q","P"),
C496="Q",
IF(OR(I496="READABLE",I496="SAME"),"R","Q"),
C496="R",
IF(OR(I496="TARGET_OK",I496="SAME"),"END","R"),
TRUE,"END"
)))</f>
        <v/>
      </c>
      <c r="BD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 t="str">
        <f t="array" ref="BC497">IF($I497="","",LET(
conf,AI497,
sameN,IF(conf="Low",1,IF(conf="Medium",2,3)),
duoMax,XLOOKUP($B497,Derived_Variables!$A:$A,Derived_Variables!$AI:$AI,4),
axisTol,XLOOKUP($B497,Derived_Variables!$A:$A,Derived_Variables!$W:$W,1),
IFS(
C497="A",
IF(
 OR(
   I497="NOT_READABLE",
   I497="BLURRY",
   AND(R497="20_20_20",I497="READABLE")
 ),
 "B",
 "A"
),
C497="B",
IF(AND(AV497&gt;=AW497,I497="READABLE"),"E","B"),
C497="E",
IF(OR(I497="SAME",AD497&lt;=axisTol),"F","E"),
C497="F",
IF(AX497&gt;=sameN,"G","F"),
C497="G",
IF(OR(I497="EQUAL",BB497=1,BA497&gt;=duoMax),"D","G"),
C497="D",
IF(AND(AV497&gt;=AW497,I497="READABLE"),"H","D"),
C497="H",
IF(OR(I497="SAME",AD497&lt;=axisTol),"I","H"),
C497="I",
IF(AX497&gt;=sameN,"J","I"),
C497="J",
IF(OR(I497="EQUAL",BB497=1,BA497&gt;=duoMax),"K","J"),
C497="K",
IF(
 I497="SAME",
 IF(
   XLOOKUP($B497,Derived_Variables!$A:$A,Derived_Variables!$Q:$Q,"None")="None",
   "END",
   "P"
 ),
 "K"
),
C497="P",
IF(OR(I497="READABLE",I497="SAME"),"Q","P"),
C497="Q",
IF(OR(I497="READABLE",I497="SAME"),"R","Q"),
C497="R",
IF(OR(I497="TARGET_OK",I497="SAME"),"END","R"),
TRUE,"END"
)))</f>
        <v/>
      </c>
      <c r="BD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 t="str">
        <f t="array" ref="BC498">IF($I498="","",LET(
conf,AI498,
sameN,IF(conf="Low",1,IF(conf="Medium",2,3)),
duoMax,XLOOKUP($B498,Derived_Variables!$A:$A,Derived_Variables!$AI:$AI,4),
axisTol,XLOOKUP($B498,Derived_Variables!$A:$A,Derived_Variables!$W:$W,1),
IFS(
C498="A",
IF(
 OR(
   I498="NOT_READABLE",
   I498="BLURRY",
   AND(R498="20_20_20",I498="READABLE")
 ),
 "B",
 "A"
),
C498="B",
IF(AND(AV498&gt;=AW498,I498="READABLE"),"E","B"),
C498="E",
IF(OR(I498="SAME",AD498&lt;=axisTol),"F","E"),
C498="F",
IF(AX498&gt;=sameN,"G","F"),
C498="G",
IF(OR(I498="EQUAL",BB498=1,BA498&gt;=duoMax),"D","G"),
C498="D",
IF(AND(AV498&gt;=AW498,I498="READABLE"),"H","D"),
C498="H",
IF(OR(I498="SAME",AD498&lt;=axisTol),"I","H"),
C498="I",
IF(AX498&gt;=sameN,"J","I"),
C498="J",
IF(OR(I498="EQUAL",BB498=1,BA498&gt;=duoMax),"K","J"),
C498="K",
IF(
 I498="SAME",
 IF(
   XLOOKUP($B498,Derived_Variables!$A:$A,Derived_Variables!$Q:$Q,"None")="None",
   "END",
   "P"
 ),
 "K"
),
C498="P",
IF(OR(I498="READABLE",I498="SAME"),"Q","P"),
C498="Q",
IF(OR(I498="READABLE",I498="SAME"),"R","Q"),
C498="R",
IF(OR(I498="TARGET_OK",I498="SAME"),"END","R"),
TRUE,"END"
)))</f>
        <v/>
      </c>
      <c r="BD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 t="str">
        <f t="array" ref="BC499">IF($I499="","",LET(
conf,AI499,
sameN,IF(conf="Low",1,IF(conf="Medium",2,3)),
duoMax,XLOOKUP($B499,Derived_Variables!$A:$A,Derived_Variables!$AI:$AI,4),
axisTol,XLOOKUP($B499,Derived_Variables!$A:$A,Derived_Variables!$W:$W,1),
IFS(
C499="A",
IF(
 OR(
   I499="NOT_READABLE",
   I499="BLURRY",
   AND(R499="20_20_20",I499="READABLE")
 ),
 "B",
 "A"
),
C499="B",
IF(AND(AV499&gt;=AW499,I499="READABLE"),"E","B"),
C499="E",
IF(OR(I499="SAME",AD499&lt;=axisTol),"F","E"),
C499="F",
IF(AX499&gt;=sameN,"G","F"),
C499="G",
IF(OR(I499="EQUAL",BB499=1,BA499&gt;=duoMax),"D","G"),
C499="D",
IF(AND(AV499&gt;=AW499,I499="READABLE"),"H","D"),
C499="H",
IF(OR(I499="SAME",AD499&lt;=axisTol),"I","H"),
C499="I",
IF(AX499&gt;=sameN,"J","I"),
C499="J",
IF(OR(I499="EQUAL",BB499=1,BA499&gt;=duoMax),"K","J"),
C499="K",
IF(
 I499="SAME",
 IF(
   XLOOKUP($B499,Derived_Variables!$A:$A,Derived_Variables!$Q:$Q,"None")="None",
   "END",
   "P"
 ),
 "K"
),
C499="P",
IF(OR(I499="READABLE",I499="SAME"),"Q","P"),
C499="Q",
IF(OR(I499="READABLE",I499="SAME"),"R","Q"),
C499="R",
IF(OR(I499="TARGET_OK",I499="SAME"),"END","R"),
TRUE,"END"
)))</f>
        <v/>
      </c>
      <c r="BD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 t="str">
        <f t="array" ref="BC500">IF($I500="","",LET(
conf,AI500,
sameN,IF(conf="Low",1,IF(conf="Medium",2,3)),
duoMax,XLOOKUP($B500,Derived_Variables!$A:$A,Derived_Variables!$AI:$AI,4),
axisTol,XLOOKUP($B500,Derived_Variables!$A:$A,Derived_Variables!$W:$W,1),
IFS(
C500="A",
IF(
 OR(
   I500="NOT_READABLE",
   I500="BLURRY",
   AND(R500="20_20_20",I500="READABLE")
 ),
 "B",
 "A"
),
C500="B",
IF(AND(AV500&gt;=AW500,I500="READABLE"),"E","B"),
C500="E",
IF(OR(I500="SAME",AD500&lt;=axisTol),"F","E"),
C500="F",
IF(AX500&gt;=sameN,"G","F"),
C500="G",
IF(OR(I500="EQUAL",BB500=1,BA500&gt;=duoMax),"D","G"),
C500="D",
IF(AND(AV500&gt;=AW500,I500="READABLE"),"H","D"),
C500="H",
IF(OR(I500="SAME",AD500&lt;=axisTol),"I","H"),
C500="I",
IF(AX500&gt;=sameN,"J","I"),
C500="J",
IF(OR(I500="EQUAL",BB500=1,BA500&gt;=duoMax),"K","J"),
C500="K",
IF(
 I500="SAME",
 IF(
   XLOOKUP($B500,Derived_Variables!$A:$A,Derived_Variables!$Q:$Q,"None")="None",
   "END",
   "P"
 ),
 "K"
),
C500="P",
IF(OR(I500="READABLE",I500="SAME"),"Q","P"),
C500="Q",
IF(OR(I500="READABLE",I500="SAME"),"R","Q"),
C500="R",
IF(OR(I500="TARGET_OK",I500="SAME"),"END","R"),
TRUE,"END"
)))</f>
        <v/>
      </c>
      <c r="BD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 t="str">
        <f t="array" ref="BC501">IF($I501="","",LET(
conf,AI501,
sameN,IF(conf="Low",1,IF(conf="Medium",2,3)),
duoMax,XLOOKUP($B501,Derived_Variables!$A:$A,Derived_Variables!$AI:$AI,4),
axisTol,XLOOKUP($B501,Derived_Variables!$A:$A,Derived_Variables!$W:$W,1),
IFS(
C501="A",
IF(
 OR(
   I501="NOT_READABLE",
   I501="BLURRY",
   AND(R501="20_20_20",I501="READABLE")
 ),
 "B",
 "A"
),
C501="B",
IF(AND(AV501&gt;=AW501,I501="READABLE"),"E","B"),
C501="E",
IF(OR(I501="SAME",AD501&lt;=axisTol),"F","E"),
C501="F",
IF(AX501&gt;=sameN,"G","F"),
C501="G",
IF(OR(I501="EQUAL",BB501=1,BA501&gt;=duoMax),"D","G"),
C501="D",
IF(AND(AV501&gt;=AW501,I501="READABLE"),"H","D"),
C501="H",
IF(OR(I501="SAME",AD501&lt;=axisTol),"I","H"),
C501="I",
IF(AX501&gt;=sameN,"J","I"),
C501="J",
IF(OR(I501="EQUAL",BB501=1,BA501&gt;=duoMax),"K","J"),
C501="K",
IF(
 I501="SAME",
 IF(
   XLOOKUP($B501,Derived_Variables!$A:$A,Derived_Variables!$Q:$Q,"None")="None",
   "END",
   "P"
 ),
 "K"
),
C501="P",
IF(OR(I501="READABLE",I501="SAME"),"Q","P"),
C501="Q",
IF(OR(I501="READABLE",I501="SAME"),"R","Q"),
C501="R",
IF(OR(I501="TARGET_OK",I501="SAME"),"END","R"),
TRUE,"END"
)))</f>
        <v/>
      </c>
      <c r="BD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 t="str">
        <f t="array" ref="BC502">IF($I502="","",LET(
conf,AI502,
sameN,IF(conf="Low",1,IF(conf="Medium",2,3)),
duoMax,XLOOKUP($B502,Derived_Variables!$A:$A,Derived_Variables!$AI:$AI,4),
axisTol,XLOOKUP($B502,Derived_Variables!$A:$A,Derived_Variables!$W:$W,1),
IFS(
C502="A",
IF(
 OR(
   I502="NOT_READABLE",
   I502="BLURRY",
   AND(R502="20_20_20",I502="READABLE")
 ),
 "B",
 "A"
),
C502="B",
IF(AND(AV502&gt;=AW502,I502="READABLE"),"E","B"),
C502="E",
IF(OR(I502="SAME",AD502&lt;=axisTol),"F","E"),
C502="F",
IF(AX502&gt;=sameN,"G","F"),
C502="G",
IF(OR(I502="EQUAL",BB502=1,BA502&gt;=duoMax),"D","G"),
C502="D",
IF(AND(AV502&gt;=AW502,I502="READABLE"),"H","D"),
C502="H",
IF(OR(I502="SAME",AD502&lt;=axisTol),"I","H"),
C502="I",
IF(AX502&gt;=sameN,"J","I"),
C502="J",
IF(OR(I502="EQUAL",BB502=1,BA502&gt;=duoMax),"K","J"),
C502="K",
IF(
 I502="SAME",
 IF(
   XLOOKUP($B502,Derived_Variables!$A:$A,Derived_Variables!$Q:$Q,"None")="None",
   "END",
   "P"
 ),
 "K"
),
C502="P",
IF(OR(I502="READABLE",I502="SAME"),"Q","P"),
C502="Q",
IF(OR(I502="READABLE",I502="SAME"),"R","Q"),
C502="R",
IF(OR(I502="TARGET_OK",I502="SAME"),"END","R"),
TRUE,"END"
)))</f>
        <v/>
      </c>
      <c r="BD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 t="str">
        <f t="array" ref="BC503">IF($I503="","",LET(
conf,AI503,
sameN,IF(conf="Low",1,IF(conf="Medium",2,3)),
duoMax,XLOOKUP($B503,Derived_Variables!$A:$A,Derived_Variables!$AI:$AI,4),
axisTol,XLOOKUP($B503,Derived_Variables!$A:$A,Derived_Variables!$W:$W,1),
IFS(
C503="A",
IF(
 OR(
   I503="NOT_READABLE",
   I503="BLURRY",
   AND(R503="20_20_20",I503="READABLE")
 ),
 "B",
 "A"
),
C503="B",
IF(AND(AV503&gt;=AW503,I503="READABLE"),"E","B"),
C503="E",
IF(OR(I503="SAME",AD503&lt;=axisTol),"F","E"),
C503="F",
IF(AX503&gt;=sameN,"G","F"),
C503="G",
IF(OR(I503="EQUAL",BB503=1,BA503&gt;=duoMax),"D","G"),
C503="D",
IF(AND(AV503&gt;=AW503,I503="READABLE"),"H","D"),
C503="H",
IF(OR(I503="SAME",AD503&lt;=axisTol),"I","H"),
C503="I",
IF(AX503&gt;=sameN,"J","I"),
C503="J",
IF(OR(I503="EQUAL",BB503=1,BA503&gt;=duoMax),"K","J"),
C503="K",
IF(
 I503="SAME",
 IF(
   XLOOKUP($B503,Derived_Variables!$A:$A,Derived_Variables!$Q:$Q,"None")="None",
   "END",
   "P"
 ),
 "K"
),
C503="P",
IF(OR(I503="READABLE",I503="SAME"),"Q","P"),
C503="Q",
IF(OR(I503="READABLE",I503="SAME"),"R","Q"),
C503="R",
IF(OR(I503="TARGET_OK",I503="SAME"),"END","R"),
TRUE,"END"
)))</f>
        <v/>
      </c>
      <c r="BD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 t="str">
        <f t="array" ref="BC504">IF($I504="","",LET(
conf,AI504,
sameN,IF(conf="Low",1,IF(conf="Medium",2,3)),
duoMax,XLOOKUP($B504,Derived_Variables!$A:$A,Derived_Variables!$AI:$AI,4),
axisTol,XLOOKUP($B504,Derived_Variables!$A:$A,Derived_Variables!$W:$W,1),
IFS(
C504="A",
IF(
 OR(
   I504="NOT_READABLE",
   I504="BLURRY",
   AND(R504="20_20_20",I504="READABLE")
 ),
 "B",
 "A"
),
C504="B",
IF(AND(AV504&gt;=AW504,I504="READABLE"),"E","B"),
C504="E",
IF(OR(I504="SAME",AD504&lt;=axisTol),"F","E"),
C504="F",
IF(AX504&gt;=sameN,"G","F"),
C504="G",
IF(OR(I504="EQUAL",BB504=1,BA504&gt;=duoMax),"D","G"),
C504="D",
IF(AND(AV504&gt;=AW504,I504="READABLE"),"H","D"),
C504="H",
IF(OR(I504="SAME",AD504&lt;=axisTol),"I","H"),
C504="I",
IF(AX504&gt;=sameN,"J","I"),
C504="J",
IF(OR(I504="EQUAL",BB504=1,BA504&gt;=duoMax),"K","J"),
C504="K",
IF(
 I504="SAME",
 IF(
   XLOOKUP($B504,Derived_Variables!$A:$A,Derived_Variables!$Q:$Q,"None")="None",
   "END",
   "P"
 ),
 "K"
),
C504="P",
IF(OR(I504="READABLE",I504="SAME"),"Q","P"),
C504="Q",
IF(OR(I504="READABLE",I504="SAME"),"R","Q"),
C504="R",
IF(OR(I504="TARGET_OK",I504="SAME"),"END","R"),
TRUE,"END"
)))</f>
        <v/>
      </c>
      <c r="BD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 t="str">
        <f t="array" ref="BC505">IF($I505="","",LET(
conf,AI505,
sameN,IF(conf="Low",1,IF(conf="Medium",2,3)),
duoMax,XLOOKUP($B505,Derived_Variables!$A:$A,Derived_Variables!$AI:$AI,4),
axisTol,XLOOKUP($B505,Derived_Variables!$A:$A,Derived_Variables!$W:$W,1),
IFS(
C505="A",
IF(
 OR(
   I505="NOT_READABLE",
   I505="BLURRY",
   AND(R505="20_20_20",I505="READABLE")
 ),
 "B",
 "A"
),
C505="B",
IF(AND(AV505&gt;=AW505,I505="READABLE"),"E","B"),
C505="E",
IF(OR(I505="SAME",AD505&lt;=axisTol),"F","E"),
C505="F",
IF(AX505&gt;=sameN,"G","F"),
C505="G",
IF(OR(I505="EQUAL",BB505=1,BA505&gt;=duoMax),"D","G"),
C505="D",
IF(AND(AV505&gt;=AW505,I505="READABLE"),"H","D"),
C505="H",
IF(OR(I505="SAME",AD505&lt;=axisTol),"I","H"),
C505="I",
IF(AX505&gt;=sameN,"J","I"),
C505="J",
IF(OR(I505="EQUAL",BB505=1,BA505&gt;=duoMax),"K","J"),
C505="K",
IF(
 I505="SAME",
 IF(
   XLOOKUP($B505,Derived_Variables!$A:$A,Derived_Variables!$Q:$Q,"None")="None",
   "END",
   "P"
 ),
 "K"
),
C505="P",
IF(OR(I505="READABLE",I505="SAME"),"Q","P"),
C505="Q",
IF(OR(I505="READABLE",I505="SAME"),"R","Q"),
C505="R",
IF(OR(I505="TARGET_OK",I505="SAME"),"END","R"),
TRUE,"END"
)))</f>
        <v/>
      </c>
      <c r="BD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 t="str">
        <f t="array" ref="BC506">IF($I506="","",LET(
conf,AI506,
sameN,IF(conf="Low",1,IF(conf="Medium",2,3)),
duoMax,XLOOKUP($B506,Derived_Variables!$A:$A,Derived_Variables!$AI:$AI,4),
axisTol,XLOOKUP($B506,Derived_Variables!$A:$A,Derived_Variables!$W:$W,1),
IFS(
C506="A",
IF(
 OR(
   I506="NOT_READABLE",
   I506="BLURRY",
   AND(R506="20_20_20",I506="READABLE")
 ),
 "B",
 "A"
),
C506="B",
IF(AND(AV506&gt;=AW506,I506="READABLE"),"E","B"),
C506="E",
IF(OR(I506="SAME",AD506&lt;=axisTol),"F","E"),
C506="F",
IF(AX506&gt;=sameN,"G","F"),
C506="G",
IF(OR(I506="EQUAL",BB506=1,BA506&gt;=duoMax),"D","G"),
C506="D",
IF(AND(AV506&gt;=AW506,I506="READABLE"),"H","D"),
C506="H",
IF(OR(I506="SAME",AD506&lt;=axisTol),"I","H"),
C506="I",
IF(AX506&gt;=sameN,"J","I"),
C506="J",
IF(OR(I506="EQUAL",BB506=1,BA506&gt;=duoMax),"K","J"),
C506="K",
IF(
 I506="SAME",
 IF(
   XLOOKUP($B506,Derived_Variables!$A:$A,Derived_Variables!$Q:$Q,"None")="None",
   "END",
   "P"
 ),
 "K"
),
C506="P",
IF(OR(I506="READABLE",I506="SAME"),"Q","P"),
C506="Q",
IF(OR(I506="READABLE",I506="SAME"),"R","Q"),
C506="R",
IF(OR(I506="TARGET_OK",I506="SAME"),"END","R"),
TRUE,"END"
)))</f>
        <v/>
      </c>
      <c r="BD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 t="str">
        <f t="array" ref="BC507">IF($I507="","",LET(
conf,AI507,
sameN,IF(conf="Low",1,IF(conf="Medium",2,3)),
duoMax,XLOOKUP($B507,Derived_Variables!$A:$A,Derived_Variables!$AI:$AI,4),
axisTol,XLOOKUP($B507,Derived_Variables!$A:$A,Derived_Variables!$W:$W,1),
IFS(
C507="A",
IF(
 OR(
   I507="NOT_READABLE",
   I507="BLURRY",
   AND(R507="20_20_20",I507="READABLE")
 ),
 "B",
 "A"
),
C507="B",
IF(AND(AV507&gt;=AW507,I507="READABLE"),"E","B"),
C507="E",
IF(OR(I507="SAME",AD507&lt;=axisTol),"F","E"),
C507="F",
IF(AX507&gt;=sameN,"G","F"),
C507="G",
IF(OR(I507="EQUAL",BB507=1,BA507&gt;=duoMax),"D","G"),
C507="D",
IF(AND(AV507&gt;=AW507,I507="READABLE"),"H","D"),
C507="H",
IF(OR(I507="SAME",AD507&lt;=axisTol),"I","H"),
C507="I",
IF(AX507&gt;=sameN,"J","I"),
C507="J",
IF(OR(I507="EQUAL",BB507=1,BA507&gt;=duoMax),"K","J"),
C507="K",
IF(
 I507="SAME",
 IF(
   XLOOKUP($B507,Derived_Variables!$A:$A,Derived_Variables!$Q:$Q,"None")="None",
   "END",
   "P"
 ),
 "K"
),
C507="P",
IF(OR(I507="READABLE",I507="SAME"),"Q","P"),
C507="Q",
IF(OR(I507="READABLE",I507="SAME"),"R","Q"),
C507="R",
IF(OR(I507="TARGET_OK",I507="SAME"),"END","R"),
TRUE,"END"
)))</f>
        <v/>
      </c>
      <c r="BD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 t="str">
        <f t="array" ref="BC508">IF($I508="","",LET(
conf,AI508,
sameN,IF(conf="Low",1,IF(conf="Medium",2,3)),
duoMax,XLOOKUP($B508,Derived_Variables!$A:$A,Derived_Variables!$AI:$AI,4),
axisTol,XLOOKUP($B508,Derived_Variables!$A:$A,Derived_Variables!$W:$W,1),
IFS(
C508="A",
IF(
 OR(
   I508="NOT_READABLE",
   I508="BLURRY",
   AND(R508="20_20_20",I508="READABLE")
 ),
 "B",
 "A"
),
C508="B",
IF(AND(AV508&gt;=AW508,I508="READABLE"),"E","B"),
C508="E",
IF(OR(I508="SAME",AD508&lt;=axisTol),"F","E"),
C508="F",
IF(AX508&gt;=sameN,"G","F"),
C508="G",
IF(OR(I508="EQUAL",BB508=1,BA508&gt;=duoMax),"D","G"),
C508="D",
IF(AND(AV508&gt;=AW508,I508="READABLE"),"H","D"),
C508="H",
IF(OR(I508="SAME",AD508&lt;=axisTol),"I","H"),
C508="I",
IF(AX508&gt;=sameN,"J","I"),
C508="J",
IF(OR(I508="EQUAL",BB508=1,BA508&gt;=duoMax),"K","J"),
C508="K",
IF(
 I508="SAME",
 IF(
   XLOOKUP($B508,Derived_Variables!$A:$A,Derived_Variables!$Q:$Q,"None")="None",
   "END",
   "P"
 ),
 "K"
),
C508="P",
IF(OR(I508="READABLE",I508="SAME"),"Q","P"),
C508="Q",
IF(OR(I508="READABLE",I508="SAME"),"R","Q"),
C508="R",
IF(OR(I508="TARGET_OK",I508="SAME"),"END","R"),
TRUE,"END"
)))</f>
        <v/>
      </c>
      <c r="BD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 t="str">
        <f t="array" ref="BC509">IF($I509="","",LET(
conf,AI509,
sameN,IF(conf="Low",1,IF(conf="Medium",2,3)),
duoMax,XLOOKUP($B509,Derived_Variables!$A:$A,Derived_Variables!$AI:$AI,4),
axisTol,XLOOKUP($B509,Derived_Variables!$A:$A,Derived_Variables!$W:$W,1),
IFS(
C509="A",
IF(
 OR(
   I509="NOT_READABLE",
   I509="BLURRY",
   AND(R509="20_20_20",I509="READABLE")
 ),
 "B",
 "A"
),
C509="B",
IF(AND(AV509&gt;=AW509,I509="READABLE"),"E","B"),
C509="E",
IF(OR(I509="SAME",AD509&lt;=axisTol),"F","E"),
C509="F",
IF(AX509&gt;=sameN,"G","F"),
C509="G",
IF(OR(I509="EQUAL",BB509=1,BA509&gt;=duoMax),"D","G"),
C509="D",
IF(AND(AV509&gt;=AW509,I509="READABLE"),"H","D"),
C509="H",
IF(OR(I509="SAME",AD509&lt;=axisTol),"I","H"),
C509="I",
IF(AX509&gt;=sameN,"J","I"),
C509="J",
IF(OR(I509="EQUAL",BB509=1,BA509&gt;=duoMax),"K","J"),
C509="K",
IF(
 I509="SAME",
 IF(
   XLOOKUP($B509,Derived_Variables!$A:$A,Derived_Variables!$Q:$Q,"None")="None",
   "END",
   "P"
 ),
 "K"
),
C509="P",
IF(OR(I509="READABLE",I509="SAME"),"Q","P"),
C509="Q",
IF(OR(I509="READABLE",I509="SAME"),"R","Q"),
C509="R",
IF(OR(I509="TARGET_OK",I509="SAME"),"END","R"),
TRUE,"END"
)))</f>
        <v/>
      </c>
      <c r="BD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 t="str">
        <f t="array" ref="BC510">IF($I510="","",LET(
conf,AI510,
sameN,IF(conf="Low",1,IF(conf="Medium",2,3)),
duoMax,XLOOKUP($B510,Derived_Variables!$A:$A,Derived_Variables!$AI:$AI,4),
axisTol,XLOOKUP($B510,Derived_Variables!$A:$A,Derived_Variables!$W:$W,1),
IFS(
C510="A",
IF(
 OR(
   I510="NOT_READABLE",
   I510="BLURRY",
   AND(R510="20_20_20",I510="READABLE")
 ),
 "B",
 "A"
),
C510="B",
IF(AND(AV510&gt;=AW510,I510="READABLE"),"E","B"),
C510="E",
IF(OR(I510="SAME",AD510&lt;=axisTol),"F","E"),
C510="F",
IF(AX510&gt;=sameN,"G","F"),
C510="G",
IF(OR(I510="EQUAL",BB510=1,BA510&gt;=duoMax),"D","G"),
C510="D",
IF(AND(AV510&gt;=AW510,I510="READABLE"),"H","D"),
C510="H",
IF(OR(I510="SAME",AD510&lt;=axisTol),"I","H"),
C510="I",
IF(AX510&gt;=sameN,"J","I"),
C510="J",
IF(OR(I510="EQUAL",BB510=1,BA510&gt;=duoMax),"K","J"),
C510="K",
IF(
 I510="SAME",
 IF(
   XLOOKUP($B510,Derived_Variables!$A:$A,Derived_Variables!$Q:$Q,"None")="None",
   "END",
   "P"
 ),
 "K"
),
C510="P",
IF(OR(I510="READABLE",I510="SAME"),"Q","P"),
C510="Q",
IF(OR(I510="READABLE",I510="SAME"),"R","Q"),
C510="R",
IF(OR(I510="TARGET_OK",I510="SAME"),"END","R"),
TRUE,"END"
)))</f>
        <v/>
      </c>
      <c r="BD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 t="str">
        <f t="array" ref="BC511">IF($I511="","",LET(
conf,AI511,
sameN,IF(conf="Low",1,IF(conf="Medium",2,3)),
duoMax,XLOOKUP($B511,Derived_Variables!$A:$A,Derived_Variables!$AI:$AI,4),
axisTol,XLOOKUP($B511,Derived_Variables!$A:$A,Derived_Variables!$W:$W,1),
IFS(
C511="A",
IF(
 OR(
   I511="NOT_READABLE",
   I511="BLURRY",
   AND(R511="20_20_20",I511="READABLE")
 ),
 "B",
 "A"
),
C511="B",
IF(AND(AV511&gt;=AW511,I511="READABLE"),"E","B"),
C511="E",
IF(OR(I511="SAME",AD511&lt;=axisTol),"F","E"),
C511="F",
IF(AX511&gt;=sameN,"G","F"),
C511="G",
IF(OR(I511="EQUAL",BB511=1,BA511&gt;=duoMax),"D","G"),
C511="D",
IF(AND(AV511&gt;=AW511,I511="READABLE"),"H","D"),
C511="H",
IF(OR(I511="SAME",AD511&lt;=axisTol),"I","H"),
C511="I",
IF(AX511&gt;=sameN,"J","I"),
C511="J",
IF(OR(I511="EQUAL",BB511=1,BA511&gt;=duoMax),"K","J"),
C511="K",
IF(
 I511="SAME",
 IF(
   XLOOKUP($B511,Derived_Variables!$A:$A,Derived_Variables!$Q:$Q,"None")="None",
   "END",
   "P"
 ),
 "K"
),
C511="P",
IF(OR(I511="READABLE",I511="SAME"),"Q","P"),
C511="Q",
IF(OR(I511="READABLE",I511="SAME"),"R","Q"),
C511="R",
IF(OR(I511="TARGET_OK",I511="SAME"),"END","R"),
TRUE,"END"
)))</f>
        <v/>
      </c>
      <c r="BD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 t="str">
        <f t="array" ref="BC512">IF($I512="","",LET(
conf,AI512,
sameN,IF(conf="Low",1,IF(conf="Medium",2,3)),
duoMax,XLOOKUP($B512,Derived_Variables!$A:$A,Derived_Variables!$AI:$AI,4),
axisTol,XLOOKUP($B512,Derived_Variables!$A:$A,Derived_Variables!$W:$W,1),
IFS(
C512="A",
IF(
 OR(
   I512="NOT_READABLE",
   I512="BLURRY",
   AND(R512="20_20_20",I512="READABLE")
 ),
 "B",
 "A"
),
C512="B",
IF(AND(AV512&gt;=AW512,I512="READABLE"),"E","B"),
C512="E",
IF(OR(I512="SAME",AD512&lt;=axisTol),"F","E"),
C512="F",
IF(AX512&gt;=sameN,"G","F"),
C512="G",
IF(OR(I512="EQUAL",BB512=1,BA512&gt;=duoMax),"D","G"),
C512="D",
IF(AND(AV512&gt;=AW512,I512="READABLE"),"H","D"),
C512="H",
IF(OR(I512="SAME",AD512&lt;=axisTol),"I","H"),
C512="I",
IF(AX512&gt;=sameN,"J","I"),
C512="J",
IF(OR(I512="EQUAL",BB512=1,BA512&gt;=duoMax),"K","J"),
C512="K",
IF(
 I512="SAME",
 IF(
   XLOOKUP($B512,Derived_Variables!$A:$A,Derived_Variables!$Q:$Q,"None")="None",
   "END",
   "P"
 ),
 "K"
),
C512="P",
IF(OR(I512="READABLE",I512="SAME"),"Q","P"),
C512="Q",
IF(OR(I512="READABLE",I512="SAME"),"R","Q"),
C512="R",
IF(OR(I512="TARGET_OK",I512="SAME"),"END","R"),
TRUE,"END"
)))</f>
        <v/>
      </c>
      <c r="BD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 t="str">
        <f t="array" ref="BC513">IF($I513="","",LET(
conf,AI513,
sameN,IF(conf="Low",1,IF(conf="Medium",2,3)),
duoMax,XLOOKUP($B513,Derived_Variables!$A:$A,Derived_Variables!$AI:$AI,4),
axisTol,XLOOKUP($B513,Derived_Variables!$A:$A,Derived_Variables!$W:$W,1),
IFS(
C513="A",
IF(
 OR(
   I513="NOT_READABLE",
   I513="BLURRY",
   AND(R513="20_20_20",I513="READABLE")
 ),
 "B",
 "A"
),
C513="B",
IF(AND(AV513&gt;=AW513,I513="READABLE"),"E","B"),
C513="E",
IF(OR(I513="SAME",AD513&lt;=axisTol),"F","E"),
C513="F",
IF(AX513&gt;=sameN,"G","F"),
C513="G",
IF(OR(I513="EQUAL",BB513=1,BA513&gt;=duoMax),"D","G"),
C513="D",
IF(AND(AV513&gt;=AW513,I513="READABLE"),"H","D"),
C513="H",
IF(OR(I513="SAME",AD513&lt;=axisTol),"I","H"),
C513="I",
IF(AX513&gt;=sameN,"J","I"),
C513="J",
IF(OR(I513="EQUAL",BB513=1,BA513&gt;=duoMax),"K","J"),
C513="K",
IF(
 I513="SAME",
 IF(
   XLOOKUP($B513,Derived_Variables!$A:$A,Derived_Variables!$Q:$Q,"None")="None",
   "END",
   "P"
 ),
 "K"
),
C513="P",
IF(OR(I513="READABLE",I513="SAME"),"Q","P"),
C513="Q",
IF(OR(I513="READABLE",I513="SAME"),"R","Q"),
C513="R",
IF(OR(I513="TARGET_OK",I513="SAME"),"END","R"),
TRUE,"END"
)))</f>
        <v/>
      </c>
      <c r="BD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 t="str">
        <f t="array" ref="BC514">IF($I514="","",LET(
conf,AI514,
sameN,IF(conf="Low",1,IF(conf="Medium",2,3)),
duoMax,XLOOKUP($B514,Derived_Variables!$A:$A,Derived_Variables!$AI:$AI,4),
axisTol,XLOOKUP($B514,Derived_Variables!$A:$A,Derived_Variables!$W:$W,1),
IFS(
C514="A",
IF(
 OR(
   I514="NOT_READABLE",
   I514="BLURRY",
   AND(R514="20_20_20",I514="READABLE")
 ),
 "B",
 "A"
),
C514="B",
IF(AND(AV514&gt;=AW514,I514="READABLE"),"E","B"),
C514="E",
IF(OR(I514="SAME",AD514&lt;=axisTol),"F","E"),
C514="F",
IF(AX514&gt;=sameN,"G","F"),
C514="G",
IF(OR(I514="EQUAL",BB514=1,BA514&gt;=duoMax),"D","G"),
C514="D",
IF(AND(AV514&gt;=AW514,I514="READABLE"),"H","D"),
C514="H",
IF(OR(I514="SAME",AD514&lt;=axisTol),"I","H"),
C514="I",
IF(AX514&gt;=sameN,"J","I"),
C514="J",
IF(OR(I514="EQUAL",BB514=1,BA514&gt;=duoMax),"K","J"),
C514="K",
IF(
 I514="SAME",
 IF(
   XLOOKUP($B514,Derived_Variables!$A:$A,Derived_Variables!$Q:$Q,"None")="None",
   "END",
   "P"
 ),
 "K"
),
C514="P",
IF(OR(I514="READABLE",I514="SAME"),"Q","P"),
C514="Q",
IF(OR(I514="READABLE",I514="SAME"),"R","Q"),
C514="R",
IF(OR(I514="TARGET_OK",I514="SAME"),"END","R"),
TRUE,"END"
)))</f>
        <v/>
      </c>
      <c r="BD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 t="str">
        <f t="array" ref="BC515">IF($I515="","",LET(
conf,AI515,
sameN,IF(conf="Low",1,IF(conf="Medium",2,3)),
duoMax,XLOOKUP($B515,Derived_Variables!$A:$A,Derived_Variables!$AI:$AI,4),
axisTol,XLOOKUP($B515,Derived_Variables!$A:$A,Derived_Variables!$W:$W,1),
IFS(
C515="A",
IF(
 OR(
   I515="NOT_READABLE",
   I515="BLURRY",
   AND(R515="20_20_20",I515="READABLE")
 ),
 "B",
 "A"
),
C515="B",
IF(AND(AV515&gt;=AW515,I515="READABLE"),"E","B"),
C515="E",
IF(OR(I515="SAME",AD515&lt;=axisTol),"F","E"),
C515="F",
IF(AX515&gt;=sameN,"G","F"),
C515="G",
IF(OR(I515="EQUAL",BB515=1,BA515&gt;=duoMax),"D","G"),
C515="D",
IF(AND(AV515&gt;=AW515,I515="READABLE"),"H","D"),
C515="H",
IF(OR(I515="SAME",AD515&lt;=axisTol),"I","H"),
C515="I",
IF(AX515&gt;=sameN,"J","I"),
C515="J",
IF(OR(I515="EQUAL",BB515=1,BA515&gt;=duoMax),"K","J"),
C515="K",
IF(
 I515="SAME",
 IF(
   XLOOKUP($B515,Derived_Variables!$A:$A,Derived_Variables!$Q:$Q,"None")="None",
   "END",
   "P"
 ),
 "K"
),
C515="P",
IF(OR(I515="READABLE",I515="SAME"),"Q","P"),
C515="Q",
IF(OR(I515="READABLE",I515="SAME"),"R","Q"),
C515="R",
IF(OR(I515="TARGET_OK",I515="SAME"),"END","R"),
TRUE,"END"
)))</f>
        <v/>
      </c>
      <c r="BD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 t="str">
        <f t="array" ref="BC516">IF($I516="","",LET(
conf,AI516,
sameN,IF(conf="Low",1,IF(conf="Medium",2,3)),
duoMax,XLOOKUP($B516,Derived_Variables!$A:$A,Derived_Variables!$AI:$AI,4),
axisTol,XLOOKUP($B516,Derived_Variables!$A:$A,Derived_Variables!$W:$W,1),
IFS(
C516="A",
IF(
 OR(
   I516="NOT_READABLE",
   I516="BLURRY",
   AND(R516="20_20_20",I516="READABLE")
 ),
 "B",
 "A"
),
C516="B",
IF(AND(AV516&gt;=AW516,I516="READABLE"),"E","B"),
C516="E",
IF(OR(I516="SAME",AD516&lt;=axisTol),"F","E"),
C516="F",
IF(AX516&gt;=sameN,"G","F"),
C516="G",
IF(OR(I516="EQUAL",BB516=1,BA516&gt;=duoMax),"D","G"),
C516="D",
IF(AND(AV516&gt;=AW516,I516="READABLE"),"H","D"),
C516="H",
IF(OR(I516="SAME",AD516&lt;=axisTol),"I","H"),
C516="I",
IF(AX516&gt;=sameN,"J","I"),
C516="J",
IF(OR(I516="EQUAL",BB516=1,BA516&gt;=duoMax),"K","J"),
C516="K",
IF(
 I516="SAME",
 IF(
   XLOOKUP($B516,Derived_Variables!$A:$A,Derived_Variables!$Q:$Q,"None")="None",
   "END",
   "P"
 ),
 "K"
),
C516="P",
IF(OR(I516="READABLE",I516="SAME"),"Q","P"),
C516="Q",
IF(OR(I516="READABLE",I516="SAME"),"R","Q"),
C516="R",
IF(OR(I516="TARGET_OK",I516="SAME"),"END","R"),
TRUE,"END"
)))</f>
        <v/>
      </c>
      <c r="BD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 t="str">
        <f t="array" ref="BC517">IF($I517="","",LET(
conf,AI517,
sameN,IF(conf="Low",1,IF(conf="Medium",2,3)),
duoMax,XLOOKUP($B517,Derived_Variables!$A:$A,Derived_Variables!$AI:$AI,4),
axisTol,XLOOKUP($B517,Derived_Variables!$A:$A,Derived_Variables!$W:$W,1),
IFS(
C517="A",
IF(
 OR(
   I517="NOT_READABLE",
   I517="BLURRY",
   AND(R517="20_20_20",I517="READABLE")
 ),
 "B",
 "A"
),
C517="B",
IF(AND(AV517&gt;=AW517,I517="READABLE"),"E","B"),
C517="E",
IF(OR(I517="SAME",AD517&lt;=axisTol),"F","E"),
C517="F",
IF(AX517&gt;=sameN,"G","F"),
C517="G",
IF(OR(I517="EQUAL",BB517=1,BA517&gt;=duoMax),"D","G"),
C517="D",
IF(AND(AV517&gt;=AW517,I517="READABLE"),"H","D"),
C517="H",
IF(OR(I517="SAME",AD517&lt;=axisTol),"I","H"),
C517="I",
IF(AX517&gt;=sameN,"J","I"),
C517="J",
IF(OR(I517="EQUAL",BB517=1,BA517&gt;=duoMax),"K","J"),
C517="K",
IF(
 I517="SAME",
 IF(
   XLOOKUP($B517,Derived_Variables!$A:$A,Derived_Variables!$Q:$Q,"None")="None",
   "END",
   "P"
 ),
 "K"
),
C517="P",
IF(OR(I517="READABLE",I517="SAME"),"Q","P"),
C517="Q",
IF(OR(I517="READABLE",I517="SAME"),"R","Q"),
C517="R",
IF(OR(I517="TARGET_OK",I517="SAME"),"END","R"),
TRUE,"END"
)))</f>
        <v/>
      </c>
      <c r="BD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 t="str">
        <f t="array" ref="BC518">IF($I518="","",LET(
conf,AI518,
sameN,IF(conf="Low",1,IF(conf="Medium",2,3)),
duoMax,XLOOKUP($B518,Derived_Variables!$A:$A,Derived_Variables!$AI:$AI,4),
axisTol,XLOOKUP($B518,Derived_Variables!$A:$A,Derived_Variables!$W:$W,1),
IFS(
C518="A",
IF(
 OR(
   I518="NOT_READABLE",
   I518="BLURRY",
   AND(R518="20_20_20",I518="READABLE")
 ),
 "B",
 "A"
),
C518="B",
IF(AND(AV518&gt;=AW518,I518="READABLE"),"E","B"),
C518="E",
IF(OR(I518="SAME",AD518&lt;=axisTol),"F","E"),
C518="F",
IF(AX518&gt;=sameN,"G","F"),
C518="G",
IF(OR(I518="EQUAL",BB518=1,BA518&gt;=duoMax),"D","G"),
C518="D",
IF(AND(AV518&gt;=AW518,I518="READABLE"),"H","D"),
C518="H",
IF(OR(I518="SAME",AD518&lt;=axisTol),"I","H"),
C518="I",
IF(AX518&gt;=sameN,"J","I"),
C518="J",
IF(OR(I518="EQUAL",BB518=1,BA518&gt;=duoMax),"K","J"),
C518="K",
IF(
 I518="SAME",
 IF(
   XLOOKUP($B518,Derived_Variables!$A:$A,Derived_Variables!$Q:$Q,"None")="None",
   "END",
   "P"
 ),
 "K"
),
C518="P",
IF(OR(I518="READABLE",I518="SAME"),"Q","P"),
C518="Q",
IF(OR(I518="READABLE",I518="SAME"),"R","Q"),
C518="R",
IF(OR(I518="TARGET_OK",I518="SAME"),"END","R"),
TRUE,"END"
)))</f>
        <v/>
      </c>
      <c r="BD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 t="str">
        <f t="array" ref="BC519">IF($I519="","",LET(
conf,AI519,
sameN,IF(conf="Low",1,IF(conf="Medium",2,3)),
duoMax,XLOOKUP($B519,Derived_Variables!$A:$A,Derived_Variables!$AI:$AI,4),
axisTol,XLOOKUP($B519,Derived_Variables!$A:$A,Derived_Variables!$W:$W,1),
IFS(
C519="A",
IF(
 OR(
   I519="NOT_READABLE",
   I519="BLURRY",
   AND(R519="20_20_20",I519="READABLE")
 ),
 "B",
 "A"
),
C519="B",
IF(AND(AV519&gt;=AW519,I519="READABLE"),"E","B"),
C519="E",
IF(OR(I519="SAME",AD519&lt;=axisTol),"F","E"),
C519="F",
IF(AX519&gt;=sameN,"G","F"),
C519="G",
IF(OR(I519="EQUAL",BB519=1,BA519&gt;=duoMax),"D","G"),
C519="D",
IF(AND(AV519&gt;=AW519,I519="READABLE"),"H","D"),
C519="H",
IF(OR(I519="SAME",AD519&lt;=axisTol),"I","H"),
C519="I",
IF(AX519&gt;=sameN,"J","I"),
C519="J",
IF(OR(I519="EQUAL",BB519=1,BA519&gt;=duoMax),"K","J"),
C519="K",
IF(
 I519="SAME",
 IF(
   XLOOKUP($B519,Derived_Variables!$A:$A,Derived_Variables!$Q:$Q,"None")="None",
   "END",
   "P"
 ),
 "K"
),
C519="P",
IF(OR(I519="READABLE",I519="SAME"),"Q","P"),
C519="Q",
IF(OR(I519="READABLE",I519="SAME"),"R","Q"),
C519="R",
IF(OR(I519="TARGET_OK",I519="SAME"),"END","R"),
TRUE,"END"
)))</f>
        <v/>
      </c>
      <c r="BD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 t="str">
        <f t="array" ref="BC520">IF($I520="","",LET(
conf,AI520,
sameN,IF(conf="Low",1,IF(conf="Medium",2,3)),
duoMax,XLOOKUP($B520,Derived_Variables!$A:$A,Derived_Variables!$AI:$AI,4),
axisTol,XLOOKUP($B520,Derived_Variables!$A:$A,Derived_Variables!$W:$W,1),
IFS(
C520="A",
IF(
 OR(
   I520="NOT_READABLE",
   I520="BLURRY",
   AND(R520="20_20_20",I520="READABLE")
 ),
 "B",
 "A"
),
C520="B",
IF(AND(AV520&gt;=AW520,I520="READABLE"),"E","B"),
C520="E",
IF(OR(I520="SAME",AD520&lt;=axisTol),"F","E"),
C520="F",
IF(AX520&gt;=sameN,"G","F"),
C520="G",
IF(OR(I520="EQUAL",BB520=1,BA520&gt;=duoMax),"D","G"),
C520="D",
IF(AND(AV520&gt;=AW520,I520="READABLE"),"H","D"),
C520="H",
IF(OR(I520="SAME",AD520&lt;=axisTol),"I","H"),
C520="I",
IF(AX520&gt;=sameN,"J","I"),
C520="J",
IF(OR(I520="EQUAL",BB520=1,BA520&gt;=duoMax),"K","J"),
C520="K",
IF(
 I520="SAME",
 IF(
   XLOOKUP($B520,Derived_Variables!$A:$A,Derived_Variables!$Q:$Q,"None")="None",
   "END",
   "P"
 ),
 "K"
),
C520="P",
IF(OR(I520="READABLE",I520="SAME"),"Q","P"),
C520="Q",
IF(OR(I520="READABLE",I520="SAME"),"R","Q"),
C520="R",
IF(OR(I520="TARGET_OK",I520="SAME"),"END","R"),
TRUE,"END"
)))</f>
        <v/>
      </c>
      <c r="BD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 t="str">
        <f t="array" ref="BC521">IF($I521="","",LET(
conf,AI521,
sameN,IF(conf="Low",1,IF(conf="Medium",2,3)),
duoMax,XLOOKUP($B521,Derived_Variables!$A:$A,Derived_Variables!$AI:$AI,4),
axisTol,XLOOKUP($B521,Derived_Variables!$A:$A,Derived_Variables!$W:$W,1),
IFS(
C521="A",
IF(
 OR(
   I521="NOT_READABLE",
   I521="BLURRY",
   AND(R521="20_20_20",I521="READABLE")
 ),
 "B",
 "A"
),
C521="B",
IF(AND(AV521&gt;=AW521,I521="READABLE"),"E","B"),
C521="E",
IF(OR(I521="SAME",AD521&lt;=axisTol),"F","E"),
C521="F",
IF(AX521&gt;=sameN,"G","F"),
C521="G",
IF(OR(I521="EQUAL",BB521=1,BA521&gt;=duoMax),"D","G"),
C521="D",
IF(AND(AV521&gt;=AW521,I521="READABLE"),"H","D"),
C521="H",
IF(OR(I521="SAME",AD521&lt;=axisTol),"I","H"),
C521="I",
IF(AX521&gt;=sameN,"J","I"),
C521="J",
IF(OR(I521="EQUAL",BB521=1,BA521&gt;=duoMax),"K","J"),
C521="K",
IF(
 I521="SAME",
 IF(
   XLOOKUP($B521,Derived_Variables!$A:$A,Derived_Variables!$Q:$Q,"None")="None",
   "END",
   "P"
 ),
 "K"
),
C521="P",
IF(OR(I521="READABLE",I521="SAME"),"Q","P"),
C521="Q",
IF(OR(I521="READABLE",I521="SAME"),"R","Q"),
C521="R",
IF(OR(I521="TARGET_OK",I521="SAME"),"END","R"),
TRUE,"END"
)))</f>
        <v/>
      </c>
      <c r="BD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 t="str">
        <f t="array" ref="BC522">IF($I522="","",LET(
conf,AI522,
sameN,IF(conf="Low",1,IF(conf="Medium",2,3)),
duoMax,XLOOKUP($B522,Derived_Variables!$A:$A,Derived_Variables!$AI:$AI,4),
axisTol,XLOOKUP($B522,Derived_Variables!$A:$A,Derived_Variables!$W:$W,1),
IFS(
C522="A",
IF(
 OR(
   I522="NOT_READABLE",
   I522="BLURRY",
   AND(R522="20_20_20",I522="READABLE")
 ),
 "B",
 "A"
),
C522="B",
IF(AND(AV522&gt;=AW522,I522="READABLE"),"E","B"),
C522="E",
IF(OR(I522="SAME",AD522&lt;=axisTol),"F","E"),
C522="F",
IF(AX522&gt;=sameN,"G","F"),
C522="G",
IF(OR(I522="EQUAL",BB522=1,BA522&gt;=duoMax),"D","G"),
C522="D",
IF(AND(AV522&gt;=AW522,I522="READABLE"),"H","D"),
C522="H",
IF(OR(I522="SAME",AD522&lt;=axisTol),"I","H"),
C522="I",
IF(AX522&gt;=sameN,"J","I"),
C522="J",
IF(OR(I522="EQUAL",BB522=1,BA522&gt;=duoMax),"K","J"),
C522="K",
IF(
 I522="SAME",
 IF(
   XLOOKUP($B522,Derived_Variables!$A:$A,Derived_Variables!$Q:$Q,"None")="None",
   "END",
   "P"
 ),
 "K"
),
C522="P",
IF(OR(I522="READABLE",I522="SAME"),"Q","P"),
C522="Q",
IF(OR(I522="READABLE",I522="SAME"),"R","Q"),
C522="R",
IF(OR(I522="TARGET_OK",I522="SAME"),"END","R"),
TRUE,"END"
)))</f>
        <v/>
      </c>
      <c r="BD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 t="str">
        <f t="array" ref="BC523">IF($I523="","",LET(
conf,AI523,
sameN,IF(conf="Low",1,IF(conf="Medium",2,3)),
duoMax,XLOOKUP($B523,Derived_Variables!$A:$A,Derived_Variables!$AI:$AI,4),
axisTol,XLOOKUP($B523,Derived_Variables!$A:$A,Derived_Variables!$W:$W,1),
IFS(
C523="A",
IF(
 OR(
   I523="NOT_READABLE",
   I523="BLURRY",
   AND(R523="20_20_20",I523="READABLE")
 ),
 "B",
 "A"
),
C523="B",
IF(AND(AV523&gt;=AW523,I523="READABLE"),"E","B"),
C523="E",
IF(OR(I523="SAME",AD523&lt;=axisTol),"F","E"),
C523="F",
IF(AX523&gt;=sameN,"G","F"),
C523="G",
IF(OR(I523="EQUAL",BB523=1,BA523&gt;=duoMax),"D","G"),
C523="D",
IF(AND(AV523&gt;=AW523,I523="READABLE"),"H","D"),
C523="H",
IF(OR(I523="SAME",AD523&lt;=axisTol),"I","H"),
C523="I",
IF(AX523&gt;=sameN,"J","I"),
C523="J",
IF(OR(I523="EQUAL",BB523=1,BA523&gt;=duoMax),"K","J"),
C523="K",
IF(
 I523="SAME",
 IF(
   XLOOKUP($B523,Derived_Variables!$A:$A,Derived_Variables!$Q:$Q,"None")="None",
   "END",
   "P"
 ),
 "K"
),
C523="P",
IF(OR(I523="READABLE",I523="SAME"),"Q","P"),
C523="Q",
IF(OR(I523="READABLE",I523="SAME"),"R","Q"),
C523="R",
IF(OR(I523="TARGET_OK",I523="SAME"),"END","R"),
TRUE,"END"
)))</f>
        <v/>
      </c>
      <c r="BD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 t="str">
        <f t="array" ref="BC524">IF($I524="","",LET(
conf,AI524,
sameN,IF(conf="Low",1,IF(conf="Medium",2,3)),
duoMax,XLOOKUP($B524,Derived_Variables!$A:$A,Derived_Variables!$AI:$AI,4),
axisTol,XLOOKUP($B524,Derived_Variables!$A:$A,Derived_Variables!$W:$W,1),
IFS(
C524="A",
IF(
 OR(
   I524="NOT_READABLE",
   I524="BLURRY",
   AND(R524="20_20_20",I524="READABLE")
 ),
 "B",
 "A"
),
C524="B",
IF(AND(AV524&gt;=AW524,I524="READABLE"),"E","B"),
C524="E",
IF(OR(I524="SAME",AD524&lt;=axisTol),"F","E"),
C524="F",
IF(AX524&gt;=sameN,"G","F"),
C524="G",
IF(OR(I524="EQUAL",BB524=1,BA524&gt;=duoMax),"D","G"),
C524="D",
IF(AND(AV524&gt;=AW524,I524="READABLE"),"H","D"),
C524="H",
IF(OR(I524="SAME",AD524&lt;=axisTol),"I","H"),
C524="I",
IF(AX524&gt;=sameN,"J","I"),
C524="J",
IF(OR(I524="EQUAL",BB524=1,BA524&gt;=duoMax),"K","J"),
C524="K",
IF(
 I524="SAME",
 IF(
   XLOOKUP($B524,Derived_Variables!$A:$A,Derived_Variables!$Q:$Q,"None")="None",
   "END",
   "P"
 ),
 "K"
),
C524="P",
IF(OR(I524="READABLE",I524="SAME"),"Q","P"),
C524="Q",
IF(OR(I524="READABLE",I524="SAME"),"R","Q"),
C524="R",
IF(OR(I524="TARGET_OK",I524="SAME"),"END","R"),
TRUE,"END"
)))</f>
        <v/>
      </c>
      <c r="BD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 t="str">
        <f t="array" ref="BC525">IF($I525="","",LET(
conf,AI525,
sameN,IF(conf="Low",1,IF(conf="Medium",2,3)),
duoMax,XLOOKUP($B525,Derived_Variables!$A:$A,Derived_Variables!$AI:$AI,4),
axisTol,XLOOKUP($B525,Derived_Variables!$A:$A,Derived_Variables!$W:$W,1),
IFS(
C525="A",
IF(
 OR(
   I525="NOT_READABLE",
   I525="BLURRY",
   AND(R525="20_20_20",I525="READABLE")
 ),
 "B",
 "A"
),
C525="B",
IF(AND(AV525&gt;=AW525,I525="READABLE"),"E","B"),
C525="E",
IF(OR(I525="SAME",AD525&lt;=axisTol),"F","E"),
C525="F",
IF(AX525&gt;=sameN,"G","F"),
C525="G",
IF(OR(I525="EQUAL",BB525=1,BA525&gt;=duoMax),"D","G"),
C525="D",
IF(AND(AV525&gt;=AW525,I525="READABLE"),"H","D"),
C525="H",
IF(OR(I525="SAME",AD525&lt;=axisTol),"I","H"),
C525="I",
IF(AX525&gt;=sameN,"J","I"),
C525="J",
IF(OR(I525="EQUAL",BB525=1,BA525&gt;=duoMax),"K","J"),
C525="K",
IF(
 I525="SAME",
 IF(
   XLOOKUP($B525,Derived_Variables!$A:$A,Derived_Variables!$Q:$Q,"None")="None",
   "END",
   "P"
 ),
 "K"
),
C525="P",
IF(OR(I525="READABLE",I525="SAME"),"Q","P"),
C525="Q",
IF(OR(I525="READABLE",I525="SAME"),"R","Q"),
C525="R",
IF(OR(I525="TARGET_OK",I525="SAME"),"END","R"),
TRUE,"END"
)))</f>
        <v/>
      </c>
      <c r="BD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 t="str">
        <f t="array" ref="BC526">IF($I526="","",LET(
conf,AI526,
sameN,IF(conf="Low",1,IF(conf="Medium",2,3)),
duoMax,XLOOKUP($B526,Derived_Variables!$A:$A,Derived_Variables!$AI:$AI,4),
axisTol,XLOOKUP($B526,Derived_Variables!$A:$A,Derived_Variables!$W:$W,1),
IFS(
C526="A",
IF(
 OR(
   I526="NOT_READABLE",
   I526="BLURRY",
   AND(R526="20_20_20",I526="READABLE")
 ),
 "B",
 "A"
),
C526="B",
IF(AND(AV526&gt;=AW526,I526="READABLE"),"E","B"),
C526="E",
IF(OR(I526="SAME",AD526&lt;=axisTol),"F","E"),
C526="F",
IF(AX526&gt;=sameN,"G","F"),
C526="G",
IF(OR(I526="EQUAL",BB526=1,BA526&gt;=duoMax),"D","G"),
C526="D",
IF(AND(AV526&gt;=AW526,I526="READABLE"),"H","D"),
C526="H",
IF(OR(I526="SAME",AD526&lt;=axisTol),"I","H"),
C526="I",
IF(AX526&gt;=sameN,"J","I"),
C526="J",
IF(OR(I526="EQUAL",BB526=1,BA526&gt;=duoMax),"K","J"),
C526="K",
IF(
 I526="SAME",
 IF(
   XLOOKUP($B526,Derived_Variables!$A:$A,Derived_Variables!$Q:$Q,"None")="None",
   "END",
   "P"
 ),
 "K"
),
C526="P",
IF(OR(I526="READABLE",I526="SAME"),"Q","P"),
C526="Q",
IF(OR(I526="READABLE",I526="SAME"),"R","Q"),
C526="R",
IF(OR(I526="TARGET_OK",I526="SAME"),"END","R"),
TRUE,"END"
)))</f>
        <v/>
      </c>
      <c r="BD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 t="str">
        <f t="array" ref="BC527">IF($I527="","",LET(
conf,AI527,
sameN,IF(conf="Low",1,IF(conf="Medium",2,3)),
duoMax,XLOOKUP($B527,Derived_Variables!$A:$A,Derived_Variables!$AI:$AI,4),
axisTol,XLOOKUP($B527,Derived_Variables!$A:$A,Derived_Variables!$W:$W,1),
IFS(
C527="A",
IF(
 OR(
   I527="NOT_READABLE",
   I527="BLURRY",
   AND(R527="20_20_20",I527="READABLE")
 ),
 "B",
 "A"
),
C527="B",
IF(AND(AV527&gt;=AW527,I527="READABLE"),"E","B"),
C527="E",
IF(OR(I527="SAME",AD527&lt;=axisTol),"F","E"),
C527="F",
IF(AX527&gt;=sameN,"G","F"),
C527="G",
IF(OR(I527="EQUAL",BB527=1,BA527&gt;=duoMax),"D","G"),
C527="D",
IF(AND(AV527&gt;=AW527,I527="READABLE"),"H","D"),
C527="H",
IF(OR(I527="SAME",AD527&lt;=axisTol),"I","H"),
C527="I",
IF(AX527&gt;=sameN,"J","I"),
C527="J",
IF(OR(I527="EQUAL",BB527=1,BA527&gt;=duoMax),"K","J"),
C527="K",
IF(
 I527="SAME",
 IF(
   XLOOKUP($B527,Derived_Variables!$A:$A,Derived_Variables!$Q:$Q,"None")="None",
   "END",
   "P"
 ),
 "K"
),
C527="P",
IF(OR(I527="READABLE",I527="SAME"),"Q","P"),
C527="Q",
IF(OR(I527="READABLE",I527="SAME"),"R","Q"),
C527="R",
IF(OR(I527="TARGET_OK",I527="SAME"),"END","R"),
TRUE,"END"
)))</f>
        <v/>
      </c>
      <c r="BD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 t="str">
        <f t="array" ref="BC528">IF($I528="","",LET(
conf,AI528,
sameN,IF(conf="Low",1,IF(conf="Medium",2,3)),
duoMax,XLOOKUP($B528,Derived_Variables!$A:$A,Derived_Variables!$AI:$AI,4),
axisTol,XLOOKUP($B528,Derived_Variables!$A:$A,Derived_Variables!$W:$W,1),
IFS(
C528="A",
IF(
 OR(
   I528="NOT_READABLE",
   I528="BLURRY",
   AND(R528="20_20_20",I528="READABLE")
 ),
 "B",
 "A"
),
C528="B",
IF(AND(AV528&gt;=AW528,I528="READABLE"),"E","B"),
C528="E",
IF(OR(I528="SAME",AD528&lt;=axisTol),"F","E"),
C528="F",
IF(AX528&gt;=sameN,"G","F"),
C528="G",
IF(OR(I528="EQUAL",BB528=1,BA528&gt;=duoMax),"D","G"),
C528="D",
IF(AND(AV528&gt;=AW528,I528="READABLE"),"H","D"),
C528="H",
IF(OR(I528="SAME",AD528&lt;=axisTol),"I","H"),
C528="I",
IF(AX528&gt;=sameN,"J","I"),
C528="J",
IF(OR(I528="EQUAL",BB528=1,BA528&gt;=duoMax),"K","J"),
C528="K",
IF(
 I528="SAME",
 IF(
   XLOOKUP($B528,Derived_Variables!$A:$A,Derived_Variables!$Q:$Q,"None")="None",
   "END",
   "P"
 ),
 "K"
),
C528="P",
IF(OR(I528="READABLE",I528="SAME"),"Q","P"),
C528="Q",
IF(OR(I528="READABLE",I528="SAME"),"R","Q"),
C528="R",
IF(OR(I528="TARGET_OK",I528="SAME"),"END","R"),
TRUE,"END"
)))</f>
        <v/>
      </c>
      <c r="BD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 t="str">
        <f t="array" ref="BC529">IF($I529="","",LET(
conf,AI529,
sameN,IF(conf="Low",1,IF(conf="Medium",2,3)),
duoMax,XLOOKUP($B529,Derived_Variables!$A:$A,Derived_Variables!$AI:$AI,4),
axisTol,XLOOKUP($B529,Derived_Variables!$A:$A,Derived_Variables!$W:$W,1),
IFS(
C529="A",
IF(
 OR(
   I529="NOT_READABLE",
   I529="BLURRY",
   AND(R529="20_20_20",I529="READABLE")
 ),
 "B",
 "A"
),
C529="B",
IF(AND(AV529&gt;=AW529,I529="READABLE"),"E","B"),
C529="E",
IF(OR(I529="SAME",AD529&lt;=axisTol),"F","E"),
C529="F",
IF(AX529&gt;=sameN,"G","F"),
C529="G",
IF(OR(I529="EQUAL",BB529=1,BA529&gt;=duoMax),"D","G"),
C529="D",
IF(AND(AV529&gt;=AW529,I529="READABLE"),"H","D"),
C529="H",
IF(OR(I529="SAME",AD529&lt;=axisTol),"I","H"),
C529="I",
IF(AX529&gt;=sameN,"J","I"),
C529="J",
IF(OR(I529="EQUAL",BB529=1,BA529&gt;=duoMax),"K","J"),
C529="K",
IF(
 I529="SAME",
 IF(
   XLOOKUP($B529,Derived_Variables!$A:$A,Derived_Variables!$Q:$Q,"None")="None",
   "END",
   "P"
 ),
 "K"
),
C529="P",
IF(OR(I529="READABLE",I529="SAME"),"Q","P"),
C529="Q",
IF(OR(I529="READABLE",I529="SAME"),"R","Q"),
C529="R",
IF(OR(I529="TARGET_OK",I529="SAME"),"END","R"),
TRUE,"END"
)))</f>
        <v/>
      </c>
      <c r="BD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 t="str">
        <f t="array" ref="BC530">IF($I530="","",LET(
conf,AI530,
sameN,IF(conf="Low",1,IF(conf="Medium",2,3)),
duoMax,XLOOKUP($B530,Derived_Variables!$A:$A,Derived_Variables!$AI:$AI,4),
axisTol,XLOOKUP($B530,Derived_Variables!$A:$A,Derived_Variables!$W:$W,1),
IFS(
C530="A",
IF(
 OR(
   I530="NOT_READABLE",
   I530="BLURRY",
   AND(R530="20_20_20",I530="READABLE")
 ),
 "B",
 "A"
),
C530="B",
IF(AND(AV530&gt;=AW530,I530="READABLE"),"E","B"),
C530="E",
IF(OR(I530="SAME",AD530&lt;=axisTol),"F","E"),
C530="F",
IF(AX530&gt;=sameN,"G","F"),
C530="G",
IF(OR(I530="EQUAL",BB530=1,BA530&gt;=duoMax),"D","G"),
C530="D",
IF(AND(AV530&gt;=AW530,I530="READABLE"),"H","D"),
C530="H",
IF(OR(I530="SAME",AD530&lt;=axisTol),"I","H"),
C530="I",
IF(AX530&gt;=sameN,"J","I"),
C530="J",
IF(OR(I530="EQUAL",BB530=1,BA530&gt;=duoMax),"K","J"),
C530="K",
IF(
 I530="SAME",
 IF(
   XLOOKUP($B530,Derived_Variables!$A:$A,Derived_Variables!$Q:$Q,"None")="None",
   "END",
   "P"
 ),
 "K"
),
C530="P",
IF(OR(I530="READABLE",I530="SAME"),"Q","P"),
C530="Q",
IF(OR(I530="READABLE",I530="SAME"),"R","Q"),
C530="R",
IF(OR(I530="TARGET_OK",I530="SAME"),"END","R"),
TRUE,"END"
)))</f>
        <v/>
      </c>
      <c r="BD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 t="str">
        <f t="array" ref="BC531">IF($I531="","",LET(
conf,AI531,
sameN,IF(conf="Low",1,IF(conf="Medium",2,3)),
duoMax,XLOOKUP($B531,Derived_Variables!$A:$A,Derived_Variables!$AI:$AI,4),
axisTol,XLOOKUP($B531,Derived_Variables!$A:$A,Derived_Variables!$W:$W,1),
IFS(
C531="A",
IF(
 OR(
   I531="NOT_READABLE",
   I531="BLURRY",
   AND(R531="20_20_20",I531="READABLE")
 ),
 "B",
 "A"
),
C531="B",
IF(AND(AV531&gt;=AW531,I531="READABLE"),"E","B"),
C531="E",
IF(OR(I531="SAME",AD531&lt;=axisTol),"F","E"),
C531="F",
IF(AX531&gt;=sameN,"G","F"),
C531="G",
IF(OR(I531="EQUAL",BB531=1,BA531&gt;=duoMax),"D","G"),
C531="D",
IF(AND(AV531&gt;=AW531,I531="READABLE"),"H","D"),
C531="H",
IF(OR(I531="SAME",AD531&lt;=axisTol),"I","H"),
C531="I",
IF(AX531&gt;=sameN,"J","I"),
C531="J",
IF(OR(I531="EQUAL",BB531=1,BA531&gt;=duoMax),"K","J"),
C531="K",
IF(
 I531="SAME",
 IF(
   XLOOKUP($B531,Derived_Variables!$A:$A,Derived_Variables!$Q:$Q,"None")="None",
   "END",
   "P"
 ),
 "K"
),
C531="P",
IF(OR(I531="READABLE",I531="SAME"),"Q","P"),
C531="Q",
IF(OR(I531="READABLE",I531="SAME"),"R","Q"),
C531="R",
IF(OR(I531="TARGET_OK",I531="SAME"),"END","R"),
TRUE,"END"
)))</f>
        <v/>
      </c>
      <c r="BD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 t="str">
        <f t="array" ref="BC532">IF($I532="","",LET(
conf,AI532,
sameN,IF(conf="Low",1,IF(conf="Medium",2,3)),
duoMax,XLOOKUP($B532,Derived_Variables!$A:$A,Derived_Variables!$AI:$AI,4),
axisTol,XLOOKUP($B532,Derived_Variables!$A:$A,Derived_Variables!$W:$W,1),
IFS(
C532="A",
IF(
 OR(
   I532="NOT_READABLE",
   I532="BLURRY",
   AND(R532="20_20_20",I532="READABLE")
 ),
 "B",
 "A"
),
C532="B",
IF(AND(AV532&gt;=AW532,I532="READABLE"),"E","B"),
C532="E",
IF(OR(I532="SAME",AD532&lt;=axisTol),"F","E"),
C532="F",
IF(AX532&gt;=sameN,"G","F"),
C532="G",
IF(OR(I532="EQUAL",BB532=1,BA532&gt;=duoMax),"D","G"),
C532="D",
IF(AND(AV532&gt;=AW532,I532="READABLE"),"H","D"),
C532="H",
IF(OR(I532="SAME",AD532&lt;=axisTol),"I","H"),
C532="I",
IF(AX532&gt;=sameN,"J","I"),
C532="J",
IF(OR(I532="EQUAL",BB532=1,BA532&gt;=duoMax),"K","J"),
C532="K",
IF(
 I532="SAME",
 IF(
   XLOOKUP($B532,Derived_Variables!$A:$A,Derived_Variables!$Q:$Q,"None")="None",
   "END",
   "P"
 ),
 "K"
),
C532="P",
IF(OR(I532="READABLE",I532="SAME"),"Q","P"),
C532="Q",
IF(OR(I532="READABLE",I532="SAME"),"R","Q"),
C532="R",
IF(OR(I532="TARGET_OK",I532="SAME"),"END","R"),
TRUE,"END"
)))</f>
        <v/>
      </c>
      <c r="BD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 t="str">
        <f t="array" ref="BC533">IF($I533="","",LET(
conf,AI533,
sameN,IF(conf="Low",1,IF(conf="Medium",2,3)),
duoMax,XLOOKUP($B533,Derived_Variables!$A:$A,Derived_Variables!$AI:$AI,4),
axisTol,XLOOKUP($B533,Derived_Variables!$A:$A,Derived_Variables!$W:$W,1),
IFS(
C533="A",
IF(
 OR(
   I533="NOT_READABLE",
   I533="BLURRY",
   AND(R533="20_20_20",I533="READABLE")
 ),
 "B",
 "A"
),
C533="B",
IF(AND(AV533&gt;=AW533,I533="READABLE"),"E","B"),
C533="E",
IF(OR(I533="SAME",AD533&lt;=axisTol),"F","E"),
C533="F",
IF(AX533&gt;=sameN,"G","F"),
C533="G",
IF(OR(I533="EQUAL",BB533=1,BA533&gt;=duoMax),"D","G"),
C533="D",
IF(AND(AV533&gt;=AW533,I533="READABLE"),"H","D"),
C533="H",
IF(OR(I533="SAME",AD533&lt;=axisTol),"I","H"),
C533="I",
IF(AX533&gt;=sameN,"J","I"),
C533="J",
IF(OR(I533="EQUAL",BB533=1,BA533&gt;=duoMax),"K","J"),
C533="K",
IF(
 I533="SAME",
 IF(
   XLOOKUP($B533,Derived_Variables!$A:$A,Derived_Variables!$Q:$Q,"None")="None",
   "END",
   "P"
 ),
 "K"
),
C533="P",
IF(OR(I533="READABLE",I533="SAME"),"Q","P"),
C533="Q",
IF(OR(I533="READABLE",I533="SAME"),"R","Q"),
C533="R",
IF(OR(I533="TARGET_OK",I533="SAME"),"END","R"),
TRUE,"END"
)))</f>
        <v/>
      </c>
      <c r="BD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 t="str">
        <f t="array" ref="BC534">IF($I534="","",LET(
conf,AI534,
sameN,IF(conf="Low",1,IF(conf="Medium",2,3)),
duoMax,XLOOKUP($B534,Derived_Variables!$A:$A,Derived_Variables!$AI:$AI,4),
axisTol,XLOOKUP($B534,Derived_Variables!$A:$A,Derived_Variables!$W:$W,1),
IFS(
C534="A",
IF(
 OR(
   I534="NOT_READABLE",
   I534="BLURRY",
   AND(R534="20_20_20",I534="READABLE")
 ),
 "B",
 "A"
),
C534="B",
IF(AND(AV534&gt;=AW534,I534="READABLE"),"E","B"),
C534="E",
IF(OR(I534="SAME",AD534&lt;=axisTol),"F","E"),
C534="F",
IF(AX534&gt;=sameN,"G","F"),
C534="G",
IF(OR(I534="EQUAL",BB534=1,BA534&gt;=duoMax),"D","G"),
C534="D",
IF(AND(AV534&gt;=AW534,I534="READABLE"),"H","D"),
C534="H",
IF(OR(I534="SAME",AD534&lt;=axisTol),"I","H"),
C534="I",
IF(AX534&gt;=sameN,"J","I"),
C534="J",
IF(OR(I534="EQUAL",BB534=1,BA534&gt;=duoMax),"K","J"),
C534="K",
IF(
 I534="SAME",
 IF(
   XLOOKUP($B534,Derived_Variables!$A:$A,Derived_Variables!$Q:$Q,"None")="None",
   "END",
   "P"
 ),
 "K"
),
C534="P",
IF(OR(I534="READABLE",I534="SAME"),"Q","P"),
C534="Q",
IF(OR(I534="READABLE",I534="SAME"),"R","Q"),
C534="R",
IF(OR(I534="TARGET_OK",I534="SAME"),"END","R"),
TRUE,"END"
)))</f>
        <v/>
      </c>
      <c r="BD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 t="str">
        <f t="array" ref="BC535">IF($I535="","",LET(
conf,AI535,
sameN,IF(conf="Low",1,IF(conf="Medium",2,3)),
duoMax,XLOOKUP($B535,Derived_Variables!$A:$A,Derived_Variables!$AI:$AI,4),
axisTol,XLOOKUP($B535,Derived_Variables!$A:$A,Derived_Variables!$W:$W,1),
IFS(
C535="A",
IF(
 OR(
   I535="NOT_READABLE",
   I535="BLURRY",
   AND(R535="20_20_20",I535="READABLE")
 ),
 "B",
 "A"
),
C535="B",
IF(AND(AV535&gt;=AW535,I535="READABLE"),"E","B"),
C535="E",
IF(OR(I535="SAME",AD535&lt;=axisTol),"F","E"),
C535="F",
IF(AX535&gt;=sameN,"G","F"),
C535="G",
IF(OR(I535="EQUAL",BB535=1,BA535&gt;=duoMax),"D","G"),
C535="D",
IF(AND(AV535&gt;=AW535,I535="READABLE"),"H","D"),
C535="H",
IF(OR(I535="SAME",AD535&lt;=axisTol),"I","H"),
C535="I",
IF(AX535&gt;=sameN,"J","I"),
C535="J",
IF(OR(I535="EQUAL",BB535=1,BA535&gt;=duoMax),"K","J"),
C535="K",
IF(
 I535="SAME",
 IF(
   XLOOKUP($B535,Derived_Variables!$A:$A,Derived_Variables!$Q:$Q,"None")="None",
   "END",
   "P"
 ),
 "K"
),
C535="P",
IF(OR(I535="READABLE",I535="SAME"),"Q","P"),
C535="Q",
IF(OR(I535="READABLE",I535="SAME"),"R","Q"),
C535="R",
IF(OR(I535="TARGET_OK",I535="SAME"),"END","R"),
TRUE,"END"
)))</f>
        <v/>
      </c>
      <c r="BD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 t="str">
        <f t="array" ref="BC536">IF($I536="","",LET(
conf,AI536,
sameN,IF(conf="Low",1,IF(conf="Medium",2,3)),
duoMax,XLOOKUP($B536,Derived_Variables!$A:$A,Derived_Variables!$AI:$AI,4),
axisTol,XLOOKUP($B536,Derived_Variables!$A:$A,Derived_Variables!$W:$W,1),
IFS(
C536="A",
IF(
 OR(
   I536="NOT_READABLE",
   I536="BLURRY",
   AND(R536="20_20_20",I536="READABLE")
 ),
 "B",
 "A"
),
C536="B",
IF(AND(AV536&gt;=AW536,I536="READABLE"),"E","B"),
C536="E",
IF(OR(I536="SAME",AD536&lt;=axisTol),"F","E"),
C536="F",
IF(AX536&gt;=sameN,"G","F"),
C536="G",
IF(OR(I536="EQUAL",BB536=1,BA536&gt;=duoMax),"D","G"),
C536="D",
IF(AND(AV536&gt;=AW536,I536="READABLE"),"H","D"),
C536="H",
IF(OR(I536="SAME",AD536&lt;=axisTol),"I","H"),
C536="I",
IF(AX536&gt;=sameN,"J","I"),
C536="J",
IF(OR(I536="EQUAL",BB536=1,BA536&gt;=duoMax),"K","J"),
C536="K",
IF(
 I536="SAME",
 IF(
   XLOOKUP($B536,Derived_Variables!$A:$A,Derived_Variables!$Q:$Q,"None")="None",
   "END",
   "P"
 ),
 "K"
),
C536="P",
IF(OR(I536="READABLE",I536="SAME"),"Q","P"),
C536="Q",
IF(OR(I536="READABLE",I536="SAME"),"R","Q"),
C536="R",
IF(OR(I536="TARGET_OK",I536="SAME"),"END","R"),
TRUE,"END"
)))</f>
        <v/>
      </c>
      <c r="BD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 t="str">
        <f t="array" ref="BC537">IF($I537="","",LET(
conf,AI537,
sameN,IF(conf="Low",1,IF(conf="Medium",2,3)),
duoMax,XLOOKUP($B537,Derived_Variables!$A:$A,Derived_Variables!$AI:$AI,4),
axisTol,XLOOKUP($B537,Derived_Variables!$A:$A,Derived_Variables!$W:$W,1),
IFS(
C537="A",
IF(
 OR(
   I537="NOT_READABLE",
   I537="BLURRY",
   AND(R537="20_20_20",I537="READABLE")
 ),
 "B",
 "A"
),
C537="B",
IF(AND(AV537&gt;=AW537,I537="READABLE"),"E","B"),
C537="E",
IF(OR(I537="SAME",AD537&lt;=axisTol),"F","E"),
C537="F",
IF(AX537&gt;=sameN,"G","F"),
C537="G",
IF(OR(I537="EQUAL",BB537=1,BA537&gt;=duoMax),"D","G"),
C537="D",
IF(AND(AV537&gt;=AW537,I537="READABLE"),"H","D"),
C537="H",
IF(OR(I537="SAME",AD537&lt;=axisTol),"I","H"),
C537="I",
IF(AX537&gt;=sameN,"J","I"),
C537="J",
IF(OR(I537="EQUAL",BB537=1,BA537&gt;=duoMax),"K","J"),
C537="K",
IF(
 I537="SAME",
 IF(
   XLOOKUP($B537,Derived_Variables!$A:$A,Derived_Variables!$Q:$Q,"None")="None",
   "END",
   "P"
 ),
 "K"
),
C537="P",
IF(OR(I537="READABLE",I537="SAME"),"Q","P"),
C537="Q",
IF(OR(I537="READABLE",I537="SAME"),"R","Q"),
C537="R",
IF(OR(I537="TARGET_OK",I537="SAME"),"END","R"),
TRUE,"END"
)))</f>
        <v/>
      </c>
      <c r="BD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 t="str">
        <f t="array" ref="BC538">IF($I538="","",LET(
conf,AI538,
sameN,IF(conf="Low",1,IF(conf="Medium",2,3)),
duoMax,XLOOKUP($B538,Derived_Variables!$A:$A,Derived_Variables!$AI:$AI,4),
axisTol,XLOOKUP($B538,Derived_Variables!$A:$A,Derived_Variables!$W:$W,1),
IFS(
C538="A",
IF(
 OR(
   I538="NOT_READABLE",
   I538="BLURRY",
   AND(R538="20_20_20",I538="READABLE")
 ),
 "B",
 "A"
),
C538="B",
IF(AND(AV538&gt;=AW538,I538="READABLE"),"E","B"),
C538="E",
IF(OR(I538="SAME",AD538&lt;=axisTol),"F","E"),
C538="F",
IF(AX538&gt;=sameN,"G","F"),
C538="G",
IF(OR(I538="EQUAL",BB538=1,BA538&gt;=duoMax),"D","G"),
C538="D",
IF(AND(AV538&gt;=AW538,I538="READABLE"),"H","D"),
C538="H",
IF(OR(I538="SAME",AD538&lt;=axisTol),"I","H"),
C538="I",
IF(AX538&gt;=sameN,"J","I"),
C538="J",
IF(OR(I538="EQUAL",BB538=1,BA538&gt;=duoMax),"K","J"),
C538="K",
IF(
 I538="SAME",
 IF(
   XLOOKUP($B538,Derived_Variables!$A:$A,Derived_Variables!$Q:$Q,"None")="None",
   "END",
   "P"
 ),
 "K"
),
C538="P",
IF(OR(I538="READABLE",I538="SAME"),"Q","P"),
C538="Q",
IF(OR(I538="READABLE",I538="SAME"),"R","Q"),
C538="R",
IF(OR(I538="TARGET_OK",I538="SAME"),"END","R"),
TRUE,"END"
)))</f>
        <v/>
      </c>
      <c r="BD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 t="str">
        <f t="array" ref="BC539">IF($I539="","",LET(
conf,AI539,
sameN,IF(conf="Low",1,IF(conf="Medium",2,3)),
duoMax,XLOOKUP($B539,Derived_Variables!$A:$A,Derived_Variables!$AI:$AI,4),
axisTol,XLOOKUP($B539,Derived_Variables!$A:$A,Derived_Variables!$W:$W,1),
IFS(
C539="A",
IF(
 OR(
   I539="NOT_READABLE",
   I539="BLURRY",
   AND(R539="20_20_20",I539="READABLE")
 ),
 "B",
 "A"
),
C539="B",
IF(AND(AV539&gt;=AW539,I539="READABLE"),"E","B"),
C539="E",
IF(OR(I539="SAME",AD539&lt;=axisTol),"F","E"),
C539="F",
IF(AX539&gt;=sameN,"G","F"),
C539="G",
IF(OR(I539="EQUAL",BB539=1,BA539&gt;=duoMax),"D","G"),
C539="D",
IF(AND(AV539&gt;=AW539,I539="READABLE"),"H","D"),
C539="H",
IF(OR(I539="SAME",AD539&lt;=axisTol),"I","H"),
C539="I",
IF(AX539&gt;=sameN,"J","I"),
C539="J",
IF(OR(I539="EQUAL",BB539=1,BA539&gt;=duoMax),"K","J"),
C539="K",
IF(
 I539="SAME",
 IF(
   XLOOKUP($B539,Derived_Variables!$A:$A,Derived_Variables!$Q:$Q,"None")="None",
   "END",
   "P"
 ),
 "K"
),
C539="P",
IF(OR(I539="READABLE",I539="SAME"),"Q","P"),
C539="Q",
IF(OR(I539="READABLE",I539="SAME"),"R","Q"),
C539="R",
IF(OR(I539="TARGET_OK",I539="SAME"),"END","R"),
TRUE,"END"
)))</f>
        <v/>
      </c>
      <c r="BD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 t="str">
        <f t="array" ref="BC540">IF($I540="","",LET(
conf,AI540,
sameN,IF(conf="Low",1,IF(conf="Medium",2,3)),
duoMax,XLOOKUP($B540,Derived_Variables!$A:$A,Derived_Variables!$AI:$AI,4),
axisTol,XLOOKUP($B540,Derived_Variables!$A:$A,Derived_Variables!$W:$W,1),
IFS(
C540="A",
IF(
 OR(
   I540="NOT_READABLE",
   I540="BLURRY",
   AND(R540="20_20_20",I540="READABLE")
 ),
 "B",
 "A"
),
C540="B",
IF(AND(AV540&gt;=AW540,I540="READABLE"),"E","B"),
C540="E",
IF(OR(I540="SAME",AD540&lt;=axisTol),"F","E"),
C540="F",
IF(AX540&gt;=sameN,"G","F"),
C540="G",
IF(OR(I540="EQUAL",BB540=1,BA540&gt;=duoMax),"D","G"),
C540="D",
IF(AND(AV540&gt;=AW540,I540="READABLE"),"H","D"),
C540="H",
IF(OR(I540="SAME",AD540&lt;=axisTol),"I","H"),
C540="I",
IF(AX540&gt;=sameN,"J","I"),
C540="J",
IF(OR(I540="EQUAL",BB540=1,BA540&gt;=duoMax),"K","J"),
C540="K",
IF(
 I540="SAME",
 IF(
   XLOOKUP($B540,Derived_Variables!$A:$A,Derived_Variables!$Q:$Q,"None")="None",
   "END",
   "P"
 ),
 "K"
),
C540="P",
IF(OR(I540="READABLE",I540="SAME"),"Q","P"),
C540="Q",
IF(OR(I540="READABLE",I540="SAME"),"R","Q"),
C540="R",
IF(OR(I540="TARGET_OK",I540="SAME"),"END","R"),
TRUE,"END"
)))</f>
        <v/>
      </c>
      <c r="BD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 t="str">
        <f t="array" ref="BC541">IF($I541="","",LET(
conf,AI541,
sameN,IF(conf="Low",1,IF(conf="Medium",2,3)),
duoMax,XLOOKUP($B541,Derived_Variables!$A:$A,Derived_Variables!$AI:$AI,4),
axisTol,XLOOKUP($B541,Derived_Variables!$A:$A,Derived_Variables!$W:$W,1),
IFS(
C541="A",
IF(
 OR(
   I541="NOT_READABLE",
   I541="BLURRY",
   AND(R541="20_20_20",I541="READABLE")
 ),
 "B",
 "A"
),
C541="B",
IF(AND(AV541&gt;=AW541,I541="READABLE"),"E","B"),
C541="E",
IF(OR(I541="SAME",AD541&lt;=axisTol),"F","E"),
C541="F",
IF(AX541&gt;=sameN,"G","F"),
C541="G",
IF(OR(I541="EQUAL",BB541=1,BA541&gt;=duoMax),"D","G"),
C541="D",
IF(AND(AV541&gt;=AW541,I541="READABLE"),"H","D"),
C541="H",
IF(OR(I541="SAME",AD541&lt;=axisTol),"I","H"),
C541="I",
IF(AX541&gt;=sameN,"J","I"),
C541="J",
IF(OR(I541="EQUAL",BB541=1,BA541&gt;=duoMax),"K","J"),
C541="K",
IF(
 I541="SAME",
 IF(
   XLOOKUP($B541,Derived_Variables!$A:$A,Derived_Variables!$Q:$Q,"None")="None",
   "END",
   "P"
 ),
 "K"
),
C541="P",
IF(OR(I541="READABLE",I541="SAME"),"Q","P"),
C541="Q",
IF(OR(I541="READABLE",I541="SAME"),"R","Q"),
C541="R",
IF(OR(I541="TARGET_OK",I541="SAME"),"END","R"),
TRUE,"END"
)))</f>
        <v/>
      </c>
      <c r="BD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 t="str">
        <f t="array" ref="BC542">IF($I542="","",LET(
conf,AI542,
sameN,IF(conf="Low",1,IF(conf="Medium",2,3)),
duoMax,XLOOKUP($B542,Derived_Variables!$A:$A,Derived_Variables!$AI:$AI,4),
axisTol,XLOOKUP($B542,Derived_Variables!$A:$A,Derived_Variables!$W:$W,1),
IFS(
C542="A",
IF(
 OR(
   I542="NOT_READABLE",
   I542="BLURRY",
   AND(R542="20_20_20",I542="READABLE")
 ),
 "B",
 "A"
),
C542="B",
IF(AND(AV542&gt;=AW542,I542="READABLE"),"E","B"),
C542="E",
IF(OR(I542="SAME",AD542&lt;=axisTol),"F","E"),
C542="F",
IF(AX542&gt;=sameN,"G","F"),
C542="G",
IF(OR(I542="EQUAL",BB542=1,BA542&gt;=duoMax),"D","G"),
C542="D",
IF(AND(AV542&gt;=AW542,I542="READABLE"),"H","D"),
C542="H",
IF(OR(I542="SAME",AD542&lt;=axisTol),"I","H"),
C542="I",
IF(AX542&gt;=sameN,"J","I"),
C542="J",
IF(OR(I542="EQUAL",BB542=1,BA542&gt;=duoMax),"K","J"),
C542="K",
IF(
 I542="SAME",
 IF(
   XLOOKUP($B542,Derived_Variables!$A:$A,Derived_Variables!$Q:$Q,"None")="None",
   "END",
   "P"
 ),
 "K"
),
C542="P",
IF(OR(I542="READABLE",I542="SAME"),"Q","P"),
C542="Q",
IF(OR(I542="READABLE",I542="SAME"),"R","Q"),
C542="R",
IF(OR(I542="TARGET_OK",I542="SAME"),"END","R"),
TRUE,"END"
)))</f>
        <v/>
      </c>
      <c r="BD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 t="str">
        <f t="array" ref="BC543">IF($I543="","",LET(
conf,AI543,
sameN,IF(conf="Low",1,IF(conf="Medium",2,3)),
duoMax,XLOOKUP($B543,Derived_Variables!$A:$A,Derived_Variables!$AI:$AI,4),
axisTol,XLOOKUP($B543,Derived_Variables!$A:$A,Derived_Variables!$W:$W,1),
IFS(
C543="A",
IF(
 OR(
   I543="NOT_READABLE",
   I543="BLURRY",
   AND(R543="20_20_20",I543="READABLE")
 ),
 "B",
 "A"
),
C543="B",
IF(AND(AV543&gt;=AW543,I543="READABLE"),"E","B"),
C543="E",
IF(OR(I543="SAME",AD543&lt;=axisTol),"F","E"),
C543="F",
IF(AX543&gt;=sameN,"G","F"),
C543="G",
IF(OR(I543="EQUAL",BB543=1,BA543&gt;=duoMax),"D","G"),
C543="D",
IF(AND(AV543&gt;=AW543,I543="READABLE"),"H","D"),
C543="H",
IF(OR(I543="SAME",AD543&lt;=axisTol),"I","H"),
C543="I",
IF(AX543&gt;=sameN,"J","I"),
C543="J",
IF(OR(I543="EQUAL",BB543=1,BA543&gt;=duoMax),"K","J"),
C543="K",
IF(
 I543="SAME",
 IF(
   XLOOKUP($B543,Derived_Variables!$A:$A,Derived_Variables!$Q:$Q,"None")="None",
   "END",
   "P"
 ),
 "K"
),
C543="P",
IF(OR(I543="READABLE",I543="SAME"),"Q","P"),
C543="Q",
IF(OR(I543="READABLE",I543="SAME"),"R","Q"),
C543="R",
IF(OR(I543="TARGET_OK",I543="SAME"),"END","R"),
TRUE,"END"
)))</f>
        <v/>
      </c>
      <c r="BD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 t="str">
        <f t="array" ref="BC544">IF($I544="","",LET(
conf,AI544,
sameN,IF(conf="Low",1,IF(conf="Medium",2,3)),
duoMax,XLOOKUP($B544,Derived_Variables!$A:$A,Derived_Variables!$AI:$AI,4),
axisTol,XLOOKUP($B544,Derived_Variables!$A:$A,Derived_Variables!$W:$W,1),
IFS(
C544="A",
IF(
 OR(
   I544="NOT_READABLE",
   I544="BLURRY",
   AND(R544="20_20_20",I544="READABLE")
 ),
 "B",
 "A"
),
C544="B",
IF(AND(AV544&gt;=AW544,I544="READABLE"),"E","B"),
C544="E",
IF(OR(I544="SAME",AD544&lt;=axisTol),"F","E"),
C544="F",
IF(AX544&gt;=sameN,"G","F"),
C544="G",
IF(OR(I544="EQUAL",BB544=1,BA544&gt;=duoMax),"D","G"),
C544="D",
IF(AND(AV544&gt;=AW544,I544="READABLE"),"H","D"),
C544="H",
IF(OR(I544="SAME",AD544&lt;=axisTol),"I","H"),
C544="I",
IF(AX544&gt;=sameN,"J","I"),
C544="J",
IF(OR(I544="EQUAL",BB544=1,BA544&gt;=duoMax),"K","J"),
C544="K",
IF(
 I544="SAME",
 IF(
   XLOOKUP($B544,Derived_Variables!$A:$A,Derived_Variables!$Q:$Q,"None")="None",
   "END",
   "P"
 ),
 "K"
),
C544="P",
IF(OR(I544="READABLE",I544="SAME"),"Q","P"),
C544="Q",
IF(OR(I544="READABLE",I544="SAME"),"R","Q"),
C544="R",
IF(OR(I544="TARGET_OK",I544="SAME"),"END","R"),
TRUE,"END"
)))</f>
        <v/>
      </c>
      <c r="BD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 t="str">
        <f t="array" ref="BC545">IF($I545="","",LET(
conf,AI545,
sameN,IF(conf="Low",1,IF(conf="Medium",2,3)),
duoMax,XLOOKUP($B545,Derived_Variables!$A:$A,Derived_Variables!$AI:$AI,4),
axisTol,XLOOKUP($B545,Derived_Variables!$A:$A,Derived_Variables!$W:$W,1),
IFS(
C545="A",
IF(
 OR(
   I545="NOT_READABLE",
   I545="BLURRY",
   AND(R545="20_20_20",I545="READABLE")
 ),
 "B",
 "A"
),
C545="B",
IF(AND(AV545&gt;=AW545,I545="READABLE"),"E","B"),
C545="E",
IF(OR(I545="SAME",AD545&lt;=axisTol),"F","E"),
C545="F",
IF(AX545&gt;=sameN,"G","F"),
C545="G",
IF(OR(I545="EQUAL",BB545=1,BA545&gt;=duoMax),"D","G"),
C545="D",
IF(AND(AV545&gt;=AW545,I545="READABLE"),"H","D"),
C545="H",
IF(OR(I545="SAME",AD545&lt;=axisTol),"I","H"),
C545="I",
IF(AX545&gt;=sameN,"J","I"),
C545="J",
IF(OR(I545="EQUAL",BB545=1,BA545&gt;=duoMax),"K","J"),
C545="K",
IF(
 I545="SAME",
 IF(
   XLOOKUP($B545,Derived_Variables!$A:$A,Derived_Variables!$Q:$Q,"None")="None",
   "END",
   "P"
 ),
 "K"
),
C545="P",
IF(OR(I545="READABLE",I545="SAME"),"Q","P"),
C545="Q",
IF(OR(I545="READABLE",I545="SAME"),"R","Q"),
C545="R",
IF(OR(I545="TARGET_OK",I545="SAME"),"END","R"),
TRUE,"END"
)))</f>
        <v/>
      </c>
      <c r="BD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 t="str">
        <f t="array" ref="BC546">IF($I546="","",LET(
conf,AI546,
sameN,IF(conf="Low",1,IF(conf="Medium",2,3)),
duoMax,XLOOKUP($B546,Derived_Variables!$A:$A,Derived_Variables!$AI:$AI,4),
axisTol,XLOOKUP($B546,Derived_Variables!$A:$A,Derived_Variables!$W:$W,1),
IFS(
C546="A",
IF(
 OR(
   I546="NOT_READABLE",
   I546="BLURRY",
   AND(R546="20_20_20",I546="READABLE")
 ),
 "B",
 "A"
),
C546="B",
IF(AND(AV546&gt;=AW546,I546="READABLE"),"E","B"),
C546="E",
IF(OR(I546="SAME",AD546&lt;=axisTol),"F","E"),
C546="F",
IF(AX546&gt;=sameN,"G","F"),
C546="G",
IF(OR(I546="EQUAL",BB546=1,BA546&gt;=duoMax),"D","G"),
C546="D",
IF(AND(AV546&gt;=AW546,I546="READABLE"),"H","D"),
C546="H",
IF(OR(I546="SAME",AD546&lt;=axisTol),"I","H"),
C546="I",
IF(AX546&gt;=sameN,"J","I"),
C546="J",
IF(OR(I546="EQUAL",BB546=1,BA546&gt;=duoMax),"K","J"),
C546="K",
IF(
 I546="SAME",
 IF(
   XLOOKUP($B546,Derived_Variables!$A:$A,Derived_Variables!$Q:$Q,"None")="None",
   "END",
   "P"
 ),
 "K"
),
C546="P",
IF(OR(I546="READABLE",I546="SAME"),"Q","P"),
C546="Q",
IF(OR(I546="READABLE",I546="SAME"),"R","Q"),
C546="R",
IF(OR(I546="TARGET_OK",I546="SAME"),"END","R"),
TRUE,"END"
)))</f>
        <v/>
      </c>
      <c r="BD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 t="str">
        <f t="array" ref="BC547">IF($I547="","",LET(
conf,AI547,
sameN,IF(conf="Low",1,IF(conf="Medium",2,3)),
duoMax,XLOOKUP($B547,Derived_Variables!$A:$A,Derived_Variables!$AI:$AI,4),
axisTol,XLOOKUP($B547,Derived_Variables!$A:$A,Derived_Variables!$W:$W,1),
IFS(
C547="A",
IF(
 OR(
   I547="NOT_READABLE",
   I547="BLURRY",
   AND(R547="20_20_20",I547="READABLE")
 ),
 "B",
 "A"
),
C547="B",
IF(AND(AV547&gt;=AW547,I547="READABLE"),"E","B"),
C547="E",
IF(OR(I547="SAME",AD547&lt;=axisTol),"F","E"),
C547="F",
IF(AX547&gt;=sameN,"G","F"),
C547="G",
IF(OR(I547="EQUAL",BB547=1,BA547&gt;=duoMax),"D","G"),
C547="D",
IF(AND(AV547&gt;=AW547,I547="READABLE"),"H","D"),
C547="H",
IF(OR(I547="SAME",AD547&lt;=axisTol),"I","H"),
C547="I",
IF(AX547&gt;=sameN,"J","I"),
C547="J",
IF(OR(I547="EQUAL",BB547=1,BA547&gt;=duoMax),"K","J"),
C547="K",
IF(
 I547="SAME",
 IF(
   XLOOKUP($B547,Derived_Variables!$A:$A,Derived_Variables!$Q:$Q,"None")="None",
   "END",
   "P"
 ),
 "K"
),
C547="P",
IF(OR(I547="READABLE",I547="SAME"),"Q","P"),
C547="Q",
IF(OR(I547="READABLE",I547="SAME"),"R","Q"),
C547="R",
IF(OR(I547="TARGET_OK",I547="SAME"),"END","R"),
TRUE,"END"
)))</f>
        <v/>
      </c>
      <c r="BD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 t="str">
        <f t="array" ref="BC548">IF($I548="","",LET(
conf,AI548,
sameN,IF(conf="Low",1,IF(conf="Medium",2,3)),
duoMax,XLOOKUP($B548,Derived_Variables!$A:$A,Derived_Variables!$AI:$AI,4),
axisTol,XLOOKUP($B548,Derived_Variables!$A:$A,Derived_Variables!$W:$W,1),
IFS(
C548="A",
IF(
 OR(
   I548="NOT_READABLE",
   I548="BLURRY",
   AND(R548="20_20_20",I548="READABLE")
 ),
 "B",
 "A"
),
C548="B",
IF(AND(AV548&gt;=AW548,I548="READABLE"),"E","B"),
C548="E",
IF(OR(I548="SAME",AD548&lt;=axisTol),"F","E"),
C548="F",
IF(AX548&gt;=sameN,"G","F"),
C548="G",
IF(OR(I548="EQUAL",BB548=1,BA548&gt;=duoMax),"D","G"),
C548="D",
IF(AND(AV548&gt;=AW548,I548="READABLE"),"H","D"),
C548="H",
IF(OR(I548="SAME",AD548&lt;=axisTol),"I","H"),
C548="I",
IF(AX548&gt;=sameN,"J","I"),
C548="J",
IF(OR(I548="EQUAL",BB548=1,BA548&gt;=duoMax),"K","J"),
C548="K",
IF(
 I548="SAME",
 IF(
   XLOOKUP($B548,Derived_Variables!$A:$A,Derived_Variables!$Q:$Q,"None")="None",
   "END",
   "P"
 ),
 "K"
),
C548="P",
IF(OR(I548="READABLE",I548="SAME"),"Q","P"),
C548="Q",
IF(OR(I548="READABLE",I548="SAME"),"R","Q"),
C548="R",
IF(OR(I548="TARGET_OK",I548="SAME"),"END","R"),
TRUE,"END"
)))</f>
        <v/>
      </c>
      <c r="BD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 t="str">
        <f t="array" ref="BC549">IF($I549="","",LET(
conf,AI549,
sameN,IF(conf="Low",1,IF(conf="Medium",2,3)),
duoMax,XLOOKUP($B549,Derived_Variables!$A:$A,Derived_Variables!$AI:$AI,4),
axisTol,XLOOKUP($B549,Derived_Variables!$A:$A,Derived_Variables!$W:$W,1),
IFS(
C549="A",
IF(
 OR(
   I549="NOT_READABLE",
   I549="BLURRY",
   AND(R549="20_20_20",I549="READABLE")
 ),
 "B",
 "A"
),
C549="B",
IF(AND(AV549&gt;=AW549,I549="READABLE"),"E","B"),
C549="E",
IF(OR(I549="SAME",AD549&lt;=axisTol),"F","E"),
C549="F",
IF(AX549&gt;=sameN,"G","F"),
C549="G",
IF(OR(I549="EQUAL",BB549=1,BA549&gt;=duoMax),"D","G"),
C549="D",
IF(AND(AV549&gt;=AW549,I549="READABLE"),"H","D"),
C549="H",
IF(OR(I549="SAME",AD549&lt;=axisTol),"I","H"),
C549="I",
IF(AX549&gt;=sameN,"J","I"),
C549="J",
IF(OR(I549="EQUAL",BB549=1,BA549&gt;=duoMax),"K","J"),
C549="K",
IF(
 I549="SAME",
 IF(
   XLOOKUP($B549,Derived_Variables!$A:$A,Derived_Variables!$Q:$Q,"None")="None",
   "END",
   "P"
 ),
 "K"
),
C549="P",
IF(OR(I549="READABLE",I549="SAME"),"Q","P"),
C549="Q",
IF(OR(I549="READABLE",I549="SAME"),"R","Q"),
C549="R",
IF(OR(I549="TARGET_OK",I549="SAME"),"END","R"),
TRUE,"END"
)))</f>
        <v/>
      </c>
      <c r="BD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 t="str">
        <f t="array" ref="BC550">IF($I550="","",LET(
conf,AI550,
sameN,IF(conf="Low",1,IF(conf="Medium",2,3)),
duoMax,XLOOKUP($B550,Derived_Variables!$A:$A,Derived_Variables!$AI:$AI,4),
axisTol,XLOOKUP($B550,Derived_Variables!$A:$A,Derived_Variables!$W:$W,1),
IFS(
C550="A",
IF(
 OR(
   I550="NOT_READABLE",
   I550="BLURRY",
   AND(R550="20_20_20",I550="READABLE")
 ),
 "B",
 "A"
),
C550="B",
IF(AND(AV550&gt;=AW550,I550="READABLE"),"E","B"),
C550="E",
IF(OR(I550="SAME",AD550&lt;=axisTol),"F","E"),
C550="F",
IF(AX550&gt;=sameN,"G","F"),
C550="G",
IF(OR(I550="EQUAL",BB550=1,BA550&gt;=duoMax),"D","G"),
C550="D",
IF(AND(AV550&gt;=AW550,I550="READABLE"),"H","D"),
C550="H",
IF(OR(I550="SAME",AD550&lt;=axisTol),"I","H"),
C550="I",
IF(AX550&gt;=sameN,"J","I"),
C550="J",
IF(OR(I550="EQUAL",BB550=1,BA550&gt;=duoMax),"K","J"),
C550="K",
IF(
 I550="SAME",
 IF(
   XLOOKUP($B550,Derived_Variables!$A:$A,Derived_Variables!$Q:$Q,"None")="None",
   "END",
   "P"
 ),
 "K"
),
C550="P",
IF(OR(I550="READABLE",I550="SAME"),"Q","P"),
C550="Q",
IF(OR(I550="READABLE",I550="SAME"),"R","Q"),
C550="R",
IF(OR(I550="TARGET_OK",I550="SAME"),"END","R"),
TRUE,"END"
)))</f>
        <v/>
      </c>
      <c r="BD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 t="str">
        <f t="array" ref="BC551">IF($I551="","",LET(
conf,AI551,
sameN,IF(conf="Low",1,IF(conf="Medium",2,3)),
duoMax,XLOOKUP($B551,Derived_Variables!$A:$A,Derived_Variables!$AI:$AI,4),
axisTol,XLOOKUP($B551,Derived_Variables!$A:$A,Derived_Variables!$W:$W,1),
IFS(
C551="A",
IF(
 OR(
   I551="NOT_READABLE",
   I551="BLURRY",
   AND(R551="20_20_20",I551="READABLE")
 ),
 "B",
 "A"
),
C551="B",
IF(AND(AV551&gt;=AW551,I551="READABLE"),"E","B"),
C551="E",
IF(OR(I551="SAME",AD551&lt;=axisTol),"F","E"),
C551="F",
IF(AX551&gt;=sameN,"G","F"),
C551="G",
IF(OR(I551="EQUAL",BB551=1,BA551&gt;=duoMax),"D","G"),
C551="D",
IF(AND(AV551&gt;=AW551,I551="READABLE"),"H","D"),
C551="H",
IF(OR(I551="SAME",AD551&lt;=axisTol),"I","H"),
C551="I",
IF(AX551&gt;=sameN,"J","I"),
C551="J",
IF(OR(I551="EQUAL",BB551=1,BA551&gt;=duoMax),"K","J"),
C551="K",
IF(
 I551="SAME",
 IF(
   XLOOKUP($B551,Derived_Variables!$A:$A,Derived_Variables!$Q:$Q,"None")="None",
   "END",
   "P"
 ),
 "K"
),
C551="P",
IF(OR(I551="READABLE",I551="SAME"),"Q","P"),
C551="Q",
IF(OR(I551="READABLE",I551="SAME"),"R","Q"),
C551="R",
IF(OR(I551="TARGET_OK",I551="SAME"),"END","R"),
TRUE,"END"
)))</f>
        <v/>
      </c>
      <c r="BD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 t="str">
        <f t="array" ref="BC552">IF($I552="","",LET(
conf,AI552,
sameN,IF(conf="Low",1,IF(conf="Medium",2,3)),
duoMax,XLOOKUP($B552,Derived_Variables!$A:$A,Derived_Variables!$AI:$AI,4),
axisTol,XLOOKUP($B552,Derived_Variables!$A:$A,Derived_Variables!$W:$W,1),
IFS(
C552="A",
IF(
 OR(
   I552="NOT_READABLE",
   I552="BLURRY",
   AND(R552="20_20_20",I552="READABLE")
 ),
 "B",
 "A"
),
C552="B",
IF(AND(AV552&gt;=AW552,I552="READABLE"),"E","B"),
C552="E",
IF(OR(I552="SAME",AD552&lt;=axisTol),"F","E"),
C552="F",
IF(AX552&gt;=sameN,"G","F"),
C552="G",
IF(OR(I552="EQUAL",BB552=1,BA552&gt;=duoMax),"D","G"),
C552="D",
IF(AND(AV552&gt;=AW552,I552="READABLE"),"H","D"),
C552="H",
IF(OR(I552="SAME",AD552&lt;=axisTol),"I","H"),
C552="I",
IF(AX552&gt;=sameN,"J","I"),
C552="J",
IF(OR(I552="EQUAL",BB552=1,BA552&gt;=duoMax),"K","J"),
C552="K",
IF(
 I552="SAME",
 IF(
   XLOOKUP($B552,Derived_Variables!$A:$A,Derived_Variables!$Q:$Q,"None")="None",
   "END",
   "P"
 ),
 "K"
),
C552="P",
IF(OR(I552="READABLE",I552="SAME"),"Q","P"),
C552="Q",
IF(OR(I552="READABLE",I552="SAME"),"R","Q"),
C552="R",
IF(OR(I552="TARGET_OK",I552="SAME"),"END","R"),
TRUE,"END"
)))</f>
        <v/>
      </c>
      <c r="BD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 t="str">
        <f t="array" ref="BC553">IF($I553="","",LET(
conf,AI553,
sameN,IF(conf="Low",1,IF(conf="Medium",2,3)),
duoMax,XLOOKUP($B553,Derived_Variables!$A:$A,Derived_Variables!$AI:$AI,4),
axisTol,XLOOKUP($B553,Derived_Variables!$A:$A,Derived_Variables!$W:$W,1),
IFS(
C553="A",
IF(
 OR(
   I553="NOT_READABLE",
   I553="BLURRY",
   AND(R553="20_20_20",I553="READABLE")
 ),
 "B",
 "A"
),
C553="B",
IF(AND(AV553&gt;=AW553,I553="READABLE"),"E","B"),
C553="E",
IF(OR(I553="SAME",AD553&lt;=axisTol),"F","E"),
C553="F",
IF(AX553&gt;=sameN,"G","F"),
C553="G",
IF(OR(I553="EQUAL",BB553=1,BA553&gt;=duoMax),"D","G"),
C553="D",
IF(AND(AV553&gt;=AW553,I553="READABLE"),"H","D"),
C553="H",
IF(OR(I553="SAME",AD553&lt;=axisTol),"I","H"),
C553="I",
IF(AX553&gt;=sameN,"J","I"),
C553="J",
IF(OR(I553="EQUAL",BB553=1,BA553&gt;=duoMax),"K","J"),
C553="K",
IF(
 I553="SAME",
 IF(
   XLOOKUP($B553,Derived_Variables!$A:$A,Derived_Variables!$Q:$Q,"None")="None",
   "END",
   "P"
 ),
 "K"
),
C553="P",
IF(OR(I553="READABLE",I553="SAME"),"Q","P"),
C553="Q",
IF(OR(I553="READABLE",I553="SAME"),"R","Q"),
C553="R",
IF(OR(I553="TARGET_OK",I553="SAME"),"END","R"),
TRUE,"END"
)))</f>
        <v/>
      </c>
      <c r="BD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 t="str">
        <f t="array" ref="BC554">IF($I554="","",LET(
conf,AI554,
sameN,IF(conf="Low",1,IF(conf="Medium",2,3)),
duoMax,XLOOKUP($B554,Derived_Variables!$A:$A,Derived_Variables!$AI:$AI,4),
axisTol,XLOOKUP($B554,Derived_Variables!$A:$A,Derived_Variables!$W:$W,1),
IFS(
C554="A",
IF(
 OR(
   I554="NOT_READABLE",
   I554="BLURRY",
   AND(R554="20_20_20",I554="READABLE")
 ),
 "B",
 "A"
),
C554="B",
IF(AND(AV554&gt;=AW554,I554="READABLE"),"E","B"),
C554="E",
IF(OR(I554="SAME",AD554&lt;=axisTol),"F","E"),
C554="F",
IF(AX554&gt;=sameN,"G","F"),
C554="G",
IF(OR(I554="EQUAL",BB554=1,BA554&gt;=duoMax),"D","G"),
C554="D",
IF(AND(AV554&gt;=AW554,I554="READABLE"),"H","D"),
C554="H",
IF(OR(I554="SAME",AD554&lt;=axisTol),"I","H"),
C554="I",
IF(AX554&gt;=sameN,"J","I"),
C554="J",
IF(OR(I554="EQUAL",BB554=1,BA554&gt;=duoMax),"K","J"),
C554="K",
IF(
 I554="SAME",
 IF(
   XLOOKUP($B554,Derived_Variables!$A:$A,Derived_Variables!$Q:$Q,"None")="None",
   "END",
   "P"
 ),
 "K"
),
C554="P",
IF(OR(I554="READABLE",I554="SAME"),"Q","P"),
C554="Q",
IF(OR(I554="READABLE",I554="SAME"),"R","Q"),
C554="R",
IF(OR(I554="TARGET_OK",I554="SAME"),"END","R"),
TRUE,"END"
)))</f>
        <v/>
      </c>
      <c r="BD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 t="str">
        <f t="array" ref="BC555">IF($I555="","",LET(
conf,AI555,
sameN,IF(conf="Low",1,IF(conf="Medium",2,3)),
duoMax,XLOOKUP($B555,Derived_Variables!$A:$A,Derived_Variables!$AI:$AI,4),
axisTol,XLOOKUP($B555,Derived_Variables!$A:$A,Derived_Variables!$W:$W,1),
IFS(
C555="A",
IF(
 OR(
   I555="NOT_READABLE",
   I555="BLURRY",
   AND(R555="20_20_20",I555="READABLE")
 ),
 "B",
 "A"
),
C555="B",
IF(AND(AV555&gt;=AW555,I555="READABLE"),"E","B"),
C555="E",
IF(OR(I555="SAME",AD555&lt;=axisTol),"F","E"),
C555="F",
IF(AX555&gt;=sameN,"G","F"),
C555="G",
IF(OR(I555="EQUAL",BB555=1,BA555&gt;=duoMax),"D","G"),
C555="D",
IF(AND(AV555&gt;=AW555,I555="READABLE"),"H","D"),
C555="H",
IF(OR(I555="SAME",AD555&lt;=axisTol),"I","H"),
C555="I",
IF(AX555&gt;=sameN,"J","I"),
C555="J",
IF(OR(I555="EQUAL",BB555=1,BA555&gt;=duoMax),"K","J"),
C555="K",
IF(
 I555="SAME",
 IF(
   XLOOKUP($B555,Derived_Variables!$A:$A,Derived_Variables!$Q:$Q,"None")="None",
   "END",
   "P"
 ),
 "K"
),
C555="P",
IF(OR(I555="READABLE",I555="SAME"),"Q","P"),
C555="Q",
IF(OR(I555="READABLE",I555="SAME"),"R","Q"),
C555="R",
IF(OR(I555="TARGET_OK",I555="SAME"),"END","R"),
TRUE,"END"
)))</f>
        <v/>
      </c>
      <c r="BD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 t="str">
        <f t="array" ref="BC556">IF($I556="","",LET(
conf,AI556,
sameN,IF(conf="Low",1,IF(conf="Medium",2,3)),
duoMax,XLOOKUP($B556,Derived_Variables!$A:$A,Derived_Variables!$AI:$AI,4),
axisTol,XLOOKUP($B556,Derived_Variables!$A:$A,Derived_Variables!$W:$W,1),
IFS(
C556="A",
IF(
 OR(
   I556="NOT_READABLE",
   I556="BLURRY",
   AND(R556="20_20_20",I556="READABLE")
 ),
 "B",
 "A"
),
C556="B",
IF(AND(AV556&gt;=AW556,I556="READABLE"),"E","B"),
C556="E",
IF(OR(I556="SAME",AD556&lt;=axisTol),"F","E"),
C556="F",
IF(AX556&gt;=sameN,"G","F"),
C556="G",
IF(OR(I556="EQUAL",BB556=1,BA556&gt;=duoMax),"D","G"),
C556="D",
IF(AND(AV556&gt;=AW556,I556="READABLE"),"H","D"),
C556="H",
IF(OR(I556="SAME",AD556&lt;=axisTol),"I","H"),
C556="I",
IF(AX556&gt;=sameN,"J","I"),
C556="J",
IF(OR(I556="EQUAL",BB556=1,BA556&gt;=duoMax),"K","J"),
C556="K",
IF(
 I556="SAME",
 IF(
   XLOOKUP($B556,Derived_Variables!$A:$A,Derived_Variables!$Q:$Q,"None")="None",
   "END",
   "P"
 ),
 "K"
),
C556="P",
IF(OR(I556="READABLE",I556="SAME"),"Q","P"),
C556="Q",
IF(OR(I556="READABLE",I556="SAME"),"R","Q"),
C556="R",
IF(OR(I556="TARGET_OK",I556="SAME"),"END","R"),
TRUE,"END"
)))</f>
        <v/>
      </c>
      <c r="BD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 t="str">
        <f t="array" ref="BC557">IF($I557="","",LET(
conf,AI557,
sameN,IF(conf="Low",1,IF(conf="Medium",2,3)),
duoMax,XLOOKUP($B557,Derived_Variables!$A:$A,Derived_Variables!$AI:$AI,4),
axisTol,XLOOKUP($B557,Derived_Variables!$A:$A,Derived_Variables!$W:$W,1),
IFS(
C557="A",
IF(
 OR(
   I557="NOT_READABLE",
   I557="BLURRY",
   AND(R557="20_20_20",I557="READABLE")
 ),
 "B",
 "A"
),
C557="B",
IF(AND(AV557&gt;=AW557,I557="READABLE"),"E","B"),
C557="E",
IF(OR(I557="SAME",AD557&lt;=axisTol),"F","E"),
C557="F",
IF(AX557&gt;=sameN,"G","F"),
C557="G",
IF(OR(I557="EQUAL",BB557=1,BA557&gt;=duoMax),"D","G"),
C557="D",
IF(AND(AV557&gt;=AW557,I557="READABLE"),"H","D"),
C557="H",
IF(OR(I557="SAME",AD557&lt;=axisTol),"I","H"),
C557="I",
IF(AX557&gt;=sameN,"J","I"),
C557="J",
IF(OR(I557="EQUAL",BB557=1,BA557&gt;=duoMax),"K","J"),
C557="K",
IF(
 I557="SAME",
 IF(
   XLOOKUP($B557,Derived_Variables!$A:$A,Derived_Variables!$Q:$Q,"None")="None",
   "END",
   "P"
 ),
 "K"
),
C557="P",
IF(OR(I557="READABLE",I557="SAME"),"Q","P"),
C557="Q",
IF(OR(I557="READABLE",I557="SAME"),"R","Q"),
C557="R",
IF(OR(I557="TARGET_OK",I557="SAME"),"END","R"),
TRUE,"END"
)))</f>
        <v/>
      </c>
      <c r="BD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 t="str">
        <f t="array" ref="BC558">IF($I558="","",LET(
conf,AI558,
sameN,IF(conf="Low",1,IF(conf="Medium",2,3)),
duoMax,XLOOKUP($B558,Derived_Variables!$A:$A,Derived_Variables!$AI:$AI,4),
axisTol,XLOOKUP($B558,Derived_Variables!$A:$A,Derived_Variables!$W:$W,1),
IFS(
C558="A",
IF(
 OR(
   I558="NOT_READABLE",
   I558="BLURRY",
   AND(R558="20_20_20",I558="READABLE")
 ),
 "B",
 "A"
),
C558="B",
IF(AND(AV558&gt;=AW558,I558="READABLE"),"E","B"),
C558="E",
IF(OR(I558="SAME",AD558&lt;=axisTol),"F","E"),
C558="F",
IF(AX558&gt;=sameN,"G","F"),
C558="G",
IF(OR(I558="EQUAL",BB558=1,BA558&gt;=duoMax),"D","G"),
C558="D",
IF(AND(AV558&gt;=AW558,I558="READABLE"),"H","D"),
C558="H",
IF(OR(I558="SAME",AD558&lt;=axisTol),"I","H"),
C558="I",
IF(AX558&gt;=sameN,"J","I"),
C558="J",
IF(OR(I558="EQUAL",BB558=1,BA558&gt;=duoMax),"K","J"),
C558="K",
IF(
 I558="SAME",
 IF(
   XLOOKUP($B558,Derived_Variables!$A:$A,Derived_Variables!$Q:$Q,"None")="None",
   "END",
   "P"
 ),
 "K"
),
C558="P",
IF(OR(I558="READABLE",I558="SAME"),"Q","P"),
C558="Q",
IF(OR(I558="READABLE",I558="SAME"),"R","Q"),
C558="R",
IF(OR(I558="TARGET_OK",I558="SAME"),"END","R"),
TRUE,"END"
)))</f>
        <v/>
      </c>
      <c r="BD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 t="str">
        <f t="array" ref="BC559">IF($I559="","",LET(
conf,AI559,
sameN,IF(conf="Low",1,IF(conf="Medium",2,3)),
duoMax,XLOOKUP($B559,Derived_Variables!$A:$A,Derived_Variables!$AI:$AI,4),
axisTol,XLOOKUP($B559,Derived_Variables!$A:$A,Derived_Variables!$W:$W,1),
IFS(
C559="A",
IF(
 OR(
   I559="NOT_READABLE",
   I559="BLURRY",
   AND(R559="20_20_20",I559="READABLE")
 ),
 "B",
 "A"
),
C559="B",
IF(AND(AV559&gt;=AW559,I559="READABLE"),"E","B"),
C559="E",
IF(OR(I559="SAME",AD559&lt;=axisTol),"F","E"),
C559="F",
IF(AX559&gt;=sameN,"G","F"),
C559="G",
IF(OR(I559="EQUAL",BB559=1,BA559&gt;=duoMax),"D","G"),
C559="D",
IF(AND(AV559&gt;=AW559,I559="READABLE"),"H","D"),
C559="H",
IF(OR(I559="SAME",AD559&lt;=axisTol),"I","H"),
C559="I",
IF(AX559&gt;=sameN,"J","I"),
C559="J",
IF(OR(I559="EQUAL",BB559=1,BA559&gt;=duoMax),"K","J"),
C559="K",
IF(
 I559="SAME",
 IF(
   XLOOKUP($B559,Derived_Variables!$A:$A,Derived_Variables!$Q:$Q,"None")="None",
   "END",
   "P"
 ),
 "K"
),
C559="P",
IF(OR(I559="READABLE",I559="SAME"),"Q","P"),
C559="Q",
IF(OR(I559="READABLE",I559="SAME"),"R","Q"),
C559="R",
IF(OR(I559="TARGET_OK",I559="SAME"),"END","R"),
TRUE,"END"
)))</f>
        <v/>
      </c>
      <c r="BD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 t="str">
        <f t="array" ref="BC560">IF($I560="","",LET(
conf,AI560,
sameN,IF(conf="Low",1,IF(conf="Medium",2,3)),
duoMax,XLOOKUP($B560,Derived_Variables!$A:$A,Derived_Variables!$AI:$AI,4),
axisTol,XLOOKUP($B560,Derived_Variables!$A:$A,Derived_Variables!$W:$W,1),
IFS(
C560="A",
IF(
 OR(
   I560="NOT_READABLE",
   I560="BLURRY",
   AND(R560="20_20_20",I560="READABLE")
 ),
 "B",
 "A"
),
C560="B",
IF(AND(AV560&gt;=AW560,I560="READABLE"),"E","B"),
C560="E",
IF(OR(I560="SAME",AD560&lt;=axisTol),"F","E"),
C560="F",
IF(AX560&gt;=sameN,"G","F"),
C560="G",
IF(OR(I560="EQUAL",BB560=1,BA560&gt;=duoMax),"D","G"),
C560="D",
IF(AND(AV560&gt;=AW560,I560="READABLE"),"H","D"),
C560="H",
IF(OR(I560="SAME",AD560&lt;=axisTol),"I","H"),
C560="I",
IF(AX560&gt;=sameN,"J","I"),
C560="J",
IF(OR(I560="EQUAL",BB560=1,BA560&gt;=duoMax),"K","J"),
C560="K",
IF(
 I560="SAME",
 IF(
   XLOOKUP($B560,Derived_Variables!$A:$A,Derived_Variables!$Q:$Q,"None")="None",
   "END",
   "P"
 ),
 "K"
),
C560="P",
IF(OR(I560="READABLE",I560="SAME"),"Q","P"),
C560="Q",
IF(OR(I560="READABLE",I560="SAME"),"R","Q"),
C560="R",
IF(OR(I560="TARGET_OK",I560="SAME"),"END","R"),
TRUE,"END"
)))</f>
        <v/>
      </c>
      <c r="BD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 t="str">
        <f t="array" ref="BC561">IF($I561="","",LET(
conf,AI561,
sameN,IF(conf="Low",1,IF(conf="Medium",2,3)),
duoMax,XLOOKUP($B561,Derived_Variables!$A:$A,Derived_Variables!$AI:$AI,4),
axisTol,XLOOKUP($B561,Derived_Variables!$A:$A,Derived_Variables!$W:$W,1),
IFS(
C561="A",
IF(
 OR(
   I561="NOT_READABLE",
   I561="BLURRY",
   AND(R561="20_20_20",I561="READABLE")
 ),
 "B",
 "A"
),
C561="B",
IF(AND(AV561&gt;=AW561,I561="READABLE"),"E","B"),
C561="E",
IF(OR(I561="SAME",AD561&lt;=axisTol),"F","E"),
C561="F",
IF(AX561&gt;=sameN,"G","F"),
C561="G",
IF(OR(I561="EQUAL",BB561=1,BA561&gt;=duoMax),"D","G"),
C561="D",
IF(AND(AV561&gt;=AW561,I561="READABLE"),"H","D"),
C561="H",
IF(OR(I561="SAME",AD561&lt;=axisTol),"I","H"),
C561="I",
IF(AX561&gt;=sameN,"J","I"),
C561="J",
IF(OR(I561="EQUAL",BB561=1,BA561&gt;=duoMax),"K","J"),
C561="K",
IF(
 I561="SAME",
 IF(
   XLOOKUP($B561,Derived_Variables!$A:$A,Derived_Variables!$Q:$Q,"None")="None",
   "END",
   "P"
 ),
 "K"
),
C561="P",
IF(OR(I561="READABLE",I561="SAME"),"Q","P"),
C561="Q",
IF(OR(I561="READABLE",I561="SAME"),"R","Q"),
C561="R",
IF(OR(I561="TARGET_OK",I561="SAME"),"END","R"),
TRUE,"END"
)))</f>
        <v/>
      </c>
      <c r="BD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 t="str">
        <f t="array" ref="BC562">IF($I562="","",LET(
conf,AI562,
sameN,IF(conf="Low",1,IF(conf="Medium",2,3)),
duoMax,XLOOKUP($B562,Derived_Variables!$A:$A,Derived_Variables!$AI:$AI,4),
axisTol,XLOOKUP($B562,Derived_Variables!$A:$A,Derived_Variables!$W:$W,1),
IFS(
C562="A",
IF(
 OR(
   I562="NOT_READABLE",
   I562="BLURRY",
   AND(R562="20_20_20",I562="READABLE")
 ),
 "B",
 "A"
),
C562="B",
IF(AND(AV562&gt;=AW562,I562="READABLE"),"E","B"),
C562="E",
IF(OR(I562="SAME",AD562&lt;=axisTol),"F","E"),
C562="F",
IF(AX562&gt;=sameN,"G","F"),
C562="G",
IF(OR(I562="EQUAL",BB562=1,BA562&gt;=duoMax),"D","G"),
C562="D",
IF(AND(AV562&gt;=AW562,I562="READABLE"),"H","D"),
C562="H",
IF(OR(I562="SAME",AD562&lt;=axisTol),"I","H"),
C562="I",
IF(AX562&gt;=sameN,"J","I"),
C562="J",
IF(OR(I562="EQUAL",BB562=1,BA562&gt;=duoMax),"K","J"),
C562="K",
IF(
 I562="SAME",
 IF(
   XLOOKUP($B562,Derived_Variables!$A:$A,Derived_Variables!$Q:$Q,"None")="None",
   "END",
   "P"
 ),
 "K"
),
C562="P",
IF(OR(I562="READABLE",I562="SAME"),"Q","P"),
C562="Q",
IF(OR(I562="READABLE",I562="SAME"),"R","Q"),
C562="R",
IF(OR(I562="TARGET_OK",I562="SAME"),"END","R"),
TRUE,"END"
)))</f>
        <v/>
      </c>
      <c r="BD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 t="str">
        <f t="array" ref="BC563">IF($I563="","",LET(
conf,AI563,
sameN,IF(conf="Low",1,IF(conf="Medium",2,3)),
duoMax,XLOOKUP($B563,Derived_Variables!$A:$A,Derived_Variables!$AI:$AI,4),
axisTol,XLOOKUP($B563,Derived_Variables!$A:$A,Derived_Variables!$W:$W,1),
IFS(
C563="A",
IF(
 OR(
   I563="NOT_READABLE",
   I563="BLURRY",
   AND(R563="20_20_20",I563="READABLE")
 ),
 "B",
 "A"
),
C563="B",
IF(AND(AV563&gt;=AW563,I563="READABLE"),"E","B"),
C563="E",
IF(OR(I563="SAME",AD563&lt;=axisTol),"F","E"),
C563="F",
IF(AX563&gt;=sameN,"G","F"),
C563="G",
IF(OR(I563="EQUAL",BB563=1,BA563&gt;=duoMax),"D","G"),
C563="D",
IF(AND(AV563&gt;=AW563,I563="READABLE"),"H","D"),
C563="H",
IF(OR(I563="SAME",AD563&lt;=axisTol),"I","H"),
C563="I",
IF(AX563&gt;=sameN,"J","I"),
C563="J",
IF(OR(I563="EQUAL",BB563=1,BA563&gt;=duoMax),"K","J"),
C563="K",
IF(
 I563="SAME",
 IF(
   XLOOKUP($B563,Derived_Variables!$A:$A,Derived_Variables!$Q:$Q,"None")="None",
   "END",
   "P"
 ),
 "K"
),
C563="P",
IF(OR(I563="READABLE",I563="SAME"),"Q","P"),
C563="Q",
IF(OR(I563="READABLE",I563="SAME"),"R","Q"),
C563="R",
IF(OR(I563="TARGET_OK",I563="SAME"),"END","R"),
TRUE,"END"
)))</f>
        <v/>
      </c>
      <c r="BD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 t="str">
        <f t="array" ref="BC564">IF($I564="","",LET(
conf,AI564,
sameN,IF(conf="Low",1,IF(conf="Medium",2,3)),
duoMax,XLOOKUP($B564,Derived_Variables!$A:$A,Derived_Variables!$AI:$AI,4),
axisTol,XLOOKUP($B564,Derived_Variables!$A:$A,Derived_Variables!$W:$W,1),
IFS(
C564="A",
IF(
 OR(
   I564="NOT_READABLE",
   I564="BLURRY",
   AND(R564="20_20_20",I564="READABLE")
 ),
 "B",
 "A"
),
C564="B",
IF(AND(AV564&gt;=AW564,I564="READABLE"),"E","B"),
C564="E",
IF(OR(I564="SAME",AD564&lt;=axisTol),"F","E"),
C564="F",
IF(AX564&gt;=sameN,"G","F"),
C564="G",
IF(OR(I564="EQUAL",BB564=1,BA564&gt;=duoMax),"D","G"),
C564="D",
IF(AND(AV564&gt;=AW564,I564="READABLE"),"H","D"),
C564="H",
IF(OR(I564="SAME",AD564&lt;=axisTol),"I","H"),
C564="I",
IF(AX564&gt;=sameN,"J","I"),
C564="J",
IF(OR(I564="EQUAL",BB564=1,BA564&gt;=duoMax),"K","J"),
C564="K",
IF(
 I564="SAME",
 IF(
   XLOOKUP($B564,Derived_Variables!$A:$A,Derived_Variables!$Q:$Q,"None")="None",
   "END",
   "P"
 ),
 "K"
),
C564="P",
IF(OR(I564="READABLE",I564="SAME"),"Q","P"),
C564="Q",
IF(OR(I564="READABLE",I564="SAME"),"R","Q"),
C564="R",
IF(OR(I564="TARGET_OK",I564="SAME"),"END","R"),
TRUE,"END"
)))</f>
        <v/>
      </c>
      <c r="BD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 t="str">
        <f t="array" ref="BC565">IF($I565="","",LET(
conf,AI565,
sameN,IF(conf="Low",1,IF(conf="Medium",2,3)),
duoMax,XLOOKUP($B565,Derived_Variables!$A:$A,Derived_Variables!$AI:$AI,4),
axisTol,XLOOKUP($B565,Derived_Variables!$A:$A,Derived_Variables!$W:$W,1),
IFS(
C565="A",
IF(
 OR(
   I565="NOT_READABLE",
   I565="BLURRY",
   AND(R565="20_20_20",I565="READABLE")
 ),
 "B",
 "A"
),
C565="B",
IF(AND(AV565&gt;=AW565,I565="READABLE"),"E","B"),
C565="E",
IF(OR(I565="SAME",AD565&lt;=axisTol),"F","E"),
C565="F",
IF(AX565&gt;=sameN,"G","F"),
C565="G",
IF(OR(I565="EQUAL",BB565=1,BA565&gt;=duoMax),"D","G"),
C565="D",
IF(AND(AV565&gt;=AW565,I565="READABLE"),"H","D"),
C565="H",
IF(OR(I565="SAME",AD565&lt;=axisTol),"I","H"),
C565="I",
IF(AX565&gt;=sameN,"J","I"),
C565="J",
IF(OR(I565="EQUAL",BB565=1,BA565&gt;=duoMax),"K","J"),
C565="K",
IF(
 I565="SAME",
 IF(
   XLOOKUP($B565,Derived_Variables!$A:$A,Derived_Variables!$Q:$Q,"None")="None",
   "END",
   "P"
 ),
 "K"
),
C565="P",
IF(OR(I565="READABLE",I565="SAME"),"Q","P"),
C565="Q",
IF(OR(I565="READABLE",I565="SAME"),"R","Q"),
C565="R",
IF(OR(I565="TARGET_OK",I565="SAME"),"END","R"),
TRUE,"END"
)))</f>
        <v/>
      </c>
      <c r="BD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 t="str">
        <f t="array" ref="BC566">IF($I566="","",LET(
conf,AI566,
sameN,IF(conf="Low",1,IF(conf="Medium",2,3)),
duoMax,XLOOKUP($B566,Derived_Variables!$A:$A,Derived_Variables!$AI:$AI,4),
axisTol,XLOOKUP($B566,Derived_Variables!$A:$A,Derived_Variables!$W:$W,1),
IFS(
C566="A",
IF(
 OR(
   I566="NOT_READABLE",
   I566="BLURRY",
   AND(R566="20_20_20",I566="READABLE")
 ),
 "B",
 "A"
),
C566="B",
IF(AND(AV566&gt;=AW566,I566="READABLE"),"E","B"),
C566="E",
IF(OR(I566="SAME",AD566&lt;=axisTol),"F","E"),
C566="F",
IF(AX566&gt;=sameN,"G","F"),
C566="G",
IF(OR(I566="EQUAL",BB566=1,BA566&gt;=duoMax),"D","G"),
C566="D",
IF(AND(AV566&gt;=AW566,I566="READABLE"),"H","D"),
C566="H",
IF(OR(I566="SAME",AD566&lt;=axisTol),"I","H"),
C566="I",
IF(AX566&gt;=sameN,"J","I"),
C566="J",
IF(OR(I566="EQUAL",BB566=1,BA566&gt;=duoMax),"K","J"),
C566="K",
IF(
 I566="SAME",
 IF(
   XLOOKUP($B566,Derived_Variables!$A:$A,Derived_Variables!$Q:$Q,"None")="None",
   "END",
   "P"
 ),
 "K"
),
C566="P",
IF(OR(I566="READABLE",I566="SAME"),"Q","P"),
C566="Q",
IF(OR(I566="READABLE",I566="SAME"),"R","Q"),
C566="R",
IF(OR(I566="TARGET_OK",I566="SAME"),"END","R"),
TRUE,"END"
)))</f>
        <v/>
      </c>
      <c r="BD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 t="str">
        <f t="array" ref="BC567">IF($I567="","",LET(
conf,AI567,
sameN,IF(conf="Low",1,IF(conf="Medium",2,3)),
duoMax,XLOOKUP($B567,Derived_Variables!$A:$A,Derived_Variables!$AI:$AI,4),
axisTol,XLOOKUP($B567,Derived_Variables!$A:$A,Derived_Variables!$W:$W,1),
IFS(
C567="A",
IF(
 OR(
   I567="NOT_READABLE",
   I567="BLURRY",
   AND(R567="20_20_20",I567="READABLE")
 ),
 "B",
 "A"
),
C567="B",
IF(AND(AV567&gt;=AW567,I567="READABLE"),"E","B"),
C567="E",
IF(OR(I567="SAME",AD567&lt;=axisTol),"F","E"),
C567="F",
IF(AX567&gt;=sameN,"G","F"),
C567="G",
IF(OR(I567="EQUAL",BB567=1,BA567&gt;=duoMax),"D","G"),
C567="D",
IF(AND(AV567&gt;=AW567,I567="READABLE"),"H","D"),
C567="H",
IF(OR(I567="SAME",AD567&lt;=axisTol),"I","H"),
C567="I",
IF(AX567&gt;=sameN,"J","I"),
C567="J",
IF(OR(I567="EQUAL",BB567=1,BA567&gt;=duoMax),"K","J"),
C567="K",
IF(
 I567="SAME",
 IF(
   XLOOKUP($B567,Derived_Variables!$A:$A,Derived_Variables!$Q:$Q,"None")="None",
   "END",
   "P"
 ),
 "K"
),
C567="P",
IF(OR(I567="READABLE",I567="SAME"),"Q","P"),
C567="Q",
IF(OR(I567="READABLE",I567="SAME"),"R","Q"),
C567="R",
IF(OR(I567="TARGET_OK",I567="SAME"),"END","R"),
TRUE,"END"
)))</f>
        <v/>
      </c>
      <c r="BD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 t="str">
        <f t="array" ref="BC568">IF($I568="","",LET(
conf,AI568,
sameN,IF(conf="Low",1,IF(conf="Medium",2,3)),
duoMax,XLOOKUP($B568,Derived_Variables!$A:$A,Derived_Variables!$AI:$AI,4),
axisTol,XLOOKUP($B568,Derived_Variables!$A:$A,Derived_Variables!$W:$W,1),
IFS(
C568="A",
IF(
 OR(
   I568="NOT_READABLE",
   I568="BLURRY",
   AND(R568="20_20_20",I568="READABLE")
 ),
 "B",
 "A"
),
C568="B",
IF(AND(AV568&gt;=AW568,I568="READABLE"),"E","B"),
C568="E",
IF(OR(I568="SAME",AD568&lt;=axisTol),"F","E"),
C568="F",
IF(AX568&gt;=sameN,"G","F"),
C568="G",
IF(OR(I568="EQUAL",BB568=1,BA568&gt;=duoMax),"D","G"),
C568="D",
IF(AND(AV568&gt;=AW568,I568="READABLE"),"H","D"),
C568="H",
IF(OR(I568="SAME",AD568&lt;=axisTol),"I","H"),
C568="I",
IF(AX568&gt;=sameN,"J","I"),
C568="J",
IF(OR(I568="EQUAL",BB568=1,BA568&gt;=duoMax),"K","J"),
C568="K",
IF(
 I568="SAME",
 IF(
   XLOOKUP($B568,Derived_Variables!$A:$A,Derived_Variables!$Q:$Q,"None")="None",
   "END",
   "P"
 ),
 "K"
),
C568="P",
IF(OR(I568="READABLE",I568="SAME"),"Q","P"),
C568="Q",
IF(OR(I568="READABLE",I568="SAME"),"R","Q"),
C568="R",
IF(OR(I568="TARGET_OK",I568="SAME"),"END","R"),
TRUE,"END"
)))</f>
        <v/>
      </c>
      <c r="BD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 t="str">
        <f t="array" ref="BC569">IF($I569="","",LET(
conf,AI569,
sameN,IF(conf="Low",1,IF(conf="Medium",2,3)),
duoMax,XLOOKUP($B569,Derived_Variables!$A:$A,Derived_Variables!$AI:$AI,4),
axisTol,XLOOKUP($B569,Derived_Variables!$A:$A,Derived_Variables!$W:$W,1),
IFS(
C569="A",
IF(
 OR(
   I569="NOT_READABLE",
   I569="BLURRY",
   AND(R569="20_20_20",I569="READABLE")
 ),
 "B",
 "A"
),
C569="B",
IF(AND(AV569&gt;=AW569,I569="READABLE"),"E","B"),
C569="E",
IF(OR(I569="SAME",AD569&lt;=axisTol),"F","E"),
C569="F",
IF(AX569&gt;=sameN,"G","F"),
C569="G",
IF(OR(I569="EQUAL",BB569=1,BA569&gt;=duoMax),"D","G"),
C569="D",
IF(AND(AV569&gt;=AW569,I569="READABLE"),"H","D"),
C569="H",
IF(OR(I569="SAME",AD569&lt;=axisTol),"I","H"),
C569="I",
IF(AX569&gt;=sameN,"J","I"),
C569="J",
IF(OR(I569="EQUAL",BB569=1,BA569&gt;=duoMax),"K","J"),
C569="K",
IF(
 I569="SAME",
 IF(
   XLOOKUP($B569,Derived_Variables!$A:$A,Derived_Variables!$Q:$Q,"None")="None",
   "END",
   "P"
 ),
 "K"
),
C569="P",
IF(OR(I569="READABLE",I569="SAME"),"Q","P"),
C569="Q",
IF(OR(I569="READABLE",I569="SAME"),"R","Q"),
C569="R",
IF(OR(I569="TARGET_OK",I569="SAME"),"END","R"),
TRUE,"END"
)))</f>
        <v/>
      </c>
      <c r="BD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 t="str">
        <f t="array" ref="BC570">IF($I570="","",LET(
conf,AI570,
sameN,IF(conf="Low",1,IF(conf="Medium",2,3)),
duoMax,XLOOKUP($B570,Derived_Variables!$A:$A,Derived_Variables!$AI:$AI,4),
axisTol,XLOOKUP($B570,Derived_Variables!$A:$A,Derived_Variables!$W:$W,1),
IFS(
C570="A",
IF(
 OR(
   I570="NOT_READABLE",
   I570="BLURRY",
   AND(R570="20_20_20",I570="READABLE")
 ),
 "B",
 "A"
),
C570="B",
IF(AND(AV570&gt;=AW570,I570="READABLE"),"E","B"),
C570="E",
IF(OR(I570="SAME",AD570&lt;=axisTol),"F","E"),
C570="F",
IF(AX570&gt;=sameN,"G","F"),
C570="G",
IF(OR(I570="EQUAL",BB570=1,BA570&gt;=duoMax),"D","G"),
C570="D",
IF(AND(AV570&gt;=AW570,I570="READABLE"),"H","D"),
C570="H",
IF(OR(I570="SAME",AD570&lt;=axisTol),"I","H"),
C570="I",
IF(AX570&gt;=sameN,"J","I"),
C570="J",
IF(OR(I570="EQUAL",BB570=1,BA570&gt;=duoMax),"K","J"),
C570="K",
IF(
 I570="SAME",
 IF(
   XLOOKUP($B570,Derived_Variables!$A:$A,Derived_Variables!$Q:$Q,"None")="None",
   "END",
   "P"
 ),
 "K"
),
C570="P",
IF(OR(I570="READABLE",I570="SAME"),"Q","P"),
C570="Q",
IF(OR(I570="READABLE",I570="SAME"),"R","Q"),
C570="R",
IF(OR(I570="TARGET_OK",I570="SAME"),"END","R"),
TRUE,"END"
)))</f>
        <v/>
      </c>
      <c r="BD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 t="str">
        <f t="array" ref="BC571">IF($I571="","",LET(
conf,AI571,
sameN,IF(conf="Low",1,IF(conf="Medium",2,3)),
duoMax,XLOOKUP($B571,Derived_Variables!$A:$A,Derived_Variables!$AI:$AI,4),
axisTol,XLOOKUP($B571,Derived_Variables!$A:$A,Derived_Variables!$W:$W,1),
IFS(
C571="A",
IF(
 OR(
   I571="NOT_READABLE",
   I571="BLURRY",
   AND(R571="20_20_20",I571="READABLE")
 ),
 "B",
 "A"
),
C571="B",
IF(AND(AV571&gt;=AW571,I571="READABLE"),"E","B"),
C571="E",
IF(OR(I571="SAME",AD571&lt;=axisTol),"F","E"),
C571="F",
IF(AX571&gt;=sameN,"G","F"),
C571="G",
IF(OR(I571="EQUAL",BB571=1,BA571&gt;=duoMax),"D","G"),
C571="D",
IF(AND(AV571&gt;=AW571,I571="READABLE"),"H","D"),
C571="H",
IF(OR(I571="SAME",AD571&lt;=axisTol),"I","H"),
C571="I",
IF(AX571&gt;=sameN,"J","I"),
C571="J",
IF(OR(I571="EQUAL",BB571=1,BA571&gt;=duoMax),"K","J"),
C571="K",
IF(
 I571="SAME",
 IF(
   XLOOKUP($B571,Derived_Variables!$A:$A,Derived_Variables!$Q:$Q,"None")="None",
   "END",
   "P"
 ),
 "K"
),
C571="P",
IF(OR(I571="READABLE",I571="SAME"),"Q","P"),
C571="Q",
IF(OR(I571="READABLE",I571="SAME"),"R","Q"),
C571="R",
IF(OR(I571="TARGET_OK",I571="SAME"),"END","R"),
TRUE,"END"
)))</f>
        <v/>
      </c>
      <c r="BD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 t="str">
        <f t="array" ref="BC572">IF($I572="","",LET(
conf,AI572,
sameN,IF(conf="Low",1,IF(conf="Medium",2,3)),
duoMax,XLOOKUP($B572,Derived_Variables!$A:$A,Derived_Variables!$AI:$AI,4),
axisTol,XLOOKUP($B572,Derived_Variables!$A:$A,Derived_Variables!$W:$W,1),
IFS(
C572="A",
IF(
 OR(
   I572="NOT_READABLE",
   I572="BLURRY",
   AND(R572="20_20_20",I572="READABLE")
 ),
 "B",
 "A"
),
C572="B",
IF(AND(AV572&gt;=AW572,I572="READABLE"),"E","B"),
C572="E",
IF(OR(I572="SAME",AD572&lt;=axisTol),"F","E"),
C572="F",
IF(AX572&gt;=sameN,"G","F"),
C572="G",
IF(OR(I572="EQUAL",BB572=1,BA572&gt;=duoMax),"D","G"),
C572="D",
IF(AND(AV572&gt;=AW572,I572="READABLE"),"H","D"),
C572="H",
IF(OR(I572="SAME",AD572&lt;=axisTol),"I","H"),
C572="I",
IF(AX572&gt;=sameN,"J","I"),
C572="J",
IF(OR(I572="EQUAL",BB572=1,BA572&gt;=duoMax),"K","J"),
C572="K",
IF(
 I572="SAME",
 IF(
   XLOOKUP($B572,Derived_Variables!$A:$A,Derived_Variables!$Q:$Q,"None")="None",
   "END",
   "P"
 ),
 "K"
),
C572="P",
IF(OR(I572="READABLE",I572="SAME"),"Q","P"),
C572="Q",
IF(OR(I572="READABLE",I572="SAME"),"R","Q"),
C572="R",
IF(OR(I572="TARGET_OK",I572="SAME"),"END","R"),
TRUE,"END"
)))</f>
        <v/>
      </c>
      <c r="BD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 t="str">
        <f t="array" ref="BC573">IF($I573="","",LET(
conf,AI573,
sameN,IF(conf="Low",1,IF(conf="Medium",2,3)),
duoMax,XLOOKUP($B573,Derived_Variables!$A:$A,Derived_Variables!$AI:$AI,4),
axisTol,XLOOKUP($B573,Derived_Variables!$A:$A,Derived_Variables!$W:$W,1),
IFS(
C573="A",
IF(
 OR(
   I573="NOT_READABLE",
   I573="BLURRY",
   AND(R573="20_20_20",I573="READABLE")
 ),
 "B",
 "A"
),
C573="B",
IF(AND(AV573&gt;=AW573,I573="READABLE"),"E","B"),
C573="E",
IF(OR(I573="SAME",AD573&lt;=axisTol),"F","E"),
C573="F",
IF(AX573&gt;=sameN,"G","F"),
C573="G",
IF(OR(I573="EQUAL",BB573=1,BA573&gt;=duoMax),"D","G"),
C573="D",
IF(AND(AV573&gt;=AW573,I573="READABLE"),"H","D"),
C573="H",
IF(OR(I573="SAME",AD573&lt;=axisTol),"I","H"),
C573="I",
IF(AX573&gt;=sameN,"J","I"),
C573="J",
IF(OR(I573="EQUAL",BB573=1,BA573&gt;=duoMax),"K","J"),
C573="K",
IF(
 I573="SAME",
 IF(
   XLOOKUP($B573,Derived_Variables!$A:$A,Derived_Variables!$Q:$Q,"None")="None",
   "END",
   "P"
 ),
 "K"
),
C573="P",
IF(OR(I573="READABLE",I573="SAME"),"Q","P"),
C573="Q",
IF(OR(I573="READABLE",I573="SAME"),"R","Q"),
C573="R",
IF(OR(I573="TARGET_OK",I573="SAME"),"END","R"),
TRUE,"END"
)))</f>
        <v/>
      </c>
      <c r="BD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 t="str">
        <f t="array" ref="BC574">IF($I574="","",LET(
conf,AI574,
sameN,IF(conf="Low",1,IF(conf="Medium",2,3)),
duoMax,XLOOKUP($B574,Derived_Variables!$A:$A,Derived_Variables!$AI:$AI,4),
axisTol,XLOOKUP($B574,Derived_Variables!$A:$A,Derived_Variables!$W:$W,1),
IFS(
C574="A",
IF(
 OR(
   I574="NOT_READABLE",
   I574="BLURRY",
   AND(R574="20_20_20",I574="READABLE")
 ),
 "B",
 "A"
),
C574="B",
IF(AND(AV574&gt;=AW574,I574="READABLE"),"E","B"),
C574="E",
IF(OR(I574="SAME",AD574&lt;=axisTol),"F","E"),
C574="F",
IF(AX574&gt;=sameN,"G","F"),
C574="G",
IF(OR(I574="EQUAL",BB574=1,BA574&gt;=duoMax),"D","G"),
C574="D",
IF(AND(AV574&gt;=AW574,I574="READABLE"),"H","D"),
C574="H",
IF(OR(I574="SAME",AD574&lt;=axisTol),"I","H"),
C574="I",
IF(AX574&gt;=sameN,"J","I"),
C574="J",
IF(OR(I574="EQUAL",BB574=1,BA574&gt;=duoMax),"K","J"),
C574="K",
IF(
 I574="SAME",
 IF(
   XLOOKUP($B574,Derived_Variables!$A:$A,Derived_Variables!$Q:$Q,"None")="None",
   "END",
   "P"
 ),
 "K"
),
C574="P",
IF(OR(I574="READABLE",I574="SAME"),"Q","P"),
C574="Q",
IF(OR(I574="READABLE",I574="SAME"),"R","Q"),
C574="R",
IF(OR(I574="TARGET_OK",I574="SAME"),"END","R"),
TRUE,"END"
)))</f>
        <v/>
      </c>
      <c r="BD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 t="str">
        <f t="array" ref="BC575">IF($I575="","",LET(
conf,AI575,
sameN,IF(conf="Low",1,IF(conf="Medium",2,3)),
duoMax,XLOOKUP($B575,Derived_Variables!$A:$A,Derived_Variables!$AI:$AI,4),
axisTol,XLOOKUP($B575,Derived_Variables!$A:$A,Derived_Variables!$W:$W,1),
IFS(
C575="A",
IF(
 OR(
   I575="NOT_READABLE",
   I575="BLURRY",
   AND(R575="20_20_20",I575="READABLE")
 ),
 "B",
 "A"
),
C575="B",
IF(AND(AV575&gt;=AW575,I575="READABLE"),"E","B"),
C575="E",
IF(OR(I575="SAME",AD575&lt;=axisTol),"F","E"),
C575="F",
IF(AX575&gt;=sameN,"G","F"),
C575="G",
IF(OR(I575="EQUAL",BB575=1,BA575&gt;=duoMax),"D","G"),
C575="D",
IF(AND(AV575&gt;=AW575,I575="READABLE"),"H","D"),
C575="H",
IF(OR(I575="SAME",AD575&lt;=axisTol),"I","H"),
C575="I",
IF(AX575&gt;=sameN,"J","I"),
C575="J",
IF(OR(I575="EQUAL",BB575=1,BA575&gt;=duoMax),"K","J"),
C575="K",
IF(
 I575="SAME",
 IF(
   XLOOKUP($B575,Derived_Variables!$A:$A,Derived_Variables!$Q:$Q,"None")="None",
   "END",
   "P"
 ),
 "K"
),
C575="P",
IF(OR(I575="READABLE",I575="SAME"),"Q","P"),
C575="Q",
IF(OR(I575="READABLE",I575="SAME"),"R","Q"),
C575="R",
IF(OR(I575="TARGET_OK",I575="SAME"),"END","R"),
TRUE,"END"
)))</f>
        <v/>
      </c>
      <c r="BD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 t="str">
        <f t="array" ref="BC576">IF($I576="","",LET(
conf,AI576,
sameN,IF(conf="Low",1,IF(conf="Medium",2,3)),
duoMax,XLOOKUP($B576,Derived_Variables!$A:$A,Derived_Variables!$AI:$AI,4),
axisTol,XLOOKUP($B576,Derived_Variables!$A:$A,Derived_Variables!$W:$W,1),
IFS(
C576="A",
IF(
 OR(
   I576="NOT_READABLE",
   I576="BLURRY",
   AND(R576="20_20_20",I576="READABLE")
 ),
 "B",
 "A"
),
C576="B",
IF(AND(AV576&gt;=AW576,I576="READABLE"),"E","B"),
C576="E",
IF(OR(I576="SAME",AD576&lt;=axisTol),"F","E"),
C576="F",
IF(AX576&gt;=sameN,"G","F"),
C576="G",
IF(OR(I576="EQUAL",BB576=1,BA576&gt;=duoMax),"D","G"),
C576="D",
IF(AND(AV576&gt;=AW576,I576="READABLE"),"H","D"),
C576="H",
IF(OR(I576="SAME",AD576&lt;=axisTol),"I","H"),
C576="I",
IF(AX576&gt;=sameN,"J","I"),
C576="J",
IF(OR(I576="EQUAL",BB576=1,BA576&gt;=duoMax),"K","J"),
C576="K",
IF(
 I576="SAME",
 IF(
   XLOOKUP($B576,Derived_Variables!$A:$A,Derived_Variables!$Q:$Q,"None")="None",
   "END",
   "P"
 ),
 "K"
),
C576="P",
IF(OR(I576="READABLE",I576="SAME"),"Q","P"),
C576="Q",
IF(OR(I576="READABLE",I576="SAME"),"R","Q"),
C576="R",
IF(OR(I576="TARGET_OK",I576="SAME"),"END","R"),
TRUE,"END"
)))</f>
        <v/>
      </c>
      <c r="BD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 t="str">
        <f t="array" ref="BC577">IF($I577="","",LET(
conf,AI577,
sameN,IF(conf="Low",1,IF(conf="Medium",2,3)),
duoMax,XLOOKUP($B577,Derived_Variables!$A:$A,Derived_Variables!$AI:$AI,4),
axisTol,XLOOKUP($B577,Derived_Variables!$A:$A,Derived_Variables!$W:$W,1),
IFS(
C577="A",
IF(
 OR(
   I577="NOT_READABLE",
   I577="BLURRY",
   AND(R577="20_20_20",I577="READABLE")
 ),
 "B",
 "A"
),
C577="B",
IF(AND(AV577&gt;=AW577,I577="READABLE"),"E","B"),
C577="E",
IF(OR(I577="SAME",AD577&lt;=axisTol),"F","E"),
C577="F",
IF(AX577&gt;=sameN,"G","F"),
C577="G",
IF(OR(I577="EQUAL",BB577=1,BA577&gt;=duoMax),"D","G"),
C577="D",
IF(AND(AV577&gt;=AW577,I577="READABLE"),"H","D"),
C577="H",
IF(OR(I577="SAME",AD577&lt;=axisTol),"I","H"),
C577="I",
IF(AX577&gt;=sameN,"J","I"),
C577="J",
IF(OR(I577="EQUAL",BB577=1,BA577&gt;=duoMax),"K","J"),
C577="K",
IF(
 I577="SAME",
 IF(
   XLOOKUP($B577,Derived_Variables!$A:$A,Derived_Variables!$Q:$Q,"None")="None",
   "END",
   "P"
 ),
 "K"
),
C577="P",
IF(OR(I577="READABLE",I577="SAME"),"Q","P"),
C577="Q",
IF(OR(I577="READABLE",I577="SAME"),"R","Q"),
C577="R",
IF(OR(I577="TARGET_OK",I577="SAME"),"END","R"),
TRUE,"END"
)))</f>
        <v/>
      </c>
      <c r="BD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 t="str">
        <f t="array" ref="BC578">IF($I578="","",LET(
conf,AI578,
sameN,IF(conf="Low",1,IF(conf="Medium",2,3)),
duoMax,XLOOKUP($B578,Derived_Variables!$A:$A,Derived_Variables!$AI:$AI,4),
axisTol,XLOOKUP($B578,Derived_Variables!$A:$A,Derived_Variables!$W:$W,1),
IFS(
C578="A",
IF(
 OR(
   I578="NOT_READABLE",
   I578="BLURRY",
   AND(R578="20_20_20",I578="READABLE")
 ),
 "B",
 "A"
),
C578="B",
IF(AND(AV578&gt;=AW578,I578="READABLE"),"E","B"),
C578="E",
IF(OR(I578="SAME",AD578&lt;=axisTol),"F","E"),
C578="F",
IF(AX578&gt;=sameN,"G","F"),
C578="G",
IF(OR(I578="EQUAL",BB578=1,BA578&gt;=duoMax),"D","G"),
C578="D",
IF(AND(AV578&gt;=AW578,I578="READABLE"),"H","D"),
C578="H",
IF(OR(I578="SAME",AD578&lt;=axisTol),"I","H"),
C578="I",
IF(AX578&gt;=sameN,"J","I"),
C578="J",
IF(OR(I578="EQUAL",BB578=1,BA578&gt;=duoMax),"K","J"),
C578="K",
IF(
 I578="SAME",
 IF(
   XLOOKUP($B578,Derived_Variables!$A:$A,Derived_Variables!$Q:$Q,"None")="None",
   "END",
   "P"
 ),
 "K"
),
C578="P",
IF(OR(I578="READABLE",I578="SAME"),"Q","P"),
C578="Q",
IF(OR(I578="READABLE",I578="SAME"),"R","Q"),
C578="R",
IF(OR(I578="TARGET_OK",I578="SAME"),"END","R"),
TRUE,"END"
)))</f>
        <v/>
      </c>
      <c r="BD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 t="str">
        <f t="array" ref="BC579">IF($I579="","",LET(
conf,AI579,
sameN,IF(conf="Low",1,IF(conf="Medium",2,3)),
duoMax,XLOOKUP($B579,Derived_Variables!$A:$A,Derived_Variables!$AI:$AI,4),
axisTol,XLOOKUP($B579,Derived_Variables!$A:$A,Derived_Variables!$W:$W,1),
IFS(
C579="A",
IF(
 OR(
   I579="NOT_READABLE",
   I579="BLURRY",
   AND(R579="20_20_20",I579="READABLE")
 ),
 "B",
 "A"
),
C579="B",
IF(AND(AV579&gt;=AW579,I579="READABLE"),"E","B"),
C579="E",
IF(OR(I579="SAME",AD579&lt;=axisTol),"F","E"),
C579="F",
IF(AX579&gt;=sameN,"G","F"),
C579="G",
IF(OR(I579="EQUAL",BB579=1,BA579&gt;=duoMax),"D","G"),
C579="D",
IF(AND(AV579&gt;=AW579,I579="READABLE"),"H","D"),
C579="H",
IF(OR(I579="SAME",AD579&lt;=axisTol),"I","H"),
C579="I",
IF(AX579&gt;=sameN,"J","I"),
C579="J",
IF(OR(I579="EQUAL",BB579=1,BA579&gt;=duoMax),"K","J"),
C579="K",
IF(
 I579="SAME",
 IF(
   XLOOKUP($B579,Derived_Variables!$A:$A,Derived_Variables!$Q:$Q,"None")="None",
   "END",
   "P"
 ),
 "K"
),
C579="P",
IF(OR(I579="READABLE",I579="SAME"),"Q","P"),
C579="Q",
IF(OR(I579="READABLE",I579="SAME"),"R","Q"),
C579="R",
IF(OR(I579="TARGET_OK",I579="SAME"),"END","R"),
TRUE,"END"
)))</f>
        <v/>
      </c>
      <c r="BD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 t="str">
        <f t="array" ref="BC580">IF($I580="","",LET(
conf,AI580,
sameN,IF(conf="Low",1,IF(conf="Medium",2,3)),
duoMax,XLOOKUP($B580,Derived_Variables!$A:$A,Derived_Variables!$AI:$AI,4),
axisTol,XLOOKUP($B580,Derived_Variables!$A:$A,Derived_Variables!$W:$W,1),
IFS(
C580="A",
IF(
 OR(
   I580="NOT_READABLE",
   I580="BLURRY",
   AND(R580="20_20_20",I580="READABLE")
 ),
 "B",
 "A"
),
C580="B",
IF(AND(AV580&gt;=AW580,I580="READABLE"),"E","B"),
C580="E",
IF(OR(I580="SAME",AD580&lt;=axisTol),"F","E"),
C580="F",
IF(AX580&gt;=sameN,"G","F"),
C580="G",
IF(OR(I580="EQUAL",BB580=1,BA580&gt;=duoMax),"D","G"),
C580="D",
IF(AND(AV580&gt;=AW580,I580="READABLE"),"H","D"),
C580="H",
IF(OR(I580="SAME",AD580&lt;=axisTol),"I","H"),
C580="I",
IF(AX580&gt;=sameN,"J","I"),
C580="J",
IF(OR(I580="EQUAL",BB580=1,BA580&gt;=duoMax),"K","J"),
C580="K",
IF(
 I580="SAME",
 IF(
   XLOOKUP($B580,Derived_Variables!$A:$A,Derived_Variables!$Q:$Q,"None")="None",
   "END",
   "P"
 ),
 "K"
),
C580="P",
IF(OR(I580="READABLE",I580="SAME"),"Q","P"),
C580="Q",
IF(OR(I580="READABLE",I580="SAME"),"R","Q"),
C580="R",
IF(OR(I580="TARGET_OK",I580="SAME"),"END","R"),
TRUE,"END"
)))</f>
        <v/>
      </c>
      <c r="BD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 t="str">
        <f t="array" ref="BC581">IF($I581="","",LET(
conf,AI581,
sameN,IF(conf="Low",1,IF(conf="Medium",2,3)),
duoMax,XLOOKUP($B581,Derived_Variables!$A:$A,Derived_Variables!$AI:$AI,4),
axisTol,XLOOKUP($B581,Derived_Variables!$A:$A,Derived_Variables!$W:$W,1),
IFS(
C581="A",
IF(
 OR(
   I581="NOT_READABLE",
   I581="BLURRY",
   AND(R581="20_20_20",I581="READABLE")
 ),
 "B",
 "A"
),
C581="B",
IF(AND(AV581&gt;=AW581,I581="READABLE"),"E","B"),
C581="E",
IF(OR(I581="SAME",AD581&lt;=axisTol),"F","E"),
C581="F",
IF(AX581&gt;=sameN,"G","F"),
C581="G",
IF(OR(I581="EQUAL",BB581=1,BA581&gt;=duoMax),"D","G"),
C581="D",
IF(AND(AV581&gt;=AW581,I581="READABLE"),"H","D"),
C581="H",
IF(OR(I581="SAME",AD581&lt;=axisTol),"I","H"),
C581="I",
IF(AX581&gt;=sameN,"J","I"),
C581="J",
IF(OR(I581="EQUAL",BB581=1,BA581&gt;=duoMax),"K","J"),
C581="K",
IF(
 I581="SAME",
 IF(
   XLOOKUP($B581,Derived_Variables!$A:$A,Derived_Variables!$Q:$Q,"None")="None",
   "END",
   "P"
 ),
 "K"
),
C581="P",
IF(OR(I581="READABLE",I581="SAME"),"Q","P"),
C581="Q",
IF(OR(I581="READABLE",I581="SAME"),"R","Q"),
C581="R",
IF(OR(I581="TARGET_OK",I581="SAME"),"END","R"),
TRUE,"END"
)))</f>
        <v/>
      </c>
      <c r="BD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 t="str">
        <f t="array" ref="BC582">IF($I582="","",LET(
conf,AI582,
sameN,IF(conf="Low",1,IF(conf="Medium",2,3)),
duoMax,XLOOKUP($B582,Derived_Variables!$A:$A,Derived_Variables!$AI:$AI,4),
axisTol,XLOOKUP($B582,Derived_Variables!$A:$A,Derived_Variables!$W:$W,1),
IFS(
C582="A",
IF(
 OR(
   I582="NOT_READABLE",
   I582="BLURRY",
   AND(R582="20_20_20",I582="READABLE")
 ),
 "B",
 "A"
),
C582="B",
IF(AND(AV582&gt;=AW582,I582="READABLE"),"E","B"),
C582="E",
IF(OR(I582="SAME",AD582&lt;=axisTol),"F","E"),
C582="F",
IF(AX582&gt;=sameN,"G","F"),
C582="G",
IF(OR(I582="EQUAL",BB582=1,BA582&gt;=duoMax),"D","G"),
C582="D",
IF(AND(AV582&gt;=AW582,I582="READABLE"),"H","D"),
C582="H",
IF(OR(I582="SAME",AD582&lt;=axisTol),"I","H"),
C582="I",
IF(AX582&gt;=sameN,"J","I"),
C582="J",
IF(OR(I582="EQUAL",BB582=1,BA582&gt;=duoMax),"K","J"),
C582="K",
IF(
 I582="SAME",
 IF(
   XLOOKUP($B582,Derived_Variables!$A:$A,Derived_Variables!$Q:$Q,"None")="None",
   "END",
   "P"
 ),
 "K"
),
C582="P",
IF(OR(I582="READABLE",I582="SAME"),"Q","P"),
C582="Q",
IF(OR(I582="READABLE",I582="SAME"),"R","Q"),
C582="R",
IF(OR(I582="TARGET_OK",I582="SAME"),"END","R"),
TRUE,"END"
)))</f>
        <v/>
      </c>
      <c r="BD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 t="str">
        <f t="array" ref="BC583">IF($I583="","",LET(
conf,AI583,
sameN,IF(conf="Low",1,IF(conf="Medium",2,3)),
duoMax,XLOOKUP($B583,Derived_Variables!$A:$A,Derived_Variables!$AI:$AI,4),
axisTol,XLOOKUP($B583,Derived_Variables!$A:$A,Derived_Variables!$W:$W,1),
IFS(
C583="A",
IF(
 OR(
   I583="NOT_READABLE",
   I583="BLURRY",
   AND(R583="20_20_20",I583="READABLE")
 ),
 "B",
 "A"
),
C583="B",
IF(AND(AV583&gt;=AW583,I583="READABLE"),"E","B"),
C583="E",
IF(OR(I583="SAME",AD583&lt;=axisTol),"F","E"),
C583="F",
IF(AX583&gt;=sameN,"G","F"),
C583="G",
IF(OR(I583="EQUAL",BB583=1,BA583&gt;=duoMax),"D","G"),
C583="D",
IF(AND(AV583&gt;=AW583,I583="READABLE"),"H","D"),
C583="H",
IF(OR(I583="SAME",AD583&lt;=axisTol),"I","H"),
C583="I",
IF(AX583&gt;=sameN,"J","I"),
C583="J",
IF(OR(I583="EQUAL",BB583=1,BA583&gt;=duoMax),"K","J"),
C583="K",
IF(
 I583="SAME",
 IF(
   XLOOKUP($B583,Derived_Variables!$A:$A,Derived_Variables!$Q:$Q,"None")="None",
   "END",
   "P"
 ),
 "K"
),
C583="P",
IF(OR(I583="READABLE",I583="SAME"),"Q","P"),
C583="Q",
IF(OR(I583="READABLE",I583="SAME"),"R","Q"),
C583="R",
IF(OR(I583="TARGET_OK",I583="SAME"),"END","R"),
TRUE,"END"
)))</f>
        <v/>
      </c>
      <c r="BD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 t="str">
        <f t="array" ref="BC584">IF($I584="","",LET(
conf,AI584,
sameN,IF(conf="Low",1,IF(conf="Medium",2,3)),
duoMax,XLOOKUP($B584,Derived_Variables!$A:$A,Derived_Variables!$AI:$AI,4),
axisTol,XLOOKUP($B584,Derived_Variables!$A:$A,Derived_Variables!$W:$W,1),
IFS(
C584="A",
IF(
 OR(
   I584="NOT_READABLE",
   I584="BLURRY",
   AND(R584="20_20_20",I584="READABLE")
 ),
 "B",
 "A"
),
C584="B",
IF(AND(AV584&gt;=AW584,I584="READABLE"),"E","B"),
C584="E",
IF(OR(I584="SAME",AD584&lt;=axisTol),"F","E"),
C584="F",
IF(AX584&gt;=sameN,"G","F"),
C584="G",
IF(OR(I584="EQUAL",BB584=1,BA584&gt;=duoMax),"D","G"),
C584="D",
IF(AND(AV584&gt;=AW584,I584="READABLE"),"H","D"),
C584="H",
IF(OR(I584="SAME",AD584&lt;=axisTol),"I","H"),
C584="I",
IF(AX584&gt;=sameN,"J","I"),
C584="J",
IF(OR(I584="EQUAL",BB584=1,BA584&gt;=duoMax),"K","J"),
C584="K",
IF(
 I584="SAME",
 IF(
   XLOOKUP($B584,Derived_Variables!$A:$A,Derived_Variables!$Q:$Q,"None")="None",
   "END",
   "P"
 ),
 "K"
),
C584="P",
IF(OR(I584="READABLE",I584="SAME"),"Q","P"),
C584="Q",
IF(OR(I584="READABLE",I584="SAME"),"R","Q"),
C584="R",
IF(OR(I584="TARGET_OK",I584="SAME"),"END","R"),
TRUE,"END"
)))</f>
        <v/>
      </c>
      <c r="BD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 t="str">
        <f t="array" ref="BC585">IF($I585="","",LET(
conf,AI585,
sameN,IF(conf="Low",1,IF(conf="Medium",2,3)),
duoMax,XLOOKUP($B585,Derived_Variables!$A:$A,Derived_Variables!$AI:$AI,4),
axisTol,XLOOKUP($B585,Derived_Variables!$A:$A,Derived_Variables!$W:$W,1),
IFS(
C585="A",
IF(
 OR(
   I585="NOT_READABLE",
   I585="BLURRY",
   AND(R585="20_20_20",I585="READABLE")
 ),
 "B",
 "A"
),
C585="B",
IF(AND(AV585&gt;=AW585,I585="READABLE"),"E","B"),
C585="E",
IF(OR(I585="SAME",AD585&lt;=axisTol),"F","E"),
C585="F",
IF(AX585&gt;=sameN,"G","F"),
C585="G",
IF(OR(I585="EQUAL",BB585=1,BA585&gt;=duoMax),"D","G"),
C585="D",
IF(AND(AV585&gt;=AW585,I585="READABLE"),"H","D"),
C585="H",
IF(OR(I585="SAME",AD585&lt;=axisTol),"I","H"),
C585="I",
IF(AX585&gt;=sameN,"J","I"),
C585="J",
IF(OR(I585="EQUAL",BB585=1,BA585&gt;=duoMax),"K","J"),
C585="K",
IF(
 I585="SAME",
 IF(
   XLOOKUP($B585,Derived_Variables!$A:$A,Derived_Variables!$Q:$Q,"None")="None",
   "END",
   "P"
 ),
 "K"
),
C585="P",
IF(OR(I585="READABLE",I585="SAME"),"Q","P"),
C585="Q",
IF(OR(I585="READABLE",I585="SAME"),"R","Q"),
C585="R",
IF(OR(I585="TARGET_OK",I585="SAME"),"END","R"),
TRUE,"END"
)))</f>
        <v/>
      </c>
      <c r="BD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 t="str">
        <f t="array" ref="BC586">IF($I586="","",LET(
conf,AI586,
sameN,IF(conf="Low",1,IF(conf="Medium",2,3)),
duoMax,XLOOKUP($B586,Derived_Variables!$A:$A,Derived_Variables!$AI:$AI,4),
axisTol,XLOOKUP($B586,Derived_Variables!$A:$A,Derived_Variables!$W:$W,1),
IFS(
C586="A",
IF(
 OR(
   I586="NOT_READABLE",
   I586="BLURRY",
   AND(R586="20_20_20",I586="READABLE")
 ),
 "B",
 "A"
),
C586="B",
IF(AND(AV586&gt;=AW586,I586="READABLE"),"E","B"),
C586="E",
IF(OR(I586="SAME",AD586&lt;=axisTol),"F","E"),
C586="F",
IF(AX586&gt;=sameN,"G","F"),
C586="G",
IF(OR(I586="EQUAL",BB586=1,BA586&gt;=duoMax),"D","G"),
C586="D",
IF(AND(AV586&gt;=AW586,I586="READABLE"),"H","D"),
C586="H",
IF(OR(I586="SAME",AD586&lt;=axisTol),"I","H"),
C586="I",
IF(AX586&gt;=sameN,"J","I"),
C586="J",
IF(OR(I586="EQUAL",BB586=1,BA586&gt;=duoMax),"K","J"),
C586="K",
IF(
 I586="SAME",
 IF(
   XLOOKUP($B586,Derived_Variables!$A:$A,Derived_Variables!$Q:$Q,"None")="None",
   "END",
   "P"
 ),
 "K"
),
C586="P",
IF(OR(I586="READABLE",I586="SAME"),"Q","P"),
C586="Q",
IF(OR(I586="READABLE",I586="SAME"),"R","Q"),
C586="R",
IF(OR(I586="TARGET_OK",I586="SAME"),"END","R"),
TRUE,"END"
)))</f>
        <v/>
      </c>
      <c r="BD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 t="str">
        <f t="array" ref="BC587">IF($I587="","",LET(
conf,AI587,
sameN,IF(conf="Low",1,IF(conf="Medium",2,3)),
duoMax,XLOOKUP($B587,Derived_Variables!$A:$A,Derived_Variables!$AI:$AI,4),
axisTol,XLOOKUP($B587,Derived_Variables!$A:$A,Derived_Variables!$W:$W,1),
IFS(
C587="A",
IF(
 OR(
   I587="NOT_READABLE",
   I587="BLURRY",
   AND(R587="20_20_20",I587="READABLE")
 ),
 "B",
 "A"
),
C587="B",
IF(AND(AV587&gt;=AW587,I587="READABLE"),"E","B"),
C587="E",
IF(OR(I587="SAME",AD587&lt;=axisTol),"F","E"),
C587="F",
IF(AX587&gt;=sameN,"G","F"),
C587="G",
IF(OR(I587="EQUAL",BB587=1,BA587&gt;=duoMax),"D","G"),
C587="D",
IF(AND(AV587&gt;=AW587,I587="READABLE"),"H","D"),
C587="H",
IF(OR(I587="SAME",AD587&lt;=axisTol),"I","H"),
C587="I",
IF(AX587&gt;=sameN,"J","I"),
C587="J",
IF(OR(I587="EQUAL",BB587=1,BA587&gt;=duoMax),"K","J"),
C587="K",
IF(
 I587="SAME",
 IF(
   XLOOKUP($B587,Derived_Variables!$A:$A,Derived_Variables!$Q:$Q,"None")="None",
   "END",
   "P"
 ),
 "K"
),
C587="P",
IF(OR(I587="READABLE",I587="SAME"),"Q","P"),
C587="Q",
IF(OR(I587="READABLE",I587="SAME"),"R","Q"),
C587="R",
IF(OR(I587="TARGET_OK",I587="SAME"),"END","R"),
TRUE,"END"
)))</f>
        <v/>
      </c>
      <c r="BD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 t="str">
        <f t="array" ref="BC588">IF($I588="","",LET(
conf,AI588,
sameN,IF(conf="Low",1,IF(conf="Medium",2,3)),
duoMax,XLOOKUP($B588,Derived_Variables!$A:$A,Derived_Variables!$AI:$AI,4),
axisTol,XLOOKUP($B588,Derived_Variables!$A:$A,Derived_Variables!$W:$W,1),
IFS(
C588="A",
IF(
 OR(
   I588="NOT_READABLE",
   I588="BLURRY",
   AND(R588="20_20_20",I588="READABLE")
 ),
 "B",
 "A"
),
C588="B",
IF(AND(AV588&gt;=AW588,I588="READABLE"),"E","B"),
C588="E",
IF(OR(I588="SAME",AD588&lt;=axisTol),"F","E"),
C588="F",
IF(AX588&gt;=sameN,"G","F"),
C588="G",
IF(OR(I588="EQUAL",BB588=1,BA588&gt;=duoMax),"D","G"),
C588="D",
IF(AND(AV588&gt;=AW588,I588="READABLE"),"H","D"),
C588="H",
IF(OR(I588="SAME",AD588&lt;=axisTol),"I","H"),
C588="I",
IF(AX588&gt;=sameN,"J","I"),
C588="J",
IF(OR(I588="EQUAL",BB588=1,BA588&gt;=duoMax),"K","J"),
C588="K",
IF(
 I588="SAME",
 IF(
   XLOOKUP($B588,Derived_Variables!$A:$A,Derived_Variables!$Q:$Q,"None")="None",
   "END",
   "P"
 ),
 "K"
),
C588="P",
IF(OR(I588="READABLE",I588="SAME"),"Q","P"),
C588="Q",
IF(OR(I588="READABLE",I588="SAME"),"R","Q"),
C588="R",
IF(OR(I588="TARGET_OK",I588="SAME"),"END","R"),
TRUE,"END"
)))</f>
        <v/>
      </c>
      <c r="BD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 t="str">
        <f t="array" ref="BC589">IF($I589="","",LET(
conf,AI589,
sameN,IF(conf="Low",1,IF(conf="Medium",2,3)),
duoMax,XLOOKUP($B589,Derived_Variables!$A:$A,Derived_Variables!$AI:$AI,4),
axisTol,XLOOKUP($B589,Derived_Variables!$A:$A,Derived_Variables!$W:$W,1),
IFS(
C589="A",
IF(
 OR(
   I589="NOT_READABLE",
   I589="BLURRY",
   AND(R589="20_20_20",I589="READABLE")
 ),
 "B",
 "A"
),
C589="B",
IF(AND(AV589&gt;=AW589,I589="READABLE"),"E","B"),
C589="E",
IF(OR(I589="SAME",AD589&lt;=axisTol),"F","E"),
C589="F",
IF(AX589&gt;=sameN,"G","F"),
C589="G",
IF(OR(I589="EQUAL",BB589=1,BA589&gt;=duoMax),"D","G"),
C589="D",
IF(AND(AV589&gt;=AW589,I589="READABLE"),"H","D"),
C589="H",
IF(OR(I589="SAME",AD589&lt;=axisTol),"I","H"),
C589="I",
IF(AX589&gt;=sameN,"J","I"),
C589="J",
IF(OR(I589="EQUAL",BB589=1,BA589&gt;=duoMax),"K","J"),
C589="K",
IF(
 I589="SAME",
 IF(
   XLOOKUP($B589,Derived_Variables!$A:$A,Derived_Variables!$Q:$Q,"None")="None",
   "END",
   "P"
 ),
 "K"
),
C589="P",
IF(OR(I589="READABLE",I589="SAME"),"Q","P"),
C589="Q",
IF(OR(I589="READABLE",I589="SAME"),"R","Q"),
C589="R",
IF(OR(I589="TARGET_OK",I589="SAME"),"END","R"),
TRUE,"END"
)))</f>
        <v/>
      </c>
      <c r="BD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 t="str">
        <f t="array" ref="BC590">IF($I590="","",LET(
conf,AI590,
sameN,IF(conf="Low",1,IF(conf="Medium",2,3)),
duoMax,XLOOKUP($B590,Derived_Variables!$A:$A,Derived_Variables!$AI:$AI,4),
axisTol,XLOOKUP($B590,Derived_Variables!$A:$A,Derived_Variables!$W:$W,1),
IFS(
C590="A",
IF(
 OR(
   I590="NOT_READABLE",
   I590="BLURRY",
   AND(R590="20_20_20",I590="READABLE")
 ),
 "B",
 "A"
),
C590="B",
IF(AND(AV590&gt;=AW590,I590="READABLE"),"E","B"),
C590="E",
IF(OR(I590="SAME",AD590&lt;=axisTol),"F","E"),
C590="F",
IF(AX590&gt;=sameN,"G","F"),
C590="G",
IF(OR(I590="EQUAL",BB590=1,BA590&gt;=duoMax),"D","G"),
C590="D",
IF(AND(AV590&gt;=AW590,I590="READABLE"),"H","D"),
C590="H",
IF(OR(I590="SAME",AD590&lt;=axisTol),"I","H"),
C590="I",
IF(AX590&gt;=sameN,"J","I"),
C590="J",
IF(OR(I590="EQUAL",BB590=1,BA590&gt;=duoMax),"K","J"),
C590="K",
IF(
 I590="SAME",
 IF(
   XLOOKUP($B590,Derived_Variables!$A:$A,Derived_Variables!$Q:$Q,"None")="None",
   "END",
   "P"
 ),
 "K"
),
C590="P",
IF(OR(I590="READABLE",I590="SAME"),"Q","P"),
C590="Q",
IF(OR(I590="READABLE",I590="SAME"),"R","Q"),
C590="R",
IF(OR(I590="TARGET_OK",I590="SAME"),"END","R"),
TRUE,"END"
)))</f>
        <v/>
      </c>
      <c r="BD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 t="str">
        <f t="array" ref="BC591">IF($I591="","",LET(
conf,AI591,
sameN,IF(conf="Low",1,IF(conf="Medium",2,3)),
duoMax,XLOOKUP($B591,Derived_Variables!$A:$A,Derived_Variables!$AI:$AI,4),
axisTol,XLOOKUP($B591,Derived_Variables!$A:$A,Derived_Variables!$W:$W,1),
IFS(
C591="A",
IF(
 OR(
   I591="NOT_READABLE",
   I591="BLURRY",
   AND(R591="20_20_20",I591="READABLE")
 ),
 "B",
 "A"
),
C591="B",
IF(AND(AV591&gt;=AW591,I591="READABLE"),"E","B"),
C591="E",
IF(OR(I591="SAME",AD591&lt;=axisTol),"F","E"),
C591="F",
IF(AX591&gt;=sameN,"G","F"),
C591="G",
IF(OR(I591="EQUAL",BB591=1,BA591&gt;=duoMax),"D","G"),
C591="D",
IF(AND(AV591&gt;=AW591,I591="READABLE"),"H","D"),
C591="H",
IF(OR(I591="SAME",AD591&lt;=axisTol),"I","H"),
C591="I",
IF(AX591&gt;=sameN,"J","I"),
C591="J",
IF(OR(I591="EQUAL",BB591=1,BA591&gt;=duoMax),"K","J"),
C591="K",
IF(
 I591="SAME",
 IF(
   XLOOKUP($B591,Derived_Variables!$A:$A,Derived_Variables!$Q:$Q,"None")="None",
   "END",
   "P"
 ),
 "K"
),
C591="P",
IF(OR(I591="READABLE",I591="SAME"),"Q","P"),
C591="Q",
IF(OR(I591="READABLE",I591="SAME"),"R","Q"),
C591="R",
IF(OR(I591="TARGET_OK",I591="SAME"),"END","R"),
TRUE,"END"
)))</f>
        <v/>
      </c>
      <c r="BD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 t="str">
        <f t="array" ref="BC592">IF($I592="","",LET(
conf,AI592,
sameN,IF(conf="Low",1,IF(conf="Medium",2,3)),
duoMax,XLOOKUP($B592,Derived_Variables!$A:$A,Derived_Variables!$AI:$AI,4),
axisTol,XLOOKUP($B592,Derived_Variables!$A:$A,Derived_Variables!$W:$W,1),
IFS(
C592="A",
IF(
 OR(
   I592="NOT_READABLE",
   I592="BLURRY",
   AND(R592="20_20_20",I592="READABLE")
 ),
 "B",
 "A"
),
C592="B",
IF(AND(AV592&gt;=AW592,I592="READABLE"),"E","B"),
C592="E",
IF(OR(I592="SAME",AD592&lt;=axisTol),"F","E"),
C592="F",
IF(AX592&gt;=sameN,"G","F"),
C592="G",
IF(OR(I592="EQUAL",BB592=1,BA592&gt;=duoMax),"D","G"),
C592="D",
IF(AND(AV592&gt;=AW592,I592="READABLE"),"H","D"),
C592="H",
IF(OR(I592="SAME",AD592&lt;=axisTol),"I","H"),
C592="I",
IF(AX592&gt;=sameN,"J","I"),
C592="J",
IF(OR(I592="EQUAL",BB592=1,BA592&gt;=duoMax),"K","J"),
C592="K",
IF(
 I592="SAME",
 IF(
   XLOOKUP($B592,Derived_Variables!$A:$A,Derived_Variables!$Q:$Q,"None")="None",
   "END",
   "P"
 ),
 "K"
),
C592="P",
IF(OR(I592="READABLE",I592="SAME"),"Q","P"),
C592="Q",
IF(OR(I592="READABLE",I592="SAME"),"R","Q"),
C592="R",
IF(OR(I592="TARGET_OK",I592="SAME"),"END","R"),
TRUE,"END"
)))</f>
        <v/>
      </c>
      <c r="BD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 t="str">
        <f t="array" ref="BC593">IF($I593="","",LET(
conf,AI593,
sameN,IF(conf="Low",1,IF(conf="Medium",2,3)),
duoMax,XLOOKUP($B593,Derived_Variables!$A:$A,Derived_Variables!$AI:$AI,4),
axisTol,XLOOKUP($B593,Derived_Variables!$A:$A,Derived_Variables!$W:$W,1),
IFS(
C593="A",
IF(
 OR(
   I593="NOT_READABLE",
   I593="BLURRY",
   AND(R593="20_20_20",I593="READABLE")
 ),
 "B",
 "A"
),
C593="B",
IF(AND(AV593&gt;=AW593,I593="READABLE"),"E","B"),
C593="E",
IF(OR(I593="SAME",AD593&lt;=axisTol),"F","E"),
C593="F",
IF(AX593&gt;=sameN,"G","F"),
C593="G",
IF(OR(I593="EQUAL",BB593=1,BA593&gt;=duoMax),"D","G"),
C593="D",
IF(AND(AV593&gt;=AW593,I593="READABLE"),"H","D"),
C593="H",
IF(OR(I593="SAME",AD593&lt;=axisTol),"I","H"),
C593="I",
IF(AX593&gt;=sameN,"J","I"),
C593="J",
IF(OR(I593="EQUAL",BB593=1,BA593&gt;=duoMax),"K","J"),
C593="K",
IF(
 I593="SAME",
 IF(
   XLOOKUP($B593,Derived_Variables!$A:$A,Derived_Variables!$Q:$Q,"None")="None",
   "END",
   "P"
 ),
 "K"
),
C593="P",
IF(OR(I593="READABLE",I593="SAME"),"Q","P"),
C593="Q",
IF(OR(I593="READABLE",I593="SAME"),"R","Q"),
C593="R",
IF(OR(I593="TARGET_OK",I593="SAME"),"END","R"),
TRUE,"END"
)))</f>
        <v/>
      </c>
      <c r="BD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 t="str">
        <f t="array" ref="BC594">IF($I594="","",LET(
conf,AI594,
sameN,IF(conf="Low",1,IF(conf="Medium",2,3)),
duoMax,XLOOKUP($B594,Derived_Variables!$A:$A,Derived_Variables!$AI:$AI,4),
axisTol,XLOOKUP($B594,Derived_Variables!$A:$A,Derived_Variables!$W:$W,1),
IFS(
C594="A",
IF(
 OR(
   I594="NOT_READABLE",
   I594="BLURRY",
   AND(R594="20_20_20",I594="READABLE")
 ),
 "B",
 "A"
),
C594="B",
IF(AND(AV594&gt;=AW594,I594="READABLE"),"E","B"),
C594="E",
IF(OR(I594="SAME",AD594&lt;=axisTol),"F","E"),
C594="F",
IF(AX594&gt;=sameN,"G","F"),
C594="G",
IF(OR(I594="EQUAL",BB594=1,BA594&gt;=duoMax),"D","G"),
C594="D",
IF(AND(AV594&gt;=AW594,I594="READABLE"),"H","D"),
C594="H",
IF(OR(I594="SAME",AD594&lt;=axisTol),"I","H"),
C594="I",
IF(AX594&gt;=sameN,"J","I"),
C594="J",
IF(OR(I594="EQUAL",BB594=1,BA594&gt;=duoMax),"K","J"),
C594="K",
IF(
 I594="SAME",
 IF(
   XLOOKUP($B594,Derived_Variables!$A:$A,Derived_Variables!$Q:$Q,"None")="None",
   "END",
   "P"
 ),
 "K"
),
C594="P",
IF(OR(I594="READABLE",I594="SAME"),"Q","P"),
C594="Q",
IF(OR(I594="READABLE",I594="SAME"),"R","Q"),
C594="R",
IF(OR(I594="TARGET_OK",I594="SAME"),"END","R"),
TRUE,"END"
)))</f>
        <v/>
      </c>
      <c r="BD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 t="str">
        <f t="array" ref="BC595">IF($I595="","",LET(
conf,AI595,
sameN,IF(conf="Low",1,IF(conf="Medium",2,3)),
duoMax,XLOOKUP($B595,Derived_Variables!$A:$A,Derived_Variables!$AI:$AI,4),
axisTol,XLOOKUP($B595,Derived_Variables!$A:$A,Derived_Variables!$W:$W,1),
IFS(
C595="A",
IF(
 OR(
   I595="NOT_READABLE",
   I595="BLURRY",
   AND(R595="20_20_20",I595="READABLE")
 ),
 "B",
 "A"
),
C595="B",
IF(AND(AV595&gt;=AW595,I595="READABLE"),"E","B"),
C595="E",
IF(OR(I595="SAME",AD595&lt;=axisTol),"F","E"),
C595="F",
IF(AX595&gt;=sameN,"G","F"),
C595="G",
IF(OR(I595="EQUAL",BB595=1,BA595&gt;=duoMax),"D","G"),
C595="D",
IF(AND(AV595&gt;=AW595,I595="READABLE"),"H","D"),
C595="H",
IF(OR(I595="SAME",AD595&lt;=axisTol),"I","H"),
C595="I",
IF(AX595&gt;=sameN,"J","I"),
C595="J",
IF(OR(I595="EQUAL",BB595=1,BA595&gt;=duoMax),"K","J"),
C595="K",
IF(
 I595="SAME",
 IF(
   XLOOKUP($B595,Derived_Variables!$A:$A,Derived_Variables!$Q:$Q,"None")="None",
   "END",
   "P"
 ),
 "K"
),
C595="P",
IF(OR(I595="READABLE",I595="SAME"),"Q","P"),
C595="Q",
IF(OR(I595="READABLE",I595="SAME"),"R","Q"),
C595="R",
IF(OR(I595="TARGET_OK",I595="SAME"),"END","R"),
TRUE,"END"
)))</f>
        <v/>
      </c>
      <c r="BD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 t="str">
        <f t="array" ref="BC596">IF($I596="","",LET(
conf,AI596,
sameN,IF(conf="Low",1,IF(conf="Medium",2,3)),
duoMax,XLOOKUP($B596,Derived_Variables!$A:$A,Derived_Variables!$AI:$AI,4),
axisTol,XLOOKUP($B596,Derived_Variables!$A:$A,Derived_Variables!$W:$W,1),
IFS(
C596="A",
IF(
 OR(
   I596="NOT_READABLE",
   I596="BLURRY",
   AND(R596="20_20_20",I596="READABLE")
 ),
 "B",
 "A"
),
C596="B",
IF(AND(AV596&gt;=AW596,I596="READABLE"),"E","B"),
C596="E",
IF(OR(I596="SAME",AD596&lt;=axisTol),"F","E"),
C596="F",
IF(AX596&gt;=sameN,"G","F"),
C596="G",
IF(OR(I596="EQUAL",BB596=1,BA596&gt;=duoMax),"D","G"),
C596="D",
IF(AND(AV596&gt;=AW596,I596="READABLE"),"H","D"),
C596="H",
IF(OR(I596="SAME",AD596&lt;=axisTol),"I","H"),
C596="I",
IF(AX596&gt;=sameN,"J","I"),
C596="J",
IF(OR(I596="EQUAL",BB596=1,BA596&gt;=duoMax),"K","J"),
C596="K",
IF(
 I596="SAME",
 IF(
   XLOOKUP($B596,Derived_Variables!$A:$A,Derived_Variables!$Q:$Q,"None")="None",
   "END",
   "P"
 ),
 "K"
),
C596="P",
IF(OR(I596="READABLE",I596="SAME"),"Q","P"),
C596="Q",
IF(OR(I596="READABLE",I596="SAME"),"R","Q"),
C596="R",
IF(OR(I596="TARGET_OK",I596="SAME"),"END","R"),
TRUE,"END"
)))</f>
        <v/>
      </c>
      <c r="BD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 t="str">
        <f t="array" ref="BC597">IF($I597="","",LET(
conf,AI597,
sameN,IF(conf="Low",1,IF(conf="Medium",2,3)),
duoMax,XLOOKUP($B597,Derived_Variables!$A:$A,Derived_Variables!$AI:$AI,4),
axisTol,XLOOKUP($B597,Derived_Variables!$A:$A,Derived_Variables!$W:$W,1),
IFS(
C597="A",
IF(
 OR(
   I597="NOT_READABLE",
   I597="BLURRY",
   AND(R597="20_20_20",I597="READABLE")
 ),
 "B",
 "A"
),
C597="B",
IF(AND(AV597&gt;=AW597,I597="READABLE"),"E","B"),
C597="E",
IF(OR(I597="SAME",AD597&lt;=axisTol),"F","E"),
C597="F",
IF(AX597&gt;=sameN,"G","F"),
C597="G",
IF(OR(I597="EQUAL",BB597=1,BA597&gt;=duoMax),"D","G"),
C597="D",
IF(AND(AV597&gt;=AW597,I597="READABLE"),"H","D"),
C597="H",
IF(OR(I597="SAME",AD597&lt;=axisTol),"I","H"),
C597="I",
IF(AX597&gt;=sameN,"J","I"),
C597="J",
IF(OR(I597="EQUAL",BB597=1,BA597&gt;=duoMax),"K","J"),
C597="K",
IF(
 I597="SAME",
 IF(
   XLOOKUP($B597,Derived_Variables!$A:$A,Derived_Variables!$Q:$Q,"None")="None",
   "END",
   "P"
 ),
 "K"
),
C597="P",
IF(OR(I597="READABLE",I597="SAME"),"Q","P"),
C597="Q",
IF(OR(I597="READABLE",I597="SAME"),"R","Q"),
C597="R",
IF(OR(I597="TARGET_OK",I597="SAME"),"END","R"),
TRUE,"END"
)))</f>
        <v/>
      </c>
      <c r="BD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 t="str">
        <f t="array" ref="BC598">IF($I598="","",LET(
conf,AI598,
sameN,IF(conf="Low",1,IF(conf="Medium",2,3)),
duoMax,XLOOKUP($B598,Derived_Variables!$A:$A,Derived_Variables!$AI:$AI,4),
axisTol,XLOOKUP($B598,Derived_Variables!$A:$A,Derived_Variables!$W:$W,1),
IFS(
C598="A",
IF(
 OR(
   I598="NOT_READABLE",
   I598="BLURRY",
   AND(R598="20_20_20",I598="READABLE")
 ),
 "B",
 "A"
),
C598="B",
IF(AND(AV598&gt;=AW598,I598="READABLE"),"E","B"),
C598="E",
IF(OR(I598="SAME",AD598&lt;=axisTol),"F","E"),
C598="F",
IF(AX598&gt;=sameN,"G","F"),
C598="G",
IF(OR(I598="EQUAL",BB598=1,BA598&gt;=duoMax),"D","G"),
C598="D",
IF(AND(AV598&gt;=AW598,I598="READABLE"),"H","D"),
C598="H",
IF(OR(I598="SAME",AD598&lt;=axisTol),"I","H"),
C598="I",
IF(AX598&gt;=sameN,"J","I"),
C598="J",
IF(OR(I598="EQUAL",BB598=1,BA598&gt;=duoMax),"K","J"),
C598="K",
IF(
 I598="SAME",
 IF(
   XLOOKUP($B598,Derived_Variables!$A:$A,Derived_Variables!$Q:$Q,"None")="None",
   "END",
   "P"
 ),
 "K"
),
C598="P",
IF(OR(I598="READABLE",I598="SAME"),"Q","P"),
C598="Q",
IF(OR(I598="READABLE",I598="SAME"),"R","Q"),
C598="R",
IF(OR(I598="TARGET_OK",I598="SAME"),"END","R"),
TRUE,"END"
)))</f>
        <v/>
      </c>
      <c r="BD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 t="str">
        <f t="array" ref="BC599">IF($I599="","",LET(
conf,AI599,
sameN,IF(conf="Low",1,IF(conf="Medium",2,3)),
duoMax,XLOOKUP($B599,Derived_Variables!$A:$A,Derived_Variables!$AI:$AI,4),
axisTol,XLOOKUP($B599,Derived_Variables!$A:$A,Derived_Variables!$W:$W,1),
IFS(
C599="A",
IF(
 OR(
   I599="NOT_READABLE",
   I599="BLURRY",
   AND(R599="20_20_20",I599="READABLE")
 ),
 "B",
 "A"
),
C599="B",
IF(AND(AV599&gt;=AW599,I599="READABLE"),"E","B"),
C599="E",
IF(OR(I599="SAME",AD599&lt;=axisTol),"F","E"),
C599="F",
IF(AX599&gt;=sameN,"G","F"),
C599="G",
IF(OR(I599="EQUAL",BB599=1,BA599&gt;=duoMax),"D","G"),
C599="D",
IF(AND(AV599&gt;=AW599,I599="READABLE"),"H","D"),
C599="H",
IF(OR(I599="SAME",AD599&lt;=axisTol),"I","H"),
C599="I",
IF(AX599&gt;=sameN,"J","I"),
C599="J",
IF(OR(I599="EQUAL",BB599=1,BA599&gt;=duoMax),"K","J"),
C599="K",
IF(
 I599="SAME",
 IF(
   XLOOKUP($B599,Derived_Variables!$A:$A,Derived_Variables!$Q:$Q,"None")="None",
   "END",
   "P"
 ),
 "K"
),
C599="P",
IF(OR(I599="READABLE",I599="SAME"),"Q","P"),
C599="Q",
IF(OR(I599="READABLE",I599="SAME"),"R","Q"),
C599="R",
IF(OR(I599="TARGET_OK",I599="SAME"),"END","R"),
TRUE,"END"
)))</f>
        <v/>
      </c>
      <c r="BD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 t="str">
        <f t="array" ref="BC600">IF($I600="","",LET(
conf,AI600,
sameN,IF(conf="Low",1,IF(conf="Medium",2,3)),
duoMax,XLOOKUP($B600,Derived_Variables!$A:$A,Derived_Variables!$AI:$AI,4),
axisTol,XLOOKUP($B600,Derived_Variables!$A:$A,Derived_Variables!$W:$W,1),
IFS(
C600="A",
IF(
 OR(
   I600="NOT_READABLE",
   I600="BLURRY",
   AND(R600="20_20_20",I600="READABLE")
 ),
 "B",
 "A"
),
C600="B",
IF(AND(AV600&gt;=AW600,I600="READABLE"),"E","B"),
C600="E",
IF(OR(I600="SAME",AD600&lt;=axisTol),"F","E"),
C600="F",
IF(AX600&gt;=sameN,"G","F"),
C600="G",
IF(OR(I600="EQUAL",BB600=1,BA600&gt;=duoMax),"D","G"),
C600="D",
IF(AND(AV600&gt;=AW600,I600="READABLE"),"H","D"),
C600="H",
IF(OR(I600="SAME",AD600&lt;=axisTol),"I","H"),
C600="I",
IF(AX600&gt;=sameN,"J","I"),
C600="J",
IF(OR(I600="EQUAL",BB600=1,BA600&gt;=duoMax),"K","J"),
C600="K",
IF(
 I600="SAME",
 IF(
   XLOOKUP($B600,Derived_Variables!$A:$A,Derived_Variables!$Q:$Q,"None")="None",
   "END",
   "P"
 ),
 "K"
),
C600="P",
IF(OR(I600="READABLE",I600="SAME"),"Q","P"),
C600="Q",
IF(OR(I600="READABLE",I600="SAME"),"R","Q"),
C600="R",
IF(OR(I600="TARGET_OK",I600="SAME"),"END","R"),
TRUE,"END"
)))</f>
        <v/>
      </c>
      <c r="BD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 t="str">
        <f t="array" ref="BC601">IF($I601="","",LET(
conf,AI601,
sameN,IF(conf="Low",1,IF(conf="Medium",2,3)),
duoMax,XLOOKUP($B601,Derived_Variables!$A:$A,Derived_Variables!$AI:$AI,4),
axisTol,XLOOKUP($B601,Derived_Variables!$A:$A,Derived_Variables!$W:$W,1),
IFS(
C601="A",
IF(
 OR(
   I601="NOT_READABLE",
   I601="BLURRY",
   AND(R601="20_20_20",I601="READABLE")
 ),
 "B",
 "A"
),
C601="B",
IF(AND(AV601&gt;=AW601,I601="READABLE"),"E","B"),
C601="E",
IF(OR(I601="SAME",AD601&lt;=axisTol),"F","E"),
C601="F",
IF(AX601&gt;=sameN,"G","F"),
C601="G",
IF(OR(I601="EQUAL",BB601=1,BA601&gt;=duoMax),"D","G"),
C601="D",
IF(AND(AV601&gt;=AW601,I601="READABLE"),"H","D"),
C601="H",
IF(OR(I601="SAME",AD601&lt;=axisTol),"I","H"),
C601="I",
IF(AX601&gt;=sameN,"J","I"),
C601="J",
IF(OR(I601="EQUAL",BB601=1,BA601&gt;=duoMax),"K","J"),
C601="K",
IF(
 I601="SAME",
 IF(
   XLOOKUP($B601,Derived_Variables!$A:$A,Derived_Variables!$Q:$Q,"None")="None",
   "END",
   "P"
 ),
 "K"
),
C601="P",
IF(OR(I601="READABLE",I601="SAME"),"Q","P"),
C601="Q",
IF(OR(I601="READABLE",I601="SAME"),"R","Q"),
C601="R",
IF(OR(I601="TARGET_OK",I601="SAME"),"END","R"),
TRUE,"END"
)))</f>
        <v/>
      </c>
      <c r="BD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 t="str">
        <f t="array" ref="BC602">IF($I602="","",LET(
conf,AI602,
sameN,IF(conf="Low",1,IF(conf="Medium",2,3)),
duoMax,XLOOKUP($B602,Derived_Variables!$A:$A,Derived_Variables!$AI:$AI,4),
axisTol,XLOOKUP($B602,Derived_Variables!$A:$A,Derived_Variables!$W:$W,1),
IFS(
C602="A",
IF(
 OR(
   I602="NOT_READABLE",
   I602="BLURRY",
   AND(R602="20_20_20",I602="READABLE")
 ),
 "B",
 "A"
),
C602="B",
IF(AND(AV602&gt;=AW602,I602="READABLE"),"E","B"),
C602="E",
IF(OR(I602="SAME",AD602&lt;=axisTol),"F","E"),
C602="F",
IF(AX602&gt;=sameN,"G","F"),
C602="G",
IF(OR(I602="EQUAL",BB602=1,BA602&gt;=duoMax),"D","G"),
C602="D",
IF(AND(AV602&gt;=AW602,I602="READABLE"),"H","D"),
C602="H",
IF(OR(I602="SAME",AD602&lt;=axisTol),"I","H"),
C602="I",
IF(AX602&gt;=sameN,"J","I"),
C602="J",
IF(OR(I602="EQUAL",BB602=1,BA602&gt;=duoMax),"K","J"),
C602="K",
IF(
 I602="SAME",
 IF(
   XLOOKUP($B602,Derived_Variables!$A:$A,Derived_Variables!$Q:$Q,"None")="None",
   "END",
   "P"
 ),
 "K"
),
C602="P",
IF(OR(I602="READABLE",I602="SAME"),"Q","P"),
C602="Q",
IF(OR(I602="READABLE",I602="SAME"),"R","Q"),
C602="R",
IF(OR(I602="TARGET_OK",I602="SAME"),"END","R"),
TRUE,"END"
)))</f>
        <v/>
      </c>
      <c r="BD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 t="str">
        <f t="array" ref="BC603">IF($I603="","",LET(
conf,AI603,
sameN,IF(conf="Low",1,IF(conf="Medium",2,3)),
duoMax,XLOOKUP($B603,Derived_Variables!$A:$A,Derived_Variables!$AI:$AI,4),
axisTol,XLOOKUP($B603,Derived_Variables!$A:$A,Derived_Variables!$W:$W,1),
IFS(
C603="A",
IF(
 OR(
   I603="NOT_READABLE",
   I603="BLURRY",
   AND(R603="20_20_20",I603="READABLE")
 ),
 "B",
 "A"
),
C603="B",
IF(AND(AV603&gt;=AW603,I603="READABLE"),"E","B"),
C603="E",
IF(OR(I603="SAME",AD603&lt;=axisTol),"F","E"),
C603="F",
IF(AX603&gt;=sameN,"G","F"),
C603="G",
IF(OR(I603="EQUAL",BB603=1,BA603&gt;=duoMax),"D","G"),
C603="D",
IF(AND(AV603&gt;=AW603,I603="READABLE"),"H","D"),
C603="H",
IF(OR(I603="SAME",AD603&lt;=axisTol),"I","H"),
C603="I",
IF(AX603&gt;=sameN,"J","I"),
C603="J",
IF(OR(I603="EQUAL",BB603=1,BA603&gt;=duoMax),"K","J"),
C603="K",
IF(
 I603="SAME",
 IF(
   XLOOKUP($B603,Derived_Variables!$A:$A,Derived_Variables!$Q:$Q,"None")="None",
   "END",
   "P"
 ),
 "K"
),
C603="P",
IF(OR(I603="READABLE",I603="SAME"),"Q","P"),
C603="Q",
IF(OR(I603="READABLE",I603="SAME"),"R","Q"),
C603="R",
IF(OR(I603="TARGET_OK",I603="SAME"),"END","R"),
TRUE,"END"
)))</f>
        <v/>
      </c>
      <c r="BD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 t="str">
        <f t="array" ref="BC604">IF($I604="","",LET(
conf,AI604,
sameN,IF(conf="Low",1,IF(conf="Medium",2,3)),
duoMax,XLOOKUP($B604,Derived_Variables!$A:$A,Derived_Variables!$AI:$AI,4),
axisTol,XLOOKUP($B604,Derived_Variables!$A:$A,Derived_Variables!$W:$W,1),
IFS(
C604="A",
IF(
 OR(
   I604="NOT_READABLE",
   I604="BLURRY",
   AND(R604="20_20_20",I604="READABLE")
 ),
 "B",
 "A"
),
C604="B",
IF(AND(AV604&gt;=AW604,I604="READABLE"),"E","B"),
C604="E",
IF(OR(I604="SAME",AD604&lt;=axisTol),"F","E"),
C604="F",
IF(AX604&gt;=sameN,"G","F"),
C604="G",
IF(OR(I604="EQUAL",BB604=1,BA604&gt;=duoMax),"D","G"),
C604="D",
IF(AND(AV604&gt;=AW604,I604="READABLE"),"H","D"),
C604="H",
IF(OR(I604="SAME",AD604&lt;=axisTol),"I","H"),
C604="I",
IF(AX604&gt;=sameN,"J","I"),
C604="J",
IF(OR(I604="EQUAL",BB604=1,BA604&gt;=duoMax),"K","J"),
C604="K",
IF(
 I604="SAME",
 IF(
   XLOOKUP($B604,Derived_Variables!$A:$A,Derived_Variables!$Q:$Q,"None")="None",
   "END",
   "P"
 ),
 "K"
),
C604="P",
IF(OR(I604="READABLE",I604="SAME"),"Q","P"),
C604="Q",
IF(OR(I604="READABLE",I604="SAME"),"R","Q"),
C604="R",
IF(OR(I604="TARGET_OK",I604="SAME"),"END","R"),
TRUE,"END"
)))</f>
        <v/>
      </c>
      <c r="BD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 t="str">
        <f t="array" ref="BC605">IF($I605="","",LET(
conf,AI605,
sameN,IF(conf="Low",1,IF(conf="Medium",2,3)),
duoMax,XLOOKUP($B605,Derived_Variables!$A:$A,Derived_Variables!$AI:$AI,4),
axisTol,XLOOKUP($B605,Derived_Variables!$A:$A,Derived_Variables!$W:$W,1),
IFS(
C605="A",
IF(
 OR(
   I605="NOT_READABLE",
   I605="BLURRY",
   AND(R605="20_20_20",I605="READABLE")
 ),
 "B",
 "A"
),
C605="B",
IF(AND(AV605&gt;=AW605,I605="READABLE"),"E","B"),
C605="E",
IF(OR(I605="SAME",AD605&lt;=axisTol),"F","E"),
C605="F",
IF(AX605&gt;=sameN,"G","F"),
C605="G",
IF(OR(I605="EQUAL",BB605=1,BA605&gt;=duoMax),"D","G"),
C605="D",
IF(AND(AV605&gt;=AW605,I605="READABLE"),"H","D"),
C605="H",
IF(OR(I605="SAME",AD605&lt;=axisTol),"I","H"),
C605="I",
IF(AX605&gt;=sameN,"J","I"),
C605="J",
IF(OR(I605="EQUAL",BB605=1,BA605&gt;=duoMax),"K","J"),
C605="K",
IF(
 I605="SAME",
 IF(
   XLOOKUP($B605,Derived_Variables!$A:$A,Derived_Variables!$Q:$Q,"None")="None",
   "END",
   "P"
 ),
 "K"
),
C605="P",
IF(OR(I605="READABLE",I605="SAME"),"Q","P"),
C605="Q",
IF(OR(I605="READABLE",I605="SAME"),"R","Q"),
C605="R",
IF(OR(I605="TARGET_OK",I605="SAME"),"END","R"),
TRUE,"END"
)))</f>
        <v/>
      </c>
      <c r="BD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 t="str">
        <f t="array" ref="BC606">IF($I606="","",LET(
conf,AI606,
sameN,IF(conf="Low",1,IF(conf="Medium",2,3)),
duoMax,XLOOKUP($B606,Derived_Variables!$A:$A,Derived_Variables!$AI:$AI,4),
axisTol,XLOOKUP($B606,Derived_Variables!$A:$A,Derived_Variables!$W:$W,1),
IFS(
C606="A",
IF(
 OR(
   I606="NOT_READABLE",
   I606="BLURRY",
   AND(R606="20_20_20",I606="READABLE")
 ),
 "B",
 "A"
),
C606="B",
IF(AND(AV606&gt;=AW606,I606="READABLE"),"E","B"),
C606="E",
IF(OR(I606="SAME",AD606&lt;=axisTol),"F","E"),
C606="F",
IF(AX606&gt;=sameN,"G","F"),
C606="G",
IF(OR(I606="EQUAL",BB606=1,BA606&gt;=duoMax),"D","G"),
C606="D",
IF(AND(AV606&gt;=AW606,I606="READABLE"),"H","D"),
C606="H",
IF(OR(I606="SAME",AD606&lt;=axisTol),"I","H"),
C606="I",
IF(AX606&gt;=sameN,"J","I"),
C606="J",
IF(OR(I606="EQUAL",BB606=1,BA606&gt;=duoMax),"K","J"),
C606="K",
IF(
 I606="SAME",
 IF(
   XLOOKUP($B606,Derived_Variables!$A:$A,Derived_Variables!$Q:$Q,"None")="None",
   "END",
   "P"
 ),
 "K"
),
C606="P",
IF(OR(I606="READABLE",I606="SAME"),"Q","P"),
C606="Q",
IF(OR(I606="READABLE",I606="SAME"),"R","Q"),
C606="R",
IF(OR(I606="TARGET_OK",I606="SAME"),"END","R"),
TRUE,"END"
)))</f>
        <v/>
      </c>
      <c r="BD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 t="str">
        <f t="array" ref="BC607">IF($I607="","",LET(
conf,AI607,
sameN,IF(conf="Low",1,IF(conf="Medium",2,3)),
duoMax,XLOOKUP($B607,Derived_Variables!$A:$A,Derived_Variables!$AI:$AI,4),
axisTol,XLOOKUP($B607,Derived_Variables!$A:$A,Derived_Variables!$W:$W,1),
IFS(
C607="A",
IF(
 OR(
   I607="NOT_READABLE",
   I607="BLURRY",
   AND(R607="20_20_20",I607="READABLE")
 ),
 "B",
 "A"
),
C607="B",
IF(AND(AV607&gt;=AW607,I607="READABLE"),"E","B"),
C607="E",
IF(OR(I607="SAME",AD607&lt;=axisTol),"F","E"),
C607="F",
IF(AX607&gt;=sameN,"G","F"),
C607="G",
IF(OR(I607="EQUAL",BB607=1,BA607&gt;=duoMax),"D","G"),
C607="D",
IF(AND(AV607&gt;=AW607,I607="READABLE"),"H","D"),
C607="H",
IF(OR(I607="SAME",AD607&lt;=axisTol),"I","H"),
C607="I",
IF(AX607&gt;=sameN,"J","I"),
C607="J",
IF(OR(I607="EQUAL",BB607=1,BA607&gt;=duoMax),"K","J"),
C607="K",
IF(
 I607="SAME",
 IF(
   XLOOKUP($B607,Derived_Variables!$A:$A,Derived_Variables!$Q:$Q,"None")="None",
   "END",
   "P"
 ),
 "K"
),
C607="P",
IF(OR(I607="READABLE",I607="SAME"),"Q","P"),
C607="Q",
IF(OR(I607="READABLE",I607="SAME"),"R","Q"),
C607="R",
IF(OR(I607="TARGET_OK",I607="SAME"),"END","R"),
TRUE,"END"
)))</f>
        <v/>
      </c>
      <c r="BD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 t="str">
        <f t="array" ref="BC608">IF($I608="","",LET(
conf,AI608,
sameN,IF(conf="Low",1,IF(conf="Medium",2,3)),
duoMax,XLOOKUP($B608,Derived_Variables!$A:$A,Derived_Variables!$AI:$AI,4),
axisTol,XLOOKUP($B608,Derived_Variables!$A:$A,Derived_Variables!$W:$W,1),
IFS(
C608="A",
IF(
 OR(
   I608="NOT_READABLE",
   I608="BLURRY",
   AND(R608="20_20_20",I608="READABLE")
 ),
 "B",
 "A"
),
C608="B",
IF(AND(AV608&gt;=AW608,I608="READABLE"),"E","B"),
C608="E",
IF(OR(I608="SAME",AD608&lt;=axisTol),"F","E"),
C608="F",
IF(AX608&gt;=sameN,"G","F"),
C608="G",
IF(OR(I608="EQUAL",BB608=1,BA608&gt;=duoMax),"D","G"),
C608="D",
IF(AND(AV608&gt;=AW608,I608="READABLE"),"H","D"),
C608="H",
IF(OR(I608="SAME",AD608&lt;=axisTol),"I","H"),
C608="I",
IF(AX608&gt;=sameN,"J","I"),
C608="J",
IF(OR(I608="EQUAL",BB608=1,BA608&gt;=duoMax),"K","J"),
C608="K",
IF(
 I608="SAME",
 IF(
   XLOOKUP($B608,Derived_Variables!$A:$A,Derived_Variables!$Q:$Q,"None")="None",
   "END",
   "P"
 ),
 "K"
),
C608="P",
IF(OR(I608="READABLE",I608="SAME"),"Q","P"),
C608="Q",
IF(OR(I608="READABLE",I608="SAME"),"R","Q"),
C608="R",
IF(OR(I608="TARGET_OK",I608="SAME"),"END","R"),
TRUE,"END"
)))</f>
        <v/>
      </c>
      <c r="BD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 t="str">
        <f t="array" ref="BC609">IF($I609="","",LET(
conf,AI609,
sameN,IF(conf="Low",1,IF(conf="Medium",2,3)),
duoMax,XLOOKUP($B609,Derived_Variables!$A:$A,Derived_Variables!$AI:$AI,4),
axisTol,XLOOKUP($B609,Derived_Variables!$A:$A,Derived_Variables!$W:$W,1),
IFS(
C609="A",
IF(
 OR(
   I609="NOT_READABLE",
   I609="BLURRY",
   AND(R609="20_20_20",I609="READABLE")
 ),
 "B",
 "A"
),
C609="B",
IF(AND(AV609&gt;=AW609,I609="READABLE"),"E","B"),
C609="E",
IF(OR(I609="SAME",AD609&lt;=axisTol),"F","E"),
C609="F",
IF(AX609&gt;=sameN,"G","F"),
C609="G",
IF(OR(I609="EQUAL",BB609=1,BA609&gt;=duoMax),"D","G"),
C609="D",
IF(AND(AV609&gt;=AW609,I609="READABLE"),"H","D"),
C609="H",
IF(OR(I609="SAME",AD609&lt;=axisTol),"I","H"),
C609="I",
IF(AX609&gt;=sameN,"J","I"),
C609="J",
IF(OR(I609="EQUAL",BB609=1,BA609&gt;=duoMax),"K","J"),
C609="K",
IF(
 I609="SAME",
 IF(
   XLOOKUP($B609,Derived_Variables!$A:$A,Derived_Variables!$Q:$Q,"None")="None",
   "END",
   "P"
 ),
 "K"
),
C609="P",
IF(OR(I609="READABLE",I609="SAME"),"Q","P"),
C609="Q",
IF(OR(I609="READABLE",I609="SAME"),"R","Q"),
C609="R",
IF(OR(I609="TARGET_OK",I609="SAME"),"END","R"),
TRUE,"END"
)))</f>
        <v/>
      </c>
      <c r="BD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 t="str">
        <f t="array" ref="BC610">IF($I610="","",LET(
conf,AI610,
sameN,IF(conf="Low",1,IF(conf="Medium",2,3)),
duoMax,XLOOKUP($B610,Derived_Variables!$A:$A,Derived_Variables!$AI:$AI,4),
axisTol,XLOOKUP($B610,Derived_Variables!$A:$A,Derived_Variables!$W:$W,1),
IFS(
C610="A",
IF(
 OR(
   I610="NOT_READABLE",
   I610="BLURRY",
   AND(R610="20_20_20",I610="READABLE")
 ),
 "B",
 "A"
),
C610="B",
IF(AND(AV610&gt;=AW610,I610="READABLE"),"E","B"),
C610="E",
IF(OR(I610="SAME",AD610&lt;=axisTol),"F","E"),
C610="F",
IF(AX610&gt;=sameN,"G","F"),
C610="G",
IF(OR(I610="EQUAL",BB610=1,BA610&gt;=duoMax),"D","G"),
C610="D",
IF(AND(AV610&gt;=AW610,I610="READABLE"),"H","D"),
C610="H",
IF(OR(I610="SAME",AD610&lt;=axisTol),"I","H"),
C610="I",
IF(AX610&gt;=sameN,"J","I"),
C610="J",
IF(OR(I610="EQUAL",BB610=1,BA610&gt;=duoMax),"K","J"),
C610="K",
IF(
 I610="SAME",
 IF(
   XLOOKUP($B610,Derived_Variables!$A:$A,Derived_Variables!$Q:$Q,"None")="None",
   "END",
   "P"
 ),
 "K"
),
C610="P",
IF(OR(I610="READABLE",I610="SAME"),"Q","P"),
C610="Q",
IF(OR(I610="READABLE",I610="SAME"),"R","Q"),
C610="R",
IF(OR(I610="TARGET_OK",I610="SAME"),"END","R"),
TRUE,"END"
)))</f>
        <v/>
      </c>
      <c r="BD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 t="str">
        <f t="array" ref="BC611">IF($I611="","",LET(
conf,AI611,
sameN,IF(conf="Low",1,IF(conf="Medium",2,3)),
duoMax,XLOOKUP($B611,Derived_Variables!$A:$A,Derived_Variables!$AI:$AI,4),
axisTol,XLOOKUP($B611,Derived_Variables!$A:$A,Derived_Variables!$W:$W,1),
IFS(
C611="A",
IF(
 OR(
   I611="NOT_READABLE",
   I611="BLURRY",
   AND(R611="20_20_20",I611="READABLE")
 ),
 "B",
 "A"
),
C611="B",
IF(AND(AV611&gt;=AW611,I611="READABLE"),"E","B"),
C611="E",
IF(OR(I611="SAME",AD611&lt;=axisTol),"F","E"),
C611="F",
IF(AX611&gt;=sameN,"G","F"),
C611="G",
IF(OR(I611="EQUAL",BB611=1,BA611&gt;=duoMax),"D","G"),
C611="D",
IF(AND(AV611&gt;=AW611,I611="READABLE"),"H","D"),
C611="H",
IF(OR(I611="SAME",AD611&lt;=axisTol),"I","H"),
C611="I",
IF(AX611&gt;=sameN,"J","I"),
C611="J",
IF(OR(I611="EQUAL",BB611=1,BA611&gt;=duoMax),"K","J"),
C611="K",
IF(
 I611="SAME",
 IF(
   XLOOKUP($B611,Derived_Variables!$A:$A,Derived_Variables!$Q:$Q,"None")="None",
   "END",
   "P"
 ),
 "K"
),
C611="P",
IF(OR(I611="READABLE",I611="SAME"),"Q","P"),
C611="Q",
IF(OR(I611="READABLE",I611="SAME"),"R","Q"),
C611="R",
IF(OR(I611="TARGET_OK",I611="SAME"),"END","R"),
TRUE,"END"
)))</f>
        <v/>
      </c>
      <c r="BD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 t="str">
        <f t="array" ref="BC612">IF($I612="","",LET(
conf,AI612,
sameN,IF(conf="Low",1,IF(conf="Medium",2,3)),
duoMax,XLOOKUP($B612,Derived_Variables!$A:$A,Derived_Variables!$AI:$AI,4),
axisTol,XLOOKUP($B612,Derived_Variables!$A:$A,Derived_Variables!$W:$W,1),
IFS(
C612="A",
IF(
 OR(
   I612="NOT_READABLE",
   I612="BLURRY",
   AND(R612="20_20_20",I612="READABLE")
 ),
 "B",
 "A"
),
C612="B",
IF(AND(AV612&gt;=AW612,I612="READABLE"),"E","B"),
C612="E",
IF(OR(I612="SAME",AD612&lt;=axisTol),"F","E"),
C612="F",
IF(AX612&gt;=sameN,"G","F"),
C612="G",
IF(OR(I612="EQUAL",BB612=1,BA612&gt;=duoMax),"D","G"),
C612="D",
IF(AND(AV612&gt;=AW612,I612="READABLE"),"H","D"),
C612="H",
IF(OR(I612="SAME",AD612&lt;=axisTol),"I","H"),
C612="I",
IF(AX612&gt;=sameN,"J","I"),
C612="J",
IF(OR(I612="EQUAL",BB612=1,BA612&gt;=duoMax),"K","J"),
C612="K",
IF(
 I612="SAME",
 IF(
   XLOOKUP($B612,Derived_Variables!$A:$A,Derived_Variables!$Q:$Q,"None")="None",
   "END",
   "P"
 ),
 "K"
),
C612="P",
IF(OR(I612="READABLE",I612="SAME"),"Q","P"),
C612="Q",
IF(OR(I612="READABLE",I612="SAME"),"R","Q"),
C612="R",
IF(OR(I612="TARGET_OK",I612="SAME"),"END","R"),
TRUE,"END"
)))</f>
        <v/>
      </c>
      <c r="BD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 t="str">
        <f t="array" ref="BC613">IF($I613="","",LET(
conf,AI613,
sameN,IF(conf="Low",1,IF(conf="Medium",2,3)),
duoMax,XLOOKUP($B613,Derived_Variables!$A:$A,Derived_Variables!$AI:$AI,4),
axisTol,XLOOKUP($B613,Derived_Variables!$A:$A,Derived_Variables!$W:$W,1),
IFS(
C613="A",
IF(
 OR(
   I613="NOT_READABLE",
   I613="BLURRY",
   AND(R613="20_20_20",I613="READABLE")
 ),
 "B",
 "A"
),
C613="B",
IF(AND(AV613&gt;=AW613,I613="READABLE"),"E","B"),
C613="E",
IF(OR(I613="SAME",AD613&lt;=axisTol),"F","E"),
C613="F",
IF(AX613&gt;=sameN,"G","F"),
C613="G",
IF(OR(I613="EQUAL",BB613=1,BA613&gt;=duoMax),"D","G"),
C613="D",
IF(AND(AV613&gt;=AW613,I613="READABLE"),"H","D"),
C613="H",
IF(OR(I613="SAME",AD613&lt;=axisTol),"I","H"),
C613="I",
IF(AX613&gt;=sameN,"J","I"),
C613="J",
IF(OR(I613="EQUAL",BB613=1,BA613&gt;=duoMax),"K","J"),
C613="K",
IF(
 I613="SAME",
 IF(
   XLOOKUP($B613,Derived_Variables!$A:$A,Derived_Variables!$Q:$Q,"None")="None",
   "END",
   "P"
 ),
 "K"
),
C613="P",
IF(OR(I613="READABLE",I613="SAME"),"Q","P"),
C613="Q",
IF(OR(I613="READABLE",I613="SAME"),"R","Q"),
C613="R",
IF(OR(I613="TARGET_OK",I613="SAME"),"END","R"),
TRUE,"END"
)))</f>
        <v/>
      </c>
      <c r="BD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 t="str">
        <f t="array" ref="BC614">IF($I614="","",LET(
conf,AI614,
sameN,IF(conf="Low",1,IF(conf="Medium",2,3)),
duoMax,XLOOKUP($B614,Derived_Variables!$A:$A,Derived_Variables!$AI:$AI,4),
axisTol,XLOOKUP($B614,Derived_Variables!$A:$A,Derived_Variables!$W:$W,1),
IFS(
C614="A",
IF(
 OR(
   I614="NOT_READABLE",
   I614="BLURRY",
   AND(R614="20_20_20",I614="READABLE")
 ),
 "B",
 "A"
),
C614="B",
IF(AND(AV614&gt;=AW614,I614="READABLE"),"E","B"),
C614="E",
IF(OR(I614="SAME",AD614&lt;=axisTol),"F","E"),
C614="F",
IF(AX614&gt;=sameN,"G","F"),
C614="G",
IF(OR(I614="EQUAL",BB614=1,BA614&gt;=duoMax),"D","G"),
C614="D",
IF(AND(AV614&gt;=AW614,I614="READABLE"),"H","D"),
C614="H",
IF(OR(I614="SAME",AD614&lt;=axisTol),"I","H"),
C614="I",
IF(AX614&gt;=sameN,"J","I"),
C614="J",
IF(OR(I614="EQUAL",BB614=1,BA614&gt;=duoMax),"K","J"),
C614="K",
IF(
 I614="SAME",
 IF(
   XLOOKUP($B614,Derived_Variables!$A:$A,Derived_Variables!$Q:$Q,"None")="None",
   "END",
   "P"
 ),
 "K"
),
C614="P",
IF(OR(I614="READABLE",I614="SAME"),"Q","P"),
C614="Q",
IF(OR(I614="READABLE",I614="SAME"),"R","Q"),
C614="R",
IF(OR(I614="TARGET_OK",I614="SAME"),"END","R"),
TRUE,"END"
)))</f>
        <v/>
      </c>
      <c r="BD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 t="str">
        <f t="array" ref="BC615">IF($I615="","",LET(
conf,AI615,
sameN,IF(conf="Low",1,IF(conf="Medium",2,3)),
duoMax,XLOOKUP($B615,Derived_Variables!$A:$A,Derived_Variables!$AI:$AI,4),
axisTol,XLOOKUP($B615,Derived_Variables!$A:$A,Derived_Variables!$W:$W,1),
IFS(
C615="A",
IF(
 OR(
   I615="NOT_READABLE",
   I615="BLURRY",
   AND(R615="20_20_20",I615="READABLE")
 ),
 "B",
 "A"
),
C615="B",
IF(AND(AV615&gt;=AW615,I615="READABLE"),"E","B"),
C615="E",
IF(OR(I615="SAME",AD615&lt;=axisTol),"F","E"),
C615="F",
IF(AX615&gt;=sameN,"G","F"),
C615="G",
IF(OR(I615="EQUAL",BB615=1,BA615&gt;=duoMax),"D","G"),
C615="D",
IF(AND(AV615&gt;=AW615,I615="READABLE"),"H","D"),
C615="H",
IF(OR(I615="SAME",AD615&lt;=axisTol),"I","H"),
C615="I",
IF(AX615&gt;=sameN,"J","I"),
C615="J",
IF(OR(I615="EQUAL",BB615=1,BA615&gt;=duoMax),"K","J"),
C615="K",
IF(
 I615="SAME",
 IF(
   XLOOKUP($B615,Derived_Variables!$A:$A,Derived_Variables!$Q:$Q,"None")="None",
   "END",
   "P"
 ),
 "K"
),
C615="P",
IF(OR(I615="READABLE",I615="SAME"),"Q","P"),
C615="Q",
IF(OR(I615="READABLE",I615="SAME"),"R","Q"),
C615="R",
IF(OR(I615="TARGET_OK",I615="SAME"),"END","R"),
TRUE,"END"
)))</f>
        <v/>
      </c>
      <c r="BD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 t="str">
        <f t="array" ref="BC616">IF($I616="","",LET(
conf,AI616,
sameN,IF(conf="Low",1,IF(conf="Medium",2,3)),
duoMax,XLOOKUP($B616,Derived_Variables!$A:$A,Derived_Variables!$AI:$AI,4),
axisTol,XLOOKUP($B616,Derived_Variables!$A:$A,Derived_Variables!$W:$W,1),
IFS(
C616="A",
IF(
 OR(
   I616="NOT_READABLE",
   I616="BLURRY",
   AND(R616="20_20_20",I616="READABLE")
 ),
 "B",
 "A"
),
C616="B",
IF(AND(AV616&gt;=AW616,I616="READABLE"),"E","B"),
C616="E",
IF(OR(I616="SAME",AD616&lt;=axisTol),"F","E"),
C616="F",
IF(AX616&gt;=sameN,"G","F"),
C616="G",
IF(OR(I616="EQUAL",BB616=1,BA616&gt;=duoMax),"D","G"),
C616="D",
IF(AND(AV616&gt;=AW616,I616="READABLE"),"H","D"),
C616="H",
IF(OR(I616="SAME",AD616&lt;=axisTol),"I","H"),
C616="I",
IF(AX616&gt;=sameN,"J","I"),
C616="J",
IF(OR(I616="EQUAL",BB616=1,BA616&gt;=duoMax),"K","J"),
C616="K",
IF(
 I616="SAME",
 IF(
   XLOOKUP($B616,Derived_Variables!$A:$A,Derived_Variables!$Q:$Q,"None")="None",
   "END",
   "P"
 ),
 "K"
),
C616="P",
IF(OR(I616="READABLE",I616="SAME"),"Q","P"),
C616="Q",
IF(OR(I616="READABLE",I616="SAME"),"R","Q"),
C616="R",
IF(OR(I616="TARGET_OK",I616="SAME"),"END","R"),
TRUE,"END"
)))</f>
        <v/>
      </c>
      <c r="BD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 t="str">
        <f t="array" ref="BC617">IF($I617="","",LET(
conf,AI617,
sameN,IF(conf="Low",1,IF(conf="Medium",2,3)),
duoMax,XLOOKUP($B617,Derived_Variables!$A:$A,Derived_Variables!$AI:$AI,4),
axisTol,XLOOKUP($B617,Derived_Variables!$A:$A,Derived_Variables!$W:$W,1),
IFS(
C617="A",
IF(
 OR(
   I617="NOT_READABLE",
   I617="BLURRY",
   AND(R617="20_20_20",I617="READABLE")
 ),
 "B",
 "A"
),
C617="B",
IF(AND(AV617&gt;=AW617,I617="READABLE"),"E","B"),
C617="E",
IF(OR(I617="SAME",AD617&lt;=axisTol),"F","E"),
C617="F",
IF(AX617&gt;=sameN,"G","F"),
C617="G",
IF(OR(I617="EQUAL",BB617=1,BA617&gt;=duoMax),"D","G"),
C617="D",
IF(AND(AV617&gt;=AW617,I617="READABLE"),"H","D"),
C617="H",
IF(OR(I617="SAME",AD617&lt;=axisTol),"I","H"),
C617="I",
IF(AX617&gt;=sameN,"J","I"),
C617="J",
IF(OR(I617="EQUAL",BB617=1,BA617&gt;=duoMax),"K","J"),
C617="K",
IF(
 I617="SAME",
 IF(
   XLOOKUP($B617,Derived_Variables!$A:$A,Derived_Variables!$Q:$Q,"None")="None",
   "END",
   "P"
 ),
 "K"
),
C617="P",
IF(OR(I617="READABLE",I617="SAME"),"Q","P"),
C617="Q",
IF(OR(I617="READABLE",I617="SAME"),"R","Q"),
C617="R",
IF(OR(I617="TARGET_OK",I617="SAME"),"END","R"),
TRUE,"END"
)))</f>
        <v/>
      </c>
      <c r="BD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 t="str">
        <f t="array" ref="BC618">IF($I618="","",LET(
conf,AI618,
sameN,IF(conf="Low",1,IF(conf="Medium",2,3)),
duoMax,XLOOKUP($B618,Derived_Variables!$A:$A,Derived_Variables!$AI:$AI,4),
axisTol,XLOOKUP($B618,Derived_Variables!$A:$A,Derived_Variables!$W:$W,1),
IFS(
C618="A",
IF(
 OR(
   I618="NOT_READABLE",
   I618="BLURRY",
   AND(R618="20_20_20",I618="READABLE")
 ),
 "B",
 "A"
),
C618="B",
IF(AND(AV618&gt;=AW618,I618="READABLE"),"E","B"),
C618="E",
IF(OR(I618="SAME",AD618&lt;=axisTol),"F","E"),
C618="F",
IF(AX618&gt;=sameN,"G","F"),
C618="G",
IF(OR(I618="EQUAL",BB618=1,BA618&gt;=duoMax),"D","G"),
C618="D",
IF(AND(AV618&gt;=AW618,I618="READABLE"),"H","D"),
C618="H",
IF(OR(I618="SAME",AD618&lt;=axisTol),"I","H"),
C618="I",
IF(AX618&gt;=sameN,"J","I"),
C618="J",
IF(OR(I618="EQUAL",BB618=1,BA618&gt;=duoMax),"K","J"),
C618="K",
IF(
 I618="SAME",
 IF(
   XLOOKUP($B618,Derived_Variables!$A:$A,Derived_Variables!$Q:$Q,"None")="None",
   "END",
   "P"
 ),
 "K"
),
C618="P",
IF(OR(I618="READABLE",I618="SAME"),"Q","P"),
C618="Q",
IF(OR(I618="READABLE",I618="SAME"),"R","Q"),
C618="R",
IF(OR(I618="TARGET_OK",I618="SAME"),"END","R"),
TRUE,"END"
)))</f>
        <v/>
      </c>
      <c r="BD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 t="str">
        <f t="array" ref="BC619">IF($I619="","",LET(
conf,AI619,
sameN,IF(conf="Low",1,IF(conf="Medium",2,3)),
duoMax,XLOOKUP($B619,Derived_Variables!$A:$A,Derived_Variables!$AI:$AI,4),
axisTol,XLOOKUP($B619,Derived_Variables!$A:$A,Derived_Variables!$W:$W,1),
IFS(
C619="A",
IF(
 OR(
   I619="NOT_READABLE",
   I619="BLURRY",
   AND(R619="20_20_20",I619="READABLE")
 ),
 "B",
 "A"
),
C619="B",
IF(AND(AV619&gt;=AW619,I619="READABLE"),"E","B"),
C619="E",
IF(OR(I619="SAME",AD619&lt;=axisTol),"F","E"),
C619="F",
IF(AX619&gt;=sameN,"G","F"),
C619="G",
IF(OR(I619="EQUAL",BB619=1,BA619&gt;=duoMax),"D","G"),
C619="D",
IF(AND(AV619&gt;=AW619,I619="READABLE"),"H","D"),
C619="H",
IF(OR(I619="SAME",AD619&lt;=axisTol),"I","H"),
C619="I",
IF(AX619&gt;=sameN,"J","I"),
C619="J",
IF(OR(I619="EQUAL",BB619=1,BA619&gt;=duoMax),"K","J"),
C619="K",
IF(
 I619="SAME",
 IF(
   XLOOKUP($B619,Derived_Variables!$A:$A,Derived_Variables!$Q:$Q,"None")="None",
   "END",
   "P"
 ),
 "K"
),
C619="P",
IF(OR(I619="READABLE",I619="SAME"),"Q","P"),
C619="Q",
IF(OR(I619="READABLE",I619="SAME"),"R","Q"),
C619="R",
IF(OR(I619="TARGET_OK",I619="SAME"),"END","R"),
TRUE,"END"
)))</f>
        <v/>
      </c>
      <c r="BD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 t="str">
        <f t="array" ref="BC620">IF($I620="","",LET(
conf,AI620,
sameN,IF(conf="Low",1,IF(conf="Medium",2,3)),
duoMax,XLOOKUP($B620,Derived_Variables!$A:$A,Derived_Variables!$AI:$AI,4),
axisTol,XLOOKUP($B620,Derived_Variables!$A:$A,Derived_Variables!$W:$W,1),
IFS(
C620="A",
IF(
 OR(
   I620="NOT_READABLE",
   I620="BLURRY",
   AND(R620="20_20_20",I620="READABLE")
 ),
 "B",
 "A"
),
C620="B",
IF(AND(AV620&gt;=AW620,I620="READABLE"),"E","B"),
C620="E",
IF(OR(I620="SAME",AD620&lt;=axisTol),"F","E"),
C620="F",
IF(AX620&gt;=sameN,"G","F"),
C620="G",
IF(OR(I620="EQUAL",BB620=1,BA620&gt;=duoMax),"D","G"),
C620="D",
IF(AND(AV620&gt;=AW620,I620="READABLE"),"H","D"),
C620="H",
IF(OR(I620="SAME",AD620&lt;=axisTol),"I","H"),
C620="I",
IF(AX620&gt;=sameN,"J","I"),
C620="J",
IF(OR(I620="EQUAL",BB620=1,BA620&gt;=duoMax),"K","J"),
C620="K",
IF(
 I620="SAME",
 IF(
   XLOOKUP($B620,Derived_Variables!$A:$A,Derived_Variables!$Q:$Q,"None")="None",
   "END",
   "P"
 ),
 "K"
),
C620="P",
IF(OR(I620="READABLE",I620="SAME"),"Q","P"),
C620="Q",
IF(OR(I620="READABLE",I620="SAME"),"R","Q"),
C620="R",
IF(OR(I620="TARGET_OK",I620="SAME"),"END","R"),
TRUE,"END"
)))</f>
        <v/>
      </c>
      <c r="BD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 t="str">
        <f t="array" ref="BC621">IF($I621="","",LET(
conf,AI621,
sameN,IF(conf="Low",1,IF(conf="Medium",2,3)),
duoMax,XLOOKUP($B621,Derived_Variables!$A:$A,Derived_Variables!$AI:$AI,4),
axisTol,XLOOKUP($B621,Derived_Variables!$A:$A,Derived_Variables!$W:$W,1),
IFS(
C621="A",
IF(
 OR(
   I621="NOT_READABLE",
   I621="BLURRY",
   AND(R621="20_20_20",I621="READABLE")
 ),
 "B",
 "A"
),
C621="B",
IF(AND(AV621&gt;=AW621,I621="READABLE"),"E","B"),
C621="E",
IF(OR(I621="SAME",AD621&lt;=axisTol),"F","E"),
C621="F",
IF(AX621&gt;=sameN,"G","F"),
C621="G",
IF(OR(I621="EQUAL",BB621=1,BA621&gt;=duoMax),"D","G"),
C621="D",
IF(AND(AV621&gt;=AW621,I621="READABLE"),"H","D"),
C621="H",
IF(OR(I621="SAME",AD621&lt;=axisTol),"I","H"),
C621="I",
IF(AX621&gt;=sameN,"J","I"),
C621="J",
IF(OR(I621="EQUAL",BB621=1,BA621&gt;=duoMax),"K","J"),
C621="K",
IF(
 I621="SAME",
 IF(
   XLOOKUP($B621,Derived_Variables!$A:$A,Derived_Variables!$Q:$Q,"None")="None",
   "END",
   "P"
 ),
 "K"
),
C621="P",
IF(OR(I621="READABLE",I621="SAME"),"Q","P"),
C621="Q",
IF(OR(I621="READABLE",I621="SAME"),"R","Q"),
C621="R",
IF(OR(I621="TARGET_OK",I621="SAME"),"END","R"),
TRUE,"END"
)))</f>
        <v/>
      </c>
      <c r="BD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 t="str">
        <f t="array" ref="BC622">IF($I622="","",LET(
conf,AI622,
sameN,IF(conf="Low",1,IF(conf="Medium",2,3)),
duoMax,XLOOKUP($B622,Derived_Variables!$A:$A,Derived_Variables!$AI:$AI,4),
axisTol,XLOOKUP($B622,Derived_Variables!$A:$A,Derived_Variables!$W:$W,1),
IFS(
C622="A",
IF(
 OR(
   I622="NOT_READABLE",
   I622="BLURRY",
   AND(R622="20_20_20",I622="READABLE")
 ),
 "B",
 "A"
),
C622="B",
IF(AND(AV622&gt;=AW622,I622="READABLE"),"E","B"),
C622="E",
IF(OR(I622="SAME",AD622&lt;=axisTol),"F","E"),
C622="F",
IF(AX622&gt;=sameN,"G","F"),
C622="G",
IF(OR(I622="EQUAL",BB622=1,BA622&gt;=duoMax),"D","G"),
C622="D",
IF(AND(AV622&gt;=AW622,I622="READABLE"),"H","D"),
C622="H",
IF(OR(I622="SAME",AD622&lt;=axisTol),"I","H"),
C622="I",
IF(AX622&gt;=sameN,"J","I"),
C622="J",
IF(OR(I622="EQUAL",BB622=1,BA622&gt;=duoMax),"K","J"),
C622="K",
IF(
 I622="SAME",
 IF(
   XLOOKUP($B622,Derived_Variables!$A:$A,Derived_Variables!$Q:$Q,"None")="None",
   "END",
   "P"
 ),
 "K"
),
C622="P",
IF(OR(I622="READABLE",I622="SAME"),"Q","P"),
C622="Q",
IF(OR(I622="READABLE",I622="SAME"),"R","Q"),
C622="R",
IF(OR(I622="TARGET_OK",I622="SAME"),"END","R"),
TRUE,"END"
)))</f>
        <v/>
      </c>
      <c r="BD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 t="str">
        <f t="array" ref="BC623">IF($I623="","",LET(
conf,AI623,
sameN,IF(conf="Low",1,IF(conf="Medium",2,3)),
duoMax,XLOOKUP($B623,Derived_Variables!$A:$A,Derived_Variables!$AI:$AI,4),
axisTol,XLOOKUP($B623,Derived_Variables!$A:$A,Derived_Variables!$W:$W,1),
IFS(
C623="A",
IF(
 OR(
   I623="NOT_READABLE",
   I623="BLURRY",
   AND(R623="20_20_20",I623="READABLE")
 ),
 "B",
 "A"
),
C623="B",
IF(AND(AV623&gt;=AW623,I623="READABLE"),"E","B"),
C623="E",
IF(OR(I623="SAME",AD623&lt;=axisTol),"F","E"),
C623="F",
IF(AX623&gt;=sameN,"G","F"),
C623="G",
IF(OR(I623="EQUAL",BB623=1,BA623&gt;=duoMax),"D","G"),
C623="D",
IF(AND(AV623&gt;=AW623,I623="READABLE"),"H","D"),
C623="H",
IF(OR(I623="SAME",AD623&lt;=axisTol),"I","H"),
C623="I",
IF(AX623&gt;=sameN,"J","I"),
C623="J",
IF(OR(I623="EQUAL",BB623=1,BA623&gt;=duoMax),"K","J"),
C623="K",
IF(
 I623="SAME",
 IF(
   XLOOKUP($B623,Derived_Variables!$A:$A,Derived_Variables!$Q:$Q,"None")="None",
   "END",
   "P"
 ),
 "K"
),
C623="P",
IF(OR(I623="READABLE",I623="SAME"),"Q","P"),
C623="Q",
IF(OR(I623="READABLE",I623="SAME"),"R","Q"),
C623="R",
IF(OR(I623="TARGET_OK",I623="SAME"),"END","R"),
TRUE,"END"
)))</f>
        <v/>
      </c>
      <c r="BD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 t="str">
        <f t="array" ref="BC624">IF($I624="","",LET(
conf,AI624,
sameN,IF(conf="Low",1,IF(conf="Medium",2,3)),
duoMax,XLOOKUP($B624,Derived_Variables!$A:$A,Derived_Variables!$AI:$AI,4),
axisTol,XLOOKUP($B624,Derived_Variables!$A:$A,Derived_Variables!$W:$W,1),
IFS(
C624="A",
IF(
 OR(
   I624="NOT_READABLE",
   I624="BLURRY",
   AND(R624="20_20_20",I624="READABLE")
 ),
 "B",
 "A"
),
C624="B",
IF(AND(AV624&gt;=AW624,I624="READABLE"),"E","B"),
C624="E",
IF(OR(I624="SAME",AD624&lt;=axisTol),"F","E"),
C624="F",
IF(AX624&gt;=sameN,"G","F"),
C624="G",
IF(OR(I624="EQUAL",BB624=1,BA624&gt;=duoMax),"D","G"),
C624="D",
IF(AND(AV624&gt;=AW624,I624="READABLE"),"H","D"),
C624="H",
IF(OR(I624="SAME",AD624&lt;=axisTol),"I","H"),
C624="I",
IF(AX624&gt;=sameN,"J","I"),
C624="J",
IF(OR(I624="EQUAL",BB624=1,BA624&gt;=duoMax),"K","J"),
C624="K",
IF(
 I624="SAME",
 IF(
   XLOOKUP($B624,Derived_Variables!$A:$A,Derived_Variables!$Q:$Q,"None")="None",
   "END",
   "P"
 ),
 "K"
),
C624="P",
IF(OR(I624="READABLE",I624="SAME"),"Q","P"),
C624="Q",
IF(OR(I624="READABLE",I624="SAME"),"R","Q"),
C624="R",
IF(OR(I624="TARGET_OK",I624="SAME"),"END","R"),
TRUE,"END"
)))</f>
        <v/>
      </c>
      <c r="BD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 t="str">
        <f t="array" ref="BC625">IF($I625="","",LET(
conf,AI625,
sameN,IF(conf="Low",1,IF(conf="Medium",2,3)),
duoMax,XLOOKUP($B625,Derived_Variables!$A:$A,Derived_Variables!$AI:$AI,4),
axisTol,XLOOKUP($B625,Derived_Variables!$A:$A,Derived_Variables!$W:$W,1),
IFS(
C625="A",
IF(
 OR(
   I625="NOT_READABLE",
   I625="BLURRY",
   AND(R625="20_20_20",I625="READABLE")
 ),
 "B",
 "A"
),
C625="B",
IF(AND(AV625&gt;=AW625,I625="READABLE"),"E","B"),
C625="E",
IF(OR(I625="SAME",AD625&lt;=axisTol),"F","E"),
C625="F",
IF(AX625&gt;=sameN,"G","F"),
C625="G",
IF(OR(I625="EQUAL",BB625=1,BA625&gt;=duoMax),"D","G"),
C625="D",
IF(AND(AV625&gt;=AW625,I625="READABLE"),"H","D"),
C625="H",
IF(OR(I625="SAME",AD625&lt;=axisTol),"I","H"),
C625="I",
IF(AX625&gt;=sameN,"J","I"),
C625="J",
IF(OR(I625="EQUAL",BB625=1,BA625&gt;=duoMax),"K","J"),
C625="K",
IF(
 I625="SAME",
 IF(
   XLOOKUP($B625,Derived_Variables!$A:$A,Derived_Variables!$Q:$Q,"None")="None",
   "END",
   "P"
 ),
 "K"
),
C625="P",
IF(OR(I625="READABLE",I625="SAME"),"Q","P"),
C625="Q",
IF(OR(I625="READABLE",I625="SAME"),"R","Q"),
C625="R",
IF(OR(I625="TARGET_OK",I625="SAME"),"END","R"),
TRUE,"END"
)))</f>
        <v/>
      </c>
      <c r="BD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 t="str">
        <f t="array" ref="BC626">IF($I626="","",LET(
conf,AI626,
sameN,IF(conf="Low",1,IF(conf="Medium",2,3)),
duoMax,XLOOKUP($B626,Derived_Variables!$A:$A,Derived_Variables!$AI:$AI,4),
axisTol,XLOOKUP($B626,Derived_Variables!$A:$A,Derived_Variables!$W:$W,1),
IFS(
C626="A",
IF(
 OR(
   I626="NOT_READABLE",
   I626="BLURRY",
   AND(R626="20_20_20",I626="READABLE")
 ),
 "B",
 "A"
),
C626="B",
IF(AND(AV626&gt;=AW626,I626="READABLE"),"E","B"),
C626="E",
IF(OR(I626="SAME",AD626&lt;=axisTol),"F","E"),
C626="F",
IF(AX626&gt;=sameN,"G","F"),
C626="G",
IF(OR(I626="EQUAL",BB626=1,BA626&gt;=duoMax),"D","G"),
C626="D",
IF(AND(AV626&gt;=AW626,I626="READABLE"),"H","D"),
C626="H",
IF(OR(I626="SAME",AD626&lt;=axisTol),"I","H"),
C626="I",
IF(AX626&gt;=sameN,"J","I"),
C626="J",
IF(OR(I626="EQUAL",BB626=1,BA626&gt;=duoMax),"K","J"),
C626="K",
IF(
 I626="SAME",
 IF(
   XLOOKUP($B626,Derived_Variables!$A:$A,Derived_Variables!$Q:$Q,"None")="None",
   "END",
   "P"
 ),
 "K"
),
C626="P",
IF(OR(I626="READABLE",I626="SAME"),"Q","P"),
C626="Q",
IF(OR(I626="READABLE",I626="SAME"),"R","Q"),
C626="R",
IF(OR(I626="TARGET_OK",I626="SAME"),"END","R"),
TRUE,"END"
)))</f>
        <v/>
      </c>
      <c r="BD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 t="str">
        <f t="array" ref="BC627">IF($I627="","",LET(
conf,AI627,
sameN,IF(conf="Low",1,IF(conf="Medium",2,3)),
duoMax,XLOOKUP($B627,Derived_Variables!$A:$A,Derived_Variables!$AI:$AI,4),
axisTol,XLOOKUP($B627,Derived_Variables!$A:$A,Derived_Variables!$W:$W,1),
IFS(
C627="A",
IF(
 OR(
   I627="NOT_READABLE",
   I627="BLURRY",
   AND(R627="20_20_20",I627="READABLE")
 ),
 "B",
 "A"
),
C627="B",
IF(AND(AV627&gt;=AW627,I627="READABLE"),"E","B"),
C627="E",
IF(OR(I627="SAME",AD627&lt;=axisTol),"F","E"),
C627="F",
IF(AX627&gt;=sameN,"G","F"),
C627="G",
IF(OR(I627="EQUAL",BB627=1,BA627&gt;=duoMax),"D","G"),
C627="D",
IF(AND(AV627&gt;=AW627,I627="READABLE"),"H","D"),
C627="H",
IF(OR(I627="SAME",AD627&lt;=axisTol),"I","H"),
C627="I",
IF(AX627&gt;=sameN,"J","I"),
C627="J",
IF(OR(I627="EQUAL",BB627=1,BA627&gt;=duoMax),"K","J"),
C627="K",
IF(
 I627="SAME",
 IF(
   XLOOKUP($B627,Derived_Variables!$A:$A,Derived_Variables!$Q:$Q,"None")="None",
   "END",
   "P"
 ),
 "K"
),
C627="P",
IF(OR(I627="READABLE",I627="SAME"),"Q","P"),
C627="Q",
IF(OR(I627="READABLE",I627="SAME"),"R","Q"),
C627="R",
IF(OR(I627="TARGET_OK",I627="SAME"),"END","R"),
TRUE,"END"
)))</f>
        <v/>
      </c>
      <c r="BD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 t="str">
        <f t="array" ref="BC628">IF($I628="","",LET(
conf,AI628,
sameN,IF(conf="Low",1,IF(conf="Medium",2,3)),
duoMax,XLOOKUP($B628,Derived_Variables!$A:$A,Derived_Variables!$AI:$AI,4),
axisTol,XLOOKUP($B628,Derived_Variables!$A:$A,Derived_Variables!$W:$W,1),
IFS(
C628="A",
IF(
 OR(
   I628="NOT_READABLE",
   I628="BLURRY",
   AND(R628="20_20_20",I628="READABLE")
 ),
 "B",
 "A"
),
C628="B",
IF(AND(AV628&gt;=AW628,I628="READABLE"),"E","B"),
C628="E",
IF(OR(I628="SAME",AD628&lt;=axisTol),"F","E"),
C628="F",
IF(AX628&gt;=sameN,"G","F"),
C628="G",
IF(OR(I628="EQUAL",BB628=1,BA628&gt;=duoMax),"D","G"),
C628="D",
IF(AND(AV628&gt;=AW628,I628="READABLE"),"H","D"),
C628="H",
IF(OR(I628="SAME",AD628&lt;=axisTol),"I","H"),
C628="I",
IF(AX628&gt;=sameN,"J","I"),
C628="J",
IF(OR(I628="EQUAL",BB628=1,BA628&gt;=duoMax),"K","J"),
C628="K",
IF(
 I628="SAME",
 IF(
   XLOOKUP($B628,Derived_Variables!$A:$A,Derived_Variables!$Q:$Q,"None")="None",
   "END",
   "P"
 ),
 "K"
),
C628="P",
IF(OR(I628="READABLE",I628="SAME"),"Q","P"),
C628="Q",
IF(OR(I628="READABLE",I628="SAME"),"R","Q"),
C628="R",
IF(OR(I628="TARGET_OK",I628="SAME"),"END","R"),
TRUE,"END"
)))</f>
        <v/>
      </c>
      <c r="BD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 t="str">
        <f t="array" ref="BC629">IF($I629="","",LET(
conf,AI629,
sameN,IF(conf="Low",1,IF(conf="Medium",2,3)),
duoMax,XLOOKUP($B629,Derived_Variables!$A:$A,Derived_Variables!$AI:$AI,4),
axisTol,XLOOKUP($B629,Derived_Variables!$A:$A,Derived_Variables!$W:$W,1),
IFS(
C629="A",
IF(
 OR(
   I629="NOT_READABLE",
   I629="BLURRY",
   AND(R629="20_20_20",I629="READABLE")
 ),
 "B",
 "A"
),
C629="B",
IF(AND(AV629&gt;=AW629,I629="READABLE"),"E","B"),
C629="E",
IF(OR(I629="SAME",AD629&lt;=axisTol),"F","E"),
C629="F",
IF(AX629&gt;=sameN,"G","F"),
C629="G",
IF(OR(I629="EQUAL",BB629=1,BA629&gt;=duoMax),"D","G"),
C629="D",
IF(AND(AV629&gt;=AW629,I629="READABLE"),"H","D"),
C629="H",
IF(OR(I629="SAME",AD629&lt;=axisTol),"I","H"),
C629="I",
IF(AX629&gt;=sameN,"J","I"),
C629="J",
IF(OR(I629="EQUAL",BB629=1,BA629&gt;=duoMax),"K","J"),
C629="K",
IF(
 I629="SAME",
 IF(
   XLOOKUP($B629,Derived_Variables!$A:$A,Derived_Variables!$Q:$Q,"None")="None",
   "END",
   "P"
 ),
 "K"
),
C629="P",
IF(OR(I629="READABLE",I629="SAME"),"Q","P"),
C629="Q",
IF(OR(I629="READABLE",I629="SAME"),"R","Q"),
C629="R",
IF(OR(I629="TARGET_OK",I629="SAME"),"END","R"),
TRUE,"END"
)))</f>
        <v/>
      </c>
      <c r="BD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 t="str">
        <f t="array" ref="BC630">IF($I630="","",LET(
conf,AI630,
sameN,IF(conf="Low",1,IF(conf="Medium",2,3)),
duoMax,XLOOKUP($B630,Derived_Variables!$A:$A,Derived_Variables!$AI:$AI,4),
axisTol,XLOOKUP($B630,Derived_Variables!$A:$A,Derived_Variables!$W:$W,1),
IFS(
C630="A",
IF(
 OR(
   I630="NOT_READABLE",
   I630="BLURRY",
   AND(R630="20_20_20",I630="READABLE")
 ),
 "B",
 "A"
),
C630="B",
IF(AND(AV630&gt;=AW630,I630="READABLE"),"E","B"),
C630="E",
IF(OR(I630="SAME",AD630&lt;=axisTol),"F","E"),
C630="F",
IF(AX630&gt;=sameN,"G","F"),
C630="G",
IF(OR(I630="EQUAL",BB630=1,BA630&gt;=duoMax),"D","G"),
C630="D",
IF(AND(AV630&gt;=AW630,I630="READABLE"),"H","D"),
C630="H",
IF(OR(I630="SAME",AD630&lt;=axisTol),"I","H"),
C630="I",
IF(AX630&gt;=sameN,"J","I"),
C630="J",
IF(OR(I630="EQUAL",BB630=1,BA630&gt;=duoMax),"K","J"),
C630="K",
IF(
 I630="SAME",
 IF(
   XLOOKUP($B630,Derived_Variables!$A:$A,Derived_Variables!$Q:$Q,"None")="None",
   "END",
   "P"
 ),
 "K"
),
C630="P",
IF(OR(I630="READABLE",I630="SAME"),"Q","P"),
C630="Q",
IF(OR(I630="READABLE",I630="SAME"),"R","Q"),
C630="R",
IF(OR(I630="TARGET_OK",I630="SAME"),"END","R"),
TRUE,"END"
)))</f>
        <v/>
      </c>
      <c r="BD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 t="str">
        <f t="array" ref="BC631">IF($I631="","",LET(
conf,AI631,
sameN,IF(conf="Low",1,IF(conf="Medium",2,3)),
duoMax,XLOOKUP($B631,Derived_Variables!$A:$A,Derived_Variables!$AI:$AI,4),
axisTol,XLOOKUP($B631,Derived_Variables!$A:$A,Derived_Variables!$W:$W,1),
IFS(
C631="A",
IF(
 OR(
   I631="NOT_READABLE",
   I631="BLURRY",
   AND(R631="20_20_20",I631="READABLE")
 ),
 "B",
 "A"
),
C631="B",
IF(AND(AV631&gt;=AW631,I631="READABLE"),"E","B"),
C631="E",
IF(OR(I631="SAME",AD631&lt;=axisTol),"F","E"),
C631="F",
IF(AX631&gt;=sameN,"G","F"),
C631="G",
IF(OR(I631="EQUAL",BB631=1,BA631&gt;=duoMax),"D","G"),
C631="D",
IF(AND(AV631&gt;=AW631,I631="READABLE"),"H","D"),
C631="H",
IF(OR(I631="SAME",AD631&lt;=axisTol),"I","H"),
C631="I",
IF(AX631&gt;=sameN,"J","I"),
C631="J",
IF(OR(I631="EQUAL",BB631=1,BA631&gt;=duoMax),"K","J"),
C631="K",
IF(
 I631="SAME",
 IF(
   XLOOKUP($B631,Derived_Variables!$A:$A,Derived_Variables!$Q:$Q,"None")="None",
   "END",
   "P"
 ),
 "K"
),
C631="P",
IF(OR(I631="READABLE",I631="SAME"),"Q","P"),
C631="Q",
IF(OR(I631="READABLE",I631="SAME"),"R","Q"),
C631="R",
IF(OR(I631="TARGET_OK",I631="SAME"),"END","R"),
TRUE,"END"
)))</f>
        <v/>
      </c>
      <c r="BD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 t="str">
        <f t="array" ref="BC632">IF($I632="","",LET(
conf,AI632,
sameN,IF(conf="Low",1,IF(conf="Medium",2,3)),
duoMax,XLOOKUP($B632,Derived_Variables!$A:$A,Derived_Variables!$AI:$AI,4),
axisTol,XLOOKUP($B632,Derived_Variables!$A:$A,Derived_Variables!$W:$W,1),
IFS(
C632="A",
IF(
 OR(
   I632="NOT_READABLE",
   I632="BLURRY",
   AND(R632="20_20_20",I632="READABLE")
 ),
 "B",
 "A"
),
C632="B",
IF(AND(AV632&gt;=AW632,I632="READABLE"),"E","B"),
C632="E",
IF(OR(I632="SAME",AD632&lt;=axisTol),"F","E"),
C632="F",
IF(AX632&gt;=sameN,"G","F"),
C632="G",
IF(OR(I632="EQUAL",BB632=1,BA632&gt;=duoMax),"D","G"),
C632="D",
IF(AND(AV632&gt;=AW632,I632="READABLE"),"H","D"),
C632="H",
IF(OR(I632="SAME",AD632&lt;=axisTol),"I","H"),
C632="I",
IF(AX632&gt;=sameN,"J","I"),
C632="J",
IF(OR(I632="EQUAL",BB632=1,BA632&gt;=duoMax),"K","J"),
C632="K",
IF(
 I632="SAME",
 IF(
   XLOOKUP($B632,Derived_Variables!$A:$A,Derived_Variables!$Q:$Q,"None")="None",
   "END",
   "P"
 ),
 "K"
),
C632="P",
IF(OR(I632="READABLE",I632="SAME"),"Q","P"),
C632="Q",
IF(OR(I632="READABLE",I632="SAME"),"R","Q"),
C632="R",
IF(OR(I632="TARGET_OK",I632="SAME"),"END","R"),
TRUE,"END"
)))</f>
        <v/>
      </c>
      <c r="BD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 t="str">
        <f t="array" ref="BC633">IF($I633="","",LET(
conf,AI633,
sameN,IF(conf="Low",1,IF(conf="Medium",2,3)),
duoMax,XLOOKUP($B633,Derived_Variables!$A:$A,Derived_Variables!$AI:$AI,4),
axisTol,XLOOKUP($B633,Derived_Variables!$A:$A,Derived_Variables!$W:$W,1),
IFS(
C633="A",
IF(
 OR(
   I633="NOT_READABLE",
   I633="BLURRY",
   AND(R633="20_20_20",I633="READABLE")
 ),
 "B",
 "A"
),
C633="B",
IF(AND(AV633&gt;=AW633,I633="READABLE"),"E","B"),
C633="E",
IF(OR(I633="SAME",AD633&lt;=axisTol),"F","E"),
C633="F",
IF(AX633&gt;=sameN,"G","F"),
C633="G",
IF(OR(I633="EQUAL",BB633=1,BA633&gt;=duoMax),"D","G"),
C633="D",
IF(AND(AV633&gt;=AW633,I633="READABLE"),"H","D"),
C633="H",
IF(OR(I633="SAME",AD633&lt;=axisTol),"I","H"),
C633="I",
IF(AX633&gt;=sameN,"J","I"),
C633="J",
IF(OR(I633="EQUAL",BB633=1,BA633&gt;=duoMax),"K","J"),
C633="K",
IF(
 I633="SAME",
 IF(
   XLOOKUP($B633,Derived_Variables!$A:$A,Derived_Variables!$Q:$Q,"None")="None",
   "END",
   "P"
 ),
 "K"
),
C633="P",
IF(OR(I633="READABLE",I633="SAME"),"Q","P"),
C633="Q",
IF(OR(I633="READABLE",I633="SAME"),"R","Q"),
C633="R",
IF(OR(I633="TARGET_OK",I633="SAME"),"END","R"),
TRUE,"END"
)))</f>
        <v/>
      </c>
      <c r="BD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 t="str">
        <f t="array" ref="BC634">IF($I634="","",LET(
conf,AI634,
sameN,IF(conf="Low",1,IF(conf="Medium",2,3)),
duoMax,XLOOKUP($B634,Derived_Variables!$A:$A,Derived_Variables!$AI:$AI,4),
axisTol,XLOOKUP($B634,Derived_Variables!$A:$A,Derived_Variables!$W:$W,1),
IFS(
C634="A",
IF(
 OR(
   I634="NOT_READABLE",
   I634="BLURRY",
   AND(R634="20_20_20",I634="READABLE")
 ),
 "B",
 "A"
),
C634="B",
IF(AND(AV634&gt;=AW634,I634="READABLE"),"E","B"),
C634="E",
IF(OR(I634="SAME",AD634&lt;=axisTol),"F","E"),
C634="F",
IF(AX634&gt;=sameN,"G","F"),
C634="G",
IF(OR(I634="EQUAL",BB634=1,BA634&gt;=duoMax),"D","G"),
C634="D",
IF(AND(AV634&gt;=AW634,I634="READABLE"),"H","D"),
C634="H",
IF(OR(I634="SAME",AD634&lt;=axisTol),"I","H"),
C634="I",
IF(AX634&gt;=sameN,"J","I"),
C634="J",
IF(OR(I634="EQUAL",BB634=1,BA634&gt;=duoMax),"K","J"),
C634="K",
IF(
 I634="SAME",
 IF(
   XLOOKUP($B634,Derived_Variables!$A:$A,Derived_Variables!$Q:$Q,"None")="None",
   "END",
   "P"
 ),
 "K"
),
C634="P",
IF(OR(I634="READABLE",I634="SAME"),"Q","P"),
C634="Q",
IF(OR(I634="READABLE",I634="SAME"),"R","Q"),
C634="R",
IF(OR(I634="TARGET_OK",I634="SAME"),"END","R"),
TRUE,"END"
)))</f>
        <v/>
      </c>
      <c r="BD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 t="str">
        <f t="array" ref="BC635">IF($I635="","",LET(
conf,AI635,
sameN,IF(conf="Low",1,IF(conf="Medium",2,3)),
duoMax,XLOOKUP($B635,Derived_Variables!$A:$A,Derived_Variables!$AI:$AI,4),
axisTol,XLOOKUP($B635,Derived_Variables!$A:$A,Derived_Variables!$W:$W,1),
IFS(
C635="A",
IF(
 OR(
   I635="NOT_READABLE",
   I635="BLURRY",
   AND(R635="20_20_20",I635="READABLE")
 ),
 "B",
 "A"
),
C635="B",
IF(AND(AV635&gt;=AW635,I635="READABLE"),"E","B"),
C635="E",
IF(OR(I635="SAME",AD635&lt;=axisTol),"F","E"),
C635="F",
IF(AX635&gt;=sameN,"G","F"),
C635="G",
IF(OR(I635="EQUAL",BB635=1,BA635&gt;=duoMax),"D","G"),
C635="D",
IF(AND(AV635&gt;=AW635,I635="READABLE"),"H","D"),
C635="H",
IF(OR(I635="SAME",AD635&lt;=axisTol),"I","H"),
C635="I",
IF(AX635&gt;=sameN,"J","I"),
C635="J",
IF(OR(I635="EQUAL",BB635=1,BA635&gt;=duoMax),"K","J"),
C635="K",
IF(
 I635="SAME",
 IF(
   XLOOKUP($B635,Derived_Variables!$A:$A,Derived_Variables!$Q:$Q,"None")="None",
   "END",
   "P"
 ),
 "K"
),
C635="P",
IF(OR(I635="READABLE",I635="SAME"),"Q","P"),
C635="Q",
IF(OR(I635="READABLE",I635="SAME"),"R","Q"),
C635="R",
IF(OR(I635="TARGET_OK",I635="SAME"),"END","R"),
TRUE,"END"
)))</f>
        <v/>
      </c>
      <c r="BD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 t="str">
        <f t="array" ref="BC636">IF($I636="","",LET(
conf,AI636,
sameN,IF(conf="Low",1,IF(conf="Medium",2,3)),
duoMax,XLOOKUP($B636,Derived_Variables!$A:$A,Derived_Variables!$AI:$AI,4),
axisTol,XLOOKUP($B636,Derived_Variables!$A:$A,Derived_Variables!$W:$W,1),
IFS(
C636="A",
IF(
 OR(
   I636="NOT_READABLE",
   I636="BLURRY",
   AND(R636="20_20_20",I636="READABLE")
 ),
 "B",
 "A"
),
C636="B",
IF(AND(AV636&gt;=AW636,I636="READABLE"),"E","B"),
C636="E",
IF(OR(I636="SAME",AD636&lt;=axisTol),"F","E"),
C636="F",
IF(AX636&gt;=sameN,"G","F"),
C636="G",
IF(OR(I636="EQUAL",BB636=1,BA636&gt;=duoMax),"D","G"),
C636="D",
IF(AND(AV636&gt;=AW636,I636="READABLE"),"H","D"),
C636="H",
IF(OR(I636="SAME",AD636&lt;=axisTol),"I","H"),
C636="I",
IF(AX636&gt;=sameN,"J","I"),
C636="J",
IF(OR(I636="EQUAL",BB636=1,BA636&gt;=duoMax),"K","J"),
C636="K",
IF(
 I636="SAME",
 IF(
   XLOOKUP($B636,Derived_Variables!$A:$A,Derived_Variables!$Q:$Q,"None")="None",
   "END",
   "P"
 ),
 "K"
),
C636="P",
IF(OR(I636="READABLE",I636="SAME"),"Q","P"),
C636="Q",
IF(OR(I636="READABLE",I636="SAME"),"R","Q"),
C636="R",
IF(OR(I636="TARGET_OK",I636="SAME"),"END","R"),
TRUE,"END"
)))</f>
        <v/>
      </c>
      <c r="BD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 t="str">
        <f t="array" ref="BC637">IF($I637="","",LET(
conf,AI637,
sameN,IF(conf="Low",1,IF(conf="Medium",2,3)),
duoMax,XLOOKUP($B637,Derived_Variables!$A:$A,Derived_Variables!$AI:$AI,4),
axisTol,XLOOKUP($B637,Derived_Variables!$A:$A,Derived_Variables!$W:$W,1),
IFS(
C637="A",
IF(
 OR(
   I637="NOT_READABLE",
   I637="BLURRY",
   AND(R637="20_20_20",I637="READABLE")
 ),
 "B",
 "A"
),
C637="B",
IF(AND(AV637&gt;=AW637,I637="READABLE"),"E","B"),
C637="E",
IF(OR(I637="SAME",AD637&lt;=axisTol),"F","E"),
C637="F",
IF(AX637&gt;=sameN,"G","F"),
C637="G",
IF(OR(I637="EQUAL",BB637=1,BA637&gt;=duoMax),"D","G"),
C637="D",
IF(AND(AV637&gt;=AW637,I637="READABLE"),"H","D"),
C637="H",
IF(OR(I637="SAME",AD637&lt;=axisTol),"I","H"),
C637="I",
IF(AX637&gt;=sameN,"J","I"),
C637="J",
IF(OR(I637="EQUAL",BB637=1,BA637&gt;=duoMax),"K","J"),
C637="K",
IF(
 I637="SAME",
 IF(
   XLOOKUP($B637,Derived_Variables!$A:$A,Derived_Variables!$Q:$Q,"None")="None",
   "END",
   "P"
 ),
 "K"
),
C637="P",
IF(OR(I637="READABLE",I637="SAME"),"Q","P"),
C637="Q",
IF(OR(I637="READABLE",I637="SAME"),"R","Q"),
C637="R",
IF(OR(I637="TARGET_OK",I637="SAME"),"END","R"),
TRUE,"END"
)))</f>
        <v/>
      </c>
      <c r="BD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 t="str">
        <f t="array" ref="BC638">IF($I638="","",LET(
conf,AI638,
sameN,IF(conf="Low",1,IF(conf="Medium",2,3)),
duoMax,XLOOKUP($B638,Derived_Variables!$A:$A,Derived_Variables!$AI:$AI,4),
axisTol,XLOOKUP($B638,Derived_Variables!$A:$A,Derived_Variables!$W:$W,1),
IFS(
C638="A",
IF(
 OR(
   I638="NOT_READABLE",
   I638="BLURRY",
   AND(R638="20_20_20",I638="READABLE")
 ),
 "B",
 "A"
),
C638="B",
IF(AND(AV638&gt;=AW638,I638="READABLE"),"E","B"),
C638="E",
IF(OR(I638="SAME",AD638&lt;=axisTol),"F","E"),
C638="F",
IF(AX638&gt;=sameN,"G","F"),
C638="G",
IF(OR(I638="EQUAL",BB638=1,BA638&gt;=duoMax),"D","G"),
C638="D",
IF(AND(AV638&gt;=AW638,I638="READABLE"),"H","D"),
C638="H",
IF(OR(I638="SAME",AD638&lt;=axisTol),"I","H"),
C638="I",
IF(AX638&gt;=sameN,"J","I"),
C638="J",
IF(OR(I638="EQUAL",BB638=1,BA638&gt;=duoMax),"K","J"),
C638="K",
IF(
 I638="SAME",
 IF(
   XLOOKUP($B638,Derived_Variables!$A:$A,Derived_Variables!$Q:$Q,"None")="None",
   "END",
   "P"
 ),
 "K"
),
C638="P",
IF(OR(I638="READABLE",I638="SAME"),"Q","P"),
C638="Q",
IF(OR(I638="READABLE",I638="SAME"),"R","Q"),
C638="R",
IF(OR(I638="TARGET_OK",I638="SAME"),"END","R"),
TRUE,"END"
)))</f>
        <v/>
      </c>
      <c r="BD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 t="str">
        <f t="array" ref="BC639">IF($I639="","",LET(
conf,AI639,
sameN,IF(conf="Low",1,IF(conf="Medium",2,3)),
duoMax,XLOOKUP($B639,Derived_Variables!$A:$A,Derived_Variables!$AI:$AI,4),
axisTol,XLOOKUP($B639,Derived_Variables!$A:$A,Derived_Variables!$W:$W,1),
IFS(
C639="A",
IF(
 OR(
   I639="NOT_READABLE",
   I639="BLURRY",
   AND(R639="20_20_20",I639="READABLE")
 ),
 "B",
 "A"
),
C639="B",
IF(AND(AV639&gt;=AW639,I639="READABLE"),"E","B"),
C639="E",
IF(OR(I639="SAME",AD639&lt;=axisTol),"F","E"),
C639="F",
IF(AX639&gt;=sameN,"G","F"),
C639="G",
IF(OR(I639="EQUAL",BB639=1,BA639&gt;=duoMax),"D","G"),
C639="D",
IF(AND(AV639&gt;=AW639,I639="READABLE"),"H","D"),
C639="H",
IF(OR(I639="SAME",AD639&lt;=axisTol),"I","H"),
C639="I",
IF(AX639&gt;=sameN,"J","I"),
C639="J",
IF(OR(I639="EQUAL",BB639=1,BA639&gt;=duoMax),"K","J"),
C639="K",
IF(
 I639="SAME",
 IF(
   XLOOKUP($B639,Derived_Variables!$A:$A,Derived_Variables!$Q:$Q,"None")="None",
   "END",
   "P"
 ),
 "K"
),
C639="P",
IF(OR(I639="READABLE",I639="SAME"),"Q","P"),
C639="Q",
IF(OR(I639="READABLE",I639="SAME"),"R","Q"),
C639="R",
IF(OR(I639="TARGET_OK",I639="SAME"),"END","R"),
TRUE,"END"
)))</f>
        <v/>
      </c>
      <c r="BD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 t="str">
        <f t="array" ref="BC640">IF($I640="","",LET(
conf,AI640,
sameN,IF(conf="Low",1,IF(conf="Medium",2,3)),
duoMax,XLOOKUP($B640,Derived_Variables!$A:$A,Derived_Variables!$AI:$AI,4),
axisTol,XLOOKUP($B640,Derived_Variables!$A:$A,Derived_Variables!$W:$W,1),
IFS(
C640="A",
IF(
 OR(
   I640="NOT_READABLE",
   I640="BLURRY",
   AND(R640="20_20_20",I640="READABLE")
 ),
 "B",
 "A"
),
C640="B",
IF(AND(AV640&gt;=AW640,I640="READABLE"),"E","B"),
C640="E",
IF(OR(I640="SAME",AD640&lt;=axisTol),"F","E"),
C640="F",
IF(AX640&gt;=sameN,"G","F"),
C640="G",
IF(OR(I640="EQUAL",BB640=1,BA640&gt;=duoMax),"D","G"),
C640="D",
IF(AND(AV640&gt;=AW640,I640="READABLE"),"H","D"),
C640="H",
IF(OR(I640="SAME",AD640&lt;=axisTol),"I","H"),
C640="I",
IF(AX640&gt;=sameN,"J","I"),
C640="J",
IF(OR(I640="EQUAL",BB640=1,BA640&gt;=duoMax),"K","J"),
C640="K",
IF(
 I640="SAME",
 IF(
   XLOOKUP($B640,Derived_Variables!$A:$A,Derived_Variables!$Q:$Q,"None")="None",
   "END",
   "P"
 ),
 "K"
),
C640="P",
IF(OR(I640="READABLE",I640="SAME"),"Q","P"),
C640="Q",
IF(OR(I640="READABLE",I640="SAME"),"R","Q"),
C640="R",
IF(OR(I640="TARGET_OK",I640="SAME"),"END","R"),
TRUE,"END"
)))</f>
        <v/>
      </c>
      <c r="BD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 t="str">
        <f t="array" ref="BC641">IF($I641="","",LET(
conf,AI641,
sameN,IF(conf="Low",1,IF(conf="Medium",2,3)),
duoMax,XLOOKUP($B641,Derived_Variables!$A:$A,Derived_Variables!$AI:$AI,4),
axisTol,XLOOKUP($B641,Derived_Variables!$A:$A,Derived_Variables!$W:$W,1),
IFS(
C641="A",
IF(
 OR(
   I641="NOT_READABLE",
   I641="BLURRY",
   AND(R641="20_20_20",I641="READABLE")
 ),
 "B",
 "A"
),
C641="B",
IF(AND(AV641&gt;=AW641,I641="READABLE"),"E","B"),
C641="E",
IF(OR(I641="SAME",AD641&lt;=axisTol),"F","E"),
C641="F",
IF(AX641&gt;=sameN,"G","F"),
C641="G",
IF(OR(I641="EQUAL",BB641=1,BA641&gt;=duoMax),"D","G"),
C641="D",
IF(AND(AV641&gt;=AW641,I641="READABLE"),"H","D"),
C641="H",
IF(OR(I641="SAME",AD641&lt;=axisTol),"I","H"),
C641="I",
IF(AX641&gt;=sameN,"J","I"),
C641="J",
IF(OR(I641="EQUAL",BB641=1,BA641&gt;=duoMax),"K","J"),
C641="K",
IF(
 I641="SAME",
 IF(
   XLOOKUP($B641,Derived_Variables!$A:$A,Derived_Variables!$Q:$Q,"None")="None",
   "END",
   "P"
 ),
 "K"
),
C641="P",
IF(OR(I641="READABLE",I641="SAME"),"Q","P"),
C641="Q",
IF(OR(I641="READABLE",I641="SAME"),"R","Q"),
C641="R",
IF(OR(I641="TARGET_OK",I641="SAME"),"END","R"),
TRUE,"END"
)))</f>
        <v/>
      </c>
      <c r="BD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 t="str">
        <f t="array" ref="BC642">IF($I642="","",LET(
conf,AI642,
sameN,IF(conf="Low",1,IF(conf="Medium",2,3)),
duoMax,XLOOKUP($B642,Derived_Variables!$A:$A,Derived_Variables!$AI:$AI,4),
axisTol,XLOOKUP($B642,Derived_Variables!$A:$A,Derived_Variables!$W:$W,1),
IFS(
C642="A",
IF(
 OR(
   I642="NOT_READABLE",
   I642="BLURRY",
   AND(R642="20_20_20",I642="READABLE")
 ),
 "B",
 "A"
),
C642="B",
IF(AND(AV642&gt;=AW642,I642="READABLE"),"E","B"),
C642="E",
IF(OR(I642="SAME",AD642&lt;=axisTol),"F","E"),
C642="F",
IF(AX642&gt;=sameN,"G","F"),
C642="G",
IF(OR(I642="EQUAL",BB642=1,BA642&gt;=duoMax),"D","G"),
C642="D",
IF(AND(AV642&gt;=AW642,I642="READABLE"),"H","D"),
C642="H",
IF(OR(I642="SAME",AD642&lt;=axisTol),"I","H"),
C642="I",
IF(AX642&gt;=sameN,"J","I"),
C642="J",
IF(OR(I642="EQUAL",BB642=1,BA642&gt;=duoMax),"K","J"),
C642="K",
IF(
 I642="SAME",
 IF(
   XLOOKUP($B642,Derived_Variables!$A:$A,Derived_Variables!$Q:$Q,"None")="None",
   "END",
   "P"
 ),
 "K"
),
C642="P",
IF(OR(I642="READABLE",I642="SAME"),"Q","P"),
C642="Q",
IF(OR(I642="READABLE",I642="SAME"),"R","Q"),
C642="R",
IF(OR(I642="TARGET_OK",I642="SAME"),"END","R"),
TRUE,"END"
)))</f>
        <v/>
      </c>
      <c r="BD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 t="str">
        <f t="array" ref="BC643">IF($I643="","",LET(
conf,AI643,
sameN,IF(conf="Low",1,IF(conf="Medium",2,3)),
duoMax,XLOOKUP($B643,Derived_Variables!$A:$A,Derived_Variables!$AI:$AI,4),
axisTol,XLOOKUP($B643,Derived_Variables!$A:$A,Derived_Variables!$W:$W,1),
IFS(
C643="A",
IF(
 OR(
   I643="NOT_READABLE",
   I643="BLURRY",
   AND(R643="20_20_20",I643="READABLE")
 ),
 "B",
 "A"
),
C643="B",
IF(AND(AV643&gt;=AW643,I643="READABLE"),"E","B"),
C643="E",
IF(OR(I643="SAME",AD643&lt;=axisTol),"F","E"),
C643="F",
IF(AX643&gt;=sameN,"G","F"),
C643="G",
IF(OR(I643="EQUAL",BB643=1,BA643&gt;=duoMax),"D","G"),
C643="D",
IF(AND(AV643&gt;=AW643,I643="READABLE"),"H","D"),
C643="H",
IF(OR(I643="SAME",AD643&lt;=axisTol),"I","H"),
C643="I",
IF(AX643&gt;=sameN,"J","I"),
C643="J",
IF(OR(I643="EQUAL",BB643=1,BA643&gt;=duoMax),"K","J"),
C643="K",
IF(
 I643="SAME",
 IF(
   XLOOKUP($B643,Derived_Variables!$A:$A,Derived_Variables!$Q:$Q,"None")="None",
   "END",
   "P"
 ),
 "K"
),
C643="P",
IF(OR(I643="READABLE",I643="SAME"),"Q","P"),
C643="Q",
IF(OR(I643="READABLE",I643="SAME"),"R","Q"),
C643="R",
IF(OR(I643="TARGET_OK",I643="SAME"),"END","R"),
TRUE,"END"
)))</f>
        <v/>
      </c>
      <c r="BD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 t="str">
        <f t="array" ref="BC644">IF($I644="","",LET(
conf,AI644,
sameN,IF(conf="Low",1,IF(conf="Medium",2,3)),
duoMax,XLOOKUP($B644,Derived_Variables!$A:$A,Derived_Variables!$AI:$AI,4),
axisTol,XLOOKUP($B644,Derived_Variables!$A:$A,Derived_Variables!$W:$W,1),
IFS(
C644="A",
IF(
 OR(
   I644="NOT_READABLE",
   I644="BLURRY",
   AND(R644="20_20_20",I644="READABLE")
 ),
 "B",
 "A"
),
C644="B",
IF(AND(AV644&gt;=AW644,I644="READABLE"),"E","B"),
C644="E",
IF(OR(I644="SAME",AD644&lt;=axisTol),"F","E"),
C644="F",
IF(AX644&gt;=sameN,"G","F"),
C644="G",
IF(OR(I644="EQUAL",BB644=1,BA644&gt;=duoMax),"D","G"),
C644="D",
IF(AND(AV644&gt;=AW644,I644="READABLE"),"H","D"),
C644="H",
IF(OR(I644="SAME",AD644&lt;=axisTol),"I","H"),
C644="I",
IF(AX644&gt;=sameN,"J","I"),
C644="J",
IF(OR(I644="EQUAL",BB644=1,BA644&gt;=duoMax),"K","J"),
C644="K",
IF(
 I644="SAME",
 IF(
   XLOOKUP($B644,Derived_Variables!$A:$A,Derived_Variables!$Q:$Q,"None")="None",
   "END",
   "P"
 ),
 "K"
),
C644="P",
IF(OR(I644="READABLE",I644="SAME"),"Q","P"),
C644="Q",
IF(OR(I644="READABLE",I644="SAME"),"R","Q"),
C644="R",
IF(OR(I644="TARGET_OK",I644="SAME"),"END","R"),
TRUE,"END"
)))</f>
        <v/>
      </c>
      <c r="BD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 t="str">
        <f t="array" ref="BC645">IF($I645="","",LET(
conf,AI645,
sameN,IF(conf="Low",1,IF(conf="Medium",2,3)),
duoMax,XLOOKUP($B645,Derived_Variables!$A:$A,Derived_Variables!$AI:$AI,4),
axisTol,XLOOKUP($B645,Derived_Variables!$A:$A,Derived_Variables!$W:$W,1),
IFS(
C645="A",
IF(
 OR(
   I645="NOT_READABLE",
   I645="BLURRY",
   AND(R645="20_20_20",I645="READABLE")
 ),
 "B",
 "A"
),
C645="B",
IF(AND(AV645&gt;=AW645,I645="READABLE"),"E","B"),
C645="E",
IF(OR(I645="SAME",AD645&lt;=axisTol),"F","E"),
C645="F",
IF(AX645&gt;=sameN,"G","F"),
C645="G",
IF(OR(I645="EQUAL",BB645=1,BA645&gt;=duoMax),"D","G"),
C645="D",
IF(AND(AV645&gt;=AW645,I645="READABLE"),"H","D"),
C645="H",
IF(OR(I645="SAME",AD645&lt;=axisTol),"I","H"),
C645="I",
IF(AX645&gt;=sameN,"J","I"),
C645="J",
IF(OR(I645="EQUAL",BB645=1,BA645&gt;=duoMax),"K","J"),
C645="K",
IF(
 I645="SAME",
 IF(
   XLOOKUP($B645,Derived_Variables!$A:$A,Derived_Variables!$Q:$Q,"None")="None",
   "END",
   "P"
 ),
 "K"
),
C645="P",
IF(OR(I645="READABLE",I645="SAME"),"Q","P"),
C645="Q",
IF(OR(I645="READABLE",I645="SAME"),"R","Q"),
C645="R",
IF(OR(I645="TARGET_OK",I645="SAME"),"END","R"),
TRUE,"END"
)))</f>
        <v/>
      </c>
      <c r="BD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 t="str">
        <f t="array" ref="BC646">IF($I646="","",LET(
conf,AI646,
sameN,IF(conf="Low",1,IF(conf="Medium",2,3)),
duoMax,XLOOKUP($B646,Derived_Variables!$A:$A,Derived_Variables!$AI:$AI,4),
axisTol,XLOOKUP($B646,Derived_Variables!$A:$A,Derived_Variables!$W:$W,1),
IFS(
C646="A",
IF(
 OR(
   I646="NOT_READABLE",
   I646="BLURRY",
   AND(R646="20_20_20",I646="READABLE")
 ),
 "B",
 "A"
),
C646="B",
IF(AND(AV646&gt;=AW646,I646="READABLE"),"E","B"),
C646="E",
IF(OR(I646="SAME",AD646&lt;=axisTol),"F","E"),
C646="F",
IF(AX646&gt;=sameN,"G","F"),
C646="G",
IF(OR(I646="EQUAL",BB646=1,BA646&gt;=duoMax),"D","G"),
C646="D",
IF(AND(AV646&gt;=AW646,I646="READABLE"),"H","D"),
C646="H",
IF(OR(I646="SAME",AD646&lt;=axisTol),"I","H"),
C646="I",
IF(AX646&gt;=sameN,"J","I"),
C646="J",
IF(OR(I646="EQUAL",BB646=1,BA646&gt;=duoMax),"K","J"),
C646="K",
IF(
 I646="SAME",
 IF(
   XLOOKUP($B646,Derived_Variables!$A:$A,Derived_Variables!$Q:$Q,"None")="None",
   "END",
   "P"
 ),
 "K"
),
C646="P",
IF(OR(I646="READABLE",I646="SAME"),"Q","P"),
C646="Q",
IF(OR(I646="READABLE",I646="SAME"),"R","Q"),
C646="R",
IF(OR(I646="TARGET_OK",I646="SAME"),"END","R"),
TRUE,"END"
)))</f>
        <v/>
      </c>
      <c r="BD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 t="str">
        <f t="array" ref="BC647">IF($I647="","",LET(
conf,AI647,
sameN,IF(conf="Low",1,IF(conf="Medium",2,3)),
duoMax,XLOOKUP($B647,Derived_Variables!$A:$A,Derived_Variables!$AI:$AI,4),
axisTol,XLOOKUP($B647,Derived_Variables!$A:$A,Derived_Variables!$W:$W,1),
IFS(
C647="A",
IF(
 OR(
   I647="NOT_READABLE",
   I647="BLURRY",
   AND(R647="20_20_20",I647="READABLE")
 ),
 "B",
 "A"
),
C647="B",
IF(AND(AV647&gt;=AW647,I647="READABLE"),"E","B"),
C647="E",
IF(OR(I647="SAME",AD647&lt;=axisTol),"F","E"),
C647="F",
IF(AX647&gt;=sameN,"G","F"),
C647="G",
IF(OR(I647="EQUAL",BB647=1,BA647&gt;=duoMax),"D","G"),
C647="D",
IF(AND(AV647&gt;=AW647,I647="READABLE"),"H","D"),
C647="H",
IF(OR(I647="SAME",AD647&lt;=axisTol),"I","H"),
C647="I",
IF(AX647&gt;=sameN,"J","I"),
C647="J",
IF(OR(I647="EQUAL",BB647=1,BA647&gt;=duoMax),"K","J"),
C647="K",
IF(
 I647="SAME",
 IF(
   XLOOKUP($B647,Derived_Variables!$A:$A,Derived_Variables!$Q:$Q,"None")="None",
   "END",
   "P"
 ),
 "K"
),
C647="P",
IF(OR(I647="READABLE",I647="SAME"),"Q","P"),
C647="Q",
IF(OR(I647="READABLE",I647="SAME"),"R","Q"),
C647="R",
IF(OR(I647="TARGET_OK",I647="SAME"),"END","R"),
TRUE,"END"
)))</f>
        <v/>
      </c>
      <c r="BD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 t="str">
        <f t="array" ref="BC648">IF($I648="","",LET(
conf,AI648,
sameN,IF(conf="Low",1,IF(conf="Medium",2,3)),
duoMax,XLOOKUP($B648,Derived_Variables!$A:$A,Derived_Variables!$AI:$AI,4),
axisTol,XLOOKUP($B648,Derived_Variables!$A:$A,Derived_Variables!$W:$W,1),
IFS(
C648="A",
IF(
 OR(
   I648="NOT_READABLE",
   I648="BLURRY",
   AND(R648="20_20_20",I648="READABLE")
 ),
 "B",
 "A"
),
C648="B",
IF(AND(AV648&gt;=AW648,I648="READABLE"),"E","B"),
C648="E",
IF(OR(I648="SAME",AD648&lt;=axisTol),"F","E"),
C648="F",
IF(AX648&gt;=sameN,"G","F"),
C648="G",
IF(OR(I648="EQUAL",BB648=1,BA648&gt;=duoMax),"D","G"),
C648="D",
IF(AND(AV648&gt;=AW648,I648="READABLE"),"H","D"),
C648="H",
IF(OR(I648="SAME",AD648&lt;=axisTol),"I","H"),
C648="I",
IF(AX648&gt;=sameN,"J","I"),
C648="J",
IF(OR(I648="EQUAL",BB648=1,BA648&gt;=duoMax),"K","J"),
C648="K",
IF(
 I648="SAME",
 IF(
   XLOOKUP($B648,Derived_Variables!$A:$A,Derived_Variables!$Q:$Q,"None")="None",
   "END",
   "P"
 ),
 "K"
),
C648="P",
IF(OR(I648="READABLE",I648="SAME"),"Q","P"),
C648="Q",
IF(OR(I648="READABLE",I648="SAME"),"R","Q"),
C648="R",
IF(OR(I648="TARGET_OK",I648="SAME"),"END","R"),
TRUE,"END"
)))</f>
        <v/>
      </c>
      <c r="BD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 t="str">
        <f t="array" ref="BC649">IF($I649="","",LET(
conf,AI649,
sameN,IF(conf="Low",1,IF(conf="Medium",2,3)),
duoMax,XLOOKUP($B649,Derived_Variables!$A:$A,Derived_Variables!$AI:$AI,4),
axisTol,XLOOKUP($B649,Derived_Variables!$A:$A,Derived_Variables!$W:$W,1),
IFS(
C649="A",
IF(
 OR(
   I649="NOT_READABLE",
   I649="BLURRY",
   AND(R649="20_20_20",I649="READABLE")
 ),
 "B",
 "A"
),
C649="B",
IF(AND(AV649&gt;=AW649,I649="READABLE"),"E","B"),
C649="E",
IF(OR(I649="SAME",AD649&lt;=axisTol),"F","E"),
C649="F",
IF(AX649&gt;=sameN,"G","F"),
C649="G",
IF(OR(I649="EQUAL",BB649=1,BA649&gt;=duoMax),"D","G"),
C649="D",
IF(AND(AV649&gt;=AW649,I649="READABLE"),"H","D"),
C649="H",
IF(OR(I649="SAME",AD649&lt;=axisTol),"I","H"),
C649="I",
IF(AX649&gt;=sameN,"J","I"),
C649="J",
IF(OR(I649="EQUAL",BB649=1,BA649&gt;=duoMax),"K","J"),
C649="K",
IF(
 I649="SAME",
 IF(
   XLOOKUP($B649,Derived_Variables!$A:$A,Derived_Variables!$Q:$Q,"None")="None",
   "END",
   "P"
 ),
 "K"
),
C649="P",
IF(OR(I649="READABLE",I649="SAME"),"Q","P"),
C649="Q",
IF(OR(I649="READABLE",I649="SAME"),"R","Q"),
C649="R",
IF(OR(I649="TARGET_OK",I649="SAME"),"END","R"),
TRUE,"END"
)))</f>
        <v/>
      </c>
      <c r="BD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 t="str">
        <f t="array" ref="BC650">IF($I650="","",LET(
conf,AI650,
sameN,IF(conf="Low",1,IF(conf="Medium",2,3)),
duoMax,XLOOKUP($B650,Derived_Variables!$A:$A,Derived_Variables!$AI:$AI,4),
axisTol,XLOOKUP($B650,Derived_Variables!$A:$A,Derived_Variables!$W:$W,1),
IFS(
C650="A",
IF(
 OR(
   I650="NOT_READABLE",
   I650="BLURRY",
   AND(R650="20_20_20",I650="READABLE")
 ),
 "B",
 "A"
),
C650="B",
IF(AND(AV650&gt;=AW650,I650="READABLE"),"E","B"),
C650="E",
IF(OR(I650="SAME",AD650&lt;=axisTol),"F","E"),
C650="F",
IF(AX650&gt;=sameN,"G","F"),
C650="G",
IF(OR(I650="EQUAL",BB650=1,BA650&gt;=duoMax),"D","G"),
C650="D",
IF(AND(AV650&gt;=AW650,I650="READABLE"),"H","D"),
C650="H",
IF(OR(I650="SAME",AD650&lt;=axisTol),"I","H"),
C650="I",
IF(AX650&gt;=sameN,"J","I"),
C650="J",
IF(OR(I650="EQUAL",BB650=1,BA650&gt;=duoMax),"K","J"),
C650="K",
IF(
 I650="SAME",
 IF(
   XLOOKUP($B650,Derived_Variables!$A:$A,Derived_Variables!$Q:$Q,"None")="None",
   "END",
   "P"
 ),
 "K"
),
C650="P",
IF(OR(I650="READABLE",I650="SAME"),"Q","P"),
C650="Q",
IF(OR(I650="READABLE",I650="SAME"),"R","Q"),
C650="R",
IF(OR(I650="TARGET_OK",I650="SAME"),"END","R"),
TRUE,"END"
)))</f>
        <v/>
      </c>
      <c r="BD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 t="str">
        <f t="array" ref="BC651">IF($I651="","",LET(
conf,AI651,
sameN,IF(conf="Low",1,IF(conf="Medium",2,3)),
duoMax,XLOOKUP($B651,Derived_Variables!$A:$A,Derived_Variables!$AI:$AI,4),
axisTol,XLOOKUP($B651,Derived_Variables!$A:$A,Derived_Variables!$W:$W,1),
IFS(
C651="A",
IF(
 OR(
   I651="NOT_READABLE",
   I651="BLURRY",
   AND(R651="20_20_20",I651="READABLE")
 ),
 "B",
 "A"
),
C651="B",
IF(AND(AV651&gt;=AW651,I651="READABLE"),"E","B"),
C651="E",
IF(OR(I651="SAME",AD651&lt;=axisTol),"F","E"),
C651="F",
IF(AX651&gt;=sameN,"G","F"),
C651="G",
IF(OR(I651="EQUAL",BB651=1,BA651&gt;=duoMax),"D","G"),
C651="D",
IF(AND(AV651&gt;=AW651,I651="READABLE"),"H","D"),
C651="H",
IF(OR(I651="SAME",AD651&lt;=axisTol),"I","H"),
C651="I",
IF(AX651&gt;=sameN,"J","I"),
C651="J",
IF(OR(I651="EQUAL",BB651=1,BA651&gt;=duoMax),"K","J"),
C651="K",
IF(
 I651="SAME",
 IF(
   XLOOKUP($B651,Derived_Variables!$A:$A,Derived_Variables!$Q:$Q,"None")="None",
   "END",
   "P"
 ),
 "K"
),
C651="P",
IF(OR(I651="READABLE",I651="SAME"),"Q","P"),
C651="Q",
IF(OR(I651="READABLE",I651="SAME"),"R","Q"),
C651="R",
IF(OR(I651="TARGET_OK",I651="SAME"),"END","R"),
TRUE,"END"
)))</f>
        <v/>
      </c>
      <c r="BD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 t="str">
        <f t="array" ref="BC652">IF($I652="","",LET(
conf,AI652,
sameN,IF(conf="Low",1,IF(conf="Medium",2,3)),
duoMax,XLOOKUP($B652,Derived_Variables!$A:$A,Derived_Variables!$AI:$AI,4),
axisTol,XLOOKUP($B652,Derived_Variables!$A:$A,Derived_Variables!$W:$W,1),
IFS(
C652="A",
IF(
 OR(
   I652="NOT_READABLE",
   I652="BLURRY",
   AND(R652="20_20_20",I652="READABLE")
 ),
 "B",
 "A"
),
C652="B",
IF(AND(AV652&gt;=AW652,I652="READABLE"),"E","B"),
C652="E",
IF(OR(I652="SAME",AD652&lt;=axisTol),"F","E"),
C652="F",
IF(AX652&gt;=sameN,"G","F"),
C652="G",
IF(OR(I652="EQUAL",BB652=1,BA652&gt;=duoMax),"D","G"),
C652="D",
IF(AND(AV652&gt;=AW652,I652="READABLE"),"H","D"),
C652="H",
IF(OR(I652="SAME",AD652&lt;=axisTol),"I","H"),
C652="I",
IF(AX652&gt;=sameN,"J","I"),
C652="J",
IF(OR(I652="EQUAL",BB652=1,BA652&gt;=duoMax),"K","J"),
C652="K",
IF(
 I652="SAME",
 IF(
   XLOOKUP($B652,Derived_Variables!$A:$A,Derived_Variables!$Q:$Q,"None")="None",
   "END",
   "P"
 ),
 "K"
),
C652="P",
IF(OR(I652="READABLE",I652="SAME"),"Q","P"),
C652="Q",
IF(OR(I652="READABLE",I652="SAME"),"R","Q"),
C652="R",
IF(OR(I652="TARGET_OK",I652="SAME"),"END","R"),
TRUE,"END"
)))</f>
        <v/>
      </c>
      <c r="BD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 t="str">
        <f t="array" ref="BC653">IF($I653="","",LET(
conf,AI653,
sameN,IF(conf="Low",1,IF(conf="Medium",2,3)),
duoMax,XLOOKUP($B653,Derived_Variables!$A:$A,Derived_Variables!$AI:$AI,4),
axisTol,XLOOKUP($B653,Derived_Variables!$A:$A,Derived_Variables!$W:$W,1),
IFS(
C653="A",
IF(
 OR(
   I653="NOT_READABLE",
   I653="BLURRY",
   AND(R653="20_20_20",I653="READABLE")
 ),
 "B",
 "A"
),
C653="B",
IF(AND(AV653&gt;=AW653,I653="READABLE"),"E","B"),
C653="E",
IF(OR(I653="SAME",AD653&lt;=axisTol),"F","E"),
C653="F",
IF(AX653&gt;=sameN,"G","F"),
C653="G",
IF(OR(I653="EQUAL",BB653=1,BA653&gt;=duoMax),"D","G"),
C653="D",
IF(AND(AV653&gt;=AW653,I653="READABLE"),"H","D"),
C653="H",
IF(OR(I653="SAME",AD653&lt;=axisTol),"I","H"),
C653="I",
IF(AX653&gt;=sameN,"J","I"),
C653="J",
IF(OR(I653="EQUAL",BB653=1,BA653&gt;=duoMax),"K","J"),
C653="K",
IF(
 I653="SAME",
 IF(
   XLOOKUP($B653,Derived_Variables!$A:$A,Derived_Variables!$Q:$Q,"None")="None",
   "END",
   "P"
 ),
 "K"
),
C653="P",
IF(OR(I653="READABLE",I653="SAME"),"Q","P"),
C653="Q",
IF(OR(I653="READABLE",I653="SAME"),"R","Q"),
C653="R",
IF(OR(I653="TARGET_OK",I653="SAME"),"END","R"),
TRUE,"END"
)))</f>
        <v/>
      </c>
      <c r="BD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 t="str">
        <f t="array" ref="BC654">IF($I654="","",LET(
conf,AI654,
sameN,IF(conf="Low",1,IF(conf="Medium",2,3)),
duoMax,XLOOKUP($B654,Derived_Variables!$A:$A,Derived_Variables!$AI:$AI,4),
axisTol,XLOOKUP($B654,Derived_Variables!$A:$A,Derived_Variables!$W:$W,1),
IFS(
C654="A",
IF(
 OR(
   I654="NOT_READABLE",
   I654="BLURRY",
   AND(R654="20_20_20",I654="READABLE")
 ),
 "B",
 "A"
),
C654="B",
IF(AND(AV654&gt;=AW654,I654="READABLE"),"E","B"),
C654="E",
IF(OR(I654="SAME",AD654&lt;=axisTol),"F","E"),
C654="F",
IF(AX654&gt;=sameN,"G","F"),
C654="G",
IF(OR(I654="EQUAL",BB654=1,BA654&gt;=duoMax),"D","G"),
C654="D",
IF(AND(AV654&gt;=AW654,I654="READABLE"),"H","D"),
C654="H",
IF(OR(I654="SAME",AD654&lt;=axisTol),"I","H"),
C654="I",
IF(AX654&gt;=sameN,"J","I"),
C654="J",
IF(OR(I654="EQUAL",BB654=1,BA654&gt;=duoMax),"K","J"),
C654="K",
IF(
 I654="SAME",
 IF(
   XLOOKUP($B654,Derived_Variables!$A:$A,Derived_Variables!$Q:$Q,"None")="None",
   "END",
   "P"
 ),
 "K"
),
C654="P",
IF(OR(I654="READABLE",I654="SAME"),"Q","P"),
C654="Q",
IF(OR(I654="READABLE",I654="SAME"),"R","Q"),
C654="R",
IF(OR(I654="TARGET_OK",I654="SAME"),"END","R"),
TRUE,"END"
)))</f>
        <v/>
      </c>
      <c r="BD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 t="str">
        <f t="array" ref="BC655">IF($I655="","",LET(
conf,AI655,
sameN,IF(conf="Low",1,IF(conf="Medium",2,3)),
duoMax,XLOOKUP($B655,Derived_Variables!$A:$A,Derived_Variables!$AI:$AI,4),
axisTol,XLOOKUP($B655,Derived_Variables!$A:$A,Derived_Variables!$W:$W,1),
IFS(
C655="A",
IF(
 OR(
   I655="NOT_READABLE",
   I655="BLURRY",
   AND(R655="20_20_20",I655="READABLE")
 ),
 "B",
 "A"
),
C655="B",
IF(AND(AV655&gt;=AW655,I655="READABLE"),"E","B"),
C655="E",
IF(OR(I655="SAME",AD655&lt;=axisTol),"F","E"),
C655="F",
IF(AX655&gt;=sameN,"G","F"),
C655="G",
IF(OR(I655="EQUAL",BB655=1,BA655&gt;=duoMax),"D","G"),
C655="D",
IF(AND(AV655&gt;=AW655,I655="READABLE"),"H","D"),
C655="H",
IF(OR(I655="SAME",AD655&lt;=axisTol),"I","H"),
C655="I",
IF(AX655&gt;=sameN,"J","I"),
C655="J",
IF(OR(I655="EQUAL",BB655=1,BA655&gt;=duoMax),"K","J"),
C655="K",
IF(
 I655="SAME",
 IF(
   XLOOKUP($B655,Derived_Variables!$A:$A,Derived_Variables!$Q:$Q,"None")="None",
   "END",
   "P"
 ),
 "K"
),
C655="P",
IF(OR(I655="READABLE",I655="SAME"),"Q","P"),
C655="Q",
IF(OR(I655="READABLE",I655="SAME"),"R","Q"),
C655="R",
IF(OR(I655="TARGET_OK",I655="SAME"),"END","R"),
TRUE,"END"
)))</f>
        <v/>
      </c>
      <c r="BD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 t="str">
        <f t="array" ref="BC656">IF($I656="","",LET(
conf,AI656,
sameN,IF(conf="Low",1,IF(conf="Medium",2,3)),
duoMax,XLOOKUP($B656,Derived_Variables!$A:$A,Derived_Variables!$AI:$AI,4),
axisTol,XLOOKUP($B656,Derived_Variables!$A:$A,Derived_Variables!$W:$W,1),
IFS(
C656="A",
IF(
 OR(
   I656="NOT_READABLE",
   I656="BLURRY",
   AND(R656="20_20_20",I656="READABLE")
 ),
 "B",
 "A"
),
C656="B",
IF(AND(AV656&gt;=AW656,I656="READABLE"),"E","B"),
C656="E",
IF(OR(I656="SAME",AD656&lt;=axisTol),"F","E"),
C656="F",
IF(AX656&gt;=sameN,"G","F"),
C656="G",
IF(OR(I656="EQUAL",BB656=1,BA656&gt;=duoMax),"D","G"),
C656="D",
IF(AND(AV656&gt;=AW656,I656="READABLE"),"H","D"),
C656="H",
IF(OR(I656="SAME",AD656&lt;=axisTol),"I","H"),
C656="I",
IF(AX656&gt;=sameN,"J","I"),
C656="J",
IF(OR(I656="EQUAL",BB656=1,BA656&gt;=duoMax),"K","J"),
C656="K",
IF(
 I656="SAME",
 IF(
   XLOOKUP($B656,Derived_Variables!$A:$A,Derived_Variables!$Q:$Q,"None")="None",
   "END",
   "P"
 ),
 "K"
),
C656="P",
IF(OR(I656="READABLE",I656="SAME"),"Q","P"),
C656="Q",
IF(OR(I656="READABLE",I656="SAME"),"R","Q"),
C656="R",
IF(OR(I656="TARGET_OK",I656="SAME"),"END","R"),
TRUE,"END"
)))</f>
        <v/>
      </c>
      <c r="BD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 t="str">
        <f t="array" ref="BC657">IF($I657="","",LET(
conf,AI657,
sameN,IF(conf="Low",1,IF(conf="Medium",2,3)),
duoMax,XLOOKUP($B657,Derived_Variables!$A:$A,Derived_Variables!$AI:$AI,4),
axisTol,XLOOKUP($B657,Derived_Variables!$A:$A,Derived_Variables!$W:$W,1),
IFS(
C657="A",
IF(
 OR(
   I657="NOT_READABLE",
   I657="BLURRY",
   AND(R657="20_20_20",I657="READABLE")
 ),
 "B",
 "A"
),
C657="B",
IF(AND(AV657&gt;=AW657,I657="READABLE"),"E","B"),
C657="E",
IF(OR(I657="SAME",AD657&lt;=axisTol),"F","E"),
C657="F",
IF(AX657&gt;=sameN,"G","F"),
C657="G",
IF(OR(I657="EQUAL",BB657=1,BA657&gt;=duoMax),"D","G"),
C657="D",
IF(AND(AV657&gt;=AW657,I657="READABLE"),"H","D"),
C657="H",
IF(OR(I657="SAME",AD657&lt;=axisTol),"I","H"),
C657="I",
IF(AX657&gt;=sameN,"J","I"),
C657="J",
IF(OR(I657="EQUAL",BB657=1,BA657&gt;=duoMax),"K","J"),
C657="K",
IF(
 I657="SAME",
 IF(
   XLOOKUP($B657,Derived_Variables!$A:$A,Derived_Variables!$Q:$Q,"None")="None",
   "END",
   "P"
 ),
 "K"
),
C657="P",
IF(OR(I657="READABLE",I657="SAME"),"Q","P"),
C657="Q",
IF(OR(I657="READABLE",I657="SAME"),"R","Q"),
C657="R",
IF(OR(I657="TARGET_OK",I657="SAME"),"END","R"),
TRUE,"END"
)))</f>
        <v/>
      </c>
      <c r="BD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 t="str">
        <f t="array" ref="BC658">IF($I658="","",LET(
conf,AI658,
sameN,IF(conf="Low",1,IF(conf="Medium",2,3)),
duoMax,XLOOKUP($B658,Derived_Variables!$A:$A,Derived_Variables!$AI:$AI,4),
axisTol,XLOOKUP($B658,Derived_Variables!$A:$A,Derived_Variables!$W:$W,1),
IFS(
C658="A",
IF(
 OR(
   I658="NOT_READABLE",
   I658="BLURRY",
   AND(R658="20_20_20",I658="READABLE")
 ),
 "B",
 "A"
),
C658="B",
IF(AND(AV658&gt;=AW658,I658="READABLE"),"E","B"),
C658="E",
IF(OR(I658="SAME",AD658&lt;=axisTol),"F","E"),
C658="F",
IF(AX658&gt;=sameN,"G","F"),
C658="G",
IF(OR(I658="EQUAL",BB658=1,BA658&gt;=duoMax),"D","G"),
C658="D",
IF(AND(AV658&gt;=AW658,I658="READABLE"),"H","D"),
C658="H",
IF(OR(I658="SAME",AD658&lt;=axisTol),"I","H"),
C658="I",
IF(AX658&gt;=sameN,"J","I"),
C658="J",
IF(OR(I658="EQUAL",BB658=1,BA658&gt;=duoMax),"K","J"),
C658="K",
IF(
 I658="SAME",
 IF(
   XLOOKUP($B658,Derived_Variables!$A:$A,Derived_Variables!$Q:$Q,"None")="None",
   "END",
   "P"
 ),
 "K"
),
C658="P",
IF(OR(I658="READABLE",I658="SAME"),"Q","P"),
C658="Q",
IF(OR(I658="READABLE",I658="SAME"),"R","Q"),
C658="R",
IF(OR(I658="TARGET_OK",I658="SAME"),"END","R"),
TRUE,"END"
)))</f>
        <v/>
      </c>
      <c r="BD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 t="str">
        <f t="array" ref="BC659">IF($I659="","",LET(
conf,AI659,
sameN,IF(conf="Low",1,IF(conf="Medium",2,3)),
duoMax,XLOOKUP($B659,Derived_Variables!$A:$A,Derived_Variables!$AI:$AI,4),
axisTol,XLOOKUP($B659,Derived_Variables!$A:$A,Derived_Variables!$W:$W,1),
IFS(
C659="A",
IF(
 OR(
   I659="NOT_READABLE",
   I659="BLURRY",
   AND(R659="20_20_20",I659="READABLE")
 ),
 "B",
 "A"
),
C659="B",
IF(AND(AV659&gt;=AW659,I659="READABLE"),"E","B"),
C659="E",
IF(OR(I659="SAME",AD659&lt;=axisTol),"F","E"),
C659="F",
IF(AX659&gt;=sameN,"G","F"),
C659="G",
IF(OR(I659="EQUAL",BB659=1,BA659&gt;=duoMax),"D","G"),
C659="D",
IF(AND(AV659&gt;=AW659,I659="READABLE"),"H","D"),
C659="H",
IF(OR(I659="SAME",AD659&lt;=axisTol),"I","H"),
C659="I",
IF(AX659&gt;=sameN,"J","I"),
C659="J",
IF(OR(I659="EQUAL",BB659=1,BA659&gt;=duoMax),"K","J"),
C659="K",
IF(
 I659="SAME",
 IF(
   XLOOKUP($B659,Derived_Variables!$A:$A,Derived_Variables!$Q:$Q,"None")="None",
   "END",
   "P"
 ),
 "K"
),
C659="P",
IF(OR(I659="READABLE",I659="SAME"),"Q","P"),
C659="Q",
IF(OR(I659="READABLE",I659="SAME"),"R","Q"),
C659="R",
IF(OR(I659="TARGET_OK",I659="SAME"),"END","R"),
TRUE,"END"
)))</f>
        <v/>
      </c>
      <c r="BD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 t="str">
        <f t="array" ref="BC660">IF($I660="","",LET(
conf,AI660,
sameN,IF(conf="Low",1,IF(conf="Medium",2,3)),
duoMax,XLOOKUP($B660,Derived_Variables!$A:$A,Derived_Variables!$AI:$AI,4),
axisTol,XLOOKUP($B660,Derived_Variables!$A:$A,Derived_Variables!$W:$W,1),
IFS(
C660="A",
IF(
 OR(
   I660="NOT_READABLE",
   I660="BLURRY",
   AND(R660="20_20_20",I660="READABLE")
 ),
 "B",
 "A"
),
C660="B",
IF(AND(AV660&gt;=AW660,I660="READABLE"),"E","B"),
C660="E",
IF(OR(I660="SAME",AD660&lt;=axisTol),"F","E"),
C660="F",
IF(AX660&gt;=sameN,"G","F"),
C660="G",
IF(OR(I660="EQUAL",BB660=1,BA660&gt;=duoMax),"D","G"),
C660="D",
IF(AND(AV660&gt;=AW660,I660="READABLE"),"H","D"),
C660="H",
IF(OR(I660="SAME",AD660&lt;=axisTol),"I","H"),
C660="I",
IF(AX660&gt;=sameN,"J","I"),
C660="J",
IF(OR(I660="EQUAL",BB660=1,BA660&gt;=duoMax),"K","J"),
C660="K",
IF(
 I660="SAME",
 IF(
   XLOOKUP($B660,Derived_Variables!$A:$A,Derived_Variables!$Q:$Q,"None")="None",
   "END",
   "P"
 ),
 "K"
),
C660="P",
IF(OR(I660="READABLE",I660="SAME"),"Q","P"),
C660="Q",
IF(OR(I660="READABLE",I660="SAME"),"R","Q"),
C660="R",
IF(OR(I660="TARGET_OK",I660="SAME"),"END","R"),
TRUE,"END"
)))</f>
        <v/>
      </c>
      <c r="BD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 t="str">
        <f t="array" ref="BC661">IF($I661="","",LET(
conf,AI661,
sameN,IF(conf="Low",1,IF(conf="Medium",2,3)),
duoMax,XLOOKUP($B661,Derived_Variables!$A:$A,Derived_Variables!$AI:$AI,4),
axisTol,XLOOKUP($B661,Derived_Variables!$A:$A,Derived_Variables!$W:$W,1),
IFS(
C661="A",
IF(
 OR(
   I661="NOT_READABLE",
   I661="BLURRY",
   AND(R661="20_20_20",I661="READABLE")
 ),
 "B",
 "A"
),
C661="B",
IF(AND(AV661&gt;=AW661,I661="READABLE"),"E","B"),
C661="E",
IF(OR(I661="SAME",AD661&lt;=axisTol),"F","E"),
C661="F",
IF(AX661&gt;=sameN,"G","F"),
C661="G",
IF(OR(I661="EQUAL",BB661=1,BA661&gt;=duoMax),"D","G"),
C661="D",
IF(AND(AV661&gt;=AW661,I661="READABLE"),"H","D"),
C661="H",
IF(OR(I661="SAME",AD661&lt;=axisTol),"I","H"),
C661="I",
IF(AX661&gt;=sameN,"J","I"),
C661="J",
IF(OR(I661="EQUAL",BB661=1,BA661&gt;=duoMax),"K","J"),
C661="K",
IF(
 I661="SAME",
 IF(
   XLOOKUP($B661,Derived_Variables!$A:$A,Derived_Variables!$Q:$Q,"None")="None",
   "END",
   "P"
 ),
 "K"
),
C661="P",
IF(OR(I661="READABLE",I661="SAME"),"Q","P"),
C661="Q",
IF(OR(I661="READABLE",I661="SAME"),"R","Q"),
C661="R",
IF(OR(I661="TARGET_OK",I661="SAME"),"END","R"),
TRUE,"END"
)))</f>
        <v/>
      </c>
      <c r="BD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 t="str">
        <f t="array" ref="BC662">IF($I662="","",LET(
conf,AI662,
sameN,IF(conf="Low",1,IF(conf="Medium",2,3)),
duoMax,XLOOKUP($B662,Derived_Variables!$A:$A,Derived_Variables!$AI:$AI,4),
axisTol,XLOOKUP($B662,Derived_Variables!$A:$A,Derived_Variables!$W:$W,1),
IFS(
C662="A",
IF(
 OR(
   I662="NOT_READABLE",
   I662="BLURRY",
   AND(R662="20_20_20",I662="READABLE")
 ),
 "B",
 "A"
),
C662="B",
IF(AND(AV662&gt;=AW662,I662="READABLE"),"E","B"),
C662="E",
IF(OR(I662="SAME",AD662&lt;=axisTol),"F","E"),
C662="F",
IF(AX662&gt;=sameN,"G","F"),
C662="G",
IF(OR(I662="EQUAL",BB662=1,BA662&gt;=duoMax),"D","G"),
C662="D",
IF(AND(AV662&gt;=AW662,I662="READABLE"),"H","D"),
C662="H",
IF(OR(I662="SAME",AD662&lt;=axisTol),"I","H"),
C662="I",
IF(AX662&gt;=sameN,"J","I"),
C662="J",
IF(OR(I662="EQUAL",BB662=1,BA662&gt;=duoMax),"K","J"),
C662="K",
IF(
 I662="SAME",
 IF(
   XLOOKUP($B662,Derived_Variables!$A:$A,Derived_Variables!$Q:$Q,"None")="None",
   "END",
   "P"
 ),
 "K"
),
C662="P",
IF(OR(I662="READABLE",I662="SAME"),"Q","P"),
C662="Q",
IF(OR(I662="READABLE",I662="SAME"),"R","Q"),
C662="R",
IF(OR(I662="TARGET_OK",I662="SAME"),"END","R"),
TRUE,"END"
)))</f>
        <v/>
      </c>
      <c r="BD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 t="str">
        <f t="array" ref="BC663">IF($I663="","",LET(
conf,AI663,
sameN,IF(conf="Low",1,IF(conf="Medium",2,3)),
duoMax,XLOOKUP($B663,Derived_Variables!$A:$A,Derived_Variables!$AI:$AI,4),
axisTol,XLOOKUP($B663,Derived_Variables!$A:$A,Derived_Variables!$W:$W,1),
IFS(
C663="A",
IF(
 OR(
   I663="NOT_READABLE",
   I663="BLURRY",
   AND(R663="20_20_20",I663="READABLE")
 ),
 "B",
 "A"
),
C663="B",
IF(AND(AV663&gt;=AW663,I663="READABLE"),"E","B"),
C663="E",
IF(OR(I663="SAME",AD663&lt;=axisTol),"F","E"),
C663="F",
IF(AX663&gt;=sameN,"G","F"),
C663="G",
IF(OR(I663="EQUAL",BB663=1,BA663&gt;=duoMax),"D","G"),
C663="D",
IF(AND(AV663&gt;=AW663,I663="READABLE"),"H","D"),
C663="H",
IF(OR(I663="SAME",AD663&lt;=axisTol),"I","H"),
C663="I",
IF(AX663&gt;=sameN,"J","I"),
C663="J",
IF(OR(I663="EQUAL",BB663=1,BA663&gt;=duoMax),"K","J"),
C663="K",
IF(
 I663="SAME",
 IF(
   XLOOKUP($B663,Derived_Variables!$A:$A,Derived_Variables!$Q:$Q,"None")="None",
   "END",
   "P"
 ),
 "K"
),
C663="P",
IF(OR(I663="READABLE",I663="SAME"),"Q","P"),
C663="Q",
IF(OR(I663="READABLE",I663="SAME"),"R","Q"),
C663="R",
IF(OR(I663="TARGET_OK",I663="SAME"),"END","R"),
TRUE,"END"
)))</f>
        <v/>
      </c>
      <c r="BD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 t="str">
        <f t="array" ref="BC664">IF($I664="","",LET(
conf,AI664,
sameN,IF(conf="Low",1,IF(conf="Medium",2,3)),
duoMax,XLOOKUP($B664,Derived_Variables!$A:$A,Derived_Variables!$AI:$AI,4),
axisTol,XLOOKUP($B664,Derived_Variables!$A:$A,Derived_Variables!$W:$W,1),
IFS(
C664="A",
IF(
 OR(
   I664="NOT_READABLE",
   I664="BLURRY",
   AND(R664="20_20_20",I664="READABLE")
 ),
 "B",
 "A"
),
C664="B",
IF(AND(AV664&gt;=AW664,I664="READABLE"),"E","B"),
C664="E",
IF(OR(I664="SAME",AD664&lt;=axisTol),"F","E"),
C664="F",
IF(AX664&gt;=sameN,"G","F"),
C664="G",
IF(OR(I664="EQUAL",BB664=1,BA664&gt;=duoMax),"D","G"),
C664="D",
IF(AND(AV664&gt;=AW664,I664="READABLE"),"H","D"),
C664="H",
IF(OR(I664="SAME",AD664&lt;=axisTol),"I","H"),
C664="I",
IF(AX664&gt;=sameN,"J","I"),
C664="J",
IF(OR(I664="EQUAL",BB664=1,BA664&gt;=duoMax),"K","J"),
C664="K",
IF(
 I664="SAME",
 IF(
   XLOOKUP($B664,Derived_Variables!$A:$A,Derived_Variables!$Q:$Q,"None")="None",
   "END",
   "P"
 ),
 "K"
),
C664="P",
IF(OR(I664="READABLE",I664="SAME"),"Q","P"),
C664="Q",
IF(OR(I664="READABLE",I664="SAME"),"R","Q"),
C664="R",
IF(OR(I664="TARGET_OK",I664="SAME"),"END","R"),
TRUE,"END"
)))</f>
        <v/>
      </c>
      <c r="BD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 t="str">
        <f t="array" ref="BC665">IF($I665="","",LET(
conf,AI665,
sameN,IF(conf="Low",1,IF(conf="Medium",2,3)),
duoMax,XLOOKUP($B665,Derived_Variables!$A:$A,Derived_Variables!$AI:$AI,4),
axisTol,XLOOKUP($B665,Derived_Variables!$A:$A,Derived_Variables!$W:$W,1),
IFS(
C665="A",
IF(
 OR(
   I665="NOT_READABLE",
   I665="BLURRY",
   AND(R665="20_20_20",I665="READABLE")
 ),
 "B",
 "A"
),
C665="B",
IF(AND(AV665&gt;=AW665,I665="READABLE"),"E","B"),
C665="E",
IF(OR(I665="SAME",AD665&lt;=axisTol),"F","E"),
C665="F",
IF(AX665&gt;=sameN,"G","F"),
C665="G",
IF(OR(I665="EQUAL",BB665=1,BA665&gt;=duoMax),"D","G"),
C665="D",
IF(AND(AV665&gt;=AW665,I665="READABLE"),"H","D"),
C665="H",
IF(OR(I665="SAME",AD665&lt;=axisTol),"I","H"),
C665="I",
IF(AX665&gt;=sameN,"J","I"),
C665="J",
IF(OR(I665="EQUAL",BB665=1,BA665&gt;=duoMax),"K","J"),
C665="K",
IF(
 I665="SAME",
 IF(
   XLOOKUP($B665,Derived_Variables!$A:$A,Derived_Variables!$Q:$Q,"None")="None",
   "END",
   "P"
 ),
 "K"
),
C665="P",
IF(OR(I665="READABLE",I665="SAME"),"Q","P"),
C665="Q",
IF(OR(I665="READABLE",I665="SAME"),"R","Q"),
C665="R",
IF(OR(I665="TARGET_OK",I665="SAME"),"END","R"),
TRUE,"END"
)))</f>
        <v/>
      </c>
      <c r="BD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 t="str">
        <f t="array" ref="BC666">IF($I666="","",LET(
conf,AI666,
sameN,IF(conf="Low",1,IF(conf="Medium",2,3)),
duoMax,XLOOKUP($B666,Derived_Variables!$A:$A,Derived_Variables!$AI:$AI,4),
axisTol,XLOOKUP($B666,Derived_Variables!$A:$A,Derived_Variables!$W:$W,1),
IFS(
C666="A",
IF(
 OR(
   I666="NOT_READABLE",
   I666="BLURRY",
   AND(R666="20_20_20",I666="READABLE")
 ),
 "B",
 "A"
),
C666="B",
IF(AND(AV666&gt;=AW666,I666="READABLE"),"E","B"),
C666="E",
IF(OR(I666="SAME",AD666&lt;=axisTol),"F","E"),
C666="F",
IF(AX666&gt;=sameN,"G","F"),
C666="G",
IF(OR(I666="EQUAL",BB666=1,BA666&gt;=duoMax),"D","G"),
C666="D",
IF(AND(AV666&gt;=AW666,I666="READABLE"),"H","D"),
C666="H",
IF(OR(I666="SAME",AD666&lt;=axisTol),"I","H"),
C666="I",
IF(AX666&gt;=sameN,"J","I"),
C666="J",
IF(OR(I666="EQUAL",BB666=1,BA666&gt;=duoMax),"K","J"),
C666="K",
IF(
 I666="SAME",
 IF(
   XLOOKUP($B666,Derived_Variables!$A:$A,Derived_Variables!$Q:$Q,"None")="None",
   "END",
   "P"
 ),
 "K"
),
C666="P",
IF(OR(I666="READABLE",I666="SAME"),"Q","P"),
C666="Q",
IF(OR(I666="READABLE",I666="SAME"),"R","Q"),
C666="R",
IF(OR(I666="TARGET_OK",I666="SAME"),"END","R"),
TRUE,"END"
)))</f>
        <v/>
      </c>
      <c r="BD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 t="str">
        <f t="array" ref="BC667">IF($I667="","",LET(
conf,AI667,
sameN,IF(conf="Low",1,IF(conf="Medium",2,3)),
duoMax,XLOOKUP($B667,Derived_Variables!$A:$A,Derived_Variables!$AI:$AI,4),
axisTol,XLOOKUP($B667,Derived_Variables!$A:$A,Derived_Variables!$W:$W,1),
IFS(
C667="A",
IF(
 OR(
   I667="NOT_READABLE",
   I667="BLURRY",
   AND(R667="20_20_20",I667="READABLE")
 ),
 "B",
 "A"
),
C667="B",
IF(AND(AV667&gt;=AW667,I667="READABLE"),"E","B"),
C667="E",
IF(OR(I667="SAME",AD667&lt;=axisTol),"F","E"),
C667="F",
IF(AX667&gt;=sameN,"G","F"),
C667="G",
IF(OR(I667="EQUAL",BB667=1,BA667&gt;=duoMax),"D","G"),
C667="D",
IF(AND(AV667&gt;=AW667,I667="READABLE"),"H","D"),
C667="H",
IF(OR(I667="SAME",AD667&lt;=axisTol),"I","H"),
C667="I",
IF(AX667&gt;=sameN,"J","I"),
C667="J",
IF(OR(I667="EQUAL",BB667=1,BA667&gt;=duoMax),"K","J"),
C667="K",
IF(
 I667="SAME",
 IF(
   XLOOKUP($B667,Derived_Variables!$A:$A,Derived_Variables!$Q:$Q,"None")="None",
   "END",
   "P"
 ),
 "K"
),
C667="P",
IF(OR(I667="READABLE",I667="SAME"),"Q","P"),
C667="Q",
IF(OR(I667="READABLE",I667="SAME"),"R","Q"),
C667="R",
IF(OR(I667="TARGET_OK",I667="SAME"),"END","R"),
TRUE,"END"
)))</f>
        <v/>
      </c>
      <c r="BD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 t="str">
        <f t="array" ref="BC668">IF($I668="","",LET(
conf,AI668,
sameN,IF(conf="Low",1,IF(conf="Medium",2,3)),
duoMax,XLOOKUP($B668,Derived_Variables!$A:$A,Derived_Variables!$AI:$AI,4),
axisTol,XLOOKUP($B668,Derived_Variables!$A:$A,Derived_Variables!$W:$W,1),
IFS(
C668="A",
IF(
 OR(
   I668="NOT_READABLE",
   I668="BLURRY",
   AND(R668="20_20_20",I668="READABLE")
 ),
 "B",
 "A"
),
C668="B",
IF(AND(AV668&gt;=AW668,I668="READABLE"),"E","B"),
C668="E",
IF(OR(I668="SAME",AD668&lt;=axisTol),"F","E"),
C668="F",
IF(AX668&gt;=sameN,"G","F"),
C668="G",
IF(OR(I668="EQUAL",BB668=1,BA668&gt;=duoMax),"D","G"),
C668="D",
IF(AND(AV668&gt;=AW668,I668="READABLE"),"H","D"),
C668="H",
IF(OR(I668="SAME",AD668&lt;=axisTol),"I","H"),
C668="I",
IF(AX668&gt;=sameN,"J","I"),
C668="J",
IF(OR(I668="EQUAL",BB668=1,BA668&gt;=duoMax),"K","J"),
C668="K",
IF(
 I668="SAME",
 IF(
   XLOOKUP($B668,Derived_Variables!$A:$A,Derived_Variables!$Q:$Q,"None")="None",
   "END",
   "P"
 ),
 "K"
),
C668="P",
IF(OR(I668="READABLE",I668="SAME"),"Q","P"),
C668="Q",
IF(OR(I668="READABLE",I668="SAME"),"R","Q"),
C668="R",
IF(OR(I668="TARGET_OK",I668="SAME"),"END","R"),
TRUE,"END"
)))</f>
        <v/>
      </c>
      <c r="BD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 t="str">
        <f t="array" ref="BC669">IF($I669="","",LET(
conf,AI669,
sameN,IF(conf="Low",1,IF(conf="Medium",2,3)),
duoMax,XLOOKUP($B669,Derived_Variables!$A:$A,Derived_Variables!$AI:$AI,4),
axisTol,XLOOKUP($B669,Derived_Variables!$A:$A,Derived_Variables!$W:$W,1),
IFS(
C669="A",
IF(
 OR(
   I669="NOT_READABLE",
   I669="BLURRY",
   AND(R669="20_20_20",I669="READABLE")
 ),
 "B",
 "A"
),
C669="B",
IF(AND(AV669&gt;=AW669,I669="READABLE"),"E","B"),
C669="E",
IF(OR(I669="SAME",AD669&lt;=axisTol),"F","E"),
C669="F",
IF(AX669&gt;=sameN,"G","F"),
C669="G",
IF(OR(I669="EQUAL",BB669=1,BA669&gt;=duoMax),"D","G"),
C669="D",
IF(AND(AV669&gt;=AW669,I669="READABLE"),"H","D"),
C669="H",
IF(OR(I669="SAME",AD669&lt;=axisTol),"I","H"),
C669="I",
IF(AX669&gt;=sameN,"J","I"),
C669="J",
IF(OR(I669="EQUAL",BB669=1,BA669&gt;=duoMax),"K","J"),
C669="K",
IF(
 I669="SAME",
 IF(
   XLOOKUP($B669,Derived_Variables!$A:$A,Derived_Variables!$Q:$Q,"None")="None",
   "END",
   "P"
 ),
 "K"
),
C669="P",
IF(OR(I669="READABLE",I669="SAME"),"Q","P"),
C669="Q",
IF(OR(I669="READABLE",I669="SAME"),"R","Q"),
C669="R",
IF(OR(I669="TARGET_OK",I669="SAME"),"END","R"),
TRUE,"END"
)))</f>
        <v/>
      </c>
      <c r="BD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 t="str">
        <f t="array" ref="BC670">IF($I670="","",LET(
conf,AI670,
sameN,IF(conf="Low",1,IF(conf="Medium",2,3)),
duoMax,XLOOKUP($B670,Derived_Variables!$A:$A,Derived_Variables!$AI:$AI,4),
axisTol,XLOOKUP($B670,Derived_Variables!$A:$A,Derived_Variables!$W:$W,1),
IFS(
C670="A",
IF(
 OR(
   I670="NOT_READABLE",
   I670="BLURRY",
   AND(R670="20_20_20",I670="READABLE")
 ),
 "B",
 "A"
),
C670="B",
IF(AND(AV670&gt;=AW670,I670="READABLE"),"E","B"),
C670="E",
IF(OR(I670="SAME",AD670&lt;=axisTol),"F","E"),
C670="F",
IF(AX670&gt;=sameN,"G","F"),
C670="G",
IF(OR(I670="EQUAL",BB670=1,BA670&gt;=duoMax),"D","G"),
C670="D",
IF(AND(AV670&gt;=AW670,I670="READABLE"),"H","D"),
C670="H",
IF(OR(I670="SAME",AD670&lt;=axisTol),"I","H"),
C670="I",
IF(AX670&gt;=sameN,"J","I"),
C670="J",
IF(OR(I670="EQUAL",BB670=1,BA670&gt;=duoMax),"K","J"),
C670="K",
IF(
 I670="SAME",
 IF(
   XLOOKUP($B670,Derived_Variables!$A:$A,Derived_Variables!$Q:$Q,"None")="None",
   "END",
   "P"
 ),
 "K"
),
C670="P",
IF(OR(I670="READABLE",I670="SAME"),"Q","P"),
C670="Q",
IF(OR(I670="READABLE",I670="SAME"),"R","Q"),
C670="R",
IF(OR(I670="TARGET_OK",I670="SAME"),"END","R"),
TRUE,"END"
)))</f>
        <v/>
      </c>
      <c r="BD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 t="str">
        <f t="array" ref="BC671">IF($I671="","",LET(
conf,AI671,
sameN,IF(conf="Low",1,IF(conf="Medium",2,3)),
duoMax,XLOOKUP($B671,Derived_Variables!$A:$A,Derived_Variables!$AI:$AI,4),
axisTol,XLOOKUP($B671,Derived_Variables!$A:$A,Derived_Variables!$W:$W,1),
IFS(
C671="A",
IF(
 OR(
   I671="NOT_READABLE",
   I671="BLURRY",
   AND(R671="20_20_20",I671="READABLE")
 ),
 "B",
 "A"
),
C671="B",
IF(AND(AV671&gt;=AW671,I671="READABLE"),"E","B"),
C671="E",
IF(OR(I671="SAME",AD671&lt;=axisTol),"F","E"),
C671="F",
IF(AX671&gt;=sameN,"G","F"),
C671="G",
IF(OR(I671="EQUAL",BB671=1,BA671&gt;=duoMax),"D","G"),
C671="D",
IF(AND(AV671&gt;=AW671,I671="READABLE"),"H","D"),
C671="H",
IF(OR(I671="SAME",AD671&lt;=axisTol),"I","H"),
C671="I",
IF(AX671&gt;=sameN,"J","I"),
C671="J",
IF(OR(I671="EQUAL",BB671=1,BA671&gt;=duoMax),"K","J"),
C671="K",
IF(
 I671="SAME",
 IF(
   XLOOKUP($B671,Derived_Variables!$A:$A,Derived_Variables!$Q:$Q,"None")="None",
   "END",
   "P"
 ),
 "K"
),
C671="P",
IF(OR(I671="READABLE",I671="SAME"),"Q","P"),
C671="Q",
IF(OR(I671="READABLE",I671="SAME"),"R","Q"),
C671="R",
IF(OR(I671="TARGET_OK",I671="SAME"),"END","R"),
TRUE,"END"
)))</f>
        <v/>
      </c>
      <c r="BD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 t="str">
        <f t="array" ref="BC672">IF($I672="","",LET(
conf,AI672,
sameN,IF(conf="Low",1,IF(conf="Medium",2,3)),
duoMax,XLOOKUP($B672,Derived_Variables!$A:$A,Derived_Variables!$AI:$AI,4),
axisTol,XLOOKUP($B672,Derived_Variables!$A:$A,Derived_Variables!$W:$W,1),
IFS(
C672="A",
IF(
 OR(
   I672="NOT_READABLE",
   I672="BLURRY",
   AND(R672="20_20_20",I672="READABLE")
 ),
 "B",
 "A"
),
C672="B",
IF(AND(AV672&gt;=AW672,I672="READABLE"),"E","B"),
C672="E",
IF(OR(I672="SAME",AD672&lt;=axisTol),"F","E"),
C672="F",
IF(AX672&gt;=sameN,"G","F"),
C672="G",
IF(OR(I672="EQUAL",BB672=1,BA672&gt;=duoMax),"D","G"),
C672="D",
IF(AND(AV672&gt;=AW672,I672="READABLE"),"H","D"),
C672="H",
IF(OR(I672="SAME",AD672&lt;=axisTol),"I","H"),
C672="I",
IF(AX672&gt;=sameN,"J","I"),
C672="J",
IF(OR(I672="EQUAL",BB672=1,BA672&gt;=duoMax),"K","J"),
C672="K",
IF(
 I672="SAME",
 IF(
   XLOOKUP($B672,Derived_Variables!$A:$A,Derived_Variables!$Q:$Q,"None")="None",
   "END",
   "P"
 ),
 "K"
),
C672="P",
IF(OR(I672="READABLE",I672="SAME"),"Q","P"),
C672="Q",
IF(OR(I672="READABLE",I672="SAME"),"R","Q"),
C672="R",
IF(OR(I672="TARGET_OK",I672="SAME"),"END","R"),
TRUE,"END"
)))</f>
        <v/>
      </c>
      <c r="BD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 t="str">
        <f t="array" ref="BC673">IF($I673="","",LET(
conf,AI673,
sameN,IF(conf="Low",1,IF(conf="Medium",2,3)),
duoMax,XLOOKUP($B673,Derived_Variables!$A:$A,Derived_Variables!$AI:$AI,4),
axisTol,XLOOKUP($B673,Derived_Variables!$A:$A,Derived_Variables!$W:$W,1),
IFS(
C673="A",
IF(
 OR(
   I673="NOT_READABLE",
   I673="BLURRY",
   AND(R673="20_20_20",I673="READABLE")
 ),
 "B",
 "A"
),
C673="B",
IF(AND(AV673&gt;=AW673,I673="READABLE"),"E","B"),
C673="E",
IF(OR(I673="SAME",AD673&lt;=axisTol),"F","E"),
C673="F",
IF(AX673&gt;=sameN,"G","F"),
C673="G",
IF(OR(I673="EQUAL",BB673=1,BA673&gt;=duoMax),"D","G"),
C673="D",
IF(AND(AV673&gt;=AW673,I673="READABLE"),"H","D"),
C673="H",
IF(OR(I673="SAME",AD673&lt;=axisTol),"I","H"),
C673="I",
IF(AX673&gt;=sameN,"J","I"),
C673="J",
IF(OR(I673="EQUAL",BB673=1,BA673&gt;=duoMax),"K","J"),
C673="K",
IF(
 I673="SAME",
 IF(
   XLOOKUP($B673,Derived_Variables!$A:$A,Derived_Variables!$Q:$Q,"None")="None",
   "END",
   "P"
 ),
 "K"
),
C673="P",
IF(OR(I673="READABLE",I673="SAME"),"Q","P"),
C673="Q",
IF(OR(I673="READABLE",I673="SAME"),"R","Q"),
C673="R",
IF(OR(I673="TARGET_OK",I673="SAME"),"END","R"),
TRUE,"END"
)))</f>
        <v/>
      </c>
      <c r="BD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 t="str">
        <f t="array" ref="BC674">IF($I674="","",LET(
conf,AI674,
sameN,IF(conf="Low",1,IF(conf="Medium",2,3)),
duoMax,XLOOKUP($B674,Derived_Variables!$A:$A,Derived_Variables!$AI:$AI,4),
axisTol,XLOOKUP($B674,Derived_Variables!$A:$A,Derived_Variables!$W:$W,1),
IFS(
C674="A",
IF(
 OR(
   I674="NOT_READABLE",
   I674="BLURRY",
   AND(R674="20_20_20",I674="READABLE")
 ),
 "B",
 "A"
),
C674="B",
IF(AND(AV674&gt;=AW674,I674="READABLE"),"E","B"),
C674="E",
IF(OR(I674="SAME",AD674&lt;=axisTol),"F","E"),
C674="F",
IF(AX674&gt;=sameN,"G","F"),
C674="G",
IF(OR(I674="EQUAL",BB674=1,BA674&gt;=duoMax),"D","G"),
C674="D",
IF(AND(AV674&gt;=AW674,I674="READABLE"),"H","D"),
C674="H",
IF(OR(I674="SAME",AD674&lt;=axisTol),"I","H"),
C674="I",
IF(AX674&gt;=sameN,"J","I"),
C674="J",
IF(OR(I674="EQUAL",BB674=1,BA674&gt;=duoMax),"K","J"),
C674="K",
IF(
 I674="SAME",
 IF(
   XLOOKUP($B674,Derived_Variables!$A:$A,Derived_Variables!$Q:$Q,"None")="None",
   "END",
   "P"
 ),
 "K"
),
C674="P",
IF(OR(I674="READABLE",I674="SAME"),"Q","P"),
C674="Q",
IF(OR(I674="READABLE",I674="SAME"),"R","Q"),
C674="R",
IF(OR(I674="TARGET_OK",I674="SAME"),"END","R"),
TRUE,"END"
)))</f>
        <v/>
      </c>
      <c r="BD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 t="str">
        <f t="array" ref="BC675">IF($I675="","",LET(
conf,AI675,
sameN,IF(conf="Low",1,IF(conf="Medium",2,3)),
duoMax,XLOOKUP($B675,Derived_Variables!$A:$A,Derived_Variables!$AI:$AI,4),
axisTol,XLOOKUP($B675,Derived_Variables!$A:$A,Derived_Variables!$W:$W,1),
IFS(
C675="A",
IF(
 OR(
   I675="NOT_READABLE",
   I675="BLURRY",
   AND(R675="20_20_20",I675="READABLE")
 ),
 "B",
 "A"
),
C675="B",
IF(AND(AV675&gt;=AW675,I675="READABLE"),"E","B"),
C675="E",
IF(OR(I675="SAME",AD675&lt;=axisTol),"F","E"),
C675="F",
IF(AX675&gt;=sameN,"G","F"),
C675="G",
IF(OR(I675="EQUAL",BB675=1,BA675&gt;=duoMax),"D","G"),
C675="D",
IF(AND(AV675&gt;=AW675,I675="READABLE"),"H","D"),
C675="H",
IF(OR(I675="SAME",AD675&lt;=axisTol),"I","H"),
C675="I",
IF(AX675&gt;=sameN,"J","I"),
C675="J",
IF(OR(I675="EQUAL",BB675=1,BA675&gt;=duoMax),"K","J"),
C675="K",
IF(
 I675="SAME",
 IF(
   XLOOKUP($B675,Derived_Variables!$A:$A,Derived_Variables!$Q:$Q,"None")="None",
   "END",
   "P"
 ),
 "K"
),
C675="P",
IF(OR(I675="READABLE",I675="SAME"),"Q","P"),
C675="Q",
IF(OR(I675="READABLE",I675="SAME"),"R","Q"),
C675="R",
IF(OR(I675="TARGET_OK",I675="SAME"),"END","R"),
TRUE,"END"
)))</f>
        <v/>
      </c>
      <c r="BD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 t="str">
        <f t="array" ref="BC676">IF($I676="","",LET(
conf,AI676,
sameN,IF(conf="Low",1,IF(conf="Medium",2,3)),
duoMax,XLOOKUP($B676,Derived_Variables!$A:$A,Derived_Variables!$AI:$AI,4),
axisTol,XLOOKUP($B676,Derived_Variables!$A:$A,Derived_Variables!$W:$W,1),
IFS(
C676="A",
IF(
 OR(
   I676="NOT_READABLE",
   I676="BLURRY",
   AND(R676="20_20_20",I676="READABLE")
 ),
 "B",
 "A"
),
C676="B",
IF(AND(AV676&gt;=AW676,I676="READABLE"),"E","B"),
C676="E",
IF(OR(I676="SAME",AD676&lt;=axisTol),"F","E"),
C676="F",
IF(AX676&gt;=sameN,"G","F"),
C676="G",
IF(OR(I676="EQUAL",BB676=1,BA676&gt;=duoMax),"D","G"),
C676="D",
IF(AND(AV676&gt;=AW676,I676="READABLE"),"H","D"),
C676="H",
IF(OR(I676="SAME",AD676&lt;=axisTol),"I","H"),
C676="I",
IF(AX676&gt;=sameN,"J","I"),
C676="J",
IF(OR(I676="EQUAL",BB676=1,BA676&gt;=duoMax),"K","J"),
C676="K",
IF(
 I676="SAME",
 IF(
   XLOOKUP($B676,Derived_Variables!$A:$A,Derived_Variables!$Q:$Q,"None")="None",
   "END",
   "P"
 ),
 "K"
),
C676="P",
IF(OR(I676="READABLE",I676="SAME"),"Q","P"),
C676="Q",
IF(OR(I676="READABLE",I676="SAME"),"R","Q"),
C676="R",
IF(OR(I676="TARGET_OK",I676="SAME"),"END","R"),
TRUE,"END"
)))</f>
        <v/>
      </c>
      <c r="BD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 t="str">
        <f t="array" ref="BC677">IF($I677="","",LET(
conf,AI677,
sameN,IF(conf="Low",1,IF(conf="Medium",2,3)),
duoMax,XLOOKUP($B677,Derived_Variables!$A:$A,Derived_Variables!$AI:$AI,4),
axisTol,XLOOKUP($B677,Derived_Variables!$A:$A,Derived_Variables!$W:$W,1),
IFS(
C677="A",
IF(
 OR(
   I677="NOT_READABLE",
   I677="BLURRY",
   AND(R677="20_20_20",I677="READABLE")
 ),
 "B",
 "A"
),
C677="B",
IF(AND(AV677&gt;=AW677,I677="READABLE"),"E","B"),
C677="E",
IF(OR(I677="SAME",AD677&lt;=axisTol),"F","E"),
C677="F",
IF(AX677&gt;=sameN,"G","F"),
C677="G",
IF(OR(I677="EQUAL",BB677=1,BA677&gt;=duoMax),"D","G"),
C677="D",
IF(AND(AV677&gt;=AW677,I677="READABLE"),"H","D"),
C677="H",
IF(OR(I677="SAME",AD677&lt;=axisTol),"I","H"),
C677="I",
IF(AX677&gt;=sameN,"J","I"),
C677="J",
IF(OR(I677="EQUAL",BB677=1,BA677&gt;=duoMax),"K","J"),
C677="K",
IF(
 I677="SAME",
 IF(
   XLOOKUP($B677,Derived_Variables!$A:$A,Derived_Variables!$Q:$Q,"None")="None",
   "END",
   "P"
 ),
 "K"
),
C677="P",
IF(OR(I677="READABLE",I677="SAME"),"Q","P"),
C677="Q",
IF(OR(I677="READABLE",I677="SAME"),"R","Q"),
C677="R",
IF(OR(I677="TARGET_OK",I677="SAME"),"END","R"),
TRUE,"END"
)))</f>
        <v/>
      </c>
      <c r="BD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 t="str">
        <f t="array" ref="BC678">IF($I678="","",LET(
conf,AI678,
sameN,IF(conf="Low",1,IF(conf="Medium",2,3)),
duoMax,XLOOKUP($B678,Derived_Variables!$A:$A,Derived_Variables!$AI:$AI,4),
axisTol,XLOOKUP($B678,Derived_Variables!$A:$A,Derived_Variables!$W:$W,1),
IFS(
C678="A",
IF(
 OR(
   I678="NOT_READABLE",
   I678="BLURRY",
   AND(R678="20_20_20",I678="READABLE")
 ),
 "B",
 "A"
),
C678="B",
IF(AND(AV678&gt;=AW678,I678="READABLE"),"E","B"),
C678="E",
IF(OR(I678="SAME",AD678&lt;=axisTol),"F","E"),
C678="F",
IF(AX678&gt;=sameN,"G","F"),
C678="G",
IF(OR(I678="EQUAL",BB678=1,BA678&gt;=duoMax),"D","G"),
C678="D",
IF(AND(AV678&gt;=AW678,I678="READABLE"),"H","D"),
C678="H",
IF(OR(I678="SAME",AD678&lt;=axisTol),"I","H"),
C678="I",
IF(AX678&gt;=sameN,"J","I"),
C678="J",
IF(OR(I678="EQUAL",BB678=1,BA678&gt;=duoMax),"K","J"),
C678="K",
IF(
 I678="SAME",
 IF(
   XLOOKUP($B678,Derived_Variables!$A:$A,Derived_Variables!$Q:$Q,"None")="None",
   "END",
   "P"
 ),
 "K"
),
C678="P",
IF(OR(I678="READABLE",I678="SAME"),"Q","P"),
C678="Q",
IF(OR(I678="READABLE",I678="SAME"),"R","Q"),
C678="R",
IF(OR(I678="TARGET_OK",I678="SAME"),"END","R"),
TRUE,"END"
)))</f>
        <v/>
      </c>
      <c r="BD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 t="str">
        <f t="array" ref="BC679">IF($I679="","",LET(
conf,AI679,
sameN,IF(conf="Low",1,IF(conf="Medium",2,3)),
duoMax,XLOOKUP($B679,Derived_Variables!$A:$A,Derived_Variables!$AI:$AI,4),
axisTol,XLOOKUP($B679,Derived_Variables!$A:$A,Derived_Variables!$W:$W,1),
IFS(
C679="A",
IF(
 OR(
   I679="NOT_READABLE",
   I679="BLURRY",
   AND(R679="20_20_20",I679="READABLE")
 ),
 "B",
 "A"
),
C679="B",
IF(AND(AV679&gt;=AW679,I679="READABLE"),"E","B"),
C679="E",
IF(OR(I679="SAME",AD679&lt;=axisTol),"F","E"),
C679="F",
IF(AX679&gt;=sameN,"G","F"),
C679="G",
IF(OR(I679="EQUAL",BB679=1,BA679&gt;=duoMax),"D","G"),
C679="D",
IF(AND(AV679&gt;=AW679,I679="READABLE"),"H","D"),
C679="H",
IF(OR(I679="SAME",AD679&lt;=axisTol),"I","H"),
C679="I",
IF(AX679&gt;=sameN,"J","I"),
C679="J",
IF(OR(I679="EQUAL",BB679=1,BA679&gt;=duoMax),"K","J"),
C679="K",
IF(
 I679="SAME",
 IF(
   XLOOKUP($B679,Derived_Variables!$A:$A,Derived_Variables!$Q:$Q,"None")="None",
   "END",
   "P"
 ),
 "K"
),
C679="P",
IF(OR(I679="READABLE",I679="SAME"),"Q","P"),
C679="Q",
IF(OR(I679="READABLE",I679="SAME"),"R","Q"),
C679="R",
IF(OR(I679="TARGET_OK",I679="SAME"),"END","R"),
TRUE,"END"
)))</f>
        <v/>
      </c>
      <c r="BD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 t="str">
        <f t="array" ref="BC680">IF($I680="","",LET(
conf,AI680,
sameN,IF(conf="Low",1,IF(conf="Medium",2,3)),
duoMax,XLOOKUP($B680,Derived_Variables!$A:$A,Derived_Variables!$AI:$AI,4),
axisTol,XLOOKUP($B680,Derived_Variables!$A:$A,Derived_Variables!$W:$W,1),
IFS(
C680="A",
IF(
 OR(
   I680="NOT_READABLE",
   I680="BLURRY",
   AND(R680="20_20_20",I680="READABLE")
 ),
 "B",
 "A"
),
C680="B",
IF(AND(AV680&gt;=AW680,I680="READABLE"),"E","B"),
C680="E",
IF(OR(I680="SAME",AD680&lt;=axisTol),"F","E"),
C680="F",
IF(AX680&gt;=sameN,"G","F"),
C680="G",
IF(OR(I680="EQUAL",BB680=1,BA680&gt;=duoMax),"D","G"),
C680="D",
IF(AND(AV680&gt;=AW680,I680="READABLE"),"H","D"),
C680="H",
IF(OR(I680="SAME",AD680&lt;=axisTol),"I","H"),
C680="I",
IF(AX680&gt;=sameN,"J","I"),
C680="J",
IF(OR(I680="EQUAL",BB680=1,BA680&gt;=duoMax),"K","J"),
C680="K",
IF(
 I680="SAME",
 IF(
   XLOOKUP($B680,Derived_Variables!$A:$A,Derived_Variables!$Q:$Q,"None")="None",
   "END",
   "P"
 ),
 "K"
),
C680="P",
IF(OR(I680="READABLE",I680="SAME"),"Q","P"),
C680="Q",
IF(OR(I680="READABLE",I680="SAME"),"R","Q"),
C680="R",
IF(OR(I680="TARGET_OK",I680="SAME"),"END","R"),
TRUE,"END"
)))</f>
        <v/>
      </c>
      <c r="BD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 t="str">
        <f t="array" ref="BC681">IF($I681="","",LET(
conf,AI681,
sameN,IF(conf="Low",1,IF(conf="Medium",2,3)),
duoMax,XLOOKUP($B681,Derived_Variables!$A:$A,Derived_Variables!$AI:$AI,4),
axisTol,XLOOKUP($B681,Derived_Variables!$A:$A,Derived_Variables!$W:$W,1),
IFS(
C681="A",
IF(
 OR(
   I681="NOT_READABLE",
   I681="BLURRY",
   AND(R681="20_20_20",I681="READABLE")
 ),
 "B",
 "A"
),
C681="B",
IF(AND(AV681&gt;=AW681,I681="READABLE"),"E","B"),
C681="E",
IF(OR(I681="SAME",AD681&lt;=axisTol),"F","E"),
C681="F",
IF(AX681&gt;=sameN,"G","F"),
C681="G",
IF(OR(I681="EQUAL",BB681=1,BA681&gt;=duoMax),"D","G"),
C681="D",
IF(AND(AV681&gt;=AW681,I681="READABLE"),"H","D"),
C681="H",
IF(OR(I681="SAME",AD681&lt;=axisTol),"I","H"),
C681="I",
IF(AX681&gt;=sameN,"J","I"),
C681="J",
IF(OR(I681="EQUAL",BB681=1,BA681&gt;=duoMax),"K","J"),
C681="K",
IF(
 I681="SAME",
 IF(
   XLOOKUP($B681,Derived_Variables!$A:$A,Derived_Variables!$Q:$Q,"None")="None",
   "END",
   "P"
 ),
 "K"
),
C681="P",
IF(OR(I681="READABLE",I681="SAME"),"Q","P"),
C681="Q",
IF(OR(I681="READABLE",I681="SAME"),"R","Q"),
C681="R",
IF(OR(I681="TARGET_OK",I681="SAME"),"END","R"),
TRUE,"END"
)))</f>
        <v/>
      </c>
      <c r="BD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 t="str">
        <f t="array" ref="BC682">IF($I682="","",LET(
conf,AI682,
sameN,IF(conf="Low",1,IF(conf="Medium",2,3)),
duoMax,XLOOKUP($B682,Derived_Variables!$A:$A,Derived_Variables!$AI:$AI,4),
axisTol,XLOOKUP($B682,Derived_Variables!$A:$A,Derived_Variables!$W:$W,1),
IFS(
C682="A",
IF(
 OR(
   I682="NOT_READABLE",
   I682="BLURRY",
   AND(R682="20_20_20",I682="READABLE")
 ),
 "B",
 "A"
),
C682="B",
IF(AND(AV682&gt;=AW682,I682="READABLE"),"E","B"),
C682="E",
IF(OR(I682="SAME",AD682&lt;=axisTol),"F","E"),
C682="F",
IF(AX682&gt;=sameN,"G","F"),
C682="G",
IF(OR(I682="EQUAL",BB682=1,BA682&gt;=duoMax),"D","G"),
C682="D",
IF(AND(AV682&gt;=AW682,I682="READABLE"),"H","D"),
C682="H",
IF(OR(I682="SAME",AD682&lt;=axisTol),"I","H"),
C682="I",
IF(AX682&gt;=sameN,"J","I"),
C682="J",
IF(OR(I682="EQUAL",BB682=1,BA682&gt;=duoMax),"K","J"),
C682="K",
IF(
 I682="SAME",
 IF(
   XLOOKUP($B682,Derived_Variables!$A:$A,Derived_Variables!$Q:$Q,"None")="None",
   "END",
   "P"
 ),
 "K"
),
C682="P",
IF(OR(I682="READABLE",I682="SAME"),"Q","P"),
C682="Q",
IF(OR(I682="READABLE",I682="SAME"),"R","Q"),
C682="R",
IF(OR(I682="TARGET_OK",I682="SAME"),"END","R"),
TRUE,"END"
)))</f>
        <v/>
      </c>
      <c r="BD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 t="str">
        <f t="array" ref="BC683">IF($I683="","",LET(
conf,AI683,
sameN,IF(conf="Low",1,IF(conf="Medium",2,3)),
duoMax,XLOOKUP($B683,Derived_Variables!$A:$A,Derived_Variables!$AI:$AI,4),
axisTol,XLOOKUP($B683,Derived_Variables!$A:$A,Derived_Variables!$W:$W,1),
IFS(
C683="A",
IF(
 OR(
   I683="NOT_READABLE",
   I683="BLURRY",
   AND(R683="20_20_20",I683="READABLE")
 ),
 "B",
 "A"
),
C683="B",
IF(AND(AV683&gt;=AW683,I683="READABLE"),"E","B"),
C683="E",
IF(OR(I683="SAME",AD683&lt;=axisTol),"F","E"),
C683="F",
IF(AX683&gt;=sameN,"G","F"),
C683="G",
IF(OR(I683="EQUAL",BB683=1,BA683&gt;=duoMax),"D","G"),
C683="D",
IF(AND(AV683&gt;=AW683,I683="READABLE"),"H","D"),
C683="H",
IF(OR(I683="SAME",AD683&lt;=axisTol),"I","H"),
C683="I",
IF(AX683&gt;=sameN,"J","I"),
C683="J",
IF(OR(I683="EQUAL",BB683=1,BA683&gt;=duoMax),"K","J"),
C683="K",
IF(
 I683="SAME",
 IF(
   XLOOKUP($B683,Derived_Variables!$A:$A,Derived_Variables!$Q:$Q,"None")="None",
   "END",
   "P"
 ),
 "K"
),
C683="P",
IF(OR(I683="READABLE",I683="SAME"),"Q","P"),
C683="Q",
IF(OR(I683="READABLE",I683="SAME"),"R","Q"),
C683="R",
IF(OR(I683="TARGET_OK",I683="SAME"),"END","R"),
TRUE,"END"
)))</f>
        <v/>
      </c>
      <c r="BD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 t="str">
        <f t="array" ref="BC684">IF($I684="","",LET(
conf,AI684,
sameN,IF(conf="Low",1,IF(conf="Medium",2,3)),
duoMax,XLOOKUP($B684,Derived_Variables!$A:$A,Derived_Variables!$AI:$AI,4),
axisTol,XLOOKUP($B684,Derived_Variables!$A:$A,Derived_Variables!$W:$W,1),
IFS(
C684="A",
IF(
 OR(
   I684="NOT_READABLE",
   I684="BLURRY",
   AND(R684="20_20_20",I684="READABLE")
 ),
 "B",
 "A"
),
C684="B",
IF(AND(AV684&gt;=AW684,I684="READABLE"),"E","B"),
C684="E",
IF(OR(I684="SAME",AD684&lt;=axisTol),"F","E"),
C684="F",
IF(AX684&gt;=sameN,"G","F"),
C684="G",
IF(OR(I684="EQUAL",BB684=1,BA684&gt;=duoMax),"D","G"),
C684="D",
IF(AND(AV684&gt;=AW684,I684="READABLE"),"H","D"),
C684="H",
IF(OR(I684="SAME",AD684&lt;=axisTol),"I","H"),
C684="I",
IF(AX684&gt;=sameN,"J","I"),
C684="J",
IF(OR(I684="EQUAL",BB684=1,BA684&gt;=duoMax),"K","J"),
C684="K",
IF(
 I684="SAME",
 IF(
   XLOOKUP($B684,Derived_Variables!$A:$A,Derived_Variables!$Q:$Q,"None")="None",
   "END",
   "P"
 ),
 "K"
),
C684="P",
IF(OR(I684="READABLE",I684="SAME"),"Q","P"),
C684="Q",
IF(OR(I684="READABLE",I684="SAME"),"R","Q"),
C684="R",
IF(OR(I684="TARGET_OK",I684="SAME"),"END","R"),
TRUE,"END"
)))</f>
        <v/>
      </c>
      <c r="BD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 t="str">
        <f t="array" ref="BC685">IF($I685="","",LET(
conf,AI685,
sameN,IF(conf="Low",1,IF(conf="Medium",2,3)),
duoMax,XLOOKUP($B685,Derived_Variables!$A:$A,Derived_Variables!$AI:$AI,4),
axisTol,XLOOKUP($B685,Derived_Variables!$A:$A,Derived_Variables!$W:$W,1),
IFS(
C685="A",
IF(
 OR(
   I685="NOT_READABLE",
   I685="BLURRY",
   AND(R685="20_20_20",I685="READABLE")
 ),
 "B",
 "A"
),
C685="B",
IF(AND(AV685&gt;=AW685,I685="READABLE"),"E","B"),
C685="E",
IF(OR(I685="SAME",AD685&lt;=axisTol),"F","E"),
C685="F",
IF(AX685&gt;=sameN,"G","F"),
C685="G",
IF(OR(I685="EQUAL",BB685=1,BA685&gt;=duoMax),"D","G"),
C685="D",
IF(AND(AV685&gt;=AW685,I685="READABLE"),"H","D"),
C685="H",
IF(OR(I685="SAME",AD685&lt;=axisTol),"I","H"),
C685="I",
IF(AX685&gt;=sameN,"J","I"),
C685="J",
IF(OR(I685="EQUAL",BB685=1,BA685&gt;=duoMax),"K","J"),
C685="K",
IF(
 I685="SAME",
 IF(
   XLOOKUP($B685,Derived_Variables!$A:$A,Derived_Variables!$Q:$Q,"None")="None",
   "END",
   "P"
 ),
 "K"
),
C685="P",
IF(OR(I685="READABLE",I685="SAME"),"Q","P"),
C685="Q",
IF(OR(I685="READABLE",I685="SAME"),"R","Q"),
C685="R",
IF(OR(I685="TARGET_OK",I685="SAME"),"END","R"),
TRUE,"END"
)))</f>
        <v/>
      </c>
      <c r="BD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 t="str">
        <f t="array" ref="BC686">IF($I686="","",LET(
conf,AI686,
sameN,IF(conf="Low",1,IF(conf="Medium",2,3)),
duoMax,XLOOKUP($B686,Derived_Variables!$A:$A,Derived_Variables!$AI:$AI,4),
axisTol,XLOOKUP($B686,Derived_Variables!$A:$A,Derived_Variables!$W:$W,1),
IFS(
C686="A",
IF(
 OR(
   I686="NOT_READABLE",
   I686="BLURRY",
   AND(R686="20_20_20",I686="READABLE")
 ),
 "B",
 "A"
),
C686="B",
IF(AND(AV686&gt;=AW686,I686="READABLE"),"E","B"),
C686="E",
IF(OR(I686="SAME",AD686&lt;=axisTol),"F","E"),
C686="F",
IF(AX686&gt;=sameN,"G","F"),
C686="G",
IF(OR(I686="EQUAL",BB686=1,BA686&gt;=duoMax),"D","G"),
C686="D",
IF(AND(AV686&gt;=AW686,I686="READABLE"),"H","D"),
C686="H",
IF(OR(I686="SAME",AD686&lt;=axisTol),"I","H"),
C686="I",
IF(AX686&gt;=sameN,"J","I"),
C686="J",
IF(OR(I686="EQUAL",BB686=1,BA686&gt;=duoMax),"K","J"),
C686="K",
IF(
 I686="SAME",
 IF(
   XLOOKUP($B686,Derived_Variables!$A:$A,Derived_Variables!$Q:$Q,"None")="None",
   "END",
   "P"
 ),
 "K"
),
C686="P",
IF(OR(I686="READABLE",I686="SAME"),"Q","P"),
C686="Q",
IF(OR(I686="READABLE",I686="SAME"),"R","Q"),
C686="R",
IF(OR(I686="TARGET_OK",I686="SAME"),"END","R"),
TRUE,"END"
)))</f>
        <v/>
      </c>
      <c r="BD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 t="str">
        <f t="array" ref="BC687">IF($I687="","",LET(
conf,AI687,
sameN,IF(conf="Low",1,IF(conf="Medium",2,3)),
duoMax,XLOOKUP($B687,Derived_Variables!$A:$A,Derived_Variables!$AI:$AI,4),
axisTol,XLOOKUP($B687,Derived_Variables!$A:$A,Derived_Variables!$W:$W,1),
IFS(
C687="A",
IF(
 OR(
   I687="NOT_READABLE",
   I687="BLURRY",
   AND(R687="20_20_20",I687="READABLE")
 ),
 "B",
 "A"
),
C687="B",
IF(AND(AV687&gt;=AW687,I687="READABLE"),"E","B"),
C687="E",
IF(OR(I687="SAME",AD687&lt;=axisTol),"F","E"),
C687="F",
IF(AX687&gt;=sameN,"G","F"),
C687="G",
IF(OR(I687="EQUAL",BB687=1,BA687&gt;=duoMax),"D","G"),
C687="D",
IF(AND(AV687&gt;=AW687,I687="READABLE"),"H","D"),
C687="H",
IF(OR(I687="SAME",AD687&lt;=axisTol),"I","H"),
C687="I",
IF(AX687&gt;=sameN,"J","I"),
C687="J",
IF(OR(I687="EQUAL",BB687=1,BA687&gt;=duoMax),"K","J"),
C687="K",
IF(
 I687="SAME",
 IF(
   XLOOKUP($B687,Derived_Variables!$A:$A,Derived_Variables!$Q:$Q,"None")="None",
   "END",
   "P"
 ),
 "K"
),
C687="P",
IF(OR(I687="READABLE",I687="SAME"),"Q","P"),
C687="Q",
IF(OR(I687="READABLE",I687="SAME"),"R","Q"),
C687="R",
IF(OR(I687="TARGET_OK",I687="SAME"),"END","R"),
TRUE,"END"
)))</f>
        <v/>
      </c>
      <c r="BD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 t="str">
        <f t="array" ref="BC688">IF($I688="","",LET(
conf,AI688,
sameN,IF(conf="Low",1,IF(conf="Medium",2,3)),
duoMax,XLOOKUP($B688,Derived_Variables!$A:$A,Derived_Variables!$AI:$AI,4),
axisTol,XLOOKUP($B688,Derived_Variables!$A:$A,Derived_Variables!$W:$W,1),
IFS(
C688="A",
IF(
 OR(
   I688="NOT_READABLE",
   I688="BLURRY",
   AND(R688="20_20_20",I688="READABLE")
 ),
 "B",
 "A"
),
C688="B",
IF(AND(AV688&gt;=AW688,I688="READABLE"),"E","B"),
C688="E",
IF(OR(I688="SAME",AD688&lt;=axisTol),"F","E"),
C688="F",
IF(AX688&gt;=sameN,"G","F"),
C688="G",
IF(OR(I688="EQUAL",BB688=1,BA688&gt;=duoMax),"D","G"),
C688="D",
IF(AND(AV688&gt;=AW688,I688="READABLE"),"H","D"),
C688="H",
IF(OR(I688="SAME",AD688&lt;=axisTol),"I","H"),
C688="I",
IF(AX688&gt;=sameN,"J","I"),
C688="J",
IF(OR(I688="EQUAL",BB688=1,BA688&gt;=duoMax),"K","J"),
C688="K",
IF(
 I688="SAME",
 IF(
   XLOOKUP($B688,Derived_Variables!$A:$A,Derived_Variables!$Q:$Q,"None")="None",
   "END",
   "P"
 ),
 "K"
),
C688="P",
IF(OR(I688="READABLE",I688="SAME"),"Q","P"),
C688="Q",
IF(OR(I688="READABLE",I688="SAME"),"R","Q"),
C688="R",
IF(OR(I688="TARGET_OK",I688="SAME"),"END","R"),
TRUE,"END"
)))</f>
        <v/>
      </c>
      <c r="BD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 t="str">
        <f t="array" ref="BC689">IF($I689="","",LET(
conf,AI689,
sameN,IF(conf="Low",1,IF(conf="Medium",2,3)),
duoMax,XLOOKUP($B689,Derived_Variables!$A:$A,Derived_Variables!$AI:$AI,4),
axisTol,XLOOKUP($B689,Derived_Variables!$A:$A,Derived_Variables!$W:$W,1),
IFS(
C689="A",
IF(
 OR(
   I689="NOT_READABLE",
   I689="BLURRY",
   AND(R689="20_20_20",I689="READABLE")
 ),
 "B",
 "A"
),
C689="B",
IF(AND(AV689&gt;=AW689,I689="READABLE"),"E","B"),
C689="E",
IF(OR(I689="SAME",AD689&lt;=axisTol),"F","E"),
C689="F",
IF(AX689&gt;=sameN,"G","F"),
C689="G",
IF(OR(I689="EQUAL",BB689=1,BA689&gt;=duoMax),"D","G"),
C689="D",
IF(AND(AV689&gt;=AW689,I689="READABLE"),"H","D"),
C689="H",
IF(OR(I689="SAME",AD689&lt;=axisTol),"I","H"),
C689="I",
IF(AX689&gt;=sameN,"J","I"),
C689="J",
IF(OR(I689="EQUAL",BB689=1,BA689&gt;=duoMax),"K","J"),
C689="K",
IF(
 I689="SAME",
 IF(
   XLOOKUP($B689,Derived_Variables!$A:$A,Derived_Variables!$Q:$Q,"None")="None",
   "END",
   "P"
 ),
 "K"
),
C689="P",
IF(OR(I689="READABLE",I689="SAME"),"Q","P"),
C689="Q",
IF(OR(I689="READABLE",I689="SAME"),"R","Q"),
C689="R",
IF(OR(I689="TARGET_OK",I689="SAME"),"END","R"),
TRUE,"END"
)))</f>
        <v/>
      </c>
      <c r="BD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 t="str">
        <f t="array" ref="BC690">IF($I690="","",LET(
conf,AI690,
sameN,IF(conf="Low",1,IF(conf="Medium",2,3)),
duoMax,XLOOKUP($B690,Derived_Variables!$A:$A,Derived_Variables!$AI:$AI,4),
axisTol,XLOOKUP($B690,Derived_Variables!$A:$A,Derived_Variables!$W:$W,1),
IFS(
C690="A",
IF(
 OR(
   I690="NOT_READABLE",
   I690="BLURRY",
   AND(R690="20_20_20",I690="READABLE")
 ),
 "B",
 "A"
),
C690="B",
IF(AND(AV690&gt;=AW690,I690="READABLE"),"E","B"),
C690="E",
IF(OR(I690="SAME",AD690&lt;=axisTol),"F","E"),
C690="F",
IF(AX690&gt;=sameN,"G","F"),
C690="G",
IF(OR(I690="EQUAL",BB690=1,BA690&gt;=duoMax),"D","G"),
C690="D",
IF(AND(AV690&gt;=AW690,I690="READABLE"),"H","D"),
C690="H",
IF(OR(I690="SAME",AD690&lt;=axisTol),"I","H"),
C690="I",
IF(AX690&gt;=sameN,"J","I"),
C690="J",
IF(OR(I690="EQUAL",BB690=1,BA690&gt;=duoMax),"K","J"),
C690="K",
IF(
 I690="SAME",
 IF(
   XLOOKUP($B690,Derived_Variables!$A:$A,Derived_Variables!$Q:$Q,"None")="None",
   "END",
   "P"
 ),
 "K"
),
C690="P",
IF(OR(I690="READABLE",I690="SAME"),"Q","P"),
C690="Q",
IF(OR(I690="READABLE",I690="SAME"),"R","Q"),
C690="R",
IF(OR(I690="TARGET_OK",I690="SAME"),"END","R"),
TRUE,"END"
)))</f>
        <v/>
      </c>
      <c r="BD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 t="str">
        <f t="array" ref="BC691">IF($I691="","",LET(
conf,AI691,
sameN,IF(conf="Low",1,IF(conf="Medium",2,3)),
duoMax,XLOOKUP($B691,Derived_Variables!$A:$A,Derived_Variables!$AI:$AI,4),
axisTol,XLOOKUP($B691,Derived_Variables!$A:$A,Derived_Variables!$W:$W,1),
IFS(
C691="A",
IF(
 OR(
   I691="NOT_READABLE",
   I691="BLURRY",
   AND(R691="20_20_20",I691="READABLE")
 ),
 "B",
 "A"
),
C691="B",
IF(AND(AV691&gt;=AW691,I691="READABLE"),"E","B"),
C691="E",
IF(OR(I691="SAME",AD691&lt;=axisTol),"F","E"),
C691="F",
IF(AX691&gt;=sameN,"G","F"),
C691="G",
IF(OR(I691="EQUAL",BB691=1,BA691&gt;=duoMax),"D","G"),
C691="D",
IF(AND(AV691&gt;=AW691,I691="READABLE"),"H","D"),
C691="H",
IF(OR(I691="SAME",AD691&lt;=axisTol),"I","H"),
C691="I",
IF(AX691&gt;=sameN,"J","I"),
C691="J",
IF(OR(I691="EQUAL",BB691=1,BA691&gt;=duoMax),"K","J"),
C691="K",
IF(
 I691="SAME",
 IF(
   XLOOKUP($B691,Derived_Variables!$A:$A,Derived_Variables!$Q:$Q,"None")="None",
   "END",
   "P"
 ),
 "K"
),
C691="P",
IF(OR(I691="READABLE",I691="SAME"),"Q","P"),
C691="Q",
IF(OR(I691="READABLE",I691="SAME"),"R","Q"),
C691="R",
IF(OR(I691="TARGET_OK",I691="SAME"),"END","R"),
TRUE,"END"
)))</f>
        <v/>
      </c>
      <c r="BD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 t="str">
        <f t="array" ref="BC692">IF($I692="","",LET(
conf,AI692,
sameN,IF(conf="Low",1,IF(conf="Medium",2,3)),
duoMax,XLOOKUP($B692,Derived_Variables!$A:$A,Derived_Variables!$AI:$AI,4),
axisTol,XLOOKUP($B692,Derived_Variables!$A:$A,Derived_Variables!$W:$W,1),
IFS(
C692="A",
IF(
 OR(
   I692="NOT_READABLE",
   I692="BLURRY",
   AND(R692="20_20_20",I692="READABLE")
 ),
 "B",
 "A"
),
C692="B",
IF(AND(AV692&gt;=AW692,I692="READABLE"),"E","B"),
C692="E",
IF(OR(I692="SAME",AD692&lt;=axisTol),"F","E"),
C692="F",
IF(AX692&gt;=sameN,"G","F"),
C692="G",
IF(OR(I692="EQUAL",BB692=1,BA692&gt;=duoMax),"D","G"),
C692="D",
IF(AND(AV692&gt;=AW692,I692="READABLE"),"H","D"),
C692="H",
IF(OR(I692="SAME",AD692&lt;=axisTol),"I","H"),
C692="I",
IF(AX692&gt;=sameN,"J","I"),
C692="J",
IF(OR(I692="EQUAL",BB692=1,BA692&gt;=duoMax),"K","J"),
C692="K",
IF(
 I692="SAME",
 IF(
   XLOOKUP($B692,Derived_Variables!$A:$A,Derived_Variables!$Q:$Q,"None")="None",
   "END",
   "P"
 ),
 "K"
),
C692="P",
IF(OR(I692="READABLE",I692="SAME"),"Q","P"),
C692="Q",
IF(OR(I692="READABLE",I692="SAME"),"R","Q"),
C692="R",
IF(OR(I692="TARGET_OK",I692="SAME"),"END","R"),
TRUE,"END"
)))</f>
        <v/>
      </c>
      <c r="BD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 t="str">
        <f t="array" ref="BC693">IF($I693="","",LET(
conf,AI693,
sameN,IF(conf="Low",1,IF(conf="Medium",2,3)),
duoMax,XLOOKUP($B693,Derived_Variables!$A:$A,Derived_Variables!$AI:$AI,4),
axisTol,XLOOKUP($B693,Derived_Variables!$A:$A,Derived_Variables!$W:$W,1),
IFS(
C693="A",
IF(
 OR(
   I693="NOT_READABLE",
   I693="BLURRY",
   AND(R693="20_20_20",I693="READABLE")
 ),
 "B",
 "A"
),
C693="B",
IF(AND(AV693&gt;=AW693,I693="READABLE"),"E","B"),
C693="E",
IF(OR(I693="SAME",AD693&lt;=axisTol),"F","E"),
C693="F",
IF(AX693&gt;=sameN,"G","F"),
C693="G",
IF(OR(I693="EQUAL",BB693=1,BA693&gt;=duoMax),"D","G"),
C693="D",
IF(AND(AV693&gt;=AW693,I693="READABLE"),"H","D"),
C693="H",
IF(OR(I693="SAME",AD693&lt;=axisTol),"I","H"),
C693="I",
IF(AX693&gt;=sameN,"J","I"),
C693="J",
IF(OR(I693="EQUAL",BB693=1,BA693&gt;=duoMax),"K","J"),
C693="K",
IF(
 I693="SAME",
 IF(
   XLOOKUP($B693,Derived_Variables!$A:$A,Derived_Variables!$Q:$Q,"None")="None",
   "END",
   "P"
 ),
 "K"
),
C693="P",
IF(OR(I693="READABLE",I693="SAME"),"Q","P"),
C693="Q",
IF(OR(I693="READABLE",I693="SAME"),"R","Q"),
C693="R",
IF(OR(I693="TARGET_OK",I693="SAME"),"END","R"),
TRUE,"END"
)))</f>
        <v/>
      </c>
      <c r="BD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 t="str">
        <f t="array" ref="BC694">IF($I694="","",LET(
conf,AI694,
sameN,IF(conf="Low",1,IF(conf="Medium",2,3)),
duoMax,XLOOKUP($B694,Derived_Variables!$A:$A,Derived_Variables!$AI:$AI,4),
axisTol,XLOOKUP($B694,Derived_Variables!$A:$A,Derived_Variables!$W:$W,1),
IFS(
C694="A",
IF(
 OR(
   I694="NOT_READABLE",
   I694="BLURRY",
   AND(R694="20_20_20",I694="READABLE")
 ),
 "B",
 "A"
),
C694="B",
IF(AND(AV694&gt;=AW694,I694="READABLE"),"E","B"),
C694="E",
IF(OR(I694="SAME",AD694&lt;=axisTol),"F","E"),
C694="F",
IF(AX694&gt;=sameN,"G","F"),
C694="G",
IF(OR(I694="EQUAL",BB694=1,BA694&gt;=duoMax),"D","G"),
C694="D",
IF(AND(AV694&gt;=AW694,I694="READABLE"),"H","D"),
C694="H",
IF(OR(I694="SAME",AD694&lt;=axisTol),"I","H"),
C694="I",
IF(AX694&gt;=sameN,"J","I"),
C694="J",
IF(OR(I694="EQUAL",BB694=1,BA694&gt;=duoMax),"K","J"),
C694="K",
IF(
 I694="SAME",
 IF(
   XLOOKUP($B694,Derived_Variables!$A:$A,Derived_Variables!$Q:$Q,"None")="None",
   "END",
   "P"
 ),
 "K"
),
C694="P",
IF(OR(I694="READABLE",I694="SAME"),"Q","P"),
C694="Q",
IF(OR(I694="READABLE",I694="SAME"),"R","Q"),
C694="R",
IF(OR(I694="TARGET_OK",I694="SAME"),"END","R"),
TRUE,"END"
)))</f>
        <v/>
      </c>
      <c r="BD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 t="str">
        <f t="array" ref="BC695">IF($I695="","",LET(
conf,AI695,
sameN,IF(conf="Low",1,IF(conf="Medium",2,3)),
duoMax,XLOOKUP($B695,Derived_Variables!$A:$A,Derived_Variables!$AI:$AI,4),
axisTol,XLOOKUP($B695,Derived_Variables!$A:$A,Derived_Variables!$W:$W,1),
IFS(
C695="A",
IF(
 OR(
   I695="NOT_READABLE",
   I695="BLURRY",
   AND(R695="20_20_20",I695="READABLE")
 ),
 "B",
 "A"
),
C695="B",
IF(AND(AV695&gt;=AW695,I695="READABLE"),"E","B"),
C695="E",
IF(OR(I695="SAME",AD695&lt;=axisTol),"F","E"),
C695="F",
IF(AX695&gt;=sameN,"G","F"),
C695="G",
IF(OR(I695="EQUAL",BB695=1,BA695&gt;=duoMax),"D","G"),
C695="D",
IF(AND(AV695&gt;=AW695,I695="READABLE"),"H","D"),
C695="H",
IF(OR(I695="SAME",AD695&lt;=axisTol),"I","H"),
C695="I",
IF(AX695&gt;=sameN,"J","I"),
C695="J",
IF(OR(I695="EQUAL",BB695=1,BA695&gt;=duoMax),"K","J"),
C695="K",
IF(
 I695="SAME",
 IF(
   XLOOKUP($B695,Derived_Variables!$A:$A,Derived_Variables!$Q:$Q,"None")="None",
   "END",
   "P"
 ),
 "K"
),
C695="P",
IF(OR(I695="READABLE",I695="SAME"),"Q","P"),
C695="Q",
IF(OR(I695="READABLE",I695="SAME"),"R","Q"),
C695="R",
IF(OR(I695="TARGET_OK",I695="SAME"),"END","R"),
TRUE,"END"
)))</f>
        <v/>
      </c>
      <c r="BD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 t="str">
        <f t="array" ref="BC696">IF($I696="","",LET(
conf,AI696,
sameN,IF(conf="Low",1,IF(conf="Medium",2,3)),
duoMax,XLOOKUP($B696,Derived_Variables!$A:$A,Derived_Variables!$AI:$AI,4),
axisTol,XLOOKUP($B696,Derived_Variables!$A:$A,Derived_Variables!$W:$W,1),
IFS(
C696="A",
IF(
 OR(
   I696="NOT_READABLE",
   I696="BLURRY",
   AND(R696="20_20_20",I696="READABLE")
 ),
 "B",
 "A"
),
C696="B",
IF(AND(AV696&gt;=AW696,I696="READABLE"),"E","B"),
C696="E",
IF(OR(I696="SAME",AD696&lt;=axisTol),"F","E"),
C696="F",
IF(AX696&gt;=sameN,"G","F"),
C696="G",
IF(OR(I696="EQUAL",BB696=1,BA696&gt;=duoMax),"D","G"),
C696="D",
IF(AND(AV696&gt;=AW696,I696="READABLE"),"H","D"),
C696="H",
IF(OR(I696="SAME",AD696&lt;=axisTol),"I","H"),
C696="I",
IF(AX696&gt;=sameN,"J","I"),
C696="J",
IF(OR(I696="EQUAL",BB696=1,BA696&gt;=duoMax),"K","J"),
C696="K",
IF(
 I696="SAME",
 IF(
   XLOOKUP($B696,Derived_Variables!$A:$A,Derived_Variables!$Q:$Q,"None")="None",
   "END",
   "P"
 ),
 "K"
),
C696="P",
IF(OR(I696="READABLE",I696="SAME"),"Q","P"),
C696="Q",
IF(OR(I696="READABLE",I696="SAME"),"R","Q"),
C696="R",
IF(OR(I696="TARGET_OK",I696="SAME"),"END","R"),
TRUE,"END"
)))</f>
        <v/>
      </c>
      <c r="BD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 t="str">
        <f t="array" ref="BC697">IF($I697="","",LET(
conf,AI697,
sameN,IF(conf="Low",1,IF(conf="Medium",2,3)),
duoMax,XLOOKUP($B697,Derived_Variables!$A:$A,Derived_Variables!$AI:$AI,4),
axisTol,XLOOKUP($B697,Derived_Variables!$A:$A,Derived_Variables!$W:$W,1),
IFS(
C697="A",
IF(
 OR(
   I697="NOT_READABLE",
   I697="BLURRY",
   AND(R697="20_20_20",I697="READABLE")
 ),
 "B",
 "A"
),
C697="B",
IF(AND(AV697&gt;=AW697,I697="READABLE"),"E","B"),
C697="E",
IF(OR(I697="SAME",AD697&lt;=axisTol),"F","E"),
C697="F",
IF(AX697&gt;=sameN,"G","F"),
C697="G",
IF(OR(I697="EQUAL",BB697=1,BA697&gt;=duoMax),"D","G"),
C697="D",
IF(AND(AV697&gt;=AW697,I697="READABLE"),"H","D"),
C697="H",
IF(OR(I697="SAME",AD697&lt;=axisTol),"I","H"),
C697="I",
IF(AX697&gt;=sameN,"J","I"),
C697="J",
IF(OR(I697="EQUAL",BB697=1,BA697&gt;=duoMax),"K","J"),
C697="K",
IF(
 I697="SAME",
 IF(
   XLOOKUP($B697,Derived_Variables!$A:$A,Derived_Variables!$Q:$Q,"None")="None",
   "END",
   "P"
 ),
 "K"
),
C697="P",
IF(OR(I697="READABLE",I697="SAME"),"Q","P"),
C697="Q",
IF(OR(I697="READABLE",I697="SAME"),"R","Q"),
C697="R",
IF(OR(I697="TARGET_OK",I697="SAME"),"END","R"),
TRUE,"END"
)))</f>
        <v/>
      </c>
      <c r="BD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 t="str">
        <f t="array" ref="BC698">IF($I698="","",LET(
conf,AI698,
sameN,IF(conf="Low",1,IF(conf="Medium",2,3)),
duoMax,XLOOKUP($B698,Derived_Variables!$A:$A,Derived_Variables!$AI:$AI,4),
axisTol,XLOOKUP($B698,Derived_Variables!$A:$A,Derived_Variables!$W:$W,1),
IFS(
C698="A",
IF(
 OR(
   I698="NOT_READABLE",
   I698="BLURRY",
   AND(R698="20_20_20",I698="READABLE")
 ),
 "B",
 "A"
),
C698="B",
IF(AND(AV698&gt;=AW698,I698="READABLE"),"E","B"),
C698="E",
IF(OR(I698="SAME",AD698&lt;=axisTol),"F","E"),
C698="F",
IF(AX698&gt;=sameN,"G","F"),
C698="G",
IF(OR(I698="EQUAL",BB698=1,BA698&gt;=duoMax),"D","G"),
C698="D",
IF(AND(AV698&gt;=AW698,I698="READABLE"),"H","D"),
C698="H",
IF(OR(I698="SAME",AD698&lt;=axisTol),"I","H"),
C698="I",
IF(AX698&gt;=sameN,"J","I"),
C698="J",
IF(OR(I698="EQUAL",BB698=1,BA698&gt;=duoMax),"K","J"),
C698="K",
IF(
 I698="SAME",
 IF(
   XLOOKUP($B698,Derived_Variables!$A:$A,Derived_Variables!$Q:$Q,"None")="None",
   "END",
   "P"
 ),
 "K"
),
C698="P",
IF(OR(I698="READABLE",I698="SAME"),"Q","P"),
C698="Q",
IF(OR(I698="READABLE",I698="SAME"),"R","Q"),
C698="R",
IF(OR(I698="TARGET_OK",I698="SAME"),"END","R"),
TRUE,"END"
)))</f>
        <v/>
      </c>
      <c r="BD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 t="str">
        <f t="array" ref="BC699">IF($I699="","",LET(
conf,AI699,
sameN,IF(conf="Low",1,IF(conf="Medium",2,3)),
duoMax,XLOOKUP($B699,Derived_Variables!$A:$A,Derived_Variables!$AI:$AI,4),
axisTol,XLOOKUP($B699,Derived_Variables!$A:$A,Derived_Variables!$W:$W,1),
IFS(
C699="A",
IF(
 OR(
   I699="NOT_READABLE",
   I699="BLURRY",
   AND(R699="20_20_20",I699="READABLE")
 ),
 "B",
 "A"
),
C699="B",
IF(AND(AV699&gt;=AW699,I699="READABLE"),"E","B"),
C699="E",
IF(OR(I699="SAME",AD699&lt;=axisTol),"F","E"),
C699="F",
IF(AX699&gt;=sameN,"G","F"),
C699="G",
IF(OR(I699="EQUAL",BB699=1,BA699&gt;=duoMax),"D","G"),
C699="D",
IF(AND(AV699&gt;=AW699,I699="READABLE"),"H","D"),
C699="H",
IF(OR(I699="SAME",AD699&lt;=axisTol),"I","H"),
C699="I",
IF(AX699&gt;=sameN,"J","I"),
C699="J",
IF(OR(I699="EQUAL",BB699=1,BA699&gt;=duoMax),"K","J"),
C699="K",
IF(
 I699="SAME",
 IF(
   XLOOKUP($B699,Derived_Variables!$A:$A,Derived_Variables!$Q:$Q,"None")="None",
   "END",
   "P"
 ),
 "K"
),
C699="P",
IF(OR(I699="READABLE",I699="SAME"),"Q","P"),
C699="Q",
IF(OR(I699="READABLE",I699="SAME"),"R","Q"),
C699="R",
IF(OR(I699="TARGET_OK",I699="SAME"),"END","R"),
TRUE,"END"
)))</f>
        <v/>
      </c>
      <c r="BD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 t="str">
        <f t="array" ref="BC700">IF($I700="","",LET(
conf,AI700,
sameN,IF(conf="Low",1,IF(conf="Medium",2,3)),
duoMax,XLOOKUP($B700,Derived_Variables!$A:$A,Derived_Variables!$AI:$AI,4),
axisTol,XLOOKUP($B700,Derived_Variables!$A:$A,Derived_Variables!$W:$W,1),
IFS(
C700="A",
IF(
 OR(
   I700="NOT_READABLE",
   I700="BLURRY",
   AND(R700="20_20_20",I700="READABLE")
 ),
 "B",
 "A"
),
C700="B",
IF(AND(AV700&gt;=AW700,I700="READABLE"),"E","B"),
C700="E",
IF(OR(I700="SAME",AD700&lt;=axisTol),"F","E"),
C700="F",
IF(AX700&gt;=sameN,"G","F"),
C700="G",
IF(OR(I700="EQUAL",BB700=1,BA700&gt;=duoMax),"D","G"),
C700="D",
IF(AND(AV700&gt;=AW700,I700="READABLE"),"H","D"),
C700="H",
IF(OR(I700="SAME",AD700&lt;=axisTol),"I","H"),
C700="I",
IF(AX700&gt;=sameN,"J","I"),
C700="J",
IF(OR(I700="EQUAL",BB700=1,BA700&gt;=duoMax),"K","J"),
C700="K",
IF(
 I700="SAME",
 IF(
   XLOOKUP($B700,Derived_Variables!$A:$A,Derived_Variables!$Q:$Q,"None")="None",
   "END",
   "P"
 ),
 "K"
),
C700="P",
IF(OR(I700="READABLE",I700="SAME"),"Q","P"),
C700="Q",
IF(OR(I700="READABLE",I700="SAME"),"R","Q"),
C700="R",
IF(OR(I700="TARGET_OK",I700="SAME"),"END","R"),
TRUE,"END"
)))</f>
        <v/>
      </c>
      <c r="BD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 t="str">
        <f t="array" ref="BC701">IF($I701="","",LET(
conf,AI701,
sameN,IF(conf="Low",1,IF(conf="Medium",2,3)),
duoMax,XLOOKUP($B701,Derived_Variables!$A:$A,Derived_Variables!$AI:$AI,4),
axisTol,XLOOKUP($B701,Derived_Variables!$A:$A,Derived_Variables!$W:$W,1),
IFS(
C701="A",
IF(
 OR(
   I701="NOT_READABLE",
   I701="BLURRY",
   AND(R701="20_20_20",I701="READABLE")
 ),
 "B",
 "A"
),
C701="B",
IF(AND(AV701&gt;=AW701,I701="READABLE"),"E","B"),
C701="E",
IF(OR(I701="SAME",AD701&lt;=axisTol),"F","E"),
C701="F",
IF(AX701&gt;=sameN,"G","F"),
C701="G",
IF(OR(I701="EQUAL",BB701=1,BA701&gt;=duoMax),"D","G"),
C701="D",
IF(AND(AV701&gt;=AW701,I701="READABLE"),"H","D"),
C701="H",
IF(OR(I701="SAME",AD701&lt;=axisTol),"I","H"),
C701="I",
IF(AX701&gt;=sameN,"J","I"),
C701="J",
IF(OR(I701="EQUAL",BB701=1,BA701&gt;=duoMax),"K","J"),
C701="K",
IF(
 I701="SAME",
 IF(
   XLOOKUP($B701,Derived_Variables!$A:$A,Derived_Variables!$Q:$Q,"None")="None",
   "END",
   "P"
 ),
 "K"
),
C701="P",
IF(OR(I701="READABLE",I701="SAME"),"Q","P"),
C701="Q",
IF(OR(I701="READABLE",I701="SAME"),"R","Q"),
C701="R",
IF(OR(I701="TARGET_OK",I701="SAME"),"END","R"),
TRUE,"END"
)))</f>
        <v/>
      </c>
      <c r="BD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 t="str">
        <f t="array" ref="BC702">IF($I702="","",LET(
conf,AI702,
sameN,IF(conf="Low",1,IF(conf="Medium",2,3)),
duoMax,XLOOKUP($B702,Derived_Variables!$A:$A,Derived_Variables!$AI:$AI,4),
axisTol,XLOOKUP($B702,Derived_Variables!$A:$A,Derived_Variables!$W:$W,1),
IFS(
C702="A",
IF(
 OR(
   I702="NOT_READABLE",
   I702="BLURRY",
   AND(R702="20_20_20",I702="READABLE")
 ),
 "B",
 "A"
),
C702="B",
IF(AND(AV702&gt;=AW702,I702="READABLE"),"E","B"),
C702="E",
IF(OR(I702="SAME",AD702&lt;=axisTol),"F","E"),
C702="F",
IF(AX702&gt;=sameN,"G","F"),
C702="G",
IF(OR(I702="EQUAL",BB702=1,BA702&gt;=duoMax),"D","G"),
C702="D",
IF(AND(AV702&gt;=AW702,I702="READABLE"),"H","D"),
C702="H",
IF(OR(I702="SAME",AD702&lt;=axisTol),"I","H"),
C702="I",
IF(AX702&gt;=sameN,"J","I"),
C702="J",
IF(OR(I702="EQUAL",BB702=1,BA702&gt;=duoMax),"K","J"),
C702="K",
IF(
 I702="SAME",
 IF(
   XLOOKUP($B702,Derived_Variables!$A:$A,Derived_Variables!$Q:$Q,"None")="None",
   "END",
   "P"
 ),
 "K"
),
C702="P",
IF(OR(I702="READABLE",I702="SAME"),"Q","P"),
C702="Q",
IF(OR(I702="READABLE",I702="SAME"),"R","Q"),
C702="R",
IF(OR(I702="TARGET_OK",I702="SAME"),"END","R"),
TRUE,"END"
)))</f>
        <v/>
      </c>
      <c r="BD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 t="str">
        <f t="array" ref="BC703">IF($I703="","",LET(
conf,AI703,
sameN,IF(conf="Low",1,IF(conf="Medium",2,3)),
duoMax,XLOOKUP($B703,Derived_Variables!$A:$A,Derived_Variables!$AI:$AI,4),
axisTol,XLOOKUP($B703,Derived_Variables!$A:$A,Derived_Variables!$W:$W,1),
IFS(
C703="A",
IF(
 OR(
   I703="NOT_READABLE",
   I703="BLURRY",
   AND(R703="20_20_20",I703="READABLE")
 ),
 "B",
 "A"
),
C703="B",
IF(AND(AV703&gt;=AW703,I703="READABLE"),"E","B"),
C703="E",
IF(OR(I703="SAME",AD703&lt;=axisTol),"F","E"),
C703="F",
IF(AX703&gt;=sameN,"G","F"),
C703="G",
IF(OR(I703="EQUAL",BB703=1,BA703&gt;=duoMax),"D","G"),
C703="D",
IF(AND(AV703&gt;=AW703,I703="READABLE"),"H","D"),
C703="H",
IF(OR(I703="SAME",AD703&lt;=axisTol),"I","H"),
C703="I",
IF(AX703&gt;=sameN,"J","I"),
C703="J",
IF(OR(I703="EQUAL",BB703=1,BA703&gt;=duoMax),"K","J"),
C703="K",
IF(
 I703="SAME",
 IF(
   XLOOKUP($B703,Derived_Variables!$A:$A,Derived_Variables!$Q:$Q,"None")="None",
   "END",
   "P"
 ),
 "K"
),
C703="P",
IF(OR(I703="READABLE",I703="SAME"),"Q","P"),
C703="Q",
IF(OR(I703="READABLE",I703="SAME"),"R","Q"),
C703="R",
IF(OR(I703="TARGET_OK",I703="SAME"),"END","R"),
TRUE,"END"
)))</f>
        <v/>
      </c>
      <c r="BD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 t="str">
        <f t="array" ref="BC704">IF($I704="","",LET(
conf,AI704,
sameN,IF(conf="Low",1,IF(conf="Medium",2,3)),
duoMax,XLOOKUP($B704,Derived_Variables!$A:$A,Derived_Variables!$AI:$AI,4),
axisTol,XLOOKUP($B704,Derived_Variables!$A:$A,Derived_Variables!$W:$W,1),
IFS(
C704="A",
IF(
 OR(
   I704="NOT_READABLE",
   I704="BLURRY",
   AND(R704="20_20_20",I704="READABLE")
 ),
 "B",
 "A"
),
C704="B",
IF(AND(AV704&gt;=AW704,I704="READABLE"),"E","B"),
C704="E",
IF(OR(I704="SAME",AD704&lt;=axisTol),"F","E"),
C704="F",
IF(AX704&gt;=sameN,"G","F"),
C704="G",
IF(OR(I704="EQUAL",BB704=1,BA704&gt;=duoMax),"D","G"),
C704="D",
IF(AND(AV704&gt;=AW704,I704="READABLE"),"H","D"),
C704="H",
IF(OR(I704="SAME",AD704&lt;=axisTol),"I","H"),
C704="I",
IF(AX704&gt;=sameN,"J","I"),
C704="J",
IF(OR(I704="EQUAL",BB704=1,BA704&gt;=duoMax),"K","J"),
C704="K",
IF(
 I704="SAME",
 IF(
   XLOOKUP($B704,Derived_Variables!$A:$A,Derived_Variables!$Q:$Q,"None")="None",
   "END",
   "P"
 ),
 "K"
),
C704="P",
IF(OR(I704="READABLE",I704="SAME"),"Q","P"),
C704="Q",
IF(OR(I704="READABLE",I704="SAME"),"R","Q"),
C704="R",
IF(OR(I704="TARGET_OK",I704="SAME"),"END","R"),
TRUE,"END"
)))</f>
        <v/>
      </c>
      <c r="BD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 t="str">
        <f t="array" ref="BC705">IF($I705="","",LET(
conf,AI705,
sameN,IF(conf="Low",1,IF(conf="Medium",2,3)),
duoMax,XLOOKUP($B705,Derived_Variables!$A:$A,Derived_Variables!$AI:$AI,4),
axisTol,XLOOKUP($B705,Derived_Variables!$A:$A,Derived_Variables!$W:$W,1),
IFS(
C705="A",
IF(
 OR(
   I705="NOT_READABLE",
   I705="BLURRY",
   AND(R705="20_20_20",I705="READABLE")
 ),
 "B",
 "A"
),
C705="B",
IF(AND(AV705&gt;=AW705,I705="READABLE"),"E","B"),
C705="E",
IF(OR(I705="SAME",AD705&lt;=axisTol),"F","E"),
C705="F",
IF(AX705&gt;=sameN,"G","F"),
C705="G",
IF(OR(I705="EQUAL",BB705=1,BA705&gt;=duoMax),"D","G"),
C705="D",
IF(AND(AV705&gt;=AW705,I705="READABLE"),"H","D"),
C705="H",
IF(OR(I705="SAME",AD705&lt;=axisTol),"I","H"),
C705="I",
IF(AX705&gt;=sameN,"J","I"),
C705="J",
IF(OR(I705="EQUAL",BB705=1,BA705&gt;=duoMax),"K","J"),
C705="K",
IF(
 I705="SAME",
 IF(
   XLOOKUP($B705,Derived_Variables!$A:$A,Derived_Variables!$Q:$Q,"None")="None",
   "END",
   "P"
 ),
 "K"
),
C705="P",
IF(OR(I705="READABLE",I705="SAME"),"Q","P"),
C705="Q",
IF(OR(I705="READABLE",I705="SAME"),"R","Q"),
C705="R",
IF(OR(I705="TARGET_OK",I705="SAME"),"END","R"),
TRUE,"END"
)))</f>
        <v/>
      </c>
      <c r="BD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 t="str">
        <f t="array" ref="BC706">IF($I706="","",LET(
conf,AI706,
sameN,IF(conf="Low",1,IF(conf="Medium",2,3)),
duoMax,XLOOKUP($B706,Derived_Variables!$A:$A,Derived_Variables!$AI:$AI,4),
axisTol,XLOOKUP($B706,Derived_Variables!$A:$A,Derived_Variables!$W:$W,1),
IFS(
C706="A",
IF(
 OR(
   I706="NOT_READABLE",
   I706="BLURRY",
   AND(R706="20_20_20",I706="READABLE")
 ),
 "B",
 "A"
),
C706="B",
IF(AND(AV706&gt;=AW706,I706="READABLE"),"E","B"),
C706="E",
IF(OR(I706="SAME",AD706&lt;=axisTol),"F","E"),
C706="F",
IF(AX706&gt;=sameN,"G","F"),
C706="G",
IF(OR(I706="EQUAL",BB706=1,BA706&gt;=duoMax),"D","G"),
C706="D",
IF(AND(AV706&gt;=AW706,I706="READABLE"),"H","D"),
C706="H",
IF(OR(I706="SAME",AD706&lt;=axisTol),"I","H"),
C706="I",
IF(AX706&gt;=sameN,"J","I"),
C706="J",
IF(OR(I706="EQUAL",BB706=1,BA706&gt;=duoMax),"K","J"),
C706="K",
IF(
 I706="SAME",
 IF(
   XLOOKUP($B706,Derived_Variables!$A:$A,Derived_Variables!$Q:$Q,"None")="None",
   "END",
   "P"
 ),
 "K"
),
C706="P",
IF(OR(I706="READABLE",I706="SAME"),"Q","P"),
C706="Q",
IF(OR(I706="READABLE",I706="SAME"),"R","Q"),
C706="R",
IF(OR(I706="TARGET_OK",I706="SAME"),"END","R"),
TRUE,"END"
)))</f>
        <v/>
      </c>
      <c r="BD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 t="str">
        <f t="array" ref="BC707">IF($I707="","",LET(
conf,AI707,
sameN,IF(conf="Low",1,IF(conf="Medium",2,3)),
duoMax,XLOOKUP($B707,Derived_Variables!$A:$A,Derived_Variables!$AI:$AI,4),
axisTol,XLOOKUP($B707,Derived_Variables!$A:$A,Derived_Variables!$W:$W,1),
IFS(
C707="A",
IF(
 OR(
   I707="NOT_READABLE",
   I707="BLURRY",
   AND(R707="20_20_20",I707="READABLE")
 ),
 "B",
 "A"
),
C707="B",
IF(AND(AV707&gt;=AW707,I707="READABLE"),"E","B"),
C707="E",
IF(OR(I707="SAME",AD707&lt;=axisTol),"F","E"),
C707="F",
IF(AX707&gt;=sameN,"G","F"),
C707="G",
IF(OR(I707="EQUAL",BB707=1,BA707&gt;=duoMax),"D","G"),
C707="D",
IF(AND(AV707&gt;=AW707,I707="READABLE"),"H","D"),
C707="H",
IF(OR(I707="SAME",AD707&lt;=axisTol),"I","H"),
C707="I",
IF(AX707&gt;=sameN,"J","I"),
C707="J",
IF(OR(I707="EQUAL",BB707=1,BA707&gt;=duoMax),"K","J"),
C707="K",
IF(
 I707="SAME",
 IF(
   XLOOKUP($B707,Derived_Variables!$A:$A,Derived_Variables!$Q:$Q,"None")="None",
   "END",
   "P"
 ),
 "K"
),
C707="P",
IF(OR(I707="READABLE",I707="SAME"),"Q","P"),
C707="Q",
IF(OR(I707="READABLE",I707="SAME"),"R","Q"),
C707="R",
IF(OR(I707="TARGET_OK",I707="SAME"),"END","R"),
TRUE,"END"
)))</f>
        <v/>
      </c>
      <c r="BD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 t="str">
        <f t="array" ref="BC708">IF($I708="","",LET(
conf,AI708,
sameN,IF(conf="Low",1,IF(conf="Medium",2,3)),
duoMax,XLOOKUP($B708,Derived_Variables!$A:$A,Derived_Variables!$AI:$AI,4),
axisTol,XLOOKUP($B708,Derived_Variables!$A:$A,Derived_Variables!$W:$W,1),
IFS(
C708="A",
IF(
 OR(
   I708="NOT_READABLE",
   I708="BLURRY",
   AND(R708="20_20_20",I708="READABLE")
 ),
 "B",
 "A"
),
C708="B",
IF(AND(AV708&gt;=AW708,I708="READABLE"),"E","B"),
C708="E",
IF(OR(I708="SAME",AD708&lt;=axisTol),"F","E"),
C708="F",
IF(AX708&gt;=sameN,"G","F"),
C708="G",
IF(OR(I708="EQUAL",BB708=1,BA708&gt;=duoMax),"D","G"),
C708="D",
IF(AND(AV708&gt;=AW708,I708="READABLE"),"H","D"),
C708="H",
IF(OR(I708="SAME",AD708&lt;=axisTol),"I","H"),
C708="I",
IF(AX708&gt;=sameN,"J","I"),
C708="J",
IF(OR(I708="EQUAL",BB708=1,BA708&gt;=duoMax),"K","J"),
C708="K",
IF(
 I708="SAME",
 IF(
   XLOOKUP($B708,Derived_Variables!$A:$A,Derived_Variables!$Q:$Q,"None")="None",
   "END",
   "P"
 ),
 "K"
),
C708="P",
IF(OR(I708="READABLE",I708="SAME"),"Q","P"),
C708="Q",
IF(OR(I708="READABLE",I708="SAME"),"R","Q"),
C708="R",
IF(OR(I708="TARGET_OK",I708="SAME"),"END","R"),
TRUE,"END"
)))</f>
        <v/>
      </c>
      <c r="BD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 t="str">
        <f t="array" ref="BC709">IF($I709="","",LET(
conf,AI709,
sameN,IF(conf="Low",1,IF(conf="Medium",2,3)),
duoMax,XLOOKUP($B709,Derived_Variables!$A:$A,Derived_Variables!$AI:$AI,4),
axisTol,XLOOKUP($B709,Derived_Variables!$A:$A,Derived_Variables!$W:$W,1),
IFS(
C709="A",
IF(
 OR(
   I709="NOT_READABLE",
   I709="BLURRY",
   AND(R709="20_20_20",I709="READABLE")
 ),
 "B",
 "A"
),
C709="B",
IF(AND(AV709&gt;=AW709,I709="READABLE"),"E","B"),
C709="E",
IF(OR(I709="SAME",AD709&lt;=axisTol),"F","E"),
C709="F",
IF(AX709&gt;=sameN,"G","F"),
C709="G",
IF(OR(I709="EQUAL",BB709=1,BA709&gt;=duoMax),"D","G"),
C709="D",
IF(AND(AV709&gt;=AW709,I709="READABLE"),"H","D"),
C709="H",
IF(OR(I709="SAME",AD709&lt;=axisTol),"I","H"),
C709="I",
IF(AX709&gt;=sameN,"J","I"),
C709="J",
IF(OR(I709="EQUAL",BB709=1,BA709&gt;=duoMax),"K","J"),
C709="K",
IF(
 I709="SAME",
 IF(
   XLOOKUP($B709,Derived_Variables!$A:$A,Derived_Variables!$Q:$Q,"None")="None",
   "END",
   "P"
 ),
 "K"
),
C709="P",
IF(OR(I709="READABLE",I709="SAME"),"Q","P"),
C709="Q",
IF(OR(I709="READABLE",I709="SAME"),"R","Q"),
C709="R",
IF(OR(I709="TARGET_OK",I709="SAME"),"END","R"),
TRUE,"END"
)))</f>
        <v/>
      </c>
      <c r="BD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 t="str">
        <f t="array" ref="BC710">IF($I710="","",LET(
conf,AI710,
sameN,IF(conf="Low",1,IF(conf="Medium",2,3)),
duoMax,XLOOKUP($B710,Derived_Variables!$A:$A,Derived_Variables!$AI:$AI,4),
axisTol,XLOOKUP($B710,Derived_Variables!$A:$A,Derived_Variables!$W:$W,1),
IFS(
C710="A",
IF(
 OR(
   I710="NOT_READABLE",
   I710="BLURRY",
   AND(R710="20_20_20",I710="READABLE")
 ),
 "B",
 "A"
),
C710="B",
IF(AND(AV710&gt;=AW710,I710="READABLE"),"E","B"),
C710="E",
IF(OR(I710="SAME",AD710&lt;=axisTol),"F","E"),
C710="F",
IF(AX710&gt;=sameN,"G","F"),
C710="G",
IF(OR(I710="EQUAL",BB710=1,BA710&gt;=duoMax),"D","G"),
C710="D",
IF(AND(AV710&gt;=AW710,I710="READABLE"),"H","D"),
C710="H",
IF(OR(I710="SAME",AD710&lt;=axisTol),"I","H"),
C710="I",
IF(AX710&gt;=sameN,"J","I"),
C710="J",
IF(OR(I710="EQUAL",BB710=1,BA710&gt;=duoMax),"K","J"),
C710="K",
IF(
 I710="SAME",
 IF(
   XLOOKUP($B710,Derived_Variables!$A:$A,Derived_Variables!$Q:$Q,"None")="None",
   "END",
   "P"
 ),
 "K"
),
C710="P",
IF(OR(I710="READABLE",I710="SAME"),"Q","P"),
C710="Q",
IF(OR(I710="READABLE",I710="SAME"),"R","Q"),
C710="R",
IF(OR(I710="TARGET_OK",I710="SAME"),"END","R"),
TRUE,"END"
)))</f>
        <v/>
      </c>
      <c r="BD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 t="str">
        <f t="array" ref="BC711">IF($I711="","",LET(
conf,AI711,
sameN,IF(conf="Low",1,IF(conf="Medium",2,3)),
duoMax,XLOOKUP($B711,Derived_Variables!$A:$A,Derived_Variables!$AI:$AI,4),
axisTol,XLOOKUP($B711,Derived_Variables!$A:$A,Derived_Variables!$W:$W,1),
IFS(
C711="A",
IF(
 OR(
   I711="NOT_READABLE",
   I711="BLURRY",
   AND(R711="20_20_20",I711="READABLE")
 ),
 "B",
 "A"
),
C711="B",
IF(AND(AV711&gt;=AW711,I711="READABLE"),"E","B"),
C711="E",
IF(OR(I711="SAME",AD711&lt;=axisTol),"F","E"),
C711="F",
IF(AX711&gt;=sameN,"G","F"),
C711="G",
IF(OR(I711="EQUAL",BB711=1,BA711&gt;=duoMax),"D","G"),
C711="D",
IF(AND(AV711&gt;=AW711,I711="READABLE"),"H","D"),
C711="H",
IF(OR(I711="SAME",AD711&lt;=axisTol),"I","H"),
C711="I",
IF(AX711&gt;=sameN,"J","I"),
C711="J",
IF(OR(I711="EQUAL",BB711=1,BA711&gt;=duoMax),"K","J"),
C711="K",
IF(
 I711="SAME",
 IF(
   XLOOKUP($B711,Derived_Variables!$A:$A,Derived_Variables!$Q:$Q,"None")="None",
   "END",
   "P"
 ),
 "K"
),
C711="P",
IF(OR(I711="READABLE",I711="SAME"),"Q","P"),
C711="Q",
IF(OR(I711="READABLE",I711="SAME"),"R","Q"),
C711="R",
IF(OR(I711="TARGET_OK",I711="SAME"),"END","R"),
TRUE,"END"
)))</f>
        <v/>
      </c>
      <c r="BD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 t="str">
        <f t="array" ref="BC712">IF($I712="","",LET(
conf,AI712,
sameN,IF(conf="Low",1,IF(conf="Medium",2,3)),
duoMax,XLOOKUP($B712,Derived_Variables!$A:$A,Derived_Variables!$AI:$AI,4),
axisTol,XLOOKUP($B712,Derived_Variables!$A:$A,Derived_Variables!$W:$W,1),
IFS(
C712="A",
IF(
 OR(
   I712="NOT_READABLE",
   I712="BLURRY",
   AND(R712="20_20_20",I712="READABLE")
 ),
 "B",
 "A"
),
C712="B",
IF(AND(AV712&gt;=AW712,I712="READABLE"),"E","B"),
C712="E",
IF(OR(I712="SAME",AD712&lt;=axisTol),"F","E"),
C712="F",
IF(AX712&gt;=sameN,"G","F"),
C712="G",
IF(OR(I712="EQUAL",BB712=1,BA712&gt;=duoMax),"D","G"),
C712="D",
IF(AND(AV712&gt;=AW712,I712="READABLE"),"H","D"),
C712="H",
IF(OR(I712="SAME",AD712&lt;=axisTol),"I","H"),
C712="I",
IF(AX712&gt;=sameN,"J","I"),
C712="J",
IF(OR(I712="EQUAL",BB712=1,BA712&gt;=duoMax),"K","J"),
C712="K",
IF(
 I712="SAME",
 IF(
   XLOOKUP($B712,Derived_Variables!$A:$A,Derived_Variables!$Q:$Q,"None")="None",
   "END",
   "P"
 ),
 "K"
),
C712="P",
IF(OR(I712="READABLE",I712="SAME"),"Q","P"),
C712="Q",
IF(OR(I712="READABLE",I712="SAME"),"R","Q"),
C712="R",
IF(OR(I712="TARGET_OK",I712="SAME"),"END","R"),
TRUE,"END"
)))</f>
        <v/>
      </c>
      <c r="BD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 t="str">
        <f t="array" ref="BC713">IF($I713="","",LET(
conf,AI713,
sameN,IF(conf="Low",1,IF(conf="Medium",2,3)),
duoMax,XLOOKUP($B713,Derived_Variables!$A:$A,Derived_Variables!$AI:$AI,4),
axisTol,XLOOKUP($B713,Derived_Variables!$A:$A,Derived_Variables!$W:$W,1),
IFS(
C713="A",
IF(
 OR(
   I713="NOT_READABLE",
   I713="BLURRY",
   AND(R713="20_20_20",I713="READABLE")
 ),
 "B",
 "A"
),
C713="B",
IF(AND(AV713&gt;=AW713,I713="READABLE"),"E","B"),
C713="E",
IF(OR(I713="SAME",AD713&lt;=axisTol),"F","E"),
C713="F",
IF(AX713&gt;=sameN,"G","F"),
C713="G",
IF(OR(I713="EQUAL",BB713=1,BA713&gt;=duoMax),"D","G"),
C713="D",
IF(AND(AV713&gt;=AW713,I713="READABLE"),"H","D"),
C713="H",
IF(OR(I713="SAME",AD713&lt;=axisTol),"I","H"),
C713="I",
IF(AX713&gt;=sameN,"J","I"),
C713="J",
IF(OR(I713="EQUAL",BB713=1,BA713&gt;=duoMax),"K","J"),
C713="K",
IF(
 I713="SAME",
 IF(
   XLOOKUP($B713,Derived_Variables!$A:$A,Derived_Variables!$Q:$Q,"None")="None",
   "END",
   "P"
 ),
 "K"
),
C713="P",
IF(OR(I713="READABLE",I713="SAME"),"Q","P"),
C713="Q",
IF(OR(I713="READABLE",I713="SAME"),"R","Q"),
C713="R",
IF(OR(I713="TARGET_OK",I713="SAME"),"END","R"),
TRUE,"END"
)))</f>
        <v/>
      </c>
      <c r="BD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 t="str">
        <f t="array" ref="BC714">IF($I714="","",LET(
conf,AI714,
sameN,IF(conf="Low",1,IF(conf="Medium",2,3)),
duoMax,XLOOKUP($B714,Derived_Variables!$A:$A,Derived_Variables!$AI:$AI,4),
axisTol,XLOOKUP($B714,Derived_Variables!$A:$A,Derived_Variables!$W:$W,1),
IFS(
C714="A",
IF(
 OR(
   I714="NOT_READABLE",
   I714="BLURRY",
   AND(R714="20_20_20",I714="READABLE")
 ),
 "B",
 "A"
),
C714="B",
IF(AND(AV714&gt;=AW714,I714="READABLE"),"E","B"),
C714="E",
IF(OR(I714="SAME",AD714&lt;=axisTol),"F","E"),
C714="F",
IF(AX714&gt;=sameN,"G","F"),
C714="G",
IF(OR(I714="EQUAL",BB714=1,BA714&gt;=duoMax),"D","G"),
C714="D",
IF(AND(AV714&gt;=AW714,I714="READABLE"),"H","D"),
C714="H",
IF(OR(I714="SAME",AD714&lt;=axisTol),"I","H"),
C714="I",
IF(AX714&gt;=sameN,"J","I"),
C714="J",
IF(OR(I714="EQUAL",BB714=1,BA714&gt;=duoMax),"K","J"),
C714="K",
IF(
 I714="SAME",
 IF(
   XLOOKUP($B714,Derived_Variables!$A:$A,Derived_Variables!$Q:$Q,"None")="None",
   "END",
   "P"
 ),
 "K"
),
C714="P",
IF(OR(I714="READABLE",I714="SAME"),"Q","P"),
C714="Q",
IF(OR(I714="READABLE",I714="SAME"),"R","Q"),
C714="R",
IF(OR(I714="TARGET_OK",I714="SAME"),"END","R"),
TRUE,"END"
)))</f>
        <v/>
      </c>
      <c r="BD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 t="str">
        <f t="array" ref="BC715">IF($I715="","",LET(
conf,AI715,
sameN,IF(conf="Low",1,IF(conf="Medium",2,3)),
duoMax,XLOOKUP($B715,Derived_Variables!$A:$A,Derived_Variables!$AI:$AI,4),
axisTol,XLOOKUP($B715,Derived_Variables!$A:$A,Derived_Variables!$W:$W,1),
IFS(
C715="A",
IF(
 OR(
   I715="NOT_READABLE",
   I715="BLURRY",
   AND(R715="20_20_20",I715="READABLE")
 ),
 "B",
 "A"
),
C715="B",
IF(AND(AV715&gt;=AW715,I715="READABLE"),"E","B"),
C715="E",
IF(OR(I715="SAME",AD715&lt;=axisTol),"F","E"),
C715="F",
IF(AX715&gt;=sameN,"G","F"),
C715="G",
IF(OR(I715="EQUAL",BB715=1,BA715&gt;=duoMax),"D","G"),
C715="D",
IF(AND(AV715&gt;=AW715,I715="READABLE"),"H","D"),
C715="H",
IF(OR(I715="SAME",AD715&lt;=axisTol),"I","H"),
C715="I",
IF(AX715&gt;=sameN,"J","I"),
C715="J",
IF(OR(I715="EQUAL",BB715=1,BA715&gt;=duoMax),"K","J"),
C715="K",
IF(
 I715="SAME",
 IF(
   XLOOKUP($B715,Derived_Variables!$A:$A,Derived_Variables!$Q:$Q,"None")="None",
   "END",
   "P"
 ),
 "K"
),
C715="P",
IF(OR(I715="READABLE",I715="SAME"),"Q","P"),
C715="Q",
IF(OR(I715="READABLE",I715="SAME"),"R","Q"),
C715="R",
IF(OR(I715="TARGET_OK",I715="SAME"),"END","R"),
TRUE,"END"
)))</f>
        <v/>
      </c>
      <c r="BD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 t="str">
        <f t="array" ref="BC716">IF($I716="","",LET(
conf,AI716,
sameN,IF(conf="Low",1,IF(conf="Medium",2,3)),
duoMax,XLOOKUP($B716,Derived_Variables!$A:$A,Derived_Variables!$AI:$AI,4),
axisTol,XLOOKUP($B716,Derived_Variables!$A:$A,Derived_Variables!$W:$W,1),
IFS(
C716="A",
IF(
 OR(
   I716="NOT_READABLE",
   I716="BLURRY",
   AND(R716="20_20_20",I716="READABLE")
 ),
 "B",
 "A"
),
C716="B",
IF(AND(AV716&gt;=AW716,I716="READABLE"),"E","B"),
C716="E",
IF(OR(I716="SAME",AD716&lt;=axisTol),"F","E"),
C716="F",
IF(AX716&gt;=sameN,"G","F"),
C716="G",
IF(OR(I716="EQUAL",BB716=1,BA716&gt;=duoMax),"D","G"),
C716="D",
IF(AND(AV716&gt;=AW716,I716="READABLE"),"H","D"),
C716="H",
IF(OR(I716="SAME",AD716&lt;=axisTol),"I","H"),
C716="I",
IF(AX716&gt;=sameN,"J","I"),
C716="J",
IF(OR(I716="EQUAL",BB716=1,BA716&gt;=duoMax),"K","J"),
C716="K",
IF(
 I716="SAME",
 IF(
   XLOOKUP($B716,Derived_Variables!$A:$A,Derived_Variables!$Q:$Q,"None")="None",
   "END",
   "P"
 ),
 "K"
),
C716="P",
IF(OR(I716="READABLE",I716="SAME"),"Q","P"),
C716="Q",
IF(OR(I716="READABLE",I716="SAME"),"R","Q"),
C716="R",
IF(OR(I716="TARGET_OK",I716="SAME"),"END","R"),
TRUE,"END"
)))</f>
        <v/>
      </c>
      <c r="BD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 t="str">
        <f t="array" ref="BC717">IF($I717="","",LET(
conf,AI717,
sameN,IF(conf="Low",1,IF(conf="Medium",2,3)),
duoMax,XLOOKUP($B717,Derived_Variables!$A:$A,Derived_Variables!$AI:$AI,4),
axisTol,XLOOKUP($B717,Derived_Variables!$A:$A,Derived_Variables!$W:$W,1),
IFS(
C717="A",
IF(
 OR(
   I717="NOT_READABLE",
   I717="BLURRY",
   AND(R717="20_20_20",I717="READABLE")
 ),
 "B",
 "A"
),
C717="B",
IF(AND(AV717&gt;=AW717,I717="READABLE"),"E","B"),
C717="E",
IF(OR(I717="SAME",AD717&lt;=axisTol),"F","E"),
C717="F",
IF(AX717&gt;=sameN,"G","F"),
C717="G",
IF(OR(I717="EQUAL",BB717=1,BA717&gt;=duoMax),"D","G"),
C717="D",
IF(AND(AV717&gt;=AW717,I717="READABLE"),"H","D"),
C717="H",
IF(OR(I717="SAME",AD717&lt;=axisTol),"I","H"),
C717="I",
IF(AX717&gt;=sameN,"J","I"),
C717="J",
IF(OR(I717="EQUAL",BB717=1,BA717&gt;=duoMax),"K","J"),
C717="K",
IF(
 I717="SAME",
 IF(
   XLOOKUP($B717,Derived_Variables!$A:$A,Derived_Variables!$Q:$Q,"None")="None",
   "END",
   "P"
 ),
 "K"
),
C717="P",
IF(OR(I717="READABLE",I717="SAME"),"Q","P"),
C717="Q",
IF(OR(I717="READABLE",I717="SAME"),"R","Q"),
C717="R",
IF(OR(I717="TARGET_OK",I717="SAME"),"END","R"),
TRUE,"END"
)))</f>
        <v/>
      </c>
      <c r="BD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 t="str">
        <f t="array" ref="BC718">IF($I718="","",LET(
conf,AI718,
sameN,IF(conf="Low",1,IF(conf="Medium",2,3)),
duoMax,XLOOKUP($B718,Derived_Variables!$A:$A,Derived_Variables!$AI:$AI,4),
axisTol,XLOOKUP($B718,Derived_Variables!$A:$A,Derived_Variables!$W:$W,1),
IFS(
C718="A",
IF(
 OR(
   I718="NOT_READABLE",
   I718="BLURRY",
   AND(R718="20_20_20",I718="READABLE")
 ),
 "B",
 "A"
),
C718="B",
IF(AND(AV718&gt;=AW718,I718="READABLE"),"E","B"),
C718="E",
IF(OR(I718="SAME",AD718&lt;=axisTol),"F","E"),
C718="F",
IF(AX718&gt;=sameN,"G","F"),
C718="G",
IF(OR(I718="EQUAL",BB718=1,BA718&gt;=duoMax),"D","G"),
C718="D",
IF(AND(AV718&gt;=AW718,I718="READABLE"),"H","D"),
C718="H",
IF(OR(I718="SAME",AD718&lt;=axisTol),"I","H"),
C718="I",
IF(AX718&gt;=sameN,"J","I"),
C718="J",
IF(OR(I718="EQUAL",BB718=1,BA718&gt;=duoMax),"K","J"),
C718="K",
IF(
 I718="SAME",
 IF(
   XLOOKUP($B718,Derived_Variables!$A:$A,Derived_Variables!$Q:$Q,"None")="None",
   "END",
   "P"
 ),
 "K"
),
C718="P",
IF(OR(I718="READABLE",I718="SAME"),"Q","P"),
C718="Q",
IF(OR(I718="READABLE",I718="SAME"),"R","Q"),
C718="R",
IF(OR(I718="TARGET_OK",I718="SAME"),"END","R"),
TRUE,"END"
)))</f>
        <v/>
      </c>
      <c r="BD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 t="str">
        <f t="array" ref="BC719">IF($I719="","",LET(
conf,AI719,
sameN,IF(conf="Low",1,IF(conf="Medium",2,3)),
duoMax,XLOOKUP($B719,Derived_Variables!$A:$A,Derived_Variables!$AI:$AI,4),
axisTol,XLOOKUP($B719,Derived_Variables!$A:$A,Derived_Variables!$W:$W,1),
IFS(
C719="A",
IF(
 OR(
   I719="NOT_READABLE",
   I719="BLURRY",
   AND(R719="20_20_20",I719="READABLE")
 ),
 "B",
 "A"
),
C719="B",
IF(AND(AV719&gt;=AW719,I719="READABLE"),"E","B"),
C719="E",
IF(OR(I719="SAME",AD719&lt;=axisTol),"F","E"),
C719="F",
IF(AX719&gt;=sameN,"G","F"),
C719="G",
IF(OR(I719="EQUAL",BB719=1,BA719&gt;=duoMax),"D","G"),
C719="D",
IF(AND(AV719&gt;=AW719,I719="READABLE"),"H","D"),
C719="H",
IF(OR(I719="SAME",AD719&lt;=axisTol),"I","H"),
C719="I",
IF(AX719&gt;=sameN,"J","I"),
C719="J",
IF(OR(I719="EQUAL",BB719=1,BA719&gt;=duoMax),"K","J"),
C719="K",
IF(
 I719="SAME",
 IF(
   XLOOKUP($B719,Derived_Variables!$A:$A,Derived_Variables!$Q:$Q,"None")="None",
   "END",
   "P"
 ),
 "K"
),
C719="P",
IF(OR(I719="READABLE",I719="SAME"),"Q","P"),
C719="Q",
IF(OR(I719="READABLE",I719="SAME"),"R","Q"),
C719="R",
IF(OR(I719="TARGET_OK",I719="SAME"),"END","R"),
TRUE,"END"
)))</f>
        <v/>
      </c>
      <c r="BD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 t="str">
        <f t="array" ref="BC720">IF($I720="","",LET(
conf,AI720,
sameN,IF(conf="Low",1,IF(conf="Medium",2,3)),
duoMax,XLOOKUP($B720,Derived_Variables!$A:$A,Derived_Variables!$AI:$AI,4),
axisTol,XLOOKUP($B720,Derived_Variables!$A:$A,Derived_Variables!$W:$W,1),
IFS(
C720="A",
IF(
 OR(
   I720="NOT_READABLE",
   I720="BLURRY",
   AND(R720="20_20_20",I720="READABLE")
 ),
 "B",
 "A"
),
C720="B",
IF(AND(AV720&gt;=AW720,I720="READABLE"),"E","B"),
C720="E",
IF(OR(I720="SAME",AD720&lt;=axisTol),"F","E"),
C720="F",
IF(AX720&gt;=sameN,"G","F"),
C720="G",
IF(OR(I720="EQUAL",BB720=1,BA720&gt;=duoMax),"D","G"),
C720="D",
IF(AND(AV720&gt;=AW720,I720="READABLE"),"H","D"),
C720="H",
IF(OR(I720="SAME",AD720&lt;=axisTol),"I","H"),
C720="I",
IF(AX720&gt;=sameN,"J","I"),
C720="J",
IF(OR(I720="EQUAL",BB720=1,BA720&gt;=duoMax),"K","J"),
C720="K",
IF(
 I720="SAME",
 IF(
   XLOOKUP($B720,Derived_Variables!$A:$A,Derived_Variables!$Q:$Q,"None")="None",
   "END",
   "P"
 ),
 "K"
),
C720="P",
IF(OR(I720="READABLE",I720="SAME"),"Q","P"),
C720="Q",
IF(OR(I720="READABLE",I720="SAME"),"R","Q"),
C720="R",
IF(OR(I720="TARGET_OK",I720="SAME"),"END","R"),
TRUE,"END"
)))</f>
        <v/>
      </c>
      <c r="BD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 t="str">
        <f t="array" ref="BC721">IF($I721="","",LET(
conf,AI721,
sameN,IF(conf="Low",1,IF(conf="Medium",2,3)),
duoMax,XLOOKUP($B721,Derived_Variables!$A:$A,Derived_Variables!$AI:$AI,4),
axisTol,XLOOKUP($B721,Derived_Variables!$A:$A,Derived_Variables!$W:$W,1),
IFS(
C721="A",
IF(
 OR(
   I721="NOT_READABLE",
   I721="BLURRY",
   AND(R721="20_20_20",I721="READABLE")
 ),
 "B",
 "A"
),
C721="B",
IF(AND(AV721&gt;=AW721,I721="READABLE"),"E","B"),
C721="E",
IF(OR(I721="SAME",AD721&lt;=axisTol),"F","E"),
C721="F",
IF(AX721&gt;=sameN,"G","F"),
C721="G",
IF(OR(I721="EQUAL",BB721=1,BA721&gt;=duoMax),"D","G"),
C721="D",
IF(AND(AV721&gt;=AW721,I721="READABLE"),"H","D"),
C721="H",
IF(OR(I721="SAME",AD721&lt;=axisTol),"I","H"),
C721="I",
IF(AX721&gt;=sameN,"J","I"),
C721="J",
IF(OR(I721="EQUAL",BB721=1,BA721&gt;=duoMax),"K","J"),
C721="K",
IF(
 I721="SAME",
 IF(
   XLOOKUP($B721,Derived_Variables!$A:$A,Derived_Variables!$Q:$Q,"None")="None",
   "END",
   "P"
 ),
 "K"
),
C721="P",
IF(OR(I721="READABLE",I721="SAME"),"Q","P"),
C721="Q",
IF(OR(I721="READABLE",I721="SAME"),"R","Q"),
C721="R",
IF(OR(I721="TARGET_OK",I721="SAME"),"END","R"),
TRUE,"END"
)))</f>
        <v/>
      </c>
      <c r="BD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 t="str">
        <f t="array" ref="BC722">IF($I722="","",LET(
conf,AI722,
sameN,IF(conf="Low",1,IF(conf="Medium",2,3)),
duoMax,XLOOKUP($B722,Derived_Variables!$A:$A,Derived_Variables!$AI:$AI,4),
axisTol,XLOOKUP($B722,Derived_Variables!$A:$A,Derived_Variables!$W:$W,1),
IFS(
C722="A",
IF(
 OR(
   I722="NOT_READABLE",
   I722="BLURRY",
   AND(R722="20_20_20",I722="READABLE")
 ),
 "B",
 "A"
),
C722="B",
IF(AND(AV722&gt;=AW722,I722="READABLE"),"E","B"),
C722="E",
IF(OR(I722="SAME",AD722&lt;=axisTol),"F","E"),
C722="F",
IF(AX722&gt;=sameN,"G","F"),
C722="G",
IF(OR(I722="EQUAL",BB722=1,BA722&gt;=duoMax),"D","G"),
C722="D",
IF(AND(AV722&gt;=AW722,I722="READABLE"),"H","D"),
C722="H",
IF(OR(I722="SAME",AD722&lt;=axisTol),"I","H"),
C722="I",
IF(AX722&gt;=sameN,"J","I"),
C722="J",
IF(OR(I722="EQUAL",BB722=1,BA722&gt;=duoMax),"K","J"),
C722="K",
IF(
 I722="SAME",
 IF(
   XLOOKUP($B722,Derived_Variables!$A:$A,Derived_Variables!$Q:$Q,"None")="None",
   "END",
   "P"
 ),
 "K"
),
C722="P",
IF(OR(I722="READABLE",I722="SAME"),"Q","P"),
C722="Q",
IF(OR(I722="READABLE",I722="SAME"),"R","Q"),
C722="R",
IF(OR(I722="TARGET_OK",I722="SAME"),"END","R"),
TRUE,"END"
)))</f>
        <v/>
      </c>
      <c r="BD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 t="str">
        <f t="array" ref="BC723">IF($I723="","",LET(
conf,AI723,
sameN,IF(conf="Low",1,IF(conf="Medium",2,3)),
duoMax,XLOOKUP($B723,Derived_Variables!$A:$A,Derived_Variables!$AI:$AI,4),
axisTol,XLOOKUP($B723,Derived_Variables!$A:$A,Derived_Variables!$W:$W,1),
IFS(
C723="A",
IF(
 OR(
   I723="NOT_READABLE",
   I723="BLURRY",
   AND(R723="20_20_20",I723="READABLE")
 ),
 "B",
 "A"
),
C723="B",
IF(AND(AV723&gt;=AW723,I723="READABLE"),"E","B"),
C723="E",
IF(OR(I723="SAME",AD723&lt;=axisTol),"F","E"),
C723="F",
IF(AX723&gt;=sameN,"G","F"),
C723="G",
IF(OR(I723="EQUAL",BB723=1,BA723&gt;=duoMax),"D","G"),
C723="D",
IF(AND(AV723&gt;=AW723,I723="READABLE"),"H","D"),
C723="H",
IF(OR(I723="SAME",AD723&lt;=axisTol),"I","H"),
C723="I",
IF(AX723&gt;=sameN,"J","I"),
C723="J",
IF(OR(I723="EQUAL",BB723=1,BA723&gt;=duoMax),"K","J"),
C723="K",
IF(
 I723="SAME",
 IF(
   XLOOKUP($B723,Derived_Variables!$A:$A,Derived_Variables!$Q:$Q,"None")="None",
   "END",
   "P"
 ),
 "K"
),
C723="P",
IF(OR(I723="READABLE",I723="SAME"),"Q","P"),
C723="Q",
IF(OR(I723="READABLE",I723="SAME"),"R","Q"),
C723="R",
IF(OR(I723="TARGET_OK",I723="SAME"),"END","R"),
TRUE,"END"
)))</f>
        <v/>
      </c>
      <c r="BD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 t="str">
        <f t="array" ref="BC724">IF($I724="","",LET(
conf,AI724,
sameN,IF(conf="Low",1,IF(conf="Medium",2,3)),
duoMax,XLOOKUP($B724,Derived_Variables!$A:$A,Derived_Variables!$AI:$AI,4),
axisTol,XLOOKUP($B724,Derived_Variables!$A:$A,Derived_Variables!$W:$W,1),
IFS(
C724="A",
IF(
 OR(
   I724="NOT_READABLE",
   I724="BLURRY",
   AND(R724="20_20_20",I724="READABLE")
 ),
 "B",
 "A"
),
C724="B",
IF(AND(AV724&gt;=AW724,I724="READABLE"),"E","B"),
C724="E",
IF(OR(I724="SAME",AD724&lt;=axisTol),"F","E"),
C724="F",
IF(AX724&gt;=sameN,"G","F"),
C724="G",
IF(OR(I724="EQUAL",BB724=1,BA724&gt;=duoMax),"D","G"),
C724="D",
IF(AND(AV724&gt;=AW724,I724="READABLE"),"H","D"),
C724="H",
IF(OR(I724="SAME",AD724&lt;=axisTol),"I","H"),
C724="I",
IF(AX724&gt;=sameN,"J","I"),
C724="J",
IF(OR(I724="EQUAL",BB724=1,BA724&gt;=duoMax),"K","J"),
C724="K",
IF(
 I724="SAME",
 IF(
   XLOOKUP($B724,Derived_Variables!$A:$A,Derived_Variables!$Q:$Q,"None")="None",
   "END",
   "P"
 ),
 "K"
),
C724="P",
IF(OR(I724="READABLE",I724="SAME"),"Q","P"),
C724="Q",
IF(OR(I724="READABLE",I724="SAME"),"R","Q"),
C724="R",
IF(OR(I724="TARGET_OK",I724="SAME"),"END","R"),
TRUE,"END"
)))</f>
        <v/>
      </c>
      <c r="BD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 t="str">
        <f t="array" ref="BC725">IF($I725="","",LET(
conf,AI725,
sameN,IF(conf="Low",1,IF(conf="Medium",2,3)),
duoMax,XLOOKUP($B725,Derived_Variables!$A:$A,Derived_Variables!$AI:$AI,4),
axisTol,XLOOKUP($B725,Derived_Variables!$A:$A,Derived_Variables!$W:$W,1),
IFS(
C725="A",
IF(
 OR(
   I725="NOT_READABLE",
   I725="BLURRY",
   AND(R725="20_20_20",I725="READABLE")
 ),
 "B",
 "A"
),
C725="B",
IF(AND(AV725&gt;=AW725,I725="READABLE"),"E","B"),
C725="E",
IF(OR(I725="SAME",AD725&lt;=axisTol),"F","E"),
C725="F",
IF(AX725&gt;=sameN,"G","F"),
C725="G",
IF(OR(I725="EQUAL",BB725=1,BA725&gt;=duoMax),"D","G"),
C725="D",
IF(AND(AV725&gt;=AW725,I725="READABLE"),"H","D"),
C725="H",
IF(OR(I725="SAME",AD725&lt;=axisTol),"I","H"),
C725="I",
IF(AX725&gt;=sameN,"J","I"),
C725="J",
IF(OR(I725="EQUAL",BB725=1,BA725&gt;=duoMax),"K","J"),
C725="K",
IF(
 I725="SAME",
 IF(
   XLOOKUP($B725,Derived_Variables!$A:$A,Derived_Variables!$Q:$Q,"None")="None",
   "END",
   "P"
 ),
 "K"
),
C725="P",
IF(OR(I725="READABLE",I725="SAME"),"Q","P"),
C725="Q",
IF(OR(I725="READABLE",I725="SAME"),"R","Q"),
C725="R",
IF(OR(I725="TARGET_OK",I725="SAME"),"END","R"),
TRUE,"END"
)))</f>
        <v/>
      </c>
      <c r="BD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 t="str">
        <f t="array" ref="BC726">IF($I726="","",LET(
conf,AI726,
sameN,IF(conf="Low",1,IF(conf="Medium",2,3)),
duoMax,XLOOKUP($B726,Derived_Variables!$A:$A,Derived_Variables!$AI:$AI,4),
axisTol,XLOOKUP($B726,Derived_Variables!$A:$A,Derived_Variables!$W:$W,1),
IFS(
C726="A",
IF(
 OR(
   I726="NOT_READABLE",
   I726="BLURRY",
   AND(R726="20_20_20",I726="READABLE")
 ),
 "B",
 "A"
),
C726="B",
IF(AND(AV726&gt;=AW726,I726="READABLE"),"E","B"),
C726="E",
IF(OR(I726="SAME",AD726&lt;=axisTol),"F","E"),
C726="F",
IF(AX726&gt;=sameN,"G","F"),
C726="G",
IF(OR(I726="EQUAL",BB726=1,BA726&gt;=duoMax),"D","G"),
C726="D",
IF(AND(AV726&gt;=AW726,I726="READABLE"),"H","D"),
C726="H",
IF(OR(I726="SAME",AD726&lt;=axisTol),"I","H"),
C726="I",
IF(AX726&gt;=sameN,"J","I"),
C726="J",
IF(OR(I726="EQUAL",BB726=1,BA726&gt;=duoMax),"K","J"),
C726="K",
IF(
 I726="SAME",
 IF(
   XLOOKUP($B726,Derived_Variables!$A:$A,Derived_Variables!$Q:$Q,"None")="None",
   "END",
   "P"
 ),
 "K"
),
C726="P",
IF(OR(I726="READABLE",I726="SAME"),"Q","P"),
C726="Q",
IF(OR(I726="READABLE",I726="SAME"),"R","Q"),
C726="R",
IF(OR(I726="TARGET_OK",I726="SAME"),"END","R"),
TRUE,"END"
)))</f>
        <v/>
      </c>
      <c r="BD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 t="str">
        <f t="array" ref="BC727">IF($I727="","",LET(
conf,AI727,
sameN,IF(conf="Low",1,IF(conf="Medium",2,3)),
duoMax,XLOOKUP($B727,Derived_Variables!$A:$A,Derived_Variables!$AI:$AI,4),
axisTol,XLOOKUP($B727,Derived_Variables!$A:$A,Derived_Variables!$W:$W,1),
IFS(
C727="A",
IF(
 OR(
   I727="NOT_READABLE",
   I727="BLURRY",
   AND(R727="20_20_20",I727="READABLE")
 ),
 "B",
 "A"
),
C727="B",
IF(AND(AV727&gt;=AW727,I727="READABLE"),"E","B"),
C727="E",
IF(OR(I727="SAME",AD727&lt;=axisTol),"F","E"),
C727="F",
IF(AX727&gt;=sameN,"G","F"),
C727="G",
IF(OR(I727="EQUAL",BB727=1,BA727&gt;=duoMax),"D","G"),
C727="D",
IF(AND(AV727&gt;=AW727,I727="READABLE"),"H","D"),
C727="H",
IF(OR(I727="SAME",AD727&lt;=axisTol),"I","H"),
C727="I",
IF(AX727&gt;=sameN,"J","I"),
C727="J",
IF(OR(I727="EQUAL",BB727=1,BA727&gt;=duoMax),"K","J"),
C727="K",
IF(
 I727="SAME",
 IF(
   XLOOKUP($B727,Derived_Variables!$A:$A,Derived_Variables!$Q:$Q,"None")="None",
   "END",
   "P"
 ),
 "K"
),
C727="P",
IF(OR(I727="READABLE",I727="SAME"),"Q","P"),
C727="Q",
IF(OR(I727="READABLE",I727="SAME"),"R","Q"),
C727="R",
IF(OR(I727="TARGET_OK",I727="SAME"),"END","R"),
TRUE,"END"
)))</f>
        <v/>
      </c>
      <c r="BD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 t="str">
        <f t="array" ref="BC728">IF($I728="","",LET(
conf,AI728,
sameN,IF(conf="Low",1,IF(conf="Medium",2,3)),
duoMax,XLOOKUP($B728,Derived_Variables!$A:$A,Derived_Variables!$AI:$AI,4),
axisTol,XLOOKUP($B728,Derived_Variables!$A:$A,Derived_Variables!$W:$W,1),
IFS(
C728="A",
IF(
 OR(
   I728="NOT_READABLE",
   I728="BLURRY",
   AND(R728="20_20_20",I728="READABLE")
 ),
 "B",
 "A"
),
C728="B",
IF(AND(AV728&gt;=AW728,I728="READABLE"),"E","B"),
C728="E",
IF(OR(I728="SAME",AD728&lt;=axisTol),"F","E"),
C728="F",
IF(AX728&gt;=sameN,"G","F"),
C728="G",
IF(OR(I728="EQUAL",BB728=1,BA728&gt;=duoMax),"D","G"),
C728="D",
IF(AND(AV728&gt;=AW728,I728="READABLE"),"H","D"),
C728="H",
IF(OR(I728="SAME",AD728&lt;=axisTol),"I","H"),
C728="I",
IF(AX728&gt;=sameN,"J","I"),
C728="J",
IF(OR(I728="EQUAL",BB728=1,BA728&gt;=duoMax),"K","J"),
C728="K",
IF(
 I728="SAME",
 IF(
   XLOOKUP($B728,Derived_Variables!$A:$A,Derived_Variables!$Q:$Q,"None")="None",
   "END",
   "P"
 ),
 "K"
),
C728="P",
IF(OR(I728="READABLE",I728="SAME"),"Q","P"),
C728="Q",
IF(OR(I728="READABLE",I728="SAME"),"R","Q"),
C728="R",
IF(OR(I728="TARGET_OK",I728="SAME"),"END","R"),
TRUE,"END"
)))</f>
        <v/>
      </c>
      <c r="BD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 t="str">
        <f t="array" ref="BC729">IF($I729="","",LET(
conf,AI729,
sameN,IF(conf="Low",1,IF(conf="Medium",2,3)),
duoMax,XLOOKUP($B729,Derived_Variables!$A:$A,Derived_Variables!$AI:$AI,4),
axisTol,XLOOKUP($B729,Derived_Variables!$A:$A,Derived_Variables!$W:$W,1),
IFS(
C729="A",
IF(
 OR(
   I729="NOT_READABLE",
   I729="BLURRY",
   AND(R729="20_20_20",I729="READABLE")
 ),
 "B",
 "A"
),
C729="B",
IF(AND(AV729&gt;=AW729,I729="READABLE"),"E","B"),
C729="E",
IF(OR(I729="SAME",AD729&lt;=axisTol),"F","E"),
C729="F",
IF(AX729&gt;=sameN,"G","F"),
C729="G",
IF(OR(I729="EQUAL",BB729=1,BA729&gt;=duoMax),"D","G"),
C729="D",
IF(AND(AV729&gt;=AW729,I729="READABLE"),"H","D"),
C729="H",
IF(OR(I729="SAME",AD729&lt;=axisTol),"I","H"),
C729="I",
IF(AX729&gt;=sameN,"J","I"),
C729="J",
IF(OR(I729="EQUAL",BB729=1,BA729&gt;=duoMax),"K","J"),
C729="K",
IF(
 I729="SAME",
 IF(
   XLOOKUP($B729,Derived_Variables!$A:$A,Derived_Variables!$Q:$Q,"None")="None",
   "END",
   "P"
 ),
 "K"
),
C729="P",
IF(OR(I729="READABLE",I729="SAME"),"Q","P"),
C729="Q",
IF(OR(I729="READABLE",I729="SAME"),"R","Q"),
C729="R",
IF(OR(I729="TARGET_OK",I729="SAME"),"END","R"),
TRUE,"END"
)))</f>
        <v/>
      </c>
      <c r="BD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 t="str">
        <f t="array" ref="BC730">IF($I730="","",LET(
conf,AI730,
sameN,IF(conf="Low",1,IF(conf="Medium",2,3)),
duoMax,XLOOKUP($B730,Derived_Variables!$A:$A,Derived_Variables!$AI:$AI,4),
axisTol,XLOOKUP($B730,Derived_Variables!$A:$A,Derived_Variables!$W:$W,1),
IFS(
C730="A",
IF(
 OR(
   I730="NOT_READABLE",
   I730="BLURRY",
   AND(R730="20_20_20",I730="READABLE")
 ),
 "B",
 "A"
),
C730="B",
IF(AND(AV730&gt;=AW730,I730="READABLE"),"E","B"),
C730="E",
IF(OR(I730="SAME",AD730&lt;=axisTol),"F","E"),
C730="F",
IF(AX730&gt;=sameN,"G","F"),
C730="G",
IF(OR(I730="EQUAL",BB730=1,BA730&gt;=duoMax),"D","G"),
C730="D",
IF(AND(AV730&gt;=AW730,I730="READABLE"),"H","D"),
C730="H",
IF(OR(I730="SAME",AD730&lt;=axisTol),"I","H"),
C730="I",
IF(AX730&gt;=sameN,"J","I"),
C730="J",
IF(OR(I730="EQUAL",BB730=1,BA730&gt;=duoMax),"K","J"),
C730="K",
IF(
 I730="SAME",
 IF(
   XLOOKUP($B730,Derived_Variables!$A:$A,Derived_Variables!$Q:$Q,"None")="None",
   "END",
   "P"
 ),
 "K"
),
C730="P",
IF(OR(I730="READABLE",I730="SAME"),"Q","P"),
C730="Q",
IF(OR(I730="READABLE",I730="SAME"),"R","Q"),
C730="R",
IF(OR(I730="TARGET_OK",I730="SAME"),"END","R"),
TRUE,"END"
)))</f>
        <v/>
      </c>
      <c r="BD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 t="str">
        <f t="array" ref="BC731">IF($I731="","",LET(
conf,AI731,
sameN,IF(conf="Low",1,IF(conf="Medium",2,3)),
duoMax,XLOOKUP($B731,Derived_Variables!$A:$A,Derived_Variables!$AI:$AI,4),
axisTol,XLOOKUP($B731,Derived_Variables!$A:$A,Derived_Variables!$W:$W,1),
IFS(
C731="A",
IF(
 OR(
   I731="NOT_READABLE",
   I731="BLURRY",
   AND(R731="20_20_20",I731="READABLE")
 ),
 "B",
 "A"
),
C731="B",
IF(AND(AV731&gt;=AW731,I731="READABLE"),"E","B"),
C731="E",
IF(OR(I731="SAME",AD731&lt;=axisTol),"F","E"),
C731="F",
IF(AX731&gt;=sameN,"G","F"),
C731="G",
IF(OR(I731="EQUAL",BB731=1,BA731&gt;=duoMax),"D","G"),
C731="D",
IF(AND(AV731&gt;=AW731,I731="READABLE"),"H","D"),
C731="H",
IF(OR(I731="SAME",AD731&lt;=axisTol),"I","H"),
C731="I",
IF(AX731&gt;=sameN,"J","I"),
C731="J",
IF(OR(I731="EQUAL",BB731=1,BA731&gt;=duoMax),"K","J"),
C731="K",
IF(
 I731="SAME",
 IF(
   XLOOKUP($B731,Derived_Variables!$A:$A,Derived_Variables!$Q:$Q,"None")="None",
   "END",
   "P"
 ),
 "K"
),
C731="P",
IF(OR(I731="READABLE",I731="SAME"),"Q","P"),
C731="Q",
IF(OR(I731="READABLE",I731="SAME"),"R","Q"),
C731="R",
IF(OR(I731="TARGET_OK",I731="SAME"),"END","R"),
TRUE,"END"
)))</f>
        <v/>
      </c>
      <c r="BD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 t="str">
        <f t="array" ref="BC732">IF($I732="","",LET(
conf,AI732,
sameN,IF(conf="Low",1,IF(conf="Medium",2,3)),
duoMax,XLOOKUP($B732,Derived_Variables!$A:$A,Derived_Variables!$AI:$AI,4),
axisTol,XLOOKUP($B732,Derived_Variables!$A:$A,Derived_Variables!$W:$W,1),
IFS(
C732="A",
IF(
 OR(
   I732="NOT_READABLE",
   I732="BLURRY",
   AND(R732="20_20_20",I732="READABLE")
 ),
 "B",
 "A"
),
C732="B",
IF(AND(AV732&gt;=AW732,I732="READABLE"),"E","B"),
C732="E",
IF(OR(I732="SAME",AD732&lt;=axisTol),"F","E"),
C732="F",
IF(AX732&gt;=sameN,"G","F"),
C732="G",
IF(OR(I732="EQUAL",BB732=1,BA732&gt;=duoMax),"D","G"),
C732="D",
IF(AND(AV732&gt;=AW732,I732="READABLE"),"H","D"),
C732="H",
IF(OR(I732="SAME",AD732&lt;=axisTol),"I","H"),
C732="I",
IF(AX732&gt;=sameN,"J","I"),
C732="J",
IF(OR(I732="EQUAL",BB732=1,BA732&gt;=duoMax),"K","J"),
C732="K",
IF(
 I732="SAME",
 IF(
   XLOOKUP($B732,Derived_Variables!$A:$A,Derived_Variables!$Q:$Q,"None")="None",
   "END",
   "P"
 ),
 "K"
),
C732="P",
IF(OR(I732="READABLE",I732="SAME"),"Q","P"),
C732="Q",
IF(OR(I732="READABLE",I732="SAME"),"R","Q"),
C732="R",
IF(OR(I732="TARGET_OK",I732="SAME"),"END","R"),
TRUE,"END"
)))</f>
        <v/>
      </c>
      <c r="BD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 t="str">
        <f t="array" ref="BC733">IF($I733="","",LET(
conf,AI733,
sameN,IF(conf="Low",1,IF(conf="Medium",2,3)),
duoMax,XLOOKUP($B733,Derived_Variables!$A:$A,Derived_Variables!$AI:$AI,4),
axisTol,XLOOKUP($B733,Derived_Variables!$A:$A,Derived_Variables!$W:$W,1),
IFS(
C733="A",
IF(
 OR(
   I733="NOT_READABLE",
   I733="BLURRY",
   AND(R733="20_20_20",I733="READABLE")
 ),
 "B",
 "A"
),
C733="B",
IF(AND(AV733&gt;=AW733,I733="READABLE"),"E","B"),
C733="E",
IF(OR(I733="SAME",AD733&lt;=axisTol),"F","E"),
C733="F",
IF(AX733&gt;=sameN,"G","F"),
C733="G",
IF(OR(I733="EQUAL",BB733=1,BA733&gt;=duoMax),"D","G"),
C733="D",
IF(AND(AV733&gt;=AW733,I733="READABLE"),"H","D"),
C733="H",
IF(OR(I733="SAME",AD733&lt;=axisTol),"I","H"),
C733="I",
IF(AX733&gt;=sameN,"J","I"),
C733="J",
IF(OR(I733="EQUAL",BB733=1,BA733&gt;=duoMax),"K","J"),
C733="K",
IF(
 I733="SAME",
 IF(
   XLOOKUP($B733,Derived_Variables!$A:$A,Derived_Variables!$Q:$Q,"None")="None",
   "END",
   "P"
 ),
 "K"
),
C733="P",
IF(OR(I733="READABLE",I733="SAME"),"Q","P"),
C733="Q",
IF(OR(I733="READABLE",I733="SAME"),"R","Q"),
C733="R",
IF(OR(I733="TARGET_OK",I733="SAME"),"END","R"),
TRUE,"END"
)))</f>
        <v/>
      </c>
      <c r="BD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 t="str">
        <f t="array" ref="BC734">IF($I734="","",LET(
conf,AI734,
sameN,IF(conf="Low",1,IF(conf="Medium",2,3)),
duoMax,XLOOKUP($B734,Derived_Variables!$A:$A,Derived_Variables!$AI:$AI,4),
axisTol,XLOOKUP($B734,Derived_Variables!$A:$A,Derived_Variables!$W:$W,1),
IFS(
C734="A",
IF(
 OR(
   I734="NOT_READABLE",
   I734="BLURRY",
   AND(R734="20_20_20",I734="READABLE")
 ),
 "B",
 "A"
),
C734="B",
IF(AND(AV734&gt;=AW734,I734="READABLE"),"E","B"),
C734="E",
IF(OR(I734="SAME",AD734&lt;=axisTol),"F","E"),
C734="F",
IF(AX734&gt;=sameN,"G","F"),
C734="G",
IF(OR(I734="EQUAL",BB734=1,BA734&gt;=duoMax),"D","G"),
C734="D",
IF(AND(AV734&gt;=AW734,I734="READABLE"),"H","D"),
C734="H",
IF(OR(I734="SAME",AD734&lt;=axisTol),"I","H"),
C734="I",
IF(AX734&gt;=sameN,"J","I"),
C734="J",
IF(OR(I734="EQUAL",BB734=1,BA734&gt;=duoMax),"K","J"),
C734="K",
IF(
 I734="SAME",
 IF(
   XLOOKUP($B734,Derived_Variables!$A:$A,Derived_Variables!$Q:$Q,"None")="None",
   "END",
   "P"
 ),
 "K"
),
C734="P",
IF(OR(I734="READABLE",I734="SAME"),"Q","P"),
C734="Q",
IF(OR(I734="READABLE",I734="SAME"),"R","Q"),
C734="R",
IF(OR(I734="TARGET_OK",I734="SAME"),"END","R"),
TRUE,"END"
)))</f>
        <v/>
      </c>
      <c r="BD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 t="str">
        <f t="array" ref="BC735">IF($I735="","",LET(
conf,AI735,
sameN,IF(conf="Low",1,IF(conf="Medium",2,3)),
duoMax,XLOOKUP($B735,Derived_Variables!$A:$A,Derived_Variables!$AI:$AI,4),
axisTol,XLOOKUP($B735,Derived_Variables!$A:$A,Derived_Variables!$W:$W,1),
IFS(
C735="A",
IF(
 OR(
   I735="NOT_READABLE",
   I735="BLURRY",
   AND(R735="20_20_20",I735="READABLE")
 ),
 "B",
 "A"
),
C735="B",
IF(AND(AV735&gt;=AW735,I735="READABLE"),"E","B"),
C735="E",
IF(OR(I735="SAME",AD735&lt;=axisTol),"F","E"),
C735="F",
IF(AX735&gt;=sameN,"G","F"),
C735="G",
IF(OR(I735="EQUAL",BB735=1,BA735&gt;=duoMax),"D","G"),
C735="D",
IF(AND(AV735&gt;=AW735,I735="READABLE"),"H","D"),
C735="H",
IF(OR(I735="SAME",AD735&lt;=axisTol),"I","H"),
C735="I",
IF(AX735&gt;=sameN,"J","I"),
C735="J",
IF(OR(I735="EQUAL",BB735=1,BA735&gt;=duoMax),"K","J"),
C735="K",
IF(
 I735="SAME",
 IF(
   XLOOKUP($B735,Derived_Variables!$A:$A,Derived_Variables!$Q:$Q,"None")="None",
   "END",
   "P"
 ),
 "K"
),
C735="P",
IF(OR(I735="READABLE",I735="SAME"),"Q","P"),
C735="Q",
IF(OR(I735="READABLE",I735="SAME"),"R","Q"),
C735="R",
IF(OR(I735="TARGET_OK",I735="SAME"),"END","R"),
TRUE,"END"
)))</f>
        <v/>
      </c>
      <c r="BD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 t="str">
        <f t="array" ref="BC736">IF($I736="","",LET(
conf,AI736,
sameN,IF(conf="Low",1,IF(conf="Medium",2,3)),
duoMax,XLOOKUP($B736,Derived_Variables!$A:$A,Derived_Variables!$AI:$AI,4),
axisTol,XLOOKUP($B736,Derived_Variables!$A:$A,Derived_Variables!$W:$W,1),
IFS(
C736="A",
IF(
 OR(
   I736="NOT_READABLE",
   I736="BLURRY",
   AND(R736="20_20_20",I736="READABLE")
 ),
 "B",
 "A"
),
C736="B",
IF(AND(AV736&gt;=AW736,I736="READABLE"),"E","B"),
C736="E",
IF(OR(I736="SAME",AD736&lt;=axisTol),"F","E"),
C736="F",
IF(AX736&gt;=sameN,"G","F"),
C736="G",
IF(OR(I736="EQUAL",BB736=1,BA736&gt;=duoMax),"D","G"),
C736="D",
IF(AND(AV736&gt;=AW736,I736="READABLE"),"H","D"),
C736="H",
IF(OR(I736="SAME",AD736&lt;=axisTol),"I","H"),
C736="I",
IF(AX736&gt;=sameN,"J","I"),
C736="J",
IF(OR(I736="EQUAL",BB736=1,BA736&gt;=duoMax),"K","J"),
C736="K",
IF(
 I736="SAME",
 IF(
   XLOOKUP($B736,Derived_Variables!$A:$A,Derived_Variables!$Q:$Q,"None")="None",
   "END",
   "P"
 ),
 "K"
),
C736="P",
IF(OR(I736="READABLE",I736="SAME"),"Q","P"),
C736="Q",
IF(OR(I736="READABLE",I736="SAME"),"R","Q"),
C736="R",
IF(OR(I736="TARGET_OK",I736="SAME"),"END","R"),
TRUE,"END"
)))</f>
        <v/>
      </c>
      <c r="BD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 t="str">
        <f t="array" ref="BC737">IF($I737="","",LET(
conf,AI737,
sameN,IF(conf="Low",1,IF(conf="Medium",2,3)),
duoMax,XLOOKUP($B737,Derived_Variables!$A:$A,Derived_Variables!$AI:$AI,4),
axisTol,XLOOKUP($B737,Derived_Variables!$A:$A,Derived_Variables!$W:$W,1),
IFS(
C737="A",
IF(
 OR(
   I737="NOT_READABLE",
   I737="BLURRY",
   AND(R737="20_20_20",I737="READABLE")
 ),
 "B",
 "A"
),
C737="B",
IF(AND(AV737&gt;=AW737,I737="READABLE"),"E","B"),
C737="E",
IF(OR(I737="SAME",AD737&lt;=axisTol),"F","E"),
C737="F",
IF(AX737&gt;=sameN,"G","F"),
C737="G",
IF(OR(I737="EQUAL",BB737=1,BA737&gt;=duoMax),"D","G"),
C737="D",
IF(AND(AV737&gt;=AW737,I737="READABLE"),"H","D"),
C737="H",
IF(OR(I737="SAME",AD737&lt;=axisTol),"I","H"),
C737="I",
IF(AX737&gt;=sameN,"J","I"),
C737="J",
IF(OR(I737="EQUAL",BB737=1,BA737&gt;=duoMax),"K","J"),
C737="K",
IF(
 I737="SAME",
 IF(
   XLOOKUP($B737,Derived_Variables!$A:$A,Derived_Variables!$Q:$Q,"None")="None",
   "END",
   "P"
 ),
 "K"
),
C737="P",
IF(OR(I737="READABLE",I737="SAME"),"Q","P"),
C737="Q",
IF(OR(I737="READABLE",I737="SAME"),"R","Q"),
C737="R",
IF(OR(I737="TARGET_OK",I737="SAME"),"END","R"),
TRUE,"END"
)))</f>
        <v/>
      </c>
      <c r="BD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 t="str">
        <f t="array" ref="BC738">IF($I738="","",LET(
conf,AI738,
sameN,IF(conf="Low",1,IF(conf="Medium",2,3)),
duoMax,XLOOKUP($B738,Derived_Variables!$A:$A,Derived_Variables!$AI:$AI,4),
axisTol,XLOOKUP($B738,Derived_Variables!$A:$A,Derived_Variables!$W:$W,1),
IFS(
C738="A",
IF(
 OR(
   I738="NOT_READABLE",
   I738="BLURRY",
   AND(R738="20_20_20",I738="READABLE")
 ),
 "B",
 "A"
),
C738="B",
IF(AND(AV738&gt;=AW738,I738="READABLE"),"E","B"),
C738="E",
IF(OR(I738="SAME",AD738&lt;=axisTol),"F","E"),
C738="F",
IF(AX738&gt;=sameN,"G","F"),
C738="G",
IF(OR(I738="EQUAL",BB738=1,BA738&gt;=duoMax),"D","G"),
C738="D",
IF(AND(AV738&gt;=AW738,I738="READABLE"),"H","D"),
C738="H",
IF(OR(I738="SAME",AD738&lt;=axisTol),"I","H"),
C738="I",
IF(AX738&gt;=sameN,"J","I"),
C738="J",
IF(OR(I738="EQUAL",BB738=1,BA738&gt;=duoMax),"K","J"),
C738="K",
IF(
 I738="SAME",
 IF(
   XLOOKUP($B738,Derived_Variables!$A:$A,Derived_Variables!$Q:$Q,"None")="None",
   "END",
   "P"
 ),
 "K"
),
C738="P",
IF(OR(I738="READABLE",I738="SAME"),"Q","P"),
C738="Q",
IF(OR(I738="READABLE",I738="SAME"),"R","Q"),
C738="R",
IF(OR(I738="TARGET_OK",I738="SAME"),"END","R"),
TRUE,"END"
)))</f>
        <v/>
      </c>
      <c r="BD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 t="str">
        <f t="array" ref="BC739">IF($I739="","",LET(
conf,AI739,
sameN,IF(conf="Low",1,IF(conf="Medium",2,3)),
duoMax,XLOOKUP($B739,Derived_Variables!$A:$A,Derived_Variables!$AI:$AI,4),
axisTol,XLOOKUP($B739,Derived_Variables!$A:$A,Derived_Variables!$W:$W,1),
IFS(
C739="A",
IF(
 OR(
   I739="NOT_READABLE",
   I739="BLURRY",
   AND(R739="20_20_20",I739="READABLE")
 ),
 "B",
 "A"
),
C739="B",
IF(AND(AV739&gt;=AW739,I739="READABLE"),"E","B"),
C739="E",
IF(OR(I739="SAME",AD739&lt;=axisTol),"F","E"),
C739="F",
IF(AX739&gt;=sameN,"G","F"),
C739="G",
IF(OR(I739="EQUAL",BB739=1,BA739&gt;=duoMax),"D","G"),
C739="D",
IF(AND(AV739&gt;=AW739,I739="READABLE"),"H","D"),
C739="H",
IF(OR(I739="SAME",AD739&lt;=axisTol),"I","H"),
C739="I",
IF(AX739&gt;=sameN,"J","I"),
C739="J",
IF(OR(I739="EQUAL",BB739=1,BA739&gt;=duoMax),"K","J"),
C739="K",
IF(
 I739="SAME",
 IF(
   XLOOKUP($B739,Derived_Variables!$A:$A,Derived_Variables!$Q:$Q,"None")="None",
   "END",
   "P"
 ),
 "K"
),
C739="P",
IF(OR(I739="READABLE",I739="SAME"),"Q","P"),
C739="Q",
IF(OR(I739="READABLE",I739="SAME"),"R","Q"),
C739="R",
IF(OR(I739="TARGET_OK",I739="SAME"),"END","R"),
TRUE,"END"
)))</f>
        <v/>
      </c>
      <c r="BD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 t="str">
        <f t="array" ref="BC740">IF($I740="","",LET(
conf,AI740,
sameN,IF(conf="Low",1,IF(conf="Medium",2,3)),
duoMax,XLOOKUP($B740,Derived_Variables!$A:$A,Derived_Variables!$AI:$AI,4),
axisTol,XLOOKUP($B740,Derived_Variables!$A:$A,Derived_Variables!$W:$W,1),
IFS(
C740="A",
IF(
 OR(
   I740="NOT_READABLE",
   I740="BLURRY",
   AND(R740="20_20_20",I740="READABLE")
 ),
 "B",
 "A"
),
C740="B",
IF(AND(AV740&gt;=AW740,I740="READABLE"),"E","B"),
C740="E",
IF(OR(I740="SAME",AD740&lt;=axisTol),"F","E"),
C740="F",
IF(AX740&gt;=sameN,"G","F"),
C740="G",
IF(OR(I740="EQUAL",BB740=1,BA740&gt;=duoMax),"D","G"),
C740="D",
IF(AND(AV740&gt;=AW740,I740="READABLE"),"H","D"),
C740="H",
IF(OR(I740="SAME",AD740&lt;=axisTol),"I","H"),
C740="I",
IF(AX740&gt;=sameN,"J","I"),
C740="J",
IF(OR(I740="EQUAL",BB740=1,BA740&gt;=duoMax),"K","J"),
C740="K",
IF(
 I740="SAME",
 IF(
   XLOOKUP($B740,Derived_Variables!$A:$A,Derived_Variables!$Q:$Q,"None")="None",
   "END",
   "P"
 ),
 "K"
),
C740="P",
IF(OR(I740="READABLE",I740="SAME"),"Q","P"),
C740="Q",
IF(OR(I740="READABLE",I740="SAME"),"R","Q"),
C740="R",
IF(OR(I740="TARGET_OK",I740="SAME"),"END","R"),
TRUE,"END"
)))</f>
        <v/>
      </c>
      <c r="BD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 t="str">
        <f t="array" ref="BC741">IF($I741="","",LET(
conf,AI741,
sameN,IF(conf="Low",1,IF(conf="Medium",2,3)),
duoMax,XLOOKUP($B741,Derived_Variables!$A:$A,Derived_Variables!$AI:$AI,4),
axisTol,XLOOKUP($B741,Derived_Variables!$A:$A,Derived_Variables!$W:$W,1),
IFS(
C741="A",
IF(
 OR(
   I741="NOT_READABLE",
   I741="BLURRY",
   AND(R741="20_20_20",I741="READABLE")
 ),
 "B",
 "A"
),
C741="B",
IF(AND(AV741&gt;=AW741,I741="READABLE"),"E","B"),
C741="E",
IF(OR(I741="SAME",AD741&lt;=axisTol),"F","E"),
C741="F",
IF(AX741&gt;=sameN,"G","F"),
C741="G",
IF(OR(I741="EQUAL",BB741=1,BA741&gt;=duoMax),"D","G"),
C741="D",
IF(AND(AV741&gt;=AW741,I741="READABLE"),"H","D"),
C741="H",
IF(OR(I741="SAME",AD741&lt;=axisTol),"I","H"),
C741="I",
IF(AX741&gt;=sameN,"J","I"),
C741="J",
IF(OR(I741="EQUAL",BB741=1,BA741&gt;=duoMax),"K","J"),
C741="K",
IF(
 I741="SAME",
 IF(
   XLOOKUP($B741,Derived_Variables!$A:$A,Derived_Variables!$Q:$Q,"None")="None",
   "END",
   "P"
 ),
 "K"
),
C741="P",
IF(OR(I741="READABLE",I741="SAME"),"Q","P"),
C741="Q",
IF(OR(I741="READABLE",I741="SAME"),"R","Q"),
C741="R",
IF(OR(I741="TARGET_OK",I741="SAME"),"END","R"),
TRUE,"END"
)))</f>
        <v/>
      </c>
      <c r="BD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 t="str">
        <f t="array" ref="BC742">IF($I742="","",LET(
conf,AI742,
sameN,IF(conf="Low",1,IF(conf="Medium",2,3)),
duoMax,XLOOKUP($B742,Derived_Variables!$A:$A,Derived_Variables!$AI:$AI,4),
axisTol,XLOOKUP($B742,Derived_Variables!$A:$A,Derived_Variables!$W:$W,1),
IFS(
C742="A",
IF(
 OR(
   I742="NOT_READABLE",
   I742="BLURRY",
   AND(R742="20_20_20",I742="READABLE")
 ),
 "B",
 "A"
),
C742="B",
IF(AND(AV742&gt;=AW742,I742="READABLE"),"E","B"),
C742="E",
IF(OR(I742="SAME",AD742&lt;=axisTol),"F","E"),
C742="F",
IF(AX742&gt;=sameN,"G","F"),
C742="G",
IF(OR(I742="EQUAL",BB742=1,BA742&gt;=duoMax),"D","G"),
C742="D",
IF(AND(AV742&gt;=AW742,I742="READABLE"),"H","D"),
C742="H",
IF(OR(I742="SAME",AD742&lt;=axisTol),"I","H"),
C742="I",
IF(AX742&gt;=sameN,"J","I"),
C742="J",
IF(OR(I742="EQUAL",BB742=1,BA742&gt;=duoMax),"K","J"),
C742="K",
IF(
 I742="SAME",
 IF(
   XLOOKUP($B742,Derived_Variables!$A:$A,Derived_Variables!$Q:$Q,"None")="None",
   "END",
   "P"
 ),
 "K"
),
C742="P",
IF(OR(I742="READABLE",I742="SAME"),"Q","P"),
C742="Q",
IF(OR(I742="READABLE",I742="SAME"),"R","Q"),
C742="R",
IF(OR(I742="TARGET_OK",I742="SAME"),"END","R"),
TRUE,"END"
)))</f>
        <v/>
      </c>
      <c r="BD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 t="str">
        <f t="array" ref="BC743">IF($I743="","",LET(
conf,AI743,
sameN,IF(conf="Low",1,IF(conf="Medium",2,3)),
duoMax,XLOOKUP($B743,Derived_Variables!$A:$A,Derived_Variables!$AI:$AI,4),
axisTol,XLOOKUP($B743,Derived_Variables!$A:$A,Derived_Variables!$W:$W,1),
IFS(
C743="A",
IF(
 OR(
   I743="NOT_READABLE",
   I743="BLURRY",
   AND(R743="20_20_20",I743="READABLE")
 ),
 "B",
 "A"
),
C743="B",
IF(AND(AV743&gt;=AW743,I743="READABLE"),"E","B"),
C743="E",
IF(OR(I743="SAME",AD743&lt;=axisTol),"F","E"),
C743="F",
IF(AX743&gt;=sameN,"G","F"),
C743="G",
IF(OR(I743="EQUAL",BB743=1,BA743&gt;=duoMax),"D","G"),
C743="D",
IF(AND(AV743&gt;=AW743,I743="READABLE"),"H","D"),
C743="H",
IF(OR(I743="SAME",AD743&lt;=axisTol),"I","H"),
C743="I",
IF(AX743&gt;=sameN,"J","I"),
C743="J",
IF(OR(I743="EQUAL",BB743=1,BA743&gt;=duoMax),"K","J"),
C743="K",
IF(
 I743="SAME",
 IF(
   XLOOKUP($B743,Derived_Variables!$A:$A,Derived_Variables!$Q:$Q,"None")="None",
   "END",
   "P"
 ),
 "K"
),
C743="P",
IF(OR(I743="READABLE",I743="SAME"),"Q","P"),
C743="Q",
IF(OR(I743="READABLE",I743="SAME"),"R","Q"),
C743="R",
IF(OR(I743="TARGET_OK",I743="SAME"),"END","R"),
TRUE,"END"
)))</f>
        <v/>
      </c>
      <c r="BD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 t="str">
        <f t="array" ref="BC744">IF($I744="","",LET(
conf,AI744,
sameN,IF(conf="Low",1,IF(conf="Medium",2,3)),
duoMax,XLOOKUP($B744,Derived_Variables!$A:$A,Derived_Variables!$AI:$AI,4),
axisTol,XLOOKUP($B744,Derived_Variables!$A:$A,Derived_Variables!$W:$W,1),
IFS(
C744="A",
IF(
 OR(
   I744="NOT_READABLE",
   I744="BLURRY",
   AND(R744="20_20_20",I744="READABLE")
 ),
 "B",
 "A"
),
C744="B",
IF(AND(AV744&gt;=AW744,I744="READABLE"),"E","B"),
C744="E",
IF(OR(I744="SAME",AD744&lt;=axisTol),"F","E"),
C744="F",
IF(AX744&gt;=sameN,"G","F"),
C744="G",
IF(OR(I744="EQUAL",BB744=1,BA744&gt;=duoMax),"D","G"),
C744="D",
IF(AND(AV744&gt;=AW744,I744="READABLE"),"H","D"),
C744="H",
IF(OR(I744="SAME",AD744&lt;=axisTol),"I","H"),
C744="I",
IF(AX744&gt;=sameN,"J","I"),
C744="J",
IF(OR(I744="EQUAL",BB744=1,BA744&gt;=duoMax),"K","J"),
C744="K",
IF(
 I744="SAME",
 IF(
   XLOOKUP($B744,Derived_Variables!$A:$A,Derived_Variables!$Q:$Q,"None")="None",
   "END",
   "P"
 ),
 "K"
),
C744="P",
IF(OR(I744="READABLE",I744="SAME"),"Q","P"),
C744="Q",
IF(OR(I744="READABLE",I744="SAME"),"R","Q"),
C744="R",
IF(OR(I744="TARGET_OK",I744="SAME"),"END","R"),
TRUE,"END"
)))</f>
        <v/>
      </c>
      <c r="BD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 t="str">
        <f t="array" ref="BC745">IF($I745="","",LET(
conf,AI745,
sameN,IF(conf="Low",1,IF(conf="Medium",2,3)),
duoMax,XLOOKUP($B745,Derived_Variables!$A:$A,Derived_Variables!$AI:$AI,4),
axisTol,XLOOKUP($B745,Derived_Variables!$A:$A,Derived_Variables!$W:$W,1),
IFS(
C745="A",
IF(
 OR(
   I745="NOT_READABLE",
   I745="BLURRY",
   AND(R745="20_20_20",I745="READABLE")
 ),
 "B",
 "A"
),
C745="B",
IF(AND(AV745&gt;=AW745,I745="READABLE"),"E","B"),
C745="E",
IF(OR(I745="SAME",AD745&lt;=axisTol),"F","E"),
C745="F",
IF(AX745&gt;=sameN,"G","F"),
C745="G",
IF(OR(I745="EQUAL",BB745=1,BA745&gt;=duoMax),"D","G"),
C745="D",
IF(AND(AV745&gt;=AW745,I745="READABLE"),"H","D"),
C745="H",
IF(OR(I745="SAME",AD745&lt;=axisTol),"I","H"),
C745="I",
IF(AX745&gt;=sameN,"J","I"),
C745="J",
IF(OR(I745="EQUAL",BB745=1,BA745&gt;=duoMax),"K","J"),
C745="K",
IF(
 I745="SAME",
 IF(
   XLOOKUP($B745,Derived_Variables!$A:$A,Derived_Variables!$Q:$Q,"None")="None",
   "END",
   "P"
 ),
 "K"
),
C745="P",
IF(OR(I745="READABLE",I745="SAME"),"Q","P"),
C745="Q",
IF(OR(I745="READABLE",I745="SAME"),"R","Q"),
C745="R",
IF(OR(I745="TARGET_OK",I745="SAME"),"END","R"),
TRUE,"END"
)))</f>
        <v/>
      </c>
      <c r="BD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 t="str">
        <f t="array" ref="BC746">IF($I746="","",LET(
conf,AI746,
sameN,IF(conf="Low",1,IF(conf="Medium",2,3)),
duoMax,XLOOKUP($B746,Derived_Variables!$A:$A,Derived_Variables!$AI:$AI,4),
axisTol,XLOOKUP($B746,Derived_Variables!$A:$A,Derived_Variables!$W:$W,1),
IFS(
C746="A",
IF(
 OR(
   I746="NOT_READABLE",
   I746="BLURRY",
   AND(R746="20_20_20",I746="READABLE")
 ),
 "B",
 "A"
),
C746="B",
IF(AND(AV746&gt;=AW746,I746="READABLE"),"E","B"),
C746="E",
IF(OR(I746="SAME",AD746&lt;=axisTol),"F","E"),
C746="F",
IF(AX746&gt;=sameN,"G","F"),
C746="G",
IF(OR(I746="EQUAL",BB746=1,BA746&gt;=duoMax),"D","G"),
C746="D",
IF(AND(AV746&gt;=AW746,I746="READABLE"),"H","D"),
C746="H",
IF(OR(I746="SAME",AD746&lt;=axisTol),"I","H"),
C746="I",
IF(AX746&gt;=sameN,"J","I"),
C746="J",
IF(OR(I746="EQUAL",BB746=1,BA746&gt;=duoMax),"K","J"),
C746="K",
IF(
 I746="SAME",
 IF(
   XLOOKUP($B746,Derived_Variables!$A:$A,Derived_Variables!$Q:$Q,"None")="None",
   "END",
   "P"
 ),
 "K"
),
C746="P",
IF(OR(I746="READABLE",I746="SAME"),"Q","P"),
C746="Q",
IF(OR(I746="READABLE",I746="SAME"),"R","Q"),
C746="R",
IF(OR(I746="TARGET_OK",I746="SAME"),"END","R"),
TRUE,"END"
)))</f>
        <v/>
      </c>
      <c r="BD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 t="str">
        <f t="array" ref="BC747">IF($I747="","",LET(
conf,AI747,
sameN,IF(conf="Low",1,IF(conf="Medium",2,3)),
duoMax,XLOOKUP($B747,Derived_Variables!$A:$A,Derived_Variables!$AI:$AI,4),
axisTol,XLOOKUP($B747,Derived_Variables!$A:$A,Derived_Variables!$W:$W,1),
IFS(
C747="A",
IF(
 OR(
   I747="NOT_READABLE",
   I747="BLURRY",
   AND(R747="20_20_20",I747="READABLE")
 ),
 "B",
 "A"
),
C747="B",
IF(AND(AV747&gt;=AW747,I747="READABLE"),"E","B"),
C747="E",
IF(OR(I747="SAME",AD747&lt;=axisTol),"F","E"),
C747="F",
IF(AX747&gt;=sameN,"G","F"),
C747="G",
IF(OR(I747="EQUAL",BB747=1,BA747&gt;=duoMax),"D","G"),
C747="D",
IF(AND(AV747&gt;=AW747,I747="READABLE"),"H","D"),
C747="H",
IF(OR(I747="SAME",AD747&lt;=axisTol),"I","H"),
C747="I",
IF(AX747&gt;=sameN,"J","I"),
C747="J",
IF(OR(I747="EQUAL",BB747=1,BA747&gt;=duoMax),"K","J"),
C747="K",
IF(
 I747="SAME",
 IF(
   XLOOKUP($B747,Derived_Variables!$A:$A,Derived_Variables!$Q:$Q,"None")="None",
   "END",
   "P"
 ),
 "K"
),
C747="P",
IF(OR(I747="READABLE",I747="SAME"),"Q","P"),
C747="Q",
IF(OR(I747="READABLE",I747="SAME"),"R","Q"),
C747="R",
IF(OR(I747="TARGET_OK",I747="SAME"),"END","R"),
TRUE,"END"
)))</f>
        <v/>
      </c>
      <c r="BD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 t="str">
        <f t="array" ref="BC748">IF($I748="","",LET(
conf,AI748,
sameN,IF(conf="Low",1,IF(conf="Medium",2,3)),
duoMax,XLOOKUP($B748,Derived_Variables!$A:$A,Derived_Variables!$AI:$AI,4),
axisTol,XLOOKUP($B748,Derived_Variables!$A:$A,Derived_Variables!$W:$W,1),
IFS(
C748="A",
IF(
 OR(
   I748="NOT_READABLE",
   I748="BLURRY",
   AND(R748="20_20_20",I748="READABLE")
 ),
 "B",
 "A"
),
C748="B",
IF(AND(AV748&gt;=AW748,I748="READABLE"),"E","B"),
C748="E",
IF(OR(I748="SAME",AD748&lt;=axisTol),"F","E"),
C748="F",
IF(AX748&gt;=sameN,"G","F"),
C748="G",
IF(OR(I748="EQUAL",BB748=1,BA748&gt;=duoMax),"D","G"),
C748="D",
IF(AND(AV748&gt;=AW748,I748="READABLE"),"H","D"),
C748="H",
IF(OR(I748="SAME",AD748&lt;=axisTol),"I","H"),
C748="I",
IF(AX748&gt;=sameN,"J","I"),
C748="J",
IF(OR(I748="EQUAL",BB748=1,BA748&gt;=duoMax),"K","J"),
C748="K",
IF(
 I748="SAME",
 IF(
   XLOOKUP($B748,Derived_Variables!$A:$A,Derived_Variables!$Q:$Q,"None")="None",
   "END",
   "P"
 ),
 "K"
),
C748="P",
IF(OR(I748="READABLE",I748="SAME"),"Q","P"),
C748="Q",
IF(OR(I748="READABLE",I748="SAME"),"R","Q"),
C748="R",
IF(OR(I748="TARGET_OK",I748="SAME"),"END","R"),
TRUE,"END"
)))</f>
        <v/>
      </c>
      <c r="BD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 t="str">
        <f t="array" ref="BC749">IF($I749="","",LET(
conf,AI749,
sameN,IF(conf="Low",1,IF(conf="Medium",2,3)),
duoMax,XLOOKUP($B749,Derived_Variables!$A:$A,Derived_Variables!$AI:$AI,4),
axisTol,XLOOKUP($B749,Derived_Variables!$A:$A,Derived_Variables!$W:$W,1),
IFS(
C749="A",
IF(
 OR(
   I749="NOT_READABLE",
   I749="BLURRY",
   AND(R749="20_20_20",I749="READABLE")
 ),
 "B",
 "A"
),
C749="B",
IF(AND(AV749&gt;=AW749,I749="READABLE"),"E","B"),
C749="E",
IF(OR(I749="SAME",AD749&lt;=axisTol),"F","E"),
C749="F",
IF(AX749&gt;=sameN,"G","F"),
C749="G",
IF(OR(I749="EQUAL",BB749=1,BA749&gt;=duoMax),"D","G"),
C749="D",
IF(AND(AV749&gt;=AW749,I749="READABLE"),"H","D"),
C749="H",
IF(OR(I749="SAME",AD749&lt;=axisTol),"I","H"),
C749="I",
IF(AX749&gt;=sameN,"J","I"),
C749="J",
IF(OR(I749="EQUAL",BB749=1,BA749&gt;=duoMax),"K","J"),
C749="K",
IF(
 I749="SAME",
 IF(
   XLOOKUP($B749,Derived_Variables!$A:$A,Derived_Variables!$Q:$Q,"None")="None",
   "END",
   "P"
 ),
 "K"
),
C749="P",
IF(OR(I749="READABLE",I749="SAME"),"Q","P"),
C749="Q",
IF(OR(I749="READABLE",I749="SAME"),"R","Q"),
C749="R",
IF(OR(I749="TARGET_OK",I749="SAME"),"END","R"),
TRUE,"END"
)))</f>
        <v/>
      </c>
      <c r="BD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 t="str">
        <f t="array" ref="BC750">IF($I750="","",LET(
conf,AI750,
sameN,IF(conf="Low",1,IF(conf="Medium",2,3)),
duoMax,XLOOKUP($B750,Derived_Variables!$A:$A,Derived_Variables!$AI:$AI,4),
axisTol,XLOOKUP($B750,Derived_Variables!$A:$A,Derived_Variables!$W:$W,1),
IFS(
C750="A",
IF(
 OR(
   I750="NOT_READABLE",
   I750="BLURRY",
   AND(R750="20_20_20",I750="READABLE")
 ),
 "B",
 "A"
),
C750="B",
IF(AND(AV750&gt;=AW750,I750="READABLE"),"E","B"),
C750="E",
IF(OR(I750="SAME",AD750&lt;=axisTol),"F","E"),
C750="F",
IF(AX750&gt;=sameN,"G","F"),
C750="G",
IF(OR(I750="EQUAL",BB750=1,BA750&gt;=duoMax),"D","G"),
C750="D",
IF(AND(AV750&gt;=AW750,I750="READABLE"),"H","D"),
C750="H",
IF(OR(I750="SAME",AD750&lt;=axisTol),"I","H"),
C750="I",
IF(AX750&gt;=sameN,"J","I"),
C750="J",
IF(OR(I750="EQUAL",BB750=1,BA750&gt;=duoMax),"K","J"),
C750="K",
IF(
 I750="SAME",
 IF(
   XLOOKUP($B750,Derived_Variables!$A:$A,Derived_Variables!$Q:$Q,"None")="None",
   "END",
   "P"
 ),
 "K"
),
C750="P",
IF(OR(I750="READABLE",I750="SAME"),"Q","P"),
C750="Q",
IF(OR(I750="READABLE",I750="SAME"),"R","Q"),
C750="R",
IF(OR(I750="TARGET_OK",I750="SAME"),"END","R"),
TRUE,"END"
)))</f>
        <v/>
      </c>
      <c r="BD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 t="str">
        <f t="array" ref="BC751">IF($I751="","",LET(
conf,AI751,
sameN,IF(conf="Low",1,IF(conf="Medium",2,3)),
duoMax,XLOOKUP($B751,Derived_Variables!$A:$A,Derived_Variables!$AI:$AI,4),
axisTol,XLOOKUP($B751,Derived_Variables!$A:$A,Derived_Variables!$W:$W,1),
IFS(
C751="A",
IF(
 OR(
   I751="NOT_READABLE",
   I751="BLURRY",
   AND(R751="20_20_20",I751="READABLE")
 ),
 "B",
 "A"
),
C751="B",
IF(AND(AV751&gt;=AW751,I751="READABLE"),"E","B"),
C751="E",
IF(OR(I751="SAME",AD751&lt;=axisTol),"F","E"),
C751="F",
IF(AX751&gt;=sameN,"G","F"),
C751="G",
IF(OR(I751="EQUAL",BB751=1,BA751&gt;=duoMax),"D","G"),
C751="D",
IF(AND(AV751&gt;=AW751,I751="READABLE"),"H","D"),
C751="H",
IF(OR(I751="SAME",AD751&lt;=axisTol),"I","H"),
C751="I",
IF(AX751&gt;=sameN,"J","I"),
C751="J",
IF(OR(I751="EQUAL",BB751=1,BA751&gt;=duoMax),"K","J"),
C751="K",
IF(
 I751="SAME",
 IF(
   XLOOKUP($B751,Derived_Variables!$A:$A,Derived_Variables!$Q:$Q,"None")="None",
   "END",
   "P"
 ),
 "K"
),
C751="P",
IF(OR(I751="READABLE",I751="SAME"),"Q","P"),
C751="Q",
IF(OR(I751="READABLE",I751="SAME"),"R","Q"),
C751="R",
IF(OR(I751="TARGET_OK",I751="SAME"),"END","R"),
TRUE,"END"
)))</f>
        <v/>
      </c>
      <c r="BD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 t="str">
        <f t="array" ref="BC752">IF($I752="","",LET(
conf,AI752,
sameN,IF(conf="Low",1,IF(conf="Medium",2,3)),
duoMax,XLOOKUP($B752,Derived_Variables!$A:$A,Derived_Variables!$AI:$AI,4),
axisTol,XLOOKUP($B752,Derived_Variables!$A:$A,Derived_Variables!$W:$W,1),
IFS(
C752="A",
IF(
 OR(
   I752="NOT_READABLE",
   I752="BLURRY",
   AND(R752="20_20_20",I752="READABLE")
 ),
 "B",
 "A"
),
C752="B",
IF(AND(AV752&gt;=AW752,I752="READABLE"),"E","B"),
C752="E",
IF(OR(I752="SAME",AD752&lt;=axisTol),"F","E"),
C752="F",
IF(AX752&gt;=sameN,"G","F"),
C752="G",
IF(OR(I752="EQUAL",BB752=1,BA752&gt;=duoMax),"D","G"),
C752="D",
IF(AND(AV752&gt;=AW752,I752="READABLE"),"H","D"),
C752="H",
IF(OR(I752="SAME",AD752&lt;=axisTol),"I","H"),
C752="I",
IF(AX752&gt;=sameN,"J","I"),
C752="J",
IF(OR(I752="EQUAL",BB752=1,BA752&gt;=duoMax),"K","J"),
C752="K",
IF(
 I752="SAME",
 IF(
   XLOOKUP($B752,Derived_Variables!$A:$A,Derived_Variables!$Q:$Q,"None")="None",
   "END",
   "P"
 ),
 "K"
),
C752="P",
IF(OR(I752="READABLE",I752="SAME"),"Q","P"),
C752="Q",
IF(OR(I752="READABLE",I752="SAME"),"R","Q"),
C752="R",
IF(OR(I752="TARGET_OK",I752="SAME"),"END","R"),
TRUE,"END"
)))</f>
        <v/>
      </c>
      <c r="BD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 t="str">
        <f t="array" ref="BC753">IF($I753="","",LET(
conf,AI753,
sameN,IF(conf="Low",1,IF(conf="Medium",2,3)),
duoMax,XLOOKUP($B753,Derived_Variables!$A:$A,Derived_Variables!$AI:$AI,4),
axisTol,XLOOKUP($B753,Derived_Variables!$A:$A,Derived_Variables!$W:$W,1),
IFS(
C753="A",
IF(
 OR(
   I753="NOT_READABLE",
   I753="BLURRY",
   AND(R753="20_20_20",I753="READABLE")
 ),
 "B",
 "A"
),
C753="B",
IF(AND(AV753&gt;=AW753,I753="READABLE"),"E","B"),
C753="E",
IF(OR(I753="SAME",AD753&lt;=axisTol),"F","E"),
C753="F",
IF(AX753&gt;=sameN,"G","F"),
C753="G",
IF(OR(I753="EQUAL",BB753=1,BA753&gt;=duoMax),"D","G"),
C753="D",
IF(AND(AV753&gt;=AW753,I753="READABLE"),"H","D"),
C753="H",
IF(OR(I753="SAME",AD753&lt;=axisTol),"I","H"),
C753="I",
IF(AX753&gt;=sameN,"J","I"),
C753="J",
IF(OR(I753="EQUAL",BB753=1,BA753&gt;=duoMax),"K","J"),
C753="K",
IF(
 I753="SAME",
 IF(
   XLOOKUP($B753,Derived_Variables!$A:$A,Derived_Variables!$Q:$Q,"None")="None",
   "END",
   "P"
 ),
 "K"
),
C753="P",
IF(OR(I753="READABLE",I753="SAME"),"Q","P"),
C753="Q",
IF(OR(I753="READABLE",I753="SAME"),"R","Q"),
C753="R",
IF(OR(I753="TARGET_OK",I753="SAME"),"END","R"),
TRUE,"END"
)))</f>
        <v/>
      </c>
      <c r="BD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 t="str">
        <f t="array" ref="BC754">IF($I754="","",LET(
conf,AI754,
sameN,IF(conf="Low",1,IF(conf="Medium",2,3)),
duoMax,XLOOKUP($B754,Derived_Variables!$A:$A,Derived_Variables!$AI:$AI,4),
axisTol,XLOOKUP($B754,Derived_Variables!$A:$A,Derived_Variables!$W:$W,1),
IFS(
C754="A",
IF(
 OR(
   I754="NOT_READABLE",
   I754="BLURRY",
   AND(R754="20_20_20",I754="READABLE")
 ),
 "B",
 "A"
),
C754="B",
IF(AND(AV754&gt;=AW754,I754="READABLE"),"E","B"),
C754="E",
IF(OR(I754="SAME",AD754&lt;=axisTol),"F","E"),
C754="F",
IF(AX754&gt;=sameN,"G","F"),
C754="G",
IF(OR(I754="EQUAL",BB754=1,BA754&gt;=duoMax),"D","G"),
C754="D",
IF(AND(AV754&gt;=AW754,I754="READABLE"),"H","D"),
C754="H",
IF(OR(I754="SAME",AD754&lt;=axisTol),"I","H"),
C754="I",
IF(AX754&gt;=sameN,"J","I"),
C754="J",
IF(OR(I754="EQUAL",BB754=1,BA754&gt;=duoMax),"K","J"),
C754="K",
IF(
 I754="SAME",
 IF(
   XLOOKUP($B754,Derived_Variables!$A:$A,Derived_Variables!$Q:$Q,"None")="None",
   "END",
   "P"
 ),
 "K"
),
C754="P",
IF(OR(I754="READABLE",I754="SAME"),"Q","P"),
C754="Q",
IF(OR(I754="READABLE",I754="SAME"),"R","Q"),
C754="R",
IF(OR(I754="TARGET_OK",I754="SAME"),"END","R"),
TRUE,"END"
)))</f>
        <v/>
      </c>
      <c r="BD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 t="str">
        <f t="array" ref="BC755">IF($I755="","",LET(
conf,AI755,
sameN,IF(conf="Low",1,IF(conf="Medium",2,3)),
duoMax,XLOOKUP($B755,Derived_Variables!$A:$A,Derived_Variables!$AI:$AI,4),
axisTol,XLOOKUP($B755,Derived_Variables!$A:$A,Derived_Variables!$W:$W,1),
IFS(
C755="A",
IF(
 OR(
   I755="NOT_READABLE",
   I755="BLURRY",
   AND(R755="20_20_20",I755="READABLE")
 ),
 "B",
 "A"
),
C755="B",
IF(AND(AV755&gt;=AW755,I755="READABLE"),"E","B"),
C755="E",
IF(OR(I755="SAME",AD755&lt;=axisTol),"F","E"),
C755="F",
IF(AX755&gt;=sameN,"G","F"),
C755="G",
IF(OR(I755="EQUAL",BB755=1,BA755&gt;=duoMax),"D","G"),
C755="D",
IF(AND(AV755&gt;=AW755,I755="READABLE"),"H","D"),
C755="H",
IF(OR(I755="SAME",AD755&lt;=axisTol),"I","H"),
C755="I",
IF(AX755&gt;=sameN,"J","I"),
C755="J",
IF(OR(I755="EQUAL",BB755=1,BA755&gt;=duoMax),"K","J"),
C755="K",
IF(
 I755="SAME",
 IF(
   XLOOKUP($B755,Derived_Variables!$A:$A,Derived_Variables!$Q:$Q,"None")="None",
   "END",
   "P"
 ),
 "K"
),
C755="P",
IF(OR(I755="READABLE",I755="SAME"),"Q","P"),
C755="Q",
IF(OR(I755="READABLE",I755="SAME"),"R","Q"),
C755="R",
IF(OR(I755="TARGET_OK",I755="SAME"),"END","R"),
TRUE,"END"
)))</f>
        <v/>
      </c>
      <c r="BD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 t="str">
        <f t="array" ref="BC756">IF($I756="","",LET(
conf,AI756,
sameN,IF(conf="Low",1,IF(conf="Medium",2,3)),
duoMax,XLOOKUP($B756,Derived_Variables!$A:$A,Derived_Variables!$AI:$AI,4),
axisTol,XLOOKUP($B756,Derived_Variables!$A:$A,Derived_Variables!$W:$W,1),
IFS(
C756="A",
IF(
 OR(
   I756="NOT_READABLE",
   I756="BLURRY",
   AND(R756="20_20_20",I756="READABLE")
 ),
 "B",
 "A"
),
C756="B",
IF(AND(AV756&gt;=AW756,I756="READABLE"),"E","B"),
C756="E",
IF(OR(I756="SAME",AD756&lt;=axisTol),"F","E"),
C756="F",
IF(AX756&gt;=sameN,"G","F"),
C756="G",
IF(OR(I756="EQUAL",BB756=1,BA756&gt;=duoMax),"D","G"),
C756="D",
IF(AND(AV756&gt;=AW756,I756="READABLE"),"H","D"),
C756="H",
IF(OR(I756="SAME",AD756&lt;=axisTol),"I","H"),
C756="I",
IF(AX756&gt;=sameN,"J","I"),
C756="J",
IF(OR(I756="EQUAL",BB756=1,BA756&gt;=duoMax),"K","J"),
C756="K",
IF(
 I756="SAME",
 IF(
   XLOOKUP($B756,Derived_Variables!$A:$A,Derived_Variables!$Q:$Q,"None")="None",
   "END",
   "P"
 ),
 "K"
),
C756="P",
IF(OR(I756="READABLE",I756="SAME"),"Q","P"),
C756="Q",
IF(OR(I756="READABLE",I756="SAME"),"R","Q"),
C756="R",
IF(OR(I756="TARGET_OK",I756="SAME"),"END","R"),
TRUE,"END"
)))</f>
        <v/>
      </c>
      <c r="BD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 t="str">
        <f t="array" ref="BC757">IF($I757="","",LET(
conf,AI757,
sameN,IF(conf="Low",1,IF(conf="Medium",2,3)),
duoMax,XLOOKUP($B757,Derived_Variables!$A:$A,Derived_Variables!$AI:$AI,4),
axisTol,XLOOKUP($B757,Derived_Variables!$A:$A,Derived_Variables!$W:$W,1),
IFS(
C757="A",
IF(
 OR(
   I757="NOT_READABLE",
   I757="BLURRY",
   AND(R757="20_20_20",I757="READABLE")
 ),
 "B",
 "A"
),
C757="B",
IF(AND(AV757&gt;=AW757,I757="READABLE"),"E","B"),
C757="E",
IF(OR(I757="SAME",AD757&lt;=axisTol),"F","E"),
C757="F",
IF(AX757&gt;=sameN,"G","F"),
C757="G",
IF(OR(I757="EQUAL",BB757=1,BA757&gt;=duoMax),"D","G"),
C757="D",
IF(AND(AV757&gt;=AW757,I757="READABLE"),"H","D"),
C757="H",
IF(OR(I757="SAME",AD757&lt;=axisTol),"I","H"),
C757="I",
IF(AX757&gt;=sameN,"J","I"),
C757="J",
IF(OR(I757="EQUAL",BB757=1,BA757&gt;=duoMax),"K","J"),
C757="K",
IF(
 I757="SAME",
 IF(
   XLOOKUP($B757,Derived_Variables!$A:$A,Derived_Variables!$Q:$Q,"None")="None",
   "END",
   "P"
 ),
 "K"
),
C757="P",
IF(OR(I757="READABLE",I757="SAME"),"Q","P"),
C757="Q",
IF(OR(I757="READABLE",I757="SAME"),"R","Q"),
C757="R",
IF(OR(I757="TARGET_OK",I757="SAME"),"END","R"),
TRUE,"END"
)))</f>
        <v/>
      </c>
      <c r="BD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 t="str">
        <f t="array" ref="BC758">IF($I758="","",LET(
conf,AI758,
sameN,IF(conf="Low",1,IF(conf="Medium",2,3)),
duoMax,XLOOKUP($B758,Derived_Variables!$A:$A,Derived_Variables!$AI:$AI,4),
axisTol,XLOOKUP($B758,Derived_Variables!$A:$A,Derived_Variables!$W:$W,1),
IFS(
C758="A",
IF(
 OR(
   I758="NOT_READABLE",
   I758="BLURRY",
   AND(R758="20_20_20",I758="READABLE")
 ),
 "B",
 "A"
),
C758="B",
IF(AND(AV758&gt;=AW758,I758="READABLE"),"E","B"),
C758="E",
IF(OR(I758="SAME",AD758&lt;=axisTol),"F","E"),
C758="F",
IF(AX758&gt;=sameN,"G","F"),
C758="G",
IF(OR(I758="EQUAL",BB758=1,BA758&gt;=duoMax),"D","G"),
C758="D",
IF(AND(AV758&gt;=AW758,I758="READABLE"),"H","D"),
C758="H",
IF(OR(I758="SAME",AD758&lt;=axisTol),"I","H"),
C758="I",
IF(AX758&gt;=sameN,"J","I"),
C758="J",
IF(OR(I758="EQUAL",BB758=1,BA758&gt;=duoMax),"K","J"),
C758="K",
IF(
 I758="SAME",
 IF(
   XLOOKUP($B758,Derived_Variables!$A:$A,Derived_Variables!$Q:$Q,"None")="None",
   "END",
   "P"
 ),
 "K"
),
C758="P",
IF(OR(I758="READABLE",I758="SAME"),"Q","P"),
C758="Q",
IF(OR(I758="READABLE",I758="SAME"),"R","Q"),
C758="R",
IF(OR(I758="TARGET_OK",I758="SAME"),"END","R"),
TRUE,"END"
)))</f>
        <v/>
      </c>
      <c r="BD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 t="str">
        <f t="array" ref="BC759">IF($I759="","",LET(
conf,AI759,
sameN,IF(conf="Low",1,IF(conf="Medium",2,3)),
duoMax,XLOOKUP($B759,Derived_Variables!$A:$A,Derived_Variables!$AI:$AI,4),
axisTol,XLOOKUP($B759,Derived_Variables!$A:$A,Derived_Variables!$W:$W,1),
IFS(
C759="A",
IF(
 OR(
   I759="NOT_READABLE",
   I759="BLURRY",
   AND(R759="20_20_20",I759="READABLE")
 ),
 "B",
 "A"
),
C759="B",
IF(AND(AV759&gt;=AW759,I759="READABLE"),"E","B"),
C759="E",
IF(OR(I759="SAME",AD759&lt;=axisTol),"F","E"),
C759="F",
IF(AX759&gt;=sameN,"G","F"),
C759="G",
IF(OR(I759="EQUAL",BB759=1,BA759&gt;=duoMax),"D","G"),
C759="D",
IF(AND(AV759&gt;=AW759,I759="READABLE"),"H","D"),
C759="H",
IF(OR(I759="SAME",AD759&lt;=axisTol),"I","H"),
C759="I",
IF(AX759&gt;=sameN,"J","I"),
C759="J",
IF(OR(I759="EQUAL",BB759=1,BA759&gt;=duoMax),"K","J"),
C759="K",
IF(
 I759="SAME",
 IF(
   XLOOKUP($B759,Derived_Variables!$A:$A,Derived_Variables!$Q:$Q,"None")="None",
   "END",
   "P"
 ),
 "K"
),
C759="P",
IF(OR(I759="READABLE",I759="SAME"),"Q","P"),
C759="Q",
IF(OR(I759="READABLE",I759="SAME"),"R","Q"),
C759="R",
IF(OR(I759="TARGET_OK",I759="SAME"),"END","R"),
TRUE,"END"
)))</f>
        <v/>
      </c>
      <c r="BD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 t="str">
        <f t="array" ref="BC760">IF($I760="","",LET(
conf,AI760,
sameN,IF(conf="Low",1,IF(conf="Medium",2,3)),
duoMax,XLOOKUP($B760,Derived_Variables!$A:$A,Derived_Variables!$AI:$AI,4),
axisTol,XLOOKUP($B760,Derived_Variables!$A:$A,Derived_Variables!$W:$W,1),
IFS(
C760="A",
IF(
 OR(
   I760="NOT_READABLE",
   I760="BLURRY",
   AND(R760="20_20_20",I760="READABLE")
 ),
 "B",
 "A"
),
C760="B",
IF(AND(AV760&gt;=AW760,I760="READABLE"),"E","B"),
C760="E",
IF(OR(I760="SAME",AD760&lt;=axisTol),"F","E"),
C760="F",
IF(AX760&gt;=sameN,"G","F"),
C760="G",
IF(OR(I760="EQUAL",BB760=1,BA760&gt;=duoMax),"D","G"),
C760="D",
IF(AND(AV760&gt;=AW760,I760="READABLE"),"H","D"),
C760="H",
IF(OR(I760="SAME",AD760&lt;=axisTol),"I","H"),
C760="I",
IF(AX760&gt;=sameN,"J","I"),
C760="J",
IF(OR(I760="EQUAL",BB760=1,BA760&gt;=duoMax),"K","J"),
C760="K",
IF(
 I760="SAME",
 IF(
   XLOOKUP($B760,Derived_Variables!$A:$A,Derived_Variables!$Q:$Q,"None")="None",
   "END",
   "P"
 ),
 "K"
),
C760="P",
IF(OR(I760="READABLE",I760="SAME"),"Q","P"),
C760="Q",
IF(OR(I760="READABLE",I760="SAME"),"R","Q"),
C760="R",
IF(OR(I760="TARGET_OK",I760="SAME"),"END","R"),
TRUE,"END"
)))</f>
        <v/>
      </c>
      <c r="BD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 t="str">
        <f t="array" ref="BC761">IF($I761="","",LET(
conf,AI761,
sameN,IF(conf="Low",1,IF(conf="Medium",2,3)),
duoMax,XLOOKUP($B761,Derived_Variables!$A:$A,Derived_Variables!$AI:$AI,4),
axisTol,XLOOKUP($B761,Derived_Variables!$A:$A,Derived_Variables!$W:$W,1),
IFS(
C761="A",
IF(
 OR(
   I761="NOT_READABLE",
   I761="BLURRY",
   AND(R761="20_20_20",I761="READABLE")
 ),
 "B",
 "A"
),
C761="B",
IF(AND(AV761&gt;=AW761,I761="READABLE"),"E","B"),
C761="E",
IF(OR(I761="SAME",AD761&lt;=axisTol),"F","E"),
C761="F",
IF(AX761&gt;=sameN,"G","F"),
C761="G",
IF(OR(I761="EQUAL",BB761=1,BA761&gt;=duoMax),"D","G"),
C761="D",
IF(AND(AV761&gt;=AW761,I761="READABLE"),"H","D"),
C761="H",
IF(OR(I761="SAME",AD761&lt;=axisTol),"I","H"),
C761="I",
IF(AX761&gt;=sameN,"J","I"),
C761="J",
IF(OR(I761="EQUAL",BB761=1,BA761&gt;=duoMax),"K","J"),
C761="K",
IF(
 I761="SAME",
 IF(
   XLOOKUP($B761,Derived_Variables!$A:$A,Derived_Variables!$Q:$Q,"None")="None",
   "END",
   "P"
 ),
 "K"
),
C761="P",
IF(OR(I761="READABLE",I761="SAME"),"Q","P"),
C761="Q",
IF(OR(I761="READABLE",I761="SAME"),"R","Q"),
C761="R",
IF(OR(I761="TARGET_OK",I761="SAME"),"END","R"),
TRUE,"END"
)))</f>
        <v/>
      </c>
      <c r="BD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 t="str">
        <f t="array" ref="BC762">IF($I762="","",LET(
conf,AI762,
sameN,IF(conf="Low",1,IF(conf="Medium",2,3)),
duoMax,XLOOKUP($B762,Derived_Variables!$A:$A,Derived_Variables!$AI:$AI,4),
axisTol,XLOOKUP($B762,Derived_Variables!$A:$A,Derived_Variables!$W:$W,1),
IFS(
C762="A",
IF(
 OR(
   I762="NOT_READABLE",
   I762="BLURRY",
   AND(R762="20_20_20",I762="READABLE")
 ),
 "B",
 "A"
),
C762="B",
IF(AND(AV762&gt;=AW762,I762="READABLE"),"E","B"),
C762="E",
IF(OR(I762="SAME",AD762&lt;=axisTol),"F","E"),
C762="F",
IF(AX762&gt;=sameN,"G","F"),
C762="G",
IF(OR(I762="EQUAL",BB762=1,BA762&gt;=duoMax),"D","G"),
C762="D",
IF(AND(AV762&gt;=AW762,I762="READABLE"),"H","D"),
C762="H",
IF(OR(I762="SAME",AD762&lt;=axisTol),"I","H"),
C762="I",
IF(AX762&gt;=sameN,"J","I"),
C762="J",
IF(OR(I762="EQUAL",BB762=1,BA762&gt;=duoMax),"K","J"),
C762="K",
IF(
 I762="SAME",
 IF(
   XLOOKUP($B762,Derived_Variables!$A:$A,Derived_Variables!$Q:$Q,"None")="None",
   "END",
   "P"
 ),
 "K"
),
C762="P",
IF(OR(I762="READABLE",I762="SAME"),"Q","P"),
C762="Q",
IF(OR(I762="READABLE",I762="SAME"),"R","Q"),
C762="R",
IF(OR(I762="TARGET_OK",I762="SAME"),"END","R"),
TRUE,"END"
)))</f>
        <v/>
      </c>
      <c r="BD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 t="str">
        <f t="array" ref="BC763">IF($I763="","",LET(
conf,AI763,
sameN,IF(conf="Low",1,IF(conf="Medium",2,3)),
duoMax,XLOOKUP($B763,Derived_Variables!$A:$A,Derived_Variables!$AI:$AI,4),
axisTol,XLOOKUP($B763,Derived_Variables!$A:$A,Derived_Variables!$W:$W,1),
IFS(
C763="A",
IF(
 OR(
   I763="NOT_READABLE",
   I763="BLURRY",
   AND(R763="20_20_20",I763="READABLE")
 ),
 "B",
 "A"
),
C763="B",
IF(AND(AV763&gt;=AW763,I763="READABLE"),"E","B"),
C763="E",
IF(OR(I763="SAME",AD763&lt;=axisTol),"F","E"),
C763="F",
IF(AX763&gt;=sameN,"G","F"),
C763="G",
IF(OR(I763="EQUAL",BB763=1,BA763&gt;=duoMax),"D","G"),
C763="D",
IF(AND(AV763&gt;=AW763,I763="READABLE"),"H","D"),
C763="H",
IF(OR(I763="SAME",AD763&lt;=axisTol),"I","H"),
C763="I",
IF(AX763&gt;=sameN,"J","I"),
C763="J",
IF(OR(I763="EQUAL",BB763=1,BA763&gt;=duoMax),"K","J"),
C763="K",
IF(
 I763="SAME",
 IF(
   XLOOKUP($B763,Derived_Variables!$A:$A,Derived_Variables!$Q:$Q,"None")="None",
   "END",
   "P"
 ),
 "K"
),
C763="P",
IF(OR(I763="READABLE",I763="SAME"),"Q","P"),
C763="Q",
IF(OR(I763="READABLE",I763="SAME"),"R","Q"),
C763="R",
IF(OR(I763="TARGET_OK",I763="SAME"),"END","R"),
TRUE,"END"
)))</f>
        <v/>
      </c>
      <c r="BD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 t="str">
        <f t="array" ref="BC764">IF($I764="","",LET(
conf,AI764,
sameN,IF(conf="Low",1,IF(conf="Medium",2,3)),
duoMax,XLOOKUP($B764,Derived_Variables!$A:$A,Derived_Variables!$AI:$AI,4),
axisTol,XLOOKUP($B764,Derived_Variables!$A:$A,Derived_Variables!$W:$W,1),
IFS(
C764="A",
IF(
 OR(
   I764="NOT_READABLE",
   I764="BLURRY",
   AND(R764="20_20_20",I764="READABLE")
 ),
 "B",
 "A"
),
C764="B",
IF(AND(AV764&gt;=AW764,I764="READABLE"),"E","B"),
C764="E",
IF(OR(I764="SAME",AD764&lt;=axisTol),"F","E"),
C764="F",
IF(AX764&gt;=sameN,"G","F"),
C764="G",
IF(OR(I764="EQUAL",BB764=1,BA764&gt;=duoMax),"D","G"),
C764="D",
IF(AND(AV764&gt;=AW764,I764="READABLE"),"H","D"),
C764="H",
IF(OR(I764="SAME",AD764&lt;=axisTol),"I","H"),
C764="I",
IF(AX764&gt;=sameN,"J","I"),
C764="J",
IF(OR(I764="EQUAL",BB764=1,BA764&gt;=duoMax),"K","J"),
C764="K",
IF(
 I764="SAME",
 IF(
   XLOOKUP($B764,Derived_Variables!$A:$A,Derived_Variables!$Q:$Q,"None")="None",
   "END",
   "P"
 ),
 "K"
),
C764="P",
IF(OR(I764="READABLE",I764="SAME"),"Q","P"),
C764="Q",
IF(OR(I764="READABLE",I764="SAME"),"R","Q"),
C764="R",
IF(OR(I764="TARGET_OK",I764="SAME"),"END","R"),
TRUE,"END"
)))</f>
        <v/>
      </c>
      <c r="BD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 t="str">
        <f t="array" ref="BC765">IF($I765="","",LET(
conf,AI765,
sameN,IF(conf="Low",1,IF(conf="Medium",2,3)),
duoMax,XLOOKUP($B765,Derived_Variables!$A:$A,Derived_Variables!$AI:$AI,4),
axisTol,XLOOKUP($B765,Derived_Variables!$A:$A,Derived_Variables!$W:$W,1),
IFS(
C765="A",
IF(
 OR(
   I765="NOT_READABLE",
   I765="BLURRY",
   AND(R765="20_20_20",I765="READABLE")
 ),
 "B",
 "A"
),
C765="B",
IF(AND(AV765&gt;=AW765,I765="READABLE"),"E","B"),
C765="E",
IF(OR(I765="SAME",AD765&lt;=axisTol),"F","E"),
C765="F",
IF(AX765&gt;=sameN,"G","F"),
C765="G",
IF(OR(I765="EQUAL",BB765=1,BA765&gt;=duoMax),"D","G"),
C765="D",
IF(AND(AV765&gt;=AW765,I765="READABLE"),"H","D"),
C765="H",
IF(OR(I765="SAME",AD765&lt;=axisTol),"I","H"),
C765="I",
IF(AX765&gt;=sameN,"J","I"),
C765="J",
IF(OR(I765="EQUAL",BB765=1,BA765&gt;=duoMax),"K","J"),
C765="K",
IF(
 I765="SAME",
 IF(
   XLOOKUP($B765,Derived_Variables!$A:$A,Derived_Variables!$Q:$Q,"None")="None",
   "END",
   "P"
 ),
 "K"
),
C765="P",
IF(OR(I765="READABLE",I765="SAME"),"Q","P"),
C765="Q",
IF(OR(I765="READABLE",I765="SAME"),"R","Q"),
C765="R",
IF(OR(I765="TARGET_OK",I765="SAME"),"END","R"),
TRUE,"END"
)))</f>
        <v/>
      </c>
      <c r="BD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 t="str">
        <f t="array" ref="BC766">IF($I766="","",LET(
conf,AI766,
sameN,IF(conf="Low",1,IF(conf="Medium",2,3)),
duoMax,XLOOKUP($B766,Derived_Variables!$A:$A,Derived_Variables!$AI:$AI,4),
axisTol,XLOOKUP($B766,Derived_Variables!$A:$A,Derived_Variables!$W:$W,1),
IFS(
C766="A",
IF(
 OR(
   I766="NOT_READABLE",
   I766="BLURRY",
   AND(R766="20_20_20",I766="READABLE")
 ),
 "B",
 "A"
),
C766="B",
IF(AND(AV766&gt;=AW766,I766="READABLE"),"E","B"),
C766="E",
IF(OR(I766="SAME",AD766&lt;=axisTol),"F","E"),
C766="F",
IF(AX766&gt;=sameN,"G","F"),
C766="G",
IF(OR(I766="EQUAL",BB766=1,BA766&gt;=duoMax),"D","G"),
C766="D",
IF(AND(AV766&gt;=AW766,I766="READABLE"),"H","D"),
C766="H",
IF(OR(I766="SAME",AD766&lt;=axisTol),"I","H"),
C766="I",
IF(AX766&gt;=sameN,"J","I"),
C766="J",
IF(OR(I766="EQUAL",BB766=1,BA766&gt;=duoMax),"K","J"),
C766="K",
IF(
 I766="SAME",
 IF(
   XLOOKUP($B766,Derived_Variables!$A:$A,Derived_Variables!$Q:$Q,"None")="None",
   "END",
   "P"
 ),
 "K"
),
C766="P",
IF(OR(I766="READABLE",I766="SAME"),"Q","P"),
C766="Q",
IF(OR(I766="READABLE",I766="SAME"),"R","Q"),
C766="R",
IF(OR(I766="TARGET_OK",I766="SAME"),"END","R"),
TRUE,"END"
)))</f>
        <v/>
      </c>
      <c r="BD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 t="str">
        <f t="array" ref="BC767">IF($I767="","",LET(
conf,AI767,
sameN,IF(conf="Low",1,IF(conf="Medium",2,3)),
duoMax,XLOOKUP($B767,Derived_Variables!$A:$A,Derived_Variables!$AI:$AI,4),
axisTol,XLOOKUP($B767,Derived_Variables!$A:$A,Derived_Variables!$W:$W,1),
IFS(
C767="A",
IF(
 OR(
   I767="NOT_READABLE",
   I767="BLURRY",
   AND(R767="20_20_20",I767="READABLE")
 ),
 "B",
 "A"
),
C767="B",
IF(AND(AV767&gt;=AW767,I767="READABLE"),"E","B"),
C767="E",
IF(OR(I767="SAME",AD767&lt;=axisTol),"F","E"),
C767="F",
IF(AX767&gt;=sameN,"G","F"),
C767="G",
IF(OR(I767="EQUAL",BB767=1,BA767&gt;=duoMax),"D","G"),
C767="D",
IF(AND(AV767&gt;=AW767,I767="READABLE"),"H","D"),
C767="H",
IF(OR(I767="SAME",AD767&lt;=axisTol),"I","H"),
C767="I",
IF(AX767&gt;=sameN,"J","I"),
C767="J",
IF(OR(I767="EQUAL",BB767=1,BA767&gt;=duoMax),"K","J"),
C767="K",
IF(
 I767="SAME",
 IF(
   XLOOKUP($B767,Derived_Variables!$A:$A,Derived_Variables!$Q:$Q,"None")="None",
   "END",
   "P"
 ),
 "K"
),
C767="P",
IF(OR(I767="READABLE",I767="SAME"),"Q","P"),
C767="Q",
IF(OR(I767="READABLE",I767="SAME"),"R","Q"),
C767="R",
IF(OR(I767="TARGET_OK",I767="SAME"),"END","R"),
TRUE,"END"
)))</f>
        <v/>
      </c>
      <c r="BD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 t="str">
        <f t="array" ref="BC768">IF($I768="","",LET(
conf,AI768,
sameN,IF(conf="Low",1,IF(conf="Medium",2,3)),
duoMax,XLOOKUP($B768,Derived_Variables!$A:$A,Derived_Variables!$AI:$AI,4),
axisTol,XLOOKUP($B768,Derived_Variables!$A:$A,Derived_Variables!$W:$W,1),
IFS(
C768="A",
IF(
 OR(
   I768="NOT_READABLE",
   I768="BLURRY",
   AND(R768="20_20_20",I768="READABLE")
 ),
 "B",
 "A"
),
C768="B",
IF(AND(AV768&gt;=AW768,I768="READABLE"),"E","B"),
C768="E",
IF(OR(I768="SAME",AD768&lt;=axisTol),"F","E"),
C768="F",
IF(AX768&gt;=sameN,"G","F"),
C768="G",
IF(OR(I768="EQUAL",BB768=1,BA768&gt;=duoMax),"D","G"),
C768="D",
IF(AND(AV768&gt;=AW768,I768="READABLE"),"H","D"),
C768="H",
IF(OR(I768="SAME",AD768&lt;=axisTol),"I","H"),
C768="I",
IF(AX768&gt;=sameN,"J","I"),
C768="J",
IF(OR(I768="EQUAL",BB768=1,BA768&gt;=duoMax),"K","J"),
C768="K",
IF(
 I768="SAME",
 IF(
   XLOOKUP($B768,Derived_Variables!$A:$A,Derived_Variables!$Q:$Q,"None")="None",
   "END",
   "P"
 ),
 "K"
),
C768="P",
IF(OR(I768="READABLE",I768="SAME"),"Q","P"),
C768="Q",
IF(OR(I768="READABLE",I768="SAME"),"R","Q"),
C768="R",
IF(OR(I768="TARGET_OK",I768="SAME"),"END","R"),
TRUE,"END"
)))</f>
        <v/>
      </c>
      <c r="BD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 t="str">
        <f t="array" ref="BC769">IF($I769="","",LET(
conf,AI769,
sameN,IF(conf="Low",1,IF(conf="Medium",2,3)),
duoMax,XLOOKUP($B769,Derived_Variables!$A:$A,Derived_Variables!$AI:$AI,4),
axisTol,XLOOKUP($B769,Derived_Variables!$A:$A,Derived_Variables!$W:$W,1),
IFS(
C769="A",
IF(
 OR(
   I769="NOT_READABLE",
   I769="BLURRY",
   AND(R769="20_20_20",I769="READABLE")
 ),
 "B",
 "A"
),
C769="B",
IF(AND(AV769&gt;=AW769,I769="READABLE"),"E","B"),
C769="E",
IF(OR(I769="SAME",AD769&lt;=axisTol),"F","E"),
C769="F",
IF(AX769&gt;=sameN,"G","F"),
C769="G",
IF(OR(I769="EQUAL",BB769=1,BA769&gt;=duoMax),"D","G"),
C769="D",
IF(AND(AV769&gt;=AW769,I769="READABLE"),"H","D"),
C769="H",
IF(OR(I769="SAME",AD769&lt;=axisTol),"I","H"),
C769="I",
IF(AX769&gt;=sameN,"J","I"),
C769="J",
IF(OR(I769="EQUAL",BB769=1,BA769&gt;=duoMax),"K","J"),
C769="K",
IF(
 I769="SAME",
 IF(
   XLOOKUP($B769,Derived_Variables!$A:$A,Derived_Variables!$Q:$Q,"None")="None",
   "END",
   "P"
 ),
 "K"
),
C769="P",
IF(OR(I769="READABLE",I769="SAME"),"Q","P"),
C769="Q",
IF(OR(I769="READABLE",I769="SAME"),"R","Q"),
C769="R",
IF(OR(I769="TARGET_OK",I769="SAME"),"END","R"),
TRUE,"END"
)))</f>
        <v/>
      </c>
      <c r="BD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 t="str">
        <f t="array" ref="BC770">IF($I770="","",LET(
conf,AI770,
sameN,IF(conf="Low",1,IF(conf="Medium",2,3)),
duoMax,XLOOKUP($B770,Derived_Variables!$A:$A,Derived_Variables!$AI:$AI,4),
axisTol,XLOOKUP($B770,Derived_Variables!$A:$A,Derived_Variables!$W:$W,1),
IFS(
C770="A",
IF(
 OR(
   I770="NOT_READABLE",
   I770="BLURRY",
   AND(R770="20_20_20",I770="READABLE")
 ),
 "B",
 "A"
),
C770="B",
IF(AND(AV770&gt;=AW770,I770="READABLE"),"E","B"),
C770="E",
IF(OR(I770="SAME",AD770&lt;=axisTol),"F","E"),
C770="F",
IF(AX770&gt;=sameN,"G","F"),
C770="G",
IF(OR(I770="EQUAL",BB770=1,BA770&gt;=duoMax),"D","G"),
C770="D",
IF(AND(AV770&gt;=AW770,I770="READABLE"),"H","D"),
C770="H",
IF(OR(I770="SAME",AD770&lt;=axisTol),"I","H"),
C770="I",
IF(AX770&gt;=sameN,"J","I"),
C770="J",
IF(OR(I770="EQUAL",BB770=1,BA770&gt;=duoMax),"K","J"),
C770="K",
IF(
 I770="SAME",
 IF(
   XLOOKUP($B770,Derived_Variables!$A:$A,Derived_Variables!$Q:$Q,"None")="None",
   "END",
   "P"
 ),
 "K"
),
C770="P",
IF(OR(I770="READABLE",I770="SAME"),"Q","P"),
C770="Q",
IF(OR(I770="READABLE",I770="SAME"),"R","Q"),
C770="R",
IF(OR(I770="TARGET_OK",I770="SAME"),"END","R"),
TRUE,"END"
)))</f>
        <v/>
      </c>
      <c r="BD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 t="str">
        <f t="array" ref="BC771">IF($I771="","",LET(
conf,AI771,
sameN,IF(conf="Low",1,IF(conf="Medium",2,3)),
duoMax,XLOOKUP($B771,Derived_Variables!$A:$A,Derived_Variables!$AI:$AI,4),
axisTol,XLOOKUP($B771,Derived_Variables!$A:$A,Derived_Variables!$W:$W,1),
IFS(
C771="A",
IF(
 OR(
   I771="NOT_READABLE",
   I771="BLURRY",
   AND(R771="20_20_20",I771="READABLE")
 ),
 "B",
 "A"
),
C771="B",
IF(AND(AV771&gt;=AW771,I771="READABLE"),"E","B"),
C771="E",
IF(OR(I771="SAME",AD771&lt;=axisTol),"F","E"),
C771="F",
IF(AX771&gt;=sameN,"G","F"),
C771="G",
IF(OR(I771="EQUAL",BB771=1,BA771&gt;=duoMax),"D","G"),
C771="D",
IF(AND(AV771&gt;=AW771,I771="READABLE"),"H","D"),
C771="H",
IF(OR(I771="SAME",AD771&lt;=axisTol),"I","H"),
C771="I",
IF(AX771&gt;=sameN,"J","I"),
C771="J",
IF(OR(I771="EQUAL",BB771=1,BA771&gt;=duoMax),"K","J"),
C771="K",
IF(
 I771="SAME",
 IF(
   XLOOKUP($B771,Derived_Variables!$A:$A,Derived_Variables!$Q:$Q,"None")="None",
   "END",
   "P"
 ),
 "K"
),
C771="P",
IF(OR(I771="READABLE",I771="SAME"),"Q","P"),
C771="Q",
IF(OR(I771="READABLE",I771="SAME"),"R","Q"),
C771="R",
IF(OR(I771="TARGET_OK",I771="SAME"),"END","R"),
TRUE,"END"
)))</f>
        <v/>
      </c>
      <c r="BD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 t="str">
        <f t="array" ref="BC772">IF($I772="","",LET(
conf,AI772,
sameN,IF(conf="Low",1,IF(conf="Medium",2,3)),
duoMax,XLOOKUP($B772,Derived_Variables!$A:$A,Derived_Variables!$AI:$AI,4),
axisTol,XLOOKUP($B772,Derived_Variables!$A:$A,Derived_Variables!$W:$W,1),
IFS(
C772="A",
IF(
 OR(
   I772="NOT_READABLE",
   I772="BLURRY",
   AND(R772="20_20_20",I772="READABLE")
 ),
 "B",
 "A"
),
C772="B",
IF(AND(AV772&gt;=AW772,I772="READABLE"),"E","B"),
C772="E",
IF(OR(I772="SAME",AD772&lt;=axisTol),"F","E"),
C772="F",
IF(AX772&gt;=sameN,"G","F"),
C772="G",
IF(OR(I772="EQUAL",BB772=1,BA772&gt;=duoMax),"D","G"),
C772="D",
IF(AND(AV772&gt;=AW772,I772="READABLE"),"H","D"),
C772="H",
IF(OR(I772="SAME",AD772&lt;=axisTol),"I","H"),
C772="I",
IF(AX772&gt;=sameN,"J","I"),
C772="J",
IF(OR(I772="EQUAL",BB772=1,BA772&gt;=duoMax),"K","J"),
C772="K",
IF(
 I772="SAME",
 IF(
   XLOOKUP($B772,Derived_Variables!$A:$A,Derived_Variables!$Q:$Q,"None")="None",
   "END",
   "P"
 ),
 "K"
),
C772="P",
IF(OR(I772="READABLE",I772="SAME"),"Q","P"),
C772="Q",
IF(OR(I772="READABLE",I772="SAME"),"R","Q"),
C772="R",
IF(OR(I772="TARGET_OK",I772="SAME"),"END","R"),
TRUE,"END"
)))</f>
        <v/>
      </c>
      <c r="BD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 t="str">
        <f t="array" ref="BC773">IF($I773="","",LET(
conf,AI773,
sameN,IF(conf="Low",1,IF(conf="Medium",2,3)),
duoMax,XLOOKUP($B773,Derived_Variables!$A:$A,Derived_Variables!$AI:$AI,4),
axisTol,XLOOKUP($B773,Derived_Variables!$A:$A,Derived_Variables!$W:$W,1),
IFS(
C773="A",
IF(
 OR(
   I773="NOT_READABLE",
   I773="BLURRY",
   AND(R773="20_20_20",I773="READABLE")
 ),
 "B",
 "A"
),
C773="B",
IF(AND(AV773&gt;=AW773,I773="READABLE"),"E","B"),
C773="E",
IF(OR(I773="SAME",AD773&lt;=axisTol),"F","E"),
C773="F",
IF(AX773&gt;=sameN,"G","F"),
C773="G",
IF(OR(I773="EQUAL",BB773=1,BA773&gt;=duoMax),"D","G"),
C773="D",
IF(AND(AV773&gt;=AW773,I773="READABLE"),"H","D"),
C773="H",
IF(OR(I773="SAME",AD773&lt;=axisTol),"I","H"),
C773="I",
IF(AX773&gt;=sameN,"J","I"),
C773="J",
IF(OR(I773="EQUAL",BB773=1,BA773&gt;=duoMax),"K","J"),
C773="K",
IF(
 I773="SAME",
 IF(
   XLOOKUP($B773,Derived_Variables!$A:$A,Derived_Variables!$Q:$Q,"None")="None",
   "END",
   "P"
 ),
 "K"
),
C773="P",
IF(OR(I773="READABLE",I773="SAME"),"Q","P"),
C773="Q",
IF(OR(I773="READABLE",I773="SAME"),"R","Q"),
C773="R",
IF(OR(I773="TARGET_OK",I773="SAME"),"END","R"),
TRUE,"END"
)))</f>
        <v/>
      </c>
      <c r="BD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 t="str">
        <f t="array" ref="BC774">IF($I774="","",LET(
conf,AI774,
sameN,IF(conf="Low",1,IF(conf="Medium",2,3)),
duoMax,XLOOKUP($B774,Derived_Variables!$A:$A,Derived_Variables!$AI:$AI,4),
axisTol,XLOOKUP($B774,Derived_Variables!$A:$A,Derived_Variables!$W:$W,1),
IFS(
C774="A",
IF(
 OR(
   I774="NOT_READABLE",
   I774="BLURRY",
   AND(R774="20_20_20",I774="READABLE")
 ),
 "B",
 "A"
),
C774="B",
IF(AND(AV774&gt;=AW774,I774="READABLE"),"E","B"),
C774="E",
IF(OR(I774="SAME",AD774&lt;=axisTol),"F","E"),
C774="F",
IF(AX774&gt;=sameN,"G","F"),
C774="G",
IF(OR(I774="EQUAL",BB774=1,BA774&gt;=duoMax),"D","G"),
C774="D",
IF(AND(AV774&gt;=AW774,I774="READABLE"),"H","D"),
C774="H",
IF(OR(I774="SAME",AD774&lt;=axisTol),"I","H"),
C774="I",
IF(AX774&gt;=sameN,"J","I"),
C774="J",
IF(OR(I774="EQUAL",BB774=1,BA774&gt;=duoMax),"K","J"),
C774="K",
IF(
 I774="SAME",
 IF(
   XLOOKUP($B774,Derived_Variables!$A:$A,Derived_Variables!$Q:$Q,"None")="None",
   "END",
   "P"
 ),
 "K"
),
C774="P",
IF(OR(I774="READABLE",I774="SAME"),"Q","P"),
C774="Q",
IF(OR(I774="READABLE",I774="SAME"),"R","Q"),
C774="R",
IF(OR(I774="TARGET_OK",I774="SAME"),"END","R"),
TRUE,"END"
)))</f>
        <v/>
      </c>
      <c r="BD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 t="str">
        <f t="array" ref="BC775">IF($I775="","",LET(
conf,AI775,
sameN,IF(conf="Low",1,IF(conf="Medium",2,3)),
duoMax,XLOOKUP($B775,Derived_Variables!$A:$A,Derived_Variables!$AI:$AI,4),
axisTol,XLOOKUP($B775,Derived_Variables!$A:$A,Derived_Variables!$W:$W,1),
IFS(
C775="A",
IF(
 OR(
   I775="NOT_READABLE",
   I775="BLURRY",
   AND(R775="20_20_20",I775="READABLE")
 ),
 "B",
 "A"
),
C775="B",
IF(AND(AV775&gt;=AW775,I775="READABLE"),"E","B"),
C775="E",
IF(OR(I775="SAME",AD775&lt;=axisTol),"F","E"),
C775="F",
IF(AX775&gt;=sameN,"G","F"),
C775="G",
IF(OR(I775="EQUAL",BB775=1,BA775&gt;=duoMax),"D","G"),
C775="D",
IF(AND(AV775&gt;=AW775,I775="READABLE"),"H","D"),
C775="H",
IF(OR(I775="SAME",AD775&lt;=axisTol),"I","H"),
C775="I",
IF(AX775&gt;=sameN,"J","I"),
C775="J",
IF(OR(I775="EQUAL",BB775=1,BA775&gt;=duoMax),"K","J"),
C775="K",
IF(
 I775="SAME",
 IF(
   XLOOKUP($B775,Derived_Variables!$A:$A,Derived_Variables!$Q:$Q,"None")="None",
   "END",
   "P"
 ),
 "K"
),
C775="P",
IF(OR(I775="READABLE",I775="SAME"),"Q","P"),
C775="Q",
IF(OR(I775="READABLE",I775="SAME"),"R","Q"),
C775="R",
IF(OR(I775="TARGET_OK",I775="SAME"),"END","R"),
TRUE,"END"
)))</f>
        <v/>
      </c>
      <c r="BD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 t="str">
        <f t="array" ref="BC776">IF($I776="","",LET(
conf,AI776,
sameN,IF(conf="Low",1,IF(conf="Medium",2,3)),
duoMax,XLOOKUP($B776,Derived_Variables!$A:$A,Derived_Variables!$AI:$AI,4),
axisTol,XLOOKUP($B776,Derived_Variables!$A:$A,Derived_Variables!$W:$W,1),
IFS(
C776="A",
IF(
 OR(
   I776="NOT_READABLE",
   I776="BLURRY",
   AND(R776="20_20_20",I776="READABLE")
 ),
 "B",
 "A"
),
C776="B",
IF(AND(AV776&gt;=AW776,I776="READABLE"),"E","B"),
C776="E",
IF(OR(I776="SAME",AD776&lt;=axisTol),"F","E"),
C776="F",
IF(AX776&gt;=sameN,"G","F"),
C776="G",
IF(OR(I776="EQUAL",BB776=1,BA776&gt;=duoMax),"D","G"),
C776="D",
IF(AND(AV776&gt;=AW776,I776="READABLE"),"H","D"),
C776="H",
IF(OR(I776="SAME",AD776&lt;=axisTol),"I","H"),
C776="I",
IF(AX776&gt;=sameN,"J","I"),
C776="J",
IF(OR(I776="EQUAL",BB776=1,BA776&gt;=duoMax),"K","J"),
C776="K",
IF(
 I776="SAME",
 IF(
   XLOOKUP($B776,Derived_Variables!$A:$A,Derived_Variables!$Q:$Q,"None")="None",
   "END",
   "P"
 ),
 "K"
),
C776="P",
IF(OR(I776="READABLE",I776="SAME"),"Q","P"),
C776="Q",
IF(OR(I776="READABLE",I776="SAME"),"R","Q"),
C776="R",
IF(OR(I776="TARGET_OK",I776="SAME"),"END","R"),
TRUE,"END"
)))</f>
        <v/>
      </c>
      <c r="BD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 t="str">
        <f t="array" ref="BC777">IF($I777="","",LET(
conf,AI777,
sameN,IF(conf="Low",1,IF(conf="Medium",2,3)),
duoMax,XLOOKUP($B777,Derived_Variables!$A:$A,Derived_Variables!$AI:$AI,4),
axisTol,XLOOKUP($B777,Derived_Variables!$A:$A,Derived_Variables!$W:$W,1),
IFS(
C777="A",
IF(
 OR(
   I777="NOT_READABLE",
   I777="BLURRY",
   AND(R777="20_20_20",I777="READABLE")
 ),
 "B",
 "A"
),
C777="B",
IF(AND(AV777&gt;=AW777,I777="READABLE"),"E","B"),
C777="E",
IF(OR(I777="SAME",AD777&lt;=axisTol),"F","E"),
C777="F",
IF(AX777&gt;=sameN,"G","F"),
C777="G",
IF(OR(I777="EQUAL",BB777=1,BA777&gt;=duoMax),"D","G"),
C777="D",
IF(AND(AV777&gt;=AW777,I777="READABLE"),"H","D"),
C777="H",
IF(OR(I777="SAME",AD777&lt;=axisTol),"I","H"),
C777="I",
IF(AX777&gt;=sameN,"J","I"),
C777="J",
IF(OR(I777="EQUAL",BB777=1,BA777&gt;=duoMax),"K","J"),
C777="K",
IF(
 I777="SAME",
 IF(
   XLOOKUP($B777,Derived_Variables!$A:$A,Derived_Variables!$Q:$Q,"None")="None",
   "END",
   "P"
 ),
 "K"
),
C777="P",
IF(OR(I777="READABLE",I777="SAME"),"Q","P"),
C777="Q",
IF(OR(I777="READABLE",I777="SAME"),"R","Q"),
C777="R",
IF(OR(I777="TARGET_OK",I777="SAME"),"END","R"),
TRUE,"END"
)))</f>
        <v/>
      </c>
      <c r="BD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 t="str">
        <f t="array" ref="BC778">IF($I778="","",LET(
conf,AI778,
sameN,IF(conf="Low",1,IF(conf="Medium",2,3)),
duoMax,XLOOKUP($B778,Derived_Variables!$A:$A,Derived_Variables!$AI:$AI,4),
axisTol,XLOOKUP($B778,Derived_Variables!$A:$A,Derived_Variables!$W:$W,1),
IFS(
C778="A",
IF(
 OR(
   I778="NOT_READABLE",
   I778="BLURRY",
   AND(R778="20_20_20",I778="READABLE")
 ),
 "B",
 "A"
),
C778="B",
IF(AND(AV778&gt;=AW778,I778="READABLE"),"E","B"),
C778="E",
IF(OR(I778="SAME",AD778&lt;=axisTol),"F","E"),
C778="F",
IF(AX778&gt;=sameN,"G","F"),
C778="G",
IF(OR(I778="EQUAL",BB778=1,BA778&gt;=duoMax),"D","G"),
C778="D",
IF(AND(AV778&gt;=AW778,I778="READABLE"),"H","D"),
C778="H",
IF(OR(I778="SAME",AD778&lt;=axisTol),"I","H"),
C778="I",
IF(AX778&gt;=sameN,"J","I"),
C778="J",
IF(OR(I778="EQUAL",BB778=1,BA778&gt;=duoMax),"K","J"),
C778="K",
IF(
 I778="SAME",
 IF(
   XLOOKUP($B778,Derived_Variables!$A:$A,Derived_Variables!$Q:$Q,"None")="None",
   "END",
   "P"
 ),
 "K"
),
C778="P",
IF(OR(I778="READABLE",I778="SAME"),"Q","P"),
C778="Q",
IF(OR(I778="READABLE",I778="SAME"),"R","Q"),
C778="R",
IF(OR(I778="TARGET_OK",I778="SAME"),"END","R"),
TRUE,"END"
)))</f>
        <v/>
      </c>
      <c r="BD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 t="str">
        <f t="array" ref="BC779">IF($I779="","",LET(
conf,AI779,
sameN,IF(conf="Low",1,IF(conf="Medium",2,3)),
duoMax,XLOOKUP($B779,Derived_Variables!$A:$A,Derived_Variables!$AI:$AI,4),
axisTol,XLOOKUP($B779,Derived_Variables!$A:$A,Derived_Variables!$W:$W,1),
IFS(
C779="A",
IF(
 OR(
   I779="NOT_READABLE",
   I779="BLURRY",
   AND(R779="20_20_20",I779="READABLE")
 ),
 "B",
 "A"
),
C779="B",
IF(AND(AV779&gt;=AW779,I779="READABLE"),"E","B"),
C779="E",
IF(OR(I779="SAME",AD779&lt;=axisTol),"F","E"),
C779="F",
IF(AX779&gt;=sameN,"G","F"),
C779="G",
IF(OR(I779="EQUAL",BB779=1,BA779&gt;=duoMax),"D","G"),
C779="D",
IF(AND(AV779&gt;=AW779,I779="READABLE"),"H","D"),
C779="H",
IF(OR(I779="SAME",AD779&lt;=axisTol),"I","H"),
C779="I",
IF(AX779&gt;=sameN,"J","I"),
C779="J",
IF(OR(I779="EQUAL",BB779=1,BA779&gt;=duoMax),"K","J"),
C779="K",
IF(
 I779="SAME",
 IF(
   XLOOKUP($B779,Derived_Variables!$A:$A,Derived_Variables!$Q:$Q,"None")="None",
   "END",
   "P"
 ),
 "K"
),
C779="P",
IF(OR(I779="READABLE",I779="SAME"),"Q","P"),
C779="Q",
IF(OR(I779="READABLE",I779="SAME"),"R","Q"),
C779="R",
IF(OR(I779="TARGET_OK",I779="SAME"),"END","R"),
TRUE,"END"
)))</f>
        <v/>
      </c>
      <c r="BD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 t="str">
        <f t="array" ref="BC780">IF($I780="","",LET(
conf,AI780,
sameN,IF(conf="Low",1,IF(conf="Medium",2,3)),
duoMax,XLOOKUP($B780,Derived_Variables!$A:$A,Derived_Variables!$AI:$AI,4),
axisTol,XLOOKUP($B780,Derived_Variables!$A:$A,Derived_Variables!$W:$W,1),
IFS(
C780="A",
IF(
 OR(
   I780="NOT_READABLE",
   I780="BLURRY",
   AND(R780="20_20_20",I780="READABLE")
 ),
 "B",
 "A"
),
C780="B",
IF(AND(AV780&gt;=AW780,I780="READABLE"),"E","B"),
C780="E",
IF(OR(I780="SAME",AD780&lt;=axisTol),"F","E"),
C780="F",
IF(AX780&gt;=sameN,"G","F"),
C780="G",
IF(OR(I780="EQUAL",BB780=1,BA780&gt;=duoMax),"D","G"),
C780="D",
IF(AND(AV780&gt;=AW780,I780="READABLE"),"H","D"),
C780="H",
IF(OR(I780="SAME",AD780&lt;=axisTol),"I","H"),
C780="I",
IF(AX780&gt;=sameN,"J","I"),
C780="J",
IF(OR(I780="EQUAL",BB780=1,BA780&gt;=duoMax),"K","J"),
C780="K",
IF(
 I780="SAME",
 IF(
   XLOOKUP($B780,Derived_Variables!$A:$A,Derived_Variables!$Q:$Q,"None")="None",
   "END",
   "P"
 ),
 "K"
),
C780="P",
IF(OR(I780="READABLE",I780="SAME"),"Q","P"),
C780="Q",
IF(OR(I780="READABLE",I780="SAME"),"R","Q"),
C780="R",
IF(OR(I780="TARGET_OK",I780="SAME"),"END","R"),
TRUE,"END"
)))</f>
        <v/>
      </c>
      <c r="BD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 t="str">
        <f t="array" ref="BC781">IF($I781="","",LET(
conf,AI781,
sameN,IF(conf="Low",1,IF(conf="Medium",2,3)),
duoMax,XLOOKUP($B781,Derived_Variables!$A:$A,Derived_Variables!$AI:$AI,4),
axisTol,XLOOKUP($B781,Derived_Variables!$A:$A,Derived_Variables!$W:$W,1),
IFS(
C781="A",
IF(
 OR(
   I781="NOT_READABLE",
   I781="BLURRY",
   AND(R781="20_20_20",I781="READABLE")
 ),
 "B",
 "A"
),
C781="B",
IF(AND(AV781&gt;=AW781,I781="READABLE"),"E","B"),
C781="E",
IF(OR(I781="SAME",AD781&lt;=axisTol),"F","E"),
C781="F",
IF(AX781&gt;=sameN,"G","F"),
C781="G",
IF(OR(I781="EQUAL",BB781=1,BA781&gt;=duoMax),"D","G"),
C781="D",
IF(AND(AV781&gt;=AW781,I781="READABLE"),"H","D"),
C781="H",
IF(OR(I781="SAME",AD781&lt;=axisTol),"I","H"),
C781="I",
IF(AX781&gt;=sameN,"J","I"),
C781="J",
IF(OR(I781="EQUAL",BB781=1,BA781&gt;=duoMax),"K","J"),
C781="K",
IF(
 I781="SAME",
 IF(
   XLOOKUP($B781,Derived_Variables!$A:$A,Derived_Variables!$Q:$Q,"None")="None",
   "END",
   "P"
 ),
 "K"
),
C781="P",
IF(OR(I781="READABLE",I781="SAME"),"Q","P"),
C781="Q",
IF(OR(I781="READABLE",I781="SAME"),"R","Q"),
C781="R",
IF(OR(I781="TARGET_OK",I781="SAME"),"END","R"),
TRUE,"END"
)))</f>
        <v/>
      </c>
      <c r="BD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 t="str">
        <f t="array" ref="BC782">IF($I782="","",LET(
conf,AI782,
sameN,IF(conf="Low",1,IF(conf="Medium",2,3)),
duoMax,XLOOKUP($B782,Derived_Variables!$A:$A,Derived_Variables!$AI:$AI,4),
axisTol,XLOOKUP($B782,Derived_Variables!$A:$A,Derived_Variables!$W:$W,1),
IFS(
C782="A",
IF(
 OR(
   I782="NOT_READABLE",
   I782="BLURRY",
   AND(R782="20_20_20",I782="READABLE")
 ),
 "B",
 "A"
),
C782="B",
IF(AND(AV782&gt;=AW782,I782="READABLE"),"E","B"),
C782="E",
IF(OR(I782="SAME",AD782&lt;=axisTol),"F","E"),
C782="F",
IF(AX782&gt;=sameN,"G","F"),
C782="G",
IF(OR(I782="EQUAL",BB782=1,BA782&gt;=duoMax),"D","G"),
C782="D",
IF(AND(AV782&gt;=AW782,I782="READABLE"),"H","D"),
C782="H",
IF(OR(I782="SAME",AD782&lt;=axisTol),"I","H"),
C782="I",
IF(AX782&gt;=sameN,"J","I"),
C782="J",
IF(OR(I782="EQUAL",BB782=1,BA782&gt;=duoMax),"K","J"),
C782="K",
IF(
 I782="SAME",
 IF(
   XLOOKUP($B782,Derived_Variables!$A:$A,Derived_Variables!$Q:$Q,"None")="None",
   "END",
   "P"
 ),
 "K"
),
C782="P",
IF(OR(I782="READABLE",I782="SAME"),"Q","P"),
C782="Q",
IF(OR(I782="READABLE",I782="SAME"),"R","Q"),
C782="R",
IF(OR(I782="TARGET_OK",I782="SAME"),"END","R"),
TRUE,"END"
)))</f>
        <v/>
      </c>
      <c r="BD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 t="str">
        <f t="array" ref="BC783">IF($I783="","",LET(
conf,AI783,
sameN,IF(conf="Low",1,IF(conf="Medium",2,3)),
duoMax,XLOOKUP($B783,Derived_Variables!$A:$A,Derived_Variables!$AI:$AI,4),
axisTol,XLOOKUP($B783,Derived_Variables!$A:$A,Derived_Variables!$W:$W,1),
IFS(
C783="A",
IF(
 OR(
   I783="NOT_READABLE",
   I783="BLURRY",
   AND(R783="20_20_20",I783="READABLE")
 ),
 "B",
 "A"
),
C783="B",
IF(AND(AV783&gt;=AW783,I783="READABLE"),"E","B"),
C783="E",
IF(OR(I783="SAME",AD783&lt;=axisTol),"F","E"),
C783="F",
IF(AX783&gt;=sameN,"G","F"),
C783="G",
IF(OR(I783="EQUAL",BB783=1,BA783&gt;=duoMax),"D","G"),
C783="D",
IF(AND(AV783&gt;=AW783,I783="READABLE"),"H","D"),
C783="H",
IF(OR(I783="SAME",AD783&lt;=axisTol),"I","H"),
C783="I",
IF(AX783&gt;=sameN,"J","I"),
C783="J",
IF(OR(I783="EQUAL",BB783=1,BA783&gt;=duoMax),"K","J"),
C783="K",
IF(
 I783="SAME",
 IF(
   XLOOKUP($B783,Derived_Variables!$A:$A,Derived_Variables!$Q:$Q,"None")="None",
   "END",
   "P"
 ),
 "K"
),
C783="P",
IF(OR(I783="READABLE",I783="SAME"),"Q","P"),
C783="Q",
IF(OR(I783="READABLE",I783="SAME"),"R","Q"),
C783="R",
IF(OR(I783="TARGET_OK",I783="SAME"),"END","R"),
TRUE,"END"
)))</f>
        <v/>
      </c>
      <c r="BD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 t="str">
        <f t="array" ref="BC784">IF($I784="","",LET(
conf,AI784,
sameN,IF(conf="Low",1,IF(conf="Medium",2,3)),
duoMax,XLOOKUP($B784,Derived_Variables!$A:$A,Derived_Variables!$AI:$AI,4),
axisTol,XLOOKUP($B784,Derived_Variables!$A:$A,Derived_Variables!$W:$W,1),
IFS(
C784="A",
IF(
 OR(
   I784="NOT_READABLE",
   I784="BLURRY",
   AND(R784="20_20_20",I784="READABLE")
 ),
 "B",
 "A"
),
C784="B",
IF(AND(AV784&gt;=AW784,I784="READABLE"),"E","B"),
C784="E",
IF(OR(I784="SAME",AD784&lt;=axisTol),"F","E"),
C784="F",
IF(AX784&gt;=sameN,"G","F"),
C784="G",
IF(OR(I784="EQUAL",BB784=1,BA784&gt;=duoMax),"D","G"),
C784="D",
IF(AND(AV784&gt;=AW784,I784="READABLE"),"H","D"),
C784="H",
IF(OR(I784="SAME",AD784&lt;=axisTol),"I","H"),
C784="I",
IF(AX784&gt;=sameN,"J","I"),
C784="J",
IF(OR(I784="EQUAL",BB784=1,BA784&gt;=duoMax),"K","J"),
C784="K",
IF(
 I784="SAME",
 IF(
   XLOOKUP($B784,Derived_Variables!$A:$A,Derived_Variables!$Q:$Q,"None")="None",
   "END",
   "P"
 ),
 "K"
),
C784="P",
IF(OR(I784="READABLE",I784="SAME"),"Q","P"),
C784="Q",
IF(OR(I784="READABLE",I784="SAME"),"R","Q"),
C784="R",
IF(OR(I784="TARGET_OK",I784="SAME"),"END","R"),
TRUE,"END"
)))</f>
        <v/>
      </c>
      <c r="BD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 t="str">
        <f t="array" ref="BC785">IF($I785="","",LET(
conf,AI785,
sameN,IF(conf="Low",1,IF(conf="Medium",2,3)),
duoMax,XLOOKUP($B785,Derived_Variables!$A:$A,Derived_Variables!$AI:$AI,4),
axisTol,XLOOKUP($B785,Derived_Variables!$A:$A,Derived_Variables!$W:$W,1),
IFS(
C785="A",
IF(
 OR(
   I785="NOT_READABLE",
   I785="BLURRY",
   AND(R785="20_20_20",I785="READABLE")
 ),
 "B",
 "A"
),
C785="B",
IF(AND(AV785&gt;=AW785,I785="READABLE"),"E","B"),
C785="E",
IF(OR(I785="SAME",AD785&lt;=axisTol),"F","E"),
C785="F",
IF(AX785&gt;=sameN,"G","F"),
C785="G",
IF(OR(I785="EQUAL",BB785=1,BA785&gt;=duoMax),"D","G"),
C785="D",
IF(AND(AV785&gt;=AW785,I785="READABLE"),"H","D"),
C785="H",
IF(OR(I785="SAME",AD785&lt;=axisTol),"I","H"),
C785="I",
IF(AX785&gt;=sameN,"J","I"),
C785="J",
IF(OR(I785="EQUAL",BB785=1,BA785&gt;=duoMax),"K","J"),
C785="K",
IF(
 I785="SAME",
 IF(
   XLOOKUP($B785,Derived_Variables!$A:$A,Derived_Variables!$Q:$Q,"None")="None",
   "END",
   "P"
 ),
 "K"
),
C785="P",
IF(OR(I785="READABLE",I785="SAME"),"Q","P"),
C785="Q",
IF(OR(I785="READABLE",I785="SAME"),"R","Q"),
C785="R",
IF(OR(I785="TARGET_OK",I785="SAME"),"END","R"),
TRUE,"END"
)))</f>
        <v/>
      </c>
      <c r="BD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 t="str">
        <f t="array" ref="BC786">IF($I786="","",LET(
conf,AI786,
sameN,IF(conf="Low",1,IF(conf="Medium",2,3)),
duoMax,XLOOKUP($B786,Derived_Variables!$A:$A,Derived_Variables!$AI:$AI,4),
axisTol,XLOOKUP($B786,Derived_Variables!$A:$A,Derived_Variables!$W:$W,1),
IFS(
C786="A",
IF(
 OR(
   I786="NOT_READABLE",
   I786="BLURRY",
   AND(R786="20_20_20",I786="READABLE")
 ),
 "B",
 "A"
),
C786="B",
IF(AND(AV786&gt;=AW786,I786="READABLE"),"E","B"),
C786="E",
IF(OR(I786="SAME",AD786&lt;=axisTol),"F","E"),
C786="F",
IF(AX786&gt;=sameN,"G","F"),
C786="G",
IF(OR(I786="EQUAL",BB786=1,BA786&gt;=duoMax),"D","G"),
C786="D",
IF(AND(AV786&gt;=AW786,I786="READABLE"),"H","D"),
C786="H",
IF(OR(I786="SAME",AD786&lt;=axisTol),"I","H"),
C786="I",
IF(AX786&gt;=sameN,"J","I"),
C786="J",
IF(OR(I786="EQUAL",BB786=1,BA786&gt;=duoMax),"K","J"),
C786="K",
IF(
 I786="SAME",
 IF(
   XLOOKUP($B786,Derived_Variables!$A:$A,Derived_Variables!$Q:$Q,"None")="None",
   "END",
   "P"
 ),
 "K"
),
C786="P",
IF(OR(I786="READABLE",I786="SAME"),"Q","P"),
C786="Q",
IF(OR(I786="READABLE",I786="SAME"),"R","Q"),
C786="R",
IF(OR(I786="TARGET_OK",I786="SAME"),"END","R"),
TRUE,"END"
)))</f>
        <v/>
      </c>
      <c r="BD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 t="str">
        <f t="array" ref="BC787">IF($I787="","",LET(
conf,AI787,
sameN,IF(conf="Low",1,IF(conf="Medium",2,3)),
duoMax,XLOOKUP($B787,Derived_Variables!$A:$A,Derived_Variables!$AI:$AI,4),
axisTol,XLOOKUP($B787,Derived_Variables!$A:$A,Derived_Variables!$W:$W,1),
IFS(
C787="A",
IF(
 OR(
   I787="NOT_READABLE",
   I787="BLURRY",
   AND(R787="20_20_20",I787="READABLE")
 ),
 "B",
 "A"
),
C787="B",
IF(AND(AV787&gt;=AW787,I787="READABLE"),"E","B"),
C787="E",
IF(OR(I787="SAME",AD787&lt;=axisTol),"F","E"),
C787="F",
IF(AX787&gt;=sameN,"G","F"),
C787="G",
IF(OR(I787="EQUAL",BB787=1,BA787&gt;=duoMax),"D","G"),
C787="D",
IF(AND(AV787&gt;=AW787,I787="READABLE"),"H","D"),
C787="H",
IF(OR(I787="SAME",AD787&lt;=axisTol),"I","H"),
C787="I",
IF(AX787&gt;=sameN,"J","I"),
C787="J",
IF(OR(I787="EQUAL",BB787=1,BA787&gt;=duoMax),"K","J"),
C787="K",
IF(
 I787="SAME",
 IF(
   XLOOKUP($B787,Derived_Variables!$A:$A,Derived_Variables!$Q:$Q,"None")="None",
   "END",
   "P"
 ),
 "K"
),
C787="P",
IF(OR(I787="READABLE",I787="SAME"),"Q","P"),
C787="Q",
IF(OR(I787="READABLE",I787="SAME"),"R","Q"),
C787="R",
IF(OR(I787="TARGET_OK",I787="SAME"),"END","R"),
TRUE,"END"
)))</f>
        <v/>
      </c>
      <c r="BD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 t="str">
        <f t="array" ref="BC788">IF($I788="","",LET(
conf,AI788,
sameN,IF(conf="Low",1,IF(conf="Medium",2,3)),
duoMax,XLOOKUP($B788,Derived_Variables!$A:$A,Derived_Variables!$AI:$AI,4),
axisTol,XLOOKUP($B788,Derived_Variables!$A:$A,Derived_Variables!$W:$W,1),
IFS(
C788="A",
IF(
 OR(
   I788="NOT_READABLE",
   I788="BLURRY",
   AND(R788="20_20_20",I788="READABLE")
 ),
 "B",
 "A"
),
C788="B",
IF(AND(AV788&gt;=AW788,I788="READABLE"),"E","B"),
C788="E",
IF(OR(I788="SAME",AD788&lt;=axisTol),"F","E"),
C788="F",
IF(AX788&gt;=sameN,"G","F"),
C788="G",
IF(OR(I788="EQUAL",BB788=1,BA788&gt;=duoMax),"D","G"),
C788="D",
IF(AND(AV788&gt;=AW788,I788="READABLE"),"H","D"),
C788="H",
IF(OR(I788="SAME",AD788&lt;=axisTol),"I","H"),
C788="I",
IF(AX788&gt;=sameN,"J","I"),
C788="J",
IF(OR(I788="EQUAL",BB788=1,BA788&gt;=duoMax),"K","J"),
C788="K",
IF(
 I788="SAME",
 IF(
   XLOOKUP($B788,Derived_Variables!$A:$A,Derived_Variables!$Q:$Q,"None")="None",
   "END",
   "P"
 ),
 "K"
),
C788="P",
IF(OR(I788="READABLE",I788="SAME"),"Q","P"),
C788="Q",
IF(OR(I788="READABLE",I788="SAME"),"R","Q"),
C788="R",
IF(OR(I788="TARGET_OK",I788="SAME"),"END","R"),
TRUE,"END"
)))</f>
        <v/>
      </c>
      <c r="BD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 t="str">
        <f t="array" ref="BC789">IF($I789="","",LET(
conf,AI789,
sameN,IF(conf="Low",1,IF(conf="Medium",2,3)),
duoMax,XLOOKUP($B789,Derived_Variables!$A:$A,Derived_Variables!$AI:$AI,4),
axisTol,XLOOKUP($B789,Derived_Variables!$A:$A,Derived_Variables!$W:$W,1),
IFS(
C789="A",
IF(
 OR(
   I789="NOT_READABLE",
   I789="BLURRY",
   AND(R789="20_20_20",I789="READABLE")
 ),
 "B",
 "A"
),
C789="B",
IF(AND(AV789&gt;=AW789,I789="READABLE"),"E","B"),
C789="E",
IF(OR(I789="SAME",AD789&lt;=axisTol),"F","E"),
C789="F",
IF(AX789&gt;=sameN,"G","F"),
C789="G",
IF(OR(I789="EQUAL",BB789=1,BA789&gt;=duoMax),"D","G"),
C789="D",
IF(AND(AV789&gt;=AW789,I789="READABLE"),"H","D"),
C789="H",
IF(OR(I789="SAME",AD789&lt;=axisTol),"I","H"),
C789="I",
IF(AX789&gt;=sameN,"J","I"),
C789="J",
IF(OR(I789="EQUAL",BB789=1,BA789&gt;=duoMax),"K","J"),
C789="K",
IF(
 I789="SAME",
 IF(
   XLOOKUP($B789,Derived_Variables!$A:$A,Derived_Variables!$Q:$Q,"None")="None",
   "END",
   "P"
 ),
 "K"
),
C789="P",
IF(OR(I789="READABLE",I789="SAME"),"Q","P"),
C789="Q",
IF(OR(I789="READABLE",I789="SAME"),"R","Q"),
C789="R",
IF(OR(I789="TARGET_OK",I789="SAME"),"END","R"),
TRUE,"END"
)))</f>
        <v/>
      </c>
      <c r="BD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 t="str">
        <f t="array" ref="BC790">IF($I790="","",LET(
conf,AI790,
sameN,IF(conf="Low",1,IF(conf="Medium",2,3)),
duoMax,XLOOKUP($B790,Derived_Variables!$A:$A,Derived_Variables!$AI:$AI,4),
axisTol,XLOOKUP($B790,Derived_Variables!$A:$A,Derived_Variables!$W:$W,1),
IFS(
C790="A",
IF(
 OR(
   I790="NOT_READABLE",
   I790="BLURRY",
   AND(R790="20_20_20",I790="READABLE")
 ),
 "B",
 "A"
),
C790="B",
IF(AND(AV790&gt;=AW790,I790="READABLE"),"E","B"),
C790="E",
IF(OR(I790="SAME",AD790&lt;=axisTol),"F","E"),
C790="F",
IF(AX790&gt;=sameN,"G","F"),
C790="G",
IF(OR(I790="EQUAL",BB790=1,BA790&gt;=duoMax),"D","G"),
C790="D",
IF(AND(AV790&gt;=AW790,I790="READABLE"),"H","D"),
C790="H",
IF(OR(I790="SAME",AD790&lt;=axisTol),"I","H"),
C790="I",
IF(AX790&gt;=sameN,"J","I"),
C790="J",
IF(OR(I790="EQUAL",BB790=1,BA790&gt;=duoMax),"K","J"),
C790="K",
IF(
 I790="SAME",
 IF(
   XLOOKUP($B790,Derived_Variables!$A:$A,Derived_Variables!$Q:$Q,"None")="None",
   "END",
   "P"
 ),
 "K"
),
C790="P",
IF(OR(I790="READABLE",I790="SAME"),"Q","P"),
C790="Q",
IF(OR(I790="READABLE",I790="SAME"),"R","Q"),
C790="R",
IF(OR(I790="TARGET_OK",I790="SAME"),"END","R"),
TRUE,"END"
)))</f>
        <v/>
      </c>
      <c r="BD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 t="str">
        <f t="array" ref="BC791">IF($I791="","",LET(
conf,AI791,
sameN,IF(conf="Low",1,IF(conf="Medium",2,3)),
duoMax,XLOOKUP($B791,Derived_Variables!$A:$A,Derived_Variables!$AI:$AI,4),
axisTol,XLOOKUP($B791,Derived_Variables!$A:$A,Derived_Variables!$W:$W,1),
IFS(
C791="A",
IF(
 OR(
   I791="NOT_READABLE",
   I791="BLURRY",
   AND(R791="20_20_20",I791="READABLE")
 ),
 "B",
 "A"
),
C791="B",
IF(AND(AV791&gt;=AW791,I791="READABLE"),"E","B"),
C791="E",
IF(OR(I791="SAME",AD791&lt;=axisTol),"F","E"),
C791="F",
IF(AX791&gt;=sameN,"G","F"),
C791="G",
IF(OR(I791="EQUAL",BB791=1,BA791&gt;=duoMax),"D","G"),
C791="D",
IF(AND(AV791&gt;=AW791,I791="READABLE"),"H","D"),
C791="H",
IF(OR(I791="SAME",AD791&lt;=axisTol),"I","H"),
C791="I",
IF(AX791&gt;=sameN,"J","I"),
C791="J",
IF(OR(I791="EQUAL",BB791=1,BA791&gt;=duoMax),"K","J"),
C791="K",
IF(
 I791="SAME",
 IF(
   XLOOKUP($B791,Derived_Variables!$A:$A,Derived_Variables!$Q:$Q,"None")="None",
   "END",
   "P"
 ),
 "K"
),
C791="P",
IF(OR(I791="READABLE",I791="SAME"),"Q","P"),
C791="Q",
IF(OR(I791="READABLE",I791="SAME"),"R","Q"),
C791="R",
IF(OR(I791="TARGET_OK",I791="SAME"),"END","R"),
TRUE,"END"
)))</f>
        <v/>
      </c>
      <c r="BD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 t="str">
        <f t="array" ref="BC792">IF($I792="","",LET(
conf,AI792,
sameN,IF(conf="Low",1,IF(conf="Medium",2,3)),
duoMax,XLOOKUP($B792,Derived_Variables!$A:$A,Derived_Variables!$AI:$AI,4),
axisTol,XLOOKUP($B792,Derived_Variables!$A:$A,Derived_Variables!$W:$W,1),
IFS(
C792="A",
IF(
 OR(
   I792="NOT_READABLE",
   I792="BLURRY",
   AND(R792="20_20_20",I792="READABLE")
 ),
 "B",
 "A"
),
C792="B",
IF(AND(AV792&gt;=AW792,I792="READABLE"),"E","B"),
C792="E",
IF(OR(I792="SAME",AD792&lt;=axisTol),"F","E"),
C792="F",
IF(AX792&gt;=sameN,"G","F"),
C792="G",
IF(OR(I792="EQUAL",BB792=1,BA792&gt;=duoMax),"D","G"),
C792="D",
IF(AND(AV792&gt;=AW792,I792="READABLE"),"H","D"),
C792="H",
IF(OR(I792="SAME",AD792&lt;=axisTol),"I","H"),
C792="I",
IF(AX792&gt;=sameN,"J","I"),
C792="J",
IF(OR(I792="EQUAL",BB792=1,BA792&gt;=duoMax),"K","J"),
C792="K",
IF(
 I792="SAME",
 IF(
   XLOOKUP($B792,Derived_Variables!$A:$A,Derived_Variables!$Q:$Q,"None")="None",
   "END",
   "P"
 ),
 "K"
),
C792="P",
IF(OR(I792="READABLE",I792="SAME"),"Q","P"),
C792="Q",
IF(OR(I792="READABLE",I792="SAME"),"R","Q"),
C792="R",
IF(OR(I792="TARGET_OK",I792="SAME"),"END","R"),
TRUE,"END"
)))</f>
        <v/>
      </c>
      <c r="BD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 t="str">
        <f t="array" ref="BC793">IF($I793="","",LET(
conf,AI793,
sameN,IF(conf="Low",1,IF(conf="Medium",2,3)),
duoMax,XLOOKUP($B793,Derived_Variables!$A:$A,Derived_Variables!$AI:$AI,4),
axisTol,XLOOKUP($B793,Derived_Variables!$A:$A,Derived_Variables!$W:$W,1),
IFS(
C793="A",
IF(
 OR(
   I793="NOT_READABLE",
   I793="BLURRY",
   AND(R793="20_20_20",I793="READABLE")
 ),
 "B",
 "A"
),
C793="B",
IF(AND(AV793&gt;=AW793,I793="READABLE"),"E","B"),
C793="E",
IF(OR(I793="SAME",AD793&lt;=axisTol),"F","E"),
C793="F",
IF(AX793&gt;=sameN,"G","F"),
C793="G",
IF(OR(I793="EQUAL",BB793=1,BA793&gt;=duoMax),"D","G"),
C793="D",
IF(AND(AV793&gt;=AW793,I793="READABLE"),"H","D"),
C793="H",
IF(OR(I793="SAME",AD793&lt;=axisTol),"I","H"),
C793="I",
IF(AX793&gt;=sameN,"J","I"),
C793="J",
IF(OR(I793="EQUAL",BB793=1,BA793&gt;=duoMax),"K","J"),
C793="K",
IF(
 I793="SAME",
 IF(
   XLOOKUP($B793,Derived_Variables!$A:$A,Derived_Variables!$Q:$Q,"None")="None",
   "END",
   "P"
 ),
 "K"
),
C793="P",
IF(OR(I793="READABLE",I793="SAME"),"Q","P"),
C793="Q",
IF(OR(I793="READABLE",I793="SAME"),"R","Q"),
C793="R",
IF(OR(I793="TARGET_OK",I793="SAME"),"END","R"),
TRUE,"END"
)))</f>
        <v/>
      </c>
      <c r="BD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 t="str">
        <f t="array" ref="BC794">IF($I794="","",LET(
conf,AI794,
sameN,IF(conf="Low",1,IF(conf="Medium",2,3)),
duoMax,XLOOKUP($B794,Derived_Variables!$A:$A,Derived_Variables!$AI:$AI,4),
axisTol,XLOOKUP($B794,Derived_Variables!$A:$A,Derived_Variables!$W:$W,1),
IFS(
C794="A",
IF(
 OR(
   I794="NOT_READABLE",
   I794="BLURRY",
   AND(R794="20_20_20",I794="READABLE")
 ),
 "B",
 "A"
),
C794="B",
IF(AND(AV794&gt;=AW794,I794="READABLE"),"E","B"),
C794="E",
IF(OR(I794="SAME",AD794&lt;=axisTol),"F","E"),
C794="F",
IF(AX794&gt;=sameN,"G","F"),
C794="G",
IF(OR(I794="EQUAL",BB794=1,BA794&gt;=duoMax),"D","G"),
C794="D",
IF(AND(AV794&gt;=AW794,I794="READABLE"),"H","D"),
C794="H",
IF(OR(I794="SAME",AD794&lt;=axisTol),"I","H"),
C794="I",
IF(AX794&gt;=sameN,"J","I"),
C794="J",
IF(OR(I794="EQUAL",BB794=1,BA794&gt;=duoMax),"K","J"),
C794="K",
IF(
 I794="SAME",
 IF(
   XLOOKUP($B794,Derived_Variables!$A:$A,Derived_Variables!$Q:$Q,"None")="None",
   "END",
   "P"
 ),
 "K"
),
C794="P",
IF(OR(I794="READABLE",I794="SAME"),"Q","P"),
C794="Q",
IF(OR(I794="READABLE",I794="SAME"),"R","Q"),
C794="R",
IF(OR(I794="TARGET_OK",I794="SAME"),"END","R"),
TRUE,"END"
)))</f>
        <v/>
      </c>
      <c r="BD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 t="str">
        <f t="array" ref="BC795">IF($I795="","",LET(
conf,AI795,
sameN,IF(conf="Low",1,IF(conf="Medium",2,3)),
duoMax,XLOOKUP($B795,Derived_Variables!$A:$A,Derived_Variables!$AI:$AI,4),
axisTol,XLOOKUP($B795,Derived_Variables!$A:$A,Derived_Variables!$W:$W,1),
IFS(
C795="A",
IF(
 OR(
   I795="NOT_READABLE",
   I795="BLURRY",
   AND(R795="20_20_20",I795="READABLE")
 ),
 "B",
 "A"
),
C795="B",
IF(AND(AV795&gt;=AW795,I795="READABLE"),"E","B"),
C795="E",
IF(OR(I795="SAME",AD795&lt;=axisTol),"F","E"),
C795="F",
IF(AX795&gt;=sameN,"G","F"),
C795="G",
IF(OR(I795="EQUAL",BB795=1,BA795&gt;=duoMax),"D","G"),
C795="D",
IF(AND(AV795&gt;=AW795,I795="READABLE"),"H","D"),
C795="H",
IF(OR(I795="SAME",AD795&lt;=axisTol),"I","H"),
C795="I",
IF(AX795&gt;=sameN,"J","I"),
C795="J",
IF(OR(I795="EQUAL",BB795=1,BA795&gt;=duoMax),"K","J"),
C795="K",
IF(
 I795="SAME",
 IF(
   XLOOKUP($B795,Derived_Variables!$A:$A,Derived_Variables!$Q:$Q,"None")="None",
   "END",
   "P"
 ),
 "K"
),
C795="P",
IF(OR(I795="READABLE",I795="SAME"),"Q","P"),
C795="Q",
IF(OR(I795="READABLE",I795="SAME"),"R","Q"),
C795="R",
IF(OR(I795="TARGET_OK",I795="SAME"),"END","R"),
TRUE,"END"
)))</f>
        <v/>
      </c>
      <c r="BD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 t="str">
        <f t="array" ref="BC796">IF($I796="","",LET(
conf,AI796,
sameN,IF(conf="Low",1,IF(conf="Medium",2,3)),
duoMax,XLOOKUP($B796,Derived_Variables!$A:$A,Derived_Variables!$AI:$AI,4),
axisTol,XLOOKUP($B796,Derived_Variables!$A:$A,Derived_Variables!$W:$W,1),
IFS(
C796="A",
IF(
 OR(
   I796="NOT_READABLE",
   I796="BLURRY",
   AND(R796="20_20_20",I796="READABLE")
 ),
 "B",
 "A"
),
C796="B",
IF(AND(AV796&gt;=AW796,I796="READABLE"),"E","B"),
C796="E",
IF(OR(I796="SAME",AD796&lt;=axisTol),"F","E"),
C796="F",
IF(AX796&gt;=sameN,"G","F"),
C796="G",
IF(OR(I796="EQUAL",BB796=1,BA796&gt;=duoMax),"D","G"),
C796="D",
IF(AND(AV796&gt;=AW796,I796="READABLE"),"H","D"),
C796="H",
IF(OR(I796="SAME",AD796&lt;=axisTol),"I","H"),
C796="I",
IF(AX796&gt;=sameN,"J","I"),
C796="J",
IF(OR(I796="EQUAL",BB796=1,BA796&gt;=duoMax),"K","J"),
C796="K",
IF(
 I796="SAME",
 IF(
   XLOOKUP($B796,Derived_Variables!$A:$A,Derived_Variables!$Q:$Q,"None")="None",
   "END",
   "P"
 ),
 "K"
),
C796="P",
IF(OR(I796="READABLE",I796="SAME"),"Q","P"),
C796="Q",
IF(OR(I796="READABLE",I796="SAME"),"R","Q"),
C796="R",
IF(OR(I796="TARGET_OK",I796="SAME"),"END","R"),
TRUE,"END"
)))</f>
        <v/>
      </c>
      <c r="BD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 t="str">
        <f t="array" ref="BC797">IF($I797="","",LET(
conf,AI797,
sameN,IF(conf="Low",1,IF(conf="Medium",2,3)),
duoMax,XLOOKUP($B797,Derived_Variables!$A:$A,Derived_Variables!$AI:$AI,4),
axisTol,XLOOKUP($B797,Derived_Variables!$A:$A,Derived_Variables!$W:$W,1),
IFS(
C797="A",
IF(
 OR(
   I797="NOT_READABLE",
   I797="BLURRY",
   AND(R797="20_20_20",I797="READABLE")
 ),
 "B",
 "A"
),
C797="B",
IF(AND(AV797&gt;=AW797,I797="READABLE"),"E","B"),
C797="E",
IF(OR(I797="SAME",AD797&lt;=axisTol),"F","E"),
C797="F",
IF(AX797&gt;=sameN,"G","F"),
C797="G",
IF(OR(I797="EQUAL",BB797=1,BA797&gt;=duoMax),"D","G"),
C797="D",
IF(AND(AV797&gt;=AW797,I797="READABLE"),"H","D"),
C797="H",
IF(OR(I797="SAME",AD797&lt;=axisTol),"I","H"),
C797="I",
IF(AX797&gt;=sameN,"J","I"),
C797="J",
IF(OR(I797="EQUAL",BB797=1,BA797&gt;=duoMax),"K","J"),
C797="K",
IF(
 I797="SAME",
 IF(
   XLOOKUP($B797,Derived_Variables!$A:$A,Derived_Variables!$Q:$Q,"None")="None",
   "END",
   "P"
 ),
 "K"
),
C797="P",
IF(OR(I797="READABLE",I797="SAME"),"Q","P"),
C797="Q",
IF(OR(I797="READABLE",I797="SAME"),"R","Q"),
C797="R",
IF(OR(I797="TARGET_OK",I797="SAME"),"END","R"),
TRUE,"END"
)))</f>
        <v/>
      </c>
      <c r="BD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 t="str">
        <f t="array" ref="BC798">IF($I798="","",LET(
conf,AI798,
sameN,IF(conf="Low",1,IF(conf="Medium",2,3)),
duoMax,XLOOKUP($B798,Derived_Variables!$A:$A,Derived_Variables!$AI:$AI,4),
axisTol,XLOOKUP($B798,Derived_Variables!$A:$A,Derived_Variables!$W:$W,1),
IFS(
C798="A",
IF(
 OR(
   I798="NOT_READABLE",
   I798="BLURRY",
   AND(R798="20_20_20",I798="READABLE")
 ),
 "B",
 "A"
),
C798="B",
IF(AND(AV798&gt;=AW798,I798="READABLE"),"E","B"),
C798="E",
IF(OR(I798="SAME",AD798&lt;=axisTol),"F","E"),
C798="F",
IF(AX798&gt;=sameN,"G","F"),
C798="G",
IF(OR(I798="EQUAL",BB798=1,BA798&gt;=duoMax),"D","G"),
C798="D",
IF(AND(AV798&gt;=AW798,I798="READABLE"),"H","D"),
C798="H",
IF(OR(I798="SAME",AD798&lt;=axisTol),"I","H"),
C798="I",
IF(AX798&gt;=sameN,"J","I"),
C798="J",
IF(OR(I798="EQUAL",BB798=1,BA798&gt;=duoMax),"K","J"),
C798="K",
IF(
 I798="SAME",
 IF(
   XLOOKUP($B798,Derived_Variables!$A:$A,Derived_Variables!$Q:$Q,"None")="None",
   "END",
   "P"
 ),
 "K"
),
C798="P",
IF(OR(I798="READABLE",I798="SAME"),"Q","P"),
C798="Q",
IF(OR(I798="READABLE",I798="SAME"),"R","Q"),
C798="R",
IF(OR(I798="TARGET_OK",I798="SAME"),"END","R"),
TRUE,"END"
)))</f>
        <v/>
      </c>
      <c r="BD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 t="str">
        <f t="array" ref="BC799">IF($I799="","",LET(
conf,AI799,
sameN,IF(conf="Low",1,IF(conf="Medium",2,3)),
duoMax,XLOOKUP($B799,Derived_Variables!$A:$A,Derived_Variables!$AI:$AI,4),
axisTol,XLOOKUP($B799,Derived_Variables!$A:$A,Derived_Variables!$W:$W,1),
IFS(
C799="A",
IF(
 OR(
   I799="NOT_READABLE",
   I799="BLURRY",
   AND(R799="20_20_20",I799="READABLE")
 ),
 "B",
 "A"
),
C799="B",
IF(AND(AV799&gt;=AW799,I799="READABLE"),"E","B"),
C799="E",
IF(OR(I799="SAME",AD799&lt;=axisTol),"F","E"),
C799="F",
IF(AX799&gt;=sameN,"G","F"),
C799="G",
IF(OR(I799="EQUAL",BB799=1,BA799&gt;=duoMax),"D","G"),
C799="D",
IF(AND(AV799&gt;=AW799,I799="READABLE"),"H","D"),
C799="H",
IF(OR(I799="SAME",AD799&lt;=axisTol),"I","H"),
C799="I",
IF(AX799&gt;=sameN,"J","I"),
C799="J",
IF(OR(I799="EQUAL",BB799=1,BA799&gt;=duoMax),"K","J"),
C799="K",
IF(
 I799="SAME",
 IF(
   XLOOKUP($B799,Derived_Variables!$A:$A,Derived_Variables!$Q:$Q,"None")="None",
   "END",
   "P"
 ),
 "K"
),
C799="P",
IF(OR(I799="READABLE",I799="SAME"),"Q","P"),
C799="Q",
IF(OR(I799="READABLE",I799="SAME"),"R","Q"),
C799="R",
IF(OR(I799="TARGET_OK",I799="SAME"),"END","R"),
TRUE,"END"
)))</f>
        <v/>
      </c>
      <c r="BD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 t="str">
        <f t="array" ref="BC800">IF($I800="","",LET(
conf,AI800,
sameN,IF(conf="Low",1,IF(conf="Medium",2,3)),
duoMax,XLOOKUP($B800,Derived_Variables!$A:$A,Derived_Variables!$AI:$AI,4),
axisTol,XLOOKUP($B800,Derived_Variables!$A:$A,Derived_Variables!$W:$W,1),
IFS(
C800="A",
IF(
 OR(
   I800="NOT_READABLE",
   I800="BLURRY",
   AND(R800="20_20_20",I800="READABLE")
 ),
 "B",
 "A"
),
C800="B",
IF(AND(AV800&gt;=AW800,I800="READABLE"),"E","B"),
C800="E",
IF(OR(I800="SAME",AD800&lt;=axisTol),"F","E"),
C800="F",
IF(AX800&gt;=sameN,"G","F"),
C800="G",
IF(OR(I800="EQUAL",BB800=1,BA800&gt;=duoMax),"D","G"),
C800="D",
IF(AND(AV800&gt;=AW800,I800="READABLE"),"H","D"),
C800="H",
IF(OR(I800="SAME",AD800&lt;=axisTol),"I","H"),
C800="I",
IF(AX800&gt;=sameN,"J","I"),
C800="J",
IF(OR(I800="EQUAL",BB800=1,BA800&gt;=duoMax),"K","J"),
C800="K",
IF(
 I800="SAME",
 IF(
   XLOOKUP($B800,Derived_Variables!$A:$A,Derived_Variables!$Q:$Q,"None")="None",
   "END",
   "P"
 ),
 "K"
),
C800="P",
IF(OR(I800="READABLE",I800="SAME"),"Q","P"),
C800="Q",
IF(OR(I800="READABLE",I800="SAME"),"R","Q"),
C800="R",
IF(OR(I800="TARGET_OK",I800="SAME"),"END","R"),
TRUE,"END"
)))</f>
        <v/>
      </c>
      <c r="BD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 t="str">
        <f t="array" ref="BC801">IF($I801="","",LET(
conf,AI801,
sameN,IF(conf="Low",1,IF(conf="Medium",2,3)),
duoMax,XLOOKUP($B801,Derived_Variables!$A:$A,Derived_Variables!$AI:$AI,4),
axisTol,XLOOKUP($B801,Derived_Variables!$A:$A,Derived_Variables!$W:$W,1),
IFS(
C801="A",
IF(
 OR(
   I801="NOT_READABLE",
   I801="BLURRY",
   AND(R801="20_20_20",I801="READABLE")
 ),
 "B",
 "A"
),
C801="B",
IF(AND(AV801&gt;=AW801,I801="READABLE"),"E","B"),
C801="E",
IF(OR(I801="SAME",AD801&lt;=axisTol),"F","E"),
C801="F",
IF(AX801&gt;=sameN,"G","F"),
C801="G",
IF(OR(I801="EQUAL",BB801=1,BA801&gt;=duoMax),"D","G"),
C801="D",
IF(AND(AV801&gt;=AW801,I801="READABLE"),"H","D"),
C801="H",
IF(OR(I801="SAME",AD801&lt;=axisTol),"I","H"),
C801="I",
IF(AX801&gt;=sameN,"J","I"),
C801="J",
IF(OR(I801="EQUAL",BB801=1,BA801&gt;=duoMax),"K","J"),
C801="K",
IF(
 I801="SAME",
 IF(
   XLOOKUP($B801,Derived_Variables!$A:$A,Derived_Variables!$Q:$Q,"None")="None",
   "END",
   "P"
 ),
 "K"
),
C801="P",
IF(OR(I801="READABLE",I801="SAME"),"Q","P"),
C801="Q",
IF(OR(I801="READABLE",I801="SAME"),"R","Q"),
C801="R",
IF(OR(I801="TARGET_OK",I801="SAME"),"END","R"),
TRUE,"END"
)))</f>
        <v/>
      </c>
      <c r="BD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 t="str">
        <f t="array" ref="BC802">IF($I802="","",LET(
conf,AI802,
sameN,IF(conf="Low",1,IF(conf="Medium",2,3)),
duoMax,XLOOKUP($B802,Derived_Variables!$A:$A,Derived_Variables!$AI:$AI,4),
axisTol,XLOOKUP($B802,Derived_Variables!$A:$A,Derived_Variables!$W:$W,1),
IFS(
C802="A",
IF(
 OR(
   I802="NOT_READABLE",
   I802="BLURRY",
   AND(R802="20_20_20",I802="READABLE")
 ),
 "B",
 "A"
),
C802="B",
IF(AND(AV802&gt;=AW802,I802="READABLE"),"E","B"),
C802="E",
IF(OR(I802="SAME",AD802&lt;=axisTol),"F","E"),
C802="F",
IF(AX802&gt;=sameN,"G","F"),
C802="G",
IF(OR(I802="EQUAL",BB802=1,BA802&gt;=duoMax),"D","G"),
C802="D",
IF(AND(AV802&gt;=AW802,I802="READABLE"),"H","D"),
C802="H",
IF(OR(I802="SAME",AD802&lt;=axisTol),"I","H"),
C802="I",
IF(AX802&gt;=sameN,"J","I"),
C802="J",
IF(OR(I802="EQUAL",BB802=1,BA802&gt;=duoMax),"K","J"),
C802="K",
IF(
 I802="SAME",
 IF(
   XLOOKUP($B802,Derived_Variables!$A:$A,Derived_Variables!$Q:$Q,"None")="None",
   "END",
   "P"
 ),
 "K"
),
C802="P",
IF(OR(I802="READABLE",I802="SAME"),"Q","P"),
C802="Q",
IF(OR(I802="READABLE",I802="SAME"),"R","Q"),
C802="R",
IF(OR(I802="TARGET_OK",I802="SAME"),"END","R"),
TRUE,"END"
)))</f>
        <v/>
      </c>
      <c r="BD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 t="str">
        <f t="array" ref="BC803">IF($I803="","",LET(
conf,AI803,
sameN,IF(conf="Low",1,IF(conf="Medium",2,3)),
duoMax,XLOOKUP($B803,Derived_Variables!$A:$A,Derived_Variables!$AI:$AI,4),
axisTol,XLOOKUP($B803,Derived_Variables!$A:$A,Derived_Variables!$W:$W,1),
IFS(
C803="A",
IF(
 OR(
   I803="NOT_READABLE",
   I803="BLURRY",
   AND(R803="20_20_20",I803="READABLE")
 ),
 "B",
 "A"
),
C803="B",
IF(AND(AV803&gt;=AW803,I803="READABLE"),"E","B"),
C803="E",
IF(OR(I803="SAME",AD803&lt;=axisTol),"F","E"),
C803="F",
IF(AX803&gt;=sameN,"G","F"),
C803="G",
IF(OR(I803="EQUAL",BB803=1,BA803&gt;=duoMax),"D","G"),
C803="D",
IF(AND(AV803&gt;=AW803,I803="READABLE"),"H","D"),
C803="H",
IF(OR(I803="SAME",AD803&lt;=axisTol),"I","H"),
C803="I",
IF(AX803&gt;=sameN,"J","I"),
C803="J",
IF(OR(I803="EQUAL",BB803=1,BA803&gt;=duoMax),"K","J"),
C803="K",
IF(
 I803="SAME",
 IF(
   XLOOKUP($B803,Derived_Variables!$A:$A,Derived_Variables!$Q:$Q,"None")="None",
   "END",
   "P"
 ),
 "K"
),
C803="P",
IF(OR(I803="READABLE",I803="SAME"),"Q","P"),
C803="Q",
IF(OR(I803="READABLE",I803="SAME"),"R","Q"),
C803="R",
IF(OR(I803="TARGET_OK",I803="SAME"),"END","R"),
TRUE,"END"
)))</f>
        <v/>
      </c>
      <c r="BD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 t="str">
        <f t="array" ref="BC804">IF($I804="","",LET(
conf,AI804,
sameN,IF(conf="Low",1,IF(conf="Medium",2,3)),
duoMax,XLOOKUP($B804,Derived_Variables!$A:$A,Derived_Variables!$AI:$AI,4),
axisTol,XLOOKUP($B804,Derived_Variables!$A:$A,Derived_Variables!$W:$W,1),
IFS(
C804="A",
IF(
 OR(
   I804="NOT_READABLE",
   I804="BLURRY",
   AND(R804="20_20_20",I804="READABLE")
 ),
 "B",
 "A"
),
C804="B",
IF(AND(AV804&gt;=AW804,I804="READABLE"),"E","B"),
C804="E",
IF(OR(I804="SAME",AD804&lt;=axisTol),"F","E"),
C804="F",
IF(AX804&gt;=sameN,"G","F"),
C804="G",
IF(OR(I804="EQUAL",BB804=1,BA804&gt;=duoMax),"D","G"),
C804="D",
IF(AND(AV804&gt;=AW804,I804="READABLE"),"H","D"),
C804="H",
IF(OR(I804="SAME",AD804&lt;=axisTol),"I","H"),
C804="I",
IF(AX804&gt;=sameN,"J","I"),
C804="J",
IF(OR(I804="EQUAL",BB804=1,BA804&gt;=duoMax),"K","J"),
C804="K",
IF(
 I804="SAME",
 IF(
   XLOOKUP($B804,Derived_Variables!$A:$A,Derived_Variables!$Q:$Q,"None")="None",
   "END",
   "P"
 ),
 "K"
),
C804="P",
IF(OR(I804="READABLE",I804="SAME"),"Q","P"),
C804="Q",
IF(OR(I804="READABLE",I804="SAME"),"R","Q"),
C804="R",
IF(OR(I804="TARGET_OK",I804="SAME"),"END","R"),
TRUE,"END"
)))</f>
        <v/>
      </c>
      <c r="BD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 t="str">
        <f t="array" ref="BC805">IF($I805="","",LET(
conf,AI805,
sameN,IF(conf="Low",1,IF(conf="Medium",2,3)),
duoMax,XLOOKUP($B805,Derived_Variables!$A:$A,Derived_Variables!$AI:$AI,4),
axisTol,XLOOKUP($B805,Derived_Variables!$A:$A,Derived_Variables!$W:$W,1),
IFS(
C805="A",
IF(
 OR(
   I805="NOT_READABLE",
   I805="BLURRY",
   AND(R805="20_20_20",I805="READABLE")
 ),
 "B",
 "A"
),
C805="B",
IF(AND(AV805&gt;=AW805,I805="READABLE"),"E","B"),
C805="E",
IF(OR(I805="SAME",AD805&lt;=axisTol),"F","E"),
C805="F",
IF(AX805&gt;=sameN,"G","F"),
C805="G",
IF(OR(I805="EQUAL",BB805=1,BA805&gt;=duoMax),"D","G"),
C805="D",
IF(AND(AV805&gt;=AW805,I805="READABLE"),"H","D"),
C805="H",
IF(OR(I805="SAME",AD805&lt;=axisTol),"I","H"),
C805="I",
IF(AX805&gt;=sameN,"J","I"),
C805="J",
IF(OR(I805="EQUAL",BB805=1,BA805&gt;=duoMax),"K","J"),
C805="K",
IF(
 I805="SAME",
 IF(
   XLOOKUP($B805,Derived_Variables!$A:$A,Derived_Variables!$Q:$Q,"None")="None",
   "END",
   "P"
 ),
 "K"
),
C805="P",
IF(OR(I805="READABLE",I805="SAME"),"Q","P"),
C805="Q",
IF(OR(I805="READABLE",I805="SAME"),"R","Q"),
C805="R",
IF(OR(I805="TARGET_OK",I805="SAME"),"END","R"),
TRUE,"END"
)))</f>
        <v/>
      </c>
      <c r="BD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 t="str">
        <f t="array" ref="BC806">IF($I806="","",LET(
conf,AI806,
sameN,IF(conf="Low",1,IF(conf="Medium",2,3)),
duoMax,XLOOKUP($B806,Derived_Variables!$A:$A,Derived_Variables!$AI:$AI,4),
axisTol,XLOOKUP($B806,Derived_Variables!$A:$A,Derived_Variables!$W:$W,1),
IFS(
C806="A",
IF(
 OR(
   I806="NOT_READABLE",
   I806="BLURRY",
   AND(R806="20_20_20",I806="READABLE")
 ),
 "B",
 "A"
),
C806="B",
IF(AND(AV806&gt;=AW806,I806="READABLE"),"E","B"),
C806="E",
IF(OR(I806="SAME",AD806&lt;=axisTol),"F","E"),
C806="F",
IF(AX806&gt;=sameN,"G","F"),
C806="G",
IF(OR(I806="EQUAL",BB806=1,BA806&gt;=duoMax),"D","G"),
C806="D",
IF(AND(AV806&gt;=AW806,I806="READABLE"),"H","D"),
C806="H",
IF(OR(I806="SAME",AD806&lt;=axisTol),"I","H"),
C806="I",
IF(AX806&gt;=sameN,"J","I"),
C806="J",
IF(OR(I806="EQUAL",BB806=1,BA806&gt;=duoMax),"K","J"),
C806="K",
IF(
 I806="SAME",
 IF(
   XLOOKUP($B806,Derived_Variables!$A:$A,Derived_Variables!$Q:$Q,"None")="None",
   "END",
   "P"
 ),
 "K"
),
C806="P",
IF(OR(I806="READABLE",I806="SAME"),"Q","P"),
C806="Q",
IF(OR(I806="READABLE",I806="SAME"),"R","Q"),
C806="R",
IF(OR(I806="TARGET_OK",I806="SAME"),"END","R"),
TRUE,"END"
)))</f>
        <v/>
      </c>
      <c r="BD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 t="str">
        <f t="array" ref="BC807">IF($I807="","",LET(
conf,AI807,
sameN,IF(conf="Low",1,IF(conf="Medium",2,3)),
duoMax,XLOOKUP($B807,Derived_Variables!$A:$A,Derived_Variables!$AI:$AI,4),
axisTol,XLOOKUP($B807,Derived_Variables!$A:$A,Derived_Variables!$W:$W,1),
IFS(
C807="A",
IF(
 OR(
   I807="NOT_READABLE",
   I807="BLURRY",
   AND(R807="20_20_20",I807="READABLE")
 ),
 "B",
 "A"
),
C807="B",
IF(AND(AV807&gt;=AW807,I807="READABLE"),"E","B"),
C807="E",
IF(OR(I807="SAME",AD807&lt;=axisTol),"F","E"),
C807="F",
IF(AX807&gt;=sameN,"G","F"),
C807="G",
IF(OR(I807="EQUAL",BB807=1,BA807&gt;=duoMax),"D","G"),
C807="D",
IF(AND(AV807&gt;=AW807,I807="READABLE"),"H","D"),
C807="H",
IF(OR(I807="SAME",AD807&lt;=axisTol),"I","H"),
C807="I",
IF(AX807&gt;=sameN,"J","I"),
C807="J",
IF(OR(I807="EQUAL",BB807=1,BA807&gt;=duoMax),"K","J"),
C807="K",
IF(
 I807="SAME",
 IF(
   XLOOKUP($B807,Derived_Variables!$A:$A,Derived_Variables!$Q:$Q,"None")="None",
   "END",
   "P"
 ),
 "K"
),
C807="P",
IF(OR(I807="READABLE",I807="SAME"),"Q","P"),
C807="Q",
IF(OR(I807="READABLE",I807="SAME"),"R","Q"),
C807="R",
IF(OR(I807="TARGET_OK",I807="SAME"),"END","R"),
TRUE,"END"
)))</f>
        <v/>
      </c>
      <c r="BD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 t="str">
        <f t="array" ref="BC808">IF($I808="","",LET(
conf,AI808,
sameN,IF(conf="Low",1,IF(conf="Medium",2,3)),
duoMax,XLOOKUP($B808,Derived_Variables!$A:$A,Derived_Variables!$AI:$AI,4),
axisTol,XLOOKUP($B808,Derived_Variables!$A:$A,Derived_Variables!$W:$W,1),
IFS(
C808="A",
IF(
 OR(
   I808="NOT_READABLE",
   I808="BLURRY",
   AND(R808="20_20_20",I808="READABLE")
 ),
 "B",
 "A"
),
C808="B",
IF(AND(AV808&gt;=AW808,I808="READABLE"),"E","B"),
C808="E",
IF(OR(I808="SAME",AD808&lt;=axisTol),"F","E"),
C808="F",
IF(AX808&gt;=sameN,"G","F"),
C808="G",
IF(OR(I808="EQUAL",BB808=1,BA808&gt;=duoMax),"D","G"),
C808="D",
IF(AND(AV808&gt;=AW808,I808="READABLE"),"H","D"),
C808="H",
IF(OR(I808="SAME",AD808&lt;=axisTol),"I","H"),
C808="I",
IF(AX808&gt;=sameN,"J","I"),
C808="J",
IF(OR(I808="EQUAL",BB808=1,BA808&gt;=duoMax),"K","J"),
C808="K",
IF(
 I808="SAME",
 IF(
   XLOOKUP($B808,Derived_Variables!$A:$A,Derived_Variables!$Q:$Q,"None")="None",
   "END",
   "P"
 ),
 "K"
),
C808="P",
IF(OR(I808="READABLE",I808="SAME"),"Q","P"),
C808="Q",
IF(OR(I808="READABLE",I808="SAME"),"R","Q"),
C808="R",
IF(OR(I808="TARGET_OK",I808="SAME"),"END","R"),
TRUE,"END"
)))</f>
        <v/>
      </c>
      <c r="BD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 t="str">
        <f t="array" ref="BC809">IF($I809="","",LET(
conf,AI809,
sameN,IF(conf="Low",1,IF(conf="Medium",2,3)),
duoMax,XLOOKUP($B809,Derived_Variables!$A:$A,Derived_Variables!$AI:$AI,4),
axisTol,XLOOKUP($B809,Derived_Variables!$A:$A,Derived_Variables!$W:$W,1),
IFS(
C809="A",
IF(
 OR(
   I809="NOT_READABLE",
   I809="BLURRY",
   AND(R809="20_20_20",I809="READABLE")
 ),
 "B",
 "A"
),
C809="B",
IF(AND(AV809&gt;=AW809,I809="READABLE"),"E","B"),
C809="E",
IF(OR(I809="SAME",AD809&lt;=axisTol),"F","E"),
C809="F",
IF(AX809&gt;=sameN,"G","F"),
C809="G",
IF(OR(I809="EQUAL",BB809=1,BA809&gt;=duoMax),"D","G"),
C809="D",
IF(AND(AV809&gt;=AW809,I809="READABLE"),"H","D"),
C809="H",
IF(OR(I809="SAME",AD809&lt;=axisTol),"I","H"),
C809="I",
IF(AX809&gt;=sameN,"J","I"),
C809="J",
IF(OR(I809="EQUAL",BB809=1,BA809&gt;=duoMax),"K","J"),
C809="K",
IF(
 I809="SAME",
 IF(
   XLOOKUP($B809,Derived_Variables!$A:$A,Derived_Variables!$Q:$Q,"None")="None",
   "END",
   "P"
 ),
 "K"
),
C809="P",
IF(OR(I809="READABLE",I809="SAME"),"Q","P"),
C809="Q",
IF(OR(I809="READABLE",I809="SAME"),"R","Q"),
C809="R",
IF(OR(I809="TARGET_OK",I809="SAME"),"END","R"),
TRUE,"END"
)))</f>
        <v/>
      </c>
      <c r="BD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 t="str">
        <f t="array" ref="BC810">IF($I810="","",LET(
conf,AI810,
sameN,IF(conf="Low",1,IF(conf="Medium",2,3)),
duoMax,XLOOKUP($B810,Derived_Variables!$A:$A,Derived_Variables!$AI:$AI,4),
axisTol,XLOOKUP($B810,Derived_Variables!$A:$A,Derived_Variables!$W:$W,1),
IFS(
C810="A",
IF(
 OR(
   I810="NOT_READABLE",
   I810="BLURRY",
   AND(R810="20_20_20",I810="READABLE")
 ),
 "B",
 "A"
),
C810="B",
IF(AND(AV810&gt;=AW810,I810="READABLE"),"E","B"),
C810="E",
IF(OR(I810="SAME",AD810&lt;=axisTol),"F","E"),
C810="F",
IF(AX810&gt;=sameN,"G","F"),
C810="G",
IF(OR(I810="EQUAL",BB810=1,BA810&gt;=duoMax),"D","G"),
C810="D",
IF(AND(AV810&gt;=AW810,I810="READABLE"),"H","D"),
C810="H",
IF(OR(I810="SAME",AD810&lt;=axisTol),"I","H"),
C810="I",
IF(AX810&gt;=sameN,"J","I"),
C810="J",
IF(OR(I810="EQUAL",BB810=1,BA810&gt;=duoMax),"K","J"),
C810="K",
IF(
 I810="SAME",
 IF(
   XLOOKUP($B810,Derived_Variables!$A:$A,Derived_Variables!$Q:$Q,"None")="None",
   "END",
   "P"
 ),
 "K"
),
C810="P",
IF(OR(I810="READABLE",I810="SAME"),"Q","P"),
C810="Q",
IF(OR(I810="READABLE",I810="SAME"),"R","Q"),
C810="R",
IF(OR(I810="TARGET_OK",I810="SAME"),"END","R"),
TRUE,"END"
)))</f>
        <v/>
      </c>
      <c r="BD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 t="str">
        <f t="array" ref="BC811">IF($I811="","",LET(
conf,AI811,
sameN,IF(conf="Low",1,IF(conf="Medium",2,3)),
duoMax,XLOOKUP($B811,Derived_Variables!$A:$A,Derived_Variables!$AI:$AI,4),
axisTol,XLOOKUP($B811,Derived_Variables!$A:$A,Derived_Variables!$W:$W,1),
IFS(
C811="A",
IF(
 OR(
   I811="NOT_READABLE",
   I811="BLURRY",
   AND(R811="20_20_20",I811="READABLE")
 ),
 "B",
 "A"
),
C811="B",
IF(AND(AV811&gt;=AW811,I811="READABLE"),"E","B"),
C811="E",
IF(OR(I811="SAME",AD811&lt;=axisTol),"F","E"),
C811="F",
IF(AX811&gt;=sameN,"G","F"),
C811="G",
IF(OR(I811="EQUAL",BB811=1,BA811&gt;=duoMax),"D","G"),
C811="D",
IF(AND(AV811&gt;=AW811,I811="READABLE"),"H","D"),
C811="H",
IF(OR(I811="SAME",AD811&lt;=axisTol),"I","H"),
C811="I",
IF(AX811&gt;=sameN,"J","I"),
C811="J",
IF(OR(I811="EQUAL",BB811=1,BA811&gt;=duoMax),"K","J"),
C811="K",
IF(
 I811="SAME",
 IF(
   XLOOKUP($B811,Derived_Variables!$A:$A,Derived_Variables!$Q:$Q,"None")="None",
   "END",
   "P"
 ),
 "K"
),
C811="P",
IF(OR(I811="READABLE",I811="SAME"),"Q","P"),
C811="Q",
IF(OR(I811="READABLE",I811="SAME"),"R","Q"),
C811="R",
IF(OR(I811="TARGET_OK",I811="SAME"),"END","R"),
TRUE,"END"
)))</f>
        <v/>
      </c>
      <c r="BD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 t="str">
        <f t="array" ref="BC812">IF($I812="","",LET(
conf,AI812,
sameN,IF(conf="Low",1,IF(conf="Medium",2,3)),
duoMax,XLOOKUP($B812,Derived_Variables!$A:$A,Derived_Variables!$AI:$AI,4),
axisTol,XLOOKUP($B812,Derived_Variables!$A:$A,Derived_Variables!$W:$W,1),
IFS(
C812="A",
IF(
 OR(
   I812="NOT_READABLE",
   I812="BLURRY",
   AND(R812="20_20_20",I812="READABLE")
 ),
 "B",
 "A"
),
C812="B",
IF(AND(AV812&gt;=AW812,I812="READABLE"),"E","B"),
C812="E",
IF(OR(I812="SAME",AD812&lt;=axisTol),"F","E"),
C812="F",
IF(AX812&gt;=sameN,"G","F"),
C812="G",
IF(OR(I812="EQUAL",BB812=1,BA812&gt;=duoMax),"D","G"),
C812="D",
IF(AND(AV812&gt;=AW812,I812="READABLE"),"H","D"),
C812="H",
IF(OR(I812="SAME",AD812&lt;=axisTol),"I","H"),
C812="I",
IF(AX812&gt;=sameN,"J","I"),
C812="J",
IF(OR(I812="EQUAL",BB812=1,BA812&gt;=duoMax),"K","J"),
C812="K",
IF(
 I812="SAME",
 IF(
   XLOOKUP($B812,Derived_Variables!$A:$A,Derived_Variables!$Q:$Q,"None")="None",
   "END",
   "P"
 ),
 "K"
),
C812="P",
IF(OR(I812="READABLE",I812="SAME"),"Q","P"),
C812="Q",
IF(OR(I812="READABLE",I812="SAME"),"R","Q"),
C812="R",
IF(OR(I812="TARGET_OK",I812="SAME"),"END","R"),
TRUE,"END"
)))</f>
        <v/>
      </c>
      <c r="BD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 t="str">
        <f t="array" ref="BC813">IF($I813="","",LET(
conf,AI813,
sameN,IF(conf="Low",1,IF(conf="Medium",2,3)),
duoMax,XLOOKUP($B813,Derived_Variables!$A:$A,Derived_Variables!$AI:$AI,4),
axisTol,XLOOKUP($B813,Derived_Variables!$A:$A,Derived_Variables!$W:$W,1),
IFS(
C813="A",
IF(
 OR(
   I813="NOT_READABLE",
   I813="BLURRY",
   AND(R813="20_20_20",I813="READABLE")
 ),
 "B",
 "A"
),
C813="B",
IF(AND(AV813&gt;=AW813,I813="READABLE"),"E","B"),
C813="E",
IF(OR(I813="SAME",AD813&lt;=axisTol),"F","E"),
C813="F",
IF(AX813&gt;=sameN,"G","F"),
C813="G",
IF(OR(I813="EQUAL",BB813=1,BA813&gt;=duoMax),"D","G"),
C813="D",
IF(AND(AV813&gt;=AW813,I813="READABLE"),"H","D"),
C813="H",
IF(OR(I813="SAME",AD813&lt;=axisTol),"I","H"),
C813="I",
IF(AX813&gt;=sameN,"J","I"),
C813="J",
IF(OR(I813="EQUAL",BB813=1,BA813&gt;=duoMax),"K","J"),
C813="K",
IF(
 I813="SAME",
 IF(
   XLOOKUP($B813,Derived_Variables!$A:$A,Derived_Variables!$Q:$Q,"None")="None",
   "END",
   "P"
 ),
 "K"
),
C813="P",
IF(OR(I813="READABLE",I813="SAME"),"Q","P"),
C813="Q",
IF(OR(I813="READABLE",I813="SAME"),"R","Q"),
C813="R",
IF(OR(I813="TARGET_OK",I813="SAME"),"END","R"),
TRUE,"END"
)))</f>
        <v/>
      </c>
      <c r="BD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 t="str">
        <f t="array" ref="BC814">IF($I814="","",LET(
conf,AI814,
sameN,IF(conf="Low",1,IF(conf="Medium",2,3)),
duoMax,XLOOKUP($B814,Derived_Variables!$A:$A,Derived_Variables!$AI:$AI,4),
axisTol,XLOOKUP($B814,Derived_Variables!$A:$A,Derived_Variables!$W:$W,1),
IFS(
C814="A",
IF(
 OR(
   I814="NOT_READABLE",
   I814="BLURRY",
   AND(R814="20_20_20",I814="READABLE")
 ),
 "B",
 "A"
),
C814="B",
IF(AND(AV814&gt;=AW814,I814="READABLE"),"E","B"),
C814="E",
IF(OR(I814="SAME",AD814&lt;=axisTol),"F","E"),
C814="F",
IF(AX814&gt;=sameN,"G","F"),
C814="G",
IF(OR(I814="EQUAL",BB814=1,BA814&gt;=duoMax),"D","G"),
C814="D",
IF(AND(AV814&gt;=AW814,I814="READABLE"),"H","D"),
C814="H",
IF(OR(I814="SAME",AD814&lt;=axisTol),"I","H"),
C814="I",
IF(AX814&gt;=sameN,"J","I"),
C814="J",
IF(OR(I814="EQUAL",BB814=1,BA814&gt;=duoMax),"K","J"),
C814="K",
IF(
 I814="SAME",
 IF(
   XLOOKUP($B814,Derived_Variables!$A:$A,Derived_Variables!$Q:$Q,"None")="None",
   "END",
   "P"
 ),
 "K"
),
C814="P",
IF(OR(I814="READABLE",I814="SAME"),"Q","P"),
C814="Q",
IF(OR(I814="READABLE",I814="SAME"),"R","Q"),
C814="R",
IF(OR(I814="TARGET_OK",I814="SAME"),"END","R"),
TRUE,"END"
)))</f>
        <v/>
      </c>
      <c r="BD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 t="str">
        <f t="array" ref="BC815">IF($I815="","",LET(
conf,AI815,
sameN,IF(conf="Low",1,IF(conf="Medium",2,3)),
duoMax,XLOOKUP($B815,Derived_Variables!$A:$A,Derived_Variables!$AI:$AI,4),
axisTol,XLOOKUP($B815,Derived_Variables!$A:$A,Derived_Variables!$W:$W,1),
IFS(
C815="A",
IF(
 OR(
   I815="NOT_READABLE",
   I815="BLURRY",
   AND(R815="20_20_20",I815="READABLE")
 ),
 "B",
 "A"
),
C815="B",
IF(AND(AV815&gt;=AW815,I815="READABLE"),"E","B"),
C815="E",
IF(OR(I815="SAME",AD815&lt;=axisTol),"F","E"),
C815="F",
IF(AX815&gt;=sameN,"G","F"),
C815="G",
IF(OR(I815="EQUAL",BB815=1,BA815&gt;=duoMax),"D","G"),
C815="D",
IF(AND(AV815&gt;=AW815,I815="READABLE"),"H","D"),
C815="H",
IF(OR(I815="SAME",AD815&lt;=axisTol),"I","H"),
C815="I",
IF(AX815&gt;=sameN,"J","I"),
C815="J",
IF(OR(I815="EQUAL",BB815=1,BA815&gt;=duoMax),"K","J"),
C815="K",
IF(
 I815="SAME",
 IF(
   XLOOKUP($B815,Derived_Variables!$A:$A,Derived_Variables!$Q:$Q,"None")="None",
   "END",
   "P"
 ),
 "K"
),
C815="P",
IF(OR(I815="READABLE",I815="SAME"),"Q","P"),
C815="Q",
IF(OR(I815="READABLE",I815="SAME"),"R","Q"),
C815="R",
IF(OR(I815="TARGET_OK",I815="SAME"),"END","R"),
TRUE,"END"
)))</f>
        <v/>
      </c>
      <c r="BD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 t="str">
        <f t="array" ref="BC816">IF($I816="","",LET(
conf,AI816,
sameN,IF(conf="Low",1,IF(conf="Medium",2,3)),
duoMax,XLOOKUP($B816,Derived_Variables!$A:$A,Derived_Variables!$AI:$AI,4),
axisTol,XLOOKUP($B816,Derived_Variables!$A:$A,Derived_Variables!$W:$W,1),
IFS(
C816="A",
IF(
 OR(
   I816="NOT_READABLE",
   I816="BLURRY",
   AND(R816="20_20_20",I816="READABLE")
 ),
 "B",
 "A"
),
C816="B",
IF(AND(AV816&gt;=AW816,I816="READABLE"),"E","B"),
C816="E",
IF(OR(I816="SAME",AD816&lt;=axisTol),"F","E"),
C816="F",
IF(AX816&gt;=sameN,"G","F"),
C816="G",
IF(OR(I816="EQUAL",BB816=1,BA816&gt;=duoMax),"D","G"),
C816="D",
IF(AND(AV816&gt;=AW816,I816="READABLE"),"H","D"),
C816="H",
IF(OR(I816="SAME",AD816&lt;=axisTol),"I","H"),
C816="I",
IF(AX816&gt;=sameN,"J","I"),
C816="J",
IF(OR(I816="EQUAL",BB816=1,BA816&gt;=duoMax),"K","J"),
C816="K",
IF(
 I816="SAME",
 IF(
   XLOOKUP($B816,Derived_Variables!$A:$A,Derived_Variables!$Q:$Q,"None")="None",
   "END",
   "P"
 ),
 "K"
),
C816="P",
IF(OR(I816="READABLE",I816="SAME"),"Q","P"),
C816="Q",
IF(OR(I816="READABLE",I816="SAME"),"R","Q"),
C816="R",
IF(OR(I816="TARGET_OK",I816="SAME"),"END","R"),
TRUE,"END"
)))</f>
        <v/>
      </c>
      <c r="BD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 t="str">
        <f t="array" ref="BC817">IF($I817="","",LET(
conf,AI817,
sameN,IF(conf="Low",1,IF(conf="Medium",2,3)),
duoMax,XLOOKUP($B817,Derived_Variables!$A:$A,Derived_Variables!$AI:$AI,4),
axisTol,XLOOKUP($B817,Derived_Variables!$A:$A,Derived_Variables!$W:$W,1),
IFS(
C817="A",
IF(
 OR(
   I817="NOT_READABLE",
   I817="BLURRY",
   AND(R817="20_20_20",I817="READABLE")
 ),
 "B",
 "A"
),
C817="B",
IF(AND(AV817&gt;=AW817,I817="READABLE"),"E","B"),
C817="E",
IF(OR(I817="SAME",AD817&lt;=axisTol),"F","E"),
C817="F",
IF(AX817&gt;=sameN,"G","F"),
C817="G",
IF(OR(I817="EQUAL",BB817=1,BA817&gt;=duoMax),"D","G"),
C817="D",
IF(AND(AV817&gt;=AW817,I817="READABLE"),"H","D"),
C817="H",
IF(OR(I817="SAME",AD817&lt;=axisTol),"I","H"),
C817="I",
IF(AX817&gt;=sameN,"J","I"),
C817="J",
IF(OR(I817="EQUAL",BB817=1,BA817&gt;=duoMax),"K","J"),
C817="K",
IF(
 I817="SAME",
 IF(
   XLOOKUP($B817,Derived_Variables!$A:$A,Derived_Variables!$Q:$Q,"None")="None",
   "END",
   "P"
 ),
 "K"
),
C817="P",
IF(OR(I817="READABLE",I817="SAME"),"Q","P"),
C817="Q",
IF(OR(I817="READABLE",I817="SAME"),"R","Q"),
C817="R",
IF(OR(I817="TARGET_OK",I817="SAME"),"END","R"),
TRUE,"END"
)))</f>
        <v/>
      </c>
      <c r="BD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 t="str">
        <f t="array" ref="BC818">IF($I818="","",LET(
conf,AI818,
sameN,IF(conf="Low",1,IF(conf="Medium",2,3)),
duoMax,XLOOKUP($B818,Derived_Variables!$A:$A,Derived_Variables!$AI:$AI,4),
axisTol,XLOOKUP($B818,Derived_Variables!$A:$A,Derived_Variables!$W:$W,1),
IFS(
C818="A",
IF(
 OR(
   I818="NOT_READABLE",
   I818="BLURRY",
   AND(R818="20_20_20",I818="READABLE")
 ),
 "B",
 "A"
),
C818="B",
IF(AND(AV818&gt;=AW818,I818="READABLE"),"E","B"),
C818="E",
IF(OR(I818="SAME",AD818&lt;=axisTol),"F","E"),
C818="F",
IF(AX818&gt;=sameN,"G","F"),
C818="G",
IF(OR(I818="EQUAL",BB818=1,BA818&gt;=duoMax),"D","G"),
C818="D",
IF(AND(AV818&gt;=AW818,I818="READABLE"),"H","D"),
C818="H",
IF(OR(I818="SAME",AD818&lt;=axisTol),"I","H"),
C818="I",
IF(AX818&gt;=sameN,"J","I"),
C818="J",
IF(OR(I818="EQUAL",BB818=1,BA818&gt;=duoMax),"K","J"),
C818="K",
IF(
 I818="SAME",
 IF(
   XLOOKUP($B818,Derived_Variables!$A:$A,Derived_Variables!$Q:$Q,"None")="None",
   "END",
   "P"
 ),
 "K"
),
C818="P",
IF(OR(I818="READABLE",I818="SAME"),"Q","P"),
C818="Q",
IF(OR(I818="READABLE",I818="SAME"),"R","Q"),
C818="R",
IF(OR(I818="TARGET_OK",I818="SAME"),"END","R"),
TRUE,"END"
)))</f>
        <v/>
      </c>
      <c r="BD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 t="str">
        <f t="array" ref="BC819">IF($I819="","",LET(
conf,AI819,
sameN,IF(conf="Low",1,IF(conf="Medium",2,3)),
duoMax,XLOOKUP($B819,Derived_Variables!$A:$A,Derived_Variables!$AI:$AI,4),
axisTol,XLOOKUP($B819,Derived_Variables!$A:$A,Derived_Variables!$W:$W,1),
IFS(
C819="A",
IF(
 OR(
   I819="NOT_READABLE",
   I819="BLURRY",
   AND(R819="20_20_20",I819="READABLE")
 ),
 "B",
 "A"
),
C819="B",
IF(AND(AV819&gt;=AW819,I819="READABLE"),"E","B"),
C819="E",
IF(OR(I819="SAME",AD819&lt;=axisTol),"F","E"),
C819="F",
IF(AX819&gt;=sameN,"G","F"),
C819="G",
IF(OR(I819="EQUAL",BB819=1,BA819&gt;=duoMax),"D","G"),
C819="D",
IF(AND(AV819&gt;=AW819,I819="READABLE"),"H","D"),
C819="H",
IF(OR(I819="SAME",AD819&lt;=axisTol),"I","H"),
C819="I",
IF(AX819&gt;=sameN,"J","I"),
C819="J",
IF(OR(I819="EQUAL",BB819=1,BA819&gt;=duoMax),"K","J"),
C819="K",
IF(
 I819="SAME",
 IF(
   XLOOKUP($B819,Derived_Variables!$A:$A,Derived_Variables!$Q:$Q,"None")="None",
   "END",
   "P"
 ),
 "K"
),
C819="P",
IF(OR(I819="READABLE",I819="SAME"),"Q","P"),
C819="Q",
IF(OR(I819="READABLE",I819="SAME"),"R","Q"),
C819="R",
IF(OR(I819="TARGET_OK",I819="SAME"),"END","R"),
TRUE,"END"
)))</f>
        <v/>
      </c>
      <c r="BD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 t="str">
        <f t="array" ref="BC820">IF($I820="","",LET(
conf,AI820,
sameN,IF(conf="Low",1,IF(conf="Medium",2,3)),
duoMax,XLOOKUP($B820,Derived_Variables!$A:$A,Derived_Variables!$AI:$AI,4),
axisTol,XLOOKUP($B820,Derived_Variables!$A:$A,Derived_Variables!$W:$W,1),
IFS(
C820="A",
IF(
 OR(
   I820="NOT_READABLE",
   I820="BLURRY",
   AND(R820="20_20_20",I820="READABLE")
 ),
 "B",
 "A"
),
C820="B",
IF(AND(AV820&gt;=AW820,I820="READABLE"),"E","B"),
C820="E",
IF(OR(I820="SAME",AD820&lt;=axisTol),"F","E"),
C820="F",
IF(AX820&gt;=sameN,"G","F"),
C820="G",
IF(OR(I820="EQUAL",BB820=1,BA820&gt;=duoMax),"D","G"),
C820="D",
IF(AND(AV820&gt;=AW820,I820="READABLE"),"H","D"),
C820="H",
IF(OR(I820="SAME",AD820&lt;=axisTol),"I","H"),
C820="I",
IF(AX820&gt;=sameN,"J","I"),
C820="J",
IF(OR(I820="EQUAL",BB820=1,BA820&gt;=duoMax),"K","J"),
C820="K",
IF(
 I820="SAME",
 IF(
   XLOOKUP($B820,Derived_Variables!$A:$A,Derived_Variables!$Q:$Q,"None")="None",
   "END",
   "P"
 ),
 "K"
),
C820="P",
IF(OR(I820="READABLE",I820="SAME"),"Q","P"),
C820="Q",
IF(OR(I820="READABLE",I820="SAME"),"R","Q"),
C820="R",
IF(OR(I820="TARGET_OK",I820="SAME"),"END","R"),
TRUE,"END"
)))</f>
        <v/>
      </c>
      <c r="BD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 t="str">
        <f t="array" ref="BC821">IF($I821="","",LET(
conf,AI821,
sameN,IF(conf="Low",1,IF(conf="Medium",2,3)),
duoMax,XLOOKUP($B821,Derived_Variables!$A:$A,Derived_Variables!$AI:$AI,4),
axisTol,XLOOKUP($B821,Derived_Variables!$A:$A,Derived_Variables!$W:$W,1),
IFS(
C821="A",
IF(
 OR(
   I821="NOT_READABLE",
   I821="BLURRY",
   AND(R821="20_20_20",I821="READABLE")
 ),
 "B",
 "A"
),
C821="B",
IF(AND(AV821&gt;=AW821,I821="READABLE"),"E","B"),
C821="E",
IF(OR(I821="SAME",AD821&lt;=axisTol),"F","E"),
C821="F",
IF(AX821&gt;=sameN,"G","F"),
C821="G",
IF(OR(I821="EQUAL",BB821=1,BA821&gt;=duoMax),"D","G"),
C821="D",
IF(AND(AV821&gt;=AW821,I821="READABLE"),"H","D"),
C821="H",
IF(OR(I821="SAME",AD821&lt;=axisTol),"I","H"),
C821="I",
IF(AX821&gt;=sameN,"J","I"),
C821="J",
IF(OR(I821="EQUAL",BB821=1,BA821&gt;=duoMax),"K","J"),
C821="K",
IF(
 I821="SAME",
 IF(
   XLOOKUP($B821,Derived_Variables!$A:$A,Derived_Variables!$Q:$Q,"None")="None",
   "END",
   "P"
 ),
 "K"
),
C821="P",
IF(OR(I821="READABLE",I821="SAME"),"Q","P"),
C821="Q",
IF(OR(I821="READABLE",I821="SAME"),"R","Q"),
C821="R",
IF(OR(I821="TARGET_OK",I821="SAME"),"END","R"),
TRUE,"END"
)))</f>
        <v/>
      </c>
      <c r="BD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 t="str">
        <f t="array" ref="BC822">IF($I822="","",LET(
conf,AI822,
sameN,IF(conf="Low",1,IF(conf="Medium",2,3)),
duoMax,XLOOKUP($B822,Derived_Variables!$A:$A,Derived_Variables!$AI:$AI,4),
axisTol,XLOOKUP($B822,Derived_Variables!$A:$A,Derived_Variables!$W:$W,1),
IFS(
C822="A",
IF(
 OR(
   I822="NOT_READABLE",
   I822="BLURRY",
   AND(R822="20_20_20",I822="READABLE")
 ),
 "B",
 "A"
),
C822="B",
IF(AND(AV822&gt;=AW822,I822="READABLE"),"E","B"),
C822="E",
IF(OR(I822="SAME",AD822&lt;=axisTol),"F","E"),
C822="F",
IF(AX822&gt;=sameN,"G","F"),
C822="G",
IF(OR(I822="EQUAL",BB822=1,BA822&gt;=duoMax),"D","G"),
C822="D",
IF(AND(AV822&gt;=AW822,I822="READABLE"),"H","D"),
C822="H",
IF(OR(I822="SAME",AD822&lt;=axisTol),"I","H"),
C822="I",
IF(AX822&gt;=sameN,"J","I"),
C822="J",
IF(OR(I822="EQUAL",BB822=1,BA822&gt;=duoMax),"K","J"),
C822="K",
IF(
 I822="SAME",
 IF(
   XLOOKUP($B822,Derived_Variables!$A:$A,Derived_Variables!$Q:$Q,"None")="None",
   "END",
   "P"
 ),
 "K"
),
C822="P",
IF(OR(I822="READABLE",I822="SAME"),"Q","P"),
C822="Q",
IF(OR(I822="READABLE",I822="SAME"),"R","Q"),
C822="R",
IF(OR(I822="TARGET_OK",I822="SAME"),"END","R"),
TRUE,"END"
)))</f>
        <v/>
      </c>
      <c r="BD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 t="str">
        <f t="array" ref="BC823">IF($I823="","",LET(
conf,AI823,
sameN,IF(conf="Low",1,IF(conf="Medium",2,3)),
duoMax,XLOOKUP($B823,Derived_Variables!$A:$A,Derived_Variables!$AI:$AI,4),
axisTol,XLOOKUP($B823,Derived_Variables!$A:$A,Derived_Variables!$W:$W,1),
IFS(
C823="A",
IF(
 OR(
   I823="NOT_READABLE",
   I823="BLURRY",
   AND(R823="20_20_20",I823="READABLE")
 ),
 "B",
 "A"
),
C823="B",
IF(AND(AV823&gt;=AW823,I823="READABLE"),"E","B"),
C823="E",
IF(OR(I823="SAME",AD823&lt;=axisTol),"F","E"),
C823="F",
IF(AX823&gt;=sameN,"G","F"),
C823="G",
IF(OR(I823="EQUAL",BB823=1,BA823&gt;=duoMax),"D","G"),
C823="D",
IF(AND(AV823&gt;=AW823,I823="READABLE"),"H","D"),
C823="H",
IF(OR(I823="SAME",AD823&lt;=axisTol),"I","H"),
C823="I",
IF(AX823&gt;=sameN,"J","I"),
C823="J",
IF(OR(I823="EQUAL",BB823=1,BA823&gt;=duoMax),"K","J"),
C823="K",
IF(
 I823="SAME",
 IF(
   XLOOKUP($B823,Derived_Variables!$A:$A,Derived_Variables!$Q:$Q,"None")="None",
   "END",
   "P"
 ),
 "K"
),
C823="P",
IF(OR(I823="READABLE",I823="SAME"),"Q","P"),
C823="Q",
IF(OR(I823="READABLE",I823="SAME"),"R","Q"),
C823="R",
IF(OR(I823="TARGET_OK",I823="SAME"),"END","R"),
TRUE,"END"
)))</f>
        <v/>
      </c>
      <c r="BD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 t="str">
        <f t="array" ref="BC824">IF($I824="","",LET(
conf,AI824,
sameN,IF(conf="Low",1,IF(conf="Medium",2,3)),
duoMax,XLOOKUP($B824,Derived_Variables!$A:$A,Derived_Variables!$AI:$AI,4),
axisTol,XLOOKUP($B824,Derived_Variables!$A:$A,Derived_Variables!$W:$W,1),
IFS(
C824="A",
IF(
 OR(
   I824="NOT_READABLE",
   I824="BLURRY",
   AND(R824="20_20_20",I824="READABLE")
 ),
 "B",
 "A"
),
C824="B",
IF(AND(AV824&gt;=AW824,I824="READABLE"),"E","B"),
C824="E",
IF(OR(I824="SAME",AD824&lt;=axisTol),"F","E"),
C824="F",
IF(AX824&gt;=sameN,"G","F"),
C824="G",
IF(OR(I824="EQUAL",BB824=1,BA824&gt;=duoMax),"D","G"),
C824="D",
IF(AND(AV824&gt;=AW824,I824="READABLE"),"H","D"),
C824="H",
IF(OR(I824="SAME",AD824&lt;=axisTol),"I","H"),
C824="I",
IF(AX824&gt;=sameN,"J","I"),
C824="J",
IF(OR(I824="EQUAL",BB824=1,BA824&gt;=duoMax),"K","J"),
C824="K",
IF(
 I824="SAME",
 IF(
   XLOOKUP($B824,Derived_Variables!$A:$A,Derived_Variables!$Q:$Q,"None")="None",
   "END",
   "P"
 ),
 "K"
),
C824="P",
IF(OR(I824="READABLE",I824="SAME"),"Q","P"),
C824="Q",
IF(OR(I824="READABLE",I824="SAME"),"R","Q"),
C824="R",
IF(OR(I824="TARGET_OK",I824="SAME"),"END","R"),
TRUE,"END"
)))</f>
        <v/>
      </c>
      <c r="BD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 t="str">
        <f t="array" ref="BC825">IF($I825="","",LET(
conf,AI825,
sameN,IF(conf="Low",1,IF(conf="Medium",2,3)),
duoMax,XLOOKUP($B825,Derived_Variables!$A:$A,Derived_Variables!$AI:$AI,4),
axisTol,XLOOKUP($B825,Derived_Variables!$A:$A,Derived_Variables!$W:$W,1),
IFS(
C825="A",
IF(
 OR(
   I825="NOT_READABLE",
   I825="BLURRY",
   AND(R825="20_20_20",I825="READABLE")
 ),
 "B",
 "A"
),
C825="B",
IF(AND(AV825&gt;=AW825,I825="READABLE"),"E","B"),
C825="E",
IF(OR(I825="SAME",AD825&lt;=axisTol),"F","E"),
C825="F",
IF(AX825&gt;=sameN,"G","F"),
C825="G",
IF(OR(I825="EQUAL",BB825=1,BA825&gt;=duoMax),"D","G"),
C825="D",
IF(AND(AV825&gt;=AW825,I825="READABLE"),"H","D"),
C825="H",
IF(OR(I825="SAME",AD825&lt;=axisTol),"I","H"),
C825="I",
IF(AX825&gt;=sameN,"J","I"),
C825="J",
IF(OR(I825="EQUAL",BB825=1,BA825&gt;=duoMax),"K","J"),
C825="K",
IF(
 I825="SAME",
 IF(
   XLOOKUP($B825,Derived_Variables!$A:$A,Derived_Variables!$Q:$Q,"None")="None",
   "END",
   "P"
 ),
 "K"
),
C825="P",
IF(OR(I825="READABLE",I825="SAME"),"Q","P"),
C825="Q",
IF(OR(I825="READABLE",I825="SAME"),"R","Q"),
C825="R",
IF(OR(I825="TARGET_OK",I825="SAME"),"END","R"),
TRUE,"END"
)))</f>
        <v/>
      </c>
      <c r="BD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 t="str">
        <f t="array" ref="BC826">IF($I826="","",LET(
conf,AI826,
sameN,IF(conf="Low",1,IF(conf="Medium",2,3)),
duoMax,XLOOKUP($B826,Derived_Variables!$A:$A,Derived_Variables!$AI:$AI,4),
axisTol,XLOOKUP($B826,Derived_Variables!$A:$A,Derived_Variables!$W:$W,1),
IFS(
C826="A",
IF(
 OR(
   I826="NOT_READABLE",
   I826="BLURRY",
   AND(R826="20_20_20",I826="READABLE")
 ),
 "B",
 "A"
),
C826="B",
IF(AND(AV826&gt;=AW826,I826="READABLE"),"E","B"),
C826="E",
IF(OR(I826="SAME",AD826&lt;=axisTol),"F","E"),
C826="F",
IF(AX826&gt;=sameN,"G","F"),
C826="G",
IF(OR(I826="EQUAL",BB826=1,BA826&gt;=duoMax),"D","G"),
C826="D",
IF(AND(AV826&gt;=AW826,I826="READABLE"),"H","D"),
C826="H",
IF(OR(I826="SAME",AD826&lt;=axisTol),"I","H"),
C826="I",
IF(AX826&gt;=sameN,"J","I"),
C826="J",
IF(OR(I826="EQUAL",BB826=1,BA826&gt;=duoMax),"K","J"),
C826="K",
IF(
 I826="SAME",
 IF(
   XLOOKUP($B826,Derived_Variables!$A:$A,Derived_Variables!$Q:$Q,"None")="None",
   "END",
   "P"
 ),
 "K"
),
C826="P",
IF(OR(I826="READABLE",I826="SAME"),"Q","P"),
C826="Q",
IF(OR(I826="READABLE",I826="SAME"),"R","Q"),
C826="R",
IF(OR(I826="TARGET_OK",I826="SAME"),"END","R"),
TRUE,"END"
)))</f>
        <v/>
      </c>
      <c r="BD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 t="str">
        <f t="array" ref="BC827">IF($I827="","",LET(
conf,AI827,
sameN,IF(conf="Low",1,IF(conf="Medium",2,3)),
duoMax,XLOOKUP($B827,Derived_Variables!$A:$A,Derived_Variables!$AI:$AI,4),
axisTol,XLOOKUP($B827,Derived_Variables!$A:$A,Derived_Variables!$W:$W,1),
IFS(
C827="A",
IF(
 OR(
   I827="NOT_READABLE",
   I827="BLURRY",
   AND(R827="20_20_20",I827="READABLE")
 ),
 "B",
 "A"
),
C827="B",
IF(AND(AV827&gt;=AW827,I827="READABLE"),"E","B"),
C827="E",
IF(OR(I827="SAME",AD827&lt;=axisTol),"F","E"),
C827="F",
IF(AX827&gt;=sameN,"G","F"),
C827="G",
IF(OR(I827="EQUAL",BB827=1,BA827&gt;=duoMax),"D","G"),
C827="D",
IF(AND(AV827&gt;=AW827,I827="READABLE"),"H","D"),
C827="H",
IF(OR(I827="SAME",AD827&lt;=axisTol),"I","H"),
C827="I",
IF(AX827&gt;=sameN,"J","I"),
C827="J",
IF(OR(I827="EQUAL",BB827=1,BA827&gt;=duoMax),"K","J"),
C827="K",
IF(
 I827="SAME",
 IF(
   XLOOKUP($B827,Derived_Variables!$A:$A,Derived_Variables!$Q:$Q,"None")="None",
   "END",
   "P"
 ),
 "K"
),
C827="P",
IF(OR(I827="READABLE",I827="SAME"),"Q","P"),
C827="Q",
IF(OR(I827="READABLE",I827="SAME"),"R","Q"),
C827="R",
IF(OR(I827="TARGET_OK",I827="SAME"),"END","R"),
TRUE,"END"
)))</f>
        <v/>
      </c>
      <c r="BD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 t="str">
        <f t="array" ref="BC828">IF($I828="","",LET(
conf,AI828,
sameN,IF(conf="Low",1,IF(conf="Medium",2,3)),
duoMax,XLOOKUP($B828,Derived_Variables!$A:$A,Derived_Variables!$AI:$AI,4),
axisTol,XLOOKUP($B828,Derived_Variables!$A:$A,Derived_Variables!$W:$W,1),
IFS(
C828="A",
IF(
 OR(
   I828="NOT_READABLE",
   I828="BLURRY",
   AND(R828="20_20_20",I828="READABLE")
 ),
 "B",
 "A"
),
C828="B",
IF(AND(AV828&gt;=AW828,I828="READABLE"),"E","B"),
C828="E",
IF(OR(I828="SAME",AD828&lt;=axisTol),"F","E"),
C828="F",
IF(AX828&gt;=sameN,"G","F"),
C828="G",
IF(OR(I828="EQUAL",BB828=1,BA828&gt;=duoMax),"D","G"),
C828="D",
IF(AND(AV828&gt;=AW828,I828="READABLE"),"H","D"),
C828="H",
IF(OR(I828="SAME",AD828&lt;=axisTol),"I","H"),
C828="I",
IF(AX828&gt;=sameN,"J","I"),
C828="J",
IF(OR(I828="EQUAL",BB828=1,BA828&gt;=duoMax),"K","J"),
C828="K",
IF(
 I828="SAME",
 IF(
   XLOOKUP($B828,Derived_Variables!$A:$A,Derived_Variables!$Q:$Q,"None")="None",
   "END",
   "P"
 ),
 "K"
),
C828="P",
IF(OR(I828="READABLE",I828="SAME"),"Q","P"),
C828="Q",
IF(OR(I828="READABLE",I828="SAME"),"R","Q"),
C828="R",
IF(OR(I828="TARGET_OK",I828="SAME"),"END","R"),
TRUE,"END"
)))</f>
        <v/>
      </c>
      <c r="BD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 t="str">
        <f t="array" ref="BC829">IF($I829="","",LET(
conf,AI829,
sameN,IF(conf="Low",1,IF(conf="Medium",2,3)),
duoMax,XLOOKUP($B829,Derived_Variables!$A:$A,Derived_Variables!$AI:$AI,4),
axisTol,XLOOKUP($B829,Derived_Variables!$A:$A,Derived_Variables!$W:$W,1),
IFS(
C829="A",
IF(
 OR(
   I829="NOT_READABLE",
   I829="BLURRY",
   AND(R829="20_20_20",I829="READABLE")
 ),
 "B",
 "A"
),
C829="B",
IF(AND(AV829&gt;=AW829,I829="READABLE"),"E","B"),
C829="E",
IF(OR(I829="SAME",AD829&lt;=axisTol),"F","E"),
C829="F",
IF(AX829&gt;=sameN,"G","F"),
C829="G",
IF(OR(I829="EQUAL",BB829=1,BA829&gt;=duoMax),"D","G"),
C829="D",
IF(AND(AV829&gt;=AW829,I829="READABLE"),"H","D"),
C829="H",
IF(OR(I829="SAME",AD829&lt;=axisTol),"I","H"),
C829="I",
IF(AX829&gt;=sameN,"J","I"),
C829="J",
IF(OR(I829="EQUAL",BB829=1,BA829&gt;=duoMax),"K","J"),
C829="K",
IF(
 I829="SAME",
 IF(
   XLOOKUP($B829,Derived_Variables!$A:$A,Derived_Variables!$Q:$Q,"None")="None",
   "END",
   "P"
 ),
 "K"
),
C829="P",
IF(OR(I829="READABLE",I829="SAME"),"Q","P"),
C829="Q",
IF(OR(I829="READABLE",I829="SAME"),"R","Q"),
C829="R",
IF(OR(I829="TARGET_OK",I829="SAME"),"END","R"),
TRUE,"END"
)))</f>
        <v/>
      </c>
      <c r="BD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 t="str">
        <f t="array" ref="BC830">IF($I830="","",LET(
conf,AI830,
sameN,IF(conf="Low",1,IF(conf="Medium",2,3)),
duoMax,XLOOKUP($B830,Derived_Variables!$A:$A,Derived_Variables!$AI:$AI,4),
axisTol,XLOOKUP($B830,Derived_Variables!$A:$A,Derived_Variables!$W:$W,1),
IFS(
C830="A",
IF(
 OR(
   I830="NOT_READABLE",
   I830="BLURRY",
   AND(R830="20_20_20",I830="READABLE")
 ),
 "B",
 "A"
),
C830="B",
IF(AND(AV830&gt;=AW830,I830="READABLE"),"E","B"),
C830="E",
IF(OR(I830="SAME",AD830&lt;=axisTol),"F","E"),
C830="F",
IF(AX830&gt;=sameN,"G","F"),
C830="G",
IF(OR(I830="EQUAL",BB830=1,BA830&gt;=duoMax),"D","G"),
C830="D",
IF(AND(AV830&gt;=AW830,I830="READABLE"),"H","D"),
C830="H",
IF(OR(I830="SAME",AD830&lt;=axisTol),"I","H"),
C830="I",
IF(AX830&gt;=sameN,"J","I"),
C830="J",
IF(OR(I830="EQUAL",BB830=1,BA830&gt;=duoMax),"K","J"),
C830="K",
IF(
 I830="SAME",
 IF(
   XLOOKUP($B830,Derived_Variables!$A:$A,Derived_Variables!$Q:$Q,"None")="None",
   "END",
   "P"
 ),
 "K"
),
C830="P",
IF(OR(I830="READABLE",I830="SAME"),"Q","P"),
C830="Q",
IF(OR(I830="READABLE",I830="SAME"),"R","Q"),
C830="R",
IF(OR(I830="TARGET_OK",I830="SAME"),"END","R"),
TRUE,"END"
)))</f>
        <v/>
      </c>
      <c r="BD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 t="str">
        <f t="array" ref="BC831">IF($I831="","",LET(
conf,AI831,
sameN,IF(conf="Low",1,IF(conf="Medium",2,3)),
duoMax,XLOOKUP($B831,Derived_Variables!$A:$A,Derived_Variables!$AI:$AI,4),
axisTol,XLOOKUP($B831,Derived_Variables!$A:$A,Derived_Variables!$W:$W,1),
IFS(
C831="A",
IF(
 OR(
   I831="NOT_READABLE",
   I831="BLURRY",
   AND(R831="20_20_20",I831="READABLE")
 ),
 "B",
 "A"
),
C831="B",
IF(AND(AV831&gt;=AW831,I831="READABLE"),"E","B"),
C831="E",
IF(OR(I831="SAME",AD831&lt;=axisTol),"F","E"),
C831="F",
IF(AX831&gt;=sameN,"G","F"),
C831="G",
IF(OR(I831="EQUAL",BB831=1,BA831&gt;=duoMax),"D","G"),
C831="D",
IF(AND(AV831&gt;=AW831,I831="READABLE"),"H","D"),
C831="H",
IF(OR(I831="SAME",AD831&lt;=axisTol),"I","H"),
C831="I",
IF(AX831&gt;=sameN,"J","I"),
C831="J",
IF(OR(I831="EQUAL",BB831=1,BA831&gt;=duoMax),"K","J"),
C831="K",
IF(
 I831="SAME",
 IF(
   XLOOKUP($B831,Derived_Variables!$A:$A,Derived_Variables!$Q:$Q,"None")="None",
   "END",
   "P"
 ),
 "K"
),
C831="P",
IF(OR(I831="READABLE",I831="SAME"),"Q","P"),
C831="Q",
IF(OR(I831="READABLE",I831="SAME"),"R","Q"),
C831="R",
IF(OR(I831="TARGET_OK",I831="SAME"),"END","R"),
TRUE,"END"
)))</f>
        <v/>
      </c>
      <c r="BD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 t="str">
        <f t="array" ref="BC832">IF($I832="","",LET(
conf,AI832,
sameN,IF(conf="Low",1,IF(conf="Medium",2,3)),
duoMax,XLOOKUP($B832,Derived_Variables!$A:$A,Derived_Variables!$AI:$AI,4),
axisTol,XLOOKUP($B832,Derived_Variables!$A:$A,Derived_Variables!$W:$W,1),
IFS(
C832="A",
IF(
 OR(
   I832="NOT_READABLE",
   I832="BLURRY",
   AND(R832="20_20_20",I832="READABLE")
 ),
 "B",
 "A"
),
C832="B",
IF(AND(AV832&gt;=AW832,I832="READABLE"),"E","B"),
C832="E",
IF(OR(I832="SAME",AD832&lt;=axisTol),"F","E"),
C832="F",
IF(AX832&gt;=sameN,"G","F"),
C832="G",
IF(OR(I832="EQUAL",BB832=1,BA832&gt;=duoMax),"D","G"),
C832="D",
IF(AND(AV832&gt;=AW832,I832="READABLE"),"H","D"),
C832="H",
IF(OR(I832="SAME",AD832&lt;=axisTol),"I","H"),
C832="I",
IF(AX832&gt;=sameN,"J","I"),
C832="J",
IF(OR(I832="EQUAL",BB832=1,BA832&gt;=duoMax),"K","J"),
C832="K",
IF(
 I832="SAME",
 IF(
   XLOOKUP($B832,Derived_Variables!$A:$A,Derived_Variables!$Q:$Q,"None")="None",
   "END",
   "P"
 ),
 "K"
),
C832="P",
IF(OR(I832="READABLE",I832="SAME"),"Q","P"),
C832="Q",
IF(OR(I832="READABLE",I832="SAME"),"R","Q"),
C832="R",
IF(OR(I832="TARGET_OK",I832="SAME"),"END","R"),
TRUE,"END"
)))</f>
        <v/>
      </c>
      <c r="BD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 t="str">
        <f t="array" ref="BC833">IF($I833="","",LET(
conf,AI833,
sameN,IF(conf="Low",1,IF(conf="Medium",2,3)),
duoMax,XLOOKUP($B833,Derived_Variables!$A:$A,Derived_Variables!$AI:$AI,4),
axisTol,XLOOKUP($B833,Derived_Variables!$A:$A,Derived_Variables!$W:$W,1),
IFS(
C833="A",
IF(
 OR(
   I833="NOT_READABLE",
   I833="BLURRY",
   AND(R833="20_20_20",I833="READABLE")
 ),
 "B",
 "A"
),
C833="B",
IF(AND(AV833&gt;=AW833,I833="READABLE"),"E","B"),
C833="E",
IF(OR(I833="SAME",AD833&lt;=axisTol),"F","E"),
C833="F",
IF(AX833&gt;=sameN,"G","F"),
C833="G",
IF(OR(I833="EQUAL",BB833=1,BA833&gt;=duoMax),"D","G"),
C833="D",
IF(AND(AV833&gt;=AW833,I833="READABLE"),"H","D"),
C833="H",
IF(OR(I833="SAME",AD833&lt;=axisTol),"I","H"),
C833="I",
IF(AX833&gt;=sameN,"J","I"),
C833="J",
IF(OR(I833="EQUAL",BB833=1,BA833&gt;=duoMax),"K","J"),
C833="K",
IF(
 I833="SAME",
 IF(
   XLOOKUP($B833,Derived_Variables!$A:$A,Derived_Variables!$Q:$Q,"None")="None",
   "END",
   "P"
 ),
 "K"
),
C833="P",
IF(OR(I833="READABLE",I833="SAME"),"Q","P"),
C833="Q",
IF(OR(I833="READABLE",I833="SAME"),"R","Q"),
C833="R",
IF(OR(I833="TARGET_OK",I833="SAME"),"END","R"),
TRUE,"END"
)))</f>
        <v/>
      </c>
      <c r="BD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 t="str">
        <f t="array" ref="BC834">IF($I834="","",LET(
conf,AI834,
sameN,IF(conf="Low",1,IF(conf="Medium",2,3)),
duoMax,XLOOKUP($B834,Derived_Variables!$A:$A,Derived_Variables!$AI:$AI,4),
axisTol,XLOOKUP($B834,Derived_Variables!$A:$A,Derived_Variables!$W:$W,1),
IFS(
C834="A",
IF(
 OR(
   I834="NOT_READABLE",
   I834="BLURRY",
   AND(R834="20_20_20",I834="READABLE")
 ),
 "B",
 "A"
),
C834="B",
IF(AND(AV834&gt;=AW834,I834="READABLE"),"E","B"),
C834="E",
IF(OR(I834="SAME",AD834&lt;=axisTol),"F","E"),
C834="F",
IF(AX834&gt;=sameN,"G","F"),
C834="G",
IF(OR(I834="EQUAL",BB834=1,BA834&gt;=duoMax),"D","G"),
C834="D",
IF(AND(AV834&gt;=AW834,I834="READABLE"),"H","D"),
C834="H",
IF(OR(I834="SAME",AD834&lt;=axisTol),"I","H"),
C834="I",
IF(AX834&gt;=sameN,"J","I"),
C834="J",
IF(OR(I834="EQUAL",BB834=1,BA834&gt;=duoMax),"K","J"),
C834="K",
IF(
 I834="SAME",
 IF(
   XLOOKUP($B834,Derived_Variables!$A:$A,Derived_Variables!$Q:$Q,"None")="None",
   "END",
   "P"
 ),
 "K"
),
C834="P",
IF(OR(I834="READABLE",I834="SAME"),"Q","P"),
C834="Q",
IF(OR(I834="READABLE",I834="SAME"),"R","Q"),
C834="R",
IF(OR(I834="TARGET_OK",I834="SAME"),"END","R"),
TRUE,"END"
)))</f>
        <v/>
      </c>
      <c r="BD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 t="str">
        <f t="array" ref="BC835">IF($I835="","",LET(
conf,AI835,
sameN,IF(conf="Low",1,IF(conf="Medium",2,3)),
duoMax,XLOOKUP($B835,Derived_Variables!$A:$A,Derived_Variables!$AI:$AI,4),
axisTol,XLOOKUP($B835,Derived_Variables!$A:$A,Derived_Variables!$W:$W,1),
IFS(
C835="A",
IF(
 OR(
   I835="NOT_READABLE",
   I835="BLURRY",
   AND(R835="20_20_20",I835="READABLE")
 ),
 "B",
 "A"
),
C835="B",
IF(AND(AV835&gt;=AW835,I835="READABLE"),"E","B"),
C835="E",
IF(OR(I835="SAME",AD835&lt;=axisTol),"F","E"),
C835="F",
IF(AX835&gt;=sameN,"G","F"),
C835="G",
IF(OR(I835="EQUAL",BB835=1,BA835&gt;=duoMax),"D","G"),
C835="D",
IF(AND(AV835&gt;=AW835,I835="READABLE"),"H","D"),
C835="H",
IF(OR(I835="SAME",AD835&lt;=axisTol),"I","H"),
C835="I",
IF(AX835&gt;=sameN,"J","I"),
C835="J",
IF(OR(I835="EQUAL",BB835=1,BA835&gt;=duoMax),"K","J"),
C835="K",
IF(
 I835="SAME",
 IF(
   XLOOKUP($B835,Derived_Variables!$A:$A,Derived_Variables!$Q:$Q,"None")="None",
   "END",
   "P"
 ),
 "K"
),
C835="P",
IF(OR(I835="READABLE",I835="SAME"),"Q","P"),
C835="Q",
IF(OR(I835="READABLE",I835="SAME"),"R","Q"),
C835="R",
IF(OR(I835="TARGET_OK",I835="SAME"),"END","R"),
TRUE,"END"
)))</f>
        <v/>
      </c>
      <c r="BD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 t="str">
        <f t="array" ref="BC836">IF($I836="","",LET(
conf,AI836,
sameN,IF(conf="Low",1,IF(conf="Medium",2,3)),
duoMax,XLOOKUP($B836,Derived_Variables!$A:$A,Derived_Variables!$AI:$AI,4),
axisTol,XLOOKUP($B836,Derived_Variables!$A:$A,Derived_Variables!$W:$W,1),
IFS(
C836="A",
IF(
 OR(
   I836="NOT_READABLE",
   I836="BLURRY",
   AND(R836="20_20_20",I836="READABLE")
 ),
 "B",
 "A"
),
C836="B",
IF(AND(AV836&gt;=AW836,I836="READABLE"),"E","B"),
C836="E",
IF(OR(I836="SAME",AD836&lt;=axisTol),"F","E"),
C836="F",
IF(AX836&gt;=sameN,"G","F"),
C836="G",
IF(OR(I836="EQUAL",BB836=1,BA836&gt;=duoMax),"D","G"),
C836="D",
IF(AND(AV836&gt;=AW836,I836="READABLE"),"H","D"),
C836="H",
IF(OR(I836="SAME",AD836&lt;=axisTol),"I","H"),
C836="I",
IF(AX836&gt;=sameN,"J","I"),
C836="J",
IF(OR(I836="EQUAL",BB836=1,BA836&gt;=duoMax),"K","J"),
C836="K",
IF(
 I836="SAME",
 IF(
   XLOOKUP($B836,Derived_Variables!$A:$A,Derived_Variables!$Q:$Q,"None")="None",
   "END",
   "P"
 ),
 "K"
),
C836="P",
IF(OR(I836="READABLE",I836="SAME"),"Q","P"),
C836="Q",
IF(OR(I836="READABLE",I836="SAME"),"R","Q"),
C836="R",
IF(OR(I836="TARGET_OK",I836="SAME"),"END","R"),
TRUE,"END"
)))</f>
        <v/>
      </c>
      <c r="BD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 t="str">
        <f t="array" ref="BC837">IF($I837="","",LET(
conf,AI837,
sameN,IF(conf="Low",1,IF(conf="Medium",2,3)),
duoMax,XLOOKUP($B837,Derived_Variables!$A:$A,Derived_Variables!$AI:$AI,4),
axisTol,XLOOKUP($B837,Derived_Variables!$A:$A,Derived_Variables!$W:$W,1),
IFS(
C837="A",
IF(
 OR(
   I837="NOT_READABLE",
   I837="BLURRY",
   AND(R837="20_20_20",I837="READABLE")
 ),
 "B",
 "A"
),
C837="B",
IF(AND(AV837&gt;=AW837,I837="READABLE"),"E","B"),
C837="E",
IF(OR(I837="SAME",AD837&lt;=axisTol),"F","E"),
C837="F",
IF(AX837&gt;=sameN,"G","F"),
C837="G",
IF(OR(I837="EQUAL",BB837=1,BA837&gt;=duoMax),"D","G"),
C837="D",
IF(AND(AV837&gt;=AW837,I837="READABLE"),"H","D"),
C837="H",
IF(OR(I837="SAME",AD837&lt;=axisTol),"I","H"),
C837="I",
IF(AX837&gt;=sameN,"J","I"),
C837="J",
IF(OR(I837="EQUAL",BB837=1,BA837&gt;=duoMax),"K","J"),
C837="K",
IF(
 I837="SAME",
 IF(
   XLOOKUP($B837,Derived_Variables!$A:$A,Derived_Variables!$Q:$Q,"None")="None",
   "END",
   "P"
 ),
 "K"
),
C837="P",
IF(OR(I837="READABLE",I837="SAME"),"Q","P"),
C837="Q",
IF(OR(I837="READABLE",I837="SAME"),"R","Q"),
C837="R",
IF(OR(I837="TARGET_OK",I837="SAME"),"END","R"),
TRUE,"END"
)))</f>
        <v/>
      </c>
      <c r="BD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 t="str">
        <f t="array" ref="BC838">IF($I838="","",LET(
conf,AI838,
sameN,IF(conf="Low",1,IF(conf="Medium",2,3)),
duoMax,XLOOKUP($B838,Derived_Variables!$A:$A,Derived_Variables!$AI:$AI,4),
axisTol,XLOOKUP($B838,Derived_Variables!$A:$A,Derived_Variables!$W:$W,1),
IFS(
C838="A",
IF(
 OR(
   I838="NOT_READABLE",
   I838="BLURRY",
   AND(R838="20_20_20",I838="READABLE")
 ),
 "B",
 "A"
),
C838="B",
IF(AND(AV838&gt;=AW838,I838="READABLE"),"E","B"),
C838="E",
IF(OR(I838="SAME",AD838&lt;=axisTol),"F","E"),
C838="F",
IF(AX838&gt;=sameN,"G","F"),
C838="G",
IF(OR(I838="EQUAL",BB838=1,BA838&gt;=duoMax),"D","G"),
C838="D",
IF(AND(AV838&gt;=AW838,I838="READABLE"),"H","D"),
C838="H",
IF(OR(I838="SAME",AD838&lt;=axisTol),"I","H"),
C838="I",
IF(AX838&gt;=sameN,"J","I"),
C838="J",
IF(OR(I838="EQUAL",BB838=1,BA838&gt;=duoMax),"K","J"),
C838="K",
IF(
 I838="SAME",
 IF(
   XLOOKUP($B838,Derived_Variables!$A:$A,Derived_Variables!$Q:$Q,"None")="None",
   "END",
   "P"
 ),
 "K"
),
C838="P",
IF(OR(I838="READABLE",I838="SAME"),"Q","P"),
C838="Q",
IF(OR(I838="READABLE",I838="SAME"),"R","Q"),
C838="R",
IF(OR(I838="TARGET_OK",I838="SAME"),"END","R"),
TRUE,"END"
)))</f>
        <v/>
      </c>
      <c r="BD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 t="str">
        <f t="array" ref="BC839">IF($I839="","",LET(
conf,AI839,
sameN,IF(conf="Low",1,IF(conf="Medium",2,3)),
duoMax,XLOOKUP($B839,Derived_Variables!$A:$A,Derived_Variables!$AI:$AI,4),
axisTol,XLOOKUP($B839,Derived_Variables!$A:$A,Derived_Variables!$W:$W,1),
IFS(
C839="A",
IF(
 OR(
   I839="NOT_READABLE",
   I839="BLURRY",
   AND(R839="20_20_20",I839="READABLE")
 ),
 "B",
 "A"
),
C839="B",
IF(AND(AV839&gt;=AW839,I839="READABLE"),"E","B"),
C839="E",
IF(OR(I839="SAME",AD839&lt;=axisTol),"F","E"),
C839="F",
IF(AX839&gt;=sameN,"G","F"),
C839="G",
IF(OR(I839="EQUAL",BB839=1,BA839&gt;=duoMax),"D","G"),
C839="D",
IF(AND(AV839&gt;=AW839,I839="READABLE"),"H","D"),
C839="H",
IF(OR(I839="SAME",AD839&lt;=axisTol),"I","H"),
C839="I",
IF(AX839&gt;=sameN,"J","I"),
C839="J",
IF(OR(I839="EQUAL",BB839=1,BA839&gt;=duoMax),"K","J"),
C839="K",
IF(
 I839="SAME",
 IF(
   XLOOKUP($B839,Derived_Variables!$A:$A,Derived_Variables!$Q:$Q,"None")="None",
   "END",
   "P"
 ),
 "K"
),
C839="P",
IF(OR(I839="READABLE",I839="SAME"),"Q","P"),
C839="Q",
IF(OR(I839="READABLE",I839="SAME"),"R","Q"),
C839="R",
IF(OR(I839="TARGET_OK",I839="SAME"),"END","R"),
TRUE,"END"
)))</f>
        <v/>
      </c>
      <c r="BD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 t="str">
        <f t="array" ref="BC840">IF($I840="","",LET(
conf,AI840,
sameN,IF(conf="Low",1,IF(conf="Medium",2,3)),
duoMax,XLOOKUP($B840,Derived_Variables!$A:$A,Derived_Variables!$AI:$AI,4),
axisTol,XLOOKUP($B840,Derived_Variables!$A:$A,Derived_Variables!$W:$W,1),
IFS(
C840="A",
IF(
 OR(
   I840="NOT_READABLE",
   I840="BLURRY",
   AND(R840="20_20_20",I840="READABLE")
 ),
 "B",
 "A"
),
C840="B",
IF(AND(AV840&gt;=AW840,I840="READABLE"),"E","B"),
C840="E",
IF(OR(I840="SAME",AD840&lt;=axisTol),"F","E"),
C840="F",
IF(AX840&gt;=sameN,"G","F"),
C840="G",
IF(OR(I840="EQUAL",BB840=1,BA840&gt;=duoMax),"D","G"),
C840="D",
IF(AND(AV840&gt;=AW840,I840="READABLE"),"H","D"),
C840="H",
IF(OR(I840="SAME",AD840&lt;=axisTol),"I","H"),
C840="I",
IF(AX840&gt;=sameN,"J","I"),
C840="J",
IF(OR(I840="EQUAL",BB840=1,BA840&gt;=duoMax),"K","J"),
C840="K",
IF(
 I840="SAME",
 IF(
   XLOOKUP($B840,Derived_Variables!$A:$A,Derived_Variables!$Q:$Q,"None")="None",
   "END",
   "P"
 ),
 "K"
),
C840="P",
IF(OR(I840="READABLE",I840="SAME"),"Q","P"),
C840="Q",
IF(OR(I840="READABLE",I840="SAME"),"R","Q"),
C840="R",
IF(OR(I840="TARGET_OK",I840="SAME"),"END","R"),
TRUE,"END"
)))</f>
        <v/>
      </c>
      <c r="BD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 t="str">
        <f t="array" ref="BC841">IF($I841="","",LET(
conf,AI841,
sameN,IF(conf="Low",1,IF(conf="Medium",2,3)),
duoMax,XLOOKUP($B841,Derived_Variables!$A:$A,Derived_Variables!$AI:$AI,4),
axisTol,XLOOKUP($B841,Derived_Variables!$A:$A,Derived_Variables!$W:$W,1),
IFS(
C841="A",
IF(
 OR(
   I841="NOT_READABLE",
   I841="BLURRY",
   AND(R841="20_20_20",I841="READABLE")
 ),
 "B",
 "A"
),
C841="B",
IF(AND(AV841&gt;=AW841,I841="READABLE"),"E","B"),
C841="E",
IF(OR(I841="SAME",AD841&lt;=axisTol),"F","E"),
C841="F",
IF(AX841&gt;=sameN,"G","F"),
C841="G",
IF(OR(I841="EQUAL",BB841=1,BA841&gt;=duoMax),"D","G"),
C841="D",
IF(AND(AV841&gt;=AW841,I841="READABLE"),"H","D"),
C841="H",
IF(OR(I841="SAME",AD841&lt;=axisTol),"I","H"),
C841="I",
IF(AX841&gt;=sameN,"J","I"),
C841="J",
IF(OR(I841="EQUAL",BB841=1,BA841&gt;=duoMax),"K","J"),
C841="K",
IF(
 I841="SAME",
 IF(
   XLOOKUP($B841,Derived_Variables!$A:$A,Derived_Variables!$Q:$Q,"None")="None",
   "END",
   "P"
 ),
 "K"
),
C841="P",
IF(OR(I841="READABLE",I841="SAME"),"Q","P"),
C841="Q",
IF(OR(I841="READABLE",I841="SAME"),"R","Q"),
C841="R",
IF(OR(I841="TARGET_OK",I841="SAME"),"END","R"),
TRUE,"END"
)))</f>
        <v/>
      </c>
      <c r="BD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 t="str">
        <f t="array" ref="BC842">IF($I842="","",LET(
conf,AI842,
sameN,IF(conf="Low",1,IF(conf="Medium",2,3)),
duoMax,XLOOKUP($B842,Derived_Variables!$A:$A,Derived_Variables!$AI:$AI,4),
axisTol,XLOOKUP($B842,Derived_Variables!$A:$A,Derived_Variables!$W:$W,1),
IFS(
C842="A",
IF(
 OR(
   I842="NOT_READABLE",
   I842="BLURRY",
   AND(R842="20_20_20",I842="READABLE")
 ),
 "B",
 "A"
),
C842="B",
IF(AND(AV842&gt;=AW842,I842="READABLE"),"E","B"),
C842="E",
IF(OR(I842="SAME",AD842&lt;=axisTol),"F","E"),
C842="F",
IF(AX842&gt;=sameN,"G","F"),
C842="G",
IF(OR(I842="EQUAL",BB842=1,BA842&gt;=duoMax),"D","G"),
C842="D",
IF(AND(AV842&gt;=AW842,I842="READABLE"),"H","D"),
C842="H",
IF(OR(I842="SAME",AD842&lt;=axisTol),"I","H"),
C842="I",
IF(AX842&gt;=sameN,"J","I"),
C842="J",
IF(OR(I842="EQUAL",BB842=1,BA842&gt;=duoMax),"K","J"),
C842="K",
IF(
 I842="SAME",
 IF(
   XLOOKUP($B842,Derived_Variables!$A:$A,Derived_Variables!$Q:$Q,"None")="None",
   "END",
   "P"
 ),
 "K"
),
C842="P",
IF(OR(I842="READABLE",I842="SAME"),"Q","P"),
C842="Q",
IF(OR(I842="READABLE",I842="SAME"),"R","Q"),
C842="R",
IF(OR(I842="TARGET_OK",I842="SAME"),"END","R"),
TRUE,"END"
)))</f>
        <v/>
      </c>
      <c r="BD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 t="str">
        <f t="array" ref="BC843">IF($I843="","",LET(
conf,AI843,
sameN,IF(conf="Low",1,IF(conf="Medium",2,3)),
duoMax,XLOOKUP($B843,Derived_Variables!$A:$A,Derived_Variables!$AI:$AI,4),
axisTol,XLOOKUP($B843,Derived_Variables!$A:$A,Derived_Variables!$W:$W,1),
IFS(
C843="A",
IF(
 OR(
   I843="NOT_READABLE",
   I843="BLURRY",
   AND(R843="20_20_20",I843="READABLE")
 ),
 "B",
 "A"
),
C843="B",
IF(AND(AV843&gt;=AW843,I843="READABLE"),"E","B"),
C843="E",
IF(OR(I843="SAME",AD843&lt;=axisTol),"F","E"),
C843="F",
IF(AX843&gt;=sameN,"G","F"),
C843="G",
IF(OR(I843="EQUAL",BB843=1,BA843&gt;=duoMax),"D","G"),
C843="D",
IF(AND(AV843&gt;=AW843,I843="READABLE"),"H","D"),
C843="H",
IF(OR(I843="SAME",AD843&lt;=axisTol),"I","H"),
C843="I",
IF(AX843&gt;=sameN,"J","I"),
C843="J",
IF(OR(I843="EQUAL",BB843=1,BA843&gt;=duoMax),"K","J"),
C843="K",
IF(
 I843="SAME",
 IF(
   XLOOKUP($B843,Derived_Variables!$A:$A,Derived_Variables!$Q:$Q,"None")="None",
   "END",
   "P"
 ),
 "K"
),
C843="P",
IF(OR(I843="READABLE",I843="SAME"),"Q","P"),
C843="Q",
IF(OR(I843="READABLE",I843="SAME"),"R","Q"),
C843="R",
IF(OR(I843="TARGET_OK",I843="SAME"),"END","R"),
TRUE,"END"
)))</f>
        <v/>
      </c>
      <c r="BD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 t="str">
        <f t="array" ref="BC844">IF($I844="","",LET(
conf,AI844,
sameN,IF(conf="Low",1,IF(conf="Medium",2,3)),
duoMax,XLOOKUP($B844,Derived_Variables!$A:$A,Derived_Variables!$AI:$AI,4),
axisTol,XLOOKUP($B844,Derived_Variables!$A:$A,Derived_Variables!$W:$W,1),
IFS(
C844="A",
IF(
 OR(
   I844="NOT_READABLE",
   I844="BLURRY",
   AND(R844="20_20_20",I844="READABLE")
 ),
 "B",
 "A"
),
C844="B",
IF(AND(AV844&gt;=AW844,I844="READABLE"),"E","B"),
C844="E",
IF(OR(I844="SAME",AD844&lt;=axisTol),"F","E"),
C844="F",
IF(AX844&gt;=sameN,"G","F"),
C844="G",
IF(OR(I844="EQUAL",BB844=1,BA844&gt;=duoMax),"D","G"),
C844="D",
IF(AND(AV844&gt;=AW844,I844="READABLE"),"H","D"),
C844="H",
IF(OR(I844="SAME",AD844&lt;=axisTol),"I","H"),
C844="I",
IF(AX844&gt;=sameN,"J","I"),
C844="J",
IF(OR(I844="EQUAL",BB844=1,BA844&gt;=duoMax),"K","J"),
C844="K",
IF(
 I844="SAME",
 IF(
   XLOOKUP($B844,Derived_Variables!$A:$A,Derived_Variables!$Q:$Q,"None")="None",
   "END",
   "P"
 ),
 "K"
),
C844="P",
IF(OR(I844="READABLE",I844="SAME"),"Q","P"),
C844="Q",
IF(OR(I844="READABLE",I844="SAME"),"R","Q"),
C844="R",
IF(OR(I844="TARGET_OK",I844="SAME"),"END","R"),
TRUE,"END"
)))</f>
        <v/>
      </c>
      <c r="BD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 t="str">
        <f t="array" ref="BC845">IF($I845="","",LET(
conf,AI845,
sameN,IF(conf="Low",1,IF(conf="Medium",2,3)),
duoMax,XLOOKUP($B845,Derived_Variables!$A:$A,Derived_Variables!$AI:$AI,4),
axisTol,XLOOKUP($B845,Derived_Variables!$A:$A,Derived_Variables!$W:$W,1),
IFS(
C845="A",
IF(
 OR(
   I845="NOT_READABLE",
   I845="BLURRY",
   AND(R845="20_20_20",I845="READABLE")
 ),
 "B",
 "A"
),
C845="B",
IF(AND(AV845&gt;=AW845,I845="READABLE"),"E","B"),
C845="E",
IF(OR(I845="SAME",AD845&lt;=axisTol),"F","E"),
C845="F",
IF(AX845&gt;=sameN,"G","F"),
C845="G",
IF(OR(I845="EQUAL",BB845=1,BA845&gt;=duoMax),"D","G"),
C845="D",
IF(AND(AV845&gt;=AW845,I845="READABLE"),"H","D"),
C845="H",
IF(OR(I845="SAME",AD845&lt;=axisTol),"I","H"),
C845="I",
IF(AX845&gt;=sameN,"J","I"),
C845="J",
IF(OR(I845="EQUAL",BB845=1,BA845&gt;=duoMax),"K","J"),
C845="K",
IF(
 I845="SAME",
 IF(
   XLOOKUP($B845,Derived_Variables!$A:$A,Derived_Variables!$Q:$Q,"None")="None",
   "END",
   "P"
 ),
 "K"
),
C845="P",
IF(OR(I845="READABLE",I845="SAME"),"Q","P"),
C845="Q",
IF(OR(I845="READABLE",I845="SAME"),"R","Q"),
C845="R",
IF(OR(I845="TARGET_OK",I845="SAME"),"END","R"),
TRUE,"END"
)))</f>
        <v/>
      </c>
      <c r="BD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 t="str">
        <f t="array" ref="BC846">IF($I846="","",LET(
conf,AI846,
sameN,IF(conf="Low",1,IF(conf="Medium",2,3)),
duoMax,XLOOKUP($B846,Derived_Variables!$A:$A,Derived_Variables!$AI:$AI,4),
axisTol,XLOOKUP($B846,Derived_Variables!$A:$A,Derived_Variables!$W:$W,1),
IFS(
C846="A",
IF(
 OR(
   I846="NOT_READABLE",
   I846="BLURRY",
   AND(R846="20_20_20",I846="READABLE")
 ),
 "B",
 "A"
),
C846="B",
IF(AND(AV846&gt;=AW846,I846="READABLE"),"E","B"),
C846="E",
IF(OR(I846="SAME",AD846&lt;=axisTol),"F","E"),
C846="F",
IF(AX846&gt;=sameN,"G","F"),
C846="G",
IF(OR(I846="EQUAL",BB846=1,BA846&gt;=duoMax),"D","G"),
C846="D",
IF(AND(AV846&gt;=AW846,I846="READABLE"),"H","D"),
C846="H",
IF(OR(I846="SAME",AD846&lt;=axisTol),"I","H"),
C846="I",
IF(AX846&gt;=sameN,"J","I"),
C846="J",
IF(OR(I846="EQUAL",BB846=1,BA846&gt;=duoMax),"K","J"),
C846="K",
IF(
 I846="SAME",
 IF(
   XLOOKUP($B846,Derived_Variables!$A:$A,Derived_Variables!$Q:$Q,"None")="None",
   "END",
   "P"
 ),
 "K"
),
C846="P",
IF(OR(I846="READABLE",I846="SAME"),"Q","P"),
C846="Q",
IF(OR(I846="READABLE",I846="SAME"),"R","Q"),
C846="R",
IF(OR(I846="TARGET_OK",I846="SAME"),"END","R"),
TRUE,"END"
)))</f>
        <v/>
      </c>
      <c r="BD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 t="str">
        <f t="array" ref="BC847">IF($I847="","",LET(
conf,AI847,
sameN,IF(conf="Low",1,IF(conf="Medium",2,3)),
duoMax,XLOOKUP($B847,Derived_Variables!$A:$A,Derived_Variables!$AI:$AI,4),
axisTol,XLOOKUP($B847,Derived_Variables!$A:$A,Derived_Variables!$W:$W,1),
IFS(
C847="A",
IF(
 OR(
   I847="NOT_READABLE",
   I847="BLURRY",
   AND(R847="20_20_20",I847="READABLE")
 ),
 "B",
 "A"
),
C847="B",
IF(AND(AV847&gt;=AW847,I847="READABLE"),"E","B"),
C847="E",
IF(OR(I847="SAME",AD847&lt;=axisTol),"F","E"),
C847="F",
IF(AX847&gt;=sameN,"G","F"),
C847="G",
IF(OR(I847="EQUAL",BB847=1,BA847&gt;=duoMax),"D","G"),
C847="D",
IF(AND(AV847&gt;=AW847,I847="READABLE"),"H","D"),
C847="H",
IF(OR(I847="SAME",AD847&lt;=axisTol),"I","H"),
C847="I",
IF(AX847&gt;=sameN,"J","I"),
C847="J",
IF(OR(I847="EQUAL",BB847=1,BA847&gt;=duoMax),"K","J"),
C847="K",
IF(
 I847="SAME",
 IF(
   XLOOKUP($B847,Derived_Variables!$A:$A,Derived_Variables!$Q:$Q,"None")="None",
   "END",
   "P"
 ),
 "K"
),
C847="P",
IF(OR(I847="READABLE",I847="SAME"),"Q","P"),
C847="Q",
IF(OR(I847="READABLE",I847="SAME"),"R","Q"),
C847="R",
IF(OR(I847="TARGET_OK",I847="SAME"),"END","R"),
TRUE,"END"
)))</f>
        <v/>
      </c>
      <c r="BD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 t="str">
        <f t="array" ref="BC848">IF($I848="","",LET(
conf,AI848,
sameN,IF(conf="Low",1,IF(conf="Medium",2,3)),
duoMax,XLOOKUP($B848,Derived_Variables!$A:$A,Derived_Variables!$AI:$AI,4),
axisTol,XLOOKUP($B848,Derived_Variables!$A:$A,Derived_Variables!$W:$W,1),
IFS(
C848="A",
IF(
 OR(
   I848="NOT_READABLE",
   I848="BLURRY",
   AND(R848="20_20_20",I848="READABLE")
 ),
 "B",
 "A"
),
C848="B",
IF(AND(AV848&gt;=AW848,I848="READABLE"),"E","B"),
C848="E",
IF(OR(I848="SAME",AD848&lt;=axisTol),"F","E"),
C848="F",
IF(AX848&gt;=sameN,"G","F"),
C848="G",
IF(OR(I848="EQUAL",BB848=1,BA848&gt;=duoMax),"D","G"),
C848="D",
IF(AND(AV848&gt;=AW848,I848="READABLE"),"H","D"),
C848="H",
IF(OR(I848="SAME",AD848&lt;=axisTol),"I","H"),
C848="I",
IF(AX848&gt;=sameN,"J","I"),
C848="J",
IF(OR(I848="EQUAL",BB848=1,BA848&gt;=duoMax),"K","J"),
C848="K",
IF(
 I848="SAME",
 IF(
   XLOOKUP($B848,Derived_Variables!$A:$A,Derived_Variables!$Q:$Q,"None")="None",
   "END",
   "P"
 ),
 "K"
),
C848="P",
IF(OR(I848="READABLE",I848="SAME"),"Q","P"),
C848="Q",
IF(OR(I848="READABLE",I848="SAME"),"R","Q"),
C848="R",
IF(OR(I848="TARGET_OK",I848="SAME"),"END","R"),
TRUE,"END"
)))</f>
        <v/>
      </c>
      <c r="BD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 t="str">
        <f t="array" ref="BC849">IF($I849="","",LET(
conf,AI849,
sameN,IF(conf="Low",1,IF(conf="Medium",2,3)),
duoMax,XLOOKUP($B849,Derived_Variables!$A:$A,Derived_Variables!$AI:$AI,4),
axisTol,XLOOKUP($B849,Derived_Variables!$A:$A,Derived_Variables!$W:$W,1),
IFS(
C849="A",
IF(
 OR(
   I849="NOT_READABLE",
   I849="BLURRY",
   AND(R849="20_20_20",I849="READABLE")
 ),
 "B",
 "A"
),
C849="B",
IF(AND(AV849&gt;=AW849,I849="READABLE"),"E","B"),
C849="E",
IF(OR(I849="SAME",AD849&lt;=axisTol),"F","E"),
C849="F",
IF(AX849&gt;=sameN,"G","F"),
C849="G",
IF(OR(I849="EQUAL",BB849=1,BA849&gt;=duoMax),"D","G"),
C849="D",
IF(AND(AV849&gt;=AW849,I849="READABLE"),"H","D"),
C849="H",
IF(OR(I849="SAME",AD849&lt;=axisTol),"I","H"),
C849="I",
IF(AX849&gt;=sameN,"J","I"),
C849="J",
IF(OR(I849="EQUAL",BB849=1,BA849&gt;=duoMax),"K","J"),
C849="K",
IF(
 I849="SAME",
 IF(
   XLOOKUP($B849,Derived_Variables!$A:$A,Derived_Variables!$Q:$Q,"None")="None",
   "END",
   "P"
 ),
 "K"
),
C849="P",
IF(OR(I849="READABLE",I849="SAME"),"Q","P"),
C849="Q",
IF(OR(I849="READABLE",I849="SAME"),"R","Q"),
C849="R",
IF(OR(I849="TARGET_OK",I849="SAME"),"END","R"),
TRUE,"END"
)))</f>
        <v/>
      </c>
      <c r="BD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 t="str">
        <f t="array" ref="BC850">IF($I850="","",LET(
conf,AI850,
sameN,IF(conf="Low",1,IF(conf="Medium",2,3)),
duoMax,XLOOKUP($B850,Derived_Variables!$A:$A,Derived_Variables!$AI:$AI,4),
axisTol,XLOOKUP($B850,Derived_Variables!$A:$A,Derived_Variables!$W:$W,1),
IFS(
C850="A",
IF(
 OR(
   I850="NOT_READABLE",
   I850="BLURRY",
   AND(R850="20_20_20",I850="READABLE")
 ),
 "B",
 "A"
),
C850="B",
IF(AND(AV850&gt;=AW850,I850="READABLE"),"E","B"),
C850="E",
IF(OR(I850="SAME",AD850&lt;=axisTol),"F","E"),
C850="F",
IF(AX850&gt;=sameN,"G","F"),
C850="G",
IF(OR(I850="EQUAL",BB850=1,BA850&gt;=duoMax),"D","G"),
C850="D",
IF(AND(AV850&gt;=AW850,I850="READABLE"),"H","D"),
C850="H",
IF(OR(I850="SAME",AD850&lt;=axisTol),"I","H"),
C850="I",
IF(AX850&gt;=sameN,"J","I"),
C850="J",
IF(OR(I850="EQUAL",BB850=1,BA850&gt;=duoMax),"K","J"),
C850="K",
IF(
 I850="SAME",
 IF(
   XLOOKUP($B850,Derived_Variables!$A:$A,Derived_Variables!$Q:$Q,"None")="None",
   "END",
   "P"
 ),
 "K"
),
C850="P",
IF(OR(I850="READABLE",I850="SAME"),"Q","P"),
C850="Q",
IF(OR(I850="READABLE",I850="SAME"),"R","Q"),
C850="R",
IF(OR(I850="TARGET_OK",I850="SAME"),"END","R"),
TRUE,"END"
)))</f>
        <v/>
      </c>
      <c r="BD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 t="str">
        <f t="array" ref="BC851">IF($I851="","",LET(
conf,AI851,
sameN,IF(conf="Low",1,IF(conf="Medium",2,3)),
duoMax,XLOOKUP($B851,Derived_Variables!$A:$A,Derived_Variables!$AI:$AI,4),
axisTol,XLOOKUP($B851,Derived_Variables!$A:$A,Derived_Variables!$W:$W,1),
IFS(
C851="A",
IF(
 OR(
   I851="NOT_READABLE",
   I851="BLURRY",
   AND(R851="20_20_20",I851="READABLE")
 ),
 "B",
 "A"
),
C851="B",
IF(AND(AV851&gt;=AW851,I851="READABLE"),"E","B"),
C851="E",
IF(OR(I851="SAME",AD851&lt;=axisTol),"F","E"),
C851="F",
IF(AX851&gt;=sameN,"G","F"),
C851="G",
IF(OR(I851="EQUAL",BB851=1,BA851&gt;=duoMax),"D","G"),
C851="D",
IF(AND(AV851&gt;=AW851,I851="READABLE"),"H","D"),
C851="H",
IF(OR(I851="SAME",AD851&lt;=axisTol),"I","H"),
C851="I",
IF(AX851&gt;=sameN,"J","I"),
C851="J",
IF(OR(I851="EQUAL",BB851=1,BA851&gt;=duoMax),"K","J"),
C851="K",
IF(
 I851="SAME",
 IF(
   XLOOKUP($B851,Derived_Variables!$A:$A,Derived_Variables!$Q:$Q,"None")="None",
   "END",
   "P"
 ),
 "K"
),
C851="P",
IF(OR(I851="READABLE",I851="SAME"),"Q","P"),
C851="Q",
IF(OR(I851="READABLE",I851="SAME"),"R","Q"),
C851="R",
IF(OR(I851="TARGET_OK",I851="SAME"),"END","R"),
TRUE,"END"
)))</f>
        <v/>
      </c>
      <c r="BD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 t="str">
        <f t="array" ref="BC852">IF($I852="","",LET(
conf,AI852,
sameN,IF(conf="Low",1,IF(conf="Medium",2,3)),
duoMax,XLOOKUP($B852,Derived_Variables!$A:$A,Derived_Variables!$AI:$AI,4),
axisTol,XLOOKUP($B852,Derived_Variables!$A:$A,Derived_Variables!$W:$W,1),
IFS(
C852="A",
IF(
 OR(
   I852="NOT_READABLE",
   I852="BLURRY",
   AND(R852="20_20_20",I852="READABLE")
 ),
 "B",
 "A"
),
C852="B",
IF(AND(AV852&gt;=AW852,I852="READABLE"),"E","B"),
C852="E",
IF(OR(I852="SAME",AD852&lt;=axisTol),"F","E"),
C852="F",
IF(AX852&gt;=sameN,"G","F"),
C852="G",
IF(OR(I852="EQUAL",BB852=1,BA852&gt;=duoMax),"D","G"),
C852="D",
IF(AND(AV852&gt;=AW852,I852="READABLE"),"H","D"),
C852="H",
IF(OR(I852="SAME",AD852&lt;=axisTol),"I","H"),
C852="I",
IF(AX852&gt;=sameN,"J","I"),
C852="J",
IF(OR(I852="EQUAL",BB852=1,BA852&gt;=duoMax),"K","J"),
C852="K",
IF(
 I852="SAME",
 IF(
   XLOOKUP($B852,Derived_Variables!$A:$A,Derived_Variables!$Q:$Q,"None")="None",
   "END",
   "P"
 ),
 "K"
),
C852="P",
IF(OR(I852="READABLE",I852="SAME"),"Q","P"),
C852="Q",
IF(OR(I852="READABLE",I852="SAME"),"R","Q"),
C852="R",
IF(OR(I852="TARGET_OK",I852="SAME"),"END","R"),
TRUE,"END"
)))</f>
        <v/>
      </c>
      <c r="BD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 t="str">
        <f t="array" ref="BC853">IF($I853="","",LET(
conf,AI853,
sameN,IF(conf="Low",1,IF(conf="Medium",2,3)),
duoMax,XLOOKUP($B853,Derived_Variables!$A:$A,Derived_Variables!$AI:$AI,4),
axisTol,XLOOKUP($B853,Derived_Variables!$A:$A,Derived_Variables!$W:$W,1),
IFS(
C853="A",
IF(
 OR(
   I853="NOT_READABLE",
   I853="BLURRY",
   AND(R853="20_20_20",I853="READABLE")
 ),
 "B",
 "A"
),
C853="B",
IF(AND(AV853&gt;=AW853,I853="READABLE"),"E","B"),
C853="E",
IF(OR(I853="SAME",AD853&lt;=axisTol),"F","E"),
C853="F",
IF(AX853&gt;=sameN,"G","F"),
C853="G",
IF(OR(I853="EQUAL",BB853=1,BA853&gt;=duoMax),"D","G"),
C853="D",
IF(AND(AV853&gt;=AW853,I853="READABLE"),"H","D"),
C853="H",
IF(OR(I853="SAME",AD853&lt;=axisTol),"I","H"),
C853="I",
IF(AX853&gt;=sameN,"J","I"),
C853="J",
IF(OR(I853="EQUAL",BB853=1,BA853&gt;=duoMax),"K","J"),
C853="K",
IF(
 I853="SAME",
 IF(
   XLOOKUP($B853,Derived_Variables!$A:$A,Derived_Variables!$Q:$Q,"None")="None",
   "END",
   "P"
 ),
 "K"
),
C853="P",
IF(OR(I853="READABLE",I853="SAME"),"Q","P"),
C853="Q",
IF(OR(I853="READABLE",I853="SAME"),"R","Q"),
C853="R",
IF(OR(I853="TARGET_OK",I853="SAME"),"END","R"),
TRUE,"END"
)))</f>
        <v/>
      </c>
      <c r="BD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 t="str">
        <f t="array" ref="BC854">IF($I854="","",LET(
conf,AI854,
sameN,IF(conf="Low",1,IF(conf="Medium",2,3)),
duoMax,XLOOKUP($B854,Derived_Variables!$A:$A,Derived_Variables!$AI:$AI,4),
axisTol,XLOOKUP($B854,Derived_Variables!$A:$A,Derived_Variables!$W:$W,1),
IFS(
C854="A",
IF(
 OR(
   I854="NOT_READABLE",
   I854="BLURRY",
   AND(R854="20_20_20",I854="READABLE")
 ),
 "B",
 "A"
),
C854="B",
IF(AND(AV854&gt;=AW854,I854="READABLE"),"E","B"),
C854="E",
IF(OR(I854="SAME",AD854&lt;=axisTol),"F","E"),
C854="F",
IF(AX854&gt;=sameN,"G","F"),
C854="G",
IF(OR(I854="EQUAL",BB854=1,BA854&gt;=duoMax),"D","G"),
C854="D",
IF(AND(AV854&gt;=AW854,I854="READABLE"),"H","D"),
C854="H",
IF(OR(I854="SAME",AD854&lt;=axisTol),"I","H"),
C854="I",
IF(AX854&gt;=sameN,"J","I"),
C854="J",
IF(OR(I854="EQUAL",BB854=1,BA854&gt;=duoMax),"K","J"),
C854="K",
IF(
 I854="SAME",
 IF(
   XLOOKUP($B854,Derived_Variables!$A:$A,Derived_Variables!$Q:$Q,"None")="None",
   "END",
   "P"
 ),
 "K"
),
C854="P",
IF(OR(I854="READABLE",I854="SAME"),"Q","P"),
C854="Q",
IF(OR(I854="READABLE",I854="SAME"),"R","Q"),
C854="R",
IF(OR(I854="TARGET_OK",I854="SAME"),"END","R"),
TRUE,"END"
)))</f>
        <v/>
      </c>
      <c r="BD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 t="str">
        <f t="array" ref="BC855">IF($I855="","",LET(
conf,AI855,
sameN,IF(conf="Low",1,IF(conf="Medium",2,3)),
duoMax,XLOOKUP($B855,Derived_Variables!$A:$A,Derived_Variables!$AI:$AI,4),
axisTol,XLOOKUP($B855,Derived_Variables!$A:$A,Derived_Variables!$W:$W,1),
IFS(
C855="A",
IF(
 OR(
   I855="NOT_READABLE",
   I855="BLURRY",
   AND(R855="20_20_20",I855="READABLE")
 ),
 "B",
 "A"
),
C855="B",
IF(AND(AV855&gt;=AW855,I855="READABLE"),"E","B"),
C855="E",
IF(OR(I855="SAME",AD855&lt;=axisTol),"F","E"),
C855="F",
IF(AX855&gt;=sameN,"G","F"),
C855="G",
IF(OR(I855="EQUAL",BB855=1,BA855&gt;=duoMax),"D","G"),
C855="D",
IF(AND(AV855&gt;=AW855,I855="READABLE"),"H","D"),
C855="H",
IF(OR(I855="SAME",AD855&lt;=axisTol),"I","H"),
C855="I",
IF(AX855&gt;=sameN,"J","I"),
C855="J",
IF(OR(I855="EQUAL",BB855=1,BA855&gt;=duoMax),"K","J"),
C855="K",
IF(
 I855="SAME",
 IF(
   XLOOKUP($B855,Derived_Variables!$A:$A,Derived_Variables!$Q:$Q,"None")="None",
   "END",
   "P"
 ),
 "K"
),
C855="P",
IF(OR(I855="READABLE",I855="SAME"),"Q","P"),
C855="Q",
IF(OR(I855="READABLE",I855="SAME"),"R","Q"),
C855="R",
IF(OR(I855="TARGET_OK",I855="SAME"),"END","R"),
TRUE,"END"
)))</f>
        <v/>
      </c>
      <c r="BD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 t="str">
        <f t="array" ref="BC856">IF($I856="","",LET(
conf,AI856,
sameN,IF(conf="Low",1,IF(conf="Medium",2,3)),
duoMax,XLOOKUP($B856,Derived_Variables!$A:$A,Derived_Variables!$AI:$AI,4),
axisTol,XLOOKUP($B856,Derived_Variables!$A:$A,Derived_Variables!$W:$W,1),
IFS(
C856="A",
IF(
 OR(
   I856="NOT_READABLE",
   I856="BLURRY",
   AND(R856="20_20_20",I856="READABLE")
 ),
 "B",
 "A"
),
C856="B",
IF(AND(AV856&gt;=AW856,I856="READABLE"),"E","B"),
C856="E",
IF(OR(I856="SAME",AD856&lt;=axisTol),"F","E"),
C856="F",
IF(AX856&gt;=sameN,"G","F"),
C856="G",
IF(OR(I856="EQUAL",BB856=1,BA856&gt;=duoMax),"D","G"),
C856="D",
IF(AND(AV856&gt;=AW856,I856="READABLE"),"H","D"),
C856="H",
IF(OR(I856="SAME",AD856&lt;=axisTol),"I","H"),
C856="I",
IF(AX856&gt;=sameN,"J","I"),
C856="J",
IF(OR(I856="EQUAL",BB856=1,BA856&gt;=duoMax),"K","J"),
C856="K",
IF(
 I856="SAME",
 IF(
   XLOOKUP($B856,Derived_Variables!$A:$A,Derived_Variables!$Q:$Q,"None")="None",
   "END",
   "P"
 ),
 "K"
),
C856="P",
IF(OR(I856="READABLE",I856="SAME"),"Q","P"),
C856="Q",
IF(OR(I856="READABLE",I856="SAME"),"R","Q"),
C856="R",
IF(OR(I856="TARGET_OK",I856="SAME"),"END","R"),
TRUE,"END"
)))</f>
        <v/>
      </c>
      <c r="BD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 t="str">
        <f t="array" ref="BC857">IF($I857="","",LET(
conf,AI857,
sameN,IF(conf="Low",1,IF(conf="Medium",2,3)),
duoMax,XLOOKUP($B857,Derived_Variables!$A:$A,Derived_Variables!$AI:$AI,4),
axisTol,XLOOKUP($B857,Derived_Variables!$A:$A,Derived_Variables!$W:$W,1),
IFS(
C857="A",
IF(
 OR(
   I857="NOT_READABLE",
   I857="BLURRY",
   AND(R857="20_20_20",I857="READABLE")
 ),
 "B",
 "A"
),
C857="B",
IF(AND(AV857&gt;=AW857,I857="READABLE"),"E","B"),
C857="E",
IF(OR(I857="SAME",AD857&lt;=axisTol),"F","E"),
C857="F",
IF(AX857&gt;=sameN,"G","F"),
C857="G",
IF(OR(I857="EQUAL",BB857=1,BA857&gt;=duoMax),"D","G"),
C857="D",
IF(AND(AV857&gt;=AW857,I857="READABLE"),"H","D"),
C857="H",
IF(OR(I857="SAME",AD857&lt;=axisTol),"I","H"),
C857="I",
IF(AX857&gt;=sameN,"J","I"),
C857="J",
IF(OR(I857="EQUAL",BB857=1,BA857&gt;=duoMax),"K","J"),
C857="K",
IF(
 I857="SAME",
 IF(
   XLOOKUP($B857,Derived_Variables!$A:$A,Derived_Variables!$Q:$Q,"None")="None",
   "END",
   "P"
 ),
 "K"
),
C857="P",
IF(OR(I857="READABLE",I857="SAME"),"Q","P"),
C857="Q",
IF(OR(I857="READABLE",I857="SAME"),"R","Q"),
C857="R",
IF(OR(I857="TARGET_OK",I857="SAME"),"END","R"),
TRUE,"END"
)))</f>
        <v/>
      </c>
      <c r="BD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 t="str">
        <f t="array" ref="BC858">IF($I858="","",LET(
conf,AI858,
sameN,IF(conf="Low",1,IF(conf="Medium",2,3)),
duoMax,XLOOKUP($B858,Derived_Variables!$A:$A,Derived_Variables!$AI:$AI,4),
axisTol,XLOOKUP($B858,Derived_Variables!$A:$A,Derived_Variables!$W:$W,1),
IFS(
C858="A",
IF(
 OR(
   I858="NOT_READABLE",
   I858="BLURRY",
   AND(R858="20_20_20",I858="READABLE")
 ),
 "B",
 "A"
),
C858="B",
IF(AND(AV858&gt;=AW858,I858="READABLE"),"E","B"),
C858="E",
IF(OR(I858="SAME",AD858&lt;=axisTol),"F","E"),
C858="F",
IF(AX858&gt;=sameN,"G","F"),
C858="G",
IF(OR(I858="EQUAL",BB858=1,BA858&gt;=duoMax),"D","G"),
C858="D",
IF(AND(AV858&gt;=AW858,I858="READABLE"),"H","D"),
C858="H",
IF(OR(I858="SAME",AD858&lt;=axisTol),"I","H"),
C858="I",
IF(AX858&gt;=sameN,"J","I"),
C858="J",
IF(OR(I858="EQUAL",BB858=1,BA858&gt;=duoMax),"K","J"),
C858="K",
IF(
 I858="SAME",
 IF(
   XLOOKUP($B858,Derived_Variables!$A:$A,Derived_Variables!$Q:$Q,"None")="None",
   "END",
   "P"
 ),
 "K"
),
C858="P",
IF(OR(I858="READABLE",I858="SAME"),"Q","P"),
C858="Q",
IF(OR(I858="READABLE",I858="SAME"),"R","Q"),
C858="R",
IF(OR(I858="TARGET_OK",I858="SAME"),"END","R"),
TRUE,"END"
)))</f>
        <v/>
      </c>
      <c r="BD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 t="str">
        <f t="array" ref="BC859">IF($I859="","",LET(
conf,AI859,
sameN,IF(conf="Low",1,IF(conf="Medium",2,3)),
duoMax,XLOOKUP($B859,Derived_Variables!$A:$A,Derived_Variables!$AI:$AI,4),
axisTol,XLOOKUP($B859,Derived_Variables!$A:$A,Derived_Variables!$W:$W,1),
IFS(
C859="A",
IF(
 OR(
   I859="NOT_READABLE",
   I859="BLURRY",
   AND(R859="20_20_20",I859="READABLE")
 ),
 "B",
 "A"
),
C859="B",
IF(AND(AV859&gt;=AW859,I859="READABLE"),"E","B"),
C859="E",
IF(OR(I859="SAME",AD859&lt;=axisTol),"F","E"),
C859="F",
IF(AX859&gt;=sameN,"G","F"),
C859="G",
IF(OR(I859="EQUAL",BB859=1,BA859&gt;=duoMax),"D","G"),
C859="D",
IF(AND(AV859&gt;=AW859,I859="READABLE"),"H","D"),
C859="H",
IF(OR(I859="SAME",AD859&lt;=axisTol),"I","H"),
C859="I",
IF(AX859&gt;=sameN,"J","I"),
C859="J",
IF(OR(I859="EQUAL",BB859=1,BA859&gt;=duoMax),"K","J"),
C859="K",
IF(
 I859="SAME",
 IF(
   XLOOKUP($B859,Derived_Variables!$A:$A,Derived_Variables!$Q:$Q,"None")="None",
   "END",
   "P"
 ),
 "K"
),
C859="P",
IF(OR(I859="READABLE",I859="SAME"),"Q","P"),
C859="Q",
IF(OR(I859="READABLE",I859="SAME"),"R","Q"),
C859="R",
IF(OR(I859="TARGET_OK",I859="SAME"),"END","R"),
TRUE,"END"
)))</f>
        <v/>
      </c>
      <c r="BD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 t="str">
        <f t="array" ref="BC860">IF($I860="","",LET(
conf,AI860,
sameN,IF(conf="Low",1,IF(conf="Medium",2,3)),
duoMax,XLOOKUP($B860,Derived_Variables!$A:$A,Derived_Variables!$AI:$AI,4),
axisTol,XLOOKUP($B860,Derived_Variables!$A:$A,Derived_Variables!$W:$W,1),
IFS(
C860="A",
IF(
 OR(
   I860="NOT_READABLE",
   I860="BLURRY",
   AND(R860="20_20_20",I860="READABLE")
 ),
 "B",
 "A"
),
C860="B",
IF(AND(AV860&gt;=AW860,I860="READABLE"),"E","B"),
C860="E",
IF(OR(I860="SAME",AD860&lt;=axisTol),"F","E"),
C860="F",
IF(AX860&gt;=sameN,"G","F"),
C860="G",
IF(OR(I860="EQUAL",BB860=1,BA860&gt;=duoMax),"D","G"),
C860="D",
IF(AND(AV860&gt;=AW860,I860="READABLE"),"H","D"),
C860="H",
IF(OR(I860="SAME",AD860&lt;=axisTol),"I","H"),
C860="I",
IF(AX860&gt;=sameN,"J","I"),
C860="J",
IF(OR(I860="EQUAL",BB860=1,BA860&gt;=duoMax),"K","J"),
C860="K",
IF(
 I860="SAME",
 IF(
   XLOOKUP($B860,Derived_Variables!$A:$A,Derived_Variables!$Q:$Q,"None")="None",
   "END",
   "P"
 ),
 "K"
),
C860="P",
IF(OR(I860="READABLE",I860="SAME"),"Q","P"),
C860="Q",
IF(OR(I860="READABLE",I860="SAME"),"R","Q"),
C860="R",
IF(OR(I860="TARGET_OK",I860="SAME"),"END","R"),
TRUE,"END"
)))</f>
        <v/>
      </c>
      <c r="BD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 t="str">
        <f t="array" ref="BC861">IF($I861="","",LET(
conf,AI861,
sameN,IF(conf="Low",1,IF(conf="Medium",2,3)),
duoMax,XLOOKUP($B861,Derived_Variables!$A:$A,Derived_Variables!$AI:$AI,4),
axisTol,XLOOKUP($B861,Derived_Variables!$A:$A,Derived_Variables!$W:$W,1),
IFS(
C861="A",
IF(
 OR(
   I861="NOT_READABLE",
   I861="BLURRY",
   AND(R861="20_20_20",I861="READABLE")
 ),
 "B",
 "A"
),
C861="B",
IF(AND(AV861&gt;=AW861,I861="READABLE"),"E","B"),
C861="E",
IF(OR(I861="SAME",AD861&lt;=axisTol),"F","E"),
C861="F",
IF(AX861&gt;=sameN,"G","F"),
C861="G",
IF(OR(I861="EQUAL",BB861=1,BA861&gt;=duoMax),"D","G"),
C861="D",
IF(AND(AV861&gt;=AW861,I861="READABLE"),"H","D"),
C861="H",
IF(OR(I861="SAME",AD861&lt;=axisTol),"I","H"),
C861="I",
IF(AX861&gt;=sameN,"J","I"),
C861="J",
IF(OR(I861="EQUAL",BB861=1,BA861&gt;=duoMax),"K","J"),
C861="K",
IF(
 I861="SAME",
 IF(
   XLOOKUP($B861,Derived_Variables!$A:$A,Derived_Variables!$Q:$Q,"None")="None",
   "END",
   "P"
 ),
 "K"
),
C861="P",
IF(OR(I861="READABLE",I861="SAME"),"Q","P"),
C861="Q",
IF(OR(I861="READABLE",I861="SAME"),"R","Q"),
C861="R",
IF(OR(I861="TARGET_OK",I861="SAME"),"END","R"),
TRUE,"END"
)))</f>
        <v/>
      </c>
      <c r="BD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 t="str">
        <f t="array" ref="BC862">IF($I862="","",LET(
conf,AI862,
sameN,IF(conf="Low",1,IF(conf="Medium",2,3)),
duoMax,XLOOKUP($B862,Derived_Variables!$A:$A,Derived_Variables!$AI:$AI,4),
axisTol,XLOOKUP($B862,Derived_Variables!$A:$A,Derived_Variables!$W:$W,1),
IFS(
C862="A",
IF(
 OR(
   I862="NOT_READABLE",
   I862="BLURRY",
   AND(R862="20_20_20",I862="READABLE")
 ),
 "B",
 "A"
),
C862="B",
IF(AND(AV862&gt;=AW862,I862="READABLE"),"E","B"),
C862="E",
IF(OR(I862="SAME",AD862&lt;=axisTol),"F","E"),
C862="F",
IF(AX862&gt;=sameN,"G","F"),
C862="G",
IF(OR(I862="EQUAL",BB862=1,BA862&gt;=duoMax),"D","G"),
C862="D",
IF(AND(AV862&gt;=AW862,I862="READABLE"),"H","D"),
C862="H",
IF(OR(I862="SAME",AD862&lt;=axisTol),"I","H"),
C862="I",
IF(AX862&gt;=sameN,"J","I"),
C862="J",
IF(OR(I862="EQUAL",BB862=1,BA862&gt;=duoMax),"K","J"),
C862="K",
IF(
 I862="SAME",
 IF(
   XLOOKUP($B862,Derived_Variables!$A:$A,Derived_Variables!$Q:$Q,"None")="None",
   "END",
   "P"
 ),
 "K"
),
C862="P",
IF(OR(I862="READABLE",I862="SAME"),"Q","P"),
C862="Q",
IF(OR(I862="READABLE",I862="SAME"),"R","Q"),
C862="R",
IF(OR(I862="TARGET_OK",I862="SAME"),"END","R"),
TRUE,"END"
)))</f>
        <v/>
      </c>
      <c r="BD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 t="str">
        <f t="array" ref="BC863">IF($I863="","",LET(
conf,AI863,
sameN,IF(conf="Low",1,IF(conf="Medium",2,3)),
duoMax,XLOOKUP($B863,Derived_Variables!$A:$A,Derived_Variables!$AI:$AI,4),
axisTol,XLOOKUP($B863,Derived_Variables!$A:$A,Derived_Variables!$W:$W,1),
IFS(
C863="A",
IF(
 OR(
   I863="NOT_READABLE",
   I863="BLURRY",
   AND(R863="20_20_20",I863="READABLE")
 ),
 "B",
 "A"
),
C863="B",
IF(AND(AV863&gt;=AW863,I863="READABLE"),"E","B"),
C863="E",
IF(OR(I863="SAME",AD863&lt;=axisTol),"F","E"),
C863="F",
IF(AX863&gt;=sameN,"G","F"),
C863="G",
IF(OR(I863="EQUAL",BB863=1,BA863&gt;=duoMax),"D","G"),
C863="D",
IF(AND(AV863&gt;=AW863,I863="READABLE"),"H","D"),
C863="H",
IF(OR(I863="SAME",AD863&lt;=axisTol),"I","H"),
C863="I",
IF(AX863&gt;=sameN,"J","I"),
C863="J",
IF(OR(I863="EQUAL",BB863=1,BA863&gt;=duoMax),"K","J"),
C863="K",
IF(
 I863="SAME",
 IF(
   XLOOKUP($B863,Derived_Variables!$A:$A,Derived_Variables!$Q:$Q,"None")="None",
   "END",
   "P"
 ),
 "K"
),
C863="P",
IF(OR(I863="READABLE",I863="SAME"),"Q","P"),
C863="Q",
IF(OR(I863="READABLE",I863="SAME"),"R","Q"),
C863="R",
IF(OR(I863="TARGET_OK",I863="SAME"),"END","R"),
TRUE,"END"
)))</f>
        <v/>
      </c>
      <c r="BD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 t="str">
        <f t="array" ref="BC864">IF($I864="","",LET(
conf,AI864,
sameN,IF(conf="Low",1,IF(conf="Medium",2,3)),
duoMax,XLOOKUP($B864,Derived_Variables!$A:$A,Derived_Variables!$AI:$AI,4),
axisTol,XLOOKUP($B864,Derived_Variables!$A:$A,Derived_Variables!$W:$W,1),
IFS(
C864="A",
IF(
 OR(
   I864="NOT_READABLE",
   I864="BLURRY",
   AND(R864="20_20_20",I864="READABLE")
 ),
 "B",
 "A"
),
C864="B",
IF(AND(AV864&gt;=AW864,I864="READABLE"),"E","B"),
C864="E",
IF(OR(I864="SAME",AD864&lt;=axisTol),"F","E"),
C864="F",
IF(AX864&gt;=sameN,"G","F"),
C864="G",
IF(OR(I864="EQUAL",BB864=1,BA864&gt;=duoMax),"D","G"),
C864="D",
IF(AND(AV864&gt;=AW864,I864="READABLE"),"H","D"),
C864="H",
IF(OR(I864="SAME",AD864&lt;=axisTol),"I","H"),
C864="I",
IF(AX864&gt;=sameN,"J","I"),
C864="J",
IF(OR(I864="EQUAL",BB864=1,BA864&gt;=duoMax),"K","J"),
C864="K",
IF(
 I864="SAME",
 IF(
   XLOOKUP($B864,Derived_Variables!$A:$A,Derived_Variables!$Q:$Q,"None")="None",
   "END",
   "P"
 ),
 "K"
),
C864="P",
IF(OR(I864="READABLE",I864="SAME"),"Q","P"),
C864="Q",
IF(OR(I864="READABLE",I864="SAME"),"R","Q"),
C864="R",
IF(OR(I864="TARGET_OK",I864="SAME"),"END","R"),
TRUE,"END"
)))</f>
        <v/>
      </c>
      <c r="BD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 t="str">
        <f t="array" ref="BC865">IF($I865="","",LET(
conf,AI865,
sameN,IF(conf="Low",1,IF(conf="Medium",2,3)),
duoMax,XLOOKUP($B865,Derived_Variables!$A:$A,Derived_Variables!$AI:$AI,4),
axisTol,XLOOKUP($B865,Derived_Variables!$A:$A,Derived_Variables!$W:$W,1),
IFS(
C865="A",
IF(
 OR(
   I865="NOT_READABLE",
   I865="BLURRY",
   AND(R865="20_20_20",I865="READABLE")
 ),
 "B",
 "A"
),
C865="B",
IF(AND(AV865&gt;=AW865,I865="READABLE"),"E","B"),
C865="E",
IF(OR(I865="SAME",AD865&lt;=axisTol),"F","E"),
C865="F",
IF(AX865&gt;=sameN,"G","F"),
C865="G",
IF(OR(I865="EQUAL",BB865=1,BA865&gt;=duoMax),"D","G"),
C865="D",
IF(AND(AV865&gt;=AW865,I865="READABLE"),"H","D"),
C865="H",
IF(OR(I865="SAME",AD865&lt;=axisTol),"I","H"),
C865="I",
IF(AX865&gt;=sameN,"J","I"),
C865="J",
IF(OR(I865="EQUAL",BB865=1,BA865&gt;=duoMax),"K","J"),
C865="K",
IF(
 I865="SAME",
 IF(
   XLOOKUP($B865,Derived_Variables!$A:$A,Derived_Variables!$Q:$Q,"None")="None",
   "END",
   "P"
 ),
 "K"
),
C865="P",
IF(OR(I865="READABLE",I865="SAME"),"Q","P"),
C865="Q",
IF(OR(I865="READABLE",I865="SAME"),"R","Q"),
C865="R",
IF(OR(I865="TARGET_OK",I865="SAME"),"END","R"),
TRUE,"END"
)))</f>
        <v/>
      </c>
      <c r="BD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 t="str">
        <f t="array" ref="BC866">IF($I866="","",LET(
conf,AI866,
sameN,IF(conf="Low",1,IF(conf="Medium",2,3)),
duoMax,XLOOKUP($B866,Derived_Variables!$A:$A,Derived_Variables!$AI:$AI,4),
axisTol,XLOOKUP($B866,Derived_Variables!$A:$A,Derived_Variables!$W:$W,1),
IFS(
C866="A",
IF(
 OR(
   I866="NOT_READABLE",
   I866="BLURRY",
   AND(R866="20_20_20",I866="READABLE")
 ),
 "B",
 "A"
),
C866="B",
IF(AND(AV866&gt;=AW866,I866="READABLE"),"E","B"),
C866="E",
IF(OR(I866="SAME",AD866&lt;=axisTol),"F","E"),
C866="F",
IF(AX866&gt;=sameN,"G","F"),
C866="G",
IF(OR(I866="EQUAL",BB866=1,BA866&gt;=duoMax),"D","G"),
C866="D",
IF(AND(AV866&gt;=AW866,I866="READABLE"),"H","D"),
C866="H",
IF(OR(I866="SAME",AD866&lt;=axisTol),"I","H"),
C866="I",
IF(AX866&gt;=sameN,"J","I"),
C866="J",
IF(OR(I866="EQUAL",BB866=1,BA866&gt;=duoMax),"K","J"),
C866="K",
IF(
 I866="SAME",
 IF(
   XLOOKUP($B866,Derived_Variables!$A:$A,Derived_Variables!$Q:$Q,"None")="None",
   "END",
   "P"
 ),
 "K"
),
C866="P",
IF(OR(I866="READABLE",I866="SAME"),"Q","P"),
C866="Q",
IF(OR(I866="READABLE",I866="SAME"),"R","Q"),
C866="R",
IF(OR(I866="TARGET_OK",I866="SAME"),"END","R"),
TRUE,"END"
)))</f>
        <v/>
      </c>
      <c r="BD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 t="str">
        <f t="array" ref="BC867">IF($I867="","",LET(
conf,AI867,
sameN,IF(conf="Low",1,IF(conf="Medium",2,3)),
duoMax,XLOOKUP($B867,Derived_Variables!$A:$A,Derived_Variables!$AI:$AI,4),
axisTol,XLOOKUP($B867,Derived_Variables!$A:$A,Derived_Variables!$W:$W,1),
IFS(
C867="A",
IF(
 OR(
   I867="NOT_READABLE",
   I867="BLURRY",
   AND(R867="20_20_20",I867="READABLE")
 ),
 "B",
 "A"
),
C867="B",
IF(AND(AV867&gt;=AW867,I867="READABLE"),"E","B"),
C867="E",
IF(OR(I867="SAME",AD867&lt;=axisTol),"F","E"),
C867="F",
IF(AX867&gt;=sameN,"G","F"),
C867="G",
IF(OR(I867="EQUAL",BB867=1,BA867&gt;=duoMax),"D","G"),
C867="D",
IF(AND(AV867&gt;=AW867,I867="READABLE"),"H","D"),
C867="H",
IF(OR(I867="SAME",AD867&lt;=axisTol),"I","H"),
C867="I",
IF(AX867&gt;=sameN,"J","I"),
C867="J",
IF(OR(I867="EQUAL",BB867=1,BA867&gt;=duoMax),"K","J"),
C867="K",
IF(
 I867="SAME",
 IF(
   XLOOKUP($B867,Derived_Variables!$A:$A,Derived_Variables!$Q:$Q,"None")="None",
   "END",
   "P"
 ),
 "K"
),
C867="P",
IF(OR(I867="READABLE",I867="SAME"),"Q","P"),
C867="Q",
IF(OR(I867="READABLE",I867="SAME"),"R","Q"),
C867="R",
IF(OR(I867="TARGET_OK",I867="SAME"),"END","R"),
TRUE,"END"
)))</f>
        <v/>
      </c>
      <c r="BD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 t="str">
        <f t="array" ref="BC868">IF($I868="","",LET(
conf,AI868,
sameN,IF(conf="Low",1,IF(conf="Medium",2,3)),
duoMax,XLOOKUP($B868,Derived_Variables!$A:$A,Derived_Variables!$AI:$AI,4),
axisTol,XLOOKUP($B868,Derived_Variables!$A:$A,Derived_Variables!$W:$W,1),
IFS(
C868="A",
IF(
 OR(
   I868="NOT_READABLE",
   I868="BLURRY",
   AND(R868="20_20_20",I868="READABLE")
 ),
 "B",
 "A"
),
C868="B",
IF(AND(AV868&gt;=AW868,I868="READABLE"),"E","B"),
C868="E",
IF(OR(I868="SAME",AD868&lt;=axisTol),"F","E"),
C868="F",
IF(AX868&gt;=sameN,"G","F"),
C868="G",
IF(OR(I868="EQUAL",BB868=1,BA868&gt;=duoMax),"D","G"),
C868="D",
IF(AND(AV868&gt;=AW868,I868="READABLE"),"H","D"),
C868="H",
IF(OR(I868="SAME",AD868&lt;=axisTol),"I","H"),
C868="I",
IF(AX868&gt;=sameN,"J","I"),
C868="J",
IF(OR(I868="EQUAL",BB868=1,BA868&gt;=duoMax),"K","J"),
C868="K",
IF(
 I868="SAME",
 IF(
   XLOOKUP($B868,Derived_Variables!$A:$A,Derived_Variables!$Q:$Q,"None")="None",
   "END",
   "P"
 ),
 "K"
),
C868="P",
IF(OR(I868="READABLE",I868="SAME"),"Q","P"),
C868="Q",
IF(OR(I868="READABLE",I868="SAME"),"R","Q"),
C868="R",
IF(OR(I868="TARGET_OK",I868="SAME"),"END","R"),
TRUE,"END"
)))</f>
        <v/>
      </c>
      <c r="BD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 t="str">
        <f t="array" ref="BC869">IF($I869="","",LET(
conf,AI869,
sameN,IF(conf="Low",1,IF(conf="Medium",2,3)),
duoMax,XLOOKUP($B869,Derived_Variables!$A:$A,Derived_Variables!$AI:$AI,4),
axisTol,XLOOKUP($B869,Derived_Variables!$A:$A,Derived_Variables!$W:$W,1),
IFS(
C869="A",
IF(
 OR(
   I869="NOT_READABLE",
   I869="BLURRY",
   AND(R869="20_20_20",I869="READABLE")
 ),
 "B",
 "A"
),
C869="B",
IF(AND(AV869&gt;=AW869,I869="READABLE"),"E","B"),
C869="E",
IF(OR(I869="SAME",AD869&lt;=axisTol),"F","E"),
C869="F",
IF(AX869&gt;=sameN,"G","F"),
C869="G",
IF(OR(I869="EQUAL",BB869=1,BA869&gt;=duoMax),"D","G"),
C869="D",
IF(AND(AV869&gt;=AW869,I869="READABLE"),"H","D"),
C869="H",
IF(OR(I869="SAME",AD869&lt;=axisTol),"I","H"),
C869="I",
IF(AX869&gt;=sameN,"J","I"),
C869="J",
IF(OR(I869="EQUAL",BB869=1,BA869&gt;=duoMax),"K","J"),
C869="K",
IF(
 I869="SAME",
 IF(
   XLOOKUP($B869,Derived_Variables!$A:$A,Derived_Variables!$Q:$Q,"None")="None",
   "END",
   "P"
 ),
 "K"
),
C869="P",
IF(OR(I869="READABLE",I869="SAME"),"Q","P"),
C869="Q",
IF(OR(I869="READABLE",I869="SAME"),"R","Q"),
C869="R",
IF(OR(I869="TARGET_OK",I869="SAME"),"END","R"),
TRUE,"END"
)))</f>
        <v/>
      </c>
      <c r="BD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 t="str">
        <f t="array" ref="BC870">IF($I870="","",LET(
conf,AI870,
sameN,IF(conf="Low",1,IF(conf="Medium",2,3)),
duoMax,XLOOKUP($B870,Derived_Variables!$A:$A,Derived_Variables!$AI:$AI,4),
axisTol,XLOOKUP($B870,Derived_Variables!$A:$A,Derived_Variables!$W:$W,1),
IFS(
C870="A",
IF(
 OR(
   I870="NOT_READABLE",
   I870="BLURRY",
   AND(R870="20_20_20",I870="READABLE")
 ),
 "B",
 "A"
),
C870="B",
IF(AND(AV870&gt;=AW870,I870="READABLE"),"E","B"),
C870="E",
IF(OR(I870="SAME",AD870&lt;=axisTol),"F","E"),
C870="F",
IF(AX870&gt;=sameN,"G","F"),
C870="G",
IF(OR(I870="EQUAL",BB870=1,BA870&gt;=duoMax),"D","G"),
C870="D",
IF(AND(AV870&gt;=AW870,I870="READABLE"),"H","D"),
C870="H",
IF(OR(I870="SAME",AD870&lt;=axisTol),"I","H"),
C870="I",
IF(AX870&gt;=sameN,"J","I"),
C870="J",
IF(OR(I870="EQUAL",BB870=1,BA870&gt;=duoMax),"K","J"),
C870="K",
IF(
 I870="SAME",
 IF(
   XLOOKUP($B870,Derived_Variables!$A:$A,Derived_Variables!$Q:$Q,"None")="None",
   "END",
   "P"
 ),
 "K"
),
C870="P",
IF(OR(I870="READABLE",I870="SAME"),"Q","P"),
C870="Q",
IF(OR(I870="READABLE",I870="SAME"),"R","Q"),
C870="R",
IF(OR(I870="TARGET_OK",I870="SAME"),"END","R"),
TRUE,"END"
)))</f>
        <v/>
      </c>
      <c r="BD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 t="str">
        <f t="array" ref="BC871">IF($I871="","",LET(
conf,AI871,
sameN,IF(conf="Low",1,IF(conf="Medium",2,3)),
duoMax,XLOOKUP($B871,Derived_Variables!$A:$A,Derived_Variables!$AI:$AI,4),
axisTol,XLOOKUP($B871,Derived_Variables!$A:$A,Derived_Variables!$W:$W,1),
IFS(
C871="A",
IF(
 OR(
   I871="NOT_READABLE",
   I871="BLURRY",
   AND(R871="20_20_20",I871="READABLE")
 ),
 "B",
 "A"
),
C871="B",
IF(AND(AV871&gt;=AW871,I871="READABLE"),"E","B"),
C871="E",
IF(OR(I871="SAME",AD871&lt;=axisTol),"F","E"),
C871="F",
IF(AX871&gt;=sameN,"G","F"),
C871="G",
IF(OR(I871="EQUAL",BB871=1,BA871&gt;=duoMax),"D","G"),
C871="D",
IF(AND(AV871&gt;=AW871,I871="READABLE"),"H","D"),
C871="H",
IF(OR(I871="SAME",AD871&lt;=axisTol),"I","H"),
C871="I",
IF(AX871&gt;=sameN,"J","I"),
C871="J",
IF(OR(I871="EQUAL",BB871=1,BA871&gt;=duoMax),"K","J"),
C871="K",
IF(
 I871="SAME",
 IF(
   XLOOKUP($B871,Derived_Variables!$A:$A,Derived_Variables!$Q:$Q,"None")="None",
   "END",
   "P"
 ),
 "K"
),
C871="P",
IF(OR(I871="READABLE",I871="SAME"),"Q","P"),
C871="Q",
IF(OR(I871="READABLE",I871="SAME"),"R","Q"),
C871="R",
IF(OR(I871="TARGET_OK",I871="SAME"),"END","R"),
TRUE,"END"
)))</f>
        <v/>
      </c>
      <c r="BD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 t="str">
        <f t="array" ref="BC872">IF($I872="","",LET(
conf,AI872,
sameN,IF(conf="Low",1,IF(conf="Medium",2,3)),
duoMax,XLOOKUP($B872,Derived_Variables!$A:$A,Derived_Variables!$AI:$AI,4),
axisTol,XLOOKUP($B872,Derived_Variables!$A:$A,Derived_Variables!$W:$W,1),
IFS(
C872="A",
IF(
 OR(
   I872="NOT_READABLE",
   I872="BLURRY",
   AND(R872="20_20_20",I872="READABLE")
 ),
 "B",
 "A"
),
C872="B",
IF(AND(AV872&gt;=AW872,I872="READABLE"),"E","B"),
C872="E",
IF(OR(I872="SAME",AD872&lt;=axisTol),"F","E"),
C872="F",
IF(AX872&gt;=sameN,"G","F"),
C872="G",
IF(OR(I872="EQUAL",BB872=1,BA872&gt;=duoMax),"D","G"),
C872="D",
IF(AND(AV872&gt;=AW872,I872="READABLE"),"H","D"),
C872="H",
IF(OR(I872="SAME",AD872&lt;=axisTol),"I","H"),
C872="I",
IF(AX872&gt;=sameN,"J","I"),
C872="J",
IF(OR(I872="EQUAL",BB872=1,BA872&gt;=duoMax),"K","J"),
C872="K",
IF(
 I872="SAME",
 IF(
   XLOOKUP($B872,Derived_Variables!$A:$A,Derived_Variables!$Q:$Q,"None")="None",
   "END",
   "P"
 ),
 "K"
),
C872="P",
IF(OR(I872="READABLE",I872="SAME"),"Q","P"),
C872="Q",
IF(OR(I872="READABLE",I872="SAME"),"R","Q"),
C872="R",
IF(OR(I872="TARGET_OK",I872="SAME"),"END","R"),
TRUE,"END"
)))</f>
        <v/>
      </c>
      <c r="BD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 t="str">
        <f t="array" ref="BC873">IF($I873="","",LET(
conf,AI873,
sameN,IF(conf="Low",1,IF(conf="Medium",2,3)),
duoMax,XLOOKUP($B873,Derived_Variables!$A:$A,Derived_Variables!$AI:$AI,4),
axisTol,XLOOKUP($B873,Derived_Variables!$A:$A,Derived_Variables!$W:$W,1),
IFS(
C873="A",
IF(
 OR(
   I873="NOT_READABLE",
   I873="BLURRY",
   AND(R873="20_20_20",I873="READABLE")
 ),
 "B",
 "A"
),
C873="B",
IF(AND(AV873&gt;=AW873,I873="READABLE"),"E","B"),
C873="E",
IF(OR(I873="SAME",AD873&lt;=axisTol),"F","E"),
C873="F",
IF(AX873&gt;=sameN,"G","F"),
C873="G",
IF(OR(I873="EQUAL",BB873=1,BA873&gt;=duoMax),"D","G"),
C873="D",
IF(AND(AV873&gt;=AW873,I873="READABLE"),"H","D"),
C873="H",
IF(OR(I873="SAME",AD873&lt;=axisTol),"I","H"),
C873="I",
IF(AX873&gt;=sameN,"J","I"),
C873="J",
IF(OR(I873="EQUAL",BB873=1,BA873&gt;=duoMax),"K","J"),
C873="K",
IF(
 I873="SAME",
 IF(
   XLOOKUP($B873,Derived_Variables!$A:$A,Derived_Variables!$Q:$Q,"None")="None",
   "END",
   "P"
 ),
 "K"
),
C873="P",
IF(OR(I873="READABLE",I873="SAME"),"Q","P"),
C873="Q",
IF(OR(I873="READABLE",I873="SAME"),"R","Q"),
C873="R",
IF(OR(I873="TARGET_OK",I873="SAME"),"END","R"),
TRUE,"END"
)))</f>
        <v/>
      </c>
      <c r="BD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 t="str">
        <f t="array" ref="BC874">IF($I874="","",LET(
conf,AI874,
sameN,IF(conf="Low",1,IF(conf="Medium",2,3)),
duoMax,XLOOKUP($B874,Derived_Variables!$A:$A,Derived_Variables!$AI:$AI,4),
axisTol,XLOOKUP($B874,Derived_Variables!$A:$A,Derived_Variables!$W:$W,1),
IFS(
C874="A",
IF(
 OR(
   I874="NOT_READABLE",
   I874="BLURRY",
   AND(R874="20_20_20",I874="READABLE")
 ),
 "B",
 "A"
),
C874="B",
IF(AND(AV874&gt;=AW874,I874="READABLE"),"E","B"),
C874="E",
IF(OR(I874="SAME",AD874&lt;=axisTol),"F","E"),
C874="F",
IF(AX874&gt;=sameN,"G","F"),
C874="G",
IF(OR(I874="EQUAL",BB874=1,BA874&gt;=duoMax),"D","G"),
C874="D",
IF(AND(AV874&gt;=AW874,I874="READABLE"),"H","D"),
C874="H",
IF(OR(I874="SAME",AD874&lt;=axisTol),"I","H"),
C874="I",
IF(AX874&gt;=sameN,"J","I"),
C874="J",
IF(OR(I874="EQUAL",BB874=1,BA874&gt;=duoMax),"K","J"),
C874="K",
IF(
 I874="SAME",
 IF(
   XLOOKUP($B874,Derived_Variables!$A:$A,Derived_Variables!$Q:$Q,"None")="None",
   "END",
   "P"
 ),
 "K"
),
C874="P",
IF(OR(I874="READABLE",I874="SAME"),"Q","P"),
C874="Q",
IF(OR(I874="READABLE",I874="SAME"),"R","Q"),
C874="R",
IF(OR(I874="TARGET_OK",I874="SAME"),"END","R"),
TRUE,"END"
)))</f>
        <v/>
      </c>
      <c r="BD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 t="str">
        <f t="array" ref="BC875">IF($I875="","",LET(
conf,AI875,
sameN,IF(conf="Low",1,IF(conf="Medium",2,3)),
duoMax,XLOOKUP($B875,Derived_Variables!$A:$A,Derived_Variables!$AI:$AI,4),
axisTol,XLOOKUP($B875,Derived_Variables!$A:$A,Derived_Variables!$W:$W,1),
IFS(
C875="A",
IF(
 OR(
   I875="NOT_READABLE",
   I875="BLURRY",
   AND(R875="20_20_20",I875="READABLE")
 ),
 "B",
 "A"
),
C875="B",
IF(AND(AV875&gt;=AW875,I875="READABLE"),"E","B"),
C875="E",
IF(OR(I875="SAME",AD875&lt;=axisTol),"F","E"),
C875="F",
IF(AX875&gt;=sameN,"G","F"),
C875="G",
IF(OR(I875="EQUAL",BB875=1,BA875&gt;=duoMax),"D","G"),
C875="D",
IF(AND(AV875&gt;=AW875,I875="READABLE"),"H","D"),
C875="H",
IF(OR(I875="SAME",AD875&lt;=axisTol),"I","H"),
C875="I",
IF(AX875&gt;=sameN,"J","I"),
C875="J",
IF(OR(I875="EQUAL",BB875=1,BA875&gt;=duoMax),"K","J"),
C875="K",
IF(
 I875="SAME",
 IF(
   XLOOKUP($B875,Derived_Variables!$A:$A,Derived_Variables!$Q:$Q,"None")="None",
   "END",
   "P"
 ),
 "K"
),
C875="P",
IF(OR(I875="READABLE",I875="SAME"),"Q","P"),
C875="Q",
IF(OR(I875="READABLE",I875="SAME"),"R","Q"),
C875="R",
IF(OR(I875="TARGET_OK",I875="SAME"),"END","R"),
TRUE,"END"
)))</f>
        <v/>
      </c>
      <c r="BD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 t="str">
        <f t="array" ref="BC876">IF($I876="","",LET(
conf,AI876,
sameN,IF(conf="Low",1,IF(conf="Medium",2,3)),
duoMax,XLOOKUP($B876,Derived_Variables!$A:$A,Derived_Variables!$AI:$AI,4),
axisTol,XLOOKUP($B876,Derived_Variables!$A:$A,Derived_Variables!$W:$W,1),
IFS(
C876="A",
IF(
 OR(
   I876="NOT_READABLE",
   I876="BLURRY",
   AND(R876="20_20_20",I876="READABLE")
 ),
 "B",
 "A"
),
C876="B",
IF(AND(AV876&gt;=AW876,I876="READABLE"),"E","B"),
C876="E",
IF(OR(I876="SAME",AD876&lt;=axisTol),"F","E"),
C876="F",
IF(AX876&gt;=sameN,"G","F"),
C876="G",
IF(OR(I876="EQUAL",BB876=1,BA876&gt;=duoMax),"D","G"),
C876="D",
IF(AND(AV876&gt;=AW876,I876="READABLE"),"H","D"),
C876="H",
IF(OR(I876="SAME",AD876&lt;=axisTol),"I","H"),
C876="I",
IF(AX876&gt;=sameN,"J","I"),
C876="J",
IF(OR(I876="EQUAL",BB876=1,BA876&gt;=duoMax),"K","J"),
C876="K",
IF(
 I876="SAME",
 IF(
   XLOOKUP($B876,Derived_Variables!$A:$A,Derived_Variables!$Q:$Q,"None")="None",
   "END",
   "P"
 ),
 "K"
),
C876="P",
IF(OR(I876="READABLE",I876="SAME"),"Q","P"),
C876="Q",
IF(OR(I876="READABLE",I876="SAME"),"R","Q"),
C876="R",
IF(OR(I876="TARGET_OK",I876="SAME"),"END","R"),
TRUE,"END"
)))</f>
        <v/>
      </c>
      <c r="BD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 t="str">
        <f t="array" ref="BC877">IF($I877="","",LET(
conf,AI877,
sameN,IF(conf="Low",1,IF(conf="Medium",2,3)),
duoMax,XLOOKUP($B877,Derived_Variables!$A:$A,Derived_Variables!$AI:$AI,4),
axisTol,XLOOKUP($B877,Derived_Variables!$A:$A,Derived_Variables!$W:$W,1),
IFS(
C877="A",
IF(
 OR(
   I877="NOT_READABLE",
   I877="BLURRY",
   AND(R877="20_20_20",I877="READABLE")
 ),
 "B",
 "A"
),
C877="B",
IF(AND(AV877&gt;=AW877,I877="READABLE"),"E","B"),
C877="E",
IF(OR(I877="SAME",AD877&lt;=axisTol),"F","E"),
C877="F",
IF(AX877&gt;=sameN,"G","F"),
C877="G",
IF(OR(I877="EQUAL",BB877=1,BA877&gt;=duoMax),"D","G"),
C877="D",
IF(AND(AV877&gt;=AW877,I877="READABLE"),"H","D"),
C877="H",
IF(OR(I877="SAME",AD877&lt;=axisTol),"I","H"),
C877="I",
IF(AX877&gt;=sameN,"J","I"),
C877="J",
IF(OR(I877="EQUAL",BB877=1,BA877&gt;=duoMax),"K","J"),
C877="K",
IF(
 I877="SAME",
 IF(
   XLOOKUP($B877,Derived_Variables!$A:$A,Derived_Variables!$Q:$Q,"None")="None",
   "END",
   "P"
 ),
 "K"
),
C877="P",
IF(OR(I877="READABLE",I877="SAME"),"Q","P"),
C877="Q",
IF(OR(I877="READABLE",I877="SAME"),"R","Q"),
C877="R",
IF(OR(I877="TARGET_OK",I877="SAME"),"END","R"),
TRUE,"END"
)))</f>
        <v/>
      </c>
      <c r="BD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 t="str">
        <f t="array" ref="BC878">IF($I878="","",LET(
conf,AI878,
sameN,IF(conf="Low",1,IF(conf="Medium",2,3)),
duoMax,XLOOKUP($B878,Derived_Variables!$A:$A,Derived_Variables!$AI:$AI,4),
axisTol,XLOOKUP($B878,Derived_Variables!$A:$A,Derived_Variables!$W:$W,1),
IFS(
C878="A",
IF(
 OR(
   I878="NOT_READABLE",
   I878="BLURRY",
   AND(R878="20_20_20",I878="READABLE")
 ),
 "B",
 "A"
),
C878="B",
IF(AND(AV878&gt;=AW878,I878="READABLE"),"E","B"),
C878="E",
IF(OR(I878="SAME",AD878&lt;=axisTol),"F","E"),
C878="F",
IF(AX878&gt;=sameN,"G","F"),
C878="G",
IF(OR(I878="EQUAL",BB878=1,BA878&gt;=duoMax),"D","G"),
C878="D",
IF(AND(AV878&gt;=AW878,I878="READABLE"),"H","D"),
C878="H",
IF(OR(I878="SAME",AD878&lt;=axisTol),"I","H"),
C878="I",
IF(AX878&gt;=sameN,"J","I"),
C878="J",
IF(OR(I878="EQUAL",BB878=1,BA878&gt;=duoMax),"K","J"),
C878="K",
IF(
 I878="SAME",
 IF(
   XLOOKUP($B878,Derived_Variables!$A:$A,Derived_Variables!$Q:$Q,"None")="None",
   "END",
   "P"
 ),
 "K"
),
C878="P",
IF(OR(I878="READABLE",I878="SAME"),"Q","P"),
C878="Q",
IF(OR(I878="READABLE",I878="SAME"),"R","Q"),
C878="R",
IF(OR(I878="TARGET_OK",I878="SAME"),"END","R"),
TRUE,"END"
)))</f>
        <v/>
      </c>
      <c r="BD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 t="str">
        <f t="array" ref="BC879">IF($I879="","",LET(
conf,AI879,
sameN,IF(conf="Low",1,IF(conf="Medium",2,3)),
duoMax,XLOOKUP($B879,Derived_Variables!$A:$A,Derived_Variables!$AI:$AI,4),
axisTol,XLOOKUP($B879,Derived_Variables!$A:$A,Derived_Variables!$W:$W,1),
IFS(
C879="A",
IF(
 OR(
   I879="NOT_READABLE",
   I879="BLURRY",
   AND(R879="20_20_20",I879="READABLE")
 ),
 "B",
 "A"
),
C879="B",
IF(AND(AV879&gt;=AW879,I879="READABLE"),"E","B"),
C879="E",
IF(OR(I879="SAME",AD879&lt;=axisTol),"F","E"),
C879="F",
IF(AX879&gt;=sameN,"G","F"),
C879="G",
IF(OR(I879="EQUAL",BB879=1,BA879&gt;=duoMax),"D","G"),
C879="D",
IF(AND(AV879&gt;=AW879,I879="READABLE"),"H","D"),
C879="H",
IF(OR(I879="SAME",AD879&lt;=axisTol),"I","H"),
C879="I",
IF(AX879&gt;=sameN,"J","I"),
C879="J",
IF(OR(I879="EQUAL",BB879=1,BA879&gt;=duoMax),"K","J"),
C879="K",
IF(
 I879="SAME",
 IF(
   XLOOKUP($B879,Derived_Variables!$A:$A,Derived_Variables!$Q:$Q,"None")="None",
   "END",
   "P"
 ),
 "K"
),
C879="P",
IF(OR(I879="READABLE",I879="SAME"),"Q","P"),
C879="Q",
IF(OR(I879="READABLE",I879="SAME"),"R","Q"),
C879="R",
IF(OR(I879="TARGET_OK",I879="SAME"),"END","R"),
TRUE,"END"
)))</f>
        <v/>
      </c>
      <c r="BD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 t="str">
        <f t="array" ref="BC880">IF($I880="","",LET(
conf,AI880,
sameN,IF(conf="Low",1,IF(conf="Medium",2,3)),
duoMax,XLOOKUP($B880,Derived_Variables!$A:$A,Derived_Variables!$AI:$AI,4),
axisTol,XLOOKUP($B880,Derived_Variables!$A:$A,Derived_Variables!$W:$W,1),
IFS(
C880="A",
IF(
 OR(
   I880="NOT_READABLE",
   I880="BLURRY",
   AND(R880="20_20_20",I880="READABLE")
 ),
 "B",
 "A"
),
C880="B",
IF(AND(AV880&gt;=AW880,I880="READABLE"),"E","B"),
C880="E",
IF(OR(I880="SAME",AD880&lt;=axisTol),"F","E"),
C880="F",
IF(AX880&gt;=sameN,"G","F"),
C880="G",
IF(OR(I880="EQUAL",BB880=1,BA880&gt;=duoMax),"D","G"),
C880="D",
IF(AND(AV880&gt;=AW880,I880="READABLE"),"H","D"),
C880="H",
IF(OR(I880="SAME",AD880&lt;=axisTol),"I","H"),
C880="I",
IF(AX880&gt;=sameN,"J","I"),
C880="J",
IF(OR(I880="EQUAL",BB880=1,BA880&gt;=duoMax),"K","J"),
C880="K",
IF(
 I880="SAME",
 IF(
   XLOOKUP($B880,Derived_Variables!$A:$A,Derived_Variables!$Q:$Q,"None")="None",
   "END",
   "P"
 ),
 "K"
),
C880="P",
IF(OR(I880="READABLE",I880="SAME"),"Q","P"),
C880="Q",
IF(OR(I880="READABLE",I880="SAME"),"R","Q"),
C880="R",
IF(OR(I880="TARGET_OK",I880="SAME"),"END","R"),
TRUE,"END"
)))</f>
        <v/>
      </c>
      <c r="BD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 t="str">
        <f t="array" ref="BC881">IF($I881="","",LET(
conf,AI881,
sameN,IF(conf="Low",1,IF(conf="Medium",2,3)),
duoMax,XLOOKUP($B881,Derived_Variables!$A:$A,Derived_Variables!$AI:$AI,4),
axisTol,XLOOKUP($B881,Derived_Variables!$A:$A,Derived_Variables!$W:$W,1),
IFS(
C881="A",
IF(
 OR(
   I881="NOT_READABLE",
   I881="BLURRY",
   AND(R881="20_20_20",I881="READABLE")
 ),
 "B",
 "A"
),
C881="B",
IF(AND(AV881&gt;=AW881,I881="READABLE"),"E","B"),
C881="E",
IF(OR(I881="SAME",AD881&lt;=axisTol),"F","E"),
C881="F",
IF(AX881&gt;=sameN,"G","F"),
C881="G",
IF(OR(I881="EQUAL",BB881=1,BA881&gt;=duoMax),"D","G"),
C881="D",
IF(AND(AV881&gt;=AW881,I881="READABLE"),"H","D"),
C881="H",
IF(OR(I881="SAME",AD881&lt;=axisTol),"I","H"),
C881="I",
IF(AX881&gt;=sameN,"J","I"),
C881="J",
IF(OR(I881="EQUAL",BB881=1,BA881&gt;=duoMax),"K","J"),
C881="K",
IF(
 I881="SAME",
 IF(
   XLOOKUP($B881,Derived_Variables!$A:$A,Derived_Variables!$Q:$Q,"None")="None",
   "END",
   "P"
 ),
 "K"
),
C881="P",
IF(OR(I881="READABLE",I881="SAME"),"Q","P"),
C881="Q",
IF(OR(I881="READABLE",I881="SAME"),"R","Q"),
C881="R",
IF(OR(I881="TARGET_OK",I881="SAME"),"END","R"),
TRUE,"END"
)))</f>
        <v/>
      </c>
      <c r="BD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 t="str">
        <f t="array" ref="BC882">IF($I882="","",LET(
conf,AI882,
sameN,IF(conf="Low",1,IF(conf="Medium",2,3)),
duoMax,XLOOKUP($B882,Derived_Variables!$A:$A,Derived_Variables!$AI:$AI,4),
axisTol,XLOOKUP($B882,Derived_Variables!$A:$A,Derived_Variables!$W:$W,1),
IFS(
C882="A",
IF(
 OR(
   I882="NOT_READABLE",
   I882="BLURRY",
   AND(R882="20_20_20",I882="READABLE")
 ),
 "B",
 "A"
),
C882="B",
IF(AND(AV882&gt;=AW882,I882="READABLE"),"E","B"),
C882="E",
IF(OR(I882="SAME",AD882&lt;=axisTol),"F","E"),
C882="F",
IF(AX882&gt;=sameN,"G","F"),
C882="G",
IF(OR(I882="EQUAL",BB882=1,BA882&gt;=duoMax),"D","G"),
C882="D",
IF(AND(AV882&gt;=AW882,I882="READABLE"),"H","D"),
C882="H",
IF(OR(I882="SAME",AD882&lt;=axisTol),"I","H"),
C882="I",
IF(AX882&gt;=sameN,"J","I"),
C882="J",
IF(OR(I882="EQUAL",BB882=1,BA882&gt;=duoMax),"K","J"),
C882="K",
IF(
 I882="SAME",
 IF(
   XLOOKUP($B882,Derived_Variables!$A:$A,Derived_Variables!$Q:$Q,"None")="None",
   "END",
   "P"
 ),
 "K"
),
C882="P",
IF(OR(I882="READABLE",I882="SAME"),"Q","P"),
C882="Q",
IF(OR(I882="READABLE",I882="SAME"),"R","Q"),
C882="R",
IF(OR(I882="TARGET_OK",I882="SAME"),"END","R"),
TRUE,"END"
)))</f>
        <v/>
      </c>
      <c r="BD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 t="str">
        <f t="array" ref="BC883">IF($I883="","",LET(
conf,AI883,
sameN,IF(conf="Low",1,IF(conf="Medium",2,3)),
duoMax,XLOOKUP($B883,Derived_Variables!$A:$A,Derived_Variables!$AI:$AI,4),
axisTol,XLOOKUP($B883,Derived_Variables!$A:$A,Derived_Variables!$W:$W,1),
IFS(
C883="A",
IF(
 OR(
   I883="NOT_READABLE",
   I883="BLURRY",
   AND(R883="20_20_20",I883="READABLE")
 ),
 "B",
 "A"
),
C883="B",
IF(AND(AV883&gt;=AW883,I883="READABLE"),"E","B"),
C883="E",
IF(OR(I883="SAME",AD883&lt;=axisTol),"F","E"),
C883="F",
IF(AX883&gt;=sameN,"G","F"),
C883="G",
IF(OR(I883="EQUAL",BB883=1,BA883&gt;=duoMax),"D","G"),
C883="D",
IF(AND(AV883&gt;=AW883,I883="READABLE"),"H","D"),
C883="H",
IF(OR(I883="SAME",AD883&lt;=axisTol),"I","H"),
C883="I",
IF(AX883&gt;=sameN,"J","I"),
C883="J",
IF(OR(I883="EQUAL",BB883=1,BA883&gt;=duoMax),"K","J"),
C883="K",
IF(
 I883="SAME",
 IF(
   XLOOKUP($B883,Derived_Variables!$A:$A,Derived_Variables!$Q:$Q,"None")="None",
   "END",
   "P"
 ),
 "K"
),
C883="P",
IF(OR(I883="READABLE",I883="SAME"),"Q","P"),
C883="Q",
IF(OR(I883="READABLE",I883="SAME"),"R","Q"),
C883="R",
IF(OR(I883="TARGET_OK",I883="SAME"),"END","R"),
TRUE,"END"
)))</f>
        <v/>
      </c>
      <c r="BD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 t="str">
        <f t="array" ref="BC884">IF($I884="","",LET(
conf,AI884,
sameN,IF(conf="Low",1,IF(conf="Medium",2,3)),
duoMax,XLOOKUP($B884,Derived_Variables!$A:$A,Derived_Variables!$AI:$AI,4),
axisTol,XLOOKUP($B884,Derived_Variables!$A:$A,Derived_Variables!$W:$W,1),
IFS(
C884="A",
IF(
 OR(
   I884="NOT_READABLE",
   I884="BLURRY",
   AND(R884="20_20_20",I884="READABLE")
 ),
 "B",
 "A"
),
C884="B",
IF(AND(AV884&gt;=AW884,I884="READABLE"),"E","B"),
C884="E",
IF(OR(I884="SAME",AD884&lt;=axisTol),"F","E"),
C884="F",
IF(AX884&gt;=sameN,"G","F"),
C884="G",
IF(OR(I884="EQUAL",BB884=1,BA884&gt;=duoMax),"D","G"),
C884="D",
IF(AND(AV884&gt;=AW884,I884="READABLE"),"H","D"),
C884="H",
IF(OR(I884="SAME",AD884&lt;=axisTol),"I","H"),
C884="I",
IF(AX884&gt;=sameN,"J","I"),
C884="J",
IF(OR(I884="EQUAL",BB884=1,BA884&gt;=duoMax),"K","J"),
C884="K",
IF(
 I884="SAME",
 IF(
   XLOOKUP($B884,Derived_Variables!$A:$A,Derived_Variables!$Q:$Q,"None")="None",
   "END",
   "P"
 ),
 "K"
),
C884="P",
IF(OR(I884="READABLE",I884="SAME"),"Q","P"),
C884="Q",
IF(OR(I884="READABLE",I884="SAME"),"R","Q"),
C884="R",
IF(OR(I884="TARGET_OK",I884="SAME"),"END","R"),
TRUE,"END"
)))</f>
        <v/>
      </c>
      <c r="BD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 t="str">
        <f t="array" ref="BC885">IF($I885="","",LET(
conf,AI885,
sameN,IF(conf="Low",1,IF(conf="Medium",2,3)),
duoMax,XLOOKUP($B885,Derived_Variables!$A:$A,Derived_Variables!$AI:$AI,4),
axisTol,XLOOKUP($B885,Derived_Variables!$A:$A,Derived_Variables!$W:$W,1),
IFS(
C885="A",
IF(
 OR(
   I885="NOT_READABLE",
   I885="BLURRY",
   AND(R885="20_20_20",I885="READABLE")
 ),
 "B",
 "A"
),
C885="B",
IF(AND(AV885&gt;=AW885,I885="READABLE"),"E","B"),
C885="E",
IF(OR(I885="SAME",AD885&lt;=axisTol),"F","E"),
C885="F",
IF(AX885&gt;=sameN,"G","F"),
C885="G",
IF(OR(I885="EQUAL",BB885=1,BA885&gt;=duoMax),"D","G"),
C885="D",
IF(AND(AV885&gt;=AW885,I885="READABLE"),"H","D"),
C885="H",
IF(OR(I885="SAME",AD885&lt;=axisTol),"I","H"),
C885="I",
IF(AX885&gt;=sameN,"J","I"),
C885="J",
IF(OR(I885="EQUAL",BB885=1,BA885&gt;=duoMax),"K","J"),
C885="K",
IF(
 I885="SAME",
 IF(
   XLOOKUP($B885,Derived_Variables!$A:$A,Derived_Variables!$Q:$Q,"None")="None",
   "END",
   "P"
 ),
 "K"
),
C885="P",
IF(OR(I885="READABLE",I885="SAME"),"Q","P"),
C885="Q",
IF(OR(I885="READABLE",I885="SAME"),"R","Q"),
C885="R",
IF(OR(I885="TARGET_OK",I885="SAME"),"END","R"),
TRUE,"END"
)))</f>
        <v/>
      </c>
      <c r="BD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 t="str">
        <f t="array" ref="BC886">IF($I886="","",LET(
conf,AI886,
sameN,IF(conf="Low",1,IF(conf="Medium",2,3)),
duoMax,XLOOKUP($B886,Derived_Variables!$A:$A,Derived_Variables!$AI:$AI,4),
axisTol,XLOOKUP($B886,Derived_Variables!$A:$A,Derived_Variables!$W:$W,1),
IFS(
C886="A",
IF(
 OR(
   I886="NOT_READABLE",
   I886="BLURRY",
   AND(R886="20_20_20",I886="READABLE")
 ),
 "B",
 "A"
),
C886="B",
IF(AND(AV886&gt;=AW886,I886="READABLE"),"E","B"),
C886="E",
IF(OR(I886="SAME",AD886&lt;=axisTol),"F","E"),
C886="F",
IF(AX886&gt;=sameN,"G","F"),
C886="G",
IF(OR(I886="EQUAL",BB886=1,BA886&gt;=duoMax),"D","G"),
C886="D",
IF(AND(AV886&gt;=AW886,I886="READABLE"),"H","D"),
C886="H",
IF(OR(I886="SAME",AD886&lt;=axisTol),"I","H"),
C886="I",
IF(AX886&gt;=sameN,"J","I"),
C886="J",
IF(OR(I886="EQUAL",BB886=1,BA886&gt;=duoMax),"K","J"),
C886="K",
IF(
 I886="SAME",
 IF(
   XLOOKUP($B886,Derived_Variables!$A:$A,Derived_Variables!$Q:$Q,"None")="None",
   "END",
   "P"
 ),
 "K"
),
C886="P",
IF(OR(I886="READABLE",I886="SAME"),"Q","P"),
C886="Q",
IF(OR(I886="READABLE",I886="SAME"),"R","Q"),
C886="R",
IF(OR(I886="TARGET_OK",I886="SAME"),"END","R"),
TRUE,"END"
)))</f>
        <v/>
      </c>
      <c r="BD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 t="str">
        <f t="array" ref="BC887">IF($I887="","",LET(
conf,AI887,
sameN,IF(conf="Low",1,IF(conf="Medium",2,3)),
duoMax,XLOOKUP($B887,Derived_Variables!$A:$A,Derived_Variables!$AI:$AI,4),
axisTol,XLOOKUP($B887,Derived_Variables!$A:$A,Derived_Variables!$W:$W,1),
IFS(
C887="A",
IF(
 OR(
   I887="NOT_READABLE",
   I887="BLURRY",
   AND(R887="20_20_20",I887="READABLE")
 ),
 "B",
 "A"
),
C887="B",
IF(AND(AV887&gt;=AW887,I887="READABLE"),"E","B"),
C887="E",
IF(OR(I887="SAME",AD887&lt;=axisTol),"F","E"),
C887="F",
IF(AX887&gt;=sameN,"G","F"),
C887="G",
IF(OR(I887="EQUAL",BB887=1,BA887&gt;=duoMax),"D","G"),
C887="D",
IF(AND(AV887&gt;=AW887,I887="READABLE"),"H","D"),
C887="H",
IF(OR(I887="SAME",AD887&lt;=axisTol),"I","H"),
C887="I",
IF(AX887&gt;=sameN,"J","I"),
C887="J",
IF(OR(I887="EQUAL",BB887=1,BA887&gt;=duoMax),"K","J"),
C887="K",
IF(
 I887="SAME",
 IF(
   XLOOKUP($B887,Derived_Variables!$A:$A,Derived_Variables!$Q:$Q,"None")="None",
   "END",
   "P"
 ),
 "K"
),
C887="P",
IF(OR(I887="READABLE",I887="SAME"),"Q","P"),
C887="Q",
IF(OR(I887="READABLE",I887="SAME"),"R","Q"),
C887="R",
IF(OR(I887="TARGET_OK",I887="SAME"),"END","R"),
TRUE,"END"
)))</f>
        <v/>
      </c>
      <c r="BD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 t="str">
        <f t="array" ref="BC888">IF($I888="","",LET(
conf,AI888,
sameN,IF(conf="Low",1,IF(conf="Medium",2,3)),
duoMax,XLOOKUP($B888,Derived_Variables!$A:$A,Derived_Variables!$AI:$AI,4),
axisTol,XLOOKUP($B888,Derived_Variables!$A:$A,Derived_Variables!$W:$W,1),
IFS(
C888="A",
IF(
 OR(
   I888="NOT_READABLE",
   I888="BLURRY",
   AND(R888="20_20_20",I888="READABLE")
 ),
 "B",
 "A"
),
C888="B",
IF(AND(AV888&gt;=AW888,I888="READABLE"),"E","B"),
C888="E",
IF(OR(I888="SAME",AD888&lt;=axisTol),"F","E"),
C888="F",
IF(AX888&gt;=sameN,"G","F"),
C888="G",
IF(OR(I888="EQUAL",BB888=1,BA888&gt;=duoMax),"D","G"),
C888="D",
IF(AND(AV888&gt;=AW888,I888="READABLE"),"H","D"),
C888="H",
IF(OR(I888="SAME",AD888&lt;=axisTol),"I","H"),
C888="I",
IF(AX888&gt;=sameN,"J","I"),
C888="J",
IF(OR(I888="EQUAL",BB888=1,BA888&gt;=duoMax),"K","J"),
C888="K",
IF(
 I888="SAME",
 IF(
   XLOOKUP($B888,Derived_Variables!$A:$A,Derived_Variables!$Q:$Q,"None")="None",
   "END",
   "P"
 ),
 "K"
),
C888="P",
IF(OR(I888="READABLE",I888="SAME"),"Q","P"),
C888="Q",
IF(OR(I888="READABLE",I888="SAME"),"R","Q"),
C888="R",
IF(OR(I888="TARGET_OK",I888="SAME"),"END","R"),
TRUE,"END"
)))</f>
        <v/>
      </c>
      <c r="BD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 t="str">
        <f t="array" ref="BC889">IF($I889="","",LET(
conf,AI889,
sameN,IF(conf="Low",1,IF(conf="Medium",2,3)),
duoMax,XLOOKUP($B889,Derived_Variables!$A:$A,Derived_Variables!$AI:$AI,4),
axisTol,XLOOKUP($B889,Derived_Variables!$A:$A,Derived_Variables!$W:$W,1),
IFS(
C889="A",
IF(
 OR(
   I889="NOT_READABLE",
   I889="BLURRY",
   AND(R889="20_20_20",I889="READABLE")
 ),
 "B",
 "A"
),
C889="B",
IF(AND(AV889&gt;=AW889,I889="READABLE"),"E","B"),
C889="E",
IF(OR(I889="SAME",AD889&lt;=axisTol),"F","E"),
C889="F",
IF(AX889&gt;=sameN,"G","F"),
C889="G",
IF(OR(I889="EQUAL",BB889=1,BA889&gt;=duoMax),"D","G"),
C889="D",
IF(AND(AV889&gt;=AW889,I889="READABLE"),"H","D"),
C889="H",
IF(OR(I889="SAME",AD889&lt;=axisTol),"I","H"),
C889="I",
IF(AX889&gt;=sameN,"J","I"),
C889="J",
IF(OR(I889="EQUAL",BB889=1,BA889&gt;=duoMax),"K","J"),
C889="K",
IF(
 I889="SAME",
 IF(
   XLOOKUP($B889,Derived_Variables!$A:$A,Derived_Variables!$Q:$Q,"None")="None",
   "END",
   "P"
 ),
 "K"
),
C889="P",
IF(OR(I889="READABLE",I889="SAME"),"Q","P"),
C889="Q",
IF(OR(I889="READABLE",I889="SAME"),"R","Q"),
C889="R",
IF(OR(I889="TARGET_OK",I889="SAME"),"END","R"),
TRUE,"END"
)))</f>
        <v/>
      </c>
      <c r="BD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 t="str">
        <f t="array" ref="BC890">IF($I890="","",LET(
conf,AI890,
sameN,IF(conf="Low",1,IF(conf="Medium",2,3)),
duoMax,XLOOKUP($B890,Derived_Variables!$A:$A,Derived_Variables!$AI:$AI,4),
axisTol,XLOOKUP($B890,Derived_Variables!$A:$A,Derived_Variables!$W:$W,1),
IFS(
C890="A",
IF(
 OR(
   I890="NOT_READABLE",
   I890="BLURRY",
   AND(R890="20_20_20",I890="READABLE")
 ),
 "B",
 "A"
),
C890="B",
IF(AND(AV890&gt;=AW890,I890="READABLE"),"E","B"),
C890="E",
IF(OR(I890="SAME",AD890&lt;=axisTol),"F","E"),
C890="F",
IF(AX890&gt;=sameN,"G","F"),
C890="G",
IF(OR(I890="EQUAL",BB890=1,BA890&gt;=duoMax),"D","G"),
C890="D",
IF(AND(AV890&gt;=AW890,I890="READABLE"),"H","D"),
C890="H",
IF(OR(I890="SAME",AD890&lt;=axisTol),"I","H"),
C890="I",
IF(AX890&gt;=sameN,"J","I"),
C890="J",
IF(OR(I890="EQUAL",BB890=1,BA890&gt;=duoMax),"K","J"),
C890="K",
IF(
 I890="SAME",
 IF(
   XLOOKUP($B890,Derived_Variables!$A:$A,Derived_Variables!$Q:$Q,"None")="None",
   "END",
   "P"
 ),
 "K"
),
C890="P",
IF(OR(I890="READABLE",I890="SAME"),"Q","P"),
C890="Q",
IF(OR(I890="READABLE",I890="SAME"),"R","Q"),
C890="R",
IF(OR(I890="TARGET_OK",I890="SAME"),"END","R"),
TRUE,"END"
)))</f>
        <v/>
      </c>
      <c r="BD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 t="str">
        <f t="array" ref="BC891">IF($I891="","",LET(
conf,AI891,
sameN,IF(conf="Low",1,IF(conf="Medium",2,3)),
duoMax,XLOOKUP($B891,Derived_Variables!$A:$A,Derived_Variables!$AI:$AI,4),
axisTol,XLOOKUP($B891,Derived_Variables!$A:$A,Derived_Variables!$W:$W,1),
IFS(
C891="A",
IF(
 OR(
   I891="NOT_READABLE",
   I891="BLURRY",
   AND(R891="20_20_20",I891="READABLE")
 ),
 "B",
 "A"
),
C891="B",
IF(AND(AV891&gt;=AW891,I891="READABLE"),"E","B"),
C891="E",
IF(OR(I891="SAME",AD891&lt;=axisTol),"F","E"),
C891="F",
IF(AX891&gt;=sameN,"G","F"),
C891="G",
IF(OR(I891="EQUAL",BB891=1,BA891&gt;=duoMax),"D","G"),
C891="D",
IF(AND(AV891&gt;=AW891,I891="READABLE"),"H","D"),
C891="H",
IF(OR(I891="SAME",AD891&lt;=axisTol),"I","H"),
C891="I",
IF(AX891&gt;=sameN,"J","I"),
C891="J",
IF(OR(I891="EQUAL",BB891=1,BA891&gt;=duoMax),"K","J"),
C891="K",
IF(
 I891="SAME",
 IF(
   XLOOKUP($B891,Derived_Variables!$A:$A,Derived_Variables!$Q:$Q,"None")="None",
   "END",
   "P"
 ),
 "K"
),
C891="P",
IF(OR(I891="READABLE",I891="SAME"),"Q","P"),
C891="Q",
IF(OR(I891="READABLE",I891="SAME"),"R","Q"),
C891="R",
IF(OR(I891="TARGET_OK",I891="SAME"),"END","R"),
TRUE,"END"
)))</f>
        <v/>
      </c>
      <c r="BD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 t="str">
        <f t="array" ref="BC892">IF($I892="","",LET(
conf,AI892,
sameN,IF(conf="Low",1,IF(conf="Medium",2,3)),
duoMax,XLOOKUP($B892,Derived_Variables!$A:$A,Derived_Variables!$AI:$AI,4),
axisTol,XLOOKUP($B892,Derived_Variables!$A:$A,Derived_Variables!$W:$W,1),
IFS(
C892="A",
IF(
 OR(
   I892="NOT_READABLE",
   I892="BLURRY",
   AND(R892="20_20_20",I892="READABLE")
 ),
 "B",
 "A"
),
C892="B",
IF(AND(AV892&gt;=AW892,I892="READABLE"),"E","B"),
C892="E",
IF(OR(I892="SAME",AD892&lt;=axisTol),"F","E"),
C892="F",
IF(AX892&gt;=sameN,"G","F"),
C892="G",
IF(OR(I892="EQUAL",BB892=1,BA892&gt;=duoMax),"D","G"),
C892="D",
IF(AND(AV892&gt;=AW892,I892="READABLE"),"H","D"),
C892="H",
IF(OR(I892="SAME",AD892&lt;=axisTol),"I","H"),
C892="I",
IF(AX892&gt;=sameN,"J","I"),
C892="J",
IF(OR(I892="EQUAL",BB892=1,BA892&gt;=duoMax),"K","J"),
C892="K",
IF(
 I892="SAME",
 IF(
   XLOOKUP($B892,Derived_Variables!$A:$A,Derived_Variables!$Q:$Q,"None")="None",
   "END",
   "P"
 ),
 "K"
),
C892="P",
IF(OR(I892="READABLE",I892="SAME"),"Q","P"),
C892="Q",
IF(OR(I892="READABLE",I892="SAME"),"R","Q"),
C892="R",
IF(OR(I892="TARGET_OK",I892="SAME"),"END","R"),
TRUE,"END"
)))</f>
        <v/>
      </c>
      <c r="BD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 t="str">
        <f t="array" ref="BC893">IF($I893="","",LET(
conf,AI893,
sameN,IF(conf="Low",1,IF(conf="Medium",2,3)),
duoMax,XLOOKUP($B893,Derived_Variables!$A:$A,Derived_Variables!$AI:$AI,4),
axisTol,XLOOKUP($B893,Derived_Variables!$A:$A,Derived_Variables!$W:$W,1),
IFS(
C893="A",
IF(
 OR(
   I893="NOT_READABLE",
   I893="BLURRY",
   AND(R893="20_20_20",I893="READABLE")
 ),
 "B",
 "A"
),
C893="B",
IF(AND(AV893&gt;=AW893,I893="READABLE"),"E","B"),
C893="E",
IF(OR(I893="SAME",AD893&lt;=axisTol),"F","E"),
C893="F",
IF(AX893&gt;=sameN,"G","F"),
C893="G",
IF(OR(I893="EQUAL",BB893=1,BA893&gt;=duoMax),"D","G"),
C893="D",
IF(AND(AV893&gt;=AW893,I893="READABLE"),"H","D"),
C893="H",
IF(OR(I893="SAME",AD893&lt;=axisTol),"I","H"),
C893="I",
IF(AX893&gt;=sameN,"J","I"),
C893="J",
IF(OR(I893="EQUAL",BB893=1,BA893&gt;=duoMax),"K","J"),
C893="K",
IF(
 I893="SAME",
 IF(
   XLOOKUP($B893,Derived_Variables!$A:$A,Derived_Variables!$Q:$Q,"None")="None",
   "END",
   "P"
 ),
 "K"
),
C893="P",
IF(OR(I893="READABLE",I893="SAME"),"Q","P"),
C893="Q",
IF(OR(I893="READABLE",I893="SAME"),"R","Q"),
C893="R",
IF(OR(I893="TARGET_OK",I893="SAME"),"END","R"),
TRUE,"END"
)))</f>
        <v/>
      </c>
      <c r="BD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 t="str">
        <f t="array" ref="BC894">IF($I894="","",LET(
conf,AI894,
sameN,IF(conf="Low",1,IF(conf="Medium",2,3)),
duoMax,XLOOKUP($B894,Derived_Variables!$A:$A,Derived_Variables!$AI:$AI,4),
axisTol,XLOOKUP($B894,Derived_Variables!$A:$A,Derived_Variables!$W:$W,1),
IFS(
C894="A",
IF(
 OR(
   I894="NOT_READABLE",
   I894="BLURRY",
   AND(R894="20_20_20",I894="READABLE")
 ),
 "B",
 "A"
),
C894="B",
IF(AND(AV894&gt;=AW894,I894="READABLE"),"E","B"),
C894="E",
IF(OR(I894="SAME",AD894&lt;=axisTol),"F","E"),
C894="F",
IF(AX894&gt;=sameN,"G","F"),
C894="G",
IF(OR(I894="EQUAL",BB894=1,BA894&gt;=duoMax),"D","G"),
C894="D",
IF(AND(AV894&gt;=AW894,I894="READABLE"),"H","D"),
C894="H",
IF(OR(I894="SAME",AD894&lt;=axisTol),"I","H"),
C894="I",
IF(AX894&gt;=sameN,"J","I"),
C894="J",
IF(OR(I894="EQUAL",BB894=1,BA894&gt;=duoMax),"K","J"),
C894="K",
IF(
 I894="SAME",
 IF(
   XLOOKUP($B894,Derived_Variables!$A:$A,Derived_Variables!$Q:$Q,"None")="None",
   "END",
   "P"
 ),
 "K"
),
C894="P",
IF(OR(I894="READABLE",I894="SAME"),"Q","P"),
C894="Q",
IF(OR(I894="READABLE",I894="SAME"),"R","Q"),
C894="R",
IF(OR(I894="TARGET_OK",I894="SAME"),"END","R"),
TRUE,"END"
)))</f>
        <v/>
      </c>
      <c r="BD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 t="str">
        <f t="array" ref="BC895">IF($I895="","",LET(
conf,AI895,
sameN,IF(conf="Low",1,IF(conf="Medium",2,3)),
duoMax,XLOOKUP($B895,Derived_Variables!$A:$A,Derived_Variables!$AI:$AI,4),
axisTol,XLOOKUP($B895,Derived_Variables!$A:$A,Derived_Variables!$W:$W,1),
IFS(
C895="A",
IF(
 OR(
   I895="NOT_READABLE",
   I895="BLURRY",
   AND(R895="20_20_20",I895="READABLE")
 ),
 "B",
 "A"
),
C895="B",
IF(AND(AV895&gt;=AW895,I895="READABLE"),"E","B"),
C895="E",
IF(OR(I895="SAME",AD895&lt;=axisTol),"F","E"),
C895="F",
IF(AX895&gt;=sameN,"G","F"),
C895="G",
IF(OR(I895="EQUAL",BB895=1,BA895&gt;=duoMax),"D","G"),
C895="D",
IF(AND(AV895&gt;=AW895,I895="READABLE"),"H","D"),
C895="H",
IF(OR(I895="SAME",AD895&lt;=axisTol),"I","H"),
C895="I",
IF(AX895&gt;=sameN,"J","I"),
C895="J",
IF(OR(I895="EQUAL",BB895=1,BA895&gt;=duoMax),"K","J"),
C895="K",
IF(
 I895="SAME",
 IF(
   XLOOKUP($B895,Derived_Variables!$A:$A,Derived_Variables!$Q:$Q,"None")="None",
   "END",
   "P"
 ),
 "K"
),
C895="P",
IF(OR(I895="READABLE",I895="SAME"),"Q","P"),
C895="Q",
IF(OR(I895="READABLE",I895="SAME"),"R","Q"),
C895="R",
IF(OR(I895="TARGET_OK",I895="SAME"),"END","R"),
TRUE,"END"
)))</f>
        <v/>
      </c>
      <c r="BD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 t="str">
        <f t="array" ref="BC896">IF($I896="","",LET(
conf,AI896,
sameN,IF(conf="Low",1,IF(conf="Medium",2,3)),
duoMax,XLOOKUP($B896,Derived_Variables!$A:$A,Derived_Variables!$AI:$AI,4),
axisTol,XLOOKUP($B896,Derived_Variables!$A:$A,Derived_Variables!$W:$W,1),
IFS(
C896="A",
IF(
 OR(
   I896="NOT_READABLE",
   I896="BLURRY",
   AND(R896="20_20_20",I896="READABLE")
 ),
 "B",
 "A"
),
C896="B",
IF(AND(AV896&gt;=AW896,I896="READABLE"),"E","B"),
C896="E",
IF(OR(I896="SAME",AD896&lt;=axisTol),"F","E"),
C896="F",
IF(AX896&gt;=sameN,"G","F"),
C896="G",
IF(OR(I896="EQUAL",BB896=1,BA896&gt;=duoMax),"D","G"),
C896="D",
IF(AND(AV896&gt;=AW896,I896="READABLE"),"H","D"),
C896="H",
IF(OR(I896="SAME",AD896&lt;=axisTol),"I","H"),
C896="I",
IF(AX896&gt;=sameN,"J","I"),
C896="J",
IF(OR(I896="EQUAL",BB896=1,BA896&gt;=duoMax),"K","J"),
C896="K",
IF(
 I896="SAME",
 IF(
   XLOOKUP($B896,Derived_Variables!$A:$A,Derived_Variables!$Q:$Q,"None")="None",
   "END",
   "P"
 ),
 "K"
),
C896="P",
IF(OR(I896="READABLE",I896="SAME"),"Q","P"),
C896="Q",
IF(OR(I896="READABLE",I896="SAME"),"R","Q"),
C896="R",
IF(OR(I896="TARGET_OK",I896="SAME"),"END","R"),
TRUE,"END"
)))</f>
        <v/>
      </c>
      <c r="BD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 t="str">
        <f t="array" ref="BC897">IF($I897="","",LET(
conf,AI897,
sameN,IF(conf="Low",1,IF(conf="Medium",2,3)),
duoMax,XLOOKUP($B897,Derived_Variables!$A:$A,Derived_Variables!$AI:$AI,4),
axisTol,XLOOKUP($B897,Derived_Variables!$A:$A,Derived_Variables!$W:$W,1),
IFS(
C897="A",
IF(
 OR(
   I897="NOT_READABLE",
   I897="BLURRY",
   AND(R897="20_20_20",I897="READABLE")
 ),
 "B",
 "A"
),
C897="B",
IF(AND(AV897&gt;=AW897,I897="READABLE"),"E","B"),
C897="E",
IF(OR(I897="SAME",AD897&lt;=axisTol),"F","E"),
C897="F",
IF(AX897&gt;=sameN,"G","F"),
C897="G",
IF(OR(I897="EQUAL",BB897=1,BA897&gt;=duoMax),"D","G"),
C897="D",
IF(AND(AV897&gt;=AW897,I897="READABLE"),"H","D"),
C897="H",
IF(OR(I897="SAME",AD897&lt;=axisTol),"I","H"),
C897="I",
IF(AX897&gt;=sameN,"J","I"),
C897="J",
IF(OR(I897="EQUAL",BB897=1,BA897&gt;=duoMax),"K","J"),
C897="K",
IF(
 I897="SAME",
 IF(
   XLOOKUP($B897,Derived_Variables!$A:$A,Derived_Variables!$Q:$Q,"None")="None",
   "END",
   "P"
 ),
 "K"
),
C897="P",
IF(OR(I897="READABLE",I897="SAME"),"Q","P"),
C897="Q",
IF(OR(I897="READABLE",I897="SAME"),"R","Q"),
C897="R",
IF(OR(I897="TARGET_OK",I897="SAME"),"END","R"),
TRUE,"END"
)))</f>
        <v/>
      </c>
      <c r="BD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 t="str">
        <f t="array" ref="BC898">IF($I898="","",LET(
conf,AI898,
sameN,IF(conf="Low",1,IF(conf="Medium",2,3)),
duoMax,XLOOKUP($B898,Derived_Variables!$A:$A,Derived_Variables!$AI:$AI,4),
axisTol,XLOOKUP($B898,Derived_Variables!$A:$A,Derived_Variables!$W:$W,1),
IFS(
C898="A",
IF(
 OR(
   I898="NOT_READABLE",
   I898="BLURRY",
   AND(R898="20_20_20",I898="READABLE")
 ),
 "B",
 "A"
),
C898="B",
IF(AND(AV898&gt;=AW898,I898="READABLE"),"E","B"),
C898="E",
IF(OR(I898="SAME",AD898&lt;=axisTol),"F","E"),
C898="F",
IF(AX898&gt;=sameN,"G","F"),
C898="G",
IF(OR(I898="EQUAL",BB898=1,BA898&gt;=duoMax),"D","G"),
C898="D",
IF(AND(AV898&gt;=AW898,I898="READABLE"),"H","D"),
C898="H",
IF(OR(I898="SAME",AD898&lt;=axisTol),"I","H"),
C898="I",
IF(AX898&gt;=sameN,"J","I"),
C898="J",
IF(OR(I898="EQUAL",BB898=1,BA898&gt;=duoMax),"K","J"),
C898="K",
IF(
 I898="SAME",
 IF(
   XLOOKUP($B898,Derived_Variables!$A:$A,Derived_Variables!$Q:$Q,"None")="None",
   "END",
   "P"
 ),
 "K"
),
C898="P",
IF(OR(I898="READABLE",I898="SAME"),"Q","P"),
C898="Q",
IF(OR(I898="READABLE",I898="SAME"),"R","Q"),
C898="R",
IF(OR(I898="TARGET_OK",I898="SAME"),"END","R"),
TRUE,"END"
)))</f>
        <v/>
      </c>
      <c r="BD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 t="str">
        <f t="array" ref="BC899">IF($I899="","",LET(
conf,AI899,
sameN,IF(conf="Low",1,IF(conf="Medium",2,3)),
duoMax,XLOOKUP($B899,Derived_Variables!$A:$A,Derived_Variables!$AI:$AI,4),
axisTol,XLOOKUP($B899,Derived_Variables!$A:$A,Derived_Variables!$W:$W,1),
IFS(
C899="A",
IF(
 OR(
   I899="NOT_READABLE",
   I899="BLURRY",
   AND(R899="20_20_20",I899="READABLE")
 ),
 "B",
 "A"
),
C899="B",
IF(AND(AV899&gt;=AW899,I899="READABLE"),"E","B"),
C899="E",
IF(OR(I899="SAME",AD899&lt;=axisTol),"F","E"),
C899="F",
IF(AX899&gt;=sameN,"G","F"),
C899="G",
IF(OR(I899="EQUAL",BB899=1,BA899&gt;=duoMax),"D","G"),
C899="D",
IF(AND(AV899&gt;=AW899,I899="READABLE"),"H","D"),
C899="H",
IF(OR(I899="SAME",AD899&lt;=axisTol),"I","H"),
C899="I",
IF(AX899&gt;=sameN,"J","I"),
C899="J",
IF(OR(I899="EQUAL",BB899=1,BA899&gt;=duoMax),"K","J"),
C899="K",
IF(
 I899="SAME",
 IF(
   XLOOKUP($B899,Derived_Variables!$A:$A,Derived_Variables!$Q:$Q,"None")="None",
   "END",
   "P"
 ),
 "K"
),
C899="P",
IF(OR(I899="READABLE",I899="SAME"),"Q","P"),
C899="Q",
IF(OR(I899="READABLE",I899="SAME"),"R","Q"),
C899="R",
IF(OR(I899="TARGET_OK",I899="SAME"),"END","R"),
TRUE,"END"
)))</f>
        <v/>
      </c>
      <c r="BD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 t="str">
        <f t="array" ref="BC900">IF($I900="","",LET(
conf,AI900,
sameN,IF(conf="Low",1,IF(conf="Medium",2,3)),
duoMax,XLOOKUP($B900,Derived_Variables!$A:$A,Derived_Variables!$AI:$AI,4),
axisTol,XLOOKUP($B900,Derived_Variables!$A:$A,Derived_Variables!$W:$W,1),
IFS(
C900="A",
IF(
 OR(
   I900="NOT_READABLE",
   I900="BLURRY",
   AND(R900="20_20_20",I900="READABLE")
 ),
 "B",
 "A"
),
C900="B",
IF(AND(AV900&gt;=AW900,I900="READABLE"),"E","B"),
C900="E",
IF(OR(I900="SAME",AD900&lt;=axisTol),"F","E"),
C900="F",
IF(AX900&gt;=sameN,"G","F"),
C900="G",
IF(OR(I900="EQUAL",BB900=1,BA900&gt;=duoMax),"D","G"),
C900="D",
IF(AND(AV900&gt;=AW900,I900="READABLE"),"H","D"),
C900="H",
IF(OR(I900="SAME",AD900&lt;=axisTol),"I","H"),
C900="I",
IF(AX900&gt;=sameN,"J","I"),
C900="J",
IF(OR(I900="EQUAL",BB900=1,BA900&gt;=duoMax),"K","J"),
C900="K",
IF(
 I900="SAME",
 IF(
   XLOOKUP($B900,Derived_Variables!$A:$A,Derived_Variables!$Q:$Q,"None")="None",
   "END",
   "P"
 ),
 "K"
),
C900="P",
IF(OR(I900="READABLE",I900="SAME"),"Q","P"),
C900="Q",
IF(OR(I900="READABLE",I900="SAME"),"R","Q"),
C900="R",
IF(OR(I900="TARGET_OK",I900="SAME"),"END","R"),
TRUE,"END"
)))</f>
        <v/>
      </c>
      <c r="BD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 t="str">
        <f t="array" ref="BC901">IF($I901="","",LET(
conf,AI901,
sameN,IF(conf="Low",1,IF(conf="Medium",2,3)),
duoMax,XLOOKUP($B901,Derived_Variables!$A:$A,Derived_Variables!$AI:$AI,4),
axisTol,XLOOKUP($B901,Derived_Variables!$A:$A,Derived_Variables!$W:$W,1),
IFS(
C901="A",
IF(
 OR(
   I901="NOT_READABLE",
   I901="BLURRY",
   AND(R901="20_20_20",I901="READABLE")
 ),
 "B",
 "A"
),
C901="B",
IF(AND(AV901&gt;=AW901,I901="READABLE"),"E","B"),
C901="E",
IF(OR(I901="SAME",AD901&lt;=axisTol),"F","E"),
C901="F",
IF(AX901&gt;=sameN,"G","F"),
C901="G",
IF(OR(I901="EQUAL",BB901=1,BA901&gt;=duoMax),"D","G"),
C901="D",
IF(AND(AV901&gt;=AW901,I901="READABLE"),"H","D"),
C901="H",
IF(OR(I901="SAME",AD901&lt;=axisTol),"I","H"),
C901="I",
IF(AX901&gt;=sameN,"J","I"),
C901="J",
IF(OR(I901="EQUAL",BB901=1,BA901&gt;=duoMax),"K","J"),
C901="K",
IF(
 I901="SAME",
 IF(
   XLOOKUP($B901,Derived_Variables!$A:$A,Derived_Variables!$Q:$Q,"None")="None",
   "END",
   "P"
 ),
 "K"
),
C901="P",
IF(OR(I901="READABLE",I901="SAME"),"Q","P"),
C901="Q",
IF(OR(I901="READABLE",I901="SAME"),"R","Q"),
C901="R",
IF(OR(I901="TARGET_OK",I901="SAME"),"END","R"),
TRUE,"END"
)))</f>
        <v/>
      </c>
      <c r="BD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 t="str">
        <f t="array" ref="BC902">IF($I902="","",LET(
conf,AI902,
sameN,IF(conf="Low",1,IF(conf="Medium",2,3)),
duoMax,XLOOKUP($B902,Derived_Variables!$A:$A,Derived_Variables!$AI:$AI,4),
axisTol,XLOOKUP($B902,Derived_Variables!$A:$A,Derived_Variables!$W:$W,1),
IFS(
C902="A",
IF(
 OR(
   I902="NOT_READABLE",
   I902="BLURRY",
   AND(R902="20_20_20",I902="READABLE")
 ),
 "B",
 "A"
),
C902="B",
IF(AND(AV902&gt;=AW902,I902="READABLE"),"E","B"),
C902="E",
IF(OR(I902="SAME",AD902&lt;=axisTol),"F","E"),
C902="F",
IF(AX902&gt;=sameN,"G","F"),
C902="G",
IF(OR(I902="EQUAL",BB902=1,BA902&gt;=duoMax),"D","G"),
C902="D",
IF(AND(AV902&gt;=AW902,I902="READABLE"),"H","D"),
C902="H",
IF(OR(I902="SAME",AD902&lt;=axisTol),"I","H"),
C902="I",
IF(AX902&gt;=sameN,"J","I"),
C902="J",
IF(OR(I902="EQUAL",BB902=1,BA902&gt;=duoMax),"K","J"),
C902="K",
IF(
 I902="SAME",
 IF(
   XLOOKUP($B902,Derived_Variables!$A:$A,Derived_Variables!$Q:$Q,"None")="None",
   "END",
   "P"
 ),
 "K"
),
C902="P",
IF(OR(I902="READABLE",I902="SAME"),"Q","P"),
C902="Q",
IF(OR(I902="READABLE",I902="SAME"),"R","Q"),
C902="R",
IF(OR(I902="TARGET_OK",I902="SAME"),"END","R"),
TRUE,"END"
)))</f>
        <v/>
      </c>
      <c r="BD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 t="str">
        <f t="array" ref="BC903">IF($I903="","",LET(
conf,AI903,
sameN,IF(conf="Low",1,IF(conf="Medium",2,3)),
duoMax,XLOOKUP($B903,Derived_Variables!$A:$A,Derived_Variables!$AI:$AI,4),
axisTol,XLOOKUP($B903,Derived_Variables!$A:$A,Derived_Variables!$W:$W,1),
IFS(
C903="A",
IF(
 OR(
   I903="NOT_READABLE",
   I903="BLURRY",
   AND(R903="20_20_20",I903="READABLE")
 ),
 "B",
 "A"
),
C903="B",
IF(AND(AV903&gt;=AW903,I903="READABLE"),"E","B"),
C903="E",
IF(OR(I903="SAME",AD903&lt;=axisTol),"F","E"),
C903="F",
IF(AX903&gt;=sameN,"G","F"),
C903="G",
IF(OR(I903="EQUAL",BB903=1,BA903&gt;=duoMax),"D","G"),
C903="D",
IF(AND(AV903&gt;=AW903,I903="READABLE"),"H","D"),
C903="H",
IF(OR(I903="SAME",AD903&lt;=axisTol),"I","H"),
C903="I",
IF(AX903&gt;=sameN,"J","I"),
C903="J",
IF(OR(I903="EQUAL",BB903=1,BA903&gt;=duoMax),"K","J"),
C903="K",
IF(
 I903="SAME",
 IF(
   XLOOKUP($B903,Derived_Variables!$A:$A,Derived_Variables!$Q:$Q,"None")="None",
   "END",
   "P"
 ),
 "K"
),
C903="P",
IF(OR(I903="READABLE",I903="SAME"),"Q","P"),
C903="Q",
IF(OR(I903="READABLE",I903="SAME"),"R","Q"),
C903="R",
IF(OR(I903="TARGET_OK",I903="SAME"),"END","R"),
TRUE,"END"
)))</f>
        <v/>
      </c>
      <c r="BD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 t="str">
        <f t="array" ref="BC904">IF($I904="","",LET(
conf,AI904,
sameN,IF(conf="Low",1,IF(conf="Medium",2,3)),
duoMax,XLOOKUP($B904,Derived_Variables!$A:$A,Derived_Variables!$AI:$AI,4),
axisTol,XLOOKUP($B904,Derived_Variables!$A:$A,Derived_Variables!$W:$W,1),
IFS(
C904="A",
IF(
 OR(
   I904="NOT_READABLE",
   I904="BLURRY",
   AND(R904="20_20_20",I904="READABLE")
 ),
 "B",
 "A"
),
C904="B",
IF(AND(AV904&gt;=AW904,I904="READABLE"),"E","B"),
C904="E",
IF(OR(I904="SAME",AD904&lt;=axisTol),"F","E"),
C904="F",
IF(AX904&gt;=sameN,"G","F"),
C904="G",
IF(OR(I904="EQUAL",BB904=1,BA904&gt;=duoMax),"D","G"),
C904="D",
IF(AND(AV904&gt;=AW904,I904="READABLE"),"H","D"),
C904="H",
IF(OR(I904="SAME",AD904&lt;=axisTol),"I","H"),
C904="I",
IF(AX904&gt;=sameN,"J","I"),
C904="J",
IF(OR(I904="EQUAL",BB904=1,BA904&gt;=duoMax),"K","J"),
C904="K",
IF(
 I904="SAME",
 IF(
   XLOOKUP($B904,Derived_Variables!$A:$A,Derived_Variables!$Q:$Q,"None")="None",
   "END",
   "P"
 ),
 "K"
),
C904="P",
IF(OR(I904="READABLE",I904="SAME"),"Q","P"),
C904="Q",
IF(OR(I904="READABLE",I904="SAME"),"R","Q"),
C904="R",
IF(OR(I904="TARGET_OK",I904="SAME"),"END","R"),
TRUE,"END"
)))</f>
        <v/>
      </c>
      <c r="BD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 t="str">
        <f t="array" ref="BC905">IF($I905="","",LET(
conf,AI905,
sameN,IF(conf="Low",1,IF(conf="Medium",2,3)),
duoMax,XLOOKUP($B905,Derived_Variables!$A:$A,Derived_Variables!$AI:$AI,4),
axisTol,XLOOKUP($B905,Derived_Variables!$A:$A,Derived_Variables!$W:$W,1),
IFS(
C905="A",
IF(
 OR(
   I905="NOT_READABLE",
   I905="BLURRY",
   AND(R905="20_20_20",I905="READABLE")
 ),
 "B",
 "A"
),
C905="B",
IF(AND(AV905&gt;=AW905,I905="READABLE"),"E","B"),
C905="E",
IF(OR(I905="SAME",AD905&lt;=axisTol),"F","E"),
C905="F",
IF(AX905&gt;=sameN,"G","F"),
C905="G",
IF(OR(I905="EQUAL",BB905=1,BA905&gt;=duoMax),"D","G"),
C905="D",
IF(AND(AV905&gt;=AW905,I905="READABLE"),"H","D"),
C905="H",
IF(OR(I905="SAME",AD905&lt;=axisTol),"I","H"),
C905="I",
IF(AX905&gt;=sameN,"J","I"),
C905="J",
IF(OR(I905="EQUAL",BB905=1,BA905&gt;=duoMax),"K","J"),
C905="K",
IF(
 I905="SAME",
 IF(
   XLOOKUP($B905,Derived_Variables!$A:$A,Derived_Variables!$Q:$Q,"None")="None",
   "END",
   "P"
 ),
 "K"
),
C905="P",
IF(OR(I905="READABLE",I905="SAME"),"Q","P"),
C905="Q",
IF(OR(I905="READABLE",I905="SAME"),"R","Q"),
C905="R",
IF(OR(I905="TARGET_OK",I905="SAME"),"END","R"),
TRUE,"END"
)))</f>
        <v/>
      </c>
      <c r="BD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 t="str">
        <f t="array" ref="BC906">IF($I906="","",LET(
conf,AI906,
sameN,IF(conf="Low",1,IF(conf="Medium",2,3)),
duoMax,XLOOKUP($B906,Derived_Variables!$A:$A,Derived_Variables!$AI:$AI,4),
axisTol,XLOOKUP($B906,Derived_Variables!$A:$A,Derived_Variables!$W:$W,1),
IFS(
C906="A",
IF(
 OR(
   I906="NOT_READABLE",
   I906="BLURRY",
   AND(R906="20_20_20",I906="READABLE")
 ),
 "B",
 "A"
),
C906="B",
IF(AND(AV906&gt;=AW906,I906="READABLE"),"E","B"),
C906="E",
IF(OR(I906="SAME",AD906&lt;=axisTol),"F","E"),
C906="F",
IF(AX906&gt;=sameN,"G","F"),
C906="G",
IF(OR(I906="EQUAL",BB906=1,BA906&gt;=duoMax),"D","G"),
C906="D",
IF(AND(AV906&gt;=AW906,I906="READABLE"),"H","D"),
C906="H",
IF(OR(I906="SAME",AD906&lt;=axisTol),"I","H"),
C906="I",
IF(AX906&gt;=sameN,"J","I"),
C906="J",
IF(OR(I906="EQUAL",BB906=1,BA906&gt;=duoMax),"K","J"),
C906="K",
IF(
 I906="SAME",
 IF(
   XLOOKUP($B906,Derived_Variables!$A:$A,Derived_Variables!$Q:$Q,"None")="None",
   "END",
   "P"
 ),
 "K"
),
C906="P",
IF(OR(I906="READABLE",I906="SAME"),"Q","P"),
C906="Q",
IF(OR(I906="READABLE",I906="SAME"),"R","Q"),
C906="R",
IF(OR(I906="TARGET_OK",I906="SAME"),"END","R"),
TRUE,"END"
)))</f>
        <v/>
      </c>
      <c r="BD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 t="str">
        <f t="array" ref="BC907">IF($I907="","",LET(
conf,AI907,
sameN,IF(conf="Low",1,IF(conf="Medium",2,3)),
duoMax,XLOOKUP($B907,Derived_Variables!$A:$A,Derived_Variables!$AI:$AI,4),
axisTol,XLOOKUP($B907,Derived_Variables!$A:$A,Derived_Variables!$W:$W,1),
IFS(
C907="A",
IF(
 OR(
   I907="NOT_READABLE",
   I907="BLURRY",
   AND(R907="20_20_20",I907="READABLE")
 ),
 "B",
 "A"
),
C907="B",
IF(AND(AV907&gt;=AW907,I907="READABLE"),"E","B"),
C907="E",
IF(OR(I907="SAME",AD907&lt;=axisTol),"F","E"),
C907="F",
IF(AX907&gt;=sameN,"G","F"),
C907="G",
IF(OR(I907="EQUAL",BB907=1,BA907&gt;=duoMax),"D","G"),
C907="D",
IF(AND(AV907&gt;=AW907,I907="READABLE"),"H","D"),
C907="H",
IF(OR(I907="SAME",AD907&lt;=axisTol),"I","H"),
C907="I",
IF(AX907&gt;=sameN,"J","I"),
C907="J",
IF(OR(I907="EQUAL",BB907=1,BA907&gt;=duoMax),"K","J"),
C907="K",
IF(
 I907="SAME",
 IF(
   XLOOKUP($B907,Derived_Variables!$A:$A,Derived_Variables!$Q:$Q,"None")="None",
   "END",
   "P"
 ),
 "K"
),
C907="P",
IF(OR(I907="READABLE",I907="SAME"),"Q","P"),
C907="Q",
IF(OR(I907="READABLE",I907="SAME"),"R","Q"),
C907="R",
IF(OR(I907="TARGET_OK",I907="SAME"),"END","R"),
TRUE,"END"
)))</f>
        <v/>
      </c>
      <c r="BD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 t="str">
        <f t="array" ref="BC908">IF($I908="","",LET(
conf,AI908,
sameN,IF(conf="Low",1,IF(conf="Medium",2,3)),
duoMax,XLOOKUP($B908,Derived_Variables!$A:$A,Derived_Variables!$AI:$AI,4),
axisTol,XLOOKUP($B908,Derived_Variables!$A:$A,Derived_Variables!$W:$W,1),
IFS(
C908="A",
IF(
 OR(
   I908="NOT_READABLE",
   I908="BLURRY",
   AND(R908="20_20_20",I908="READABLE")
 ),
 "B",
 "A"
),
C908="B",
IF(AND(AV908&gt;=AW908,I908="READABLE"),"E","B"),
C908="E",
IF(OR(I908="SAME",AD908&lt;=axisTol),"F","E"),
C908="F",
IF(AX908&gt;=sameN,"G","F"),
C908="G",
IF(OR(I908="EQUAL",BB908=1,BA908&gt;=duoMax),"D","G"),
C908="D",
IF(AND(AV908&gt;=AW908,I908="READABLE"),"H","D"),
C908="H",
IF(OR(I908="SAME",AD908&lt;=axisTol),"I","H"),
C908="I",
IF(AX908&gt;=sameN,"J","I"),
C908="J",
IF(OR(I908="EQUAL",BB908=1,BA908&gt;=duoMax),"K","J"),
C908="K",
IF(
 I908="SAME",
 IF(
   XLOOKUP($B908,Derived_Variables!$A:$A,Derived_Variables!$Q:$Q,"None")="None",
   "END",
   "P"
 ),
 "K"
),
C908="P",
IF(OR(I908="READABLE",I908="SAME"),"Q","P"),
C908="Q",
IF(OR(I908="READABLE",I908="SAME"),"R","Q"),
C908="R",
IF(OR(I908="TARGET_OK",I908="SAME"),"END","R"),
TRUE,"END"
)))</f>
        <v/>
      </c>
      <c r="BD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 t="str">
        <f t="array" ref="BC909">IF($I909="","",LET(
conf,AI909,
sameN,IF(conf="Low",1,IF(conf="Medium",2,3)),
duoMax,XLOOKUP($B909,Derived_Variables!$A:$A,Derived_Variables!$AI:$AI,4),
axisTol,XLOOKUP($B909,Derived_Variables!$A:$A,Derived_Variables!$W:$W,1),
IFS(
C909="A",
IF(
 OR(
   I909="NOT_READABLE",
   I909="BLURRY",
   AND(R909="20_20_20",I909="READABLE")
 ),
 "B",
 "A"
),
C909="B",
IF(AND(AV909&gt;=AW909,I909="READABLE"),"E","B"),
C909="E",
IF(OR(I909="SAME",AD909&lt;=axisTol),"F","E"),
C909="F",
IF(AX909&gt;=sameN,"G","F"),
C909="G",
IF(OR(I909="EQUAL",BB909=1,BA909&gt;=duoMax),"D","G"),
C909="D",
IF(AND(AV909&gt;=AW909,I909="READABLE"),"H","D"),
C909="H",
IF(OR(I909="SAME",AD909&lt;=axisTol),"I","H"),
C909="I",
IF(AX909&gt;=sameN,"J","I"),
C909="J",
IF(OR(I909="EQUAL",BB909=1,BA909&gt;=duoMax),"K","J"),
C909="K",
IF(
 I909="SAME",
 IF(
   XLOOKUP($B909,Derived_Variables!$A:$A,Derived_Variables!$Q:$Q,"None")="None",
   "END",
   "P"
 ),
 "K"
),
C909="P",
IF(OR(I909="READABLE",I909="SAME"),"Q","P"),
C909="Q",
IF(OR(I909="READABLE",I909="SAME"),"R","Q"),
C909="R",
IF(OR(I909="TARGET_OK",I909="SAME"),"END","R"),
TRUE,"END"
)))</f>
        <v/>
      </c>
      <c r="BD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 t="str">
        <f t="array" ref="BC910">IF($I910="","",LET(
conf,AI910,
sameN,IF(conf="Low",1,IF(conf="Medium",2,3)),
duoMax,XLOOKUP($B910,Derived_Variables!$A:$A,Derived_Variables!$AI:$AI,4),
axisTol,XLOOKUP($B910,Derived_Variables!$A:$A,Derived_Variables!$W:$W,1),
IFS(
C910="A",
IF(
 OR(
   I910="NOT_READABLE",
   I910="BLURRY",
   AND(R910="20_20_20",I910="READABLE")
 ),
 "B",
 "A"
),
C910="B",
IF(AND(AV910&gt;=AW910,I910="READABLE"),"E","B"),
C910="E",
IF(OR(I910="SAME",AD910&lt;=axisTol),"F","E"),
C910="F",
IF(AX910&gt;=sameN,"G","F"),
C910="G",
IF(OR(I910="EQUAL",BB910=1,BA910&gt;=duoMax),"D","G"),
C910="D",
IF(AND(AV910&gt;=AW910,I910="READABLE"),"H","D"),
C910="H",
IF(OR(I910="SAME",AD910&lt;=axisTol),"I","H"),
C910="I",
IF(AX910&gt;=sameN,"J","I"),
C910="J",
IF(OR(I910="EQUAL",BB910=1,BA910&gt;=duoMax),"K","J"),
C910="K",
IF(
 I910="SAME",
 IF(
   XLOOKUP($B910,Derived_Variables!$A:$A,Derived_Variables!$Q:$Q,"None")="None",
   "END",
   "P"
 ),
 "K"
),
C910="P",
IF(OR(I910="READABLE",I910="SAME"),"Q","P"),
C910="Q",
IF(OR(I910="READABLE",I910="SAME"),"R","Q"),
C910="R",
IF(OR(I910="TARGET_OK",I910="SAME"),"END","R"),
TRUE,"END"
)))</f>
        <v/>
      </c>
      <c r="BD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 t="str">
        <f t="array" ref="BC911">IF($I911="","",LET(
conf,AI911,
sameN,IF(conf="Low",1,IF(conf="Medium",2,3)),
duoMax,XLOOKUP($B911,Derived_Variables!$A:$A,Derived_Variables!$AI:$AI,4),
axisTol,XLOOKUP($B911,Derived_Variables!$A:$A,Derived_Variables!$W:$W,1),
IFS(
C911="A",
IF(
 OR(
   I911="NOT_READABLE",
   I911="BLURRY",
   AND(R911="20_20_20",I911="READABLE")
 ),
 "B",
 "A"
),
C911="B",
IF(AND(AV911&gt;=AW911,I911="READABLE"),"E","B"),
C911="E",
IF(OR(I911="SAME",AD911&lt;=axisTol),"F","E"),
C911="F",
IF(AX911&gt;=sameN,"G","F"),
C911="G",
IF(OR(I911="EQUAL",BB911=1,BA911&gt;=duoMax),"D","G"),
C911="D",
IF(AND(AV911&gt;=AW911,I911="READABLE"),"H","D"),
C911="H",
IF(OR(I911="SAME",AD911&lt;=axisTol),"I","H"),
C911="I",
IF(AX911&gt;=sameN,"J","I"),
C911="J",
IF(OR(I911="EQUAL",BB911=1,BA911&gt;=duoMax),"K","J"),
C911="K",
IF(
 I911="SAME",
 IF(
   XLOOKUP($B911,Derived_Variables!$A:$A,Derived_Variables!$Q:$Q,"None")="None",
   "END",
   "P"
 ),
 "K"
),
C911="P",
IF(OR(I911="READABLE",I911="SAME"),"Q","P"),
C911="Q",
IF(OR(I911="READABLE",I911="SAME"),"R","Q"),
C911="R",
IF(OR(I911="TARGET_OK",I911="SAME"),"END","R"),
TRUE,"END"
)))</f>
        <v/>
      </c>
      <c r="BD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 t="str">
        <f t="array" ref="BC912">IF($I912="","",LET(
conf,AI912,
sameN,IF(conf="Low",1,IF(conf="Medium",2,3)),
duoMax,XLOOKUP($B912,Derived_Variables!$A:$A,Derived_Variables!$AI:$AI,4),
axisTol,XLOOKUP($B912,Derived_Variables!$A:$A,Derived_Variables!$W:$W,1),
IFS(
C912="A",
IF(
 OR(
   I912="NOT_READABLE",
   I912="BLURRY",
   AND(R912="20_20_20",I912="READABLE")
 ),
 "B",
 "A"
),
C912="B",
IF(AND(AV912&gt;=AW912,I912="READABLE"),"E","B"),
C912="E",
IF(OR(I912="SAME",AD912&lt;=axisTol),"F","E"),
C912="F",
IF(AX912&gt;=sameN,"G","F"),
C912="G",
IF(OR(I912="EQUAL",BB912=1,BA912&gt;=duoMax),"D","G"),
C912="D",
IF(AND(AV912&gt;=AW912,I912="READABLE"),"H","D"),
C912="H",
IF(OR(I912="SAME",AD912&lt;=axisTol),"I","H"),
C912="I",
IF(AX912&gt;=sameN,"J","I"),
C912="J",
IF(OR(I912="EQUAL",BB912=1,BA912&gt;=duoMax),"K","J"),
C912="K",
IF(
 I912="SAME",
 IF(
   XLOOKUP($B912,Derived_Variables!$A:$A,Derived_Variables!$Q:$Q,"None")="None",
   "END",
   "P"
 ),
 "K"
),
C912="P",
IF(OR(I912="READABLE",I912="SAME"),"Q","P"),
C912="Q",
IF(OR(I912="READABLE",I912="SAME"),"R","Q"),
C912="R",
IF(OR(I912="TARGET_OK",I912="SAME"),"END","R"),
TRUE,"END"
)))</f>
        <v/>
      </c>
      <c r="BD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 t="str">
        <f t="array" ref="BC913">IF($I913="","",LET(
conf,AI913,
sameN,IF(conf="Low",1,IF(conf="Medium",2,3)),
duoMax,XLOOKUP($B913,Derived_Variables!$A:$A,Derived_Variables!$AI:$AI,4),
axisTol,XLOOKUP($B913,Derived_Variables!$A:$A,Derived_Variables!$W:$W,1),
IFS(
C913="A",
IF(
 OR(
   I913="NOT_READABLE",
   I913="BLURRY",
   AND(R913="20_20_20",I913="READABLE")
 ),
 "B",
 "A"
),
C913="B",
IF(AND(AV913&gt;=AW913,I913="READABLE"),"E","B"),
C913="E",
IF(OR(I913="SAME",AD913&lt;=axisTol),"F","E"),
C913="F",
IF(AX913&gt;=sameN,"G","F"),
C913="G",
IF(OR(I913="EQUAL",BB913=1,BA913&gt;=duoMax),"D","G"),
C913="D",
IF(AND(AV913&gt;=AW913,I913="READABLE"),"H","D"),
C913="H",
IF(OR(I913="SAME",AD913&lt;=axisTol),"I","H"),
C913="I",
IF(AX913&gt;=sameN,"J","I"),
C913="J",
IF(OR(I913="EQUAL",BB913=1,BA913&gt;=duoMax),"K","J"),
C913="K",
IF(
 I913="SAME",
 IF(
   XLOOKUP($B913,Derived_Variables!$A:$A,Derived_Variables!$Q:$Q,"None")="None",
   "END",
   "P"
 ),
 "K"
),
C913="P",
IF(OR(I913="READABLE",I913="SAME"),"Q","P"),
C913="Q",
IF(OR(I913="READABLE",I913="SAME"),"R","Q"),
C913="R",
IF(OR(I913="TARGET_OK",I913="SAME"),"END","R"),
TRUE,"END"
)))</f>
        <v/>
      </c>
      <c r="BD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 t="str">
        <f t="array" ref="BC914">IF($I914="","",LET(
conf,AI914,
sameN,IF(conf="Low",1,IF(conf="Medium",2,3)),
duoMax,XLOOKUP($B914,Derived_Variables!$A:$A,Derived_Variables!$AI:$AI,4),
axisTol,XLOOKUP($B914,Derived_Variables!$A:$A,Derived_Variables!$W:$W,1),
IFS(
C914="A",
IF(
 OR(
   I914="NOT_READABLE",
   I914="BLURRY",
   AND(R914="20_20_20",I914="READABLE")
 ),
 "B",
 "A"
),
C914="B",
IF(AND(AV914&gt;=AW914,I914="READABLE"),"E","B"),
C914="E",
IF(OR(I914="SAME",AD914&lt;=axisTol),"F","E"),
C914="F",
IF(AX914&gt;=sameN,"G","F"),
C914="G",
IF(OR(I914="EQUAL",BB914=1,BA914&gt;=duoMax),"D","G"),
C914="D",
IF(AND(AV914&gt;=AW914,I914="READABLE"),"H","D"),
C914="H",
IF(OR(I914="SAME",AD914&lt;=axisTol),"I","H"),
C914="I",
IF(AX914&gt;=sameN,"J","I"),
C914="J",
IF(OR(I914="EQUAL",BB914=1,BA914&gt;=duoMax),"K","J"),
C914="K",
IF(
 I914="SAME",
 IF(
   XLOOKUP($B914,Derived_Variables!$A:$A,Derived_Variables!$Q:$Q,"None")="None",
   "END",
   "P"
 ),
 "K"
),
C914="P",
IF(OR(I914="READABLE",I914="SAME"),"Q","P"),
C914="Q",
IF(OR(I914="READABLE",I914="SAME"),"R","Q"),
C914="R",
IF(OR(I914="TARGET_OK",I914="SAME"),"END","R"),
TRUE,"END"
)))</f>
        <v/>
      </c>
      <c r="BD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 t="str">
        <f t="array" ref="BC915">IF($I915="","",LET(
conf,AI915,
sameN,IF(conf="Low",1,IF(conf="Medium",2,3)),
duoMax,XLOOKUP($B915,Derived_Variables!$A:$A,Derived_Variables!$AI:$AI,4),
axisTol,XLOOKUP($B915,Derived_Variables!$A:$A,Derived_Variables!$W:$W,1),
IFS(
C915="A",
IF(
 OR(
   I915="NOT_READABLE",
   I915="BLURRY",
   AND(R915="20_20_20",I915="READABLE")
 ),
 "B",
 "A"
),
C915="B",
IF(AND(AV915&gt;=AW915,I915="READABLE"),"E","B"),
C915="E",
IF(OR(I915="SAME",AD915&lt;=axisTol),"F","E"),
C915="F",
IF(AX915&gt;=sameN,"G","F"),
C915="G",
IF(OR(I915="EQUAL",BB915=1,BA915&gt;=duoMax),"D","G"),
C915="D",
IF(AND(AV915&gt;=AW915,I915="READABLE"),"H","D"),
C915="H",
IF(OR(I915="SAME",AD915&lt;=axisTol),"I","H"),
C915="I",
IF(AX915&gt;=sameN,"J","I"),
C915="J",
IF(OR(I915="EQUAL",BB915=1,BA915&gt;=duoMax),"K","J"),
C915="K",
IF(
 I915="SAME",
 IF(
   XLOOKUP($B915,Derived_Variables!$A:$A,Derived_Variables!$Q:$Q,"None")="None",
   "END",
   "P"
 ),
 "K"
),
C915="P",
IF(OR(I915="READABLE",I915="SAME"),"Q","P"),
C915="Q",
IF(OR(I915="READABLE",I915="SAME"),"R","Q"),
C915="R",
IF(OR(I915="TARGET_OK",I915="SAME"),"END","R"),
TRUE,"END"
)))</f>
        <v/>
      </c>
      <c r="BD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 t="str">
        <f t="array" ref="BC916">IF($I916="","",LET(
conf,AI916,
sameN,IF(conf="Low",1,IF(conf="Medium",2,3)),
duoMax,XLOOKUP($B916,Derived_Variables!$A:$A,Derived_Variables!$AI:$AI,4),
axisTol,XLOOKUP($B916,Derived_Variables!$A:$A,Derived_Variables!$W:$W,1),
IFS(
C916="A",
IF(
 OR(
   I916="NOT_READABLE",
   I916="BLURRY",
   AND(R916="20_20_20",I916="READABLE")
 ),
 "B",
 "A"
),
C916="B",
IF(AND(AV916&gt;=AW916,I916="READABLE"),"E","B"),
C916="E",
IF(OR(I916="SAME",AD916&lt;=axisTol),"F","E"),
C916="F",
IF(AX916&gt;=sameN,"G","F"),
C916="G",
IF(OR(I916="EQUAL",BB916=1,BA916&gt;=duoMax),"D","G"),
C916="D",
IF(AND(AV916&gt;=AW916,I916="READABLE"),"H","D"),
C916="H",
IF(OR(I916="SAME",AD916&lt;=axisTol),"I","H"),
C916="I",
IF(AX916&gt;=sameN,"J","I"),
C916="J",
IF(OR(I916="EQUAL",BB916=1,BA916&gt;=duoMax),"K","J"),
C916="K",
IF(
 I916="SAME",
 IF(
   XLOOKUP($B916,Derived_Variables!$A:$A,Derived_Variables!$Q:$Q,"None")="None",
   "END",
   "P"
 ),
 "K"
),
C916="P",
IF(OR(I916="READABLE",I916="SAME"),"Q","P"),
C916="Q",
IF(OR(I916="READABLE",I916="SAME"),"R","Q"),
C916="R",
IF(OR(I916="TARGET_OK",I916="SAME"),"END","R"),
TRUE,"END"
)))</f>
        <v/>
      </c>
      <c r="BD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 t="str">
        <f t="array" ref="BC917">IF($I917="","",LET(
conf,AI917,
sameN,IF(conf="Low",1,IF(conf="Medium",2,3)),
duoMax,XLOOKUP($B917,Derived_Variables!$A:$A,Derived_Variables!$AI:$AI,4),
axisTol,XLOOKUP($B917,Derived_Variables!$A:$A,Derived_Variables!$W:$W,1),
IFS(
C917="A",
IF(
 OR(
   I917="NOT_READABLE",
   I917="BLURRY",
   AND(R917="20_20_20",I917="READABLE")
 ),
 "B",
 "A"
),
C917="B",
IF(AND(AV917&gt;=AW917,I917="READABLE"),"E","B"),
C917="E",
IF(OR(I917="SAME",AD917&lt;=axisTol),"F","E"),
C917="F",
IF(AX917&gt;=sameN,"G","F"),
C917="G",
IF(OR(I917="EQUAL",BB917=1,BA917&gt;=duoMax),"D","G"),
C917="D",
IF(AND(AV917&gt;=AW917,I917="READABLE"),"H","D"),
C917="H",
IF(OR(I917="SAME",AD917&lt;=axisTol),"I","H"),
C917="I",
IF(AX917&gt;=sameN,"J","I"),
C917="J",
IF(OR(I917="EQUAL",BB917=1,BA917&gt;=duoMax),"K","J"),
C917="K",
IF(
 I917="SAME",
 IF(
   XLOOKUP($B917,Derived_Variables!$A:$A,Derived_Variables!$Q:$Q,"None")="None",
   "END",
   "P"
 ),
 "K"
),
C917="P",
IF(OR(I917="READABLE",I917="SAME"),"Q","P"),
C917="Q",
IF(OR(I917="READABLE",I917="SAME"),"R","Q"),
C917="R",
IF(OR(I917="TARGET_OK",I917="SAME"),"END","R"),
TRUE,"END"
)))</f>
        <v/>
      </c>
      <c r="BD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 t="str">
        <f t="array" ref="BC918">IF($I918="","",LET(
conf,AI918,
sameN,IF(conf="Low",1,IF(conf="Medium",2,3)),
duoMax,XLOOKUP($B918,Derived_Variables!$A:$A,Derived_Variables!$AI:$AI,4),
axisTol,XLOOKUP($B918,Derived_Variables!$A:$A,Derived_Variables!$W:$W,1),
IFS(
C918="A",
IF(
 OR(
   I918="NOT_READABLE",
   I918="BLURRY",
   AND(R918="20_20_20",I918="READABLE")
 ),
 "B",
 "A"
),
C918="B",
IF(AND(AV918&gt;=AW918,I918="READABLE"),"E","B"),
C918="E",
IF(OR(I918="SAME",AD918&lt;=axisTol),"F","E"),
C918="F",
IF(AX918&gt;=sameN,"G","F"),
C918="G",
IF(OR(I918="EQUAL",BB918=1,BA918&gt;=duoMax),"D","G"),
C918="D",
IF(AND(AV918&gt;=AW918,I918="READABLE"),"H","D"),
C918="H",
IF(OR(I918="SAME",AD918&lt;=axisTol),"I","H"),
C918="I",
IF(AX918&gt;=sameN,"J","I"),
C918="J",
IF(OR(I918="EQUAL",BB918=1,BA918&gt;=duoMax),"K","J"),
C918="K",
IF(
 I918="SAME",
 IF(
   XLOOKUP($B918,Derived_Variables!$A:$A,Derived_Variables!$Q:$Q,"None")="None",
   "END",
   "P"
 ),
 "K"
),
C918="P",
IF(OR(I918="READABLE",I918="SAME"),"Q","P"),
C918="Q",
IF(OR(I918="READABLE",I918="SAME"),"R","Q"),
C918="R",
IF(OR(I918="TARGET_OK",I918="SAME"),"END","R"),
TRUE,"END"
)))</f>
        <v/>
      </c>
      <c r="BD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 t="str">
        <f t="array" ref="BC919">IF($I919="","",LET(
conf,AI919,
sameN,IF(conf="Low",1,IF(conf="Medium",2,3)),
duoMax,XLOOKUP($B919,Derived_Variables!$A:$A,Derived_Variables!$AI:$AI,4),
axisTol,XLOOKUP($B919,Derived_Variables!$A:$A,Derived_Variables!$W:$W,1),
IFS(
C919="A",
IF(
 OR(
   I919="NOT_READABLE",
   I919="BLURRY",
   AND(R919="20_20_20",I919="READABLE")
 ),
 "B",
 "A"
),
C919="B",
IF(AND(AV919&gt;=AW919,I919="READABLE"),"E","B"),
C919="E",
IF(OR(I919="SAME",AD919&lt;=axisTol),"F","E"),
C919="F",
IF(AX919&gt;=sameN,"G","F"),
C919="G",
IF(OR(I919="EQUAL",BB919=1,BA919&gt;=duoMax),"D","G"),
C919="D",
IF(AND(AV919&gt;=AW919,I919="READABLE"),"H","D"),
C919="H",
IF(OR(I919="SAME",AD919&lt;=axisTol),"I","H"),
C919="I",
IF(AX919&gt;=sameN,"J","I"),
C919="J",
IF(OR(I919="EQUAL",BB919=1,BA919&gt;=duoMax),"K","J"),
C919="K",
IF(
 I919="SAME",
 IF(
   XLOOKUP($B919,Derived_Variables!$A:$A,Derived_Variables!$Q:$Q,"None")="None",
   "END",
   "P"
 ),
 "K"
),
C919="P",
IF(OR(I919="READABLE",I919="SAME"),"Q","P"),
C919="Q",
IF(OR(I919="READABLE",I919="SAME"),"R","Q"),
C919="R",
IF(OR(I919="TARGET_OK",I919="SAME"),"END","R"),
TRUE,"END"
)))</f>
        <v/>
      </c>
      <c r="BD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 t="str">
        <f t="array" ref="BC920">IF($I920="","",LET(
conf,AI920,
sameN,IF(conf="Low",1,IF(conf="Medium",2,3)),
duoMax,XLOOKUP($B920,Derived_Variables!$A:$A,Derived_Variables!$AI:$AI,4),
axisTol,XLOOKUP($B920,Derived_Variables!$A:$A,Derived_Variables!$W:$W,1),
IFS(
C920="A",
IF(
 OR(
   I920="NOT_READABLE",
   I920="BLURRY",
   AND(R920="20_20_20",I920="READABLE")
 ),
 "B",
 "A"
),
C920="B",
IF(AND(AV920&gt;=AW920,I920="READABLE"),"E","B"),
C920="E",
IF(OR(I920="SAME",AD920&lt;=axisTol),"F","E"),
C920="F",
IF(AX920&gt;=sameN,"G","F"),
C920="G",
IF(OR(I920="EQUAL",BB920=1,BA920&gt;=duoMax),"D","G"),
C920="D",
IF(AND(AV920&gt;=AW920,I920="READABLE"),"H","D"),
C920="H",
IF(OR(I920="SAME",AD920&lt;=axisTol),"I","H"),
C920="I",
IF(AX920&gt;=sameN,"J","I"),
C920="J",
IF(OR(I920="EQUAL",BB920=1,BA920&gt;=duoMax),"K","J"),
C920="K",
IF(
 I920="SAME",
 IF(
   XLOOKUP($B920,Derived_Variables!$A:$A,Derived_Variables!$Q:$Q,"None")="None",
   "END",
   "P"
 ),
 "K"
),
C920="P",
IF(OR(I920="READABLE",I920="SAME"),"Q","P"),
C920="Q",
IF(OR(I920="READABLE",I920="SAME"),"R","Q"),
C920="R",
IF(OR(I920="TARGET_OK",I920="SAME"),"END","R"),
TRUE,"END"
)))</f>
        <v/>
      </c>
      <c r="BD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 t="str">
        <f t="array" ref="BC921">IF($I921="","",LET(
conf,AI921,
sameN,IF(conf="Low",1,IF(conf="Medium",2,3)),
duoMax,XLOOKUP($B921,Derived_Variables!$A:$A,Derived_Variables!$AI:$AI,4),
axisTol,XLOOKUP($B921,Derived_Variables!$A:$A,Derived_Variables!$W:$W,1),
IFS(
C921="A",
IF(
 OR(
   I921="NOT_READABLE",
   I921="BLURRY",
   AND(R921="20_20_20",I921="READABLE")
 ),
 "B",
 "A"
),
C921="B",
IF(AND(AV921&gt;=AW921,I921="READABLE"),"E","B"),
C921="E",
IF(OR(I921="SAME",AD921&lt;=axisTol),"F","E"),
C921="F",
IF(AX921&gt;=sameN,"G","F"),
C921="G",
IF(OR(I921="EQUAL",BB921=1,BA921&gt;=duoMax),"D","G"),
C921="D",
IF(AND(AV921&gt;=AW921,I921="READABLE"),"H","D"),
C921="H",
IF(OR(I921="SAME",AD921&lt;=axisTol),"I","H"),
C921="I",
IF(AX921&gt;=sameN,"J","I"),
C921="J",
IF(OR(I921="EQUAL",BB921=1,BA921&gt;=duoMax),"K","J"),
C921="K",
IF(
 I921="SAME",
 IF(
   XLOOKUP($B921,Derived_Variables!$A:$A,Derived_Variables!$Q:$Q,"None")="None",
   "END",
   "P"
 ),
 "K"
),
C921="P",
IF(OR(I921="READABLE",I921="SAME"),"Q","P"),
C921="Q",
IF(OR(I921="READABLE",I921="SAME"),"R","Q"),
C921="R",
IF(OR(I921="TARGET_OK",I921="SAME"),"END","R"),
TRUE,"END"
)))</f>
        <v/>
      </c>
      <c r="BD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 t="str">
        <f t="array" ref="BC922">IF($I922="","",LET(
conf,AI922,
sameN,IF(conf="Low",1,IF(conf="Medium",2,3)),
duoMax,XLOOKUP($B922,Derived_Variables!$A:$A,Derived_Variables!$AI:$AI,4),
axisTol,XLOOKUP($B922,Derived_Variables!$A:$A,Derived_Variables!$W:$W,1),
IFS(
C922="A",
IF(
 OR(
   I922="NOT_READABLE",
   I922="BLURRY",
   AND(R922="20_20_20",I922="READABLE")
 ),
 "B",
 "A"
),
C922="B",
IF(AND(AV922&gt;=AW922,I922="READABLE"),"E","B"),
C922="E",
IF(OR(I922="SAME",AD922&lt;=axisTol),"F","E"),
C922="F",
IF(AX922&gt;=sameN,"G","F"),
C922="G",
IF(OR(I922="EQUAL",BB922=1,BA922&gt;=duoMax),"D","G"),
C922="D",
IF(AND(AV922&gt;=AW922,I922="READABLE"),"H","D"),
C922="H",
IF(OR(I922="SAME",AD922&lt;=axisTol),"I","H"),
C922="I",
IF(AX922&gt;=sameN,"J","I"),
C922="J",
IF(OR(I922="EQUAL",BB922=1,BA922&gt;=duoMax),"K","J"),
C922="K",
IF(
 I922="SAME",
 IF(
   XLOOKUP($B922,Derived_Variables!$A:$A,Derived_Variables!$Q:$Q,"None")="None",
   "END",
   "P"
 ),
 "K"
),
C922="P",
IF(OR(I922="READABLE",I922="SAME"),"Q","P"),
C922="Q",
IF(OR(I922="READABLE",I922="SAME"),"R","Q"),
C922="R",
IF(OR(I922="TARGET_OK",I922="SAME"),"END","R"),
TRUE,"END"
)))</f>
        <v/>
      </c>
      <c r="BD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 t="str">
        <f t="array" ref="BC923">IF($I923="","",LET(
conf,AI923,
sameN,IF(conf="Low",1,IF(conf="Medium",2,3)),
duoMax,XLOOKUP($B923,Derived_Variables!$A:$A,Derived_Variables!$AI:$AI,4),
axisTol,XLOOKUP($B923,Derived_Variables!$A:$A,Derived_Variables!$W:$W,1),
IFS(
C923="A",
IF(
 OR(
   I923="NOT_READABLE",
   I923="BLURRY",
   AND(R923="20_20_20",I923="READABLE")
 ),
 "B",
 "A"
),
C923="B",
IF(AND(AV923&gt;=AW923,I923="READABLE"),"E","B"),
C923="E",
IF(OR(I923="SAME",AD923&lt;=axisTol),"F","E"),
C923="F",
IF(AX923&gt;=sameN,"G","F"),
C923="G",
IF(OR(I923="EQUAL",BB923=1,BA923&gt;=duoMax),"D","G"),
C923="D",
IF(AND(AV923&gt;=AW923,I923="READABLE"),"H","D"),
C923="H",
IF(OR(I923="SAME",AD923&lt;=axisTol),"I","H"),
C923="I",
IF(AX923&gt;=sameN,"J","I"),
C923="J",
IF(OR(I923="EQUAL",BB923=1,BA923&gt;=duoMax),"K","J"),
C923="K",
IF(
 I923="SAME",
 IF(
   XLOOKUP($B923,Derived_Variables!$A:$A,Derived_Variables!$Q:$Q,"None")="None",
   "END",
   "P"
 ),
 "K"
),
C923="P",
IF(OR(I923="READABLE",I923="SAME"),"Q","P"),
C923="Q",
IF(OR(I923="READABLE",I923="SAME"),"R","Q"),
C923="R",
IF(OR(I923="TARGET_OK",I923="SAME"),"END","R"),
TRUE,"END"
)))</f>
        <v/>
      </c>
      <c r="BD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 t="str">
        <f t="array" ref="BC924">IF($I924="","",LET(
conf,AI924,
sameN,IF(conf="Low",1,IF(conf="Medium",2,3)),
duoMax,XLOOKUP($B924,Derived_Variables!$A:$A,Derived_Variables!$AI:$AI,4),
axisTol,XLOOKUP($B924,Derived_Variables!$A:$A,Derived_Variables!$W:$W,1),
IFS(
C924="A",
IF(
 OR(
   I924="NOT_READABLE",
   I924="BLURRY",
   AND(R924="20_20_20",I924="READABLE")
 ),
 "B",
 "A"
),
C924="B",
IF(AND(AV924&gt;=AW924,I924="READABLE"),"E","B"),
C924="E",
IF(OR(I924="SAME",AD924&lt;=axisTol),"F","E"),
C924="F",
IF(AX924&gt;=sameN,"G","F"),
C924="G",
IF(OR(I924="EQUAL",BB924=1,BA924&gt;=duoMax),"D","G"),
C924="D",
IF(AND(AV924&gt;=AW924,I924="READABLE"),"H","D"),
C924="H",
IF(OR(I924="SAME",AD924&lt;=axisTol),"I","H"),
C924="I",
IF(AX924&gt;=sameN,"J","I"),
C924="J",
IF(OR(I924="EQUAL",BB924=1,BA924&gt;=duoMax),"K","J"),
C924="K",
IF(
 I924="SAME",
 IF(
   XLOOKUP($B924,Derived_Variables!$A:$A,Derived_Variables!$Q:$Q,"None")="None",
   "END",
   "P"
 ),
 "K"
),
C924="P",
IF(OR(I924="READABLE",I924="SAME"),"Q","P"),
C924="Q",
IF(OR(I924="READABLE",I924="SAME"),"R","Q"),
C924="R",
IF(OR(I924="TARGET_OK",I924="SAME"),"END","R"),
TRUE,"END"
)))</f>
        <v/>
      </c>
      <c r="BD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 t="str">
        <f t="array" ref="BC925">IF($I925="","",LET(
conf,AI925,
sameN,IF(conf="Low",1,IF(conf="Medium",2,3)),
duoMax,XLOOKUP($B925,Derived_Variables!$A:$A,Derived_Variables!$AI:$AI,4),
axisTol,XLOOKUP($B925,Derived_Variables!$A:$A,Derived_Variables!$W:$W,1),
IFS(
C925="A",
IF(
 OR(
   I925="NOT_READABLE",
   I925="BLURRY",
   AND(R925="20_20_20",I925="READABLE")
 ),
 "B",
 "A"
),
C925="B",
IF(AND(AV925&gt;=AW925,I925="READABLE"),"E","B"),
C925="E",
IF(OR(I925="SAME",AD925&lt;=axisTol),"F","E"),
C925="F",
IF(AX925&gt;=sameN,"G","F"),
C925="G",
IF(OR(I925="EQUAL",BB925=1,BA925&gt;=duoMax),"D","G"),
C925="D",
IF(AND(AV925&gt;=AW925,I925="READABLE"),"H","D"),
C925="H",
IF(OR(I925="SAME",AD925&lt;=axisTol),"I","H"),
C925="I",
IF(AX925&gt;=sameN,"J","I"),
C925="J",
IF(OR(I925="EQUAL",BB925=1,BA925&gt;=duoMax),"K","J"),
C925="K",
IF(
 I925="SAME",
 IF(
   XLOOKUP($B925,Derived_Variables!$A:$A,Derived_Variables!$Q:$Q,"None")="None",
   "END",
   "P"
 ),
 "K"
),
C925="P",
IF(OR(I925="READABLE",I925="SAME"),"Q","P"),
C925="Q",
IF(OR(I925="READABLE",I925="SAME"),"R","Q"),
C925="R",
IF(OR(I925="TARGET_OK",I925="SAME"),"END","R"),
TRUE,"END"
)))</f>
        <v/>
      </c>
      <c r="BD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 t="str">
        <f t="array" ref="BC926">IF($I926="","",LET(
conf,AI926,
sameN,IF(conf="Low",1,IF(conf="Medium",2,3)),
duoMax,XLOOKUP($B926,Derived_Variables!$A:$A,Derived_Variables!$AI:$AI,4),
axisTol,XLOOKUP($B926,Derived_Variables!$A:$A,Derived_Variables!$W:$W,1),
IFS(
C926="A",
IF(
 OR(
   I926="NOT_READABLE",
   I926="BLURRY",
   AND(R926="20_20_20",I926="READABLE")
 ),
 "B",
 "A"
),
C926="B",
IF(AND(AV926&gt;=AW926,I926="READABLE"),"E","B"),
C926="E",
IF(OR(I926="SAME",AD926&lt;=axisTol),"F","E"),
C926="F",
IF(AX926&gt;=sameN,"G","F"),
C926="G",
IF(OR(I926="EQUAL",BB926=1,BA926&gt;=duoMax),"D","G"),
C926="D",
IF(AND(AV926&gt;=AW926,I926="READABLE"),"H","D"),
C926="H",
IF(OR(I926="SAME",AD926&lt;=axisTol),"I","H"),
C926="I",
IF(AX926&gt;=sameN,"J","I"),
C926="J",
IF(OR(I926="EQUAL",BB926=1,BA926&gt;=duoMax),"K","J"),
C926="K",
IF(
 I926="SAME",
 IF(
   XLOOKUP($B926,Derived_Variables!$A:$A,Derived_Variables!$Q:$Q,"None")="None",
   "END",
   "P"
 ),
 "K"
),
C926="P",
IF(OR(I926="READABLE",I926="SAME"),"Q","P"),
C926="Q",
IF(OR(I926="READABLE",I926="SAME"),"R","Q"),
C926="R",
IF(OR(I926="TARGET_OK",I926="SAME"),"END","R"),
TRUE,"END"
)))</f>
        <v/>
      </c>
      <c r="BD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 t="str">
        <f t="array" ref="BC927">IF($I927="","",LET(
conf,AI927,
sameN,IF(conf="Low",1,IF(conf="Medium",2,3)),
duoMax,XLOOKUP($B927,Derived_Variables!$A:$A,Derived_Variables!$AI:$AI,4),
axisTol,XLOOKUP($B927,Derived_Variables!$A:$A,Derived_Variables!$W:$W,1),
IFS(
C927="A",
IF(
 OR(
   I927="NOT_READABLE",
   I927="BLURRY",
   AND(R927="20_20_20",I927="READABLE")
 ),
 "B",
 "A"
),
C927="B",
IF(AND(AV927&gt;=AW927,I927="READABLE"),"E","B"),
C927="E",
IF(OR(I927="SAME",AD927&lt;=axisTol),"F","E"),
C927="F",
IF(AX927&gt;=sameN,"G","F"),
C927="G",
IF(OR(I927="EQUAL",BB927=1,BA927&gt;=duoMax),"D","G"),
C927="D",
IF(AND(AV927&gt;=AW927,I927="READABLE"),"H","D"),
C927="H",
IF(OR(I927="SAME",AD927&lt;=axisTol),"I","H"),
C927="I",
IF(AX927&gt;=sameN,"J","I"),
C927="J",
IF(OR(I927="EQUAL",BB927=1,BA927&gt;=duoMax),"K","J"),
C927="K",
IF(
 I927="SAME",
 IF(
   XLOOKUP($B927,Derived_Variables!$A:$A,Derived_Variables!$Q:$Q,"None")="None",
   "END",
   "P"
 ),
 "K"
),
C927="P",
IF(OR(I927="READABLE",I927="SAME"),"Q","P"),
C927="Q",
IF(OR(I927="READABLE",I927="SAME"),"R","Q"),
C927="R",
IF(OR(I927="TARGET_OK",I927="SAME"),"END","R"),
TRUE,"END"
)))</f>
        <v/>
      </c>
      <c r="BD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 t="str">
        <f t="array" ref="BC928">IF($I928="","",LET(
conf,AI928,
sameN,IF(conf="Low",1,IF(conf="Medium",2,3)),
duoMax,XLOOKUP($B928,Derived_Variables!$A:$A,Derived_Variables!$AI:$AI,4),
axisTol,XLOOKUP($B928,Derived_Variables!$A:$A,Derived_Variables!$W:$W,1),
IFS(
C928="A",
IF(
 OR(
   I928="NOT_READABLE",
   I928="BLURRY",
   AND(R928="20_20_20",I928="READABLE")
 ),
 "B",
 "A"
),
C928="B",
IF(AND(AV928&gt;=AW928,I928="READABLE"),"E","B"),
C928="E",
IF(OR(I928="SAME",AD928&lt;=axisTol),"F","E"),
C928="F",
IF(AX928&gt;=sameN,"G","F"),
C928="G",
IF(OR(I928="EQUAL",BB928=1,BA928&gt;=duoMax),"D","G"),
C928="D",
IF(AND(AV928&gt;=AW928,I928="READABLE"),"H","D"),
C928="H",
IF(OR(I928="SAME",AD928&lt;=axisTol),"I","H"),
C928="I",
IF(AX928&gt;=sameN,"J","I"),
C928="J",
IF(OR(I928="EQUAL",BB928=1,BA928&gt;=duoMax),"K","J"),
C928="K",
IF(
 I928="SAME",
 IF(
   XLOOKUP($B928,Derived_Variables!$A:$A,Derived_Variables!$Q:$Q,"None")="None",
   "END",
   "P"
 ),
 "K"
),
C928="P",
IF(OR(I928="READABLE",I928="SAME"),"Q","P"),
C928="Q",
IF(OR(I928="READABLE",I928="SAME"),"R","Q"),
C928="R",
IF(OR(I928="TARGET_OK",I928="SAME"),"END","R"),
TRUE,"END"
)))</f>
        <v/>
      </c>
      <c r="BD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 t="str">
        <f t="array" ref="BC929">IF($I929="","",LET(
conf,AI929,
sameN,IF(conf="Low",1,IF(conf="Medium",2,3)),
duoMax,XLOOKUP($B929,Derived_Variables!$A:$A,Derived_Variables!$AI:$AI,4),
axisTol,XLOOKUP($B929,Derived_Variables!$A:$A,Derived_Variables!$W:$W,1),
IFS(
C929="A",
IF(
 OR(
   I929="NOT_READABLE",
   I929="BLURRY",
   AND(R929="20_20_20",I929="READABLE")
 ),
 "B",
 "A"
),
C929="B",
IF(AND(AV929&gt;=AW929,I929="READABLE"),"E","B"),
C929="E",
IF(OR(I929="SAME",AD929&lt;=axisTol),"F","E"),
C929="F",
IF(AX929&gt;=sameN,"G","F"),
C929="G",
IF(OR(I929="EQUAL",BB929=1,BA929&gt;=duoMax),"D","G"),
C929="D",
IF(AND(AV929&gt;=AW929,I929="READABLE"),"H","D"),
C929="H",
IF(OR(I929="SAME",AD929&lt;=axisTol),"I","H"),
C929="I",
IF(AX929&gt;=sameN,"J","I"),
C929="J",
IF(OR(I929="EQUAL",BB929=1,BA929&gt;=duoMax),"K","J"),
C929="K",
IF(
 I929="SAME",
 IF(
   XLOOKUP($B929,Derived_Variables!$A:$A,Derived_Variables!$Q:$Q,"None")="None",
   "END",
   "P"
 ),
 "K"
),
C929="P",
IF(OR(I929="READABLE",I929="SAME"),"Q","P"),
C929="Q",
IF(OR(I929="READABLE",I929="SAME"),"R","Q"),
C929="R",
IF(OR(I929="TARGET_OK",I929="SAME"),"END","R"),
TRUE,"END"
)))</f>
        <v/>
      </c>
      <c r="BD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 t="str">
        <f t="array" ref="BC930">IF($I930="","",LET(
conf,AI930,
sameN,IF(conf="Low",1,IF(conf="Medium",2,3)),
duoMax,XLOOKUP($B930,Derived_Variables!$A:$A,Derived_Variables!$AI:$AI,4),
axisTol,XLOOKUP($B930,Derived_Variables!$A:$A,Derived_Variables!$W:$W,1),
IFS(
C930="A",
IF(
 OR(
   I930="NOT_READABLE",
   I930="BLURRY",
   AND(R930="20_20_20",I930="READABLE")
 ),
 "B",
 "A"
),
C930="B",
IF(AND(AV930&gt;=AW930,I930="READABLE"),"E","B"),
C930="E",
IF(OR(I930="SAME",AD930&lt;=axisTol),"F","E"),
C930="F",
IF(AX930&gt;=sameN,"G","F"),
C930="G",
IF(OR(I930="EQUAL",BB930=1,BA930&gt;=duoMax),"D","G"),
C930="D",
IF(AND(AV930&gt;=AW930,I930="READABLE"),"H","D"),
C930="H",
IF(OR(I930="SAME",AD930&lt;=axisTol),"I","H"),
C930="I",
IF(AX930&gt;=sameN,"J","I"),
C930="J",
IF(OR(I930="EQUAL",BB930=1,BA930&gt;=duoMax),"K","J"),
C930="K",
IF(
 I930="SAME",
 IF(
   XLOOKUP($B930,Derived_Variables!$A:$A,Derived_Variables!$Q:$Q,"None")="None",
   "END",
   "P"
 ),
 "K"
),
C930="P",
IF(OR(I930="READABLE",I930="SAME"),"Q","P"),
C930="Q",
IF(OR(I930="READABLE",I930="SAME"),"R","Q"),
C930="R",
IF(OR(I930="TARGET_OK",I930="SAME"),"END","R"),
TRUE,"END"
)))</f>
        <v/>
      </c>
      <c r="BD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 t="str">
        <f t="array" ref="BC931">IF($I931="","",LET(
conf,AI931,
sameN,IF(conf="Low",1,IF(conf="Medium",2,3)),
duoMax,XLOOKUP($B931,Derived_Variables!$A:$A,Derived_Variables!$AI:$AI,4),
axisTol,XLOOKUP($B931,Derived_Variables!$A:$A,Derived_Variables!$W:$W,1),
IFS(
C931="A",
IF(
 OR(
   I931="NOT_READABLE",
   I931="BLURRY",
   AND(R931="20_20_20",I931="READABLE")
 ),
 "B",
 "A"
),
C931="B",
IF(AND(AV931&gt;=AW931,I931="READABLE"),"E","B"),
C931="E",
IF(OR(I931="SAME",AD931&lt;=axisTol),"F","E"),
C931="F",
IF(AX931&gt;=sameN,"G","F"),
C931="G",
IF(OR(I931="EQUAL",BB931=1,BA931&gt;=duoMax),"D","G"),
C931="D",
IF(AND(AV931&gt;=AW931,I931="READABLE"),"H","D"),
C931="H",
IF(OR(I931="SAME",AD931&lt;=axisTol),"I","H"),
C931="I",
IF(AX931&gt;=sameN,"J","I"),
C931="J",
IF(OR(I931="EQUAL",BB931=1,BA931&gt;=duoMax),"K","J"),
C931="K",
IF(
 I931="SAME",
 IF(
   XLOOKUP($B931,Derived_Variables!$A:$A,Derived_Variables!$Q:$Q,"None")="None",
   "END",
   "P"
 ),
 "K"
),
C931="P",
IF(OR(I931="READABLE",I931="SAME"),"Q","P"),
C931="Q",
IF(OR(I931="READABLE",I931="SAME"),"R","Q"),
C931="R",
IF(OR(I931="TARGET_OK",I931="SAME"),"END","R"),
TRUE,"END"
)))</f>
        <v/>
      </c>
      <c r="BD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 t="str">
        <f t="array" ref="BC932">IF($I932="","",LET(
conf,AI932,
sameN,IF(conf="Low",1,IF(conf="Medium",2,3)),
duoMax,XLOOKUP($B932,Derived_Variables!$A:$A,Derived_Variables!$AI:$AI,4),
axisTol,XLOOKUP($B932,Derived_Variables!$A:$A,Derived_Variables!$W:$W,1),
IFS(
C932="A",
IF(
 OR(
   I932="NOT_READABLE",
   I932="BLURRY",
   AND(R932="20_20_20",I932="READABLE")
 ),
 "B",
 "A"
),
C932="B",
IF(AND(AV932&gt;=AW932,I932="READABLE"),"E","B"),
C932="E",
IF(OR(I932="SAME",AD932&lt;=axisTol),"F","E"),
C932="F",
IF(AX932&gt;=sameN,"G","F"),
C932="G",
IF(OR(I932="EQUAL",BB932=1,BA932&gt;=duoMax),"D","G"),
C932="D",
IF(AND(AV932&gt;=AW932,I932="READABLE"),"H","D"),
C932="H",
IF(OR(I932="SAME",AD932&lt;=axisTol),"I","H"),
C932="I",
IF(AX932&gt;=sameN,"J","I"),
C932="J",
IF(OR(I932="EQUAL",BB932=1,BA932&gt;=duoMax),"K","J"),
C932="K",
IF(
 I932="SAME",
 IF(
   XLOOKUP($B932,Derived_Variables!$A:$A,Derived_Variables!$Q:$Q,"None")="None",
   "END",
   "P"
 ),
 "K"
),
C932="P",
IF(OR(I932="READABLE",I932="SAME"),"Q","P"),
C932="Q",
IF(OR(I932="READABLE",I932="SAME"),"R","Q"),
C932="R",
IF(OR(I932="TARGET_OK",I932="SAME"),"END","R"),
TRUE,"END"
)))</f>
        <v/>
      </c>
      <c r="BD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 t="str">
        <f t="array" ref="BC933">IF($I933="","",LET(
conf,AI933,
sameN,IF(conf="Low",1,IF(conf="Medium",2,3)),
duoMax,XLOOKUP($B933,Derived_Variables!$A:$A,Derived_Variables!$AI:$AI,4),
axisTol,XLOOKUP($B933,Derived_Variables!$A:$A,Derived_Variables!$W:$W,1),
IFS(
C933="A",
IF(
 OR(
   I933="NOT_READABLE",
   I933="BLURRY",
   AND(R933="20_20_20",I933="READABLE")
 ),
 "B",
 "A"
),
C933="B",
IF(AND(AV933&gt;=AW933,I933="READABLE"),"E","B"),
C933="E",
IF(OR(I933="SAME",AD933&lt;=axisTol),"F","E"),
C933="F",
IF(AX933&gt;=sameN,"G","F"),
C933="G",
IF(OR(I933="EQUAL",BB933=1,BA933&gt;=duoMax),"D","G"),
C933="D",
IF(AND(AV933&gt;=AW933,I933="READABLE"),"H","D"),
C933="H",
IF(OR(I933="SAME",AD933&lt;=axisTol),"I","H"),
C933="I",
IF(AX933&gt;=sameN,"J","I"),
C933="J",
IF(OR(I933="EQUAL",BB933=1,BA933&gt;=duoMax),"K","J"),
C933="K",
IF(
 I933="SAME",
 IF(
   XLOOKUP($B933,Derived_Variables!$A:$A,Derived_Variables!$Q:$Q,"None")="None",
   "END",
   "P"
 ),
 "K"
),
C933="P",
IF(OR(I933="READABLE",I933="SAME"),"Q","P"),
C933="Q",
IF(OR(I933="READABLE",I933="SAME"),"R","Q"),
C933="R",
IF(OR(I933="TARGET_OK",I933="SAME"),"END","R"),
TRUE,"END"
)))</f>
        <v/>
      </c>
      <c r="BD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 t="str">
        <f t="array" ref="BC934">IF($I934="","",LET(
conf,AI934,
sameN,IF(conf="Low",1,IF(conf="Medium",2,3)),
duoMax,XLOOKUP($B934,Derived_Variables!$A:$A,Derived_Variables!$AI:$AI,4),
axisTol,XLOOKUP($B934,Derived_Variables!$A:$A,Derived_Variables!$W:$W,1),
IFS(
C934="A",
IF(
 OR(
   I934="NOT_READABLE",
   I934="BLURRY",
   AND(R934="20_20_20",I934="READABLE")
 ),
 "B",
 "A"
),
C934="B",
IF(AND(AV934&gt;=AW934,I934="READABLE"),"E","B"),
C934="E",
IF(OR(I934="SAME",AD934&lt;=axisTol),"F","E"),
C934="F",
IF(AX934&gt;=sameN,"G","F"),
C934="G",
IF(OR(I934="EQUAL",BB934=1,BA934&gt;=duoMax),"D","G"),
C934="D",
IF(AND(AV934&gt;=AW934,I934="READABLE"),"H","D"),
C934="H",
IF(OR(I934="SAME",AD934&lt;=axisTol),"I","H"),
C934="I",
IF(AX934&gt;=sameN,"J","I"),
C934="J",
IF(OR(I934="EQUAL",BB934=1,BA934&gt;=duoMax),"K","J"),
C934="K",
IF(
 I934="SAME",
 IF(
   XLOOKUP($B934,Derived_Variables!$A:$A,Derived_Variables!$Q:$Q,"None")="None",
   "END",
   "P"
 ),
 "K"
),
C934="P",
IF(OR(I934="READABLE",I934="SAME"),"Q","P"),
C934="Q",
IF(OR(I934="READABLE",I934="SAME"),"R","Q"),
C934="R",
IF(OR(I934="TARGET_OK",I934="SAME"),"END","R"),
TRUE,"END"
)))</f>
        <v/>
      </c>
      <c r="BD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 t="str">
        <f t="array" ref="BC935">IF($I935="","",LET(
conf,AI935,
sameN,IF(conf="Low",1,IF(conf="Medium",2,3)),
duoMax,XLOOKUP($B935,Derived_Variables!$A:$A,Derived_Variables!$AI:$AI,4),
axisTol,XLOOKUP($B935,Derived_Variables!$A:$A,Derived_Variables!$W:$W,1),
IFS(
C935="A",
IF(
 OR(
   I935="NOT_READABLE",
   I935="BLURRY",
   AND(R935="20_20_20",I935="READABLE")
 ),
 "B",
 "A"
),
C935="B",
IF(AND(AV935&gt;=AW935,I935="READABLE"),"E","B"),
C935="E",
IF(OR(I935="SAME",AD935&lt;=axisTol),"F","E"),
C935="F",
IF(AX935&gt;=sameN,"G","F"),
C935="G",
IF(OR(I935="EQUAL",BB935=1,BA935&gt;=duoMax),"D","G"),
C935="D",
IF(AND(AV935&gt;=AW935,I935="READABLE"),"H","D"),
C935="H",
IF(OR(I935="SAME",AD935&lt;=axisTol),"I","H"),
C935="I",
IF(AX935&gt;=sameN,"J","I"),
C935="J",
IF(OR(I935="EQUAL",BB935=1,BA935&gt;=duoMax),"K","J"),
C935="K",
IF(
 I935="SAME",
 IF(
   XLOOKUP($B935,Derived_Variables!$A:$A,Derived_Variables!$Q:$Q,"None")="None",
   "END",
   "P"
 ),
 "K"
),
C935="P",
IF(OR(I935="READABLE",I935="SAME"),"Q","P"),
C935="Q",
IF(OR(I935="READABLE",I935="SAME"),"R","Q"),
C935="R",
IF(OR(I935="TARGET_OK",I935="SAME"),"END","R"),
TRUE,"END"
)))</f>
        <v/>
      </c>
      <c r="BD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 t="str">
        <f t="array" ref="BC936">IF($I936="","",LET(
conf,AI936,
sameN,IF(conf="Low",1,IF(conf="Medium",2,3)),
duoMax,XLOOKUP($B936,Derived_Variables!$A:$A,Derived_Variables!$AI:$AI,4),
axisTol,XLOOKUP($B936,Derived_Variables!$A:$A,Derived_Variables!$W:$W,1),
IFS(
C936="A",
IF(
 OR(
   I936="NOT_READABLE",
   I936="BLURRY",
   AND(R936="20_20_20",I936="READABLE")
 ),
 "B",
 "A"
),
C936="B",
IF(AND(AV936&gt;=AW936,I936="READABLE"),"E","B"),
C936="E",
IF(OR(I936="SAME",AD936&lt;=axisTol),"F","E"),
C936="F",
IF(AX936&gt;=sameN,"G","F"),
C936="G",
IF(OR(I936="EQUAL",BB936=1,BA936&gt;=duoMax),"D","G"),
C936="D",
IF(AND(AV936&gt;=AW936,I936="READABLE"),"H","D"),
C936="H",
IF(OR(I936="SAME",AD936&lt;=axisTol),"I","H"),
C936="I",
IF(AX936&gt;=sameN,"J","I"),
C936="J",
IF(OR(I936="EQUAL",BB936=1,BA936&gt;=duoMax),"K","J"),
C936="K",
IF(
 I936="SAME",
 IF(
   XLOOKUP($B936,Derived_Variables!$A:$A,Derived_Variables!$Q:$Q,"None")="None",
   "END",
   "P"
 ),
 "K"
),
C936="P",
IF(OR(I936="READABLE",I936="SAME"),"Q","P"),
C936="Q",
IF(OR(I936="READABLE",I936="SAME"),"R","Q"),
C936="R",
IF(OR(I936="TARGET_OK",I936="SAME"),"END","R"),
TRUE,"END"
)))</f>
        <v/>
      </c>
      <c r="BD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 t="str">
        <f t="array" ref="BC937">IF($I937="","",LET(
conf,AI937,
sameN,IF(conf="Low",1,IF(conf="Medium",2,3)),
duoMax,XLOOKUP($B937,Derived_Variables!$A:$A,Derived_Variables!$AI:$AI,4),
axisTol,XLOOKUP($B937,Derived_Variables!$A:$A,Derived_Variables!$W:$W,1),
IFS(
C937="A",
IF(
 OR(
   I937="NOT_READABLE",
   I937="BLURRY",
   AND(R937="20_20_20",I937="READABLE")
 ),
 "B",
 "A"
),
C937="B",
IF(AND(AV937&gt;=AW937,I937="READABLE"),"E","B"),
C937="E",
IF(OR(I937="SAME",AD937&lt;=axisTol),"F","E"),
C937="F",
IF(AX937&gt;=sameN,"G","F"),
C937="G",
IF(OR(I937="EQUAL",BB937=1,BA937&gt;=duoMax),"D","G"),
C937="D",
IF(AND(AV937&gt;=AW937,I937="READABLE"),"H","D"),
C937="H",
IF(OR(I937="SAME",AD937&lt;=axisTol),"I","H"),
C937="I",
IF(AX937&gt;=sameN,"J","I"),
C937="J",
IF(OR(I937="EQUAL",BB937=1,BA937&gt;=duoMax),"K","J"),
C937="K",
IF(
 I937="SAME",
 IF(
   XLOOKUP($B937,Derived_Variables!$A:$A,Derived_Variables!$Q:$Q,"None")="None",
   "END",
   "P"
 ),
 "K"
),
C937="P",
IF(OR(I937="READABLE",I937="SAME"),"Q","P"),
C937="Q",
IF(OR(I937="READABLE",I937="SAME"),"R","Q"),
C937="R",
IF(OR(I937="TARGET_OK",I937="SAME"),"END","R"),
TRUE,"END"
)))</f>
        <v/>
      </c>
      <c r="BD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 t="str">
        <f t="array" ref="BC938">IF($I938="","",LET(
conf,AI938,
sameN,IF(conf="Low",1,IF(conf="Medium",2,3)),
duoMax,XLOOKUP($B938,Derived_Variables!$A:$A,Derived_Variables!$AI:$AI,4),
axisTol,XLOOKUP($B938,Derived_Variables!$A:$A,Derived_Variables!$W:$W,1),
IFS(
C938="A",
IF(
 OR(
   I938="NOT_READABLE",
   I938="BLURRY",
   AND(R938="20_20_20",I938="READABLE")
 ),
 "B",
 "A"
),
C938="B",
IF(AND(AV938&gt;=AW938,I938="READABLE"),"E","B"),
C938="E",
IF(OR(I938="SAME",AD938&lt;=axisTol),"F","E"),
C938="F",
IF(AX938&gt;=sameN,"G","F"),
C938="G",
IF(OR(I938="EQUAL",BB938=1,BA938&gt;=duoMax),"D","G"),
C938="D",
IF(AND(AV938&gt;=AW938,I938="READABLE"),"H","D"),
C938="H",
IF(OR(I938="SAME",AD938&lt;=axisTol),"I","H"),
C938="I",
IF(AX938&gt;=sameN,"J","I"),
C938="J",
IF(OR(I938="EQUAL",BB938=1,BA938&gt;=duoMax),"K","J"),
C938="K",
IF(
 I938="SAME",
 IF(
   XLOOKUP($B938,Derived_Variables!$A:$A,Derived_Variables!$Q:$Q,"None")="None",
   "END",
   "P"
 ),
 "K"
),
C938="P",
IF(OR(I938="READABLE",I938="SAME"),"Q","P"),
C938="Q",
IF(OR(I938="READABLE",I938="SAME"),"R","Q"),
C938="R",
IF(OR(I938="TARGET_OK",I938="SAME"),"END","R"),
TRUE,"END"
)))</f>
        <v/>
      </c>
      <c r="BD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 t="str">
        <f t="array" ref="BC939">IF($I939="","",LET(
conf,AI939,
sameN,IF(conf="Low",1,IF(conf="Medium",2,3)),
duoMax,XLOOKUP($B939,Derived_Variables!$A:$A,Derived_Variables!$AI:$AI,4),
axisTol,XLOOKUP($B939,Derived_Variables!$A:$A,Derived_Variables!$W:$W,1),
IFS(
C939="A",
IF(
 OR(
   I939="NOT_READABLE",
   I939="BLURRY",
   AND(R939="20_20_20",I939="READABLE")
 ),
 "B",
 "A"
),
C939="B",
IF(AND(AV939&gt;=AW939,I939="READABLE"),"E","B"),
C939="E",
IF(OR(I939="SAME",AD939&lt;=axisTol),"F","E"),
C939="F",
IF(AX939&gt;=sameN,"G","F"),
C939="G",
IF(OR(I939="EQUAL",BB939=1,BA939&gt;=duoMax),"D","G"),
C939="D",
IF(AND(AV939&gt;=AW939,I939="READABLE"),"H","D"),
C939="H",
IF(OR(I939="SAME",AD939&lt;=axisTol),"I","H"),
C939="I",
IF(AX939&gt;=sameN,"J","I"),
C939="J",
IF(OR(I939="EQUAL",BB939=1,BA939&gt;=duoMax),"K","J"),
C939="K",
IF(
 I939="SAME",
 IF(
   XLOOKUP($B939,Derived_Variables!$A:$A,Derived_Variables!$Q:$Q,"None")="None",
   "END",
   "P"
 ),
 "K"
),
C939="P",
IF(OR(I939="READABLE",I939="SAME"),"Q","P"),
C939="Q",
IF(OR(I939="READABLE",I939="SAME"),"R","Q"),
C939="R",
IF(OR(I939="TARGET_OK",I939="SAME"),"END","R"),
TRUE,"END"
)))</f>
        <v/>
      </c>
      <c r="BD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 t="str">
        <f t="array" ref="BC940">IF($I940="","",LET(
conf,AI940,
sameN,IF(conf="Low",1,IF(conf="Medium",2,3)),
duoMax,XLOOKUP($B940,Derived_Variables!$A:$A,Derived_Variables!$AI:$AI,4),
axisTol,XLOOKUP($B940,Derived_Variables!$A:$A,Derived_Variables!$W:$W,1),
IFS(
C940="A",
IF(
 OR(
   I940="NOT_READABLE",
   I940="BLURRY",
   AND(R940="20_20_20",I940="READABLE")
 ),
 "B",
 "A"
),
C940="B",
IF(AND(AV940&gt;=AW940,I940="READABLE"),"E","B"),
C940="E",
IF(OR(I940="SAME",AD940&lt;=axisTol),"F","E"),
C940="F",
IF(AX940&gt;=sameN,"G","F"),
C940="G",
IF(OR(I940="EQUAL",BB940=1,BA940&gt;=duoMax),"D","G"),
C940="D",
IF(AND(AV940&gt;=AW940,I940="READABLE"),"H","D"),
C940="H",
IF(OR(I940="SAME",AD940&lt;=axisTol),"I","H"),
C940="I",
IF(AX940&gt;=sameN,"J","I"),
C940="J",
IF(OR(I940="EQUAL",BB940=1,BA940&gt;=duoMax),"K","J"),
C940="K",
IF(
 I940="SAME",
 IF(
   XLOOKUP($B940,Derived_Variables!$A:$A,Derived_Variables!$Q:$Q,"None")="None",
   "END",
   "P"
 ),
 "K"
),
C940="P",
IF(OR(I940="READABLE",I940="SAME"),"Q","P"),
C940="Q",
IF(OR(I940="READABLE",I940="SAME"),"R","Q"),
C940="R",
IF(OR(I940="TARGET_OK",I940="SAME"),"END","R"),
TRUE,"END"
)))</f>
        <v/>
      </c>
      <c r="BD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 t="str">
        <f t="array" ref="BC941">IF($I941="","",LET(
conf,AI941,
sameN,IF(conf="Low",1,IF(conf="Medium",2,3)),
duoMax,XLOOKUP($B941,Derived_Variables!$A:$A,Derived_Variables!$AI:$AI,4),
axisTol,XLOOKUP($B941,Derived_Variables!$A:$A,Derived_Variables!$W:$W,1),
IFS(
C941="A",
IF(
 OR(
   I941="NOT_READABLE",
   I941="BLURRY",
   AND(R941="20_20_20",I941="READABLE")
 ),
 "B",
 "A"
),
C941="B",
IF(AND(AV941&gt;=AW941,I941="READABLE"),"E","B"),
C941="E",
IF(OR(I941="SAME",AD941&lt;=axisTol),"F","E"),
C941="F",
IF(AX941&gt;=sameN,"G","F"),
C941="G",
IF(OR(I941="EQUAL",BB941=1,BA941&gt;=duoMax),"D","G"),
C941="D",
IF(AND(AV941&gt;=AW941,I941="READABLE"),"H","D"),
C941="H",
IF(OR(I941="SAME",AD941&lt;=axisTol),"I","H"),
C941="I",
IF(AX941&gt;=sameN,"J","I"),
C941="J",
IF(OR(I941="EQUAL",BB941=1,BA941&gt;=duoMax),"K","J"),
C941="K",
IF(
 I941="SAME",
 IF(
   XLOOKUP($B941,Derived_Variables!$A:$A,Derived_Variables!$Q:$Q,"None")="None",
   "END",
   "P"
 ),
 "K"
),
C941="P",
IF(OR(I941="READABLE",I941="SAME"),"Q","P"),
C941="Q",
IF(OR(I941="READABLE",I941="SAME"),"R","Q"),
C941="R",
IF(OR(I941="TARGET_OK",I941="SAME"),"END","R"),
TRUE,"END"
)))</f>
        <v/>
      </c>
      <c r="BD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 t="str">
        <f t="array" ref="BC942">IF($I942="","",LET(
conf,AI942,
sameN,IF(conf="Low",1,IF(conf="Medium",2,3)),
duoMax,XLOOKUP($B942,Derived_Variables!$A:$A,Derived_Variables!$AI:$AI,4),
axisTol,XLOOKUP($B942,Derived_Variables!$A:$A,Derived_Variables!$W:$W,1),
IFS(
C942="A",
IF(
 OR(
   I942="NOT_READABLE",
   I942="BLURRY",
   AND(R942="20_20_20",I942="READABLE")
 ),
 "B",
 "A"
),
C942="B",
IF(AND(AV942&gt;=AW942,I942="READABLE"),"E","B"),
C942="E",
IF(OR(I942="SAME",AD942&lt;=axisTol),"F","E"),
C942="F",
IF(AX942&gt;=sameN,"G","F"),
C942="G",
IF(OR(I942="EQUAL",BB942=1,BA942&gt;=duoMax),"D","G"),
C942="D",
IF(AND(AV942&gt;=AW942,I942="READABLE"),"H","D"),
C942="H",
IF(OR(I942="SAME",AD942&lt;=axisTol),"I","H"),
C942="I",
IF(AX942&gt;=sameN,"J","I"),
C942="J",
IF(OR(I942="EQUAL",BB942=1,BA942&gt;=duoMax),"K","J"),
C942="K",
IF(
 I942="SAME",
 IF(
   XLOOKUP($B942,Derived_Variables!$A:$A,Derived_Variables!$Q:$Q,"None")="None",
   "END",
   "P"
 ),
 "K"
),
C942="P",
IF(OR(I942="READABLE",I942="SAME"),"Q","P"),
C942="Q",
IF(OR(I942="READABLE",I942="SAME"),"R","Q"),
C942="R",
IF(OR(I942="TARGET_OK",I942="SAME"),"END","R"),
TRUE,"END"
)))</f>
        <v/>
      </c>
      <c r="BD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 t="str">
        <f t="array" ref="BC943">IF($I943="","",LET(
conf,AI943,
sameN,IF(conf="Low",1,IF(conf="Medium",2,3)),
duoMax,XLOOKUP($B943,Derived_Variables!$A:$A,Derived_Variables!$AI:$AI,4),
axisTol,XLOOKUP($B943,Derived_Variables!$A:$A,Derived_Variables!$W:$W,1),
IFS(
C943="A",
IF(
 OR(
   I943="NOT_READABLE",
   I943="BLURRY",
   AND(R943="20_20_20",I943="READABLE")
 ),
 "B",
 "A"
),
C943="B",
IF(AND(AV943&gt;=AW943,I943="READABLE"),"E","B"),
C943="E",
IF(OR(I943="SAME",AD943&lt;=axisTol),"F","E"),
C943="F",
IF(AX943&gt;=sameN,"G","F"),
C943="G",
IF(OR(I943="EQUAL",BB943=1,BA943&gt;=duoMax),"D","G"),
C943="D",
IF(AND(AV943&gt;=AW943,I943="READABLE"),"H","D"),
C943="H",
IF(OR(I943="SAME",AD943&lt;=axisTol),"I","H"),
C943="I",
IF(AX943&gt;=sameN,"J","I"),
C943="J",
IF(OR(I943="EQUAL",BB943=1,BA943&gt;=duoMax),"K","J"),
C943="K",
IF(
 I943="SAME",
 IF(
   XLOOKUP($B943,Derived_Variables!$A:$A,Derived_Variables!$Q:$Q,"None")="None",
   "END",
   "P"
 ),
 "K"
),
C943="P",
IF(OR(I943="READABLE",I943="SAME"),"Q","P"),
C943="Q",
IF(OR(I943="READABLE",I943="SAME"),"R","Q"),
C943="R",
IF(OR(I943="TARGET_OK",I943="SAME"),"END","R"),
TRUE,"END"
)))</f>
        <v/>
      </c>
      <c r="BD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 t="str">
        <f t="array" ref="BC944">IF($I944="","",LET(
conf,AI944,
sameN,IF(conf="Low",1,IF(conf="Medium",2,3)),
duoMax,XLOOKUP($B944,Derived_Variables!$A:$A,Derived_Variables!$AI:$AI,4),
axisTol,XLOOKUP($B944,Derived_Variables!$A:$A,Derived_Variables!$W:$W,1),
IFS(
C944="A",
IF(
 OR(
   I944="NOT_READABLE",
   I944="BLURRY",
   AND(R944="20_20_20",I944="READABLE")
 ),
 "B",
 "A"
),
C944="B",
IF(AND(AV944&gt;=AW944,I944="READABLE"),"E","B"),
C944="E",
IF(OR(I944="SAME",AD944&lt;=axisTol),"F","E"),
C944="F",
IF(AX944&gt;=sameN,"G","F"),
C944="G",
IF(OR(I944="EQUAL",BB944=1,BA944&gt;=duoMax),"D","G"),
C944="D",
IF(AND(AV944&gt;=AW944,I944="READABLE"),"H","D"),
C944="H",
IF(OR(I944="SAME",AD944&lt;=axisTol),"I","H"),
C944="I",
IF(AX944&gt;=sameN,"J","I"),
C944="J",
IF(OR(I944="EQUAL",BB944=1,BA944&gt;=duoMax),"K","J"),
C944="K",
IF(
 I944="SAME",
 IF(
   XLOOKUP($B944,Derived_Variables!$A:$A,Derived_Variables!$Q:$Q,"None")="None",
   "END",
   "P"
 ),
 "K"
),
C944="P",
IF(OR(I944="READABLE",I944="SAME"),"Q","P"),
C944="Q",
IF(OR(I944="READABLE",I944="SAME"),"R","Q"),
C944="R",
IF(OR(I944="TARGET_OK",I944="SAME"),"END","R"),
TRUE,"END"
)))</f>
        <v/>
      </c>
      <c r="BD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 t="str">
        <f t="array" ref="BC945">IF($I945="","",LET(
conf,AI945,
sameN,IF(conf="Low",1,IF(conf="Medium",2,3)),
duoMax,XLOOKUP($B945,Derived_Variables!$A:$A,Derived_Variables!$AI:$AI,4),
axisTol,XLOOKUP($B945,Derived_Variables!$A:$A,Derived_Variables!$W:$W,1),
IFS(
C945="A",
IF(
 OR(
   I945="NOT_READABLE",
   I945="BLURRY",
   AND(R945="20_20_20",I945="READABLE")
 ),
 "B",
 "A"
),
C945="B",
IF(AND(AV945&gt;=AW945,I945="READABLE"),"E","B"),
C945="E",
IF(OR(I945="SAME",AD945&lt;=axisTol),"F","E"),
C945="F",
IF(AX945&gt;=sameN,"G","F"),
C945="G",
IF(OR(I945="EQUAL",BB945=1,BA945&gt;=duoMax),"D","G"),
C945="D",
IF(AND(AV945&gt;=AW945,I945="READABLE"),"H","D"),
C945="H",
IF(OR(I945="SAME",AD945&lt;=axisTol),"I","H"),
C945="I",
IF(AX945&gt;=sameN,"J","I"),
C945="J",
IF(OR(I945="EQUAL",BB945=1,BA945&gt;=duoMax),"K","J"),
C945="K",
IF(
 I945="SAME",
 IF(
   XLOOKUP($B945,Derived_Variables!$A:$A,Derived_Variables!$Q:$Q,"None")="None",
   "END",
   "P"
 ),
 "K"
),
C945="P",
IF(OR(I945="READABLE",I945="SAME"),"Q","P"),
C945="Q",
IF(OR(I945="READABLE",I945="SAME"),"R","Q"),
C945="R",
IF(OR(I945="TARGET_OK",I945="SAME"),"END","R"),
TRUE,"END"
)))</f>
        <v/>
      </c>
      <c r="BD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 t="str">
        <f t="array" ref="BC946">IF($I946="","",LET(
conf,AI946,
sameN,IF(conf="Low",1,IF(conf="Medium",2,3)),
duoMax,XLOOKUP($B946,Derived_Variables!$A:$A,Derived_Variables!$AI:$AI,4),
axisTol,XLOOKUP($B946,Derived_Variables!$A:$A,Derived_Variables!$W:$W,1),
IFS(
C946="A",
IF(
 OR(
   I946="NOT_READABLE",
   I946="BLURRY",
   AND(R946="20_20_20",I946="READABLE")
 ),
 "B",
 "A"
),
C946="B",
IF(AND(AV946&gt;=AW946,I946="READABLE"),"E","B"),
C946="E",
IF(OR(I946="SAME",AD946&lt;=axisTol),"F","E"),
C946="F",
IF(AX946&gt;=sameN,"G","F"),
C946="G",
IF(OR(I946="EQUAL",BB946=1,BA946&gt;=duoMax),"D","G"),
C946="D",
IF(AND(AV946&gt;=AW946,I946="READABLE"),"H","D"),
C946="H",
IF(OR(I946="SAME",AD946&lt;=axisTol),"I","H"),
C946="I",
IF(AX946&gt;=sameN,"J","I"),
C946="J",
IF(OR(I946="EQUAL",BB946=1,BA946&gt;=duoMax),"K","J"),
C946="K",
IF(
 I946="SAME",
 IF(
   XLOOKUP($B946,Derived_Variables!$A:$A,Derived_Variables!$Q:$Q,"None")="None",
   "END",
   "P"
 ),
 "K"
),
C946="P",
IF(OR(I946="READABLE",I946="SAME"),"Q","P"),
C946="Q",
IF(OR(I946="READABLE",I946="SAME"),"R","Q"),
C946="R",
IF(OR(I946="TARGET_OK",I946="SAME"),"END","R"),
TRUE,"END"
)))</f>
        <v/>
      </c>
      <c r="BD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 t="str">
        <f t="array" ref="BC947">IF($I947="","",LET(
conf,AI947,
sameN,IF(conf="Low",1,IF(conf="Medium",2,3)),
duoMax,XLOOKUP($B947,Derived_Variables!$A:$A,Derived_Variables!$AI:$AI,4),
axisTol,XLOOKUP($B947,Derived_Variables!$A:$A,Derived_Variables!$W:$W,1),
IFS(
C947="A",
IF(
 OR(
   I947="NOT_READABLE",
   I947="BLURRY",
   AND(R947="20_20_20",I947="READABLE")
 ),
 "B",
 "A"
),
C947="B",
IF(AND(AV947&gt;=AW947,I947="READABLE"),"E","B"),
C947="E",
IF(OR(I947="SAME",AD947&lt;=axisTol),"F","E"),
C947="F",
IF(AX947&gt;=sameN,"G","F"),
C947="G",
IF(OR(I947="EQUAL",BB947=1,BA947&gt;=duoMax),"D","G"),
C947="D",
IF(AND(AV947&gt;=AW947,I947="READABLE"),"H","D"),
C947="H",
IF(OR(I947="SAME",AD947&lt;=axisTol),"I","H"),
C947="I",
IF(AX947&gt;=sameN,"J","I"),
C947="J",
IF(OR(I947="EQUAL",BB947=1,BA947&gt;=duoMax),"K","J"),
C947="K",
IF(
 I947="SAME",
 IF(
   XLOOKUP($B947,Derived_Variables!$A:$A,Derived_Variables!$Q:$Q,"None")="None",
   "END",
   "P"
 ),
 "K"
),
C947="P",
IF(OR(I947="READABLE",I947="SAME"),"Q","P"),
C947="Q",
IF(OR(I947="READABLE",I947="SAME"),"R","Q"),
C947="R",
IF(OR(I947="TARGET_OK",I947="SAME"),"END","R"),
TRUE,"END"
)))</f>
        <v/>
      </c>
      <c r="BD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 t="str">
        <f t="array" ref="BC948">IF($I948="","",LET(
conf,AI948,
sameN,IF(conf="Low",1,IF(conf="Medium",2,3)),
duoMax,XLOOKUP($B948,Derived_Variables!$A:$A,Derived_Variables!$AI:$AI,4),
axisTol,XLOOKUP($B948,Derived_Variables!$A:$A,Derived_Variables!$W:$W,1),
IFS(
C948="A",
IF(
 OR(
   I948="NOT_READABLE",
   I948="BLURRY",
   AND(R948="20_20_20",I948="READABLE")
 ),
 "B",
 "A"
),
C948="B",
IF(AND(AV948&gt;=AW948,I948="READABLE"),"E","B"),
C948="E",
IF(OR(I948="SAME",AD948&lt;=axisTol),"F","E"),
C948="F",
IF(AX948&gt;=sameN,"G","F"),
C948="G",
IF(OR(I948="EQUAL",BB948=1,BA948&gt;=duoMax),"D","G"),
C948="D",
IF(AND(AV948&gt;=AW948,I948="READABLE"),"H","D"),
C948="H",
IF(OR(I948="SAME",AD948&lt;=axisTol),"I","H"),
C948="I",
IF(AX948&gt;=sameN,"J","I"),
C948="J",
IF(OR(I948="EQUAL",BB948=1,BA948&gt;=duoMax),"K","J"),
C948="K",
IF(
 I948="SAME",
 IF(
   XLOOKUP($B948,Derived_Variables!$A:$A,Derived_Variables!$Q:$Q,"None")="None",
   "END",
   "P"
 ),
 "K"
),
C948="P",
IF(OR(I948="READABLE",I948="SAME"),"Q","P"),
C948="Q",
IF(OR(I948="READABLE",I948="SAME"),"R","Q"),
C948="R",
IF(OR(I948="TARGET_OK",I948="SAME"),"END","R"),
TRUE,"END"
)))</f>
        <v/>
      </c>
      <c r="BD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 t="str">
        <f t="array" ref="BC949">IF($I949="","",LET(
conf,AI949,
sameN,IF(conf="Low",1,IF(conf="Medium",2,3)),
duoMax,XLOOKUP($B949,Derived_Variables!$A:$A,Derived_Variables!$AI:$AI,4),
axisTol,XLOOKUP($B949,Derived_Variables!$A:$A,Derived_Variables!$W:$W,1),
IFS(
C949="A",
IF(
 OR(
   I949="NOT_READABLE",
   I949="BLURRY",
   AND(R949="20_20_20",I949="READABLE")
 ),
 "B",
 "A"
),
C949="B",
IF(AND(AV949&gt;=AW949,I949="READABLE"),"E","B"),
C949="E",
IF(OR(I949="SAME",AD949&lt;=axisTol),"F","E"),
C949="F",
IF(AX949&gt;=sameN,"G","F"),
C949="G",
IF(OR(I949="EQUAL",BB949=1,BA949&gt;=duoMax),"D","G"),
C949="D",
IF(AND(AV949&gt;=AW949,I949="READABLE"),"H","D"),
C949="H",
IF(OR(I949="SAME",AD949&lt;=axisTol),"I","H"),
C949="I",
IF(AX949&gt;=sameN,"J","I"),
C949="J",
IF(OR(I949="EQUAL",BB949=1,BA949&gt;=duoMax),"K","J"),
C949="K",
IF(
 I949="SAME",
 IF(
   XLOOKUP($B949,Derived_Variables!$A:$A,Derived_Variables!$Q:$Q,"None")="None",
   "END",
   "P"
 ),
 "K"
),
C949="P",
IF(OR(I949="READABLE",I949="SAME"),"Q","P"),
C949="Q",
IF(OR(I949="READABLE",I949="SAME"),"R","Q"),
C949="R",
IF(OR(I949="TARGET_OK",I949="SAME"),"END","R"),
TRUE,"END"
)))</f>
        <v/>
      </c>
      <c r="BD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 t="str">
        <f t="array" ref="BC950">IF($I950="","",LET(
conf,AI950,
sameN,IF(conf="Low",1,IF(conf="Medium",2,3)),
duoMax,XLOOKUP($B950,Derived_Variables!$A:$A,Derived_Variables!$AI:$AI,4),
axisTol,XLOOKUP($B950,Derived_Variables!$A:$A,Derived_Variables!$W:$W,1),
IFS(
C950="A",
IF(
 OR(
   I950="NOT_READABLE",
   I950="BLURRY",
   AND(R950="20_20_20",I950="READABLE")
 ),
 "B",
 "A"
),
C950="B",
IF(AND(AV950&gt;=AW950,I950="READABLE"),"E","B"),
C950="E",
IF(OR(I950="SAME",AD950&lt;=axisTol),"F","E"),
C950="F",
IF(AX950&gt;=sameN,"G","F"),
C950="G",
IF(OR(I950="EQUAL",BB950=1,BA950&gt;=duoMax),"D","G"),
C950="D",
IF(AND(AV950&gt;=AW950,I950="READABLE"),"H","D"),
C950="H",
IF(OR(I950="SAME",AD950&lt;=axisTol),"I","H"),
C950="I",
IF(AX950&gt;=sameN,"J","I"),
C950="J",
IF(OR(I950="EQUAL",BB950=1,BA950&gt;=duoMax),"K","J"),
C950="K",
IF(
 I950="SAME",
 IF(
   XLOOKUP($B950,Derived_Variables!$A:$A,Derived_Variables!$Q:$Q,"None")="None",
   "END",
   "P"
 ),
 "K"
),
C950="P",
IF(OR(I950="READABLE",I950="SAME"),"Q","P"),
C950="Q",
IF(OR(I950="READABLE",I950="SAME"),"R","Q"),
C950="R",
IF(OR(I950="TARGET_OK",I950="SAME"),"END","R"),
TRUE,"END"
)))</f>
        <v/>
      </c>
      <c r="BD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 t="str">
        <f t="array" ref="BC951">IF($I951="","",LET(
conf,AI951,
sameN,IF(conf="Low",1,IF(conf="Medium",2,3)),
duoMax,XLOOKUP($B951,Derived_Variables!$A:$A,Derived_Variables!$AI:$AI,4),
axisTol,XLOOKUP($B951,Derived_Variables!$A:$A,Derived_Variables!$W:$W,1),
IFS(
C951="A",
IF(
 OR(
   I951="NOT_READABLE",
   I951="BLURRY",
   AND(R951="20_20_20",I951="READABLE")
 ),
 "B",
 "A"
),
C951="B",
IF(AND(AV951&gt;=AW951,I951="READABLE"),"E","B"),
C951="E",
IF(OR(I951="SAME",AD951&lt;=axisTol),"F","E"),
C951="F",
IF(AX951&gt;=sameN,"G","F"),
C951="G",
IF(OR(I951="EQUAL",BB951=1,BA951&gt;=duoMax),"D","G"),
C951="D",
IF(AND(AV951&gt;=AW951,I951="READABLE"),"H","D"),
C951="H",
IF(OR(I951="SAME",AD951&lt;=axisTol),"I","H"),
C951="I",
IF(AX951&gt;=sameN,"J","I"),
C951="J",
IF(OR(I951="EQUAL",BB951=1,BA951&gt;=duoMax),"K","J"),
C951="K",
IF(
 I951="SAME",
 IF(
   XLOOKUP($B951,Derived_Variables!$A:$A,Derived_Variables!$Q:$Q,"None")="None",
   "END",
   "P"
 ),
 "K"
),
C951="P",
IF(OR(I951="READABLE",I951="SAME"),"Q","P"),
C951="Q",
IF(OR(I951="READABLE",I951="SAME"),"R","Q"),
C951="R",
IF(OR(I951="TARGET_OK",I951="SAME"),"END","R"),
TRUE,"END"
)))</f>
        <v/>
      </c>
      <c r="BD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 t="str">
        <f t="array" ref="BC952">IF($I952="","",LET(
conf,AI952,
sameN,IF(conf="Low",1,IF(conf="Medium",2,3)),
duoMax,XLOOKUP($B952,Derived_Variables!$A:$A,Derived_Variables!$AI:$AI,4),
axisTol,XLOOKUP($B952,Derived_Variables!$A:$A,Derived_Variables!$W:$W,1),
IFS(
C952="A",
IF(
 OR(
   I952="NOT_READABLE",
   I952="BLURRY",
   AND(R952="20_20_20",I952="READABLE")
 ),
 "B",
 "A"
),
C952="B",
IF(AND(AV952&gt;=AW952,I952="READABLE"),"E","B"),
C952="E",
IF(OR(I952="SAME",AD952&lt;=axisTol),"F","E"),
C952="F",
IF(AX952&gt;=sameN,"G","F"),
C952="G",
IF(OR(I952="EQUAL",BB952=1,BA952&gt;=duoMax),"D","G"),
C952="D",
IF(AND(AV952&gt;=AW952,I952="READABLE"),"H","D"),
C952="H",
IF(OR(I952="SAME",AD952&lt;=axisTol),"I","H"),
C952="I",
IF(AX952&gt;=sameN,"J","I"),
C952="J",
IF(OR(I952="EQUAL",BB952=1,BA952&gt;=duoMax),"K","J"),
C952="K",
IF(
 I952="SAME",
 IF(
   XLOOKUP($B952,Derived_Variables!$A:$A,Derived_Variables!$Q:$Q,"None")="None",
   "END",
   "P"
 ),
 "K"
),
C952="P",
IF(OR(I952="READABLE",I952="SAME"),"Q","P"),
C952="Q",
IF(OR(I952="READABLE",I952="SAME"),"R","Q"),
C952="R",
IF(OR(I952="TARGET_OK",I952="SAME"),"END","R"),
TRUE,"END"
)))</f>
        <v/>
      </c>
      <c r="BD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 t="str">
        <f t="array" ref="BC953">IF($I953="","",LET(
conf,AI953,
sameN,IF(conf="Low",1,IF(conf="Medium",2,3)),
duoMax,XLOOKUP($B953,Derived_Variables!$A:$A,Derived_Variables!$AI:$AI,4),
axisTol,XLOOKUP($B953,Derived_Variables!$A:$A,Derived_Variables!$W:$W,1),
IFS(
C953="A",
IF(
 OR(
   I953="NOT_READABLE",
   I953="BLURRY",
   AND(R953="20_20_20",I953="READABLE")
 ),
 "B",
 "A"
),
C953="B",
IF(AND(AV953&gt;=AW953,I953="READABLE"),"E","B"),
C953="E",
IF(OR(I953="SAME",AD953&lt;=axisTol),"F","E"),
C953="F",
IF(AX953&gt;=sameN,"G","F"),
C953="G",
IF(OR(I953="EQUAL",BB953=1,BA953&gt;=duoMax),"D","G"),
C953="D",
IF(AND(AV953&gt;=AW953,I953="READABLE"),"H","D"),
C953="H",
IF(OR(I953="SAME",AD953&lt;=axisTol),"I","H"),
C953="I",
IF(AX953&gt;=sameN,"J","I"),
C953="J",
IF(OR(I953="EQUAL",BB953=1,BA953&gt;=duoMax),"K","J"),
C953="K",
IF(
 I953="SAME",
 IF(
   XLOOKUP($B953,Derived_Variables!$A:$A,Derived_Variables!$Q:$Q,"None")="None",
   "END",
   "P"
 ),
 "K"
),
C953="P",
IF(OR(I953="READABLE",I953="SAME"),"Q","P"),
C953="Q",
IF(OR(I953="READABLE",I953="SAME"),"R","Q"),
C953="R",
IF(OR(I953="TARGET_OK",I953="SAME"),"END","R"),
TRUE,"END"
)))</f>
        <v/>
      </c>
      <c r="BD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 t="str">
        <f t="array" ref="BC954">IF($I954="","",LET(
conf,AI954,
sameN,IF(conf="Low",1,IF(conf="Medium",2,3)),
duoMax,XLOOKUP($B954,Derived_Variables!$A:$A,Derived_Variables!$AI:$AI,4),
axisTol,XLOOKUP($B954,Derived_Variables!$A:$A,Derived_Variables!$W:$W,1),
IFS(
C954="A",
IF(
 OR(
   I954="NOT_READABLE",
   I954="BLURRY",
   AND(R954="20_20_20",I954="READABLE")
 ),
 "B",
 "A"
),
C954="B",
IF(AND(AV954&gt;=AW954,I954="READABLE"),"E","B"),
C954="E",
IF(OR(I954="SAME",AD954&lt;=axisTol),"F","E"),
C954="F",
IF(AX954&gt;=sameN,"G","F"),
C954="G",
IF(OR(I954="EQUAL",BB954=1,BA954&gt;=duoMax),"D","G"),
C954="D",
IF(AND(AV954&gt;=AW954,I954="READABLE"),"H","D"),
C954="H",
IF(OR(I954="SAME",AD954&lt;=axisTol),"I","H"),
C954="I",
IF(AX954&gt;=sameN,"J","I"),
C954="J",
IF(OR(I954="EQUAL",BB954=1,BA954&gt;=duoMax),"K","J"),
C954="K",
IF(
 I954="SAME",
 IF(
   XLOOKUP($B954,Derived_Variables!$A:$A,Derived_Variables!$Q:$Q,"None")="None",
   "END",
   "P"
 ),
 "K"
),
C954="P",
IF(OR(I954="READABLE",I954="SAME"),"Q","P"),
C954="Q",
IF(OR(I954="READABLE",I954="SAME"),"R","Q"),
C954="R",
IF(OR(I954="TARGET_OK",I954="SAME"),"END","R"),
TRUE,"END"
)))</f>
        <v/>
      </c>
      <c r="BD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 t="str">
        <f t="array" ref="BC955">IF($I955="","",LET(
conf,AI955,
sameN,IF(conf="Low",1,IF(conf="Medium",2,3)),
duoMax,XLOOKUP($B955,Derived_Variables!$A:$A,Derived_Variables!$AI:$AI,4),
axisTol,XLOOKUP($B955,Derived_Variables!$A:$A,Derived_Variables!$W:$W,1),
IFS(
C955="A",
IF(
 OR(
   I955="NOT_READABLE",
   I955="BLURRY",
   AND(R955="20_20_20",I955="READABLE")
 ),
 "B",
 "A"
),
C955="B",
IF(AND(AV955&gt;=AW955,I955="READABLE"),"E","B"),
C955="E",
IF(OR(I955="SAME",AD955&lt;=axisTol),"F","E"),
C955="F",
IF(AX955&gt;=sameN,"G","F"),
C955="G",
IF(OR(I955="EQUAL",BB955=1,BA955&gt;=duoMax),"D","G"),
C955="D",
IF(AND(AV955&gt;=AW955,I955="READABLE"),"H","D"),
C955="H",
IF(OR(I955="SAME",AD955&lt;=axisTol),"I","H"),
C955="I",
IF(AX955&gt;=sameN,"J","I"),
C955="J",
IF(OR(I955="EQUAL",BB955=1,BA955&gt;=duoMax),"K","J"),
C955="K",
IF(
 I955="SAME",
 IF(
   XLOOKUP($B955,Derived_Variables!$A:$A,Derived_Variables!$Q:$Q,"None")="None",
   "END",
   "P"
 ),
 "K"
),
C955="P",
IF(OR(I955="READABLE",I955="SAME"),"Q","P"),
C955="Q",
IF(OR(I955="READABLE",I955="SAME"),"R","Q"),
C955="R",
IF(OR(I955="TARGET_OK",I955="SAME"),"END","R"),
TRUE,"END"
)))</f>
        <v/>
      </c>
      <c r="BD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 t="str">
        <f t="array" ref="BC956">IF($I956="","",LET(
conf,AI956,
sameN,IF(conf="Low",1,IF(conf="Medium",2,3)),
duoMax,XLOOKUP($B956,Derived_Variables!$A:$A,Derived_Variables!$AI:$AI,4),
axisTol,XLOOKUP($B956,Derived_Variables!$A:$A,Derived_Variables!$W:$W,1),
IFS(
C956="A",
IF(
 OR(
   I956="NOT_READABLE",
   I956="BLURRY",
   AND(R956="20_20_20",I956="READABLE")
 ),
 "B",
 "A"
),
C956="B",
IF(AND(AV956&gt;=AW956,I956="READABLE"),"E","B"),
C956="E",
IF(OR(I956="SAME",AD956&lt;=axisTol),"F","E"),
C956="F",
IF(AX956&gt;=sameN,"G","F"),
C956="G",
IF(OR(I956="EQUAL",BB956=1,BA956&gt;=duoMax),"D","G"),
C956="D",
IF(AND(AV956&gt;=AW956,I956="READABLE"),"H","D"),
C956="H",
IF(OR(I956="SAME",AD956&lt;=axisTol),"I","H"),
C956="I",
IF(AX956&gt;=sameN,"J","I"),
C956="J",
IF(OR(I956="EQUAL",BB956=1,BA956&gt;=duoMax),"K","J"),
C956="K",
IF(
 I956="SAME",
 IF(
   XLOOKUP($B956,Derived_Variables!$A:$A,Derived_Variables!$Q:$Q,"None")="None",
   "END",
   "P"
 ),
 "K"
),
C956="P",
IF(OR(I956="READABLE",I956="SAME"),"Q","P"),
C956="Q",
IF(OR(I956="READABLE",I956="SAME"),"R","Q"),
C956="R",
IF(OR(I956="TARGET_OK",I956="SAME"),"END","R"),
TRUE,"END"
)))</f>
        <v/>
      </c>
      <c r="BD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 t="str">
        <f t="array" ref="BC957">IF($I957="","",LET(
conf,AI957,
sameN,IF(conf="Low",1,IF(conf="Medium",2,3)),
duoMax,XLOOKUP($B957,Derived_Variables!$A:$A,Derived_Variables!$AI:$AI,4),
axisTol,XLOOKUP($B957,Derived_Variables!$A:$A,Derived_Variables!$W:$W,1),
IFS(
C957="A",
IF(
 OR(
   I957="NOT_READABLE",
   I957="BLURRY",
   AND(R957="20_20_20",I957="READABLE")
 ),
 "B",
 "A"
),
C957="B",
IF(AND(AV957&gt;=AW957,I957="READABLE"),"E","B"),
C957="E",
IF(OR(I957="SAME",AD957&lt;=axisTol),"F","E"),
C957="F",
IF(AX957&gt;=sameN,"G","F"),
C957="G",
IF(OR(I957="EQUAL",BB957=1,BA957&gt;=duoMax),"D","G"),
C957="D",
IF(AND(AV957&gt;=AW957,I957="READABLE"),"H","D"),
C957="H",
IF(OR(I957="SAME",AD957&lt;=axisTol),"I","H"),
C957="I",
IF(AX957&gt;=sameN,"J","I"),
C957="J",
IF(OR(I957="EQUAL",BB957=1,BA957&gt;=duoMax),"K","J"),
C957="K",
IF(
 I957="SAME",
 IF(
   XLOOKUP($B957,Derived_Variables!$A:$A,Derived_Variables!$Q:$Q,"None")="None",
   "END",
   "P"
 ),
 "K"
),
C957="P",
IF(OR(I957="READABLE",I957="SAME"),"Q","P"),
C957="Q",
IF(OR(I957="READABLE",I957="SAME"),"R","Q"),
C957="R",
IF(OR(I957="TARGET_OK",I957="SAME"),"END","R"),
TRUE,"END"
)))</f>
        <v/>
      </c>
      <c r="BD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 t="str">
        <f t="array" ref="BC958">IF($I958="","",LET(
conf,AI958,
sameN,IF(conf="Low",1,IF(conf="Medium",2,3)),
duoMax,XLOOKUP($B958,Derived_Variables!$A:$A,Derived_Variables!$AI:$AI,4),
axisTol,XLOOKUP($B958,Derived_Variables!$A:$A,Derived_Variables!$W:$W,1),
IFS(
C958="A",
IF(
 OR(
   I958="NOT_READABLE",
   I958="BLURRY",
   AND(R958="20_20_20",I958="READABLE")
 ),
 "B",
 "A"
),
C958="B",
IF(AND(AV958&gt;=AW958,I958="READABLE"),"E","B"),
C958="E",
IF(OR(I958="SAME",AD958&lt;=axisTol),"F","E"),
C958="F",
IF(AX958&gt;=sameN,"G","F"),
C958="G",
IF(OR(I958="EQUAL",BB958=1,BA958&gt;=duoMax),"D","G"),
C958="D",
IF(AND(AV958&gt;=AW958,I958="READABLE"),"H","D"),
C958="H",
IF(OR(I958="SAME",AD958&lt;=axisTol),"I","H"),
C958="I",
IF(AX958&gt;=sameN,"J","I"),
C958="J",
IF(OR(I958="EQUAL",BB958=1,BA958&gt;=duoMax),"K","J"),
C958="K",
IF(
 I958="SAME",
 IF(
   XLOOKUP($B958,Derived_Variables!$A:$A,Derived_Variables!$Q:$Q,"None")="None",
   "END",
   "P"
 ),
 "K"
),
C958="P",
IF(OR(I958="READABLE",I958="SAME"),"Q","P"),
C958="Q",
IF(OR(I958="READABLE",I958="SAME"),"R","Q"),
C958="R",
IF(OR(I958="TARGET_OK",I958="SAME"),"END","R"),
TRUE,"END"
)))</f>
        <v/>
      </c>
      <c r="BD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 t="str">
        <f t="array" ref="BC959">IF($I959="","",LET(
conf,AI959,
sameN,IF(conf="Low",1,IF(conf="Medium",2,3)),
duoMax,XLOOKUP($B959,Derived_Variables!$A:$A,Derived_Variables!$AI:$AI,4),
axisTol,XLOOKUP($B959,Derived_Variables!$A:$A,Derived_Variables!$W:$W,1),
IFS(
C959="A",
IF(
 OR(
   I959="NOT_READABLE",
   I959="BLURRY",
   AND(R959="20_20_20",I959="READABLE")
 ),
 "B",
 "A"
),
C959="B",
IF(AND(AV959&gt;=AW959,I959="READABLE"),"E","B"),
C959="E",
IF(OR(I959="SAME",AD959&lt;=axisTol),"F","E"),
C959="F",
IF(AX959&gt;=sameN,"G","F"),
C959="G",
IF(OR(I959="EQUAL",BB959=1,BA959&gt;=duoMax),"D","G"),
C959="D",
IF(AND(AV959&gt;=AW959,I959="READABLE"),"H","D"),
C959="H",
IF(OR(I959="SAME",AD959&lt;=axisTol),"I","H"),
C959="I",
IF(AX959&gt;=sameN,"J","I"),
C959="J",
IF(OR(I959="EQUAL",BB959=1,BA959&gt;=duoMax),"K","J"),
C959="K",
IF(
 I959="SAME",
 IF(
   XLOOKUP($B959,Derived_Variables!$A:$A,Derived_Variables!$Q:$Q,"None")="None",
   "END",
   "P"
 ),
 "K"
),
C959="P",
IF(OR(I959="READABLE",I959="SAME"),"Q","P"),
C959="Q",
IF(OR(I959="READABLE",I959="SAME"),"R","Q"),
C959="R",
IF(OR(I959="TARGET_OK",I959="SAME"),"END","R"),
TRUE,"END"
)))</f>
        <v/>
      </c>
      <c r="BD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 t="str">
        <f t="array" ref="BC960">IF($I960="","",LET(
conf,AI960,
sameN,IF(conf="Low",1,IF(conf="Medium",2,3)),
duoMax,XLOOKUP($B960,Derived_Variables!$A:$A,Derived_Variables!$AI:$AI,4),
axisTol,XLOOKUP($B960,Derived_Variables!$A:$A,Derived_Variables!$W:$W,1),
IFS(
C960="A",
IF(
 OR(
   I960="NOT_READABLE",
   I960="BLURRY",
   AND(R960="20_20_20",I960="READABLE")
 ),
 "B",
 "A"
),
C960="B",
IF(AND(AV960&gt;=AW960,I960="READABLE"),"E","B"),
C960="E",
IF(OR(I960="SAME",AD960&lt;=axisTol),"F","E"),
C960="F",
IF(AX960&gt;=sameN,"G","F"),
C960="G",
IF(OR(I960="EQUAL",BB960=1,BA960&gt;=duoMax),"D","G"),
C960="D",
IF(AND(AV960&gt;=AW960,I960="READABLE"),"H","D"),
C960="H",
IF(OR(I960="SAME",AD960&lt;=axisTol),"I","H"),
C960="I",
IF(AX960&gt;=sameN,"J","I"),
C960="J",
IF(OR(I960="EQUAL",BB960=1,BA960&gt;=duoMax),"K","J"),
C960="K",
IF(
 I960="SAME",
 IF(
   XLOOKUP($B960,Derived_Variables!$A:$A,Derived_Variables!$Q:$Q,"None")="None",
   "END",
   "P"
 ),
 "K"
),
C960="P",
IF(OR(I960="READABLE",I960="SAME"),"Q","P"),
C960="Q",
IF(OR(I960="READABLE",I960="SAME"),"R","Q"),
C960="R",
IF(OR(I960="TARGET_OK",I960="SAME"),"END","R"),
TRUE,"END"
)))</f>
        <v/>
      </c>
      <c r="BD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 t="str">
        <f t="array" ref="BC961">IF($I961="","",LET(
conf,AI961,
sameN,IF(conf="Low",1,IF(conf="Medium",2,3)),
duoMax,XLOOKUP($B961,Derived_Variables!$A:$A,Derived_Variables!$AI:$AI,4),
axisTol,XLOOKUP($B961,Derived_Variables!$A:$A,Derived_Variables!$W:$W,1),
IFS(
C961="A",
IF(
 OR(
   I961="NOT_READABLE",
   I961="BLURRY",
   AND(R961="20_20_20",I961="READABLE")
 ),
 "B",
 "A"
),
C961="B",
IF(AND(AV961&gt;=AW961,I961="READABLE"),"E","B"),
C961="E",
IF(OR(I961="SAME",AD961&lt;=axisTol),"F","E"),
C961="F",
IF(AX961&gt;=sameN,"G","F"),
C961="G",
IF(OR(I961="EQUAL",BB961=1,BA961&gt;=duoMax),"D","G"),
C961="D",
IF(AND(AV961&gt;=AW961,I961="READABLE"),"H","D"),
C961="H",
IF(OR(I961="SAME",AD961&lt;=axisTol),"I","H"),
C961="I",
IF(AX961&gt;=sameN,"J","I"),
C961="J",
IF(OR(I961="EQUAL",BB961=1,BA961&gt;=duoMax),"K","J"),
C961="K",
IF(
 I961="SAME",
 IF(
   XLOOKUP($B961,Derived_Variables!$A:$A,Derived_Variables!$Q:$Q,"None")="None",
   "END",
   "P"
 ),
 "K"
),
C961="P",
IF(OR(I961="READABLE",I961="SAME"),"Q","P"),
C961="Q",
IF(OR(I961="READABLE",I961="SAME"),"R","Q"),
C961="R",
IF(OR(I961="TARGET_OK",I961="SAME"),"END","R"),
TRUE,"END"
)))</f>
        <v/>
      </c>
      <c r="BD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 t="str">
        <f t="array" ref="BC962">IF($I962="","",LET(
conf,AI962,
sameN,IF(conf="Low",1,IF(conf="Medium",2,3)),
duoMax,XLOOKUP($B962,Derived_Variables!$A:$A,Derived_Variables!$AI:$AI,4),
axisTol,XLOOKUP($B962,Derived_Variables!$A:$A,Derived_Variables!$W:$W,1),
IFS(
C962="A",
IF(
 OR(
   I962="NOT_READABLE",
   I962="BLURRY",
   AND(R962="20_20_20",I962="READABLE")
 ),
 "B",
 "A"
),
C962="B",
IF(AND(AV962&gt;=AW962,I962="READABLE"),"E","B"),
C962="E",
IF(OR(I962="SAME",AD962&lt;=axisTol),"F","E"),
C962="F",
IF(AX962&gt;=sameN,"G","F"),
C962="G",
IF(OR(I962="EQUAL",BB962=1,BA962&gt;=duoMax),"D","G"),
C962="D",
IF(AND(AV962&gt;=AW962,I962="READABLE"),"H","D"),
C962="H",
IF(OR(I962="SAME",AD962&lt;=axisTol),"I","H"),
C962="I",
IF(AX962&gt;=sameN,"J","I"),
C962="J",
IF(OR(I962="EQUAL",BB962=1,BA962&gt;=duoMax),"K","J"),
C962="K",
IF(
 I962="SAME",
 IF(
   XLOOKUP($B962,Derived_Variables!$A:$A,Derived_Variables!$Q:$Q,"None")="None",
   "END",
   "P"
 ),
 "K"
),
C962="P",
IF(OR(I962="READABLE",I962="SAME"),"Q","P"),
C962="Q",
IF(OR(I962="READABLE",I962="SAME"),"R","Q"),
C962="R",
IF(OR(I962="TARGET_OK",I962="SAME"),"END","R"),
TRUE,"END"
)))</f>
        <v/>
      </c>
      <c r="BD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 t="str">
        <f t="array" ref="BC963">IF($I963="","",LET(
conf,AI963,
sameN,IF(conf="Low",1,IF(conf="Medium",2,3)),
duoMax,XLOOKUP($B963,Derived_Variables!$A:$A,Derived_Variables!$AI:$AI,4),
axisTol,XLOOKUP($B963,Derived_Variables!$A:$A,Derived_Variables!$W:$W,1),
IFS(
C963="A",
IF(
 OR(
   I963="NOT_READABLE",
   I963="BLURRY",
   AND(R963="20_20_20",I963="READABLE")
 ),
 "B",
 "A"
),
C963="B",
IF(AND(AV963&gt;=AW963,I963="READABLE"),"E","B"),
C963="E",
IF(OR(I963="SAME",AD963&lt;=axisTol),"F","E"),
C963="F",
IF(AX963&gt;=sameN,"G","F"),
C963="G",
IF(OR(I963="EQUAL",BB963=1,BA963&gt;=duoMax),"D","G"),
C963="D",
IF(AND(AV963&gt;=AW963,I963="READABLE"),"H","D"),
C963="H",
IF(OR(I963="SAME",AD963&lt;=axisTol),"I","H"),
C963="I",
IF(AX963&gt;=sameN,"J","I"),
C963="J",
IF(OR(I963="EQUAL",BB963=1,BA963&gt;=duoMax),"K","J"),
C963="K",
IF(
 I963="SAME",
 IF(
   XLOOKUP($B963,Derived_Variables!$A:$A,Derived_Variables!$Q:$Q,"None")="None",
   "END",
   "P"
 ),
 "K"
),
C963="P",
IF(OR(I963="READABLE",I963="SAME"),"Q","P"),
C963="Q",
IF(OR(I963="READABLE",I963="SAME"),"R","Q"),
C963="R",
IF(OR(I963="TARGET_OK",I963="SAME"),"END","R"),
TRUE,"END"
)))</f>
        <v/>
      </c>
      <c r="BD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 t="str">
        <f t="array" ref="BC964">IF($I964="","",LET(
conf,AI964,
sameN,IF(conf="Low",1,IF(conf="Medium",2,3)),
duoMax,XLOOKUP($B964,Derived_Variables!$A:$A,Derived_Variables!$AI:$AI,4),
axisTol,XLOOKUP($B964,Derived_Variables!$A:$A,Derived_Variables!$W:$W,1),
IFS(
C964="A",
IF(
 OR(
   I964="NOT_READABLE",
   I964="BLURRY",
   AND(R964="20_20_20",I964="READABLE")
 ),
 "B",
 "A"
),
C964="B",
IF(AND(AV964&gt;=AW964,I964="READABLE"),"E","B"),
C964="E",
IF(OR(I964="SAME",AD964&lt;=axisTol),"F","E"),
C964="F",
IF(AX964&gt;=sameN,"G","F"),
C964="G",
IF(OR(I964="EQUAL",BB964=1,BA964&gt;=duoMax),"D","G"),
C964="D",
IF(AND(AV964&gt;=AW964,I964="READABLE"),"H","D"),
C964="H",
IF(OR(I964="SAME",AD964&lt;=axisTol),"I","H"),
C964="I",
IF(AX964&gt;=sameN,"J","I"),
C964="J",
IF(OR(I964="EQUAL",BB964=1,BA964&gt;=duoMax),"K","J"),
C964="K",
IF(
 I964="SAME",
 IF(
   XLOOKUP($B964,Derived_Variables!$A:$A,Derived_Variables!$Q:$Q,"None")="None",
   "END",
   "P"
 ),
 "K"
),
C964="P",
IF(OR(I964="READABLE",I964="SAME"),"Q","P"),
C964="Q",
IF(OR(I964="READABLE",I964="SAME"),"R","Q"),
C964="R",
IF(OR(I964="TARGET_OK",I964="SAME"),"END","R"),
TRUE,"END"
)))</f>
        <v/>
      </c>
      <c r="BD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 t="str">
        <f t="array" ref="BC965">IF($I965="","",LET(
conf,AI965,
sameN,IF(conf="Low",1,IF(conf="Medium",2,3)),
duoMax,XLOOKUP($B965,Derived_Variables!$A:$A,Derived_Variables!$AI:$AI,4),
axisTol,XLOOKUP($B965,Derived_Variables!$A:$A,Derived_Variables!$W:$W,1),
IFS(
C965="A",
IF(
 OR(
   I965="NOT_READABLE",
   I965="BLURRY",
   AND(R965="20_20_20",I965="READABLE")
 ),
 "B",
 "A"
),
C965="B",
IF(AND(AV965&gt;=AW965,I965="READABLE"),"E","B"),
C965="E",
IF(OR(I965="SAME",AD965&lt;=axisTol),"F","E"),
C965="F",
IF(AX965&gt;=sameN,"G","F"),
C965="G",
IF(OR(I965="EQUAL",BB965=1,BA965&gt;=duoMax),"D","G"),
C965="D",
IF(AND(AV965&gt;=AW965,I965="READABLE"),"H","D"),
C965="H",
IF(OR(I965="SAME",AD965&lt;=axisTol),"I","H"),
C965="I",
IF(AX965&gt;=sameN,"J","I"),
C965="J",
IF(OR(I965="EQUAL",BB965=1,BA965&gt;=duoMax),"K","J"),
C965="K",
IF(
 I965="SAME",
 IF(
   XLOOKUP($B965,Derived_Variables!$A:$A,Derived_Variables!$Q:$Q,"None")="None",
   "END",
   "P"
 ),
 "K"
),
C965="P",
IF(OR(I965="READABLE",I965="SAME"),"Q","P"),
C965="Q",
IF(OR(I965="READABLE",I965="SAME"),"R","Q"),
C965="R",
IF(OR(I965="TARGET_OK",I965="SAME"),"END","R"),
TRUE,"END"
)))</f>
        <v/>
      </c>
      <c r="BD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 t="str">
        <f t="array" ref="BC966">IF($I966="","",LET(
conf,AI966,
sameN,IF(conf="Low",1,IF(conf="Medium",2,3)),
duoMax,XLOOKUP($B966,Derived_Variables!$A:$A,Derived_Variables!$AI:$AI,4),
axisTol,XLOOKUP($B966,Derived_Variables!$A:$A,Derived_Variables!$W:$W,1),
IFS(
C966="A",
IF(
 OR(
   I966="NOT_READABLE",
   I966="BLURRY",
   AND(R966="20_20_20",I966="READABLE")
 ),
 "B",
 "A"
),
C966="B",
IF(AND(AV966&gt;=AW966,I966="READABLE"),"E","B"),
C966="E",
IF(OR(I966="SAME",AD966&lt;=axisTol),"F","E"),
C966="F",
IF(AX966&gt;=sameN,"G","F"),
C966="G",
IF(OR(I966="EQUAL",BB966=1,BA966&gt;=duoMax),"D","G"),
C966="D",
IF(AND(AV966&gt;=AW966,I966="READABLE"),"H","D"),
C966="H",
IF(OR(I966="SAME",AD966&lt;=axisTol),"I","H"),
C966="I",
IF(AX966&gt;=sameN,"J","I"),
C966="J",
IF(OR(I966="EQUAL",BB966=1,BA966&gt;=duoMax),"K","J"),
C966="K",
IF(
 I966="SAME",
 IF(
   XLOOKUP($B966,Derived_Variables!$A:$A,Derived_Variables!$Q:$Q,"None")="None",
   "END",
   "P"
 ),
 "K"
),
C966="P",
IF(OR(I966="READABLE",I966="SAME"),"Q","P"),
C966="Q",
IF(OR(I966="READABLE",I966="SAME"),"R","Q"),
C966="R",
IF(OR(I966="TARGET_OK",I966="SAME"),"END","R"),
TRUE,"END"
)))</f>
        <v/>
      </c>
      <c r="BD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 t="str">
        <f t="array" ref="BC967">IF($I967="","",LET(
conf,AI967,
sameN,IF(conf="Low",1,IF(conf="Medium",2,3)),
duoMax,XLOOKUP($B967,Derived_Variables!$A:$A,Derived_Variables!$AI:$AI,4),
axisTol,XLOOKUP($B967,Derived_Variables!$A:$A,Derived_Variables!$W:$W,1),
IFS(
C967="A",
IF(
 OR(
   I967="NOT_READABLE",
   I967="BLURRY",
   AND(R967="20_20_20",I967="READABLE")
 ),
 "B",
 "A"
),
C967="B",
IF(AND(AV967&gt;=AW967,I967="READABLE"),"E","B"),
C967="E",
IF(OR(I967="SAME",AD967&lt;=axisTol),"F","E"),
C967="F",
IF(AX967&gt;=sameN,"G","F"),
C967="G",
IF(OR(I967="EQUAL",BB967=1,BA967&gt;=duoMax),"D","G"),
C967="D",
IF(AND(AV967&gt;=AW967,I967="READABLE"),"H","D"),
C967="H",
IF(OR(I967="SAME",AD967&lt;=axisTol),"I","H"),
C967="I",
IF(AX967&gt;=sameN,"J","I"),
C967="J",
IF(OR(I967="EQUAL",BB967=1,BA967&gt;=duoMax),"K","J"),
C967="K",
IF(
 I967="SAME",
 IF(
   XLOOKUP($B967,Derived_Variables!$A:$A,Derived_Variables!$Q:$Q,"None")="None",
   "END",
   "P"
 ),
 "K"
),
C967="P",
IF(OR(I967="READABLE",I967="SAME"),"Q","P"),
C967="Q",
IF(OR(I967="READABLE",I967="SAME"),"R","Q"),
C967="R",
IF(OR(I967="TARGET_OK",I967="SAME"),"END","R"),
TRUE,"END"
)))</f>
        <v/>
      </c>
      <c r="BD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 t="str">
        <f t="array" ref="BC968">IF($I968="","",LET(
conf,AI968,
sameN,IF(conf="Low",1,IF(conf="Medium",2,3)),
duoMax,XLOOKUP($B968,Derived_Variables!$A:$A,Derived_Variables!$AI:$AI,4),
axisTol,XLOOKUP($B968,Derived_Variables!$A:$A,Derived_Variables!$W:$W,1),
IFS(
C968="A",
IF(
 OR(
   I968="NOT_READABLE",
   I968="BLURRY",
   AND(R968="20_20_20",I968="READABLE")
 ),
 "B",
 "A"
),
C968="B",
IF(AND(AV968&gt;=AW968,I968="READABLE"),"E","B"),
C968="E",
IF(OR(I968="SAME",AD968&lt;=axisTol),"F","E"),
C968="F",
IF(AX968&gt;=sameN,"G","F"),
C968="G",
IF(OR(I968="EQUAL",BB968=1,BA968&gt;=duoMax),"D","G"),
C968="D",
IF(AND(AV968&gt;=AW968,I968="READABLE"),"H","D"),
C968="H",
IF(OR(I968="SAME",AD968&lt;=axisTol),"I","H"),
C968="I",
IF(AX968&gt;=sameN,"J","I"),
C968="J",
IF(OR(I968="EQUAL",BB968=1,BA968&gt;=duoMax),"K","J"),
C968="K",
IF(
 I968="SAME",
 IF(
   XLOOKUP($B968,Derived_Variables!$A:$A,Derived_Variables!$Q:$Q,"None")="None",
   "END",
   "P"
 ),
 "K"
),
C968="P",
IF(OR(I968="READABLE",I968="SAME"),"Q","P"),
C968="Q",
IF(OR(I968="READABLE",I968="SAME"),"R","Q"),
C968="R",
IF(OR(I968="TARGET_OK",I968="SAME"),"END","R"),
TRUE,"END"
)))</f>
        <v/>
      </c>
      <c r="BD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 t="str">
        <f t="array" ref="BC969">IF($I969="","",LET(
conf,AI969,
sameN,IF(conf="Low",1,IF(conf="Medium",2,3)),
duoMax,XLOOKUP($B969,Derived_Variables!$A:$A,Derived_Variables!$AI:$AI,4),
axisTol,XLOOKUP($B969,Derived_Variables!$A:$A,Derived_Variables!$W:$W,1),
IFS(
C969="A",
IF(
 OR(
   I969="NOT_READABLE",
   I969="BLURRY",
   AND(R969="20_20_20",I969="READABLE")
 ),
 "B",
 "A"
),
C969="B",
IF(AND(AV969&gt;=AW969,I969="READABLE"),"E","B"),
C969="E",
IF(OR(I969="SAME",AD969&lt;=axisTol),"F","E"),
C969="F",
IF(AX969&gt;=sameN,"G","F"),
C969="G",
IF(OR(I969="EQUAL",BB969=1,BA969&gt;=duoMax),"D","G"),
C969="D",
IF(AND(AV969&gt;=AW969,I969="READABLE"),"H","D"),
C969="H",
IF(OR(I969="SAME",AD969&lt;=axisTol),"I","H"),
C969="I",
IF(AX969&gt;=sameN,"J","I"),
C969="J",
IF(OR(I969="EQUAL",BB969=1,BA969&gt;=duoMax),"K","J"),
C969="K",
IF(
 I969="SAME",
 IF(
   XLOOKUP($B969,Derived_Variables!$A:$A,Derived_Variables!$Q:$Q,"None")="None",
   "END",
   "P"
 ),
 "K"
),
C969="P",
IF(OR(I969="READABLE",I969="SAME"),"Q","P"),
C969="Q",
IF(OR(I969="READABLE",I969="SAME"),"R","Q"),
C969="R",
IF(OR(I969="TARGET_OK",I969="SAME"),"END","R"),
TRUE,"END"
)))</f>
        <v/>
      </c>
      <c r="BD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 t="str">
        <f t="array" ref="BC970">IF($I970="","",LET(
conf,AI970,
sameN,IF(conf="Low",1,IF(conf="Medium",2,3)),
duoMax,XLOOKUP($B970,Derived_Variables!$A:$A,Derived_Variables!$AI:$AI,4),
axisTol,XLOOKUP($B970,Derived_Variables!$A:$A,Derived_Variables!$W:$W,1),
IFS(
C970="A",
IF(
 OR(
   I970="NOT_READABLE",
   I970="BLURRY",
   AND(R970="20_20_20",I970="READABLE")
 ),
 "B",
 "A"
),
C970="B",
IF(AND(AV970&gt;=AW970,I970="READABLE"),"E","B"),
C970="E",
IF(OR(I970="SAME",AD970&lt;=axisTol),"F","E"),
C970="F",
IF(AX970&gt;=sameN,"G","F"),
C970="G",
IF(OR(I970="EQUAL",BB970=1,BA970&gt;=duoMax),"D","G"),
C970="D",
IF(AND(AV970&gt;=AW970,I970="READABLE"),"H","D"),
C970="H",
IF(OR(I970="SAME",AD970&lt;=axisTol),"I","H"),
C970="I",
IF(AX970&gt;=sameN,"J","I"),
C970="J",
IF(OR(I970="EQUAL",BB970=1,BA970&gt;=duoMax),"K","J"),
C970="K",
IF(
 I970="SAME",
 IF(
   XLOOKUP($B970,Derived_Variables!$A:$A,Derived_Variables!$Q:$Q,"None")="None",
   "END",
   "P"
 ),
 "K"
),
C970="P",
IF(OR(I970="READABLE",I970="SAME"),"Q","P"),
C970="Q",
IF(OR(I970="READABLE",I970="SAME"),"R","Q"),
C970="R",
IF(OR(I970="TARGET_OK",I970="SAME"),"END","R"),
TRUE,"END"
)))</f>
        <v/>
      </c>
      <c r="BD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 t="str">
        <f t="array" ref="BC971">IF($I971="","",LET(
conf,AI971,
sameN,IF(conf="Low",1,IF(conf="Medium",2,3)),
duoMax,XLOOKUP($B971,Derived_Variables!$A:$A,Derived_Variables!$AI:$AI,4),
axisTol,XLOOKUP($B971,Derived_Variables!$A:$A,Derived_Variables!$W:$W,1),
IFS(
C971="A",
IF(
 OR(
   I971="NOT_READABLE",
   I971="BLURRY",
   AND(R971="20_20_20",I971="READABLE")
 ),
 "B",
 "A"
),
C971="B",
IF(AND(AV971&gt;=AW971,I971="READABLE"),"E","B"),
C971="E",
IF(OR(I971="SAME",AD971&lt;=axisTol),"F","E"),
C971="F",
IF(AX971&gt;=sameN,"G","F"),
C971="G",
IF(OR(I971="EQUAL",BB971=1,BA971&gt;=duoMax),"D","G"),
C971="D",
IF(AND(AV971&gt;=AW971,I971="READABLE"),"H","D"),
C971="H",
IF(OR(I971="SAME",AD971&lt;=axisTol),"I","H"),
C971="I",
IF(AX971&gt;=sameN,"J","I"),
C971="J",
IF(OR(I971="EQUAL",BB971=1,BA971&gt;=duoMax),"K","J"),
C971="K",
IF(
 I971="SAME",
 IF(
   XLOOKUP($B971,Derived_Variables!$A:$A,Derived_Variables!$Q:$Q,"None")="None",
   "END",
   "P"
 ),
 "K"
),
C971="P",
IF(OR(I971="READABLE",I971="SAME"),"Q","P"),
C971="Q",
IF(OR(I971="READABLE",I971="SAME"),"R","Q"),
C971="R",
IF(OR(I971="TARGET_OK",I971="SAME"),"END","R"),
TRUE,"END"
)))</f>
        <v/>
      </c>
      <c r="BD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 t="str">
        <f t="array" ref="BC972">IF($I972="","",LET(
conf,AI972,
sameN,IF(conf="Low",1,IF(conf="Medium",2,3)),
duoMax,XLOOKUP($B972,Derived_Variables!$A:$A,Derived_Variables!$AI:$AI,4),
axisTol,XLOOKUP($B972,Derived_Variables!$A:$A,Derived_Variables!$W:$W,1),
IFS(
C972="A",
IF(
 OR(
   I972="NOT_READABLE",
   I972="BLURRY",
   AND(R972="20_20_20",I972="READABLE")
 ),
 "B",
 "A"
),
C972="B",
IF(AND(AV972&gt;=AW972,I972="READABLE"),"E","B"),
C972="E",
IF(OR(I972="SAME",AD972&lt;=axisTol),"F","E"),
C972="F",
IF(AX972&gt;=sameN,"G","F"),
C972="G",
IF(OR(I972="EQUAL",BB972=1,BA972&gt;=duoMax),"D","G"),
C972="D",
IF(AND(AV972&gt;=AW972,I972="READABLE"),"H","D"),
C972="H",
IF(OR(I972="SAME",AD972&lt;=axisTol),"I","H"),
C972="I",
IF(AX972&gt;=sameN,"J","I"),
C972="J",
IF(OR(I972="EQUAL",BB972=1,BA972&gt;=duoMax),"K","J"),
C972="K",
IF(
 I972="SAME",
 IF(
   XLOOKUP($B972,Derived_Variables!$A:$A,Derived_Variables!$Q:$Q,"None")="None",
   "END",
   "P"
 ),
 "K"
),
C972="P",
IF(OR(I972="READABLE",I972="SAME"),"Q","P"),
C972="Q",
IF(OR(I972="READABLE",I972="SAME"),"R","Q"),
C972="R",
IF(OR(I972="TARGET_OK",I972="SAME"),"END","R"),
TRUE,"END"
)))</f>
        <v/>
      </c>
      <c r="BD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 t="str">
        <f t="array" ref="BC973">IF($I973="","",LET(
conf,AI973,
sameN,IF(conf="Low",1,IF(conf="Medium",2,3)),
duoMax,XLOOKUP($B973,Derived_Variables!$A:$A,Derived_Variables!$AI:$AI,4),
axisTol,XLOOKUP($B973,Derived_Variables!$A:$A,Derived_Variables!$W:$W,1),
IFS(
C973="A",
IF(
 OR(
   I973="NOT_READABLE",
   I973="BLURRY",
   AND(R973="20_20_20",I973="READABLE")
 ),
 "B",
 "A"
),
C973="B",
IF(AND(AV973&gt;=AW973,I973="READABLE"),"E","B"),
C973="E",
IF(OR(I973="SAME",AD973&lt;=axisTol),"F","E"),
C973="F",
IF(AX973&gt;=sameN,"G","F"),
C973="G",
IF(OR(I973="EQUAL",BB973=1,BA973&gt;=duoMax),"D","G"),
C973="D",
IF(AND(AV973&gt;=AW973,I973="READABLE"),"H","D"),
C973="H",
IF(OR(I973="SAME",AD973&lt;=axisTol),"I","H"),
C973="I",
IF(AX973&gt;=sameN,"J","I"),
C973="J",
IF(OR(I973="EQUAL",BB973=1,BA973&gt;=duoMax),"K","J"),
C973="K",
IF(
 I973="SAME",
 IF(
   XLOOKUP($B973,Derived_Variables!$A:$A,Derived_Variables!$Q:$Q,"None")="None",
   "END",
   "P"
 ),
 "K"
),
C973="P",
IF(OR(I973="READABLE",I973="SAME"),"Q","P"),
C973="Q",
IF(OR(I973="READABLE",I973="SAME"),"R","Q"),
C973="R",
IF(OR(I973="TARGET_OK",I973="SAME"),"END","R"),
TRUE,"END"
)))</f>
        <v/>
      </c>
      <c r="BD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 t="str">
        <f t="array" ref="BC974">IF($I974="","",LET(
conf,AI974,
sameN,IF(conf="Low",1,IF(conf="Medium",2,3)),
duoMax,XLOOKUP($B974,Derived_Variables!$A:$A,Derived_Variables!$AI:$AI,4),
axisTol,XLOOKUP($B974,Derived_Variables!$A:$A,Derived_Variables!$W:$W,1),
IFS(
C974="A",
IF(
 OR(
   I974="NOT_READABLE",
   I974="BLURRY",
   AND(R974="20_20_20",I974="READABLE")
 ),
 "B",
 "A"
),
C974="B",
IF(AND(AV974&gt;=AW974,I974="READABLE"),"E","B"),
C974="E",
IF(OR(I974="SAME",AD974&lt;=axisTol),"F","E"),
C974="F",
IF(AX974&gt;=sameN,"G","F"),
C974="G",
IF(OR(I974="EQUAL",BB974=1,BA974&gt;=duoMax),"D","G"),
C974="D",
IF(AND(AV974&gt;=AW974,I974="READABLE"),"H","D"),
C974="H",
IF(OR(I974="SAME",AD974&lt;=axisTol),"I","H"),
C974="I",
IF(AX974&gt;=sameN,"J","I"),
C974="J",
IF(OR(I974="EQUAL",BB974=1,BA974&gt;=duoMax),"K","J"),
C974="K",
IF(
 I974="SAME",
 IF(
   XLOOKUP($B974,Derived_Variables!$A:$A,Derived_Variables!$Q:$Q,"None")="None",
   "END",
   "P"
 ),
 "K"
),
C974="P",
IF(OR(I974="READABLE",I974="SAME"),"Q","P"),
C974="Q",
IF(OR(I974="READABLE",I974="SAME"),"R","Q"),
C974="R",
IF(OR(I974="TARGET_OK",I974="SAME"),"END","R"),
TRUE,"END"
)))</f>
        <v/>
      </c>
      <c r="BD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 t="str">
        <f t="array" ref="BC975">IF($I975="","",LET(
conf,AI975,
sameN,IF(conf="Low",1,IF(conf="Medium",2,3)),
duoMax,XLOOKUP($B975,Derived_Variables!$A:$A,Derived_Variables!$AI:$AI,4),
axisTol,XLOOKUP($B975,Derived_Variables!$A:$A,Derived_Variables!$W:$W,1),
IFS(
C975="A",
IF(
 OR(
   I975="NOT_READABLE",
   I975="BLURRY",
   AND(R975="20_20_20",I975="READABLE")
 ),
 "B",
 "A"
),
C975="B",
IF(AND(AV975&gt;=AW975,I975="READABLE"),"E","B"),
C975="E",
IF(OR(I975="SAME",AD975&lt;=axisTol),"F","E"),
C975="F",
IF(AX975&gt;=sameN,"G","F"),
C975="G",
IF(OR(I975="EQUAL",BB975=1,BA975&gt;=duoMax),"D","G"),
C975="D",
IF(AND(AV975&gt;=AW975,I975="READABLE"),"H","D"),
C975="H",
IF(OR(I975="SAME",AD975&lt;=axisTol),"I","H"),
C975="I",
IF(AX975&gt;=sameN,"J","I"),
C975="J",
IF(OR(I975="EQUAL",BB975=1,BA975&gt;=duoMax),"K","J"),
C975="K",
IF(
 I975="SAME",
 IF(
   XLOOKUP($B975,Derived_Variables!$A:$A,Derived_Variables!$Q:$Q,"None")="None",
   "END",
   "P"
 ),
 "K"
),
C975="P",
IF(OR(I975="READABLE",I975="SAME"),"Q","P"),
C975="Q",
IF(OR(I975="READABLE",I975="SAME"),"R","Q"),
C975="R",
IF(OR(I975="TARGET_OK",I975="SAME"),"END","R"),
TRUE,"END"
)))</f>
        <v/>
      </c>
      <c r="BD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 t="str">
        <f t="array" ref="BC976">IF($I976="","",LET(
conf,AI976,
sameN,IF(conf="Low",1,IF(conf="Medium",2,3)),
duoMax,XLOOKUP($B976,Derived_Variables!$A:$A,Derived_Variables!$AI:$AI,4),
axisTol,XLOOKUP($B976,Derived_Variables!$A:$A,Derived_Variables!$W:$W,1),
IFS(
C976="A",
IF(
 OR(
   I976="NOT_READABLE",
   I976="BLURRY",
   AND(R976="20_20_20",I976="READABLE")
 ),
 "B",
 "A"
),
C976="B",
IF(AND(AV976&gt;=AW976,I976="READABLE"),"E","B"),
C976="E",
IF(OR(I976="SAME",AD976&lt;=axisTol),"F","E"),
C976="F",
IF(AX976&gt;=sameN,"G","F"),
C976="G",
IF(OR(I976="EQUAL",BB976=1,BA976&gt;=duoMax),"D","G"),
C976="D",
IF(AND(AV976&gt;=AW976,I976="READABLE"),"H","D"),
C976="H",
IF(OR(I976="SAME",AD976&lt;=axisTol),"I","H"),
C976="I",
IF(AX976&gt;=sameN,"J","I"),
C976="J",
IF(OR(I976="EQUAL",BB976=1,BA976&gt;=duoMax),"K","J"),
C976="K",
IF(
 I976="SAME",
 IF(
   XLOOKUP($B976,Derived_Variables!$A:$A,Derived_Variables!$Q:$Q,"None")="None",
   "END",
   "P"
 ),
 "K"
),
C976="P",
IF(OR(I976="READABLE",I976="SAME"),"Q","P"),
C976="Q",
IF(OR(I976="READABLE",I976="SAME"),"R","Q"),
C976="R",
IF(OR(I976="TARGET_OK",I976="SAME"),"END","R"),
TRUE,"END"
)))</f>
        <v/>
      </c>
      <c r="BD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 t="str">
        <f t="array" ref="BC977">IF($I977="","",LET(
conf,AI977,
sameN,IF(conf="Low",1,IF(conf="Medium",2,3)),
duoMax,XLOOKUP($B977,Derived_Variables!$A:$A,Derived_Variables!$AI:$AI,4),
axisTol,XLOOKUP($B977,Derived_Variables!$A:$A,Derived_Variables!$W:$W,1),
IFS(
C977="A",
IF(
 OR(
   I977="NOT_READABLE",
   I977="BLURRY",
   AND(R977="20_20_20",I977="READABLE")
 ),
 "B",
 "A"
),
C977="B",
IF(AND(AV977&gt;=AW977,I977="READABLE"),"E","B"),
C977="E",
IF(OR(I977="SAME",AD977&lt;=axisTol),"F","E"),
C977="F",
IF(AX977&gt;=sameN,"G","F"),
C977="G",
IF(OR(I977="EQUAL",BB977=1,BA977&gt;=duoMax),"D","G"),
C977="D",
IF(AND(AV977&gt;=AW977,I977="READABLE"),"H","D"),
C977="H",
IF(OR(I977="SAME",AD977&lt;=axisTol),"I","H"),
C977="I",
IF(AX977&gt;=sameN,"J","I"),
C977="J",
IF(OR(I977="EQUAL",BB977=1,BA977&gt;=duoMax),"K","J"),
C977="K",
IF(
 I977="SAME",
 IF(
   XLOOKUP($B977,Derived_Variables!$A:$A,Derived_Variables!$Q:$Q,"None")="None",
   "END",
   "P"
 ),
 "K"
),
C977="P",
IF(OR(I977="READABLE",I977="SAME"),"Q","P"),
C977="Q",
IF(OR(I977="READABLE",I977="SAME"),"R","Q"),
C977="R",
IF(OR(I977="TARGET_OK",I977="SAME"),"END","R"),
TRUE,"END"
)))</f>
        <v/>
      </c>
      <c r="BD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 t="str">
        <f t="array" ref="BC978">IF($I978="","",LET(
conf,AI978,
sameN,IF(conf="Low",1,IF(conf="Medium",2,3)),
duoMax,XLOOKUP($B978,Derived_Variables!$A:$A,Derived_Variables!$AI:$AI,4),
axisTol,XLOOKUP($B978,Derived_Variables!$A:$A,Derived_Variables!$W:$W,1),
IFS(
C978="A",
IF(
 OR(
   I978="NOT_READABLE",
   I978="BLURRY",
   AND(R978="20_20_20",I978="READABLE")
 ),
 "B",
 "A"
),
C978="B",
IF(AND(AV978&gt;=AW978,I978="READABLE"),"E","B"),
C978="E",
IF(OR(I978="SAME",AD978&lt;=axisTol),"F","E"),
C978="F",
IF(AX978&gt;=sameN,"G","F"),
C978="G",
IF(OR(I978="EQUAL",BB978=1,BA978&gt;=duoMax),"D","G"),
C978="D",
IF(AND(AV978&gt;=AW978,I978="READABLE"),"H","D"),
C978="H",
IF(OR(I978="SAME",AD978&lt;=axisTol),"I","H"),
C978="I",
IF(AX978&gt;=sameN,"J","I"),
C978="J",
IF(OR(I978="EQUAL",BB978=1,BA978&gt;=duoMax),"K","J"),
C978="K",
IF(
 I978="SAME",
 IF(
   XLOOKUP($B978,Derived_Variables!$A:$A,Derived_Variables!$Q:$Q,"None")="None",
   "END",
   "P"
 ),
 "K"
),
C978="P",
IF(OR(I978="READABLE",I978="SAME"),"Q","P"),
C978="Q",
IF(OR(I978="READABLE",I978="SAME"),"R","Q"),
C978="R",
IF(OR(I978="TARGET_OK",I978="SAME"),"END","R"),
TRUE,"END"
)))</f>
        <v/>
      </c>
      <c r="BD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 t="str">
        <f t="array" ref="BC979">IF($I979="","",LET(
conf,AI979,
sameN,IF(conf="Low",1,IF(conf="Medium",2,3)),
duoMax,XLOOKUP($B979,Derived_Variables!$A:$A,Derived_Variables!$AI:$AI,4),
axisTol,XLOOKUP($B979,Derived_Variables!$A:$A,Derived_Variables!$W:$W,1),
IFS(
C979="A",
IF(
 OR(
   I979="NOT_READABLE",
   I979="BLURRY",
   AND(R979="20_20_20",I979="READABLE")
 ),
 "B",
 "A"
),
C979="B",
IF(AND(AV979&gt;=AW979,I979="READABLE"),"E","B"),
C979="E",
IF(OR(I979="SAME",AD979&lt;=axisTol),"F","E"),
C979="F",
IF(AX979&gt;=sameN,"G","F"),
C979="G",
IF(OR(I979="EQUAL",BB979=1,BA979&gt;=duoMax),"D","G"),
C979="D",
IF(AND(AV979&gt;=AW979,I979="READABLE"),"H","D"),
C979="H",
IF(OR(I979="SAME",AD979&lt;=axisTol),"I","H"),
C979="I",
IF(AX979&gt;=sameN,"J","I"),
C979="J",
IF(OR(I979="EQUAL",BB979=1,BA979&gt;=duoMax),"K","J"),
C979="K",
IF(
 I979="SAME",
 IF(
   XLOOKUP($B979,Derived_Variables!$A:$A,Derived_Variables!$Q:$Q,"None")="None",
   "END",
   "P"
 ),
 "K"
),
C979="P",
IF(OR(I979="READABLE",I979="SAME"),"Q","P"),
C979="Q",
IF(OR(I979="READABLE",I979="SAME"),"R","Q"),
C979="R",
IF(OR(I979="TARGET_OK",I979="SAME"),"END","R"),
TRUE,"END"
)))</f>
        <v/>
      </c>
      <c r="BD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 t="str">
        <f t="array" ref="BC980">IF($I980="","",LET(
conf,AI980,
sameN,IF(conf="Low",1,IF(conf="Medium",2,3)),
duoMax,XLOOKUP($B980,Derived_Variables!$A:$A,Derived_Variables!$AI:$AI,4),
axisTol,XLOOKUP($B980,Derived_Variables!$A:$A,Derived_Variables!$W:$W,1),
IFS(
C980="A",
IF(
 OR(
   I980="NOT_READABLE",
   I980="BLURRY",
   AND(R980="20_20_20",I980="READABLE")
 ),
 "B",
 "A"
),
C980="B",
IF(AND(AV980&gt;=AW980,I980="READABLE"),"E","B"),
C980="E",
IF(OR(I980="SAME",AD980&lt;=axisTol),"F","E"),
C980="F",
IF(AX980&gt;=sameN,"G","F"),
C980="G",
IF(OR(I980="EQUAL",BB980=1,BA980&gt;=duoMax),"D","G"),
C980="D",
IF(AND(AV980&gt;=AW980,I980="READABLE"),"H","D"),
C980="H",
IF(OR(I980="SAME",AD980&lt;=axisTol),"I","H"),
C980="I",
IF(AX980&gt;=sameN,"J","I"),
C980="J",
IF(OR(I980="EQUAL",BB980=1,BA980&gt;=duoMax),"K","J"),
C980="K",
IF(
 I980="SAME",
 IF(
   XLOOKUP($B980,Derived_Variables!$A:$A,Derived_Variables!$Q:$Q,"None")="None",
   "END",
   "P"
 ),
 "K"
),
C980="P",
IF(OR(I980="READABLE",I980="SAME"),"Q","P"),
C980="Q",
IF(OR(I980="READABLE",I980="SAME"),"R","Q"),
C980="R",
IF(OR(I980="TARGET_OK",I980="SAME"),"END","R"),
TRUE,"END"
)))</f>
        <v/>
      </c>
      <c r="BD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 t="str">
        <f t="array" ref="BC981">IF($I981="","",LET(
conf,AI981,
sameN,IF(conf="Low",1,IF(conf="Medium",2,3)),
duoMax,XLOOKUP($B981,Derived_Variables!$A:$A,Derived_Variables!$AI:$AI,4),
axisTol,XLOOKUP($B981,Derived_Variables!$A:$A,Derived_Variables!$W:$W,1),
IFS(
C981="A",
IF(
 OR(
   I981="NOT_READABLE",
   I981="BLURRY",
   AND(R981="20_20_20",I981="READABLE")
 ),
 "B",
 "A"
),
C981="B",
IF(AND(AV981&gt;=AW981,I981="READABLE"),"E","B"),
C981="E",
IF(OR(I981="SAME",AD981&lt;=axisTol),"F","E"),
C981="F",
IF(AX981&gt;=sameN,"G","F"),
C981="G",
IF(OR(I981="EQUAL",BB981=1,BA981&gt;=duoMax),"D","G"),
C981="D",
IF(AND(AV981&gt;=AW981,I981="READABLE"),"H","D"),
C981="H",
IF(OR(I981="SAME",AD981&lt;=axisTol),"I","H"),
C981="I",
IF(AX981&gt;=sameN,"J","I"),
C981="J",
IF(OR(I981="EQUAL",BB981=1,BA981&gt;=duoMax),"K","J"),
C981="K",
IF(
 I981="SAME",
 IF(
   XLOOKUP($B981,Derived_Variables!$A:$A,Derived_Variables!$Q:$Q,"None")="None",
   "END",
   "P"
 ),
 "K"
),
C981="P",
IF(OR(I981="READABLE",I981="SAME"),"Q","P"),
C981="Q",
IF(OR(I981="READABLE",I981="SAME"),"R","Q"),
C981="R",
IF(OR(I981="TARGET_OK",I981="SAME"),"END","R"),
TRUE,"END"
)))</f>
        <v/>
      </c>
      <c r="BD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 t="str">
        <f t="array" ref="BC982">IF($I982="","",LET(
conf,AI982,
sameN,IF(conf="Low",1,IF(conf="Medium",2,3)),
duoMax,XLOOKUP($B982,Derived_Variables!$A:$A,Derived_Variables!$AI:$AI,4),
axisTol,XLOOKUP($B982,Derived_Variables!$A:$A,Derived_Variables!$W:$W,1),
IFS(
C982="A",
IF(
 OR(
   I982="NOT_READABLE",
   I982="BLURRY",
   AND(R982="20_20_20",I982="READABLE")
 ),
 "B",
 "A"
),
C982="B",
IF(AND(AV982&gt;=AW982,I982="READABLE"),"E","B"),
C982="E",
IF(OR(I982="SAME",AD982&lt;=axisTol),"F","E"),
C982="F",
IF(AX982&gt;=sameN,"G","F"),
C982="G",
IF(OR(I982="EQUAL",BB982=1,BA982&gt;=duoMax),"D","G"),
C982="D",
IF(AND(AV982&gt;=AW982,I982="READABLE"),"H","D"),
C982="H",
IF(OR(I982="SAME",AD982&lt;=axisTol),"I","H"),
C982="I",
IF(AX982&gt;=sameN,"J","I"),
C982="J",
IF(OR(I982="EQUAL",BB982=1,BA982&gt;=duoMax),"K","J"),
C982="K",
IF(
 I982="SAME",
 IF(
   XLOOKUP($B982,Derived_Variables!$A:$A,Derived_Variables!$Q:$Q,"None")="None",
   "END",
   "P"
 ),
 "K"
),
C982="P",
IF(OR(I982="READABLE",I982="SAME"),"Q","P"),
C982="Q",
IF(OR(I982="READABLE",I982="SAME"),"R","Q"),
C982="R",
IF(OR(I982="TARGET_OK",I982="SAME"),"END","R"),
TRUE,"END"
)))</f>
        <v/>
      </c>
      <c r="BD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 t="str">
        <f t="array" ref="BC983">IF($I983="","",LET(
conf,AI983,
sameN,IF(conf="Low",1,IF(conf="Medium",2,3)),
duoMax,XLOOKUP($B983,Derived_Variables!$A:$A,Derived_Variables!$AI:$AI,4),
axisTol,XLOOKUP($B983,Derived_Variables!$A:$A,Derived_Variables!$W:$W,1),
IFS(
C983="A",
IF(
 OR(
   I983="NOT_READABLE",
   I983="BLURRY",
   AND(R983="20_20_20",I983="READABLE")
 ),
 "B",
 "A"
),
C983="B",
IF(AND(AV983&gt;=AW983,I983="READABLE"),"E","B"),
C983="E",
IF(OR(I983="SAME",AD983&lt;=axisTol),"F","E"),
C983="F",
IF(AX983&gt;=sameN,"G","F"),
C983="G",
IF(OR(I983="EQUAL",BB983=1,BA983&gt;=duoMax),"D","G"),
C983="D",
IF(AND(AV983&gt;=AW983,I983="READABLE"),"H","D"),
C983="H",
IF(OR(I983="SAME",AD983&lt;=axisTol),"I","H"),
C983="I",
IF(AX983&gt;=sameN,"J","I"),
C983="J",
IF(OR(I983="EQUAL",BB983=1,BA983&gt;=duoMax),"K","J"),
C983="K",
IF(
 I983="SAME",
 IF(
   XLOOKUP($B983,Derived_Variables!$A:$A,Derived_Variables!$Q:$Q,"None")="None",
   "END",
   "P"
 ),
 "K"
),
C983="P",
IF(OR(I983="READABLE",I983="SAME"),"Q","P"),
C983="Q",
IF(OR(I983="READABLE",I983="SAME"),"R","Q"),
C983="R",
IF(OR(I983="TARGET_OK",I983="SAME"),"END","R"),
TRUE,"END"
)))</f>
        <v/>
      </c>
      <c r="BD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 t="str">
        <f t="array" ref="BC984">IF($I984="","",LET(
conf,AI984,
sameN,IF(conf="Low",1,IF(conf="Medium",2,3)),
duoMax,XLOOKUP($B984,Derived_Variables!$A:$A,Derived_Variables!$AI:$AI,4),
axisTol,XLOOKUP($B984,Derived_Variables!$A:$A,Derived_Variables!$W:$W,1),
IFS(
C984="A",
IF(
 OR(
   I984="NOT_READABLE",
   I984="BLURRY",
   AND(R984="20_20_20",I984="READABLE")
 ),
 "B",
 "A"
),
C984="B",
IF(AND(AV984&gt;=AW984,I984="READABLE"),"E","B"),
C984="E",
IF(OR(I984="SAME",AD984&lt;=axisTol),"F","E"),
C984="F",
IF(AX984&gt;=sameN,"G","F"),
C984="G",
IF(OR(I984="EQUAL",BB984=1,BA984&gt;=duoMax),"D","G"),
C984="D",
IF(AND(AV984&gt;=AW984,I984="READABLE"),"H","D"),
C984="H",
IF(OR(I984="SAME",AD984&lt;=axisTol),"I","H"),
C984="I",
IF(AX984&gt;=sameN,"J","I"),
C984="J",
IF(OR(I984="EQUAL",BB984=1,BA984&gt;=duoMax),"K","J"),
C984="K",
IF(
 I984="SAME",
 IF(
   XLOOKUP($B984,Derived_Variables!$A:$A,Derived_Variables!$Q:$Q,"None")="None",
   "END",
   "P"
 ),
 "K"
),
C984="P",
IF(OR(I984="READABLE",I984="SAME"),"Q","P"),
C984="Q",
IF(OR(I984="READABLE",I984="SAME"),"R","Q"),
C984="R",
IF(OR(I984="TARGET_OK",I984="SAME"),"END","R"),
TRUE,"END"
)))</f>
        <v/>
      </c>
      <c r="BD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 t="str">
        <f t="array" ref="BC985">IF($I985="","",LET(
conf,AI985,
sameN,IF(conf="Low",1,IF(conf="Medium",2,3)),
duoMax,XLOOKUP($B985,Derived_Variables!$A:$A,Derived_Variables!$AI:$AI,4),
axisTol,XLOOKUP($B985,Derived_Variables!$A:$A,Derived_Variables!$W:$W,1),
IFS(
C985="A",
IF(
 OR(
   I985="NOT_READABLE",
   I985="BLURRY",
   AND(R985="20_20_20",I985="READABLE")
 ),
 "B",
 "A"
),
C985="B",
IF(AND(AV985&gt;=AW985,I985="READABLE"),"E","B"),
C985="E",
IF(OR(I985="SAME",AD985&lt;=axisTol),"F","E"),
C985="F",
IF(AX985&gt;=sameN,"G","F"),
C985="G",
IF(OR(I985="EQUAL",BB985=1,BA985&gt;=duoMax),"D","G"),
C985="D",
IF(AND(AV985&gt;=AW985,I985="READABLE"),"H","D"),
C985="H",
IF(OR(I985="SAME",AD985&lt;=axisTol),"I","H"),
C985="I",
IF(AX985&gt;=sameN,"J","I"),
C985="J",
IF(OR(I985="EQUAL",BB985=1,BA985&gt;=duoMax),"K","J"),
C985="K",
IF(
 I985="SAME",
 IF(
   XLOOKUP($B985,Derived_Variables!$A:$A,Derived_Variables!$Q:$Q,"None")="None",
   "END",
   "P"
 ),
 "K"
),
C985="P",
IF(OR(I985="READABLE",I985="SAME"),"Q","P"),
C985="Q",
IF(OR(I985="READABLE",I985="SAME"),"R","Q"),
C985="R",
IF(OR(I985="TARGET_OK",I985="SAME"),"END","R"),
TRUE,"END"
)))</f>
        <v/>
      </c>
      <c r="BD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 t="str">
        <f t="array" ref="BC986">IF($I986="","",LET(
conf,AI986,
sameN,IF(conf="Low",1,IF(conf="Medium",2,3)),
duoMax,XLOOKUP($B986,Derived_Variables!$A:$A,Derived_Variables!$AI:$AI,4),
axisTol,XLOOKUP($B986,Derived_Variables!$A:$A,Derived_Variables!$W:$W,1),
IFS(
C986="A",
IF(
 OR(
   I986="NOT_READABLE",
   I986="BLURRY",
   AND(R986="20_20_20",I986="READABLE")
 ),
 "B",
 "A"
),
C986="B",
IF(AND(AV986&gt;=AW986,I986="READABLE"),"E","B"),
C986="E",
IF(OR(I986="SAME",AD986&lt;=axisTol),"F","E"),
C986="F",
IF(AX986&gt;=sameN,"G","F"),
C986="G",
IF(OR(I986="EQUAL",BB986=1,BA986&gt;=duoMax),"D","G"),
C986="D",
IF(AND(AV986&gt;=AW986,I986="READABLE"),"H","D"),
C986="H",
IF(OR(I986="SAME",AD986&lt;=axisTol),"I","H"),
C986="I",
IF(AX986&gt;=sameN,"J","I"),
C986="J",
IF(OR(I986="EQUAL",BB986=1,BA986&gt;=duoMax),"K","J"),
C986="K",
IF(
 I986="SAME",
 IF(
   XLOOKUP($B986,Derived_Variables!$A:$A,Derived_Variables!$Q:$Q,"None")="None",
   "END",
   "P"
 ),
 "K"
),
C986="P",
IF(OR(I986="READABLE",I986="SAME"),"Q","P"),
C986="Q",
IF(OR(I986="READABLE",I986="SAME"),"R","Q"),
C986="R",
IF(OR(I986="TARGET_OK",I986="SAME"),"END","R"),
TRUE,"END"
)))</f>
        <v/>
      </c>
      <c r="BD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 t="str">
        <f t="array" ref="BC987">IF($I987="","",LET(
conf,AI987,
sameN,IF(conf="Low",1,IF(conf="Medium",2,3)),
duoMax,XLOOKUP($B987,Derived_Variables!$A:$A,Derived_Variables!$AI:$AI,4),
axisTol,XLOOKUP($B987,Derived_Variables!$A:$A,Derived_Variables!$W:$W,1),
IFS(
C987="A",
IF(
 OR(
   I987="NOT_READABLE",
   I987="BLURRY",
   AND(R987="20_20_20",I987="READABLE")
 ),
 "B",
 "A"
),
C987="B",
IF(AND(AV987&gt;=AW987,I987="READABLE"),"E","B"),
C987="E",
IF(OR(I987="SAME",AD987&lt;=axisTol),"F","E"),
C987="F",
IF(AX987&gt;=sameN,"G","F"),
C987="G",
IF(OR(I987="EQUAL",BB987=1,BA987&gt;=duoMax),"D","G"),
C987="D",
IF(AND(AV987&gt;=AW987,I987="READABLE"),"H","D"),
C987="H",
IF(OR(I987="SAME",AD987&lt;=axisTol),"I","H"),
C987="I",
IF(AX987&gt;=sameN,"J","I"),
C987="J",
IF(OR(I987="EQUAL",BB987=1,BA987&gt;=duoMax),"K","J"),
C987="K",
IF(
 I987="SAME",
 IF(
   XLOOKUP($B987,Derived_Variables!$A:$A,Derived_Variables!$Q:$Q,"None")="None",
   "END",
   "P"
 ),
 "K"
),
C987="P",
IF(OR(I987="READABLE",I987="SAME"),"Q","P"),
C987="Q",
IF(OR(I987="READABLE",I987="SAME"),"R","Q"),
C987="R",
IF(OR(I987="TARGET_OK",I987="SAME"),"END","R"),
TRUE,"END"
)))</f>
        <v/>
      </c>
      <c r="BD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 t="str">
        <f t="array" ref="BC988">IF($I988="","",LET(
conf,AI988,
sameN,IF(conf="Low",1,IF(conf="Medium",2,3)),
duoMax,XLOOKUP($B988,Derived_Variables!$A:$A,Derived_Variables!$AI:$AI,4),
axisTol,XLOOKUP($B988,Derived_Variables!$A:$A,Derived_Variables!$W:$W,1),
IFS(
C988="A",
IF(
 OR(
   I988="NOT_READABLE",
   I988="BLURRY",
   AND(R988="20_20_20",I988="READABLE")
 ),
 "B",
 "A"
),
C988="B",
IF(AND(AV988&gt;=AW988,I988="READABLE"),"E","B"),
C988="E",
IF(OR(I988="SAME",AD988&lt;=axisTol),"F","E"),
C988="F",
IF(AX988&gt;=sameN,"G","F"),
C988="G",
IF(OR(I988="EQUAL",BB988=1,BA988&gt;=duoMax),"D","G"),
C988="D",
IF(AND(AV988&gt;=AW988,I988="READABLE"),"H","D"),
C988="H",
IF(OR(I988="SAME",AD988&lt;=axisTol),"I","H"),
C988="I",
IF(AX988&gt;=sameN,"J","I"),
C988="J",
IF(OR(I988="EQUAL",BB988=1,BA988&gt;=duoMax),"K","J"),
C988="K",
IF(
 I988="SAME",
 IF(
   XLOOKUP($B988,Derived_Variables!$A:$A,Derived_Variables!$Q:$Q,"None")="None",
   "END",
   "P"
 ),
 "K"
),
C988="P",
IF(OR(I988="READABLE",I988="SAME"),"Q","P"),
C988="Q",
IF(OR(I988="READABLE",I988="SAME"),"R","Q"),
C988="R",
IF(OR(I988="TARGET_OK",I988="SAME"),"END","R"),
TRUE,"END"
)))</f>
        <v/>
      </c>
      <c r="BD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 t="str">
        <f t="array" ref="BC989">IF($I989="","",LET(
conf,AI989,
sameN,IF(conf="Low",1,IF(conf="Medium",2,3)),
duoMax,XLOOKUP($B989,Derived_Variables!$A:$A,Derived_Variables!$AI:$AI,4),
axisTol,XLOOKUP($B989,Derived_Variables!$A:$A,Derived_Variables!$W:$W,1),
IFS(
C989="A",
IF(
 OR(
   I989="NOT_READABLE",
   I989="BLURRY",
   AND(R989="20_20_20",I989="READABLE")
 ),
 "B",
 "A"
),
C989="B",
IF(AND(AV989&gt;=AW989,I989="READABLE"),"E","B"),
C989="E",
IF(OR(I989="SAME",AD989&lt;=axisTol),"F","E"),
C989="F",
IF(AX989&gt;=sameN,"G","F"),
C989="G",
IF(OR(I989="EQUAL",BB989=1,BA989&gt;=duoMax),"D","G"),
C989="D",
IF(AND(AV989&gt;=AW989,I989="READABLE"),"H","D"),
C989="H",
IF(OR(I989="SAME",AD989&lt;=axisTol),"I","H"),
C989="I",
IF(AX989&gt;=sameN,"J","I"),
C989="J",
IF(OR(I989="EQUAL",BB989=1,BA989&gt;=duoMax),"K","J"),
C989="K",
IF(
 I989="SAME",
 IF(
   XLOOKUP($B989,Derived_Variables!$A:$A,Derived_Variables!$Q:$Q,"None")="None",
   "END",
   "P"
 ),
 "K"
),
C989="P",
IF(OR(I989="READABLE",I989="SAME"),"Q","P"),
C989="Q",
IF(OR(I989="READABLE",I989="SAME"),"R","Q"),
C989="R",
IF(OR(I989="TARGET_OK",I989="SAME"),"END","R"),
TRUE,"END"
)))</f>
        <v/>
      </c>
      <c r="BD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 t="str">
        <f t="array" ref="BC990">IF($I990="","",LET(
conf,AI990,
sameN,IF(conf="Low",1,IF(conf="Medium",2,3)),
duoMax,XLOOKUP($B990,Derived_Variables!$A:$A,Derived_Variables!$AI:$AI,4),
axisTol,XLOOKUP($B990,Derived_Variables!$A:$A,Derived_Variables!$W:$W,1),
IFS(
C990="A",
IF(
 OR(
   I990="NOT_READABLE",
   I990="BLURRY",
   AND(R990="20_20_20",I990="READABLE")
 ),
 "B",
 "A"
),
C990="B",
IF(AND(AV990&gt;=AW990,I990="READABLE"),"E","B"),
C990="E",
IF(OR(I990="SAME",AD990&lt;=axisTol),"F","E"),
C990="F",
IF(AX990&gt;=sameN,"G","F"),
C990="G",
IF(OR(I990="EQUAL",BB990=1,BA990&gt;=duoMax),"D","G"),
C990="D",
IF(AND(AV990&gt;=AW990,I990="READABLE"),"H","D"),
C990="H",
IF(OR(I990="SAME",AD990&lt;=axisTol),"I","H"),
C990="I",
IF(AX990&gt;=sameN,"J","I"),
C990="J",
IF(OR(I990="EQUAL",BB990=1,BA990&gt;=duoMax),"K","J"),
C990="K",
IF(
 I990="SAME",
 IF(
   XLOOKUP($B990,Derived_Variables!$A:$A,Derived_Variables!$Q:$Q,"None")="None",
   "END",
   "P"
 ),
 "K"
),
C990="P",
IF(OR(I990="READABLE",I990="SAME"),"Q","P"),
C990="Q",
IF(OR(I990="READABLE",I990="SAME"),"R","Q"),
C990="R",
IF(OR(I990="TARGET_OK",I990="SAME"),"END","R"),
TRUE,"END"
)))</f>
        <v/>
      </c>
      <c r="BD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 t="str">
        <f t="array" ref="BC991">IF($I991="","",LET(
conf,AI991,
sameN,IF(conf="Low",1,IF(conf="Medium",2,3)),
duoMax,XLOOKUP($B991,Derived_Variables!$A:$A,Derived_Variables!$AI:$AI,4),
axisTol,XLOOKUP($B991,Derived_Variables!$A:$A,Derived_Variables!$W:$W,1),
IFS(
C991="A",
IF(
 OR(
   I991="NOT_READABLE",
   I991="BLURRY",
   AND(R991="20_20_20",I991="READABLE")
 ),
 "B",
 "A"
),
C991="B",
IF(AND(AV991&gt;=AW991,I991="READABLE"),"E","B"),
C991="E",
IF(OR(I991="SAME",AD991&lt;=axisTol),"F","E"),
C991="F",
IF(AX991&gt;=sameN,"G","F"),
C991="G",
IF(OR(I991="EQUAL",BB991=1,BA991&gt;=duoMax),"D","G"),
C991="D",
IF(AND(AV991&gt;=AW991,I991="READABLE"),"H","D"),
C991="H",
IF(OR(I991="SAME",AD991&lt;=axisTol),"I","H"),
C991="I",
IF(AX991&gt;=sameN,"J","I"),
C991="J",
IF(OR(I991="EQUAL",BB991=1,BA991&gt;=duoMax),"K","J"),
C991="K",
IF(
 I991="SAME",
 IF(
   XLOOKUP($B991,Derived_Variables!$A:$A,Derived_Variables!$Q:$Q,"None")="None",
   "END",
   "P"
 ),
 "K"
),
C991="P",
IF(OR(I991="READABLE",I991="SAME"),"Q","P"),
C991="Q",
IF(OR(I991="READABLE",I991="SAME"),"R","Q"),
C991="R",
IF(OR(I991="TARGET_OK",I991="SAME"),"END","R"),
TRUE,"END"
)))</f>
        <v/>
      </c>
      <c r="BD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 t="str">
        <f t="array" ref="BC992">IF($I992="","",LET(
conf,AI992,
sameN,IF(conf="Low",1,IF(conf="Medium",2,3)),
duoMax,XLOOKUP($B992,Derived_Variables!$A:$A,Derived_Variables!$AI:$AI,4),
axisTol,XLOOKUP($B992,Derived_Variables!$A:$A,Derived_Variables!$W:$W,1),
IFS(
C992="A",
IF(
 OR(
   I992="NOT_READABLE",
   I992="BLURRY",
   AND(R992="20_20_20",I992="READABLE")
 ),
 "B",
 "A"
),
C992="B",
IF(AND(AV992&gt;=AW992,I992="READABLE"),"E","B"),
C992="E",
IF(OR(I992="SAME",AD992&lt;=axisTol),"F","E"),
C992="F",
IF(AX992&gt;=sameN,"G","F"),
C992="G",
IF(OR(I992="EQUAL",BB992=1,BA992&gt;=duoMax),"D","G"),
C992="D",
IF(AND(AV992&gt;=AW992,I992="READABLE"),"H","D"),
C992="H",
IF(OR(I992="SAME",AD992&lt;=axisTol),"I","H"),
C992="I",
IF(AX992&gt;=sameN,"J","I"),
C992="J",
IF(OR(I992="EQUAL",BB992=1,BA992&gt;=duoMax),"K","J"),
C992="K",
IF(
 I992="SAME",
 IF(
   XLOOKUP($B992,Derived_Variables!$A:$A,Derived_Variables!$Q:$Q,"None")="None",
   "END",
   "P"
 ),
 "K"
),
C992="P",
IF(OR(I992="READABLE",I992="SAME"),"Q","P"),
C992="Q",
IF(OR(I992="READABLE",I992="SAME"),"R","Q"),
C992="R",
IF(OR(I992="TARGET_OK",I992="SAME"),"END","R"),
TRUE,"END"
)))</f>
        <v/>
      </c>
      <c r="BD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 t="str">
        <f t="array" ref="BC993">IF($I993="","",LET(
conf,AI993,
sameN,IF(conf="Low",1,IF(conf="Medium",2,3)),
duoMax,XLOOKUP($B993,Derived_Variables!$A:$A,Derived_Variables!$AI:$AI,4),
axisTol,XLOOKUP($B993,Derived_Variables!$A:$A,Derived_Variables!$W:$W,1),
IFS(
C993="A",
IF(
 OR(
   I993="NOT_READABLE",
   I993="BLURRY",
   AND(R993="20_20_20",I993="READABLE")
 ),
 "B",
 "A"
),
C993="B",
IF(AND(AV993&gt;=AW993,I993="READABLE"),"E","B"),
C993="E",
IF(OR(I993="SAME",AD993&lt;=axisTol),"F","E"),
C993="F",
IF(AX993&gt;=sameN,"G","F"),
C993="G",
IF(OR(I993="EQUAL",BB993=1,BA993&gt;=duoMax),"D","G"),
C993="D",
IF(AND(AV993&gt;=AW993,I993="READABLE"),"H","D"),
C993="H",
IF(OR(I993="SAME",AD993&lt;=axisTol),"I","H"),
C993="I",
IF(AX993&gt;=sameN,"J","I"),
C993="J",
IF(OR(I993="EQUAL",BB993=1,BA993&gt;=duoMax),"K","J"),
C993="K",
IF(
 I993="SAME",
 IF(
   XLOOKUP($B993,Derived_Variables!$A:$A,Derived_Variables!$Q:$Q,"None")="None",
   "END",
   "P"
 ),
 "K"
),
C993="P",
IF(OR(I993="READABLE",I993="SAME"),"Q","P"),
C993="Q",
IF(OR(I993="READABLE",I993="SAME"),"R","Q"),
C993="R",
IF(OR(I993="TARGET_OK",I993="SAME"),"END","R"),
TRUE,"END"
)))</f>
        <v/>
      </c>
      <c r="BD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 t="str">
        <f t="array" ref="BC994">IF($I994="","",LET(
conf,AI994,
sameN,IF(conf="Low",1,IF(conf="Medium",2,3)),
duoMax,XLOOKUP($B994,Derived_Variables!$A:$A,Derived_Variables!$AI:$AI,4),
axisTol,XLOOKUP($B994,Derived_Variables!$A:$A,Derived_Variables!$W:$W,1),
IFS(
C994="A",
IF(
 OR(
   I994="NOT_READABLE",
   I994="BLURRY",
   AND(R994="20_20_20",I994="READABLE")
 ),
 "B",
 "A"
),
C994="B",
IF(AND(AV994&gt;=AW994,I994="READABLE"),"E","B"),
C994="E",
IF(OR(I994="SAME",AD994&lt;=axisTol),"F","E"),
C994="F",
IF(AX994&gt;=sameN,"G","F"),
C994="G",
IF(OR(I994="EQUAL",BB994=1,BA994&gt;=duoMax),"D","G"),
C994="D",
IF(AND(AV994&gt;=AW994,I994="READABLE"),"H","D"),
C994="H",
IF(OR(I994="SAME",AD994&lt;=axisTol),"I","H"),
C994="I",
IF(AX994&gt;=sameN,"J","I"),
C994="J",
IF(OR(I994="EQUAL",BB994=1,BA994&gt;=duoMax),"K","J"),
C994="K",
IF(
 I994="SAME",
 IF(
   XLOOKUP($B994,Derived_Variables!$A:$A,Derived_Variables!$Q:$Q,"None")="None",
   "END",
   "P"
 ),
 "K"
),
C994="P",
IF(OR(I994="READABLE",I994="SAME"),"Q","P"),
C994="Q",
IF(OR(I994="READABLE",I994="SAME"),"R","Q"),
C994="R",
IF(OR(I994="TARGET_OK",I994="SAME"),"END","R"),
TRUE,"END"
)))</f>
        <v/>
      </c>
      <c r="BD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 t="str">
        <f t="array" ref="BC995">IF($I995="","",LET(
conf,AI995,
sameN,IF(conf="Low",1,IF(conf="Medium",2,3)),
duoMax,XLOOKUP($B995,Derived_Variables!$A:$A,Derived_Variables!$AI:$AI,4),
axisTol,XLOOKUP($B995,Derived_Variables!$A:$A,Derived_Variables!$W:$W,1),
IFS(
C995="A",
IF(
 OR(
   I995="NOT_READABLE",
   I995="BLURRY",
   AND(R995="20_20_20",I995="READABLE")
 ),
 "B",
 "A"
),
C995="B",
IF(AND(AV995&gt;=AW995,I995="READABLE"),"E","B"),
C995="E",
IF(OR(I995="SAME",AD995&lt;=axisTol),"F","E"),
C995="F",
IF(AX995&gt;=sameN,"G","F"),
C995="G",
IF(OR(I995="EQUAL",BB995=1,BA995&gt;=duoMax),"D","G"),
C995="D",
IF(AND(AV995&gt;=AW995,I995="READABLE"),"H","D"),
C995="H",
IF(OR(I995="SAME",AD995&lt;=axisTol),"I","H"),
C995="I",
IF(AX995&gt;=sameN,"J","I"),
C995="J",
IF(OR(I995="EQUAL",BB995=1,BA995&gt;=duoMax),"K","J"),
C995="K",
IF(
 I995="SAME",
 IF(
   XLOOKUP($B995,Derived_Variables!$A:$A,Derived_Variables!$Q:$Q,"None")="None",
   "END",
   "P"
 ),
 "K"
),
C995="P",
IF(OR(I995="READABLE",I995="SAME"),"Q","P"),
C995="Q",
IF(OR(I995="READABLE",I995="SAME"),"R","Q"),
C995="R",
IF(OR(I995="TARGET_OK",I995="SAME"),"END","R"),
TRUE,"END"
)))</f>
        <v/>
      </c>
      <c r="BD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 t="str">
        <f t="array" ref="BC996">IF($I996="","",LET(
conf,AI996,
sameN,IF(conf="Low",1,IF(conf="Medium",2,3)),
duoMax,XLOOKUP($B996,Derived_Variables!$A:$A,Derived_Variables!$AI:$AI,4),
axisTol,XLOOKUP($B996,Derived_Variables!$A:$A,Derived_Variables!$W:$W,1),
IFS(
C996="A",
IF(
 OR(
   I996="NOT_READABLE",
   I996="BLURRY",
   AND(R996="20_20_20",I996="READABLE")
 ),
 "B",
 "A"
),
C996="B",
IF(AND(AV996&gt;=AW996,I996="READABLE"),"E","B"),
C996="E",
IF(OR(I996="SAME",AD996&lt;=axisTol),"F","E"),
C996="F",
IF(AX996&gt;=sameN,"G","F"),
C996="G",
IF(OR(I996="EQUAL",BB996=1,BA996&gt;=duoMax),"D","G"),
C996="D",
IF(AND(AV996&gt;=AW996,I996="READABLE"),"H","D"),
C996="H",
IF(OR(I996="SAME",AD996&lt;=axisTol),"I","H"),
C996="I",
IF(AX996&gt;=sameN,"J","I"),
C996="J",
IF(OR(I996="EQUAL",BB996=1,BA996&gt;=duoMax),"K","J"),
C996="K",
IF(
 I996="SAME",
 IF(
   XLOOKUP($B996,Derived_Variables!$A:$A,Derived_Variables!$Q:$Q,"None")="None",
   "END",
   "P"
 ),
 "K"
),
C996="P",
IF(OR(I996="READABLE",I996="SAME"),"Q","P"),
C996="Q",
IF(OR(I996="READABLE",I996="SAME"),"R","Q"),
C996="R",
IF(OR(I996="TARGET_OK",I996="SAME"),"END","R"),
TRUE,"END"
)))</f>
        <v/>
      </c>
      <c r="BD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 t="str">
        <f t="array" ref="BC997">IF($I997="","",LET(
conf,AI997,
sameN,IF(conf="Low",1,IF(conf="Medium",2,3)),
duoMax,XLOOKUP($B997,Derived_Variables!$A:$A,Derived_Variables!$AI:$AI,4),
axisTol,XLOOKUP($B997,Derived_Variables!$A:$A,Derived_Variables!$W:$W,1),
IFS(
C997="A",
IF(
 OR(
   I997="NOT_READABLE",
   I997="BLURRY",
   AND(R997="20_20_20",I997="READABLE")
 ),
 "B",
 "A"
),
C997="B",
IF(AND(AV997&gt;=AW997,I997="READABLE"),"E","B"),
C997="E",
IF(OR(I997="SAME",AD997&lt;=axisTol),"F","E"),
C997="F",
IF(AX997&gt;=sameN,"G","F"),
C997="G",
IF(OR(I997="EQUAL",BB997=1,BA997&gt;=duoMax),"D","G"),
C997="D",
IF(AND(AV997&gt;=AW997,I997="READABLE"),"H","D"),
C997="H",
IF(OR(I997="SAME",AD997&lt;=axisTol),"I","H"),
C997="I",
IF(AX997&gt;=sameN,"J","I"),
C997="J",
IF(OR(I997="EQUAL",BB997=1,BA997&gt;=duoMax),"K","J"),
C997="K",
IF(
 I997="SAME",
 IF(
   XLOOKUP($B997,Derived_Variables!$A:$A,Derived_Variables!$Q:$Q,"None")="None",
   "END",
   "P"
 ),
 "K"
),
C997="P",
IF(OR(I997="READABLE",I997="SAME"),"Q","P"),
C997="Q",
IF(OR(I997="READABLE",I997="SAME"),"R","Q"),
C997="R",
IF(OR(I997="TARGET_OK",I997="SAME"),"END","R"),
TRUE,"END"
)))</f>
        <v/>
      </c>
      <c r="BD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 t="str">
        <f t="array" ref="BC998">IF($I998="","",LET(
conf,AI998,
sameN,IF(conf="Low",1,IF(conf="Medium",2,3)),
duoMax,XLOOKUP($B998,Derived_Variables!$A:$A,Derived_Variables!$AI:$AI,4),
axisTol,XLOOKUP($B998,Derived_Variables!$A:$A,Derived_Variables!$W:$W,1),
IFS(
C998="A",
IF(
 OR(
   I998="NOT_READABLE",
   I998="BLURRY",
   AND(R998="20_20_20",I998="READABLE")
 ),
 "B",
 "A"
),
C998="B",
IF(AND(AV998&gt;=AW998,I998="READABLE"),"E","B"),
C998="E",
IF(OR(I998="SAME",AD998&lt;=axisTol),"F","E"),
C998="F",
IF(AX998&gt;=sameN,"G","F"),
C998="G",
IF(OR(I998="EQUAL",BB998=1,BA998&gt;=duoMax),"D","G"),
C998="D",
IF(AND(AV998&gt;=AW998,I998="READABLE"),"H","D"),
C998="H",
IF(OR(I998="SAME",AD998&lt;=axisTol),"I","H"),
C998="I",
IF(AX998&gt;=sameN,"J","I"),
C998="J",
IF(OR(I998="EQUAL",BB998=1,BA998&gt;=duoMax),"K","J"),
C998="K",
IF(
 I998="SAME",
 IF(
   XLOOKUP($B998,Derived_Variables!$A:$A,Derived_Variables!$Q:$Q,"None")="None",
   "END",
   "P"
 ),
 "K"
),
C998="P",
IF(OR(I998="READABLE",I998="SAME"),"Q","P"),
C998="Q",
IF(OR(I998="READABLE",I998="SAME"),"R","Q"),
C998="R",
IF(OR(I998="TARGET_OK",I998="SAME"),"END","R"),
TRUE,"END"
)))</f>
        <v/>
      </c>
      <c r="BD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 t="str">
        <f t="array" ref="BC999">IF($I999="","",LET(
conf,AI999,
sameN,IF(conf="Low",1,IF(conf="Medium",2,3)),
duoMax,XLOOKUP($B999,Derived_Variables!$A:$A,Derived_Variables!$AI:$AI,4),
axisTol,XLOOKUP($B999,Derived_Variables!$A:$A,Derived_Variables!$W:$W,1),
IFS(
C999="A",
IF(
 OR(
   I999="NOT_READABLE",
   I999="BLURRY",
   AND(R999="20_20_20",I999="READABLE")
 ),
 "B",
 "A"
),
C999="B",
IF(AND(AV999&gt;=AW999,I999="READABLE"),"E","B"),
C999="E",
IF(OR(I999="SAME",AD999&lt;=axisTol),"F","E"),
C999="F",
IF(AX999&gt;=sameN,"G","F"),
C999="G",
IF(OR(I999="EQUAL",BB999=1,BA999&gt;=duoMax),"D","G"),
C999="D",
IF(AND(AV999&gt;=AW999,I999="READABLE"),"H","D"),
C999="H",
IF(OR(I999="SAME",AD999&lt;=axisTol),"I","H"),
C999="I",
IF(AX999&gt;=sameN,"J","I"),
C999="J",
IF(OR(I999="EQUAL",BB999=1,BA999&gt;=duoMax),"K","J"),
C999="K",
IF(
 I999="SAME",
 IF(
   XLOOKUP($B999,Derived_Variables!$A:$A,Derived_Variables!$Q:$Q,"None")="None",
   "END",
   "P"
 ),
 "K"
),
C999="P",
IF(OR(I999="READABLE",I999="SAME"),"Q","P"),
C999="Q",
IF(OR(I999="READABLE",I999="SAME"),"R","Q"),
C999="R",
IF(OR(I999="TARGET_OK",I999="SAME"),"END","R"),
TRUE,"END"
)))</f>
        <v/>
      </c>
      <c r="BD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 t="str">
        <f t="array" ref="BC1000">IF($I1000="","",LET(
conf,AI1000,
sameN,IF(conf="Low",1,IF(conf="Medium",2,3)),
duoMax,XLOOKUP($B1000,Derived_Variables!$A:$A,Derived_Variables!$AI:$AI,4),
axisTol,XLOOKUP($B1000,Derived_Variables!$A:$A,Derived_Variables!$W:$W,1),
IFS(
C1000="A",
IF(
 OR(
   I1000="NOT_READABLE",
   I1000="BLURRY",
   AND(R1000="20_20_20",I1000="READABLE")
 ),
 "B",
 "A"
),
C1000="B",
IF(AND(AV1000&gt;=AW1000,I1000="READABLE"),"E","B"),
C1000="E",
IF(OR(I1000="SAME",AD1000&lt;=axisTol),"F","E"),
C1000="F",
IF(AX1000&gt;=sameN,"G","F"),
C1000="G",
IF(OR(I1000="EQUAL",BB1000=1,BA1000&gt;=duoMax),"D","G"),
C1000="D",
IF(AND(AV1000&gt;=AW1000,I1000="READABLE"),"H","D"),
C1000="H",
IF(OR(I1000="SAME",AD1000&lt;=axisTol),"I","H"),
C1000="I",
IF(AX1000&gt;=sameN,"J","I"),
C1000="J",
IF(OR(I1000="EQUAL",BB1000=1,BA1000&gt;=duoMax),"K","J"),
C1000="K",
IF(
 I1000="SAME",
 IF(
   XLOOKUP($B1000,Derived_Variables!$A:$A,Derived_Variables!$Q:$Q,"None")="None",
   "END",
   "P"
 ),
 "K"
),
C1000="P",
IF(OR(I1000="READABLE",I1000="SAME"),"Q","P"),
C1000="Q",
IF(OR(I1000="READABLE",I1000="SAME"),"R","Q"),
C1000="R",
IF(OR(I1000="TARGET_OK",I1000="SAME"),"END","R"),
TRUE,"END"
)))</f>
        <v/>
      </c>
      <c r="BD1000" s="28"/>
    </row>
  </sheetData>
  <dataValidations>
    <dataValidation type="list" allowBlank="1" showErrorMessage="1" sqref="I2:I484">
      <formula1>FSM_Simulator!J2:O2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40.14"/>
    <col customWidth="1" min="3" max="3" width="24.57"/>
    <col customWidth="1" min="4" max="4" width="13.0"/>
    <col customWidth="1" min="5" max="5" width="32.71"/>
    <col customWidth="1" min="6" max="6" width="33.57"/>
    <col customWidth="1" min="7" max="7" width="46.71"/>
  </cols>
  <sheetData>
    <row r="1" ht="35.25" customHeight="1">
      <c r="A1" s="32" t="s">
        <v>21</v>
      </c>
      <c r="B1" s="32" t="s">
        <v>227</v>
      </c>
      <c r="C1" s="32" t="s">
        <v>228</v>
      </c>
      <c r="D1" s="32" t="s">
        <v>229</v>
      </c>
      <c r="E1" s="32" t="s">
        <v>230</v>
      </c>
      <c r="F1" s="32" t="s">
        <v>231</v>
      </c>
      <c r="G1" s="32" t="s">
        <v>232</v>
      </c>
      <c r="H1" s="33" t="s">
        <v>227</v>
      </c>
      <c r="I1" s="34" t="s">
        <v>228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35.25" customHeight="1">
      <c r="A2" s="36" t="s">
        <v>233</v>
      </c>
      <c r="B2" s="36" t="s">
        <v>234</v>
      </c>
      <c r="C2" s="36">
        <v>1.0</v>
      </c>
      <c r="D2" s="36" t="s">
        <v>235</v>
      </c>
      <c r="E2" s="36" t="s">
        <v>236</v>
      </c>
      <c r="F2" s="36" t="s">
        <v>237</v>
      </c>
      <c r="G2" s="36" t="s">
        <v>238</v>
      </c>
      <c r="H2" s="37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35.25" customHeight="1">
      <c r="A3" s="36" t="s">
        <v>233</v>
      </c>
      <c r="B3" s="36" t="s">
        <v>239</v>
      </c>
      <c r="C3" s="36" t="s">
        <v>240</v>
      </c>
      <c r="D3" s="36" t="s">
        <v>235</v>
      </c>
      <c r="E3" s="36" t="s">
        <v>236</v>
      </c>
      <c r="F3" s="36" t="s">
        <v>241</v>
      </c>
      <c r="G3" s="36" t="s">
        <v>242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35.2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35.25" customHeight="1">
      <c r="A5" s="39" t="s">
        <v>243</v>
      </c>
      <c r="B5" s="39" t="s">
        <v>244</v>
      </c>
      <c r="C5" s="39">
        <v>17.0</v>
      </c>
      <c r="D5" s="39" t="s">
        <v>245</v>
      </c>
      <c r="E5" s="39" t="s">
        <v>246</v>
      </c>
      <c r="F5" s="39" t="s">
        <v>132</v>
      </c>
      <c r="G5" s="39" t="s">
        <v>247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35.25" customHeight="1">
      <c r="A6" s="39" t="s">
        <v>243</v>
      </c>
      <c r="B6" s="39" t="s">
        <v>248</v>
      </c>
      <c r="C6" s="39">
        <v>40.0</v>
      </c>
      <c r="D6" s="39" t="s">
        <v>245</v>
      </c>
      <c r="E6" s="39" t="s">
        <v>246</v>
      </c>
      <c r="F6" s="39" t="s">
        <v>132</v>
      </c>
      <c r="G6" s="39" t="s">
        <v>249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35.25" customHeight="1">
      <c r="A7" s="39" t="s">
        <v>243</v>
      </c>
      <c r="B7" s="39" t="s">
        <v>250</v>
      </c>
      <c r="C7" s="39">
        <v>2.0</v>
      </c>
      <c r="D7" s="39" t="s">
        <v>251</v>
      </c>
      <c r="E7" s="39" t="s">
        <v>252</v>
      </c>
      <c r="F7" s="39" t="s">
        <v>133</v>
      </c>
      <c r="G7" s="39" t="s">
        <v>253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35.25" customHeight="1">
      <c r="A8" s="39" t="s">
        <v>243</v>
      </c>
      <c r="B8" s="39" t="s">
        <v>254</v>
      </c>
      <c r="C8" s="39">
        <v>6.0</v>
      </c>
      <c r="D8" s="39" t="s">
        <v>251</v>
      </c>
      <c r="E8" s="39" t="s">
        <v>252</v>
      </c>
      <c r="F8" s="39" t="s">
        <v>134</v>
      </c>
      <c r="G8" s="39" t="s">
        <v>255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35.25" customHeight="1">
      <c r="A9" s="39" t="s">
        <v>243</v>
      </c>
      <c r="B9" s="39" t="s">
        <v>256</v>
      </c>
      <c r="C9" s="39">
        <v>4.0</v>
      </c>
      <c r="D9" s="39" t="s">
        <v>251</v>
      </c>
      <c r="E9" s="39" t="s">
        <v>252</v>
      </c>
      <c r="F9" s="39" t="s">
        <v>134</v>
      </c>
      <c r="G9" s="39" t="s">
        <v>257</v>
      </c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35.25" customHeight="1">
      <c r="A10" s="39" t="s">
        <v>243</v>
      </c>
      <c r="B10" s="39" t="s">
        <v>258</v>
      </c>
      <c r="C10" s="39">
        <v>24.0</v>
      </c>
      <c r="D10" s="39" t="s">
        <v>259</v>
      </c>
      <c r="E10" s="39" t="s">
        <v>246</v>
      </c>
      <c r="F10" s="39" t="s">
        <v>137</v>
      </c>
      <c r="G10" s="39" t="s">
        <v>260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35.25" customHeight="1">
      <c r="A11" s="39" t="s">
        <v>243</v>
      </c>
      <c r="B11" s="39" t="s">
        <v>261</v>
      </c>
      <c r="C11" s="39">
        <v>38.0</v>
      </c>
      <c r="D11" s="39" t="s">
        <v>245</v>
      </c>
      <c r="E11" s="39" t="s">
        <v>246</v>
      </c>
      <c r="F11" s="39" t="s">
        <v>147</v>
      </c>
      <c r="G11" s="39" t="s">
        <v>262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35.25" customHeight="1">
      <c r="A12" s="39" t="s">
        <v>243</v>
      </c>
      <c r="B12" s="39" t="s">
        <v>263</v>
      </c>
      <c r="C12" s="39">
        <v>42.0</v>
      </c>
      <c r="D12" s="39" t="s">
        <v>245</v>
      </c>
      <c r="E12" s="39" t="s">
        <v>246</v>
      </c>
      <c r="F12" s="39" t="s">
        <v>147</v>
      </c>
      <c r="G12" s="39" t="s">
        <v>264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35.25" customHeight="1">
      <c r="A13" s="39" t="s">
        <v>243</v>
      </c>
      <c r="B13" s="39" t="s">
        <v>265</v>
      </c>
      <c r="C13" s="39" t="b">
        <v>1</v>
      </c>
      <c r="D13" s="39" t="s">
        <v>266</v>
      </c>
      <c r="E13" s="39" t="s">
        <v>267</v>
      </c>
      <c r="F13" s="39" t="s">
        <v>268</v>
      </c>
      <c r="G13" s="39" t="s">
        <v>269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35.25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35.25" customHeight="1">
      <c r="A15" s="40" t="s">
        <v>270</v>
      </c>
      <c r="B15" s="40" t="s">
        <v>271</v>
      </c>
      <c r="C15" s="40">
        <v>1.0</v>
      </c>
      <c r="D15" s="40" t="s">
        <v>272</v>
      </c>
      <c r="E15" s="40" t="s">
        <v>273</v>
      </c>
      <c r="F15" s="40" t="s">
        <v>138</v>
      </c>
      <c r="G15" s="40" t="s">
        <v>274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35.25" customHeight="1">
      <c r="A16" s="40" t="s">
        <v>270</v>
      </c>
      <c r="B16" s="40" t="s">
        <v>275</v>
      </c>
      <c r="C16" s="40">
        <v>2.0</v>
      </c>
      <c r="D16" s="40" t="s">
        <v>272</v>
      </c>
      <c r="E16" s="40" t="s">
        <v>273</v>
      </c>
      <c r="F16" s="40" t="s">
        <v>138</v>
      </c>
      <c r="G16" s="40" t="s">
        <v>276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35.25" customHeight="1">
      <c r="A17" s="40" t="s">
        <v>270</v>
      </c>
      <c r="B17" s="40" t="s">
        <v>277</v>
      </c>
      <c r="C17" s="40">
        <v>0.5</v>
      </c>
      <c r="D17" s="40" t="s">
        <v>272</v>
      </c>
      <c r="E17" s="40" t="s">
        <v>273</v>
      </c>
      <c r="F17" s="40" t="s">
        <v>138</v>
      </c>
      <c r="G17" s="40" t="s">
        <v>278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35.25" customHeight="1">
      <c r="A18" s="40" t="s">
        <v>270</v>
      </c>
      <c r="B18" s="40" t="s">
        <v>279</v>
      </c>
      <c r="C18" s="40">
        <v>1.0</v>
      </c>
      <c r="D18" s="40" t="s">
        <v>272</v>
      </c>
      <c r="E18" s="40" t="s">
        <v>273</v>
      </c>
      <c r="F18" s="40" t="s">
        <v>138</v>
      </c>
      <c r="G18" s="40" t="s">
        <v>280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35.25" customHeight="1">
      <c r="A19" s="40" t="s">
        <v>270</v>
      </c>
      <c r="B19" s="40" t="s">
        <v>281</v>
      </c>
      <c r="C19" s="40">
        <v>15.0</v>
      </c>
      <c r="D19" s="40" t="s">
        <v>282</v>
      </c>
      <c r="E19" s="40" t="s">
        <v>246</v>
      </c>
      <c r="F19" s="40" t="s">
        <v>138</v>
      </c>
      <c r="G19" s="40" t="s">
        <v>283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35.25" customHeight="1">
      <c r="A20" s="40" t="s">
        <v>270</v>
      </c>
      <c r="B20" s="40" t="s">
        <v>284</v>
      </c>
      <c r="C20" s="40">
        <v>30.0</v>
      </c>
      <c r="D20" s="40" t="s">
        <v>282</v>
      </c>
      <c r="E20" s="40" t="s">
        <v>246</v>
      </c>
      <c r="F20" s="40" t="s">
        <v>138</v>
      </c>
      <c r="G20" s="40" t="s">
        <v>285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35.25" customHeight="1">
      <c r="A21" s="40" t="s">
        <v>270</v>
      </c>
      <c r="B21" s="40" t="s">
        <v>286</v>
      </c>
      <c r="C21" s="40">
        <v>1.0</v>
      </c>
      <c r="D21" s="40" t="s">
        <v>272</v>
      </c>
      <c r="E21" s="40" t="s">
        <v>273</v>
      </c>
      <c r="F21" s="40" t="s">
        <v>139</v>
      </c>
      <c r="G21" s="40" t="s">
        <v>287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35.25" customHeight="1">
      <c r="A22" s="40" t="s">
        <v>270</v>
      </c>
      <c r="B22" s="40" t="s">
        <v>288</v>
      </c>
      <c r="C22" s="40">
        <v>2.0</v>
      </c>
      <c r="D22" s="40" t="s">
        <v>272</v>
      </c>
      <c r="E22" s="40" t="s">
        <v>273</v>
      </c>
      <c r="F22" s="40" t="s">
        <v>139</v>
      </c>
      <c r="G22" s="40" t="s">
        <v>289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35.25" customHeight="1">
      <c r="A23" s="40" t="s">
        <v>270</v>
      </c>
      <c r="B23" s="40" t="s">
        <v>290</v>
      </c>
      <c r="C23" s="40">
        <v>0.5</v>
      </c>
      <c r="D23" s="40" t="s">
        <v>272</v>
      </c>
      <c r="E23" s="40" t="s">
        <v>273</v>
      </c>
      <c r="F23" s="40" t="s">
        <v>139</v>
      </c>
      <c r="G23" s="40" t="s">
        <v>291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35.25" customHeight="1">
      <c r="A24" s="40" t="s">
        <v>270</v>
      </c>
      <c r="B24" s="40" t="s">
        <v>292</v>
      </c>
      <c r="C24" s="40">
        <v>1.0</v>
      </c>
      <c r="D24" s="40" t="s">
        <v>272</v>
      </c>
      <c r="E24" s="40" t="s">
        <v>273</v>
      </c>
      <c r="F24" s="40" t="s">
        <v>139</v>
      </c>
      <c r="G24" s="40" t="s">
        <v>293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35.25" customHeight="1">
      <c r="A25" s="40" t="s">
        <v>270</v>
      </c>
      <c r="B25" s="40" t="s">
        <v>294</v>
      </c>
      <c r="C25" s="40">
        <v>15.0</v>
      </c>
      <c r="D25" s="40" t="s">
        <v>282</v>
      </c>
      <c r="E25" s="40" t="s">
        <v>246</v>
      </c>
      <c r="F25" s="40" t="s">
        <v>139</v>
      </c>
      <c r="G25" s="40" t="s">
        <v>295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35.25" customHeight="1">
      <c r="A26" s="40" t="s">
        <v>270</v>
      </c>
      <c r="B26" s="40" t="s">
        <v>296</v>
      </c>
      <c r="C26" s="40">
        <v>30.0</v>
      </c>
      <c r="D26" s="40" t="s">
        <v>282</v>
      </c>
      <c r="E26" s="40" t="s">
        <v>246</v>
      </c>
      <c r="F26" s="40" t="s">
        <v>139</v>
      </c>
      <c r="G26" s="40" t="s">
        <v>297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35.2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35.25" customHeight="1">
      <c r="A28" s="41" t="s">
        <v>298</v>
      </c>
      <c r="B28" s="41" t="s">
        <v>299</v>
      </c>
      <c r="C28" s="41" t="s">
        <v>300</v>
      </c>
      <c r="D28" s="41" t="s">
        <v>235</v>
      </c>
      <c r="E28" s="41" t="s">
        <v>301</v>
      </c>
      <c r="F28" s="41" t="s">
        <v>140</v>
      </c>
      <c r="G28" s="41" t="s">
        <v>302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35.25" customHeight="1">
      <c r="A29" s="41" t="s">
        <v>298</v>
      </c>
      <c r="B29" s="41" t="s">
        <v>303</v>
      </c>
      <c r="C29" s="41" t="s">
        <v>304</v>
      </c>
      <c r="D29" s="41" t="s">
        <v>235</v>
      </c>
      <c r="E29" s="41" t="s">
        <v>301</v>
      </c>
      <c r="F29" s="41" t="s">
        <v>140</v>
      </c>
      <c r="G29" s="41" t="s">
        <v>305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35.25" customHeight="1">
      <c r="A30" s="41" t="s">
        <v>298</v>
      </c>
      <c r="B30" s="41" t="s">
        <v>306</v>
      </c>
      <c r="C30" s="41" t="s">
        <v>304</v>
      </c>
      <c r="D30" s="41" t="s">
        <v>235</v>
      </c>
      <c r="E30" s="41" t="s">
        <v>301</v>
      </c>
      <c r="F30" s="41" t="s">
        <v>140</v>
      </c>
      <c r="G30" s="41" t="s">
        <v>307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35.25" customHeight="1">
      <c r="A31" s="41" t="s">
        <v>298</v>
      </c>
      <c r="B31" s="41" t="s">
        <v>308</v>
      </c>
      <c r="C31" s="41" t="s">
        <v>300</v>
      </c>
      <c r="D31" s="41" t="s">
        <v>235</v>
      </c>
      <c r="E31" s="41" t="s">
        <v>301</v>
      </c>
      <c r="F31" s="41" t="s">
        <v>140</v>
      </c>
      <c r="G31" s="41" t="s">
        <v>309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35.25" customHeight="1">
      <c r="A32" s="41" t="s">
        <v>298</v>
      </c>
      <c r="B32" s="41" t="s">
        <v>310</v>
      </c>
      <c r="C32" s="41" t="s">
        <v>120</v>
      </c>
      <c r="D32" s="41" t="s">
        <v>235</v>
      </c>
      <c r="E32" s="41" t="s">
        <v>301</v>
      </c>
      <c r="F32" s="41" t="s">
        <v>140</v>
      </c>
      <c r="G32" s="41" t="s">
        <v>311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35.25" customHeight="1">
      <c r="A33" s="41" t="s">
        <v>298</v>
      </c>
      <c r="B33" s="41" t="s">
        <v>312</v>
      </c>
      <c r="C33" s="41">
        <v>0.25</v>
      </c>
      <c r="D33" s="41" t="s">
        <v>272</v>
      </c>
      <c r="E33" s="41" t="s">
        <v>273</v>
      </c>
      <c r="F33" s="41" t="s">
        <v>313</v>
      </c>
      <c r="G33" s="41" t="s">
        <v>314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35.2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35.25" customHeight="1">
      <c r="A35" s="42" t="s">
        <v>315</v>
      </c>
      <c r="B35" s="42" t="s">
        <v>316</v>
      </c>
      <c r="C35" s="42" t="s">
        <v>317</v>
      </c>
      <c r="D35" s="42" t="s">
        <v>235</v>
      </c>
      <c r="E35" s="42" t="s">
        <v>318</v>
      </c>
      <c r="F35" s="42" t="s">
        <v>148</v>
      </c>
      <c r="G35" s="42" t="s">
        <v>319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35.25" customHeight="1">
      <c r="A36" s="42" t="s">
        <v>315</v>
      </c>
      <c r="B36" s="42" t="s">
        <v>320</v>
      </c>
      <c r="C36" s="42" t="s">
        <v>321</v>
      </c>
      <c r="D36" s="42" t="s">
        <v>235</v>
      </c>
      <c r="E36" s="42" t="s">
        <v>318</v>
      </c>
      <c r="F36" s="42" t="s">
        <v>148</v>
      </c>
      <c r="G36" s="42" t="s">
        <v>322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35.25" customHeight="1">
      <c r="A37" s="42" t="s">
        <v>315</v>
      </c>
      <c r="B37" s="42" t="s">
        <v>323</v>
      </c>
      <c r="C37" s="42" t="s">
        <v>324</v>
      </c>
      <c r="D37" s="42" t="s">
        <v>235</v>
      </c>
      <c r="E37" s="42" t="s">
        <v>325</v>
      </c>
      <c r="F37" s="42" t="s">
        <v>326</v>
      </c>
      <c r="G37" s="42" t="s">
        <v>327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35.25" customHeight="1">
      <c r="A38" s="42" t="s">
        <v>315</v>
      </c>
      <c r="B38" s="42" t="s">
        <v>328</v>
      </c>
      <c r="C38" s="42" t="s">
        <v>329</v>
      </c>
      <c r="D38" s="42" t="s">
        <v>235</v>
      </c>
      <c r="E38" s="42" t="s">
        <v>325</v>
      </c>
      <c r="F38" s="42" t="s">
        <v>326</v>
      </c>
      <c r="G38" s="42" t="s">
        <v>330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35.2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35.25" customHeight="1">
      <c r="A40" s="43" t="s">
        <v>331</v>
      </c>
      <c r="B40" s="43" t="s">
        <v>332</v>
      </c>
      <c r="C40" s="43" t="s">
        <v>333</v>
      </c>
      <c r="D40" s="43" t="s">
        <v>235</v>
      </c>
      <c r="E40" s="43" t="s">
        <v>334</v>
      </c>
      <c r="F40" s="43" t="s">
        <v>149</v>
      </c>
      <c r="G40" s="43" t="s">
        <v>335</v>
      </c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35.25" customHeight="1">
      <c r="A41" s="43" t="s">
        <v>331</v>
      </c>
      <c r="B41" s="43" t="s">
        <v>336</v>
      </c>
      <c r="C41" s="43" t="s">
        <v>337</v>
      </c>
      <c r="D41" s="43" t="s">
        <v>235</v>
      </c>
      <c r="E41" s="43" t="s">
        <v>334</v>
      </c>
      <c r="F41" s="43" t="s">
        <v>149</v>
      </c>
      <c r="G41" s="43" t="s">
        <v>338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35.25" customHeight="1">
      <c r="A42" s="43" t="s">
        <v>331</v>
      </c>
      <c r="B42" s="43" t="s">
        <v>339</v>
      </c>
      <c r="C42" s="43" t="s">
        <v>340</v>
      </c>
      <c r="D42" s="43" t="s">
        <v>235</v>
      </c>
      <c r="E42" s="43" t="s">
        <v>334</v>
      </c>
      <c r="F42" s="43" t="s">
        <v>149</v>
      </c>
      <c r="G42" s="43" t="s">
        <v>341</v>
      </c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35.25" customHeight="1">
      <c r="A43" s="43" t="s">
        <v>331</v>
      </c>
      <c r="B43" s="43" t="s">
        <v>342</v>
      </c>
      <c r="C43" s="43">
        <v>0.25</v>
      </c>
      <c r="D43" s="43" t="s">
        <v>272</v>
      </c>
      <c r="E43" s="43" t="s">
        <v>273</v>
      </c>
      <c r="F43" s="43" t="s">
        <v>343</v>
      </c>
      <c r="G43" s="43" t="s">
        <v>344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35.25" customHeight="1">
      <c r="A44" s="43" t="s">
        <v>331</v>
      </c>
      <c r="B44" s="43" t="s">
        <v>345</v>
      </c>
      <c r="C44" s="43">
        <v>0.25</v>
      </c>
      <c r="D44" s="43" t="s">
        <v>272</v>
      </c>
      <c r="E44" s="43" t="s">
        <v>273</v>
      </c>
      <c r="F44" s="43" t="s">
        <v>343</v>
      </c>
      <c r="G44" s="43" t="s">
        <v>346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35.2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35.25" customHeight="1">
      <c r="A46" s="44" t="s">
        <v>347</v>
      </c>
      <c r="B46" s="44" t="s">
        <v>348</v>
      </c>
      <c r="C46" s="44">
        <v>0.25</v>
      </c>
      <c r="D46" s="44" t="s">
        <v>272</v>
      </c>
      <c r="E46" s="44" t="s">
        <v>273</v>
      </c>
      <c r="F46" s="44" t="s">
        <v>349</v>
      </c>
      <c r="G46" s="44" t="s">
        <v>350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35.25" customHeight="1">
      <c r="A47" s="44" t="s">
        <v>347</v>
      </c>
      <c r="B47" s="44" t="s">
        <v>351</v>
      </c>
      <c r="C47" s="44">
        <v>0.25</v>
      </c>
      <c r="D47" s="44" t="s">
        <v>272</v>
      </c>
      <c r="E47" s="44" t="s">
        <v>273</v>
      </c>
      <c r="F47" s="44" t="s">
        <v>349</v>
      </c>
      <c r="G47" s="44" t="s">
        <v>352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35.25" customHeight="1">
      <c r="A48" s="44" t="s">
        <v>347</v>
      </c>
      <c r="B48" s="44" t="s">
        <v>353</v>
      </c>
      <c r="C48" s="44">
        <v>0.25</v>
      </c>
      <c r="D48" s="44" t="s">
        <v>272</v>
      </c>
      <c r="E48" s="44" t="s">
        <v>273</v>
      </c>
      <c r="F48" s="44" t="s">
        <v>349</v>
      </c>
      <c r="G48" s="44" t="s">
        <v>354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35.25" customHeight="1">
      <c r="A49" s="44" t="s">
        <v>347</v>
      </c>
      <c r="B49" s="44" t="s">
        <v>355</v>
      </c>
      <c r="C49" s="44">
        <v>0.25</v>
      </c>
      <c r="D49" s="44" t="s">
        <v>272</v>
      </c>
      <c r="E49" s="44" t="s">
        <v>273</v>
      </c>
      <c r="F49" s="44" t="s">
        <v>356</v>
      </c>
      <c r="G49" s="44" t="s">
        <v>357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35.25" customHeight="1">
      <c r="A50" s="44" t="s">
        <v>347</v>
      </c>
      <c r="B50" s="44" t="s">
        <v>358</v>
      </c>
      <c r="C50" s="44">
        <v>0.25</v>
      </c>
      <c r="D50" s="44" t="s">
        <v>272</v>
      </c>
      <c r="E50" s="44" t="s">
        <v>273</v>
      </c>
      <c r="F50" s="44" t="s">
        <v>356</v>
      </c>
      <c r="G50" s="44" t="s">
        <v>359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35.25" customHeight="1">
      <c r="A51" s="44" t="s">
        <v>347</v>
      </c>
      <c r="B51" s="44" t="s">
        <v>360</v>
      </c>
      <c r="C51" s="44">
        <v>0.25</v>
      </c>
      <c r="D51" s="44" t="s">
        <v>272</v>
      </c>
      <c r="E51" s="44" t="s">
        <v>273</v>
      </c>
      <c r="F51" s="44" t="s">
        <v>356</v>
      </c>
      <c r="G51" s="44" t="s">
        <v>361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35.2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35.25" customHeight="1">
      <c r="A53" s="45" t="s">
        <v>362</v>
      </c>
      <c r="B53" s="45" t="s">
        <v>363</v>
      </c>
      <c r="C53" s="45">
        <v>5.0</v>
      </c>
      <c r="D53" s="45" t="s">
        <v>282</v>
      </c>
      <c r="E53" s="45" t="s">
        <v>246</v>
      </c>
      <c r="F53" s="45" t="s">
        <v>364</v>
      </c>
      <c r="G53" s="45" t="s">
        <v>365</v>
      </c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35.25" customHeight="1">
      <c r="A54" s="45" t="s">
        <v>362</v>
      </c>
      <c r="B54" s="45" t="s">
        <v>366</v>
      </c>
      <c r="C54" s="45">
        <v>3.0</v>
      </c>
      <c r="D54" s="45" t="s">
        <v>282</v>
      </c>
      <c r="E54" s="45" t="s">
        <v>246</v>
      </c>
      <c r="F54" s="45" t="s">
        <v>367</v>
      </c>
      <c r="G54" s="45" t="s">
        <v>368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35.25" customHeight="1">
      <c r="A55" s="45" t="s">
        <v>362</v>
      </c>
      <c r="B55" s="45" t="s">
        <v>369</v>
      </c>
      <c r="C55" s="45">
        <v>1.0</v>
      </c>
      <c r="D55" s="45" t="s">
        <v>282</v>
      </c>
      <c r="E55" s="45" t="s">
        <v>246</v>
      </c>
      <c r="F55" s="45" t="s">
        <v>370</v>
      </c>
      <c r="G55" s="45" t="s">
        <v>371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35.25" customHeight="1">
      <c r="A56" s="45" t="s">
        <v>362</v>
      </c>
      <c r="B56" s="45" t="s">
        <v>372</v>
      </c>
      <c r="C56" s="45" t="s">
        <v>373</v>
      </c>
      <c r="D56" s="45" t="s">
        <v>235</v>
      </c>
      <c r="E56" s="45" t="s">
        <v>374</v>
      </c>
      <c r="F56" s="45" t="s">
        <v>375</v>
      </c>
      <c r="G56" s="45" t="s">
        <v>376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35.25" customHeight="1">
      <c r="A57" s="45" t="s">
        <v>362</v>
      </c>
      <c r="B57" s="45" t="s">
        <v>377</v>
      </c>
      <c r="C57" s="45">
        <v>1.0</v>
      </c>
      <c r="D57" s="45" t="s">
        <v>282</v>
      </c>
      <c r="E57" s="45" t="s">
        <v>246</v>
      </c>
      <c r="F57" s="45" t="s">
        <v>153</v>
      </c>
      <c r="G57" s="45" t="s">
        <v>378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35.25" customHeight="1">
      <c r="A58" s="45" t="s">
        <v>362</v>
      </c>
      <c r="B58" s="45" t="s">
        <v>379</v>
      </c>
      <c r="C58" s="45">
        <v>3.0</v>
      </c>
      <c r="D58" s="45" t="s">
        <v>282</v>
      </c>
      <c r="E58" s="45" t="s">
        <v>246</v>
      </c>
      <c r="F58" s="45" t="s">
        <v>153</v>
      </c>
      <c r="G58" s="45" t="s">
        <v>380</v>
      </c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35.25" customHeight="1">
      <c r="A59" s="45" t="s">
        <v>362</v>
      </c>
      <c r="B59" s="45" t="s">
        <v>381</v>
      </c>
      <c r="C59" s="45">
        <v>5.0</v>
      </c>
      <c r="D59" s="45" t="s">
        <v>282</v>
      </c>
      <c r="E59" s="45" t="s">
        <v>246</v>
      </c>
      <c r="F59" s="45" t="s">
        <v>153</v>
      </c>
      <c r="G59" s="45" t="s">
        <v>382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35.2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35.25" customHeight="1">
      <c r="A61" s="46" t="s">
        <v>383</v>
      </c>
      <c r="B61" s="46" t="s">
        <v>384</v>
      </c>
      <c r="C61" s="46">
        <v>0.25</v>
      </c>
      <c r="D61" s="46" t="s">
        <v>272</v>
      </c>
      <c r="E61" s="46" t="s">
        <v>273</v>
      </c>
      <c r="F61" s="46" t="s">
        <v>154</v>
      </c>
      <c r="G61" s="46" t="s">
        <v>385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35.25" customHeight="1">
      <c r="A62" s="46" t="s">
        <v>383</v>
      </c>
      <c r="B62" s="46" t="s">
        <v>386</v>
      </c>
      <c r="C62" s="46">
        <v>0.25</v>
      </c>
      <c r="D62" s="46" t="s">
        <v>272</v>
      </c>
      <c r="E62" s="46" t="s">
        <v>273</v>
      </c>
      <c r="F62" s="46" t="s">
        <v>154</v>
      </c>
      <c r="G62" s="46" t="s">
        <v>387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35.25" customHeight="1">
      <c r="A63" s="46" t="s">
        <v>383</v>
      </c>
      <c r="B63" s="46" t="s">
        <v>388</v>
      </c>
      <c r="C63" s="46">
        <v>0.5</v>
      </c>
      <c r="D63" s="46" t="s">
        <v>272</v>
      </c>
      <c r="E63" s="46" t="s">
        <v>273</v>
      </c>
      <c r="F63" s="46" t="s">
        <v>154</v>
      </c>
      <c r="G63" s="46" t="s">
        <v>389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35.25" customHeight="1">
      <c r="A64" s="46" t="s">
        <v>383</v>
      </c>
      <c r="B64" s="46" t="s">
        <v>390</v>
      </c>
      <c r="C64" s="46">
        <v>1.0</v>
      </c>
      <c r="D64" s="46" t="s">
        <v>391</v>
      </c>
      <c r="E64" s="46" t="s">
        <v>246</v>
      </c>
      <c r="F64" s="46" t="s">
        <v>392</v>
      </c>
      <c r="G64" s="46" t="s">
        <v>393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35.25" customHeight="1">
      <c r="A65" s="46" t="s">
        <v>383</v>
      </c>
      <c r="B65" s="46" t="s">
        <v>394</v>
      </c>
      <c r="C65" s="46">
        <v>2.0</v>
      </c>
      <c r="D65" s="46" t="s">
        <v>391</v>
      </c>
      <c r="E65" s="46" t="s">
        <v>246</v>
      </c>
      <c r="F65" s="46" t="s">
        <v>392</v>
      </c>
      <c r="G65" s="46" t="s">
        <v>395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35.25" customHeight="1">
      <c r="A66" s="46" t="s">
        <v>383</v>
      </c>
      <c r="B66" s="46" t="s">
        <v>396</v>
      </c>
      <c r="C66" s="46">
        <v>2.0</v>
      </c>
      <c r="D66" s="46" t="s">
        <v>391</v>
      </c>
      <c r="E66" s="46" t="s">
        <v>246</v>
      </c>
      <c r="F66" s="46" t="s">
        <v>392</v>
      </c>
      <c r="G66" s="46" t="s">
        <v>397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35.2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35.25" customHeight="1">
      <c r="A68" s="47" t="s">
        <v>398</v>
      </c>
      <c r="B68" s="47" t="s">
        <v>399</v>
      </c>
      <c r="C68" s="47">
        <v>0.25</v>
      </c>
      <c r="D68" s="47" t="s">
        <v>272</v>
      </c>
      <c r="E68" s="47" t="s">
        <v>273</v>
      </c>
      <c r="F68" s="47" t="s">
        <v>161</v>
      </c>
      <c r="G68" s="47" t="s">
        <v>400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35.25" customHeight="1">
      <c r="A69" s="47" t="s">
        <v>398</v>
      </c>
      <c r="B69" s="47" t="s">
        <v>401</v>
      </c>
      <c r="C69" s="47">
        <v>0.75</v>
      </c>
      <c r="D69" s="47" t="s">
        <v>272</v>
      </c>
      <c r="E69" s="47" t="s">
        <v>273</v>
      </c>
      <c r="F69" s="47" t="s">
        <v>161</v>
      </c>
      <c r="G69" s="47" t="s">
        <v>402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35.25" customHeight="1">
      <c r="A70" s="47" t="s">
        <v>398</v>
      </c>
      <c r="B70" s="47" t="s">
        <v>403</v>
      </c>
      <c r="C70" s="47">
        <v>1.0</v>
      </c>
      <c r="D70" s="47" t="s">
        <v>272</v>
      </c>
      <c r="E70" s="47" t="s">
        <v>273</v>
      </c>
      <c r="F70" s="47" t="s">
        <v>161</v>
      </c>
      <c r="G70" s="47" t="s">
        <v>404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35.25" customHeight="1">
      <c r="A71" s="47" t="s">
        <v>398</v>
      </c>
      <c r="B71" s="47" t="s">
        <v>405</v>
      </c>
      <c r="C71" s="47" t="b">
        <v>1</v>
      </c>
      <c r="D71" s="47" t="s">
        <v>266</v>
      </c>
      <c r="E71" s="47" t="s">
        <v>267</v>
      </c>
      <c r="F71" s="47" t="s">
        <v>160</v>
      </c>
      <c r="G71" s="47" t="s">
        <v>406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35.25" customHeight="1">
      <c r="A72" s="47" t="s">
        <v>398</v>
      </c>
      <c r="B72" s="47" t="s">
        <v>407</v>
      </c>
      <c r="C72" s="47" t="b">
        <v>1</v>
      </c>
      <c r="D72" s="47" t="s">
        <v>266</v>
      </c>
      <c r="E72" s="47" t="s">
        <v>267</v>
      </c>
      <c r="F72" s="47" t="s">
        <v>160</v>
      </c>
      <c r="G72" s="47" t="s">
        <v>408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35.25" customHeight="1">
      <c r="A73" s="47" t="s">
        <v>398</v>
      </c>
      <c r="B73" s="47" t="s">
        <v>409</v>
      </c>
      <c r="C73" s="47" t="b">
        <v>1</v>
      </c>
      <c r="D73" s="47" t="s">
        <v>266</v>
      </c>
      <c r="E73" s="47" t="s">
        <v>267</v>
      </c>
      <c r="F73" s="47" t="s">
        <v>160</v>
      </c>
      <c r="G73" s="47" t="s">
        <v>410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35.25" customHeight="1">
      <c r="A74" s="47" t="s">
        <v>398</v>
      </c>
      <c r="B74" s="47" t="s">
        <v>411</v>
      </c>
      <c r="C74" s="47" t="b">
        <v>1</v>
      </c>
      <c r="D74" s="47" t="s">
        <v>266</v>
      </c>
      <c r="E74" s="47" t="s">
        <v>267</v>
      </c>
      <c r="F74" s="47" t="s">
        <v>160</v>
      </c>
      <c r="G74" s="47" t="s">
        <v>412</v>
      </c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35.25" customHeight="1">
      <c r="A75" s="47" t="s">
        <v>398</v>
      </c>
      <c r="B75" s="47" t="s">
        <v>413</v>
      </c>
      <c r="C75" s="47" t="b">
        <v>1</v>
      </c>
      <c r="D75" s="47" t="s">
        <v>266</v>
      </c>
      <c r="E75" s="47" t="s">
        <v>267</v>
      </c>
      <c r="F75" s="47" t="s">
        <v>160</v>
      </c>
      <c r="G75" s="47" t="s">
        <v>414</v>
      </c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35.25" customHeight="1">
      <c r="A76" s="47" t="s">
        <v>398</v>
      </c>
      <c r="B76" s="47" t="s">
        <v>415</v>
      </c>
      <c r="C76" s="47" t="s">
        <v>416</v>
      </c>
      <c r="D76" s="47" t="s">
        <v>235</v>
      </c>
      <c r="E76" s="47" t="s">
        <v>417</v>
      </c>
      <c r="F76" s="47" t="s">
        <v>162</v>
      </c>
      <c r="G76" s="47" t="s">
        <v>418</v>
      </c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35.25" customHeight="1">
      <c r="A77" s="47" t="s">
        <v>398</v>
      </c>
      <c r="B77" s="47" t="s">
        <v>419</v>
      </c>
      <c r="C77" s="47" t="s">
        <v>420</v>
      </c>
      <c r="D77" s="47" t="s">
        <v>235</v>
      </c>
      <c r="E77" s="47" t="s">
        <v>417</v>
      </c>
      <c r="F77" s="47" t="s">
        <v>162</v>
      </c>
      <c r="G77" s="47" t="s">
        <v>421</v>
      </c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35.25" customHeight="1">
      <c r="A78" s="47" t="s">
        <v>398</v>
      </c>
      <c r="B78" s="47" t="s">
        <v>422</v>
      </c>
      <c r="C78" s="47" t="s">
        <v>423</v>
      </c>
      <c r="D78" s="47" t="s">
        <v>235</v>
      </c>
      <c r="E78" s="47" t="s">
        <v>417</v>
      </c>
      <c r="F78" s="47" t="s">
        <v>162</v>
      </c>
      <c r="G78" s="47" t="s">
        <v>424</v>
      </c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35.25" customHeight="1">
      <c r="A79" s="47" t="s">
        <v>398</v>
      </c>
      <c r="B79" s="47" t="s">
        <v>425</v>
      </c>
      <c r="C79" s="47">
        <v>1.0</v>
      </c>
      <c r="D79" s="47" t="s">
        <v>391</v>
      </c>
      <c r="E79" s="47" t="s">
        <v>246</v>
      </c>
      <c r="F79" s="47" t="s">
        <v>163</v>
      </c>
      <c r="G79" s="47" t="s">
        <v>426</v>
      </c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35.25" customHeight="1">
      <c r="A80" s="47" t="s">
        <v>398</v>
      </c>
      <c r="B80" s="47" t="s">
        <v>427</v>
      </c>
      <c r="C80" s="47">
        <v>2.0</v>
      </c>
      <c r="D80" s="47" t="s">
        <v>391</v>
      </c>
      <c r="E80" s="47" t="s">
        <v>246</v>
      </c>
      <c r="F80" s="47" t="s">
        <v>163</v>
      </c>
      <c r="G80" s="47" t="s">
        <v>428</v>
      </c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35.25" customHeight="1">
      <c r="A81" s="47" t="s">
        <v>398</v>
      </c>
      <c r="B81" s="47" t="s">
        <v>429</v>
      </c>
      <c r="C81" s="47">
        <v>3.0</v>
      </c>
      <c r="D81" s="47" t="s">
        <v>391</v>
      </c>
      <c r="E81" s="47" t="s">
        <v>246</v>
      </c>
      <c r="F81" s="47" t="s">
        <v>163</v>
      </c>
      <c r="G81" s="47" t="s">
        <v>430</v>
      </c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35.2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35.25" customHeight="1">
      <c r="A83" s="36" t="s">
        <v>431</v>
      </c>
      <c r="B83" s="36" t="s">
        <v>432</v>
      </c>
      <c r="C83" s="36">
        <v>-0.25</v>
      </c>
      <c r="D83" s="36" t="s">
        <v>272</v>
      </c>
      <c r="E83" s="36" t="s">
        <v>273</v>
      </c>
      <c r="F83" s="36" t="s">
        <v>433</v>
      </c>
      <c r="G83" s="36" t="s">
        <v>434</v>
      </c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35.25" customHeight="1">
      <c r="A84" s="36" t="s">
        <v>431</v>
      </c>
      <c r="B84" s="36" t="s">
        <v>435</v>
      </c>
      <c r="C84" s="36">
        <v>0.25</v>
      </c>
      <c r="D84" s="36" t="s">
        <v>272</v>
      </c>
      <c r="E84" s="36" t="s">
        <v>273</v>
      </c>
      <c r="F84" s="36" t="s">
        <v>433</v>
      </c>
      <c r="G84" s="36" t="s">
        <v>436</v>
      </c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35.25" customHeight="1">
      <c r="A85" s="36" t="s">
        <v>431</v>
      </c>
      <c r="B85" s="36" t="s">
        <v>437</v>
      </c>
      <c r="C85" s="36">
        <v>2.0</v>
      </c>
      <c r="D85" s="36" t="s">
        <v>391</v>
      </c>
      <c r="E85" s="36" t="s">
        <v>246</v>
      </c>
      <c r="F85" s="36" t="s">
        <v>438</v>
      </c>
      <c r="G85" s="36" t="s">
        <v>439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35.25" customHeight="1">
      <c r="A86" s="36" t="s">
        <v>431</v>
      </c>
      <c r="B86" s="36" t="s">
        <v>440</v>
      </c>
      <c r="C86" s="36">
        <v>3.0</v>
      </c>
      <c r="D86" s="36" t="s">
        <v>391</v>
      </c>
      <c r="E86" s="36" t="s">
        <v>246</v>
      </c>
      <c r="F86" s="36" t="s">
        <v>165</v>
      </c>
      <c r="G86" s="36" t="s">
        <v>441</v>
      </c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35.25" customHeight="1">
      <c r="A87" s="36" t="s">
        <v>431</v>
      </c>
      <c r="B87" s="36" t="s">
        <v>442</v>
      </c>
      <c r="C87" s="36">
        <v>4.0</v>
      </c>
      <c r="D87" s="36" t="s">
        <v>391</v>
      </c>
      <c r="E87" s="36" t="s">
        <v>246</v>
      </c>
      <c r="F87" s="36" t="s">
        <v>165</v>
      </c>
      <c r="G87" s="36" t="s">
        <v>443</v>
      </c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35.25" customHeight="1">
      <c r="A88" s="36" t="s">
        <v>431</v>
      </c>
      <c r="B88" s="36" t="s">
        <v>444</v>
      </c>
      <c r="C88" s="36">
        <v>5.0</v>
      </c>
      <c r="D88" s="36" t="s">
        <v>391</v>
      </c>
      <c r="E88" s="36" t="s">
        <v>246</v>
      </c>
      <c r="F88" s="36" t="s">
        <v>165</v>
      </c>
      <c r="G88" s="36" t="s">
        <v>445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35.2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35.25" customHeight="1">
      <c r="A90" s="39" t="s">
        <v>446</v>
      </c>
      <c r="B90" s="39" t="s">
        <v>447</v>
      </c>
      <c r="C90" s="39">
        <v>0.25</v>
      </c>
      <c r="D90" s="39" t="s">
        <v>272</v>
      </c>
      <c r="E90" s="39" t="s">
        <v>273</v>
      </c>
      <c r="F90" s="39" t="s">
        <v>448</v>
      </c>
      <c r="G90" s="39" t="s">
        <v>449</v>
      </c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35.25" customHeight="1">
      <c r="A91" s="39" t="s">
        <v>446</v>
      </c>
      <c r="B91" s="39" t="s">
        <v>450</v>
      </c>
      <c r="C91" s="39">
        <v>1.0</v>
      </c>
      <c r="D91" s="39" t="s">
        <v>391</v>
      </c>
      <c r="E91" s="39" t="s">
        <v>246</v>
      </c>
      <c r="F91" s="39" t="s">
        <v>451</v>
      </c>
      <c r="G91" s="39" t="s">
        <v>452</v>
      </c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35.2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35.25" customHeight="1">
      <c r="A93" s="40" t="s">
        <v>453</v>
      </c>
      <c r="B93" s="40" t="s">
        <v>454</v>
      </c>
      <c r="C93" s="40" t="b">
        <v>1</v>
      </c>
      <c r="D93" s="40" t="s">
        <v>266</v>
      </c>
      <c r="E93" s="40" t="s">
        <v>267</v>
      </c>
      <c r="F93" s="40" t="s">
        <v>455</v>
      </c>
      <c r="G93" s="40" t="s">
        <v>456</v>
      </c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35.25" customHeight="1">
      <c r="A94" s="40" t="s">
        <v>453</v>
      </c>
      <c r="B94" s="40" t="s">
        <v>457</v>
      </c>
      <c r="C94" s="40" t="b">
        <v>1</v>
      </c>
      <c r="D94" s="40" t="s">
        <v>266</v>
      </c>
      <c r="E94" s="40" t="s">
        <v>267</v>
      </c>
      <c r="F94" s="40" t="s">
        <v>455</v>
      </c>
      <c r="G94" s="40" t="s">
        <v>458</v>
      </c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35.25" customHeight="1">
      <c r="A95" s="40" t="s">
        <v>453</v>
      </c>
      <c r="B95" s="40" t="s">
        <v>459</v>
      </c>
      <c r="C95" s="40">
        <v>0.25</v>
      </c>
      <c r="D95" s="40" t="s">
        <v>272</v>
      </c>
      <c r="E95" s="40" t="s">
        <v>273</v>
      </c>
      <c r="F95" s="40" t="s">
        <v>460</v>
      </c>
      <c r="G95" s="40" t="s">
        <v>461</v>
      </c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35.25" customHeight="1">
      <c r="A96" s="40" t="s">
        <v>453</v>
      </c>
      <c r="B96" s="40" t="s">
        <v>462</v>
      </c>
      <c r="C96" s="40" t="s">
        <v>226</v>
      </c>
      <c r="D96" s="40" t="s">
        <v>235</v>
      </c>
      <c r="E96" s="40" t="s">
        <v>463</v>
      </c>
      <c r="F96" s="40" t="s">
        <v>464</v>
      </c>
      <c r="G96" s="40" t="s">
        <v>465</v>
      </c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35.2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35.25" customHeight="1">
      <c r="A98" s="40" t="s">
        <v>466</v>
      </c>
      <c r="B98" s="40" t="s">
        <v>467</v>
      </c>
      <c r="C98" s="40">
        <v>1.25</v>
      </c>
      <c r="D98" s="40" t="s">
        <v>272</v>
      </c>
      <c r="E98" s="40" t="s">
        <v>273</v>
      </c>
      <c r="F98" s="40" t="s">
        <v>151</v>
      </c>
      <c r="G98" s="40" t="s">
        <v>468</v>
      </c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35.25" customHeight="1">
      <c r="A99" s="40" t="s">
        <v>466</v>
      </c>
      <c r="B99" s="40" t="s">
        <v>469</v>
      </c>
      <c r="C99" s="40">
        <v>2.0</v>
      </c>
      <c r="D99" s="40" t="s">
        <v>272</v>
      </c>
      <c r="E99" s="40" t="s">
        <v>273</v>
      </c>
      <c r="F99" s="40" t="s">
        <v>151</v>
      </c>
      <c r="G99" s="40" t="s">
        <v>470</v>
      </c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35.25" customHeight="1">
      <c r="A100" s="40" t="s">
        <v>466</v>
      </c>
      <c r="B100" s="40" t="s">
        <v>471</v>
      </c>
      <c r="C100" s="40">
        <v>2.5</v>
      </c>
      <c r="D100" s="40" t="s">
        <v>272</v>
      </c>
      <c r="E100" s="40" t="s">
        <v>273</v>
      </c>
      <c r="F100" s="40" t="s">
        <v>151</v>
      </c>
      <c r="G100" s="40" t="s">
        <v>472</v>
      </c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35.25" customHeight="1">
      <c r="A101" s="40" t="s">
        <v>466</v>
      </c>
      <c r="B101" s="40" t="s">
        <v>473</v>
      </c>
      <c r="C101" s="40">
        <v>3.0</v>
      </c>
      <c r="D101" s="40" t="s">
        <v>272</v>
      </c>
      <c r="E101" s="40" t="s">
        <v>273</v>
      </c>
      <c r="F101" s="40" t="s">
        <v>152</v>
      </c>
      <c r="G101" s="40" t="s">
        <v>474</v>
      </c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35.25" customHeight="1">
      <c r="A102" s="40" t="s">
        <v>466</v>
      </c>
      <c r="B102" s="40" t="s">
        <v>475</v>
      </c>
      <c r="C102" s="40">
        <v>2.0</v>
      </c>
      <c r="D102" s="40" t="s">
        <v>272</v>
      </c>
      <c r="E102" s="40" t="s">
        <v>273</v>
      </c>
      <c r="F102" s="40" t="s">
        <v>152</v>
      </c>
      <c r="G102" s="40" t="s">
        <v>476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35.25" customHeight="1">
      <c r="A103" s="40" t="s">
        <v>466</v>
      </c>
      <c r="B103" s="40" t="s">
        <v>477</v>
      </c>
      <c r="C103" s="40" t="b">
        <v>0</v>
      </c>
      <c r="D103" s="40" t="s">
        <v>266</v>
      </c>
      <c r="E103" s="40" t="s">
        <v>267</v>
      </c>
      <c r="F103" s="40" t="s">
        <v>155</v>
      </c>
      <c r="G103" s="40" t="s">
        <v>478</v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35.25" customHeight="1">
      <c r="A104" s="40" t="s">
        <v>466</v>
      </c>
      <c r="B104" s="40" t="s">
        <v>479</v>
      </c>
      <c r="C104" s="40" t="b">
        <v>1</v>
      </c>
      <c r="D104" s="40" t="s">
        <v>266</v>
      </c>
      <c r="E104" s="40" t="s">
        <v>267</v>
      </c>
      <c r="F104" s="40" t="s">
        <v>155</v>
      </c>
      <c r="G104" s="40" t="s">
        <v>480</v>
      </c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35.25" customHeight="1">
      <c r="A105" s="40" t="s">
        <v>466</v>
      </c>
      <c r="B105" s="40" t="s">
        <v>481</v>
      </c>
      <c r="C105" s="40" t="b">
        <v>1</v>
      </c>
      <c r="D105" s="40" t="s">
        <v>266</v>
      </c>
      <c r="E105" s="40" t="s">
        <v>267</v>
      </c>
      <c r="F105" s="40" t="s">
        <v>156</v>
      </c>
      <c r="G105" s="40" t="s">
        <v>482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35.25" customHeight="1">
      <c r="A106" s="40" t="s">
        <v>466</v>
      </c>
      <c r="B106" s="40" t="s">
        <v>483</v>
      </c>
      <c r="C106" s="40" t="b">
        <v>1</v>
      </c>
      <c r="D106" s="40" t="s">
        <v>266</v>
      </c>
      <c r="E106" s="40" t="s">
        <v>267</v>
      </c>
      <c r="F106" s="40" t="s">
        <v>156</v>
      </c>
      <c r="G106" s="40" t="s">
        <v>484</v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35.25" customHeight="1">
      <c r="A107" s="40" t="s">
        <v>466</v>
      </c>
      <c r="B107" s="40" t="s">
        <v>485</v>
      </c>
      <c r="C107" s="40" t="b">
        <v>1</v>
      </c>
      <c r="D107" s="40" t="s">
        <v>266</v>
      </c>
      <c r="E107" s="40" t="s">
        <v>267</v>
      </c>
      <c r="F107" s="40" t="s">
        <v>156</v>
      </c>
      <c r="G107" s="40" t="s">
        <v>486</v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35.2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35.25" customHeight="1">
      <c r="A109" s="42" t="s">
        <v>487</v>
      </c>
      <c r="B109" s="42" t="s">
        <v>488</v>
      </c>
      <c r="C109" s="42">
        <v>24.0</v>
      </c>
      <c r="D109" s="42" t="s">
        <v>489</v>
      </c>
      <c r="E109" s="42" t="s">
        <v>246</v>
      </c>
      <c r="F109" s="42" t="s">
        <v>490</v>
      </c>
      <c r="G109" s="42" t="s">
        <v>491</v>
      </c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35.25" customHeight="1">
      <c r="A110" s="42" t="s">
        <v>487</v>
      </c>
      <c r="B110" s="42" t="s">
        <v>492</v>
      </c>
      <c r="C110" s="42">
        <v>36.0</v>
      </c>
      <c r="D110" s="42" t="s">
        <v>489</v>
      </c>
      <c r="E110" s="42" t="s">
        <v>246</v>
      </c>
      <c r="F110" s="42" t="s">
        <v>490</v>
      </c>
      <c r="G110" s="42" t="s">
        <v>493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35.25" customHeight="1">
      <c r="A111" s="42" t="s">
        <v>487</v>
      </c>
      <c r="B111" s="42" t="s">
        <v>494</v>
      </c>
      <c r="C111" s="42">
        <v>48.0</v>
      </c>
      <c r="D111" s="42" t="s">
        <v>489</v>
      </c>
      <c r="E111" s="42" t="s">
        <v>246</v>
      </c>
      <c r="F111" s="42" t="s">
        <v>490</v>
      </c>
      <c r="G111" s="42" t="s">
        <v>495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35.25" customHeight="1">
      <c r="A112" s="42" t="s">
        <v>487</v>
      </c>
      <c r="B112" s="42" t="s">
        <v>496</v>
      </c>
      <c r="C112" s="42">
        <v>10.0</v>
      </c>
      <c r="D112" s="42" t="s">
        <v>489</v>
      </c>
      <c r="E112" s="42" t="s">
        <v>246</v>
      </c>
      <c r="F112" s="42" t="s">
        <v>490</v>
      </c>
      <c r="G112" s="42" t="s">
        <v>497</v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35.25" customHeight="1">
      <c r="A113" s="42" t="s">
        <v>487</v>
      </c>
      <c r="B113" s="42" t="s">
        <v>498</v>
      </c>
      <c r="C113" s="42">
        <v>14.0</v>
      </c>
      <c r="D113" s="42" t="s">
        <v>489</v>
      </c>
      <c r="E113" s="42" t="s">
        <v>246</v>
      </c>
      <c r="F113" s="42" t="s">
        <v>490</v>
      </c>
      <c r="G113" s="42" t="s">
        <v>499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35.25" customHeight="1">
      <c r="A114" s="42" t="s">
        <v>487</v>
      </c>
      <c r="B114" s="42" t="s">
        <v>500</v>
      </c>
      <c r="C114" s="42">
        <v>18.0</v>
      </c>
      <c r="D114" s="42" t="s">
        <v>489</v>
      </c>
      <c r="E114" s="42" t="s">
        <v>246</v>
      </c>
      <c r="F114" s="42" t="s">
        <v>490</v>
      </c>
      <c r="G114" s="42" t="s">
        <v>501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35.25" customHeight="1">
      <c r="A115" s="42" t="s">
        <v>487</v>
      </c>
      <c r="B115" s="42" t="s">
        <v>502</v>
      </c>
      <c r="C115" s="42">
        <v>8.0</v>
      </c>
      <c r="D115" s="42" t="s">
        <v>489</v>
      </c>
      <c r="E115" s="42" t="s">
        <v>246</v>
      </c>
      <c r="F115" s="42" t="s">
        <v>490</v>
      </c>
      <c r="G115" s="42" t="s">
        <v>503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35.25" customHeight="1">
      <c r="A116" s="42" t="s">
        <v>487</v>
      </c>
      <c r="B116" s="42" t="s">
        <v>504</v>
      </c>
      <c r="C116" s="42">
        <v>10.0</v>
      </c>
      <c r="D116" s="42" t="s">
        <v>489</v>
      </c>
      <c r="E116" s="42" t="s">
        <v>246</v>
      </c>
      <c r="F116" s="42" t="s">
        <v>490</v>
      </c>
      <c r="G116" s="42" t="s">
        <v>505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35.25" customHeight="1">
      <c r="A117" s="42" t="s">
        <v>487</v>
      </c>
      <c r="B117" s="42" t="s">
        <v>506</v>
      </c>
      <c r="C117" s="42">
        <v>12.0</v>
      </c>
      <c r="D117" s="42" t="s">
        <v>489</v>
      </c>
      <c r="E117" s="42" t="s">
        <v>246</v>
      </c>
      <c r="F117" s="42" t="s">
        <v>490</v>
      </c>
      <c r="G117" s="42" t="s">
        <v>507</v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35.25" customHeight="1">
      <c r="A118" s="42" t="s">
        <v>487</v>
      </c>
      <c r="B118" s="42" t="s">
        <v>508</v>
      </c>
      <c r="C118" s="42">
        <v>10.0</v>
      </c>
      <c r="D118" s="42" t="s">
        <v>489</v>
      </c>
      <c r="E118" s="42" t="s">
        <v>246</v>
      </c>
      <c r="F118" s="42" t="s">
        <v>490</v>
      </c>
      <c r="G118" s="42" t="s">
        <v>509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35.25" customHeight="1">
      <c r="A119" s="42" t="s">
        <v>487</v>
      </c>
      <c r="B119" s="42" t="s">
        <v>510</v>
      </c>
      <c r="C119" s="42">
        <v>14.0</v>
      </c>
      <c r="D119" s="42" t="s">
        <v>489</v>
      </c>
      <c r="E119" s="42" t="s">
        <v>246</v>
      </c>
      <c r="F119" s="42" t="s">
        <v>490</v>
      </c>
      <c r="G119" s="42" t="s">
        <v>511</v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35.25" customHeight="1">
      <c r="A120" s="42" t="s">
        <v>487</v>
      </c>
      <c r="B120" s="42" t="s">
        <v>512</v>
      </c>
      <c r="C120" s="42">
        <v>18.0</v>
      </c>
      <c r="D120" s="42" t="s">
        <v>489</v>
      </c>
      <c r="E120" s="42" t="s">
        <v>246</v>
      </c>
      <c r="F120" s="42" t="s">
        <v>490</v>
      </c>
      <c r="G120" s="42" t="s">
        <v>513</v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35.25" customHeight="1">
      <c r="A121" s="42" t="s">
        <v>487</v>
      </c>
      <c r="B121" s="42" t="s">
        <v>514</v>
      </c>
      <c r="C121" s="42">
        <v>16.0</v>
      </c>
      <c r="D121" s="42" t="s">
        <v>489</v>
      </c>
      <c r="E121" s="42" t="s">
        <v>246</v>
      </c>
      <c r="F121" s="42" t="s">
        <v>490</v>
      </c>
      <c r="G121" s="42" t="s">
        <v>515</v>
      </c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35.25" customHeight="1">
      <c r="A122" s="42" t="s">
        <v>487</v>
      </c>
      <c r="B122" s="42" t="s">
        <v>516</v>
      </c>
      <c r="C122" s="42">
        <v>22.0</v>
      </c>
      <c r="D122" s="42" t="s">
        <v>489</v>
      </c>
      <c r="E122" s="42" t="s">
        <v>246</v>
      </c>
      <c r="F122" s="42" t="s">
        <v>490</v>
      </c>
      <c r="G122" s="42" t="s">
        <v>517</v>
      </c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35.25" customHeight="1">
      <c r="A123" s="42" t="s">
        <v>487</v>
      </c>
      <c r="B123" s="42" t="s">
        <v>518</v>
      </c>
      <c r="C123" s="42">
        <v>28.0</v>
      </c>
      <c r="D123" s="42" t="s">
        <v>489</v>
      </c>
      <c r="E123" s="42" t="s">
        <v>246</v>
      </c>
      <c r="F123" s="42" t="s">
        <v>490</v>
      </c>
      <c r="G123" s="42" t="s">
        <v>519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35.2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35.25" customHeight="1">
      <c r="A125" s="44" t="s">
        <v>520</v>
      </c>
      <c r="B125" s="44" t="s">
        <v>521</v>
      </c>
      <c r="C125" s="44">
        <v>400.0</v>
      </c>
      <c r="D125" s="44" t="s">
        <v>235</v>
      </c>
      <c r="E125" s="44" t="s">
        <v>325</v>
      </c>
      <c r="F125" s="44" t="s">
        <v>522</v>
      </c>
      <c r="G125" s="44" t="s">
        <v>523</v>
      </c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35.25" customHeight="1">
      <c r="A126" s="44" t="s">
        <v>520</v>
      </c>
      <c r="B126" s="44" t="s">
        <v>524</v>
      </c>
      <c r="C126" s="44" t="s">
        <v>525</v>
      </c>
      <c r="D126" s="44" t="s">
        <v>235</v>
      </c>
      <c r="E126" s="44" t="s">
        <v>325</v>
      </c>
      <c r="F126" s="44" t="s">
        <v>522</v>
      </c>
      <c r="G126" s="44" t="s">
        <v>526</v>
      </c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35.25" customHeight="1">
      <c r="A127" s="44" t="s">
        <v>520</v>
      </c>
      <c r="B127" s="44" t="s">
        <v>527</v>
      </c>
      <c r="C127" s="44" t="s">
        <v>528</v>
      </c>
      <c r="D127" s="44" t="s">
        <v>235</v>
      </c>
      <c r="E127" s="44" t="s">
        <v>325</v>
      </c>
      <c r="F127" s="44" t="s">
        <v>522</v>
      </c>
      <c r="G127" s="44" t="s">
        <v>529</v>
      </c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35.25" customHeight="1">
      <c r="A128" s="44" t="s">
        <v>520</v>
      </c>
      <c r="B128" s="44" t="s">
        <v>530</v>
      </c>
      <c r="C128" s="44" t="s">
        <v>531</v>
      </c>
      <c r="D128" s="44" t="s">
        <v>235</v>
      </c>
      <c r="E128" s="44" t="s">
        <v>325</v>
      </c>
      <c r="F128" s="44" t="s">
        <v>522</v>
      </c>
      <c r="G128" s="44" t="s">
        <v>532</v>
      </c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35.25" customHeight="1">
      <c r="A129" s="44" t="s">
        <v>520</v>
      </c>
      <c r="B129" s="44" t="s">
        <v>533</v>
      </c>
      <c r="C129" s="44" t="s">
        <v>329</v>
      </c>
      <c r="D129" s="44" t="s">
        <v>235</v>
      </c>
      <c r="E129" s="44" t="s">
        <v>325</v>
      </c>
      <c r="F129" s="44" t="s">
        <v>522</v>
      </c>
      <c r="G129" s="44" t="s">
        <v>534</v>
      </c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35.25" customHeight="1">
      <c r="A130" s="44" t="s">
        <v>520</v>
      </c>
      <c r="B130" s="44" t="s">
        <v>535</v>
      </c>
      <c r="C130" s="44" t="s">
        <v>324</v>
      </c>
      <c r="D130" s="44" t="s">
        <v>235</v>
      </c>
      <c r="E130" s="44" t="s">
        <v>325</v>
      </c>
      <c r="F130" s="44" t="s">
        <v>522</v>
      </c>
      <c r="G130" s="44" t="s">
        <v>536</v>
      </c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35.2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35.2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35.2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35.2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35.2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35.2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35.2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35.2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35.2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35.2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35.2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35.2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35.2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35.2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35.2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35.2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35.2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35.2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35.2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35.2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35.2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35.2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35.2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35.2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35.2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35.2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35.2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35.2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35.2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35.2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35.2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35.2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35.2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35.2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35.2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35.2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35.2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35.2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35.2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35.2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35.2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35.2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35.2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35.2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35.2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35.2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35.2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35.2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35.2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35.2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35.2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35.2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35.2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35.2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35.2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35.2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35.2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35.2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35.2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35.2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35.2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35.2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35.2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35.2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35.2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35.2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35.2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35.2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35.2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35.2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35.2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35.2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35.2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35.2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35.2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35.2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35.2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35.2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35.2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35.2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35.2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35.2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35.2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35.2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35.2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35.2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35.2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35.2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35.2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35.2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35.2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35.2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35.2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35.2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35.2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35.2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35.2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35.2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35.2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35.2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35.2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35.2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35.2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35.2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35.2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35.2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35.2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35.2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35.2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35.2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35.2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35.2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35.2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35.2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35.2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35.2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35.2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35.2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35.2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35.2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35.2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35.2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35.2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35.2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35.2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35.2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35.2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35.2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35.2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35.2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35.2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35.2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35.2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35.2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35.2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35.2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35.2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35.2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35.2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35.2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35.2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35.2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35.2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35.2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35.2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35.2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35.2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35.2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35.2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35.2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35.2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35.2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35.2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35.2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35.2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35.2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35.2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35.2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35.2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35.2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35.2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35.2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35.2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35.2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35.2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35.2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35.2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35.2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35.2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35.2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35.2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35.2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35.2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35.2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35.2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35.2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35.2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35.2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35.2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35.2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35.2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35.2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35.2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35.2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35.2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35.2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35.2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35.2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35.2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35.2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35.2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35.2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35.2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35.2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35.2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35.2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35.2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35.2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35.2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35.2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35.2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35.2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35.2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35.2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35.2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35.2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35.2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35.2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35.2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35.2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35.2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35.2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35.2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35.2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35.2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35.2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35.2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35.2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35.2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35.2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35.2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35.2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35.2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35.2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35.2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35.2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35.2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35.2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35.2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35.2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35.2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35.2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35.2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35.2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35.2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35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35.2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35.2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35.2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35.2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35.2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35.2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35.2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35.2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35.2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35.2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35.2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35.2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35.2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35.2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35.2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35.2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35.2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35.2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35.2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35.2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35.2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35.2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35.2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35.2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35.2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35.2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35.2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35.2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35.2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35.2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35.2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35.2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35.2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35.2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35.2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35.2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35.2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35.2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35.2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35.2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35.2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35.2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35.2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35.2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35.2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35.2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35.2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35.2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35.2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35.2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35.2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35.2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35.2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35.2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35.2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35.2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35.2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35.2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35.2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35.2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35.2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35.2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35.2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35.2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35.2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35.2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35.2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35.2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35.2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35.2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35.2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35.2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35.2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35.2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35.2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35.2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35.2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35.2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35.2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35.2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35.2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35.2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35.2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35.2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35.2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35.2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35.2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35.2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35.2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35.2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35.2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35.2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35.2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35.2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35.2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35.2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35.2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35.2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35.2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35.2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35.2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35.2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35.2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35.2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35.2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35.2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35.2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35.2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35.2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35.2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35.2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35.2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35.2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35.2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35.2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35.2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35.2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35.2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35.2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35.2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35.2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35.2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35.2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35.2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35.2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35.2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35.2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35.2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35.2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35.2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35.2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35.2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35.2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35.2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35.2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35.2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35.2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35.2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35.2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35.2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35.2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35.2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35.2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35.2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35.2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35.2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35.2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35.2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35.2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35.2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35.2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35.2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35.2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35.2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35.2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35.2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35.2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35.2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35.2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35.2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35.2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35.2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35.2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35.2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35.2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35.2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35.2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35.2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35.2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35.2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35.2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35.2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35.2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35.2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35.2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35.2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35.2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35.2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35.2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35.2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35.2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35.2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35.2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35.2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35.2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35.2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35.2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35.2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35.2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35.2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35.2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35.2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35.2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35.2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35.2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35.2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35.2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35.2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35.2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35.2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35.2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35.2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35.2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35.2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35.2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35.2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35.2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35.2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35.2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35.2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35.2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35.2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35.2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35.2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35.2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35.2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35.2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35.2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35.2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35.2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35.2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35.2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35.2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35.2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35.2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35.2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35.2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35.2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35.2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35.2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35.2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35.2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35.2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35.2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35.2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35.2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35.2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35.2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35.2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35.2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35.2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35.2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35.2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35.2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35.2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35.2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35.2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35.2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35.2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35.2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35.2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35.2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35.2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35.2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35.2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35.2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35.2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35.2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35.2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35.2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35.2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35.2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35.2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35.2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35.2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35.2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35.2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35.2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35.2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35.2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35.2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35.2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35.2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35.2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35.2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35.2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35.2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35.2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35.2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35.2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35.2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35.2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35.2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35.2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35.2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35.2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35.2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35.2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35.2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35.2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35.2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35.2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35.2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35.2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35.2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35.2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35.2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35.2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35.2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35.2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35.2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35.2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35.2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35.2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35.2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35.2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35.2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35.2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35.2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35.2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35.2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35.2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35.2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35.2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35.2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35.2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35.2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35.2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35.2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35.2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35.2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35.2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35.2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35.2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35.2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35.2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35.2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35.2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35.2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35.2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35.2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35.2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35.2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35.2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35.2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35.2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35.2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35.2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35.2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35.2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35.2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35.2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35.2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35.2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35.2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35.2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35.2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35.2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35.2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35.2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35.2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35.2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35.2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35.2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35.2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35.2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35.2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35.2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35.2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35.2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35.2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35.2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35.2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35.2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35.2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35.2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35.2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35.2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35.2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35.2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35.2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35.2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35.2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35.2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35.2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35.2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35.2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35.2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35.2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35.2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35.2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35.2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35.2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35.2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35.2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35.2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35.2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35.2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35.2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35.2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35.2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35.2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35.2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35.2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35.2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35.2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35.2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35.2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35.2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35.2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35.2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35.2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35.2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35.2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35.2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35.2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35.2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35.2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35.2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35.2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35.2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35.2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35.2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35.2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35.2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35.2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35.2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35.2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35.2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35.2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35.2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35.2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35.2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35.2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35.2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35.2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35.2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35.2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35.2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35.2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35.2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35.2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35.2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35.2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35.2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35.2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35.2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35.2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35.2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35.2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35.2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35.2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35.2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35.2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35.2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35.2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35.2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35.2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35.2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35.2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35.2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35.2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35.2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35.2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35.2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35.2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35.2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35.2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35.2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35.2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35.2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35.2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35.2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35.2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35.2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35.2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35.2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35.2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35.2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35.2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35.2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35.2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35.2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35.2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35.2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35.2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35.2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35.2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35.2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35.2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35.2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35.2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35.2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35.2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35.2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35.2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35.2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35.2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35.2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35.2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35.2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35.2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35.2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35.2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35.2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35.2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35.2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35.2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35.2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35.2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35.2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35.2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35.2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35.2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35.2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35.2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35.2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35.2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35.2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35.2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35.2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35.2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35.2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35.2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35.2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35.2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35.2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35.2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35.2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35.2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35.2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35.2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35.2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35.2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35.2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35.2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35.2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35.2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35.2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35.2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35.2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35.2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35.2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35.2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35.2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35.2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35.2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35.2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35.2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35.2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35.2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35.2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35.2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35.2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35.2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35.2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35.2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35.2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35.2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35.2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35.2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35.2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35.2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35.2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35.2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35.2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35.2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35.2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35.2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35.2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35.2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35.2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35.2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35.2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35.2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35.2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35.2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35.2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35.2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35.2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35.2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35.2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35.2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35.2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35.2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35.2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35.2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35.2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35.2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35.2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35.2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35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35.2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35.2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35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35.2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35.2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35.2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35.2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35.2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35.2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35.2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35.2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35.2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35.2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35.2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35.2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35.2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35.2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35.2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35.2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35.2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35.2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35.2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35.2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35.2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35.2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35.2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35.2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35.2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35.2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35.2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35.2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35.2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35.2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35.2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35.2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35.2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35.2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35.2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35.2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35.2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35.2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35.2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35.2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35.2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35.2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35.2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35.2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35.2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35.2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35.2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35.2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35.2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4.43"/>
    <col customWidth="1" min="3" max="6" width="43.57"/>
  </cols>
  <sheetData>
    <row r="1" ht="21.75" customHeight="1">
      <c r="A1" s="48" t="s">
        <v>537</v>
      </c>
      <c r="B1" s="48" t="s">
        <v>538</v>
      </c>
      <c r="C1" s="48" t="s">
        <v>25</v>
      </c>
      <c r="D1" s="48" t="s">
        <v>539</v>
      </c>
      <c r="E1" s="48" t="s">
        <v>540</v>
      </c>
      <c r="F1" s="48" t="s">
        <v>541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49.5" customHeight="1">
      <c r="A2" s="50" t="s">
        <v>132</v>
      </c>
      <c r="B2" s="49" t="s">
        <v>45</v>
      </c>
      <c r="C2" s="49" t="s">
        <v>542</v>
      </c>
      <c r="D2" s="49" t="s">
        <v>543</v>
      </c>
      <c r="E2" s="49" t="s">
        <v>544</v>
      </c>
      <c r="F2" s="49" t="s">
        <v>545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49.5" customHeight="1">
      <c r="A3" s="50" t="s">
        <v>133</v>
      </c>
      <c r="B3" s="49" t="s">
        <v>45</v>
      </c>
      <c r="C3" s="49" t="s">
        <v>546</v>
      </c>
      <c r="D3" s="49" t="s">
        <v>547</v>
      </c>
      <c r="E3" s="49" t="s">
        <v>548</v>
      </c>
      <c r="F3" s="49" t="s">
        <v>549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49.5" customHeight="1">
      <c r="A4" s="50" t="s">
        <v>134</v>
      </c>
      <c r="B4" s="49" t="s">
        <v>45</v>
      </c>
      <c r="C4" s="49" t="s">
        <v>546</v>
      </c>
      <c r="D4" s="49" t="s">
        <v>550</v>
      </c>
      <c r="E4" s="49" t="s">
        <v>551</v>
      </c>
      <c r="F4" s="49" t="s">
        <v>552</v>
      </c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49.5" customHeight="1">
      <c r="A5" s="50" t="s">
        <v>135</v>
      </c>
      <c r="B5" s="49" t="s">
        <v>45</v>
      </c>
      <c r="C5" s="49" t="s">
        <v>553</v>
      </c>
      <c r="D5" s="49" t="s">
        <v>60</v>
      </c>
      <c r="E5" s="49" t="s">
        <v>554</v>
      </c>
      <c r="F5" s="49" t="s">
        <v>555</v>
      </c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49.5" customHeight="1">
      <c r="A6" s="50" t="s">
        <v>136</v>
      </c>
      <c r="B6" s="49" t="s">
        <v>45</v>
      </c>
      <c r="C6" s="49" t="s">
        <v>553</v>
      </c>
      <c r="D6" s="49" t="s">
        <v>556</v>
      </c>
      <c r="E6" s="49" t="s">
        <v>557</v>
      </c>
      <c r="F6" s="49" t="s">
        <v>558</v>
      </c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49.5" customHeight="1">
      <c r="A7" s="50" t="s">
        <v>137</v>
      </c>
      <c r="B7" s="49" t="s">
        <v>45</v>
      </c>
      <c r="C7" s="49" t="s">
        <v>559</v>
      </c>
      <c r="D7" s="49" t="s">
        <v>560</v>
      </c>
      <c r="E7" s="49" t="s">
        <v>561</v>
      </c>
      <c r="F7" s="49" t="s">
        <v>562</v>
      </c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49.5" customHeight="1">
      <c r="A8" s="50" t="s">
        <v>138</v>
      </c>
      <c r="B8" s="49" t="s">
        <v>45</v>
      </c>
      <c r="C8" s="49" t="s">
        <v>563</v>
      </c>
      <c r="D8" s="49" t="s">
        <v>564</v>
      </c>
      <c r="E8" s="49" t="s">
        <v>565</v>
      </c>
      <c r="F8" s="49" t="s">
        <v>566</v>
      </c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49.5" customHeight="1">
      <c r="A9" s="50" t="s">
        <v>139</v>
      </c>
      <c r="B9" s="49" t="s">
        <v>45</v>
      </c>
      <c r="C9" s="49" t="s">
        <v>563</v>
      </c>
      <c r="D9" s="49" t="s">
        <v>567</v>
      </c>
      <c r="E9" s="49" t="s">
        <v>568</v>
      </c>
      <c r="F9" s="49" t="s">
        <v>569</v>
      </c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49.5" customHeight="1">
      <c r="A10" s="50" t="s">
        <v>140</v>
      </c>
      <c r="B10" s="49" t="s">
        <v>45</v>
      </c>
      <c r="C10" s="49" t="s">
        <v>570</v>
      </c>
      <c r="D10" s="49" t="s">
        <v>571</v>
      </c>
      <c r="E10" s="49" t="s">
        <v>572</v>
      </c>
      <c r="F10" s="49" t="s">
        <v>573</v>
      </c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49.5" customHeight="1">
      <c r="A11" s="50" t="s">
        <v>141</v>
      </c>
      <c r="B11" s="49" t="s">
        <v>53</v>
      </c>
      <c r="C11" s="49" t="s">
        <v>574</v>
      </c>
      <c r="D11" s="49" t="s">
        <v>575</v>
      </c>
      <c r="E11" s="49" t="s">
        <v>576</v>
      </c>
      <c r="F11" s="49" t="s">
        <v>577</v>
      </c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49.5" customHeight="1">
      <c r="A12" s="50" t="s">
        <v>142</v>
      </c>
      <c r="B12" s="49" t="s">
        <v>53</v>
      </c>
      <c r="C12" s="49" t="s">
        <v>574</v>
      </c>
      <c r="D12" s="49" t="s">
        <v>578</v>
      </c>
      <c r="E12" s="49" t="s">
        <v>579</v>
      </c>
      <c r="F12" s="49" t="s">
        <v>580</v>
      </c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49.5" customHeight="1">
      <c r="A13" s="50" t="s">
        <v>143</v>
      </c>
      <c r="B13" s="49" t="s">
        <v>581</v>
      </c>
      <c r="C13" s="49" t="s">
        <v>582</v>
      </c>
      <c r="D13" s="49" t="s">
        <v>578</v>
      </c>
      <c r="E13" s="49" t="s">
        <v>579</v>
      </c>
      <c r="F13" s="49" t="s">
        <v>583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49.5" customHeight="1">
      <c r="A14" s="50" t="s">
        <v>144</v>
      </c>
      <c r="B14" s="49" t="s">
        <v>53</v>
      </c>
      <c r="C14" s="49" t="s">
        <v>574</v>
      </c>
      <c r="D14" s="49" t="s">
        <v>584</v>
      </c>
      <c r="E14" s="49" t="s">
        <v>568</v>
      </c>
      <c r="F14" s="49" t="s">
        <v>585</v>
      </c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49.5" customHeight="1">
      <c r="A15" s="50" t="s">
        <v>145</v>
      </c>
      <c r="B15" s="49" t="s">
        <v>53</v>
      </c>
      <c r="C15" s="49" t="s">
        <v>574</v>
      </c>
      <c r="D15" s="49" t="s">
        <v>584</v>
      </c>
      <c r="E15" s="49" t="s">
        <v>579</v>
      </c>
      <c r="F15" s="49" t="s">
        <v>586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49.5" customHeight="1">
      <c r="A16" s="50" t="s">
        <v>146</v>
      </c>
      <c r="B16" s="49" t="s">
        <v>581</v>
      </c>
      <c r="C16" s="49" t="s">
        <v>582</v>
      </c>
      <c r="D16" s="49" t="s">
        <v>584</v>
      </c>
      <c r="E16" s="49" t="s">
        <v>579</v>
      </c>
      <c r="F16" s="49" t="s">
        <v>587</v>
      </c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49.5" customHeight="1">
      <c r="A17" s="50" t="s">
        <v>147</v>
      </c>
      <c r="B17" s="49" t="s">
        <v>45</v>
      </c>
      <c r="C17" s="49" t="s">
        <v>588</v>
      </c>
      <c r="D17" s="49" t="s">
        <v>589</v>
      </c>
      <c r="E17" s="49" t="s">
        <v>590</v>
      </c>
      <c r="F17" s="49" t="s">
        <v>591</v>
      </c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49.5" customHeight="1">
      <c r="A18" s="50" t="s">
        <v>148</v>
      </c>
      <c r="B18" s="49" t="s">
        <v>45</v>
      </c>
      <c r="C18" s="49" t="s">
        <v>592</v>
      </c>
      <c r="D18" s="49" t="s">
        <v>593</v>
      </c>
      <c r="E18" s="49" t="s">
        <v>594</v>
      </c>
      <c r="F18" s="49" t="s">
        <v>595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49.5" customHeight="1">
      <c r="A19" s="50" t="s">
        <v>149</v>
      </c>
      <c r="B19" s="49" t="s">
        <v>45</v>
      </c>
      <c r="C19" s="49" t="s">
        <v>596</v>
      </c>
      <c r="D19" s="49" t="s">
        <v>597</v>
      </c>
      <c r="E19" s="49" t="s">
        <v>598</v>
      </c>
      <c r="F19" s="49" t="s">
        <v>599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49.5" customHeight="1">
      <c r="A20" s="50" t="s">
        <v>150</v>
      </c>
      <c r="B20" s="49" t="s">
        <v>45</v>
      </c>
      <c r="C20" s="49" t="s">
        <v>600</v>
      </c>
      <c r="D20" s="49" t="s">
        <v>601</v>
      </c>
      <c r="E20" s="49" t="s">
        <v>602</v>
      </c>
      <c r="F20" s="49" t="s">
        <v>603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49.5" customHeight="1">
      <c r="A21" s="50" t="s">
        <v>151</v>
      </c>
      <c r="B21" s="49" t="s">
        <v>53</v>
      </c>
      <c r="C21" s="49" t="s">
        <v>574</v>
      </c>
      <c r="D21" s="49" t="s">
        <v>604</v>
      </c>
      <c r="E21" s="49" t="s">
        <v>605</v>
      </c>
      <c r="F21" s="49" t="s">
        <v>606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49.5" customHeight="1">
      <c r="A22" s="50" t="s">
        <v>152</v>
      </c>
      <c r="B22" s="49" t="s">
        <v>53</v>
      </c>
      <c r="C22" s="49" t="s">
        <v>574</v>
      </c>
      <c r="D22" s="49" t="s">
        <v>607</v>
      </c>
      <c r="E22" s="49" t="s">
        <v>608</v>
      </c>
      <c r="F22" s="49" t="s">
        <v>609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49.5" customHeight="1">
      <c r="A23" s="50" t="s">
        <v>153</v>
      </c>
      <c r="B23" s="49" t="s">
        <v>581</v>
      </c>
      <c r="C23" s="49" t="s">
        <v>610</v>
      </c>
      <c r="D23" s="49" t="s">
        <v>611</v>
      </c>
      <c r="E23" s="49" t="s">
        <v>612</v>
      </c>
      <c r="F23" s="49" t="s">
        <v>613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49.5" customHeight="1">
      <c r="A24" s="50" t="s">
        <v>154</v>
      </c>
      <c r="B24" s="49" t="s">
        <v>53</v>
      </c>
      <c r="C24" s="49" t="s">
        <v>614</v>
      </c>
      <c r="D24" s="49" t="s">
        <v>604</v>
      </c>
      <c r="E24" s="49" t="s">
        <v>615</v>
      </c>
      <c r="F24" s="49" t="s">
        <v>616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49.5" customHeight="1">
      <c r="A25" s="50" t="s">
        <v>155</v>
      </c>
      <c r="B25" s="49" t="s">
        <v>67</v>
      </c>
      <c r="C25" s="49" t="s">
        <v>267</v>
      </c>
      <c r="D25" s="49" t="s">
        <v>617</v>
      </c>
      <c r="E25" s="49" t="s">
        <v>618</v>
      </c>
      <c r="F25" s="49" t="s">
        <v>619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49.5" customHeight="1">
      <c r="A26" s="50" t="s">
        <v>156</v>
      </c>
      <c r="B26" s="49" t="s">
        <v>67</v>
      </c>
      <c r="C26" s="49" t="s">
        <v>267</v>
      </c>
      <c r="D26" s="49" t="s">
        <v>620</v>
      </c>
      <c r="E26" s="49" t="s">
        <v>621</v>
      </c>
      <c r="F26" s="49" t="s">
        <v>622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49.5" customHeight="1">
      <c r="A27" s="50" t="s">
        <v>157</v>
      </c>
      <c r="B27" s="49" t="s">
        <v>45</v>
      </c>
      <c r="C27" s="49" t="s">
        <v>623</v>
      </c>
      <c r="D27" s="49" t="s">
        <v>624</v>
      </c>
      <c r="E27" s="49" t="s">
        <v>625</v>
      </c>
      <c r="F27" s="49" t="s">
        <v>626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49.5" customHeight="1">
      <c r="A28" s="50" t="s">
        <v>158</v>
      </c>
      <c r="B28" s="49" t="s">
        <v>45</v>
      </c>
      <c r="C28" s="49" t="s">
        <v>627</v>
      </c>
      <c r="D28" s="49" t="s">
        <v>628</v>
      </c>
      <c r="E28" s="49" t="s">
        <v>629</v>
      </c>
      <c r="F28" s="49" t="s">
        <v>630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49.5" customHeight="1">
      <c r="A29" s="50" t="s">
        <v>159</v>
      </c>
      <c r="B29" s="49" t="s">
        <v>45</v>
      </c>
      <c r="C29" s="49" t="s">
        <v>631</v>
      </c>
      <c r="D29" s="49" t="s">
        <v>632</v>
      </c>
      <c r="E29" s="49" t="s">
        <v>633</v>
      </c>
      <c r="F29" s="49" t="s">
        <v>634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49.5" customHeight="1">
      <c r="A30" s="50" t="s">
        <v>160</v>
      </c>
      <c r="B30" s="49" t="s">
        <v>45</v>
      </c>
      <c r="C30" s="49" t="s">
        <v>635</v>
      </c>
      <c r="D30" s="49" t="s">
        <v>636</v>
      </c>
      <c r="E30" s="49" t="s">
        <v>637</v>
      </c>
      <c r="F30" s="49" t="s">
        <v>638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49.5" customHeight="1">
      <c r="A31" s="50" t="s">
        <v>161</v>
      </c>
      <c r="B31" s="49" t="s">
        <v>53</v>
      </c>
      <c r="C31" s="49" t="s">
        <v>639</v>
      </c>
      <c r="D31" s="49" t="s">
        <v>640</v>
      </c>
      <c r="E31" s="49" t="s">
        <v>641</v>
      </c>
      <c r="F31" s="49" t="s">
        <v>642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49.5" customHeight="1">
      <c r="A32" s="50" t="s">
        <v>162</v>
      </c>
      <c r="B32" s="49" t="s">
        <v>45</v>
      </c>
      <c r="C32" s="49" t="s">
        <v>643</v>
      </c>
      <c r="D32" s="49" t="s">
        <v>644</v>
      </c>
      <c r="E32" s="49" t="s">
        <v>645</v>
      </c>
      <c r="F32" s="49" t="s">
        <v>646</v>
      </c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49.5" customHeight="1">
      <c r="A33" s="50" t="s">
        <v>163</v>
      </c>
      <c r="B33" s="49" t="s">
        <v>45</v>
      </c>
      <c r="C33" s="49" t="s">
        <v>631</v>
      </c>
      <c r="D33" s="49" t="s">
        <v>632</v>
      </c>
      <c r="E33" s="49" t="s">
        <v>647</v>
      </c>
      <c r="F33" s="49" t="s">
        <v>648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49.5" customHeight="1">
      <c r="A34" s="50" t="s">
        <v>164</v>
      </c>
      <c r="B34" s="49" t="s">
        <v>45</v>
      </c>
      <c r="C34" s="49" t="s">
        <v>649</v>
      </c>
      <c r="D34" s="49" t="s">
        <v>650</v>
      </c>
      <c r="E34" s="49" t="s">
        <v>651</v>
      </c>
      <c r="F34" s="49" t="s">
        <v>652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49.5" customHeight="1">
      <c r="A35" s="50" t="s">
        <v>165</v>
      </c>
      <c r="B35" s="49" t="s">
        <v>581</v>
      </c>
      <c r="C35" s="49" t="s">
        <v>653</v>
      </c>
      <c r="D35" s="49" t="s">
        <v>654</v>
      </c>
      <c r="E35" s="49" t="s">
        <v>655</v>
      </c>
      <c r="F35" s="49" t="s">
        <v>656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21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21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21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21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21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21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21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21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21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21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21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21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21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21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21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21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21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21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21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21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21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21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21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21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21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21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21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21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21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21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21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21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21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21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21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21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21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21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21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21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21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21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21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21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21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21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21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21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21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21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21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21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21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21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21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21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21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21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21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21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21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21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21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21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21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21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21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21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21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21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21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21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21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21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21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21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21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21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21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21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21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21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21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21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21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21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21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21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21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21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21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21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21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21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21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21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21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21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21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21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21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21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21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21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21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21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21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21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21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21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21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21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21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21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21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21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21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21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21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21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21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21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21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21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21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21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21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21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21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21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21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21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21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21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21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21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21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21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21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21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21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21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21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21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21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21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21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21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21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21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21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21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21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21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21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21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21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21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21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21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21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21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21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21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21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21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21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21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21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21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21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21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21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21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21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21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21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21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21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21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21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21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21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21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21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21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21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21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21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21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21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21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21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21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21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21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21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21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21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21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30.0"/>
    <col customWidth="1" min="4" max="4" width="31.86"/>
    <col customWidth="1" min="5" max="7" width="30.0"/>
    <col customWidth="1" min="8" max="26" width="13.29"/>
  </cols>
  <sheetData>
    <row r="1">
      <c r="A1" s="48" t="s">
        <v>168</v>
      </c>
      <c r="B1" s="48" t="s">
        <v>657</v>
      </c>
      <c r="C1" s="48" t="s">
        <v>658</v>
      </c>
      <c r="D1" s="48" t="s">
        <v>659</v>
      </c>
      <c r="E1" s="48" t="s">
        <v>216</v>
      </c>
      <c r="F1" s="48" t="s">
        <v>660</v>
      </c>
      <c r="G1" s="48" t="s">
        <v>661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1" t="s">
        <v>4</v>
      </c>
      <c r="B2" s="51" t="s">
        <v>662</v>
      </c>
      <c r="C2" s="51" t="s">
        <v>663</v>
      </c>
      <c r="D2" s="51" t="s">
        <v>664</v>
      </c>
      <c r="E2" s="51" t="s">
        <v>665</v>
      </c>
      <c r="F2" s="51" t="s">
        <v>666</v>
      </c>
      <c r="G2" s="51" t="s">
        <v>667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1" t="s">
        <v>4</v>
      </c>
      <c r="B3" s="51" t="s">
        <v>662</v>
      </c>
      <c r="C3" s="51" t="s">
        <v>663</v>
      </c>
      <c r="D3" s="51" t="s">
        <v>668</v>
      </c>
      <c r="E3" s="51" t="s">
        <v>667</v>
      </c>
      <c r="F3" s="51" t="s">
        <v>666</v>
      </c>
      <c r="G3" s="51" t="s">
        <v>667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1" t="s">
        <v>665</v>
      </c>
      <c r="B5" s="51" t="s">
        <v>669</v>
      </c>
      <c r="C5" s="51" t="s">
        <v>670</v>
      </c>
      <c r="D5" s="51" t="s">
        <v>671</v>
      </c>
      <c r="E5" s="51" t="s">
        <v>672</v>
      </c>
      <c r="F5" s="51" t="s">
        <v>673</v>
      </c>
      <c r="G5" s="51" t="s">
        <v>674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1" t="s">
        <v>665</v>
      </c>
      <c r="B6" s="51" t="s">
        <v>669</v>
      </c>
      <c r="C6" s="51" t="s">
        <v>670</v>
      </c>
      <c r="D6" s="51" t="s">
        <v>675</v>
      </c>
      <c r="E6" s="51" t="s">
        <v>667</v>
      </c>
      <c r="F6" s="51" t="s">
        <v>673</v>
      </c>
      <c r="G6" s="51" t="s">
        <v>667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1" t="s">
        <v>672</v>
      </c>
      <c r="B8" s="51" t="s">
        <v>676</v>
      </c>
      <c r="C8" s="51" t="s">
        <v>677</v>
      </c>
      <c r="D8" s="51" t="s">
        <v>678</v>
      </c>
      <c r="E8" s="51" t="s">
        <v>679</v>
      </c>
      <c r="F8" s="51" t="s">
        <v>673</v>
      </c>
      <c r="G8" s="51" t="s">
        <v>674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1" t="s">
        <v>672</v>
      </c>
      <c r="B9" s="51" t="s">
        <v>676</v>
      </c>
      <c r="C9" s="51" t="s">
        <v>677</v>
      </c>
      <c r="D9" s="51" t="s">
        <v>675</v>
      </c>
      <c r="E9" s="51" t="s">
        <v>667</v>
      </c>
      <c r="F9" s="51" t="s">
        <v>673</v>
      </c>
      <c r="G9" s="51" t="s">
        <v>667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1" t="s">
        <v>679</v>
      </c>
      <c r="B11" s="51" t="s">
        <v>680</v>
      </c>
      <c r="C11" s="51" t="s">
        <v>681</v>
      </c>
      <c r="D11" s="51" t="s">
        <v>682</v>
      </c>
      <c r="E11" s="51" t="s">
        <v>683</v>
      </c>
      <c r="F11" s="51" t="s">
        <v>673</v>
      </c>
      <c r="G11" s="51" t="s">
        <v>674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1" t="s">
        <v>679</v>
      </c>
      <c r="B12" s="51" t="s">
        <v>680</v>
      </c>
      <c r="C12" s="51" t="s">
        <v>681</v>
      </c>
      <c r="D12" s="51" t="s">
        <v>675</v>
      </c>
      <c r="E12" s="51" t="s">
        <v>667</v>
      </c>
      <c r="F12" s="51" t="s">
        <v>673</v>
      </c>
      <c r="G12" s="51" t="s">
        <v>667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1" t="s">
        <v>683</v>
      </c>
      <c r="B14" s="51" t="s">
        <v>684</v>
      </c>
      <c r="C14" s="51" t="s">
        <v>685</v>
      </c>
      <c r="D14" s="51" t="s">
        <v>686</v>
      </c>
      <c r="E14" s="51" t="s">
        <v>272</v>
      </c>
      <c r="F14" s="51" t="s">
        <v>673</v>
      </c>
      <c r="G14" s="51" t="s">
        <v>674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1" t="s">
        <v>683</v>
      </c>
      <c r="B15" s="51" t="s">
        <v>684</v>
      </c>
      <c r="C15" s="51" t="s">
        <v>685</v>
      </c>
      <c r="D15" s="51" t="s">
        <v>675</v>
      </c>
      <c r="E15" s="51" t="s">
        <v>272</v>
      </c>
      <c r="F15" s="51" t="s">
        <v>673</v>
      </c>
      <c r="G15" s="51" t="s">
        <v>674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51" t="s">
        <v>272</v>
      </c>
      <c r="B17" s="51" t="s">
        <v>687</v>
      </c>
      <c r="C17" s="51" t="s">
        <v>688</v>
      </c>
      <c r="D17" s="51" t="s">
        <v>689</v>
      </c>
      <c r="E17" s="51" t="s">
        <v>690</v>
      </c>
      <c r="F17" s="51" t="s">
        <v>673</v>
      </c>
      <c r="G17" s="51" t="s">
        <v>674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1" t="s">
        <v>272</v>
      </c>
      <c r="B18" s="51" t="s">
        <v>687</v>
      </c>
      <c r="C18" s="51" t="s">
        <v>688</v>
      </c>
      <c r="D18" s="51" t="s">
        <v>675</v>
      </c>
      <c r="E18" s="51" t="s">
        <v>667</v>
      </c>
      <c r="F18" s="51" t="s">
        <v>673</v>
      </c>
      <c r="G18" s="51" t="s">
        <v>667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51" t="s">
        <v>690</v>
      </c>
      <c r="B20" s="51" t="s">
        <v>691</v>
      </c>
      <c r="C20" s="51" t="s">
        <v>677</v>
      </c>
      <c r="D20" s="51" t="s">
        <v>678</v>
      </c>
      <c r="E20" s="51" t="s">
        <v>692</v>
      </c>
      <c r="F20" s="51" t="s">
        <v>673</v>
      </c>
      <c r="G20" s="51" t="s">
        <v>674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51" t="s">
        <v>690</v>
      </c>
      <c r="B21" s="51" t="s">
        <v>691</v>
      </c>
      <c r="C21" s="51" t="s">
        <v>677</v>
      </c>
      <c r="D21" s="51" t="s">
        <v>675</v>
      </c>
      <c r="E21" s="51" t="s">
        <v>667</v>
      </c>
      <c r="F21" s="51" t="s">
        <v>673</v>
      </c>
      <c r="G21" s="51" t="s">
        <v>667</v>
      </c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51" t="s">
        <v>692</v>
      </c>
      <c r="B23" s="51" t="s">
        <v>693</v>
      </c>
      <c r="C23" s="51" t="s">
        <v>681</v>
      </c>
      <c r="D23" s="51" t="s">
        <v>682</v>
      </c>
      <c r="E23" s="51" t="s">
        <v>694</v>
      </c>
      <c r="F23" s="51" t="s">
        <v>673</v>
      </c>
      <c r="G23" s="51" t="s">
        <v>674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51" t="s">
        <v>692</v>
      </c>
      <c r="B24" s="51" t="s">
        <v>693</v>
      </c>
      <c r="C24" s="51" t="s">
        <v>681</v>
      </c>
      <c r="D24" s="51" t="s">
        <v>675</v>
      </c>
      <c r="E24" s="51" t="s">
        <v>667</v>
      </c>
      <c r="F24" s="51" t="s">
        <v>673</v>
      </c>
      <c r="G24" s="51" t="s">
        <v>667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51" t="s">
        <v>694</v>
      </c>
      <c r="B26" s="51" t="s">
        <v>695</v>
      </c>
      <c r="C26" s="51" t="s">
        <v>685</v>
      </c>
      <c r="D26" s="51" t="s">
        <v>686</v>
      </c>
      <c r="E26" s="51" t="s">
        <v>696</v>
      </c>
      <c r="F26" s="51" t="s">
        <v>673</v>
      </c>
      <c r="G26" s="51" t="s">
        <v>674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51" t="s">
        <v>694</v>
      </c>
      <c r="B27" s="51" t="s">
        <v>695</v>
      </c>
      <c r="C27" s="51" t="s">
        <v>685</v>
      </c>
      <c r="D27" s="51" t="s">
        <v>675</v>
      </c>
      <c r="E27" s="51" t="s">
        <v>696</v>
      </c>
      <c r="F27" s="51" t="s">
        <v>673</v>
      </c>
      <c r="G27" s="51" t="s">
        <v>674</v>
      </c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51" t="s">
        <v>696</v>
      </c>
      <c r="B29" s="51" t="s">
        <v>697</v>
      </c>
      <c r="C29" s="51" t="s">
        <v>698</v>
      </c>
      <c r="D29" s="51" t="s">
        <v>699</v>
      </c>
      <c r="E29" s="51" t="s">
        <v>700</v>
      </c>
      <c r="F29" s="51" t="s">
        <v>673</v>
      </c>
      <c r="G29" s="51" t="s">
        <v>674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51" t="s">
        <v>696</v>
      </c>
      <c r="B30" s="51" t="s">
        <v>697</v>
      </c>
      <c r="C30" s="51" t="s">
        <v>698</v>
      </c>
      <c r="D30" s="51" t="s">
        <v>701</v>
      </c>
      <c r="E30" s="51" t="s">
        <v>702</v>
      </c>
      <c r="F30" s="51" t="s">
        <v>673</v>
      </c>
      <c r="G30" s="51" t="s">
        <v>674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51" t="s">
        <v>702</v>
      </c>
      <c r="B32" s="51" t="s">
        <v>703</v>
      </c>
      <c r="C32" s="51" t="s">
        <v>704</v>
      </c>
      <c r="D32" s="51" t="s">
        <v>705</v>
      </c>
      <c r="E32" s="51" t="s">
        <v>706</v>
      </c>
      <c r="F32" s="51" t="s">
        <v>673</v>
      </c>
      <c r="G32" s="51" t="s">
        <v>674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51" t="s">
        <v>706</v>
      </c>
      <c r="B33" s="51" t="s">
        <v>707</v>
      </c>
      <c r="C33" s="51" t="s">
        <v>708</v>
      </c>
      <c r="D33" s="51" t="s">
        <v>705</v>
      </c>
      <c r="E33" s="51" t="s">
        <v>709</v>
      </c>
      <c r="F33" s="51" t="s">
        <v>673</v>
      </c>
      <c r="G33" s="51" t="s">
        <v>674</v>
      </c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51" t="s">
        <v>709</v>
      </c>
      <c r="B34" s="51" t="s">
        <v>710</v>
      </c>
      <c r="C34" s="51" t="s">
        <v>711</v>
      </c>
      <c r="D34" s="51" t="s">
        <v>712</v>
      </c>
      <c r="E34" s="51" t="s">
        <v>700</v>
      </c>
      <c r="F34" s="51" t="s">
        <v>673</v>
      </c>
      <c r="G34" s="51" t="s">
        <v>674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30.29"/>
    <col customWidth="1" min="5" max="5" width="75.71"/>
    <col customWidth="1" min="6" max="7" width="42.57"/>
  </cols>
  <sheetData>
    <row r="1">
      <c r="A1" s="52" t="s">
        <v>170</v>
      </c>
      <c r="B1" s="52" t="s">
        <v>171</v>
      </c>
      <c r="C1" s="52" t="s">
        <v>172</v>
      </c>
      <c r="D1" s="52" t="s">
        <v>173</v>
      </c>
      <c r="E1" s="52" t="s">
        <v>713</v>
      </c>
      <c r="F1" s="52"/>
      <c r="G1" s="52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31.5" customHeight="1">
      <c r="A2" s="51" t="s">
        <v>714</v>
      </c>
      <c r="B2" s="51" t="s">
        <v>715</v>
      </c>
      <c r="C2" s="51" t="s">
        <v>716</v>
      </c>
      <c r="D2" s="51" t="s">
        <v>717</v>
      </c>
      <c r="E2" s="51" t="s">
        <v>718</v>
      </c>
      <c r="F2" s="51"/>
      <c r="G2" s="51"/>
    </row>
    <row r="3" ht="31.5" customHeight="1">
      <c r="A3" s="51" t="s">
        <v>719</v>
      </c>
      <c r="B3" s="51" t="s">
        <v>720</v>
      </c>
      <c r="C3" s="51" t="s">
        <v>716</v>
      </c>
      <c r="D3" s="51" t="s">
        <v>717</v>
      </c>
      <c r="E3" s="51" t="s">
        <v>718</v>
      </c>
      <c r="F3" s="51"/>
      <c r="G3" s="51"/>
    </row>
    <row r="4" ht="31.5" customHeight="1">
      <c r="A4" s="51" t="s">
        <v>721</v>
      </c>
      <c r="B4" s="51" t="s">
        <v>721</v>
      </c>
      <c r="C4" s="51" t="s">
        <v>722</v>
      </c>
      <c r="D4" s="51" t="s">
        <v>723</v>
      </c>
      <c r="E4" s="51" t="s">
        <v>724</v>
      </c>
      <c r="F4" s="51"/>
      <c r="G4" s="51"/>
    </row>
    <row r="5" ht="31.5" customHeight="1">
      <c r="A5" s="51" t="s">
        <v>725</v>
      </c>
      <c r="B5" s="51" t="s">
        <v>725</v>
      </c>
      <c r="C5" s="51" t="s">
        <v>722</v>
      </c>
      <c r="D5" s="51" t="s">
        <v>723</v>
      </c>
      <c r="E5" s="51" t="s">
        <v>724</v>
      </c>
      <c r="F5" s="51"/>
      <c r="G5" s="51"/>
    </row>
    <row r="6" ht="31.5" customHeight="1">
      <c r="A6" s="51" t="s">
        <v>431</v>
      </c>
      <c r="B6" s="51" t="s">
        <v>431</v>
      </c>
      <c r="C6" s="51" t="s">
        <v>726</v>
      </c>
      <c r="D6" s="51" t="s">
        <v>727</v>
      </c>
      <c r="E6" s="51" t="s">
        <v>728</v>
      </c>
      <c r="F6" s="51"/>
      <c r="G6" s="51"/>
    </row>
    <row r="7" ht="31.5" customHeight="1">
      <c r="A7" s="51" t="s">
        <v>446</v>
      </c>
      <c r="B7" s="51" t="s">
        <v>446</v>
      </c>
      <c r="C7" s="51" t="s">
        <v>729</v>
      </c>
      <c r="D7" s="51" t="s">
        <v>730</v>
      </c>
      <c r="E7" s="51" t="s">
        <v>731</v>
      </c>
      <c r="F7" s="51"/>
      <c r="G7" s="51"/>
    </row>
    <row r="8" ht="31.5" customHeight="1">
      <c r="A8" s="51" t="s">
        <v>732</v>
      </c>
      <c r="B8" s="51" t="s">
        <v>733</v>
      </c>
      <c r="C8" s="51" t="s">
        <v>734</v>
      </c>
      <c r="D8" s="51" t="s">
        <v>735</v>
      </c>
      <c r="E8" s="51" t="s">
        <v>736</v>
      </c>
      <c r="F8" s="51"/>
      <c r="G8" s="51"/>
    </row>
    <row r="9" ht="31.5" customHeight="1">
      <c r="A9" s="51" t="s">
        <v>737</v>
      </c>
      <c r="B9" s="51" t="s">
        <v>737</v>
      </c>
      <c r="C9" s="51" t="s">
        <v>734</v>
      </c>
      <c r="D9" s="51" t="s">
        <v>737</v>
      </c>
      <c r="E9" s="51" t="s">
        <v>738</v>
      </c>
      <c r="F9" s="51"/>
      <c r="G9" s="51"/>
    </row>
    <row r="10">
      <c r="A10" s="51"/>
      <c r="B10" s="51"/>
      <c r="C10" s="51"/>
      <c r="D10" s="51"/>
      <c r="E10" s="51"/>
      <c r="F10" s="51"/>
      <c r="G10" s="51"/>
    </row>
    <row r="11">
      <c r="A11" s="51"/>
      <c r="B11" s="51"/>
      <c r="C11" s="51"/>
      <c r="D11" s="51"/>
      <c r="E11" s="51"/>
      <c r="F11" s="51"/>
      <c r="G11" s="51"/>
    </row>
    <row r="12">
      <c r="A12" s="51"/>
      <c r="B12" s="51"/>
      <c r="C12" s="51"/>
      <c r="D12" s="51"/>
      <c r="E12" s="51"/>
      <c r="F12" s="51"/>
      <c r="G12" s="51"/>
    </row>
    <row r="13">
      <c r="A13" s="51"/>
      <c r="B13" s="51"/>
      <c r="C13" s="51"/>
      <c r="D13" s="51"/>
      <c r="E13" s="51"/>
      <c r="F13" s="51"/>
      <c r="G13" s="51"/>
    </row>
    <row r="14">
      <c r="A14" s="51"/>
      <c r="B14" s="51"/>
      <c r="C14" s="51"/>
      <c r="D14" s="51"/>
      <c r="E14" s="51"/>
      <c r="F14" s="51"/>
      <c r="G14" s="51"/>
    </row>
    <row r="15">
      <c r="A15" s="51"/>
      <c r="B15" s="51"/>
      <c r="C15" s="51"/>
      <c r="D15" s="51"/>
      <c r="E15" s="51"/>
      <c r="F15" s="51"/>
      <c r="G15" s="51"/>
    </row>
    <row r="16">
      <c r="A16" s="51"/>
      <c r="B16" s="51"/>
      <c r="C16" s="51"/>
      <c r="D16" s="51"/>
      <c r="E16" s="51"/>
      <c r="F16" s="51"/>
      <c r="G16" s="51"/>
    </row>
    <row r="17">
      <c r="A17" s="51"/>
      <c r="B17" s="51"/>
      <c r="C17" s="51"/>
      <c r="D17" s="51"/>
      <c r="E17" s="51"/>
      <c r="F17" s="51"/>
      <c r="G17" s="51"/>
    </row>
    <row r="18">
      <c r="A18" s="51"/>
      <c r="B18" s="51"/>
      <c r="C18" s="51"/>
      <c r="D18" s="51"/>
      <c r="E18" s="51"/>
      <c r="F18" s="51"/>
      <c r="G18" s="51"/>
    </row>
    <row r="19">
      <c r="A19" s="51"/>
      <c r="B19" s="51"/>
      <c r="C19" s="51"/>
      <c r="D19" s="51"/>
      <c r="E19" s="51"/>
      <c r="F19" s="51"/>
      <c r="G19" s="51"/>
    </row>
    <row r="20">
      <c r="A20" s="51"/>
      <c r="B20" s="51"/>
      <c r="C20" s="51"/>
      <c r="D20" s="51"/>
      <c r="E20" s="51"/>
      <c r="F20" s="51"/>
      <c r="G20" s="51"/>
    </row>
    <row r="21" ht="15.75" customHeight="1">
      <c r="A21" s="51"/>
      <c r="B21" s="51"/>
      <c r="C21" s="51"/>
      <c r="D21" s="51"/>
      <c r="E21" s="51"/>
      <c r="F21" s="51"/>
      <c r="G21" s="51"/>
    </row>
    <row r="22" ht="15.75" customHeight="1">
      <c r="A22" s="51"/>
      <c r="B22" s="51"/>
      <c r="C22" s="51"/>
      <c r="D22" s="51"/>
      <c r="E22" s="51"/>
      <c r="F22" s="51"/>
      <c r="G22" s="51"/>
    </row>
    <row r="23" ht="15.75" customHeight="1">
      <c r="A23" s="51"/>
      <c r="B23" s="51"/>
      <c r="C23" s="51"/>
      <c r="D23" s="51"/>
      <c r="E23" s="51"/>
      <c r="F23" s="51"/>
      <c r="G23" s="51"/>
    </row>
    <row r="24" ht="15.75" customHeight="1">
      <c r="A24" s="51"/>
      <c r="B24" s="51"/>
      <c r="C24" s="51"/>
      <c r="D24" s="51"/>
      <c r="E24" s="51"/>
      <c r="F24" s="51"/>
      <c r="G24" s="51"/>
    </row>
    <row r="25" ht="15.75" customHeight="1">
      <c r="A25" s="51"/>
      <c r="B25" s="51"/>
      <c r="C25" s="51"/>
      <c r="D25" s="51"/>
      <c r="E25" s="51"/>
      <c r="F25" s="51"/>
      <c r="G25" s="51"/>
    </row>
    <row r="26" ht="15.75" customHeight="1">
      <c r="A26" s="51"/>
      <c r="B26" s="51"/>
      <c r="C26" s="51"/>
      <c r="D26" s="51"/>
      <c r="E26" s="51"/>
      <c r="F26" s="51"/>
      <c r="G26" s="51"/>
    </row>
    <row r="27" ht="15.75" customHeight="1">
      <c r="A27" s="51"/>
      <c r="B27" s="51"/>
      <c r="C27" s="51"/>
      <c r="D27" s="51"/>
      <c r="E27" s="51"/>
      <c r="F27" s="51"/>
      <c r="G27" s="51"/>
    </row>
    <row r="28" ht="15.75" customHeight="1">
      <c r="A28" s="51"/>
      <c r="B28" s="51"/>
      <c r="C28" s="51"/>
      <c r="D28" s="51"/>
      <c r="E28" s="51"/>
      <c r="F28" s="51"/>
      <c r="G28" s="51"/>
    </row>
    <row r="29" ht="15.75" customHeight="1">
      <c r="A29" s="51"/>
      <c r="B29" s="51"/>
      <c r="C29" s="51"/>
      <c r="D29" s="51"/>
      <c r="E29" s="51"/>
      <c r="F29" s="51"/>
      <c r="G29" s="51"/>
    </row>
    <row r="30" ht="15.75" customHeight="1">
      <c r="A30" s="51"/>
      <c r="B30" s="51"/>
      <c r="C30" s="51"/>
      <c r="D30" s="51"/>
      <c r="E30" s="51"/>
      <c r="F30" s="51"/>
      <c r="G30" s="51"/>
    </row>
    <row r="31" ht="15.75" customHeight="1">
      <c r="A31" s="51"/>
      <c r="B31" s="51"/>
      <c r="C31" s="51"/>
      <c r="D31" s="51"/>
      <c r="E31" s="51"/>
      <c r="F31" s="51"/>
      <c r="G31" s="51"/>
    </row>
    <row r="32" ht="15.75" customHeight="1">
      <c r="A32" s="51"/>
      <c r="B32" s="51"/>
      <c r="C32" s="51"/>
      <c r="D32" s="51"/>
      <c r="E32" s="51"/>
      <c r="F32" s="51"/>
      <c r="G32" s="51"/>
    </row>
    <row r="33" ht="15.75" customHeight="1">
      <c r="A33" s="51"/>
      <c r="B33" s="51"/>
      <c r="C33" s="51"/>
      <c r="D33" s="51"/>
      <c r="E33" s="51"/>
      <c r="F33" s="51"/>
      <c r="G33" s="51"/>
    </row>
    <row r="34" ht="15.75" customHeight="1">
      <c r="A34" s="51"/>
      <c r="B34" s="51"/>
      <c r="C34" s="51"/>
      <c r="D34" s="51"/>
      <c r="E34" s="51"/>
      <c r="F34" s="51"/>
      <c r="G34" s="51"/>
    </row>
    <row r="35" ht="15.75" customHeight="1">
      <c r="A35" s="51"/>
      <c r="B35" s="51"/>
      <c r="C35" s="51"/>
      <c r="D35" s="51"/>
      <c r="E35" s="51"/>
      <c r="F35" s="51"/>
      <c r="G35" s="51"/>
    </row>
    <row r="36" ht="15.75" customHeight="1">
      <c r="A36" s="51"/>
      <c r="B36" s="51"/>
      <c r="C36" s="51"/>
      <c r="D36" s="51"/>
      <c r="E36" s="51"/>
      <c r="F36" s="51"/>
      <c r="G36" s="51"/>
    </row>
    <row r="37" ht="15.75" customHeight="1">
      <c r="A37" s="51"/>
      <c r="B37" s="51"/>
      <c r="C37" s="51"/>
      <c r="D37" s="51"/>
      <c r="E37" s="51"/>
      <c r="F37" s="51"/>
      <c r="G37" s="51"/>
    </row>
    <row r="38" ht="15.75" customHeight="1">
      <c r="A38" s="51"/>
      <c r="B38" s="51"/>
      <c r="C38" s="51"/>
      <c r="D38" s="51"/>
      <c r="E38" s="51"/>
      <c r="F38" s="51"/>
      <c r="G38" s="51"/>
    </row>
    <row r="39" ht="15.75" customHeight="1">
      <c r="A39" s="51"/>
      <c r="B39" s="51"/>
      <c r="C39" s="51"/>
      <c r="D39" s="51"/>
      <c r="E39" s="51"/>
      <c r="F39" s="51"/>
      <c r="G39" s="51"/>
    </row>
    <row r="40" ht="15.75" customHeight="1">
      <c r="A40" s="51"/>
      <c r="B40" s="51"/>
      <c r="C40" s="51"/>
      <c r="D40" s="51"/>
      <c r="E40" s="51"/>
      <c r="F40" s="51"/>
      <c r="G40" s="51"/>
    </row>
    <row r="41" ht="15.75" customHeight="1">
      <c r="A41" s="51"/>
      <c r="B41" s="51"/>
      <c r="C41" s="51"/>
      <c r="D41" s="51"/>
      <c r="E41" s="51"/>
      <c r="F41" s="51"/>
      <c r="G41" s="51"/>
    </row>
    <row r="42" ht="15.75" customHeight="1">
      <c r="A42" s="51"/>
      <c r="B42" s="51"/>
      <c r="C42" s="51"/>
      <c r="D42" s="51"/>
      <c r="E42" s="51"/>
      <c r="F42" s="51"/>
      <c r="G42" s="51"/>
    </row>
    <row r="43" ht="15.75" customHeight="1">
      <c r="A43" s="51"/>
      <c r="B43" s="51"/>
      <c r="C43" s="51"/>
      <c r="D43" s="51"/>
      <c r="E43" s="51"/>
      <c r="F43" s="51"/>
      <c r="G43" s="51"/>
    </row>
    <row r="44" ht="15.75" customHeight="1">
      <c r="A44" s="51"/>
      <c r="B44" s="51"/>
      <c r="C44" s="51"/>
      <c r="D44" s="51"/>
      <c r="E44" s="51"/>
      <c r="F44" s="51"/>
      <c r="G44" s="51"/>
    </row>
    <row r="45" ht="15.75" customHeight="1">
      <c r="A45" s="51"/>
      <c r="B45" s="51"/>
      <c r="C45" s="51"/>
      <c r="D45" s="51"/>
      <c r="E45" s="51"/>
      <c r="F45" s="51"/>
      <c r="G45" s="51"/>
    </row>
    <row r="46" ht="15.75" customHeight="1">
      <c r="A46" s="51"/>
      <c r="B46" s="51"/>
      <c r="C46" s="51"/>
      <c r="D46" s="51"/>
      <c r="E46" s="51"/>
      <c r="F46" s="51"/>
      <c r="G46" s="51"/>
    </row>
    <row r="47" ht="15.75" customHeight="1">
      <c r="A47" s="51"/>
      <c r="B47" s="51"/>
      <c r="C47" s="51"/>
      <c r="D47" s="51"/>
      <c r="E47" s="51"/>
      <c r="F47" s="51"/>
      <c r="G47" s="51"/>
    </row>
    <row r="48" ht="15.75" customHeight="1">
      <c r="A48" s="51"/>
      <c r="B48" s="51"/>
      <c r="C48" s="51"/>
      <c r="D48" s="51"/>
      <c r="E48" s="51"/>
      <c r="F48" s="51"/>
      <c r="G48" s="51"/>
    </row>
    <row r="49" ht="15.75" customHeight="1">
      <c r="A49" s="51"/>
      <c r="B49" s="51"/>
      <c r="C49" s="51"/>
      <c r="D49" s="51"/>
      <c r="E49" s="51"/>
      <c r="F49" s="51"/>
      <c r="G49" s="51"/>
    </row>
    <row r="50" ht="15.75" customHeight="1">
      <c r="A50" s="51"/>
      <c r="B50" s="51"/>
      <c r="C50" s="51"/>
      <c r="D50" s="51"/>
      <c r="E50" s="51"/>
      <c r="F50" s="51"/>
      <c r="G50" s="51"/>
    </row>
    <row r="51" ht="15.75" customHeight="1">
      <c r="A51" s="51"/>
      <c r="B51" s="51"/>
      <c r="C51" s="51"/>
      <c r="D51" s="51"/>
      <c r="E51" s="51"/>
      <c r="F51" s="51"/>
      <c r="G51" s="51"/>
    </row>
    <row r="52" ht="15.75" customHeight="1">
      <c r="A52" s="51"/>
      <c r="B52" s="51"/>
      <c r="C52" s="51"/>
      <c r="D52" s="51"/>
      <c r="E52" s="51"/>
      <c r="F52" s="51"/>
      <c r="G52" s="51"/>
    </row>
    <row r="53" ht="15.75" customHeight="1">
      <c r="A53" s="51"/>
      <c r="B53" s="51"/>
      <c r="C53" s="51"/>
      <c r="D53" s="51"/>
      <c r="E53" s="51"/>
      <c r="F53" s="51"/>
      <c r="G53" s="51"/>
    </row>
    <row r="54" ht="15.75" customHeight="1">
      <c r="A54" s="51"/>
      <c r="B54" s="51"/>
      <c r="C54" s="51"/>
      <c r="D54" s="51"/>
      <c r="E54" s="51"/>
      <c r="F54" s="51"/>
      <c r="G54" s="51"/>
    </row>
    <row r="55" ht="15.75" customHeight="1">
      <c r="A55" s="51"/>
      <c r="B55" s="51"/>
      <c r="C55" s="51"/>
      <c r="D55" s="51"/>
      <c r="E55" s="51"/>
      <c r="F55" s="51"/>
      <c r="G55" s="51"/>
    </row>
    <row r="56" ht="15.75" customHeight="1">
      <c r="A56" s="51"/>
      <c r="B56" s="51"/>
      <c r="C56" s="51"/>
      <c r="D56" s="51"/>
      <c r="E56" s="51"/>
      <c r="F56" s="51"/>
      <c r="G56" s="51"/>
    </row>
    <row r="57" ht="15.75" customHeight="1">
      <c r="A57" s="51"/>
      <c r="B57" s="51"/>
      <c r="C57" s="51"/>
      <c r="D57" s="51"/>
      <c r="E57" s="51"/>
      <c r="F57" s="51"/>
      <c r="G57" s="51"/>
    </row>
    <row r="58" ht="15.75" customHeight="1">
      <c r="A58" s="51"/>
      <c r="B58" s="51"/>
      <c r="C58" s="51"/>
      <c r="D58" s="51"/>
      <c r="E58" s="51"/>
      <c r="F58" s="51"/>
      <c r="G58" s="51"/>
    </row>
    <row r="59" ht="15.75" customHeight="1">
      <c r="A59" s="51"/>
      <c r="B59" s="51"/>
      <c r="C59" s="51"/>
      <c r="D59" s="51"/>
      <c r="E59" s="51"/>
      <c r="F59" s="51"/>
      <c r="G59" s="51"/>
    </row>
    <row r="60" ht="15.75" customHeight="1">
      <c r="A60" s="51"/>
      <c r="B60" s="51"/>
      <c r="C60" s="51"/>
      <c r="D60" s="51"/>
      <c r="E60" s="51"/>
      <c r="F60" s="51"/>
      <c r="G60" s="51"/>
    </row>
    <row r="61" ht="15.75" customHeight="1">
      <c r="A61" s="51"/>
      <c r="B61" s="51"/>
      <c r="C61" s="51"/>
      <c r="D61" s="51"/>
      <c r="E61" s="51"/>
      <c r="F61" s="51"/>
      <c r="G61" s="51"/>
    </row>
    <row r="62" ht="15.75" customHeight="1">
      <c r="A62" s="51"/>
      <c r="B62" s="51"/>
      <c r="C62" s="51"/>
      <c r="D62" s="51"/>
      <c r="E62" s="51"/>
      <c r="F62" s="51"/>
      <c r="G62" s="51"/>
    </row>
    <row r="63" ht="15.75" customHeight="1">
      <c r="A63" s="51"/>
      <c r="B63" s="51"/>
      <c r="C63" s="51"/>
      <c r="D63" s="51"/>
      <c r="E63" s="51"/>
      <c r="F63" s="51"/>
      <c r="G63" s="51"/>
    </row>
    <row r="64" ht="15.75" customHeight="1">
      <c r="A64" s="51"/>
      <c r="B64" s="51"/>
      <c r="C64" s="51"/>
      <c r="D64" s="51"/>
      <c r="E64" s="51"/>
      <c r="F64" s="51"/>
      <c r="G64" s="51"/>
    </row>
    <row r="65" ht="15.75" customHeight="1">
      <c r="A65" s="51"/>
      <c r="B65" s="51"/>
      <c r="C65" s="51"/>
      <c r="D65" s="51"/>
      <c r="E65" s="51"/>
      <c r="F65" s="51"/>
      <c r="G65" s="51"/>
    </row>
    <row r="66" ht="15.75" customHeight="1">
      <c r="A66" s="51"/>
      <c r="B66" s="51"/>
      <c r="C66" s="51"/>
      <c r="D66" s="51"/>
      <c r="E66" s="51"/>
      <c r="F66" s="51"/>
      <c r="G66" s="51"/>
    </row>
    <row r="67" ht="15.75" customHeight="1">
      <c r="A67" s="51"/>
      <c r="B67" s="51"/>
      <c r="C67" s="51"/>
      <c r="D67" s="51"/>
      <c r="E67" s="51"/>
      <c r="F67" s="51"/>
      <c r="G67" s="51"/>
    </row>
    <row r="68" ht="15.75" customHeight="1">
      <c r="A68" s="51"/>
      <c r="B68" s="51"/>
      <c r="C68" s="51"/>
      <c r="D68" s="51"/>
      <c r="E68" s="51"/>
      <c r="F68" s="51"/>
      <c r="G68" s="51"/>
    </row>
    <row r="69" ht="15.75" customHeight="1">
      <c r="A69" s="51"/>
      <c r="B69" s="51"/>
      <c r="C69" s="51"/>
      <c r="D69" s="51"/>
      <c r="E69" s="51"/>
      <c r="F69" s="51"/>
      <c r="G69" s="51"/>
    </row>
    <row r="70" ht="15.75" customHeight="1">
      <c r="A70" s="51"/>
      <c r="B70" s="51"/>
      <c r="C70" s="51"/>
      <c r="D70" s="51"/>
      <c r="E70" s="51"/>
      <c r="F70" s="51"/>
      <c r="G70" s="51"/>
    </row>
    <row r="71" ht="15.75" customHeight="1">
      <c r="A71" s="51"/>
      <c r="B71" s="51"/>
      <c r="C71" s="51"/>
      <c r="D71" s="51"/>
      <c r="E71" s="51"/>
      <c r="F71" s="51"/>
      <c r="G71" s="51"/>
    </row>
    <row r="72" ht="15.75" customHeight="1">
      <c r="A72" s="51"/>
      <c r="B72" s="51"/>
      <c r="C72" s="51"/>
      <c r="D72" s="51"/>
      <c r="E72" s="51"/>
      <c r="F72" s="51"/>
      <c r="G72" s="51"/>
    </row>
    <row r="73" ht="15.75" customHeight="1">
      <c r="A73" s="51"/>
      <c r="B73" s="51"/>
      <c r="C73" s="51"/>
      <c r="D73" s="51"/>
      <c r="E73" s="51"/>
      <c r="F73" s="51"/>
      <c r="G73" s="51"/>
    </row>
    <row r="74" ht="15.75" customHeight="1">
      <c r="A74" s="51"/>
      <c r="B74" s="51"/>
      <c r="C74" s="51"/>
      <c r="D74" s="51"/>
      <c r="E74" s="51"/>
      <c r="F74" s="51"/>
      <c r="G74" s="51"/>
    </row>
    <row r="75" ht="15.75" customHeight="1">
      <c r="A75" s="51"/>
      <c r="B75" s="51"/>
      <c r="C75" s="51"/>
      <c r="D75" s="51"/>
      <c r="E75" s="51"/>
      <c r="F75" s="51"/>
      <c r="G75" s="51"/>
    </row>
    <row r="76" ht="15.75" customHeight="1">
      <c r="A76" s="51"/>
      <c r="B76" s="51"/>
      <c r="C76" s="51"/>
      <c r="D76" s="51"/>
      <c r="E76" s="51"/>
      <c r="F76" s="51"/>
      <c r="G76" s="51"/>
    </row>
    <row r="77" ht="15.75" customHeight="1">
      <c r="A77" s="51"/>
      <c r="B77" s="51"/>
      <c r="C77" s="51"/>
      <c r="D77" s="51"/>
      <c r="E77" s="51"/>
      <c r="F77" s="51"/>
      <c r="G77" s="51"/>
    </row>
    <row r="78" ht="15.75" customHeight="1">
      <c r="A78" s="51"/>
      <c r="B78" s="51"/>
      <c r="C78" s="51"/>
      <c r="D78" s="51"/>
      <c r="E78" s="51"/>
      <c r="F78" s="51"/>
      <c r="G78" s="51"/>
    </row>
    <row r="79" ht="15.75" customHeight="1">
      <c r="A79" s="51"/>
      <c r="B79" s="51"/>
      <c r="C79" s="51"/>
      <c r="D79" s="51"/>
      <c r="E79" s="51"/>
      <c r="F79" s="51"/>
      <c r="G79" s="51"/>
    </row>
    <row r="80" ht="15.75" customHeight="1">
      <c r="A80" s="51"/>
      <c r="B80" s="51"/>
      <c r="C80" s="51"/>
      <c r="D80" s="51"/>
      <c r="E80" s="51"/>
      <c r="F80" s="51"/>
      <c r="G80" s="51"/>
    </row>
    <row r="81" ht="15.75" customHeight="1">
      <c r="A81" s="51"/>
      <c r="B81" s="51"/>
      <c r="C81" s="51"/>
      <c r="D81" s="51"/>
      <c r="E81" s="51"/>
      <c r="F81" s="51"/>
      <c r="G81" s="51"/>
    </row>
    <row r="82" ht="15.75" customHeight="1">
      <c r="A82" s="51"/>
      <c r="B82" s="51"/>
      <c r="C82" s="51"/>
      <c r="D82" s="51"/>
      <c r="E82" s="51"/>
      <c r="F82" s="51"/>
      <c r="G82" s="51"/>
    </row>
    <row r="83" ht="15.75" customHeight="1">
      <c r="A83" s="51"/>
      <c r="B83" s="51"/>
      <c r="C83" s="51"/>
      <c r="D83" s="51"/>
      <c r="E83" s="51"/>
      <c r="F83" s="51"/>
      <c r="G83" s="51"/>
    </row>
    <row r="84" ht="15.75" customHeight="1">
      <c r="A84" s="51"/>
      <c r="B84" s="51"/>
      <c r="C84" s="51"/>
      <c r="D84" s="51"/>
      <c r="E84" s="51"/>
      <c r="F84" s="51"/>
      <c r="G84" s="51"/>
    </row>
    <row r="85" ht="15.75" customHeight="1">
      <c r="A85" s="51"/>
      <c r="B85" s="51"/>
      <c r="C85" s="51"/>
      <c r="D85" s="51"/>
      <c r="E85" s="51"/>
      <c r="F85" s="51"/>
      <c r="G85" s="51"/>
    </row>
    <row r="86" ht="15.75" customHeight="1">
      <c r="A86" s="51"/>
      <c r="B86" s="51"/>
      <c r="C86" s="51"/>
      <c r="D86" s="51"/>
      <c r="E86" s="51"/>
      <c r="F86" s="51"/>
      <c r="G86" s="51"/>
    </row>
    <row r="87" ht="15.75" customHeight="1">
      <c r="A87" s="51"/>
      <c r="B87" s="51"/>
      <c r="C87" s="51"/>
      <c r="D87" s="51"/>
      <c r="E87" s="51"/>
      <c r="F87" s="51"/>
      <c r="G87" s="51"/>
    </row>
    <row r="88" ht="15.75" customHeight="1">
      <c r="A88" s="51"/>
      <c r="B88" s="51"/>
      <c r="C88" s="51"/>
      <c r="D88" s="51"/>
      <c r="E88" s="51"/>
      <c r="F88" s="51"/>
      <c r="G88" s="51"/>
    </row>
    <row r="89" ht="15.75" customHeight="1">
      <c r="A89" s="51"/>
      <c r="B89" s="51"/>
      <c r="C89" s="51"/>
      <c r="D89" s="51"/>
      <c r="E89" s="51"/>
      <c r="F89" s="51"/>
      <c r="G89" s="51"/>
    </row>
    <row r="90" ht="15.75" customHeight="1">
      <c r="A90" s="51"/>
      <c r="B90" s="51"/>
      <c r="C90" s="51"/>
      <c r="D90" s="51"/>
      <c r="E90" s="51"/>
      <c r="F90" s="51"/>
      <c r="G90" s="51"/>
    </row>
    <row r="91" ht="15.75" customHeight="1">
      <c r="A91" s="51"/>
      <c r="B91" s="51"/>
      <c r="C91" s="51"/>
      <c r="D91" s="51"/>
      <c r="E91" s="51"/>
      <c r="F91" s="51"/>
      <c r="G91" s="51"/>
    </row>
    <row r="92" ht="15.75" customHeight="1">
      <c r="A92" s="51"/>
      <c r="B92" s="51"/>
      <c r="C92" s="51"/>
      <c r="D92" s="51"/>
      <c r="E92" s="51"/>
      <c r="F92" s="51"/>
      <c r="G92" s="51"/>
    </row>
    <row r="93" ht="15.75" customHeight="1">
      <c r="A93" s="51"/>
      <c r="B93" s="51"/>
      <c r="C93" s="51"/>
      <c r="D93" s="51"/>
      <c r="E93" s="51"/>
      <c r="F93" s="51"/>
      <c r="G93" s="51"/>
    </row>
    <row r="94" ht="15.75" customHeight="1">
      <c r="A94" s="51"/>
      <c r="B94" s="51"/>
      <c r="C94" s="51"/>
      <c r="D94" s="51"/>
      <c r="E94" s="51"/>
      <c r="F94" s="51"/>
      <c r="G94" s="51"/>
    </row>
    <row r="95" ht="15.75" customHeight="1">
      <c r="A95" s="51"/>
      <c r="B95" s="51"/>
      <c r="C95" s="51"/>
      <c r="D95" s="51"/>
      <c r="E95" s="51"/>
      <c r="F95" s="51"/>
      <c r="G95" s="51"/>
    </row>
    <row r="96" ht="15.75" customHeight="1">
      <c r="A96" s="51"/>
      <c r="B96" s="51"/>
      <c r="C96" s="51"/>
      <c r="D96" s="51"/>
      <c r="E96" s="51"/>
      <c r="F96" s="51"/>
      <c r="G96" s="51"/>
    </row>
    <row r="97" ht="15.75" customHeight="1">
      <c r="A97" s="51"/>
      <c r="B97" s="51"/>
      <c r="C97" s="51"/>
      <c r="D97" s="51"/>
      <c r="E97" s="51"/>
      <c r="F97" s="51"/>
      <c r="G97" s="51"/>
    </row>
    <row r="98" ht="15.75" customHeight="1">
      <c r="A98" s="51"/>
      <c r="B98" s="51"/>
      <c r="C98" s="51"/>
      <c r="D98" s="51"/>
      <c r="E98" s="51"/>
      <c r="F98" s="51"/>
      <c r="G98" s="51"/>
    </row>
    <row r="99" ht="15.75" customHeight="1">
      <c r="A99" s="51"/>
      <c r="B99" s="51"/>
      <c r="C99" s="51"/>
      <c r="D99" s="51"/>
      <c r="E99" s="51"/>
      <c r="F99" s="51"/>
      <c r="G99" s="51"/>
    </row>
    <row r="100" ht="15.75" customHeight="1">
      <c r="A100" s="51"/>
      <c r="B100" s="51"/>
      <c r="C100" s="51"/>
      <c r="D100" s="51"/>
      <c r="E100" s="51"/>
      <c r="F100" s="51"/>
      <c r="G100" s="51"/>
    </row>
    <row r="101" ht="15.75" customHeight="1">
      <c r="A101" s="51"/>
      <c r="B101" s="51"/>
      <c r="C101" s="51"/>
      <c r="D101" s="51"/>
      <c r="E101" s="51"/>
      <c r="F101" s="51"/>
      <c r="G101" s="51"/>
    </row>
    <row r="102" ht="15.75" customHeight="1">
      <c r="A102" s="51"/>
      <c r="B102" s="51"/>
      <c r="C102" s="51"/>
      <c r="D102" s="51"/>
      <c r="E102" s="51"/>
      <c r="F102" s="51"/>
      <c r="G102" s="51"/>
    </row>
    <row r="103" ht="15.75" customHeight="1">
      <c r="A103" s="51"/>
      <c r="B103" s="51"/>
      <c r="C103" s="51"/>
      <c r="D103" s="51"/>
      <c r="E103" s="51"/>
      <c r="F103" s="51"/>
      <c r="G103" s="51"/>
    </row>
    <row r="104" ht="15.75" customHeight="1">
      <c r="A104" s="51"/>
      <c r="B104" s="51"/>
      <c r="C104" s="51"/>
      <c r="D104" s="51"/>
      <c r="E104" s="51"/>
      <c r="F104" s="51"/>
      <c r="G104" s="51"/>
    </row>
    <row r="105" ht="15.75" customHeight="1">
      <c r="A105" s="51"/>
      <c r="B105" s="51"/>
      <c r="C105" s="51"/>
      <c r="D105" s="51"/>
      <c r="E105" s="51"/>
      <c r="F105" s="51"/>
      <c r="G105" s="51"/>
    </row>
    <row r="106" ht="15.75" customHeight="1">
      <c r="A106" s="51"/>
      <c r="B106" s="51"/>
      <c r="C106" s="51"/>
      <c r="D106" s="51"/>
      <c r="E106" s="51"/>
      <c r="F106" s="51"/>
      <c r="G106" s="51"/>
    </row>
    <row r="107" ht="15.75" customHeight="1">
      <c r="A107" s="51"/>
      <c r="B107" s="51"/>
      <c r="C107" s="51"/>
      <c r="D107" s="51"/>
      <c r="E107" s="51"/>
      <c r="F107" s="51"/>
      <c r="G107" s="51"/>
    </row>
    <row r="108" ht="15.75" customHeight="1">
      <c r="A108" s="51"/>
      <c r="B108" s="51"/>
      <c r="C108" s="51"/>
      <c r="D108" s="51"/>
      <c r="E108" s="51"/>
      <c r="F108" s="51"/>
      <c r="G108" s="51"/>
    </row>
    <row r="109" ht="15.75" customHeight="1">
      <c r="A109" s="51"/>
      <c r="B109" s="51"/>
      <c r="C109" s="51"/>
      <c r="D109" s="51"/>
      <c r="E109" s="51"/>
      <c r="F109" s="51"/>
      <c r="G109" s="51"/>
    </row>
    <row r="110" ht="15.75" customHeight="1">
      <c r="A110" s="51"/>
      <c r="B110" s="51"/>
      <c r="C110" s="51"/>
      <c r="D110" s="51"/>
      <c r="E110" s="51"/>
      <c r="F110" s="51"/>
      <c r="G110" s="51"/>
    </row>
    <row r="111" ht="15.75" customHeight="1">
      <c r="A111" s="51"/>
      <c r="B111" s="51"/>
      <c r="C111" s="51"/>
      <c r="D111" s="51"/>
      <c r="E111" s="51"/>
      <c r="F111" s="51"/>
      <c r="G111" s="51"/>
    </row>
    <row r="112" ht="15.75" customHeight="1">
      <c r="A112" s="51"/>
      <c r="B112" s="51"/>
      <c r="C112" s="51"/>
      <c r="D112" s="51"/>
      <c r="E112" s="51"/>
      <c r="F112" s="51"/>
      <c r="G112" s="51"/>
    </row>
    <row r="113" ht="15.75" customHeight="1">
      <c r="A113" s="51"/>
      <c r="B113" s="51"/>
      <c r="C113" s="51"/>
      <c r="D113" s="51"/>
      <c r="E113" s="51"/>
      <c r="F113" s="51"/>
      <c r="G113" s="51"/>
    </row>
    <row r="114" ht="15.75" customHeight="1">
      <c r="A114" s="51"/>
      <c r="B114" s="51"/>
      <c r="C114" s="51"/>
      <c r="D114" s="51"/>
      <c r="E114" s="51"/>
      <c r="F114" s="51"/>
      <c r="G114" s="51"/>
    </row>
    <row r="115" ht="15.75" customHeight="1">
      <c r="A115" s="51"/>
      <c r="B115" s="51"/>
      <c r="C115" s="51"/>
      <c r="D115" s="51"/>
      <c r="E115" s="51"/>
      <c r="F115" s="51"/>
      <c r="G115" s="51"/>
    </row>
    <row r="116" ht="15.75" customHeight="1">
      <c r="A116" s="51"/>
      <c r="B116" s="51"/>
      <c r="C116" s="51"/>
      <c r="D116" s="51"/>
      <c r="E116" s="51"/>
      <c r="F116" s="51"/>
      <c r="G116" s="51"/>
    </row>
    <row r="117" ht="15.75" customHeight="1">
      <c r="A117" s="51"/>
      <c r="B117" s="51"/>
      <c r="C117" s="51"/>
      <c r="D117" s="51"/>
      <c r="E117" s="51"/>
      <c r="F117" s="51"/>
      <c r="G117" s="51"/>
    </row>
    <row r="118" ht="15.75" customHeight="1">
      <c r="A118" s="51"/>
      <c r="B118" s="51"/>
      <c r="C118" s="51"/>
      <c r="D118" s="51"/>
      <c r="E118" s="51"/>
      <c r="F118" s="51"/>
      <c r="G118" s="51"/>
    </row>
    <row r="119" ht="15.75" customHeight="1">
      <c r="A119" s="51"/>
      <c r="B119" s="51"/>
      <c r="C119" s="51"/>
      <c r="D119" s="51"/>
      <c r="E119" s="51"/>
      <c r="F119" s="51"/>
      <c r="G119" s="51"/>
    </row>
    <row r="120" ht="15.75" customHeight="1">
      <c r="A120" s="51"/>
      <c r="B120" s="51"/>
      <c r="C120" s="51"/>
      <c r="D120" s="51"/>
      <c r="E120" s="51"/>
      <c r="F120" s="51"/>
      <c r="G120" s="51"/>
    </row>
    <row r="121" ht="15.75" customHeight="1">
      <c r="A121" s="51"/>
      <c r="B121" s="51"/>
      <c r="C121" s="51"/>
      <c r="D121" s="51"/>
      <c r="E121" s="51"/>
      <c r="F121" s="51"/>
      <c r="G121" s="51"/>
    </row>
    <row r="122" ht="15.75" customHeight="1">
      <c r="A122" s="51"/>
      <c r="B122" s="51"/>
      <c r="C122" s="51"/>
      <c r="D122" s="51"/>
      <c r="E122" s="51"/>
      <c r="F122" s="51"/>
      <c r="G122" s="51"/>
    </row>
    <row r="123" ht="15.75" customHeight="1">
      <c r="A123" s="51"/>
      <c r="B123" s="51"/>
      <c r="C123" s="51"/>
      <c r="D123" s="51"/>
      <c r="E123" s="51"/>
      <c r="F123" s="51"/>
      <c r="G123" s="51"/>
    </row>
    <row r="124" ht="15.75" customHeight="1">
      <c r="A124" s="51"/>
      <c r="B124" s="51"/>
      <c r="C124" s="51"/>
      <c r="D124" s="51"/>
      <c r="E124" s="51"/>
      <c r="F124" s="51"/>
      <c r="G124" s="51"/>
    </row>
    <row r="125" ht="15.75" customHeight="1">
      <c r="A125" s="51"/>
      <c r="B125" s="51"/>
      <c r="C125" s="51"/>
      <c r="D125" s="51"/>
      <c r="E125" s="51"/>
      <c r="F125" s="51"/>
      <c r="G125" s="51"/>
    </row>
    <row r="126" ht="15.75" customHeight="1">
      <c r="A126" s="51"/>
      <c r="B126" s="51"/>
      <c r="C126" s="51"/>
      <c r="D126" s="51"/>
      <c r="E126" s="51"/>
      <c r="F126" s="51"/>
      <c r="G126" s="51"/>
    </row>
    <row r="127" ht="15.75" customHeight="1">
      <c r="A127" s="51"/>
      <c r="B127" s="51"/>
      <c r="C127" s="51"/>
      <c r="D127" s="51"/>
      <c r="E127" s="51"/>
      <c r="F127" s="51"/>
      <c r="G127" s="51"/>
    </row>
    <row r="128" ht="15.75" customHeight="1">
      <c r="A128" s="51"/>
      <c r="B128" s="51"/>
      <c r="C128" s="51"/>
      <c r="D128" s="51"/>
      <c r="E128" s="51"/>
      <c r="F128" s="51"/>
      <c r="G128" s="51"/>
    </row>
    <row r="129" ht="15.75" customHeight="1">
      <c r="A129" s="51"/>
      <c r="B129" s="51"/>
      <c r="C129" s="51"/>
      <c r="D129" s="51"/>
      <c r="E129" s="51"/>
      <c r="F129" s="51"/>
      <c r="G129" s="51"/>
    </row>
    <row r="130" ht="15.75" customHeight="1">
      <c r="A130" s="51"/>
      <c r="B130" s="51"/>
      <c r="C130" s="51"/>
      <c r="D130" s="51"/>
      <c r="E130" s="51"/>
      <c r="F130" s="51"/>
      <c r="G130" s="51"/>
    </row>
    <row r="131" ht="15.75" customHeight="1">
      <c r="A131" s="51"/>
      <c r="B131" s="51"/>
      <c r="C131" s="51"/>
      <c r="D131" s="51"/>
      <c r="E131" s="51"/>
      <c r="F131" s="51"/>
      <c r="G131" s="51"/>
    </row>
    <row r="132" ht="15.75" customHeight="1">
      <c r="A132" s="51"/>
      <c r="B132" s="51"/>
      <c r="C132" s="51"/>
      <c r="D132" s="51"/>
      <c r="E132" s="51"/>
      <c r="F132" s="51"/>
      <c r="G132" s="51"/>
    </row>
    <row r="133" ht="15.75" customHeight="1">
      <c r="A133" s="51"/>
      <c r="B133" s="51"/>
      <c r="C133" s="51"/>
      <c r="D133" s="51"/>
      <c r="E133" s="51"/>
      <c r="F133" s="51"/>
      <c r="G133" s="51"/>
    </row>
    <row r="134" ht="15.75" customHeight="1">
      <c r="A134" s="51"/>
      <c r="B134" s="51"/>
      <c r="C134" s="51"/>
      <c r="D134" s="51"/>
      <c r="E134" s="51"/>
      <c r="F134" s="51"/>
      <c r="G134" s="51"/>
    </row>
    <row r="135" ht="15.75" customHeight="1">
      <c r="A135" s="51"/>
      <c r="B135" s="51"/>
      <c r="C135" s="51"/>
      <c r="D135" s="51"/>
      <c r="E135" s="51"/>
      <c r="F135" s="51"/>
      <c r="G135" s="51"/>
    </row>
    <row r="136" ht="15.75" customHeight="1">
      <c r="A136" s="51"/>
      <c r="B136" s="51"/>
      <c r="C136" s="51"/>
      <c r="D136" s="51"/>
      <c r="E136" s="51"/>
      <c r="F136" s="51"/>
      <c r="G136" s="51"/>
    </row>
    <row r="137" ht="15.75" customHeight="1">
      <c r="A137" s="51"/>
      <c r="B137" s="51"/>
      <c r="C137" s="51"/>
      <c r="D137" s="51"/>
      <c r="E137" s="51"/>
      <c r="F137" s="51"/>
      <c r="G137" s="51"/>
    </row>
    <row r="138" ht="15.75" customHeight="1">
      <c r="A138" s="51"/>
      <c r="B138" s="51"/>
      <c r="C138" s="51"/>
      <c r="D138" s="51"/>
      <c r="E138" s="51"/>
      <c r="F138" s="51"/>
      <c r="G138" s="51"/>
    </row>
    <row r="139" ht="15.75" customHeight="1">
      <c r="A139" s="51"/>
      <c r="B139" s="51"/>
      <c r="C139" s="51"/>
      <c r="D139" s="51"/>
      <c r="E139" s="51"/>
      <c r="F139" s="51"/>
      <c r="G139" s="51"/>
    </row>
    <row r="140" ht="15.75" customHeight="1">
      <c r="A140" s="51"/>
      <c r="B140" s="51"/>
      <c r="C140" s="51"/>
      <c r="D140" s="51"/>
      <c r="E140" s="51"/>
      <c r="F140" s="51"/>
      <c r="G140" s="51"/>
    </row>
    <row r="141" ht="15.75" customHeight="1">
      <c r="A141" s="51"/>
      <c r="B141" s="51"/>
      <c r="C141" s="51"/>
      <c r="D141" s="51"/>
      <c r="E141" s="51"/>
      <c r="F141" s="51"/>
      <c r="G141" s="51"/>
    </row>
    <row r="142" ht="15.75" customHeight="1">
      <c r="A142" s="51"/>
      <c r="B142" s="51"/>
      <c r="C142" s="51"/>
      <c r="D142" s="51"/>
      <c r="E142" s="51"/>
      <c r="F142" s="51"/>
      <c r="G142" s="51"/>
    </row>
    <row r="143" ht="15.75" customHeight="1">
      <c r="A143" s="51"/>
      <c r="B143" s="51"/>
      <c r="C143" s="51"/>
      <c r="D143" s="51"/>
      <c r="E143" s="51"/>
      <c r="F143" s="51"/>
      <c r="G143" s="51"/>
    </row>
    <row r="144" ht="15.75" customHeight="1">
      <c r="A144" s="51"/>
      <c r="B144" s="51"/>
      <c r="C144" s="51"/>
      <c r="D144" s="51"/>
      <c r="E144" s="51"/>
      <c r="F144" s="51"/>
      <c r="G144" s="51"/>
    </row>
    <row r="145" ht="15.75" customHeight="1">
      <c r="A145" s="51"/>
      <c r="B145" s="51"/>
      <c r="C145" s="51"/>
      <c r="D145" s="51"/>
      <c r="E145" s="51"/>
      <c r="F145" s="51"/>
      <c r="G145" s="51"/>
    </row>
    <row r="146" ht="15.75" customHeight="1">
      <c r="A146" s="51"/>
      <c r="B146" s="51"/>
      <c r="C146" s="51"/>
      <c r="D146" s="51"/>
      <c r="E146" s="51"/>
      <c r="F146" s="51"/>
      <c r="G146" s="51"/>
    </row>
    <row r="147" ht="15.75" customHeight="1">
      <c r="A147" s="51"/>
      <c r="B147" s="51"/>
      <c r="C147" s="51"/>
      <c r="D147" s="51"/>
      <c r="E147" s="51"/>
      <c r="F147" s="51"/>
      <c r="G147" s="51"/>
    </row>
    <row r="148" ht="15.75" customHeight="1">
      <c r="A148" s="51"/>
      <c r="B148" s="51"/>
      <c r="C148" s="51"/>
      <c r="D148" s="51"/>
      <c r="E148" s="51"/>
      <c r="F148" s="51"/>
      <c r="G148" s="51"/>
    </row>
    <row r="149" ht="15.75" customHeight="1">
      <c r="A149" s="51"/>
      <c r="B149" s="51"/>
      <c r="C149" s="51"/>
      <c r="D149" s="51"/>
      <c r="E149" s="51"/>
      <c r="F149" s="51"/>
      <c r="G149" s="51"/>
    </row>
    <row r="150" ht="15.75" customHeight="1">
      <c r="A150" s="51"/>
      <c r="B150" s="51"/>
      <c r="C150" s="51"/>
      <c r="D150" s="51"/>
      <c r="E150" s="51"/>
      <c r="F150" s="51"/>
      <c r="G150" s="51"/>
    </row>
    <row r="151" ht="15.75" customHeight="1">
      <c r="A151" s="51"/>
      <c r="B151" s="51"/>
      <c r="C151" s="51"/>
      <c r="D151" s="51"/>
      <c r="E151" s="51"/>
      <c r="F151" s="51"/>
      <c r="G151" s="51"/>
    </row>
    <row r="152" ht="15.75" customHeight="1">
      <c r="A152" s="51"/>
      <c r="B152" s="51"/>
      <c r="C152" s="51"/>
      <c r="D152" s="51"/>
      <c r="E152" s="51"/>
      <c r="F152" s="51"/>
      <c r="G152" s="51"/>
    </row>
    <row r="153" ht="15.75" customHeight="1">
      <c r="A153" s="51"/>
      <c r="B153" s="51"/>
      <c r="C153" s="51"/>
      <c r="D153" s="51"/>
      <c r="E153" s="51"/>
      <c r="F153" s="51"/>
      <c r="G153" s="51"/>
    </row>
    <row r="154" ht="15.75" customHeight="1">
      <c r="A154" s="51"/>
      <c r="B154" s="51"/>
      <c r="C154" s="51"/>
      <c r="D154" s="51"/>
      <c r="E154" s="51"/>
      <c r="F154" s="51"/>
      <c r="G154" s="51"/>
    </row>
    <row r="155" ht="15.75" customHeight="1">
      <c r="A155" s="51"/>
      <c r="B155" s="51"/>
      <c r="C155" s="51"/>
      <c r="D155" s="51"/>
      <c r="E155" s="51"/>
      <c r="F155" s="51"/>
      <c r="G155" s="51"/>
    </row>
    <row r="156" ht="15.75" customHeight="1">
      <c r="A156" s="51"/>
      <c r="B156" s="51"/>
      <c r="C156" s="51"/>
      <c r="D156" s="51"/>
      <c r="E156" s="51"/>
      <c r="F156" s="51"/>
      <c r="G156" s="51"/>
    </row>
    <row r="157" ht="15.75" customHeight="1">
      <c r="A157" s="51"/>
      <c r="B157" s="51"/>
      <c r="C157" s="51"/>
      <c r="D157" s="51"/>
      <c r="E157" s="51"/>
      <c r="F157" s="51"/>
      <c r="G157" s="51"/>
    </row>
    <row r="158" ht="15.75" customHeight="1">
      <c r="A158" s="51"/>
      <c r="B158" s="51"/>
      <c r="C158" s="51"/>
      <c r="D158" s="51"/>
      <c r="E158" s="51"/>
      <c r="F158" s="51"/>
      <c r="G158" s="51"/>
    </row>
    <row r="159" ht="15.75" customHeight="1">
      <c r="A159" s="51"/>
      <c r="B159" s="51"/>
      <c r="C159" s="51"/>
      <c r="D159" s="51"/>
      <c r="E159" s="51"/>
      <c r="F159" s="51"/>
      <c r="G159" s="51"/>
    </row>
    <row r="160" ht="15.75" customHeight="1">
      <c r="A160" s="51"/>
      <c r="B160" s="51"/>
      <c r="C160" s="51"/>
      <c r="D160" s="51"/>
      <c r="E160" s="51"/>
      <c r="F160" s="51"/>
      <c r="G160" s="51"/>
    </row>
    <row r="161" ht="15.75" customHeight="1">
      <c r="A161" s="51"/>
      <c r="B161" s="51"/>
      <c r="C161" s="51"/>
      <c r="D161" s="51"/>
      <c r="E161" s="51"/>
      <c r="F161" s="51"/>
      <c r="G161" s="51"/>
    </row>
    <row r="162" ht="15.75" customHeight="1">
      <c r="A162" s="51"/>
      <c r="B162" s="51"/>
      <c r="C162" s="51"/>
      <c r="D162" s="51"/>
      <c r="E162" s="51"/>
      <c r="F162" s="51"/>
      <c r="G162" s="51"/>
    </row>
    <row r="163" ht="15.75" customHeight="1">
      <c r="A163" s="51"/>
      <c r="B163" s="51"/>
      <c r="C163" s="51"/>
      <c r="D163" s="51"/>
      <c r="E163" s="51"/>
      <c r="F163" s="51"/>
      <c r="G163" s="51"/>
    </row>
    <row r="164" ht="15.75" customHeight="1">
      <c r="A164" s="51"/>
      <c r="B164" s="51"/>
      <c r="C164" s="51"/>
      <c r="D164" s="51"/>
      <c r="E164" s="51"/>
      <c r="F164" s="51"/>
      <c r="G164" s="51"/>
    </row>
    <row r="165" ht="15.75" customHeight="1">
      <c r="A165" s="51"/>
      <c r="B165" s="51"/>
      <c r="C165" s="51"/>
      <c r="D165" s="51"/>
      <c r="E165" s="51"/>
      <c r="F165" s="51"/>
      <c r="G165" s="51"/>
    </row>
    <row r="166" ht="15.75" customHeight="1">
      <c r="A166" s="51"/>
      <c r="B166" s="51"/>
      <c r="C166" s="51"/>
      <c r="D166" s="51"/>
      <c r="E166" s="51"/>
      <c r="F166" s="51"/>
      <c r="G166" s="51"/>
    </row>
    <row r="167" ht="15.75" customHeight="1">
      <c r="A167" s="51"/>
      <c r="B167" s="51"/>
      <c r="C167" s="51"/>
      <c r="D167" s="51"/>
      <c r="E167" s="51"/>
      <c r="F167" s="51"/>
      <c r="G167" s="51"/>
    </row>
    <row r="168" ht="15.75" customHeight="1">
      <c r="A168" s="51"/>
      <c r="B168" s="51"/>
      <c r="C168" s="51"/>
      <c r="D168" s="51"/>
      <c r="E168" s="51"/>
      <c r="F168" s="51"/>
      <c r="G168" s="51"/>
    </row>
    <row r="169" ht="15.75" customHeight="1">
      <c r="A169" s="51"/>
      <c r="B169" s="51"/>
      <c r="C169" s="51"/>
      <c r="D169" s="51"/>
      <c r="E169" s="51"/>
      <c r="F169" s="51"/>
      <c r="G169" s="51"/>
    </row>
    <row r="170" ht="15.75" customHeight="1">
      <c r="A170" s="51"/>
      <c r="B170" s="51"/>
      <c r="C170" s="51"/>
      <c r="D170" s="51"/>
      <c r="E170" s="51"/>
      <c r="F170" s="51"/>
      <c r="G170" s="51"/>
    </row>
    <row r="171" ht="15.75" customHeight="1">
      <c r="A171" s="51"/>
      <c r="B171" s="51"/>
      <c r="C171" s="51"/>
      <c r="D171" s="51"/>
      <c r="E171" s="51"/>
      <c r="F171" s="51"/>
      <c r="G171" s="51"/>
    </row>
    <row r="172" ht="15.75" customHeight="1">
      <c r="A172" s="51"/>
      <c r="B172" s="51"/>
      <c r="C172" s="51"/>
      <c r="D172" s="51"/>
      <c r="E172" s="51"/>
      <c r="F172" s="51"/>
      <c r="G172" s="51"/>
    </row>
    <row r="173" ht="15.75" customHeight="1">
      <c r="A173" s="51"/>
      <c r="B173" s="51"/>
      <c r="C173" s="51"/>
      <c r="D173" s="51"/>
      <c r="E173" s="51"/>
      <c r="F173" s="51"/>
      <c r="G173" s="51"/>
    </row>
    <row r="174" ht="15.75" customHeight="1">
      <c r="A174" s="51"/>
      <c r="B174" s="51"/>
      <c r="C174" s="51"/>
      <c r="D174" s="51"/>
      <c r="E174" s="51"/>
      <c r="F174" s="51"/>
      <c r="G174" s="51"/>
    </row>
    <row r="175" ht="15.75" customHeight="1">
      <c r="A175" s="51"/>
      <c r="B175" s="51"/>
      <c r="C175" s="51"/>
      <c r="D175" s="51"/>
      <c r="E175" s="51"/>
      <c r="F175" s="51"/>
      <c r="G175" s="51"/>
    </row>
    <row r="176" ht="15.75" customHeight="1">
      <c r="A176" s="51"/>
      <c r="B176" s="51"/>
      <c r="C176" s="51"/>
      <c r="D176" s="51"/>
      <c r="E176" s="51"/>
      <c r="F176" s="51"/>
      <c r="G176" s="51"/>
    </row>
    <row r="177" ht="15.75" customHeight="1">
      <c r="A177" s="51"/>
      <c r="B177" s="51"/>
      <c r="C177" s="51"/>
      <c r="D177" s="51"/>
      <c r="E177" s="51"/>
      <c r="F177" s="51"/>
      <c r="G177" s="51"/>
    </row>
    <row r="178" ht="15.75" customHeight="1">
      <c r="A178" s="51"/>
      <c r="B178" s="51"/>
      <c r="C178" s="51"/>
      <c r="D178" s="51"/>
      <c r="E178" s="51"/>
      <c r="F178" s="51"/>
      <c r="G178" s="51"/>
    </row>
    <row r="179" ht="15.75" customHeight="1">
      <c r="A179" s="51"/>
      <c r="B179" s="51"/>
      <c r="C179" s="51"/>
      <c r="D179" s="51"/>
      <c r="E179" s="51"/>
      <c r="F179" s="51"/>
      <c r="G179" s="51"/>
    </row>
    <row r="180" ht="15.75" customHeight="1">
      <c r="A180" s="51"/>
      <c r="B180" s="51"/>
      <c r="C180" s="51"/>
      <c r="D180" s="51"/>
      <c r="E180" s="51"/>
      <c r="F180" s="51"/>
      <c r="G180" s="51"/>
    </row>
    <row r="181" ht="15.75" customHeight="1">
      <c r="A181" s="51"/>
      <c r="B181" s="51"/>
      <c r="C181" s="51"/>
      <c r="D181" s="51"/>
      <c r="E181" s="51"/>
      <c r="F181" s="51"/>
      <c r="G181" s="51"/>
    </row>
    <row r="182" ht="15.75" customHeight="1">
      <c r="A182" s="51"/>
      <c r="B182" s="51"/>
      <c r="C182" s="51"/>
      <c r="D182" s="51"/>
      <c r="E182" s="51"/>
      <c r="F182" s="51"/>
      <c r="G182" s="51"/>
    </row>
    <row r="183" ht="15.75" customHeight="1">
      <c r="A183" s="51"/>
      <c r="B183" s="51"/>
      <c r="C183" s="51"/>
      <c r="D183" s="51"/>
      <c r="E183" s="51"/>
      <c r="F183" s="51"/>
      <c r="G183" s="51"/>
    </row>
    <row r="184" ht="15.75" customHeight="1">
      <c r="A184" s="51"/>
      <c r="B184" s="51"/>
      <c r="C184" s="51"/>
      <c r="D184" s="51"/>
      <c r="E184" s="51"/>
      <c r="F184" s="51"/>
      <c r="G184" s="51"/>
    </row>
    <row r="185" ht="15.75" customHeight="1">
      <c r="A185" s="51"/>
      <c r="B185" s="51"/>
      <c r="C185" s="51"/>
      <c r="D185" s="51"/>
      <c r="E185" s="51"/>
      <c r="F185" s="51"/>
      <c r="G185" s="51"/>
    </row>
    <row r="186" ht="15.75" customHeight="1">
      <c r="A186" s="51"/>
      <c r="B186" s="51"/>
      <c r="C186" s="51"/>
      <c r="D186" s="51"/>
      <c r="E186" s="51"/>
      <c r="F186" s="51"/>
      <c r="G186" s="51"/>
    </row>
    <row r="187" ht="15.75" customHeight="1">
      <c r="A187" s="51"/>
      <c r="B187" s="51"/>
      <c r="C187" s="51"/>
      <c r="D187" s="51"/>
      <c r="E187" s="51"/>
      <c r="F187" s="51"/>
      <c r="G187" s="51"/>
    </row>
    <row r="188" ht="15.75" customHeight="1">
      <c r="A188" s="51"/>
      <c r="B188" s="51"/>
      <c r="C188" s="51"/>
      <c r="D188" s="51"/>
      <c r="E188" s="51"/>
      <c r="F188" s="51"/>
      <c r="G188" s="51"/>
    </row>
    <row r="189" ht="15.75" customHeight="1">
      <c r="A189" s="51"/>
      <c r="B189" s="51"/>
      <c r="C189" s="51"/>
      <c r="D189" s="51"/>
      <c r="E189" s="51"/>
      <c r="F189" s="51"/>
      <c r="G189" s="51"/>
    </row>
    <row r="190" ht="15.75" customHeight="1">
      <c r="A190" s="51"/>
      <c r="B190" s="51"/>
      <c r="C190" s="51"/>
      <c r="D190" s="51"/>
      <c r="E190" s="51"/>
      <c r="F190" s="51"/>
      <c r="G190" s="51"/>
    </row>
    <row r="191" ht="15.75" customHeight="1">
      <c r="A191" s="51"/>
      <c r="B191" s="51"/>
      <c r="C191" s="51"/>
      <c r="D191" s="51"/>
      <c r="E191" s="51"/>
      <c r="F191" s="51"/>
      <c r="G191" s="51"/>
    </row>
    <row r="192" ht="15.75" customHeight="1">
      <c r="A192" s="51"/>
      <c r="B192" s="51"/>
      <c r="C192" s="51"/>
      <c r="D192" s="51"/>
      <c r="E192" s="51"/>
      <c r="F192" s="51"/>
      <c r="G192" s="51"/>
    </row>
    <row r="193" ht="15.75" customHeight="1">
      <c r="A193" s="51"/>
      <c r="B193" s="51"/>
      <c r="C193" s="51"/>
      <c r="D193" s="51"/>
      <c r="E193" s="51"/>
      <c r="F193" s="51"/>
      <c r="G193" s="51"/>
    </row>
    <row r="194" ht="15.75" customHeight="1">
      <c r="A194" s="51"/>
      <c r="B194" s="51"/>
      <c r="C194" s="51"/>
      <c r="D194" s="51"/>
      <c r="E194" s="51"/>
      <c r="F194" s="51"/>
      <c r="G194" s="51"/>
    </row>
    <row r="195" ht="15.75" customHeight="1">
      <c r="A195" s="51"/>
      <c r="B195" s="51"/>
      <c r="C195" s="51"/>
      <c r="D195" s="51"/>
      <c r="E195" s="51"/>
      <c r="F195" s="51"/>
      <c r="G195" s="51"/>
    </row>
    <row r="196" ht="15.75" customHeight="1">
      <c r="A196" s="51"/>
      <c r="B196" s="51"/>
      <c r="C196" s="51"/>
      <c r="D196" s="51"/>
      <c r="E196" s="51"/>
      <c r="F196" s="51"/>
      <c r="G196" s="51"/>
    </row>
    <row r="197" ht="15.75" customHeight="1">
      <c r="A197" s="51"/>
      <c r="B197" s="51"/>
      <c r="C197" s="51"/>
      <c r="D197" s="51"/>
      <c r="E197" s="51"/>
      <c r="F197" s="51"/>
      <c r="G197" s="51"/>
    </row>
    <row r="198" ht="15.75" customHeight="1">
      <c r="A198" s="51"/>
      <c r="B198" s="51"/>
      <c r="C198" s="51"/>
      <c r="D198" s="51"/>
      <c r="E198" s="51"/>
      <c r="F198" s="51"/>
      <c r="G198" s="51"/>
    </row>
    <row r="199" ht="15.75" customHeight="1">
      <c r="A199" s="51"/>
      <c r="B199" s="51"/>
      <c r="C199" s="51"/>
      <c r="D199" s="51"/>
      <c r="E199" s="51"/>
      <c r="F199" s="51"/>
      <c r="G199" s="51"/>
    </row>
    <row r="200" ht="15.75" customHeight="1">
      <c r="A200" s="51"/>
      <c r="B200" s="51"/>
      <c r="C200" s="51"/>
      <c r="D200" s="51"/>
      <c r="E200" s="51"/>
      <c r="F200" s="51"/>
      <c r="G200" s="51"/>
    </row>
    <row r="201" ht="15.75" customHeight="1">
      <c r="A201" s="51"/>
      <c r="B201" s="51"/>
      <c r="C201" s="51"/>
      <c r="D201" s="51"/>
      <c r="E201" s="51"/>
      <c r="F201" s="51"/>
      <c r="G201" s="51"/>
    </row>
    <row r="202" ht="15.75" customHeight="1">
      <c r="A202" s="51"/>
      <c r="B202" s="51"/>
      <c r="C202" s="51"/>
      <c r="D202" s="51"/>
      <c r="E202" s="51"/>
      <c r="F202" s="51"/>
      <c r="G202" s="51"/>
    </row>
    <row r="203" ht="15.75" customHeight="1">
      <c r="A203" s="51"/>
      <c r="B203" s="51"/>
      <c r="C203" s="51"/>
      <c r="D203" s="51"/>
      <c r="E203" s="51"/>
      <c r="F203" s="51"/>
      <c r="G203" s="51"/>
    </row>
    <row r="204" ht="15.75" customHeight="1">
      <c r="A204" s="51"/>
      <c r="B204" s="51"/>
      <c r="C204" s="51"/>
      <c r="D204" s="51"/>
      <c r="E204" s="51"/>
      <c r="F204" s="51"/>
      <c r="G204" s="51"/>
    </row>
    <row r="205" ht="15.75" customHeight="1">
      <c r="A205" s="51"/>
      <c r="B205" s="51"/>
      <c r="C205" s="51"/>
      <c r="D205" s="51"/>
      <c r="E205" s="51"/>
      <c r="F205" s="51"/>
      <c r="G205" s="51"/>
    </row>
    <row r="206" ht="15.75" customHeight="1">
      <c r="A206" s="51"/>
      <c r="B206" s="51"/>
      <c r="C206" s="51"/>
      <c r="D206" s="51"/>
      <c r="E206" s="51"/>
      <c r="F206" s="51"/>
      <c r="G206" s="51"/>
    </row>
    <row r="207" ht="15.75" customHeight="1">
      <c r="A207" s="51"/>
      <c r="B207" s="51"/>
      <c r="C207" s="51"/>
      <c r="D207" s="51"/>
      <c r="E207" s="51"/>
      <c r="F207" s="51"/>
      <c r="G207" s="51"/>
    </row>
    <row r="208" ht="15.75" customHeight="1">
      <c r="A208" s="51"/>
      <c r="B208" s="51"/>
      <c r="C208" s="51"/>
      <c r="D208" s="51"/>
      <c r="E208" s="51"/>
      <c r="F208" s="51"/>
      <c r="G208" s="51"/>
    </row>
    <row r="209" ht="15.75" customHeight="1">
      <c r="A209" s="51"/>
      <c r="B209" s="51"/>
      <c r="C209" s="51"/>
      <c r="D209" s="51"/>
      <c r="E209" s="51"/>
      <c r="F209" s="51"/>
      <c r="G209" s="51"/>
    </row>
    <row r="210" ht="15.75" customHeight="1">
      <c r="A210" s="51"/>
      <c r="B210" s="51"/>
      <c r="C210" s="51"/>
      <c r="D210" s="51"/>
      <c r="E210" s="51"/>
      <c r="F210" s="51"/>
      <c r="G210" s="51"/>
    </row>
    <row r="211" ht="15.75" customHeight="1">
      <c r="A211" s="51"/>
      <c r="B211" s="51"/>
      <c r="C211" s="51"/>
      <c r="D211" s="51"/>
      <c r="E211" s="51"/>
      <c r="F211" s="51"/>
      <c r="G211" s="51"/>
    </row>
    <row r="212" ht="15.75" customHeight="1">
      <c r="A212" s="51"/>
      <c r="B212" s="51"/>
      <c r="C212" s="51"/>
      <c r="D212" s="51"/>
      <c r="E212" s="51"/>
      <c r="F212" s="51"/>
      <c r="G212" s="51"/>
    </row>
    <row r="213" ht="15.75" customHeight="1">
      <c r="A213" s="51"/>
      <c r="B213" s="51"/>
      <c r="C213" s="51"/>
      <c r="D213" s="51"/>
      <c r="E213" s="51"/>
      <c r="F213" s="51"/>
      <c r="G213" s="51"/>
    </row>
    <row r="214" ht="15.75" customHeight="1">
      <c r="A214" s="51"/>
      <c r="B214" s="51"/>
      <c r="C214" s="51"/>
      <c r="D214" s="51"/>
      <c r="E214" s="51"/>
      <c r="F214" s="51"/>
      <c r="G214" s="51"/>
    </row>
    <row r="215" ht="15.75" customHeight="1">
      <c r="A215" s="51"/>
      <c r="B215" s="51"/>
      <c r="C215" s="51"/>
      <c r="D215" s="51"/>
      <c r="E215" s="51"/>
      <c r="F215" s="51"/>
      <c r="G215" s="51"/>
    </row>
    <row r="216" ht="15.75" customHeight="1">
      <c r="A216" s="51"/>
      <c r="B216" s="51"/>
      <c r="C216" s="51"/>
      <c r="D216" s="51"/>
      <c r="E216" s="51"/>
      <c r="F216" s="51"/>
      <c r="G216" s="51"/>
    </row>
    <row r="217" ht="15.75" customHeight="1">
      <c r="A217" s="51"/>
      <c r="B217" s="51"/>
      <c r="C217" s="51"/>
      <c r="D217" s="51"/>
      <c r="E217" s="51"/>
      <c r="F217" s="51"/>
      <c r="G217" s="51"/>
    </row>
    <row r="218" ht="15.75" customHeight="1">
      <c r="A218" s="51"/>
      <c r="B218" s="51"/>
      <c r="C218" s="51"/>
      <c r="D218" s="51"/>
      <c r="E218" s="51"/>
      <c r="F218" s="51"/>
      <c r="G218" s="51"/>
    </row>
    <row r="219" ht="15.75" customHeight="1">
      <c r="A219" s="51"/>
      <c r="B219" s="51"/>
      <c r="C219" s="51"/>
      <c r="D219" s="51"/>
      <c r="E219" s="51"/>
      <c r="F219" s="51"/>
      <c r="G219" s="51"/>
    </row>
    <row r="220" ht="15.75" customHeight="1">
      <c r="A220" s="51"/>
      <c r="B220" s="51"/>
      <c r="C220" s="51"/>
      <c r="D220" s="51"/>
      <c r="E220" s="51"/>
      <c r="F220" s="51"/>
      <c r="G220" s="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23.29"/>
  </cols>
  <sheetData>
    <row r="1">
      <c r="A1" s="54" t="s">
        <v>168</v>
      </c>
      <c r="B1" s="54" t="s">
        <v>169</v>
      </c>
      <c r="C1" s="54" t="s">
        <v>170</v>
      </c>
      <c r="D1" s="54" t="s">
        <v>182</v>
      </c>
    </row>
    <row r="2">
      <c r="A2" s="54" t="s">
        <v>4</v>
      </c>
      <c r="B2" s="54" t="s">
        <v>739</v>
      </c>
      <c r="C2" s="54" t="s">
        <v>714</v>
      </c>
      <c r="D2" s="54" t="s">
        <v>740</v>
      </c>
    </row>
    <row r="3">
      <c r="A3" s="54" t="s">
        <v>665</v>
      </c>
      <c r="B3" s="54" t="s">
        <v>741</v>
      </c>
      <c r="C3" s="54" t="s">
        <v>719</v>
      </c>
      <c r="D3" s="54" t="s">
        <v>742</v>
      </c>
    </row>
    <row r="4">
      <c r="A4" s="54" t="s">
        <v>672</v>
      </c>
      <c r="B4" s="54" t="s">
        <v>743</v>
      </c>
      <c r="C4" s="54" t="s">
        <v>721</v>
      </c>
      <c r="D4" s="54" t="s">
        <v>742</v>
      </c>
    </row>
    <row r="5">
      <c r="A5" s="54" t="s">
        <v>679</v>
      </c>
      <c r="B5" s="54" t="s">
        <v>744</v>
      </c>
      <c r="C5" s="54" t="s">
        <v>725</v>
      </c>
      <c r="D5" s="54" t="s">
        <v>742</v>
      </c>
    </row>
    <row r="6">
      <c r="A6" s="54" t="s">
        <v>683</v>
      </c>
      <c r="B6" s="54" t="s">
        <v>745</v>
      </c>
      <c r="C6" s="54" t="s">
        <v>431</v>
      </c>
      <c r="D6" s="54" t="s">
        <v>742</v>
      </c>
    </row>
    <row r="7">
      <c r="A7" s="54" t="s">
        <v>272</v>
      </c>
      <c r="B7" s="54" t="s">
        <v>746</v>
      </c>
      <c r="C7" s="54" t="s">
        <v>719</v>
      </c>
      <c r="D7" s="54" t="s">
        <v>747</v>
      </c>
    </row>
    <row r="8">
      <c r="A8" s="54" t="s">
        <v>690</v>
      </c>
      <c r="B8" s="54" t="s">
        <v>748</v>
      </c>
      <c r="C8" s="54" t="s">
        <v>721</v>
      </c>
      <c r="D8" s="54" t="s">
        <v>747</v>
      </c>
    </row>
    <row r="9">
      <c r="A9" s="54" t="s">
        <v>692</v>
      </c>
      <c r="B9" s="54" t="s">
        <v>749</v>
      </c>
      <c r="C9" s="54" t="s">
        <v>725</v>
      </c>
      <c r="D9" s="54" t="s">
        <v>747</v>
      </c>
    </row>
    <row r="10">
      <c r="A10" s="54" t="s">
        <v>694</v>
      </c>
      <c r="B10" s="54" t="s">
        <v>750</v>
      </c>
      <c r="C10" s="54" t="s">
        <v>431</v>
      </c>
      <c r="D10" s="54" t="s">
        <v>747</v>
      </c>
    </row>
    <row r="11">
      <c r="A11" s="54" t="s">
        <v>696</v>
      </c>
      <c r="B11" s="54" t="s">
        <v>697</v>
      </c>
      <c r="C11" s="54" t="s">
        <v>446</v>
      </c>
      <c r="D11" s="54" t="s">
        <v>740</v>
      </c>
    </row>
    <row r="12">
      <c r="A12" s="54" t="s">
        <v>702</v>
      </c>
      <c r="B12" s="54" t="s">
        <v>751</v>
      </c>
      <c r="C12" s="54" t="s">
        <v>732</v>
      </c>
      <c r="D12" s="54" t="s">
        <v>742</v>
      </c>
    </row>
    <row r="13">
      <c r="A13" s="54" t="s">
        <v>706</v>
      </c>
      <c r="B13" s="54" t="s">
        <v>752</v>
      </c>
      <c r="C13" s="54" t="s">
        <v>732</v>
      </c>
      <c r="D13" s="54" t="s">
        <v>747</v>
      </c>
    </row>
    <row r="14">
      <c r="A14" s="54" t="s">
        <v>709</v>
      </c>
      <c r="B14" s="54" t="s">
        <v>753</v>
      </c>
      <c r="C14" s="54" t="s">
        <v>737</v>
      </c>
      <c r="D14" s="54" t="s">
        <v>740</v>
      </c>
    </row>
    <row r="15">
      <c r="A15" s="54" t="s">
        <v>700</v>
      </c>
      <c r="B15" s="54" t="s">
        <v>754</v>
      </c>
      <c r="C15" s="54" t="s">
        <v>700</v>
      </c>
      <c r="D15" s="54" t="s">
        <v>740</v>
      </c>
    </row>
    <row r="16">
      <c r="A16" s="54" t="s">
        <v>667</v>
      </c>
      <c r="B16" s="54" t="s">
        <v>755</v>
      </c>
      <c r="C16" s="54" t="s">
        <v>667</v>
      </c>
      <c r="D16" s="54" t="s">
        <v>740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55" t="s">
        <v>756</v>
      </c>
      <c r="B1" s="55" t="s">
        <v>757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5">
        <v>1.0</v>
      </c>
      <c r="B2" s="55">
        <v>400.0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5">
        <v>2.0</v>
      </c>
      <c r="B3" s="55" t="s">
        <v>525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5">
        <v>3.0</v>
      </c>
      <c r="B4" s="55" t="s">
        <v>528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5">
        <v>4.0</v>
      </c>
      <c r="B5" s="55" t="s">
        <v>531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5">
        <v>5.0</v>
      </c>
      <c r="B6" s="55" t="s">
        <v>329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5">
        <v>6.0</v>
      </c>
      <c r="B7" s="55" t="s">
        <v>324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8.0"/>
    <col customWidth="1" min="3" max="6" width="8.71"/>
  </cols>
  <sheetData>
    <row r="1">
      <c r="A1" s="53" t="s">
        <v>758</v>
      </c>
      <c r="B1" s="53" t="s">
        <v>759</v>
      </c>
    </row>
    <row r="2">
      <c r="A2" s="53" t="s">
        <v>266</v>
      </c>
      <c r="B2" s="54" t="s">
        <v>760</v>
      </c>
    </row>
    <row r="3">
      <c r="B3" s="54" t="s">
        <v>761</v>
      </c>
    </row>
    <row r="5">
      <c r="A5" s="53" t="s">
        <v>44</v>
      </c>
      <c r="B5" s="54" t="s">
        <v>107</v>
      </c>
    </row>
    <row r="6">
      <c r="B6" s="54" t="s">
        <v>117</v>
      </c>
    </row>
    <row r="7">
      <c r="B7" s="54" t="s">
        <v>762</v>
      </c>
    </row>
    <row r="8">
      <c r="B8" s="54" t="s">
        <v>763</v>
      </c>
    </row>
    <row r="10">
      <c r="A10" s="53" t="s">
        <v>48</v>
      </c>
      <c r="B10" s="54" t="s">
        <v>118</v>
      </c>
    </row>
    <row r="11">
      <c r="B11" s="54" t="s">
        <v>108</v>
      </c>
    </row>
    <row r="12">
      <c r="B12" s="54" t="s">
        <v>120</v>
      </c>
    </row>
    <row r="14">
      <c r="A14" s="53" t="s">
        <v>50</v>
      </c>
      <c r="B14" s="54" t="s">
        <v>127</v>
      </c>
    </row>
    <row r="15">
      <c r="B15" s="54" t="s">
        <v>109</v>
      </c>
    </row>
    <row r="16">
      <c r="B16" s="54" t="s">
        <v>764</v>
      </c>
    </row>
    <row r="17">
      <c r="B17" s="54" t="s">
        <v>765</v>
      </c>
    </row>
    <row r="18">
      <c r="B18" s="54" t="s">
        <v>766</v>
      </c>
    </row>
    <row r="19">
      <c r="B19" s="54" t="s">
        <v>767</v>
      </c>
    </row>
    <row r="20">
      <c r="B20" s="54" t="s">
        <v>762</v>
      </c>
    </row>
    <row r="21" ht="15.75" customHeight="1"/>
    <row r="22" ht="15.75" customHeight="1">
      <c r="A22" s="53" t="s">
        <v>768</v>
      </c>
      <c r="B22" s="54" t="s">
        <v>769</v>
      </c>
    </row>
    <row r="23" ht="15.75" customHeight="1">
      <c r="B23" s="54" t="s">
        <v>770</v>
      </c>
    </row>
    <row r="24" ht="15.75" customHeight="1">
      <c r="B24" s="54" t="s">
        <v>771</v>
      </c>
    </row>
    <row r="25" ht="15.75" customHeight="1">
      <c r="B25" s="54" t="s">
        <v>772</v>
      </c>
    </row>
    <row r="26" ht="15.75" customHeight="1">
      <c r="B26" s="54" t="s">
        <v>112</v>
      </c>
    </row>
    <row r="27" ht="15.75" customHeight="1"/>
    <row r="28" ht="15.75" customHeight="1">
      <c r="A28" s="53" t="s">
        <v>58</v>
      </c>
      <c r="B28" s="54" t="s">
        <v>110</v>
      </c>
    </row>
    <row r="29" ht="15.75" customHeight="1">
      <c r="B29" s="54" t="s">
        <v>773</v>
      </c>
    </row>
    <row r="30" ht="15.75" customHeight="1">
      <c r="B30" s="54" t="s">
        <v>121</v>
      </c>
    </row>
    <row r="31" ht="15.75" customHeight="1">
      <c r="B31" s="54" t="s">
        <v>774</v>
      </c>
    </row>
    <row r="32" ht="15.75" customHeight="1">
      <c r="B32" s="54" t="s">
        <v>775</v>
      </c>
    </row>
    <row r="33" ht="15.75" customHeight="1">
      <c r="B33" s="54" t="s">
        <v>776</v>
      </c>
    </row>
    <row r="34" ht="15.75" customHeight="1">
      <c r="B34" s="54" t="s">
        <v>119</v>
      </c>
    </row>
    <row r="35" ht="15.75" customHeight="1"/>
    <row r="36" ht="15.75" customHeight="1">
      <c r="A36" s="53" t="s">
        <v>60</v>
      </c>
      <c r="B36" s="54" t="s">
        <v>777</v>
      </c>
    </row>
    <row r="37" ht="15.75" customHeight="1">
      <c r="B37" s="54" t="s">
        <v>778</v>
      </c>
    </row>
    <row r="38" ht="15.75" customHeight="1">
      <c r="B38" s="54" t="s">
        <v>779</v>
      </c>
    </row>
    <row r="39" ht="15.75" customHeight="1">
      <c r="B39" s="54" t="s">
        <v>780</v>
      </c>
    </row>
    <row r="40" ht="15.75" customHeight="1">
      <c r="B40" s="54" t="s">
        <v>781</v>
      </c>
    </row>
    <row r="41" ht="15.75" customHeight="1">
      <c r="B41" s="54" t="s">
        <v>129</v>
      </c>
    </row>
    <row r="42" ht="15.75" customHeight="1">
      <c r="B42" s="54" t="s">
        <v>782</v>
      </c>
    </row>
    <row r="43" ht="15.75" customHeight="1">
      <c r="B43" s="54" t="s">
        <v>783</v>
      </c>
    </row>
    <row r="44" ht="15.75" customHeight="1">
      <c r="B44" s="54" t="s">
        <v>784</v>
      </c>
    </row>
    <row r="45" ht="15.75" customHeight="1"/>
    <row r="46" ht="15.75" customHeight="1">
      <c r="A46" s="53" t="s">
        <v>69</v>
      </c>
      <c r="B46" s="54" t="s">
        <v>122</v>
      </c>
    </row>
    <row r="47" ht="15.75" customHeight="1">
      <c r="B47" s="54" t="s">
        <v>785</v>
      </c>
    </row>
    <row r="48" ht="15.75" customHeight="1">
      <c r="B48" s="54" t="s">
        <v>131</v>
      </c>
    </row>
    <row r="49" ht="15.75" customHeight="1">
      <c r="B49" s="54" t="s">
        <v>786</v>
      </c>
    </row>
    <row r="50" ht="15.75" customHeight="1">
      <c r="B50" s="54" t="s">
        <v>112</v>
      </c>
    </row>
    <row r="51" ht="15.75" customHeight="1">
      <c r="B51" s="54" t="s">
        <v>787</v>
      </c>
    </row>
    <row r="52" ht="15.75" customHeight="1"/>
    <row r="53" ht="15.75" customHeight="1">
      <c r="A53" s="53" t="s">
        <v>73</v>
      </c>
      <c r="B53" s="54" t="s">
        <v>123</v>
      </c>
    </row>
    <row r="54" ht="15.75" customHeight="1">
      <c r="B54" s="54" t="s">
        <v>788</v>
      </c>
    </row>
    <row r="55" ht="15.75" customHeight="1">
      <c r="B55" s="54" t="s">
        <v>130</v>
      </c>
    </row>
    <row r="56" ht="15.75" customHeight="1">
      <c r="B56" s="54" t="s">
        <v>113</v>
      </c>
    </row>
    <row r="57" ht="15.75" customHeight="1"/>
    <row r="58" ht="15.75" customHeight="1">
      <c r="A58" s="53" t="s">
        <v>75</v>
      </c>
      <c r="B58" s="54" t="s">
        <v>789</v>
      </c>
    </row>
    <row r="59" ht="15.75" customHeight="1">
      <c r="B59" s="54" t="s">
        <v>790</v>
      </c>
    </row>
    <row r="60" ht="15.75" customHeight="1">
      <c r="B60" s="54" t="s">
        <v>791</v>
      </c>
    </row>
    <row r="61" ht="15.75" customHeight="1">
      <c r="B61" s="54" t="s">
        <v>121</v>
      </c>
    </row>
    <row r="62" ht="15.75" customHeight="1">
      <c r="B62" s="54" t="s">
        <v>784</v>
      </c>
    </row>
    <row r="63" ht="15.75" customHeight="1">
      <c r="B63" s="54" t="s">
        <v>783</v>
      </c>
    </row>
    <row r="64" ht="15.75" customHeight="1">
      <c r="B64" s="54" t="s">
        <v>792</v>
      </c>
    </row>
    <row r="65" ht="15.75" customHeight="1"/>
    <row r="66" ht="15.75" customHeight="1">
      <c r="A66" s="53" t="s">
        <v>88</v>
      </c>
      <c r="B66" s="54" t="s">
        <v>112</v>
      </c>
    </row>
    <row r="67" ht="15.75" customHeight="1">
      <c r="B67" s="54" t="s">
        <v>793</v>
      </c>
    </row>
    <row r="68" ht="15.75" customHeight="1">
      <c r="B68" s="54" t="s">
        <v>794</v>
      </c>
    </row>
    <row r="69" ht="15.75" customHeight="1">
      <c r="B69" s="54" t="s">
        <v>762</v>
      </c>
    </row>
    <row r="70" ht="15.75" customHeight="1"/>
    <row r="71" ht="15.75" customHeight="1">
      <c r="A71" s="53" t="s">
        <v>94</v>
      </c>
      <c r="B71" s="54" t="s">
        <v>114</v>
      </c>
    </row>
    <row r="72" ht="15.75" customHeight="1">
      <c r="B72" s="54" t="s">
        <v>124</v>
      </c>
    </row>
    <row r="73" ht="15.75" customHeight="1">
      <c r="B73" s="54" t="s">
        <v>128</v>
      </c>
    </row>
    <row r="74" ht="15.75" customHeight="1"/>
    <row r="75" ht="15.75" customHeight="1">
      <c r="A75" s="53" t="s">
        <v>96</v>
      </c>
      <c r="B75" s="54" t="s">
        <v>115</v>
      </c>
    </row>
    <row r="76" ht="15.75" customHeight="1">
      <c r="B76" s="54" t="s">
        <v>795</v>
      </c>
    </row>
    <row r="77" ht="15.75" customHeight="1"/>
    <row r="78" ht="15.75" customHeight="1">
      <c r="A78" s="53" t="s">
        <v>98</v>
      </c>
      <c r="B78" s="54" t="s">
        <v>116</v>
      </c>
    </row>
    <row r="79" ht="15.75" customHeight="1">
      <c r="B79" s="54" t="s">
        <v>796</v>
      </c>
    </row>
    <row r="80" ht="15.75" customHeight="1">
      <c r="B80" s="54" t="s">
        <v>125</v>
      </c>
    </row>
    <row r="81" ht="15.75" customHeight="1"/>
    <row r="82" ht="15.75" customHeight="1">
      <c r="A82" s="53" t="s">
        <v>797</v>
      </c>
      <c r="B82" s="54" t="s">
        <v>125</v>
      </c>
    </row>
    <row r="83" ht="15.75" customHeight="1">
      <c r="B83" s="54" t="s">
        <v>798</v>
      </c>
    </row>
    <row r="84" ht="15.75" customHeight="1">
      <c r="B84" s="54" t="s">
        <v>116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63.29"/>
    <col customWidth="1" min="3" max="6" width="29.57"/>
  </cols>
  <sheetData>
    <row r="1">
      <c r="A1" s="48" t="s">
        <v>799</v>
      </c>
      <c r="B1" s="48" t="s">
        <v>800</v>
      </c>
    </row>
    <row r="2">
      <c r="A2" s="56" t="s">
        <v>717</v>
      </c>
      <c r="B2" s="56" t="s">
        <v>218</v>
      </c>
    </row>
    <row r="3">
      <c r="A3" s="56" t="s">
        <v>717</v>
      </c>
      <c r="B3" s="56" t="s">
        <v>801</v>
      </c>
    </row>
    <row r="4">
      <c r="A4" s="56" t="s">
        <v>717</v>
      </c>
      <c r="B4" s="56" t="s">
        <v>219</v>
      </c>
    </row>
    <row r="5">
      <c r="A5" s="56" t="s">
        <v>723</v>
      </c>
      <c r="B5" s="56" t="s">
        <v>221</v>
      </c>
    </row>
    <row r="6">
      <c r="A6" s="56" t="s">
        <v>723</v>
      </c>
      <c r="B6" s="56" t="s">
        <v>220</v>
      </c>
    </row>
    <row r="7">
      <c r="A7" s="56" t="s">
        <v>723</v>
      </c>
      <c r="B7" s="56" t="s">
        <v>222</v>
      </c>
    </row>
    <row r="8">
      <c r="A8" s="56" t="s">
        <v>723</v>
      </c>
      <c r="B8" s="56" t="s">
        <v>802</v>
      </c>
    </row>
    <row r="9">
      <c r="A9" s="56" t="s">
        <v>727</v>
      </c>
      <c r="B9" s="56" t="s">
        <v>223</v>
      </c>
    </row>
    <row r="10">
      <c r="A10" s="56" t="s">
        <v>727</v>
      </c>
      <c r="B10" s="56" t="s">
        <v>224</v>
      </c>
    </row>
    <row r="11">
      <c r="A11" s="56" t="s">
        <v>727</v>
      </c>
      <c r="B11" s="56" t="s">
        <v>803</v>
      </c>
    </row>
    <row r="12">
      <c r="A12" s="56" t="s">
        <v>727</v>
      </c>
      <c r="B12" s="56" t="s">
        <v>802</v>
      </c>
    </row>
    <row r="13">
      <c r="A13" s="56" t="s">
        <v>730</v>
      </c>
      <c r="B13" s="56" t="s">
        <v>225</v>
      </c>
    </row>
    <row r="14">
      <c r="A14" s="56" t="s">
        <v>730</v>
      </c>
      <c r="B14" s="56" t="s">
        <v>804</v>
      </c>
    </row>
    <row r="15">
      <c r="A15" s="56" t="s">
        <v>730</v>
      </c>
      <c r="B15" s="56" t="s">
        <v>222</v>
      </c>
    </row>
    <row r="16">
      <c r="A16" s="56" t="s">
        <v>730</v>
      </c>
      <c r="B16" s="56" t="s">
        <v>802</v>
      </c>
    </row>
    <row r="17">
      <c r="A17" s="54" t="s">
        <v>735</v>
      </c>
      <c r="B17" s="54" t="s">
        <v>218</v>
      </c>
    </row>
    <row r="18">
      <c r="A18" s="54" t="s">
        <v>735</v>
      </c>
      <c r="B18" s="54" t="s">
        <v>801</v>
      </c>
    </row>
    <row r="19">
      <c r="A19" s="54" t="s">
        <v>735</v>
      </c>
      <c r="B19" s="54" t="s">
        <v>219</v>
      </c>
    </row>
    <row r="20">
      <c r="A20" s="54" t="s">
        <v>735</v>
      </c>
      <c r="B20" s="54" t="s">
        <v>222</v>
      </c>
    </row>
    <row r="21" ht="15.75" customHeight="1">
      <c r="A21" s="54" t="s">
        <v>735</v>
      </c>
      <c r="B21" s="54" t="s">
        <v>802</v>
      </c>
    </row>
    <row r="22" ht="15.75" customHeight="1">
      <c r="A22" s="54" t="s">
        <v>737</v>
      </c>
      <c r="B22" s="54" t="s">
        <v>226</v>
      </c>
    </row>
    <row r="23" ht="15.75" customHeight="1">
      <c r="A23" s="54" t="s">
        <v>737</v>
      </c>
      <c r="B23" s="54" t="s">
        <v>805</v>
      </c>
    </row>
    <row r="24" ht="15.75" customHeight="1">
      <c r="A24" s="54" t="s">
        <v>737</v>
      </c>
      <c r="B24" s="54" t="s">
        <v>222</v>
      </c>
    </row>
    <row r="25" ht="15.75" customHeight="1">
      <c r="A25" s="54" t="s">
        <v>737</v>
      </c>
      <c r="B25" s="54" t="s">
        <v>802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